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2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3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14.xml" ContentType="application/vnd.openxmlformats-officedocument.drawing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5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6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7.xml" ContentType="application/vnd.openxmlformats-officedocument.drawing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59A- BUDDO ROAD\MCC\"/>
    </mc:Choice>
  </mc:AlternateContent>
  <xr:revisionPtr revIDLastSave="0" documentId="13_ncr:1_{2CBD3690-7951-4E52-BFD0-C4BDE1EF2C00}" xr6:coauthVersionLast="45" xr6:coauthVersionMax="45" xr10:uidLastSave="{00000000-0000-0000-0000-000000000000}"/>
  <bookViews>
    <workbookView xWindow="-120" yWindow="-120" windowWidth="20730" windowHeight="11160" tabRatio="922" firstSheet="11" activeTab="16" xr2:uid="{00000000-000D-0000-FFFF-FFFF00000000}"/>
  </bookViews>
  <sheets>
    <sheet name="23.09.19-Kitemu-Buddo" sheetId="93" r:id="rId1"/>
    <sheet name="23.09.19 -Buddo-Kitemu" sheetId="94" r:id="rId2"/>
    <sheet name="24.09 Kitemu-Buddo" sheetId="95" r:id="rId3"/>
    <sheet name="24.09 Buddo-Kitemu" sheetId="96" r:id="rId4"/>
    <sheet name="25.09 Kitemu-Buddo" sheetId="97" r:id="rId5"/>
    <sheet name="25.09 Buddo-Kitemu" sheetId="98" r:id="rId6"/>
    <sheet name="26.09 Kitemu-Buddo-24 HRS" sheetId="101" r:id="rId7"/>
    <sheet name="26.09 Buddo-Kitemu-24HRS" sheetId="109" r:id="rId8"/>
    <sheet name="27.09 Kitemu-Buddo" sheetId="99" r:id="rId9"/>
    <sheet name="27.09 Buddo-Kitemu" sheetId="100" r:id="rId10"/>
    <sheet name="28.09 Kitemu-Buddo-24HRS" sheetId="105" r:id="rId11"/>
    <sheet name="28.09 Buddo-Kitemu-24h" sheetId="110" r:id="rId12"/>
    <sheet name="29.0 Kitemu-Buddo" sheetId="103" r:id="rId13"/>
    <sheet name="29.09 Buddo-Kitemu" sheetId="104" r:id="rId14"/>
    <sheet name="Avg Week Kitemu-Buddo" sheetId="107" r:id="rId15"/>
    <sheet name="Avg Week Buddo-Kitemu" sheetId="108" r:id="rId16"/>
    <sheet name="Avg Week Kitemu-Buddo-2Dir" sheetId="111" r:id="rId17"/>
  </sheets>
  <externalReferences>
    <externalReference r:id="rId18"/>
    <externalReference r:id="rId19"/>
  </externalReferences>
  <definedNames>
    <definedName name="_xlnm.Print_Area" localSheetId="1">'23.09.19 -Buddo-Kitemu'!$A$1:$AF$60</definedName>
    <definedName name="_xlnm.Print_Area" localSheetId="0">'23.09.19-Kitemu-Buddo'!$A$1:$AF$60</definedName>
    <definedName name="_xlnm.Print_Area" localSheetId="3">'24.09 Buddo-Kitemu'!$A$1:$AF$60</definedName>
    <definedName name="_xlnm.Print_Area" localSheetId="2">'24.09 Kitemu-Buddo'!$A$1:$AF$60</definedName>
    <definedName name="_xlnm.Print_Area" localSheetId="5">'25.09 Buddo-Kitemu'!$A$1:$AF$60</definedName>
    <definedName name="_xlnm.Print_Area" localSheetId="4">'25.09 Kitemu-Buddo'!$A$1:$AF$60</definedName>
    <definedName name="_xlnm.Print_Area" localSheetId="7">'26.09 Buddo-Kitemu-24HRS'!$A$1:$AF$108</definedName>
    <definedName name="_xlnm.Print_Area" localSheetId="6">'26.09 Kitemu-Buddo-24 HRS'!$A$1:$AF$108</definedName>
    <definedName name="_xlnm.Print_Area" localSheetId="9">'27.09 Buddo-Kitemu'!$A$1:$AF$60</definedName>
    <definedName name="_xlnm.Print_Area" localSheetId="8">'27.09 Kitemu-Buddo'!$A$1:$AF$60</definedName>
    <definedName name="_xlnm.Print_Area" localSheetId="11">'28.09 Buddo-Kitemu-24h'!$A$1:$AF$108</definedName>
    <definedName name="_xlnm.Print_Area" localSheetId="10">'28.09 Kitemu-Buddo-24HRS'!$A$1:$AF$108</definedName>
    <definedName name="_xlnm.Print_Area" localSheetId="12">'29.0 Kitemu-Buddo'!$A$1:$AF$60</definedName>
    <definedName name="_xlnm.Print_Area" localSheetId="13">'29.09 Buddo-Kitemu'!$A$1:$AF$60</definedName>
    <definedName name="_xlnm.Print_Area" localSheetId="15">'Avg Week Buddo-Kitemu'!$A$1:$AF$108</definedName>
    <definedName name="_xlnm.Print_Area" localSheetId="14">'Avg Week Kitemu-Buddo'!$A$1:$AF$108</definedName>
    <definedName name="_xlnm.Print_Area" localSheetId="16">'Avg Week Kitemu-Buddo-2Dir'!$A$1:$AF$108</definedName>
    <definedName name="_xlnm.Print_Titles" localSheetId="1">'23.09.19 -Buddo-Kitemu'!$1:$8</definedName>
    <definedName name="_xlnm.Print_Titles" localSheetId="0">'23.09.19-Kitemu-Buddo'!$1:$8</definedName>
    <definedName name="_xlnm.Print_Titles" localSheetId="3">'24.09 Buddo-Kitemu'!$1:$8</definedName>
    <definedName name="_xlnm.Print_Titles" localSheetId="2">'24.09 Kitemu-Buddo'!$1:$8</definedName>
    <definedName name="_xlnm.Print_Titles" localSheetId="5">'25.09 Buddo-Kitemu'!$1:$8</definedName>
    <definedName name="_xlnm.Print_Titles" localSheetId="4">'25.09 Kitemu-Buddo'!$1:$8</definedName>
    <definedName name="_xlnm.Print_Titles" localSheetId="7">'26.09 Buddo-Kitemu-24HRS'!$1:$8</definedName>
    <definedName name="_xlnm.Print_Titles" localSheetId="6">'26.09 Kitemu-Buddo-24 HRS'!$1:$8</definedName>
    <definedName name="_xlnm.Print_Titles" localSheetId="9">'27.09 Buddo-Kitemu'!$1:$8</definedName>
    <definedName name="_xlnm.Print_Titles" localSheetId="8">'27.09 Kitemu-Buddo'!$1:$8</definedName>
    <definedName name="_xlnm.Print_Titles" localSheetId="11">'28.09 Buddo-Kitemu-24h'!$1:$8</definedName>
    <definedName name="_xlnm.Print_Titles" localSheetId="10">'28.09 Kitemu-Buddo-24HRS'!$1:$8</definedName>
    <definedName name="_xlnm.Print_Titles" localSheetId="12">'29.0 Kitemu-Buddo'!$1:$8</definedName>
    <definedName name="_xlnm.Print_Titles" localSheetId="13">'29.09 Buddo-Kitemu'!$1:$8</definedName>
    <definedName name="_xlnm.Print_Titles" localSheetId="15">'Avg Week Buddo-Kitemu'!$1:$8</definedName>
    <definedName name="_xlnm.Print_Titles" localSheetId="14">'Avg Week Kitemu-Buddo'!$1:$8</definedName>
    <definedName name="_xlnm.Print_Titles" localSheetId="16">'Avg Week Kitemu-Buddo-2Dir'!$1:$8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" i="108" l="1"/>
  <c r="P59" i="108"/>
  <c r="P60" i="108"/>
  <c r="P61" i="108"/>
  <c r="P62" i="108"/>
  <c r="P63" i="108"/>
  <c r="P64" i="108"/>
  <c r="P65" i="108"/>
  <c r="AF23" i="108" s="1"/>
  <c r="P66" i="108"/>
  <c r="P67" i="108"/>
  <c r="P68" i="108"/>
  <c r="P69" i="108"/>
  <c r="P70" i="108"/>
  <c r="P71" i="108"/>
  <c r="P72" i="108"/>
  <c r="P73" i="108"/>
  <c r="AF25" i="108" s="1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P91" i="108"/>
  <c r="P92" i="108"/>
  <c r="P93" i="108"/>
  <c r="P94" i="108"/>
  <c r="P95" i="108"/>
  <c r="P96" i="108"/>
  <c r="P97" i="108"/>
  <c r="AF31" i="108" s="1"/>
  <c r="P98" i="108"/>
  <c r="P99" i="108"/>
  <c r="P100" i="108"/>
  <c r="P101" i="108"/>
  <c r="P102" i="108"/>
  <c r="P103" i="108"/>
  <c r="P104" i="108"/>
  <c r="P105" i="108"/>
  <c r="O58" i="108"/>
  <c r="O59" i="108"/>
  <c r="O60" i="108"/>
  <c r="O61" i="108"/>
  <c r="O62" i="108"/>
  <c r="O63" i="108"/>
  <c r="O64" i="108"/>
  <c r="O65" i="108"/>
  <c r="AE23" i="108" s="1"/>
  <c r="O66" i="108"/>
  <c r="O67" i="108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O81" i="108"/>
  <c r="AE27" i="108" s="1"/>
  <c r="O82" i="108"/>
  <c r="O83" i="108"/>
  <c r="O84" i="108"/>
  <c r="O85" i="108"/>
  <c r="O86" i="108"/>
  <c r="O87" i="108"/>
  <c r="O88" i="108"/>
  <c r="O89" i="108"/>
  <c r="AE29" i="108" s="1"/>
  <c r="O90" i="108"/>
  <c r="O91" i="108"/>
  <c r="O92" i="108"/>
  <c r="O93" i="108"/>
  <c r="O94" i="108"/>
  <c r="O95" i="108"/>
  <c r="O96" i="108"/>
  <c r="O97" i="108"/>
  <c r="AE31" i="108" s="1"/>
  <c r="O98" i="108"/>
  <c r="O99" i="108"/>
  <c r="O100" i="108"/>
  <c r="O101" i="108"/>
  <c r="O102" i="108"/>
  <c r="O103" i="108"/>
  <c r="O104" i="108"/>
  <c r="O105" i="108"/>
  <c r="AE33" i="108" s="1"/>
  <c r="D58" i="108"/>
  <c r="E58" i="108"/>
  <c r="F58" i="108"/>
  <c r="G58" i="108"/>
  <c r="H58" i="108"/>
  <c r="I58" i="108"/>
  <c r="J58" i="108"/>
  <c r="K58" i="108"/>
  <c r="K106" i="108" s="1"/>
  <c r="L58" i="108"/>
  <c r="M58" i="108"/>
  <c r="N58" i="108"/>
  <c r="D59" i="108"/>
  <c r="E59" i="108"/>
  <c r="F59" i="108"/>
  <c r="G59" i="108"/>
  <c r="H59" i="108"/>
  <c r="H106" i="108" s="1"/>
  <c r="I59" i="108"/>
  <c r="J59" i="108"/>
  <c r="K59" i="108"/>
  <c r="L59" i="108"/>
  <c r="M59" i="108"/>
  <c r="N59" i="108"/>
  <c r="D60" i="108"/>
  <c r="E60" i="108"/>
  <c r="U22" i="108" s="1"/>
  <c r="F60" i="108"/>
  <c r="G60" i="108"/>
  <c r="H60" i="108"/>
  <c r="I60" i="108"/>
  <c r="J60" i="108"/>
  <c r="K60" i="108"/>
  <c r="L60" i="108"/>
  <c r="M60" i="108"/>
  <c r="AC22" i="108" s="1"/>
  <c r="N60" i="108"/>
  <c r="D61" i="108"/>
  <c r="E61" i="108"/>
  <c r="F61" i="108"/>
  <c r="G61" i="108"/>
  <c r="H61" i="108"/>
  <c r="I61" i="108"/>
  <c r="J61" i="108"/>
  <c r="J106" i="108" s="1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D106" i="108" s="1"/>
  <c r="E63" i="108"/>
  <c r="F63" i="108"/>
  <c r="G63" i="108"/>
  <c r="H63" i="108"/>
  <c r="I63" i="108"/>
  <c r="J63" i="108"/>
  <c r="K63" i="108"/>
  <c r="L63" i="108"/>
  <c r="L106" i="108" s="1"/>
  <c r="M63" i="108"/>
  <c r="N63" i="108"/>
  <c r="D64" i="108"/>
  <c r="E64" i="108"/>
  <c r="F64" i="108"/>
  <c r="G64" i="108"/>
  <c r="H64" i="108"/>
  <c r="I64" i="108"/>
  <c r="Y23" i="108" s="1"/>
  <c r="J64" i="108"/>
  <c r="K64" i="108"/>
  <c r="L64" i="108"/>
  <c r="M64" i="108"/>
  <c r="N64" i="108"/>
  <c r="D65" i="108"/>
  <c r="E65" i="108"/>
  <c r="F65" i="108"/>
  <c r="V23" i="108" s="1"/>
  <c r="G65" i="108"/>
  <c r="H65" i="108"/>
  <c r="I65" i="108"/>
  <c r="J65" i="108"/>
  <c r="K65" i="108"/>
  <c r="L65" i="108"/>
  <c r="M65" i="108"/>
  <c r="N65" i="108"/>
  <c r="AD23" i="108" s="1"/>
  <c r="D66" i="108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X24" i="108" s="1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Z24" i="108" s="1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T25" i="108" s="1"/>
  <c r="E71" i="108"/>
  <c r="F71" i="108"/>
  <c r="G71" i="108"/>
  <c r="H71" i="108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Y25" i="108" s="1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K73" i="108"/>
  <c r="L73" i="108"/>
  <c r="M73" i="108"/>
  <c r="N73" i="108"/>
  <c r="AD25" i="108" s="1"/>
  <c r="D74" i="108"/>
  <c r="E74" i="108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X26" i="108" s="1"/>
  <c r="I75" i="108"/>
  <c r="J75" i="108"/>
  <c r="K75" i="108"/>
  <c r="L75" i="108"/>
  <c r="M75" i="108"/>
  <c r="N75" i="108"/>
  <c r="D76" i="108"/>
  <c r="E76" i="108"/>
  <c r="U26" i="108" s="1"/>
  <c r="F76" i="108"/>
  <c r="G76" i="108"/>
  <c r="H76" i="108"/>
  <c r="I76" i="108"/>
  <c r="J76" i="108"/>
  <c r="K76" i="108"/>
  <c r="L76" i="108"/>
  <c r="M76" i="108"/>
  <c r="AC26" i="108" s="1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W27" i="108" s="1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Y27" i="108" s="1"/>
  <c r="J80" i="108"/>
  <c r="K80" i="108"/>
  <c r="L80" i="108"/>
  <c r="M80" i="108"/>
  <c r="N80" i="108"/>
  <c r="D81" i="108"/>
  <c r="E81" i="108"/>
  <c r="F81" i="108"/>
  <c r="V27" i="108" s="1"/>
  <c r="G81" i="108"/>
  <c r="H81" i="108"/>
  <c r="I81" i="108"/>
  <c r="J81" i="108"/>
  <c r="K81" i="108"/>
  <c r="L81" i="108"/>
  <c r="M81" i="108"/>
  <c r="N81" i="108"/>
  <c r="AD27" i="108" s="1"/>
  <c r="D82" i="108"/>
  <c r="E82" i="108"/>
  <c r="F82" i="108"/>
  <c r="G82" i="108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X28" i="108" s="1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J84" i="108"/>
  <c r="K84" i="108"/>
  <c r="L84" i="108"/>
  <c r="M84" i="108"/>
  <c r="AC28" i="108" s="1"/>
  <c r="N84" i="108"/>
  <c r="D85" i="108"/>
  <c r="E85" i="108"/>
  <c r="F85" i="108"/>
  <c r="G85" i="108"/>
  <c r="H85" i="108"/>
  <c r="I85" i="108"/>
  <c r="J85" i="108"/>
  <c r="Z28" i="108" s="1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I87" i="108"/>
  <c r="J87" i="108"/>
  <c r="K87" i="108"/>
  <c r="L87" i="108"/>
  <c r="AB29" i="108" s="1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V29" i="108" s="1"/>
  <c r="G89" i="108"/>
  <c r="H89" i="108"/>
  <c r="I89" i="108"/>
  <c r="J89" i="108"/>
  <c r="K89" i="108"/>
  <c r="L89" i="108"/>
  <c r="M89" i="108"/>
  <c r="N89" i="108"/>
  <c r="AD29" i="108" s="1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X30" i="108" s="1"/>
  <c r="I91" i="108"/>
  <c r="J91" i="108"/>
  <c r="K91" i="108"/>
  <c r="L91" i="108"/>
  <c r="M91" i="108"/>
  <c r="N91" i="108"/>
  <c r="D92" i="108"/>
  <c r="E92" i="108"/>
  <c r="U30" i="108" s="1"/>
  <c r="F92" i="108"/>
  <c r="G92" i="108"/>
  <c r="H92" i="108"/>
  <c r="I92" i="108"/>
  <c r="J92" i="108"/>
  <c r="K92" i="108"/>
  <c r="L92" i="108"/>
  <c r="M92" i="108"/>
  <c r="AC30" i="108" s="1"/>
  <c r="N92" i="108"/>
  <c r="D93" i="108"/>
  <c r="E93" i="108"/>
  <c r="F93" i="108"/>
  <c r="G93" i="108"/>
  <c r="H93" i="108"/>
  <c r="I93" i="108"/>
  <c r="J93" i="108"/>
  <c r="Z30" i="108" s="1"/>
  <c r="K93" i="108"/>
  <c r="L93" i="108"/>
  <c r="M93" i="108"/>
  <c r="N93" i="108"/>
  <c r="D94" i="108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T31" i="108" s="1"/>
  <c r="E95" i="108"/>
  <c r="F95" i="108"/>
  <c r="G95" i="108"/>
  <c r="H95" i="108"/>
  <c r="I95" i="108"/>
  <c r="J95" i="108"/>
  <c r="K95" i="108"/>
  <c r="L95" i="108"/>
  <c r="AB31" i="108" s="1"/>
  <c r="M95" i="108"/>
  <c r="N95" i="108"/>
  <c r="D96" i="108"/>
  <c r="E96" i="108"/>
  <c r="F96" i="108"/>
  <c r="G96" i="108"/>
  <c r="H96" i="108"/>
  <c r="I96" i="108"/>
  <c r="Y31" i="108" s="1"/>
  <c r="J96" i="108"/>
  <c r="K96" i="108"/>
  <c r="L96" i="108"/>
  <c r="M96" i="108"/>
  <c r="N96" i="108"/>
  <c r="D97" i="108"/>
  <c r="E97" i="108"/>
  <c r="F97" i="108"/>
  <c r="F97" i="111" s="1"/>
  <c r="G97" i="108"/>
  <c r="H97" i="108"/>
  <c r="I97" i="108"/>
  <c r="J97" i="108"/>
  <c r="K97" i="108"/>
  <c r="L97" i="108"/>
  <c r="M97" i="108"/>
  <c r="N97" i="108"/>
  <c r="N97" i="111" s="1"/>
  <c r="D98" i="108"/>
  <c r="E98" i="108"/>
  <c r="F98" i="108"/>
  <c r="G98" i="108"/>
  <c r="H98" i="108"/>
  <c r="I98" i="108"/>
  <c r="J98" i="108"/>
  <c r="K98" i="108"/>
  <c r="K98" i="111" s="1"/>
  <c r="AA32" i="111" s="1"/>
  <c r="L98" i="108"/>
  <c r="M98" i="108"/>
  <c r="N98" i="108"/>
  <c r="D99" i="108"/>
  <c r="E99" i="108"/>
  <c r="F99" i="108"/>
  <c r="G99" i="108"/>
  <c r="H99" i="108"/>
  <c r="X32" i="108" s="1"/>
  <c r="I99" i="108"/>
  <c r="J99" i="108"/>
  <c r="K99" i="108"/>
  <c r="L99" i="108"/>
  <c r="M99" i="108"/>
  <c r="N99" i="108"/>
  <c r="D100" i="108"/>
  <c r="E100" i="108"/>
  <c r="U32" i="108" s="1"/>
  <c r="F100" i="108"/>
  <c r="G100" i="108"/>
  <c r="H100" i="108"/>
  <c r="I100" i="108"/>
  <c r="J100" i="108"/>
  <c r="K100" i="108"/>
  <c r="L100" i="108"/>
  <c r="M100" i="108"/>
  <c r="AC32" i="108" s="1"/>
  <c r="N100" i="108"/>
  <c r="D101" i="108"/>
  <c r="E101" i="108"/>
  <c r="F101" i="108"/>
  <c r="G101" i="108"/>
  <c r="H101" i="108"/>
  <c r="I101" i="108"/>
  <c r="J101" i="108"/>
  <c r="J101" i="111" s="1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D103" i="111" s="1"/>
  <c r="E103" i="108"/>
  <c r="F103" i="108"/>
  <c r="G103" i="108"/>
  <c r="H103" i="108"/>
  <c r="I103" i="108"/>
  <c r="J103" i="108"/>
  <c r="K103" i="108"/>
  <c r="L103" i="108"/>
  <c r="L103" i="111" s="1"/>
  <c r="M103" i="108"/>
  <c r="N103" i="108"/>
  <c r="D104" i="108"/>
  <c r="E104" i="108"/>
  <c r="F104" i="108"/>
  <c r="G104" i="108"/>
  <c r="H104" i="108"/>
  <c r="I104" i="108"/>
  <c r="Y33" i="108" s="1"/>
  <c r="J104" i="108"/>
  <c r="K104" i="108"/>
  <c r="L104" i="108"/>
  <c r="M104" i="108"/>
  <c r="N104" i="108"/>
  <c r="D105" i="108"/>
  <c r="E105" i="108"/>
  <c r="F105" i="108"/>
  <c r="F105" i="111" s="1"/>
  <c r="G105" i="108"/>
  <c r="H105" i="108"/>
  <c r="I105" i="108"/>
  <c r="J105" i="108"/>
  <c r="K105" i="108"/>
  <c r="L105" i="108"/>
  <c r="M105" i="108"/>
  <c r="N105" i="108"/>
  <c r="N105" i="111" s="1"/>
  <c r="C59" i="108"/>
  <c r="C60" i="108"/>
  <c r="C61" i="108"/>
  <c r="C62" i="108"/>
  <c r="C63" i="108"/>
  <c r="C64" i="108"/>
  <c r="C65" i="108"/>
  <c r="C66" i="108"/>
  <c r="S24" i="108" s="1"/>
  <c r="C67" i="108"/>
  <c r="C68" i="108"/>
  <c r="C69" i="108"/>
  <c r="C70" i="108"/>
  <c r="C71" i="108"/>
  <c r="C72" i="108"/>
  <c r="C73" i="108"/>
  <c r="C74" i="108"/>
  <c r="S26" i="108" s="1"/>
  <c r="C75" i="108"/>
  <c r="C76" i="108"/>
  <c r="C77" i="108"/>
  <c r="C78" i="108"/>
  <c r="C79" i="108"/>
  <c r="C80" i="108"/>
  <c r="C81" i="108"/>
  <c r="C82" i="108"/>
  <c r="S28" i="108" s="1"/>
  <c r="C83" i="108"/>
  <c r="C84" i="108"/>
  <c r="C85" i="108"/>
  <c r="C86" i="108"/>
  <c r="C87" i="108"/>
  <c r="C88" i="108"/>
  <c r="C89" i="108"/>
  <c r="C90" i="108"/>
  <c r="S30" i="108" s="1"/>
  <c r="C91" i="108"/>
  <c r="C92" i="108"/>
  <c r="C93" i="108"/>
  <c r="C94" i="108"/>
  <c r="C95" i="108"/>
  <c r="C96" i="108"/>
  <c r="C97" i="108"/>
  <c r="C98" i="108"/>
  <c r="S32" i="108" s="1"/>
  <c r="C99" i="108"/>
  <c r="C100" i="108"/>
  <c r="C101" i="108"/>
  <c r="C102" i="108"/>
  <c r="C103" i="108"/>
  <c r="C104" i="108"/>
  <c r="C105" i="108"/>
  <c r="C58" i="108"/>
  <c r="C106" i="108" s="1"/>
  <c r="P58" i="107"/>
  <c r="P59" i="107"/>
  <c r="P60" i="107"/>
  <c r="P61" i="107"/>
  <c r="P62" i="107"/>
  <c r="P63" i="107"/>
  <c r="AF23" i="107" s="1"/>
  <c r="P64" i="107"/>
  <c r="P65" i="107"/>
  <c r="P106" i="107" s="1"/>
  <c r="P66" i="107"/>
  <c r="AF24" i="107" s="1"/>
  <c r="P67" i="107"/>
  <c r="P68" i="107"/>
  <c r="P69" i="107"/>
  <c r="P70" i="107"/>
  <c r="P71" i="107"/>
  <c r="AF25" i="107" s="1"/>
  <c r="P72" i="107"/>
  <c r="P73" i="107"/>
  <c r="P74" i="107"/>
  <c r="AF26" i="107" s="1"/>
  <c r="P75" i="107"/>
  <c r="P76" i="107"/>
  <c r="P77" i="107"/>
  <c r="P78" i="107"/>
  <c r="P79" i="107"/>
  <c r="P80" i="107"/>
  <c r="P81" i="107"/>
  <c r="AF27" i="107" s="1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AF31" i="107" s="1"/>
  <c r="P96" i="107"/>
  <c r="P97" i="107"/>
  <c r="P98" i="107"/>
  <c r="AF32" i="107" s="1"/>
  <c r="P99" i="107"/>
  <c r="P100" i="107"/>
  <c r="P101" i="107"/>
  <c r="P102" i="107"/>
  <c r="P103" i="107"/>
  <c r="P104" i="107"/>
  <c r="P105" i="107"/>
  <c r="AF33" i="107" s="1"/>
  <c r="O58" i="107"/>
  <c r="O59" i="107"/>
  <c r="O60" i="107"/>
  <c r="O61" i="107"/>
  <c r="O62" i="107"/>
  <c r="O63" i="107"/>
  <c r="O64" i="107"/>
  <c r="O65" i="107"/>
  <c r="O106" i="107" s="1"/>
  <c r="O66" i="107"/>
  <c r="O67" i="107"/>
  <c r="O68" i="107"/>
  <c r="O69" i="107"/>
  <c r="O70" i="107"/>
  <c r="O71" i="107"/>
  <c r="O72" i="107"/>
  <c r="O73" i="107"/>
  <c r="AE25" i="107" s="1"/>
  <c r="O74" i="107"/>
  <c r="O75" i="107"/>
  <c r="O76" i="107"/>
  <c r="O77" i="107"/>
  <c r="O78" i="107"/>
  <c r="O79" i="107"/>
  <c r="O80" i="107"/>
  <c r="O81" i="107"/>
  <c r="AE27" i="107" s="1"/>
  <c r="O82" i="107"/>
  <c r="O83" i="107"/>
  <c r="O84" i="107"/>
  <c r="O85" i="107"/>
  <c r="O86" i="107"/>
  <c r="O87" i="107"/>
  <c r="O88" i="107"/>
  <c r="O89" i="107"/>
  <c r="AE29" i="107" s="1"/>
  <c r="O90" i="107"/>
  <c r="AE30" i="107" s="1"/>
  <c r="O91" i="107"/>
  <c r="O92" i="107"/>
  <c r="O93" i="107"/>
  <c r="O94" i="107"/>
  <c r="O95" i="107"/>
  <c r="AE31" i="107" s="1"/>
  <c r="O96" i="107"/>
  <c r="O97" i="107"/>
  <c r="O98" i="107"/>
  <c r="O99" i="107"/>
  <c r="O100" i="107"/>
  <c r="O101" i="107"/>
  <c r="O102" i="107"/>
  <c r="O103" i="107"/>
  <c r="AE33" i="107" s="1"/>
  <c r="O104" i="107"/>
  <c r="O105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I72" i="111" s="1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G78" i="111" s="1"/>
  <c r="W27" i="111" s="1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J85" i="111" s="1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H91" i="111" s="1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V31" i="107" s="1"/>
  <c r="G97" i="107"/>
  <c r="H97" i="107"/>
  <c r="I97" i="107"/>
  <c r="J97" i="107"/>
  <c r="K97" i="107"/>
  <c r="L97" i="107"/>
  <c r="M97" i="107"/>
  <c r="N97" i="107"/>
  <c r="AD31" i="107" s="1"/>
  <c r="D98" i="107"/>
  <c r="E98" i="107"/>
  <c r="F98" i="107"/>
  <c r="G98" i="107"/>
  <c r="H98" i="107"/>
  <c r="I98" i="107"/>
  <c r="Y32" i="107" s="1"/>
  <c r="J98" i="107"/>
  <c r="K98" i="107"/>
  <c r="AA32" i="107" s="1"/>
  <c r="L98" i="107"/>
  <c r="AB32" i="107" s="1"/>
  <c r="M98" i="107"/>
  <c r="N98" i="107"/>
  <c r="D99" i="107"/>
  <c r="E99" i="107"/>
  <c r="F99" i="107"/>
  <c r="G99" i="107"/>
  <c r="H99" i="107"/>
  <c r="X32" i="107" s="1"/>
  <c r="I99" i="107"/>
  <c r="J99" i="107"/>
  <c r="K99" i="107"/>
  <c r="L99" i="107"/>
  <c r="M99" i="107"/>
  <c r="N99" i="107"/>
  <c r="D100" i="107"/>
  <c r="E100" i="107"/>
  <c r="U32" i="107" s="1"/>
  <c r="F100" i="107"/>
  <c r="G100" i="107"/>
  <c r="H100" i="107"/>
  <c r="I100" i="107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Z32" i="107" s="1"/>
  <c r="K101" i="107"/>
  <c r="L101" i="107"/>
  <c r="M101" i="107"/>
  <c r="N101" i="107"/>
  <c r="D102" i="107"/>
  <c r="E102" i="107"/>
  <c r="U33" i="107" s="1"/>
  <c r="F102" i="107"/>
  <c r="G102" i="107"/>
  <c r="W33" i="107" s="1"/>
  <c r="H102" i="107"/>
  <c r="I102" i="107"/>
  <c r="J102" i="107"/>
  <c r="K102" i="107"/>
  <c r="L102" i="107"/>
  <c r="M102" i="107"/>
  <c r="AC33" i="107" s="1"/>
  <c r="N102" i="107"/>
  <c r="D103" i="107"/>
  <c r="T33" i="107" s="1"/>
  <c r="E103" i="107"/>
  <c r="F103" i="107"/>
  <c r="G103" i="107"/>
  <c r="H103" i="107"/>
  <c r="I103" i="107"/>
  <c r="J103" i="107"/>
  <c r="Z33" i="107" s="1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Y33" i="107" s="1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K105" i="107"/>
  <c r="L105" i="107"/>
  <c r="M105" i="107"/>
  <c r="N105" i="107"/>
  <c r="AD33" i="107" s="1"/>
  <c r="C59" i="107"/>
  <c r="C60" i="107"/>
  <c r="C61" i="107"/>
  <c r="C62" i="107"/>
  <c r="C63" i="107"/>
  <c r="C64" i="107"/>
  <c r="S23" i="107" s="1"/>
  <c r="C65" i="107"/>
  <c r="C66" i="107"/>
  <c r="C66" i="111" s="1"/>
  <c r="C67" i="107"/>
  <c r="C68" i="107"/>
  <c r="C69" i="107"/>
  <c r="C70" i="107"/>
  <c r="C71" i="107"/>
  <c r="C72" i="107"/>
  <c r="S25" i="107" s="1"/>
  <c r="C73" i="107"/>
  <c r="C74" i="107"/>
  <c r="C74" i="111" s="1"/>
  <c r="C75" i="107"/>
  <c r="C76" i="107"/>
  <c r="C77" i="107"/>
  <c r="C78" i="107"/>
  <c r="C79" i="107"/>
  <c r="C80" i="107"/>
  <c r="S27" i="107" s="1"/>
  <c r="C81" i="107"/>
  <c r="C82" i="107"/>
  <c r="C82" i="111" s="1"/>
  <c r="C83" i="107"/>
  <c r="C84" i="107"/>
  <c r="C85" i="107"/>
  <c r="C86" i="107"/>
  <c r="C87" i="107"/>
  <c r="C88" i="107"/>
  <c r="S29" i="107" s="1"/>
  <c r="C89" i="107"/>
  <c r="C90" i="107"/>
  <c r="C90" i="111" s="1"/>
  <c r="C91" i="107"/>
  <c r="C92" i="107"/>
  <c r="C93" i="107"/>
  <c r="C94" i="107"/>
  <c r="C95" i="107"/>
  <c r="C96" i="107"/>
  <c r="S31" i="107" s="1"/>
  <c r="C97" i="107"/>
  <c r="C98" i="107"/>
  <c r="C98" i="111" s="1"/>
  <c r="C99" i="107"/>
  <c r="C100" i="107"/>
  <c r="C101" i="107"/>
  <c r="C102" i="107"/>
  <c r="C103" i="107"/>
  <c r="C104" i="107"/>
  <c r="S33" i="107" s="1"/>
  <c r="C105" i="107"/>
  <c r="C58" i="107"/>
  <c r="AA33" i="107"/>
  <c r="X33" i="107"/>
  <c r="AE32" i="107"/>
  <c r="AD32" i="107"/>
  <c r="W32" i="107"/>
  <c r="V32" i="107"/>
  <c r="T32" i="107"/>
  <c r="AC31" i="107"/>
  <c r="AA31" i="107"/>
  <c r="Z31" i="107"/>
  <c r="X31" i="107"/>
  <c r="U31" i="107"/>
  <c r="AF30" i="107"/>
  <c r="AD30" i="107"/>
  <c r="AB30" i="107"/>
  <c r="Y30" i="107"/>
  <c r="X30" i="107"/>
  <c r="W30" i="107"/>
  <c r="V30" i="107"/>
  <c r="T30" i="107"/>
  <c r="AF29" i="107"/>
  <c r="AC29" i="107"/>
  <c r="AA29" i="107"/>
  <c r="Z29" i="107"/>
  <c r="X29" i="107"/>
  <c r="U29" i="107"/>
  <c r="AF28" i="107"/>
  <c r="AE28" i="107"/>
  <c r="AD28" i="107"/>
  <c r="AB28" i="107"/>
  <c r="Y28" i="107"/>
  <c r="W28" i="107"/>
  <c r="V28" i="107"/>
  <c r="T28" i="107"/>
  <c r="AC27" i="107"/>
  <c r="AA27" i="107"/>
  <c r="Z27" i="107"/>
  <c r="X27" i="107"/>
  <c r="U27" i="107"/>
  <c r="AE26" i="107"/>
  <c r="AD26" i="107"/>
  <c r="AB26" i="107"/>
  <c r="Y26" i="107"/>
  <c r="W26" i="107"/>
  <c r="V26" i="107"/>
  <c r="T26" i="107"/>
  <c r="AC25" i="107"/>
  <c r="AA25" i="107"/>
  <c r="Z25" i="107"/>
  <c r="Y25" i="107"/>
  <c r="X25" i="107"/>
  <c r="U25" i="107"/>
  <c r="AE24" i="107"/>
  <c r="AD24" i="107"/>
  <c r="AB24" i="107"/>
  <c r="Y24" i="107"/>
  <c r="W24" i="107"/>
  <c r="V24" i="107"/>
  <c r="T24" i="107"/>
  <c r="AC23" i="107"/>
  <c r="AA23" i="107"/>
  <c r="Z23" i="107"/>
  <c r="X23" i="107"/>
  <c r="U23" i="107"/>
  <c r="AF22" i="107"/>
  <c r="AE22" i="107"/>
  <c r="AD22" i="107"/>
  <c r="AB22" i="107"/>
  <c r="Y22" i="107"/>
  <c r="X22" i="107"/>
  <c r="W22" i="107"/>
  <c r="V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E36" i="107" s="1"/>
  <c r="AD20" i="107"/>
  <c r="AC20" i="107"/>
  <c r="AB20" i="107"/>
  <c r="AA20" i="107"/>
  <c r="Z20" i="107"/>
  <c r="Y20" i="107"/>
  <c r="X20" i="107"/>
  <c r="W20" i="107"/>
  <c r="W36" i="107" s="1"/>
  <c r="V20" i="107"/>
  <c r="U20" i="107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C35" i="107" s="1"/>
  <c r="AB15" i="107"/>
  <c r="AA15" i="107"/>
  <c r="Z15" i="107"/>
  <c r="Y15" i="107"/>
  <c r="X15" i="107"/>
  <c r="W15" i="107"/>
  <c r="V15" i="107"/>
  <c r="U15" i="107"/>
  <c r="U35" i="107" s="1"/>
  <c r="T15" i="107"/>
  <c r="S15" i="107"/>
  <c r="AF14" i="107"/>
  <c r="AE14" i="107"/>
  <c r="AD14" i="107"/>
  <c r="AC14" i="107"/>
  <c r="AB14" i="107"/>
  <c r="AA14" i="107"/>
  <c r="AA38" i="107" s="1"/>
  <c r="Z14" i="107"/>
  <c r="Y14" i="107"/>
  <c r="X14" i="107"/>
  <c r="W14" i="107"/>
  <c r="V14" i="107"/>
  <c r="U14" i="107"/>
  <c r="T14" i="107"/>
  <c r="S14" i="107"/>
  <c r="S38" i="107" s="1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Z13" i="107"/>
  <c r="Z35" i="107" s="1"/>
  <c r="Y13" i="107"/>
  <c r="Y35" i="107" s="1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AF12" i="107"/>
  <c r="AE12" i="107"/>
  <c r="AE40" i="107" s="1"/>
  <c r="AD12" i="107"/>
  <c r="AC12" i="107"/>
  <c r="AB12" i="107"/>
  <c r="AA12" i="107"/>
  <c r="Z12" i="107"/>
  <c r="Y12" i="107"/>
  <c r="X12" i="107"/>
  <c r="W12" i="107"/>
  <c r="W40" i="107" s="1"/>
  <c r="V12" i="107"/>
  <c r="U12" i="107"/>
  <c r="T12" i="107"/>
  <c r="S12" i="107"/>
  <c r="AF11" i="107"/>
  <c r="AE11" i="107"/>
  <c r="AD11" i="107"/>
  <c r="AC11" i="107"/>
  <c r="AC40" i="107" s="1"/>
  <c r="AB11" i="107"/>
  <c r="AA11" i="107"/>
  <c r="Z11" i="107"/>
  <c r="Y11" i="107"/>
  <c r="X11" i="107"/>
  <c r="W11" i="107"/>
  <c r="V11" i="107"/>
  <c r="U11" i="107"/>
  <c r="U40" i="107" s="1"/>
  <c r="T11" i="107"/>
  <c r="S11" i="107"/>
  <c r="AF10" i="107"/>
  <c r="AF34" i="107" s="1"/>
  <c r="AE10" i="107"/>
  <c r="AE34" i="107" s="1"/>
  <c r="AD10" i="107"/>
  <c r="AC10" i="107"/>
  <c r="AB10" i="107"/>
  <c r="AB40" i="107" s="1"/>
  <c r="AA10" i="107"/>
  <c r="AA40" i="107" s="1"/>
  <c r="Z10" i="107"/>
  <c r="Z40" i="107" s="1"/>
  <c r="Y10" i="107"/>
  <c r="Y37" i="107" s="1"/>
  <c r="X10" i="107"/>
  <c r="X34" i="107" s="1"/>
  <c r="W10" i="107"/>
  <c r="W34" i="107" s="1"/>
  <c r="V10" i="107"/>
  <c r="U10" i="107"/>
  <c r="T10" i="107"/>
  <c r="T40" i="107" s="1"/>
  <c r="S10" i="107"/>
  <c r="S40" i="107" s="1"/>
  <c r="AE37" i="111"/>
  <c r="W37" i="111"/>
  <c r="Y24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X20" i="111"/>
  <c r="W20" i="111"/>
  <c r="V20" i="111"/>
  <c r="U20" i="111"/>
  <c r="U36" i="111" s="1"/>
  <c r="T20" i="111"/>
  <c r="S20" i="111"/>
  <c r="AF19" i="111"/>
  <c r="AF39" i="111" s="1"/>
  <c r="AE19" i="111"/>
  <c r="AE39" i="111" s="1"/>
  <c r="AD19" i="111"/>
  <c r="AD39" i="111" s="1"/>
  <c r="AC19" i="111"/>
  <c r="AC39" i="111" s="1"/>
  <c r="AB19" i="111"/>
  <c r="AB36" i="111" s="1"/>
  <c r="AA19" i="111"/>
  <c r="AA39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AA35" i="111" s="1"/>
  <c r="Z15" i="111"/>
  <c r="Y15" i="111"/>
  <c r="X15" i="111"/>
  <c r="W15" i="111"/>
  <c r="V15" i="111"/>
  <c r="U15" i="111"/>
  <c r="T15" i="111"/>
  <c r="S15" i="111"/>
  <c r="S35" i="111" s="1"/>
  <c r="AF14" i="111"/>
  <c r="AE14" i="111"/>
  <c r="AD14" i="111"/>
  <c r="AC14" i="111"/>
  <c r="AB14" i="111"/>
  <c r="AA14" i="111"/>
  <c r="Z14" i="111"/>
  <c r="Y14" i="111"/>
  <c r="Y38" i="111" s="1"/>
  <c r="X14" i="111"/>
  <c r="W14" i="111"/>
  <c r="V14" i="111"/>
  <c r="U14" i="111"/>
  <c r="T14" i="111"/>
  <c r="S14" i="111"/>
  <c r="AF13" i="111"/>
  <c r="AF38" i="111" s="1"/>
  <c r="AE13" i="111"/>
  <c r="AE38" i="111" s="1"/>
  <c r="AD13" i="111"/>
  <c r="AD38" i="111" s="1"/>
  <c r="AC13" i="111"/>
  <c r="AC38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8" i="111" s="1"/>
  <c r="U13" i="111"/>
  <c r="U38" i="111" s="1"/>
  <c r="T13" i="111"/>
  <c r="T38" i="111" s="1"/>
  <c r="S13" i="111"/>
  <c r="S38" i="111" s="1"/>
  <c r="AF12" i="111"/>
  <c r="AE12" i="111"/>
  <c r="AD12" i="111"/>
  <c r="AC12" i="111"/>
  <c r="AC40" i="111" s="1"/>
  <c r="AB12" i="111"/>
  <c r="AA12" i="111"/>
  <c r="Z12" i="111"/>
  <c r="Y12" i="111"/>
  <c r="X12" i="111"/>
  <c r="W12" i="111"/>
  <c r="V12" i="111"/>
  <c r="U12" i="111"/>
  <c r="U40" i="111" s="1"/>
  <c r="T12" i="111"/>
  <c r="S12" i="111"/>
  <c r="AF11" i="111"/>
  <c r="AE11" i="111"/>
  <c r="AD11" i="111"/>
  <c r="AC11" i="111"/>
  <c r="AB11" i="111"/>
  <c r="AA11" i="111"/>
  <c r="Z11" i="111"/>
  <c r="Y11" i="111"/>
  <c r="X11" i="111"/>
  <c r="W11" i="111"/>
  <c r="V11" i="111"/>
  <c r="U11" i="111"/>
  <c r="T11" i="111"/>
  <c r="S11" i="111"/>
  <c r="AF10" i="111"/>
  <c r="AF34" i="111" s="1"/>
  <c r="AE10" i="111"/>
  <c r="AE34" i="111" s="1"/>
  <c r="AD10" i="111"/>
  <c r="AC10" i="111"/>
  <c r="AB10" i="111"/>
  <c r="AB40" i="111" s="1"/>
  <c r="AA10" i="111"/>
  <c r="AA40" i="111" s="1"/>
  <c r="Z10" i="111"/>
  <c r="Z40" i="111" s="1"/>
  <c r="Y10" i="111"/>
  <c r="Y40" i="111" s="1"/>
  <c r="X10" i="111"/>
  <c r="X34" i="111" s="1"/>
  <c r="W10" i="111"/>
  <c r="W34" i="111" s="1"/>
  <c r="V10" i="111"/>
  <c r="U10" i="111"/>
  <c r="T10" i="111"/>
  <c r="T40" i="111" s="1"/>
  <c r="S10" i="111"/>
  <c r="S40" i="111" s="1"/>
  <c r="AE37" i="108"/>
  <c r="W37" i="108"/>
  <c r="AF33" i="108"/>
  <c r="AC33" i="108"/>
  <c r="AA33" i="108"/>
  <c r="Z33" i="108"/>
  <c r="X33" i="108"/>
  <c r="U33" i="108"/>
  <c r="S33" i="108"/>
  <c r="AF32" i="108"/>
  <c r="AE32" i="108"/>
  <c r="AD32" i="108"/>
  <c r="AB32" i="108"/>
  <c r="Y32" i="108"/>
  <c r="W32" i="108"/>
  <c r="V32" i="108"/>
  <c r="T32" i="108"/>
  <c r="AD31" i="108"/>
  <c r="AC31" i="108"/>
  <c r="AA31" i="108"/>
  <c r="Z31" i="108"/>
  <c r="X31" i="108"/>
  <c r="V31" i="108"/>
  <c r="U31" i="108"/>
  <c r="S31" i="108"/>
  <c r="AF30" i="108"/>
  <c r="AE30" i="108"/>
  <c r="AD30" i="108"/>
  <c r="AB30" i="108"/>
  <c r="Y30" i="108"/>
  <c r="W30" i="108"/>
  <c r="V30" i="108"/>
  <c r="T30" i="108"/>
  <c r="AF29" i="108"/>
  <c r="AC29" i="108"/>
  <c r="AA29" i="108"/>
  <c r="Z29" i="108"/>
  <c r="Y29" i="108"/>
  <c r="X29" i="108"/>
  <c r="U29" i="108"/>
  <c r="S29" i="108"/>
  <c r="AF28" i="108"/>
  <c r="AE28" i="108"/>
  <c r="AD28" i="108"/>
  <c r="AB28" i="108"/>
  <c r="Y28" i="108"/>
  <c r="W28" i="108"/>
  <c r="V28" i="108"/>
  <c r="T28" i="108"/>
  <c r="AF27" i="108"/>
  <c r="AC27" i="108"/>
  <c r="AB27" i="108"/>
  <c r="AA27" i="108"/>
  <c r="Z27" i="108"/>
  <c r="X27" i="108"/>
  <c r="U27" i="108"/>
  <c r="T27" i="108"/>
  <c r="S27" i="108"/>
  <c r="AF26" i="108"/>
  <c r="AE26" i="108"/>
  <c r="AD26" i="108"/>
  <c r="AB26" i="108"/>
  <c r="Z26" i="108"/>
  <c r="Y26" i="108"/>
  <c r="W26" i="108"/>
  <c r="V26" i="108"/>
  <c r="T26" i="108"/>
  <c r="AC25" i="108"/>
  <c r="AA25" i="108"/>
  <c r="Z25" i="108"/>
  <c r="X25" i="108"/>
  <c r="W25" i="108"/>
  <c r="U25" i="108"/>
  <c r="S25" i="108"/>
  <c r="AF24" i="108"/>
  <c r="AE24" i="108"/>
  <c r="AD24" i="108"/>
  <c r="AC24" i="108"/>
  <c r="AB24" i="108"/>
  <c r="Y24" i="108"/>
  <c r="W24" i="108"/>
  <c r="V24" i="108"/>
  <c r="U24" i="108"/>
  <c r="T24" i="108"/>
  <c r="AC23" i="108"/>
  <c r="AA23" i="108"/>
  <c r="Z23" i="108"/>
  <c r="X23" i="108"/>
  <c r="U23" i="108"/>
  <c r="S23" i="108"/>
  <c r="AF22" i="108"/>
  <c r="AE22" i="108"/>
  <c r="AD22" i="108"/>
  <c r="AB22" i="108"/>
  <c r="Y22" i="108"/>
  <c r="X22" i="108"/>
  <c r="W22" i="108"/>
  <c r="V22" i="108"/>
  <c r="T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X20" i="108"/>
  <c r="W20" i="108"/>
  <c r="V20" i="108"/>
  <c r="U20" i="108"/>
  <c r="U36" i="108" s="1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9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AA35" i="108" s="1"/>
  <c r="Z15" i="108"/>
  <c r="Y15" i="108"/>
  <c r="X15" i="108"/>
  <c r="W15" i="108"/>
  <c r="V15" i="108"/>
  <c r="U15" i="108"/>
  <c r="T15" i="108"/>
  <c r="S15" i="108"/>
  <c r="S35" i="108" s="1"/>
  <c r="AF14" i="108"/>
  <c r="AE14" i="108"/>
  <c r="AD14" i="108"/>
  <c r="AC14" i="108"/>
  <c r="AB14" i="108"/>
  <c r="AA14" i="108"/>
  <c r="Z14" i="108"/>
  <c r="Y14" i="108"/>
  <c r="Y38" i="108" s="1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C40" i="108" s="1"/>
  <c r="AB12" i="108"/>
  <c r="AA12" i="108"/>
  <c r="Z12" i="108"/>
  <c r="Y12" i="108"/>
  <c r="X12" i="108"/>
  <c r="W12" i="108"/>
  <c r="V12" i="108"/>
  <c r="U12" i="108"/>
  <c r="U40" i="108" s="1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40" i="108" s="1"/>
  <c r="X10" i="108"/>
  <c r="X34" i="108" s="1"/>
  <c r="W10" i="108"/>
  <c r="W34" i="108" s="1"/>
  <c r="V10" i="108"/>
  <c r="U10" i="108"/>
  <c r="T10" i="108"/>
  <c r="T40" i="108" s="1"/>
  <c r="S10" i="108"/>
  <c r="S40" i="108" s="1"/>
  <c r="M106" i="108"/>
  <c r="E106" i="108"/>
  <c r="D58" i="111"/>
  <c r="E58" i="111"/>
  <c r="F58" i="111"/>
  <c r="G58" i="111"/>
  <c r="H58" i="111"/>
  <c r="I58" i="111"/>
  <c r="J58" i="111"/>
  <c r="L58" i="111"/>
  <c r="M58" i="111"/>
  <c r="N58" i="111"/>
  <c r="D59" i="111"/>
  <c r="E59" i="111"/>
  <c r="F59" i="111"/>
  <c r="G59" i="111"/>
  <c r="I59" i="111"/>
  <c r="J59" i="111"/>
  <c r="K59" i="111"/>
  <c r="L59" i="111"/>
  <c r="M59" i="111"/>
  <c r="N59" i="111"/>
  <c r="D60" i="11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K61" i="111"/>
  <c r="L61" i="111"/>
  <c r="M61" i="111"/>
  <c r="N61" i="111"/>
  <c r="D62" i="111"/>
  <c r="E62" i="111"/>
  <c r="F62" i="111"/>
  <c r="H62" i="111"/>
  <c r="I62" i="111"/>
  <c r="J62" i="111"/>
  <c r="K62" i="111"/>
  <c r="L62" i="111"/>
  <c r="M62" i="11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N64" i="111"/>
  <c r="D65" i="111"/>
  <c r="E65" i="111"/>
  <c r="G65" i="111"/>
  <c r="H65" i="111"/>
  <c r="I65" i="111"/>
  <c r="J65" i="111"/>
  <c r="K65" i="111"/>
  <c r="L65" i="111"/>
  <c r="M65" i="111"/>
  <c r="D66" i="111"/>
  <c r="E66" i="111"/>
  <c r="F66" i="111"/>
  <c r="G66" i="111"/>
  <c r="H66" i="111"/>
  <c r="I66" i="111"/>
  <c r="J66" i="111"/>
  <c r="L66" i="111"/>
  <c r="M66" i="111"/>
  <c r="N66" i="111"/>
  <c r="AD24" i="111" s="1"/>
  <c r="D67" i="111"/>
  <c r="E67" i="111"/>
  <c r="F67" i="111"/>
  <c r="G67" i="111"/>
  <c r="I67" i="111"/>
  <c r="J67" i="111"/>
  <c r="K67" i="111"/>
  <c r="L67" i="111"/>
  <c r="M67" i="111"/>
  <c r="N67" i="111"/>
  <c r="D68" i="111"/>
  <c r="F68" i="111"/>
  <c r="G68" i="111"/>
  <c r="H68" i="111"/>
  <c r="I68" i="111"/>
  <c r="J68" i="111"/>
  <c r="K68" i="111"/>
  <c r="L68" i="111"/>
  <c r="N68" i="111"/>
  <c r="D69" i="111"/>
  <c r="E69" i="111"/>
  <c r="F69" i="11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L70" i="111"/>
  <c r="M70" i="111"/>
  <c r="N70" i="111"/>
  <c r="E71" i="111"/>
  <c r="F71" i="111"/>
  <c r="G71" i="111"/>
  <c r="H71" i="111"/>
  <c r="I71" i="111"/>
  <c r="J71" i="11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I73" i="111"/>
  <c r="J73" i="111"/>
  <c r="K73" i="111"/>
  <c r="L73" i="111"/>
  <c r="M73" i="111"/>
  <c r="D74" i="111"/>
  <c r="E74" i="111"/>
  <c r="F74" i="111"/>
  <c r="G74" i="111"/>
  <c r="H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J76" i="111"/>
  <c r="K76" i="111"/>
  <c r="L76" i="111"/>
  <c r="N76" i="111"/>
  <c r="D77" i="111"/>
  <c r="E77" i="111"/>
  <c r="F77" i="111"/>
  <c r="G77" i="111"/>
  <c r="H77" i="111"/>
  <c r="I77" i="111"/>
  <c r="K77" i="111"/>
  <c r="L77" i="111"/>
  <c r="M77" i="111"/>
  <c r="N77" i="111"/>
  <c r="D78" i="111"/>
  <c r="E78" i="111"/>
  <c r="F78" i="111"/>
  <c r="H78" i="111"/>
  <c r="X27" i="111" s="1"/>
  <c r="I78" i="111"/>
  <c r="J78" i="111"/>
  <c r="Z27" i="111" s="1"/>
  <c r="K78" i="111"/>
  <c r="L78" i="111"/>
  <c r="M78" i="111"/>
  <c r="N78" i="111"/>
  <c r="E79" i="111"/>
  <c r="F79" i="111"/>
  <c r="G79" i="111"/>
  <c r="H79" i="111"/>
  <c r="I79" i="111"/>
  <c r="J79" i="111"/>
  <c r="K79" i="111"/>
  <c r="M79" i="111"/>
  <c r="N79" i="111"/>
  <c r="D80" i="111"/>
  <c r="E80" i="111"/>
  <c r="F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G82" i="111"/>
  <c r="H82" i="111"/>
  <c r="I82" i="111"/>
  <c r="J82" i="111"/>
  <c r="L82" i="111"/>
  <c r="M82" i="111"/>
  <c r="N82" i="111"/>
  <c r="D83" i="111"/>
  <c r="E83" i="111"/>
  <c r="F83" i="111"/>
  <c r="G83" i="111"/>
  <c r="I83" i="111"/>
  <c r="J83" i="111"/>
  <c r="K83" i="111"/>
  <c r="L83" i="111"/>
  <c r="M83" i="111"/>
  <c r="N83" i="111"/>
  <c r="D84" i="111"/>
  <c r="F84" i="111"/>
  <c r="G84" i="111"/>
  <c r="H84" i="111"/>
  <c r="I84" i="111"/>
  <c r="J84" i="111"/>
  <c r="K84" i="111"/>
  <c r="L84" i="111"/>
  <c r="N84" i="111"/>
  <c r="D85" i="111"/>
  <c r="E85" i="111"/>
  <c r="F85" i="111"/>
  <c r="G85" i="111"/>
  <c r="H85" i="111"/>
  <c r="I85" i="111"/>
  <c r="K85" i="111"/>
  <c r="L85" i="111"/>
  <c r="M85" i="111"/>
  <c r="N85" i="111"/>
  <c r="D86" i="111"/>
  <c r="E86" i="111"/>
  <c r="F86" i="111"/>
  <c r="H86" i="111"/>
  <c r="I86" i="111"/>
  <c r="J86" i="111"/>
  <c r="Z29" i="111" s="1"/>
  <c r="K86" i="111"/>
  <c r="L86" i="111"/>
  <c r="M86" i="111"/>
  <c r="AC29" i="111" s="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G89" i="111"/>
  <c r="H89" i="111"/>
  <c r="I89" i="111"/>
  <c r="J89" i="111"/>
  <c r="K89" i="111"/>
  <c r="L89" i="111"/>
  <c r="M89" i="111"/>
  <c r="D90" i="111"/>
  <c r="E90" i="111"/>
  <c r="F90" i="111"/>
  <c r="V30" i="111" s="1"/>
  <c r="G90" i="111"/>
  <c r="W30" i="111" s="1"/>
  <c r="H90" i="111"/>
  <c r="I90" i="11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H92" i="111"/>
  <c r="I92" i="111"/>
  <c r="J92" i="111"/>
  <c r="K92" i="111"/>
  <c r="L92" i="111"/>
  <c r="N92" i="111"/>
  <c r="D93" i="111"/>
  <c r="E93" i="111"/>
  <c r="F93" i="111"/>
  <c r="G93" i="111"/>
  <c r="H93" i="111"/>
  <c r="I93" i="111"/>
  <c r="K93" i="111"/>
  <c r="L93" i="111"/>
  <c r="M93" i="111"/>
  <c r="N93" i="111"/>
  <c r="D94" i="111"/>
  <c r="E94" i="111"/>
  <c r="F94" i="111"/>
  <c r="H94" i="111"/>
  <c r="I94" i="111"/>
  <c r="J94" i="111"/>
  <c r="K94" i="111"/>
  <c r="L94" i="111"/>
  <c r="M94" i="111"/>
  <c r="N94" i="111"/>
  <c r="E95" i="111"/>
  <c r="F95" i="111"/>
  <c r="G95" i="111"/>
  <c r="H95" i="111"/>
  <c r="I95" i="111"/>
  <c r="J95" i="111"/>
  <c r="K95" i="111"/>
  <c r="M95" i="111"/>
  <c r="N95" i="111"/>
  <c r="D96" i="111"/>
  <c r="E96" i="111"/>
  <c r="F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D98" i="111"/>
  <c r="E98" i="111"/>
  <c r="F98" i="111"/>
  <c r="G98" i="111"/>
  <c r="H98" i="111"/>
  <c r="I98" i="111"/>
  <c r="J98" i="111"/>
  <c r="L98" i="111"/>
  <c r="M98" i="111"/>
  <c r="N98" i="111"/>
  <c r="D99" i="111"/>
  <c r="E99" i="111"/>
  <c r="F99" i="111"/>
  <c r="G99" i="111"/>
  <c r="I99" i="111"/>
  <c r="J99" i="111"/>
  <c r="K99" i="111"/>
  <c r="L99" i="111"/>
  <c r="M99" i="111"/>
  <c r="N99" i="11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K101" i="111"/>
  <c r="L101" i="111"/>
  <c r="M101" i="111"/>
  <c r="N101" i="111"/>
  <c r="D102" i="111"/>
  <c r="E102" i="111"/>
  <c r="F102" i="111"/>
  <c r="H102" i="111"/>
  <c r="I102" i="111"/>
  <c r="J102" i="111"/>
  <c r="K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F104" i="111"/>
  <c r="G104" i="111"/>
  <c r="H104" i="111"/>
  <c r="J104" i="111"/>
  <c r="K104" i="11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5" i="111"/>
  <c r="C67" i="111"/>
  <c r="C68" i="111"/>
  <c r="C69" i="111"/>
  <c r="C70" i="111"/>
  <c r="C71" i="111"/>
  <c r="C73" i="111"/>
  <c r="C75" i="111"/>
  <c r="C76" i="111"/>
  <c r="C77" i="111"/>
  <c r="C78" i="111"/>
  <c r="C79" i="111"/>
  <c r="C81" i="111"/>
  <c r="C83" i="111"/>
  <c r="C84" i="111"/>
  <c r="C85" i="111"/>
  <c r="C86" i="111"/>
  <c r="C87" i="111"/>
  <c r="C89" i="111"/>
  <c r="C91" i="111"/>
  <c r="C92" i="111"/>
  <c r="C93" i="111"/>
  <c r="C94" i="111"/>
  <c r="C95" i="111"/>
  <c r="C97" i="111"/>
  <c r="C99" i="111"/>
  <c r="C100" i="111"/>
  <c r="C101" i="111"/>
  <c r="C102" i="111"/>
  <c r="C103" i="111"/>
  <c r="C105" i="111"/>
  <c r="C58" i="111"/>
  <c r="P106" i="108" l="1"/>
  <c r="O106" i="108"/>
  <c r="AD32" i="111"/>
  <c r="AD30" i="111"/>
  <c r="Z28" i="111"/>
  <c r="W26" i="111"/>
  <c r="T24" i="111"/>
  <c r="AA23" i="111"/>
  <c r="W22" i="111"/>
  <c r="F106" i="108"/>
  <c r="N106" i="108"/>
  <c r="Z32" i="108"/>
  <c r="T33" i="108"/>
  <c r="AB33" i="108"/>
  <c r="V33" i="111"/>
  <c r="U31" i="111"/>
  <c r="T30" i="111"/>
  <c r="AA29" i="111"/>
  <c r="Y28" i="111"/>
  <c r="V26" i="111"/>
  <c r="AC25" i="111"/>
  <c r="Z23" i="111"/>
  <c r="G106" i="108"/>
  <c r="Z22" i="108"/>
  <c r="Z41" i="108" s="1"/>
  <c r="Z42" i="108" s="1"/>
  <c r="T23" i="108"/>
  <c r="AB23" i="108"/>
  <c r="AB41" i="108" s="1"/>
  <c r="AB42" i="108" s="1"/>
  <c r="AA32" i="108"/>
  <c r="O91" i="111"/>
  <c r="AB30" i="111"/>
  <c r="AD26" i="111"/>
  <c r="AA22" i="108"/>
  <c r="V33" i="108"/>
  <c r="AD33" i="108"/>
  <c r="AD41" i="108" s="1"/>
  <c r="O78" i="111"/>
  <c r="I104" i="111"/>
  <c r="Y33" i="111" s="1"/>
  <c r="G102" i="111"/>
  <c r="W33" i="111" s="1"/>
  <c r="M100" i="111"/>
  <c r="E100" i="111"/>
  <c r="O100" i="111" s="1"/>
  <c r="H99" i="111"/>
  <c r="W28" i="111"/>
  <c r="U27" i="111"/>
  <c r="T26" i="111"/>
  <c r="AA25" i="111"/>
  <c r="X23" i="111"/>
  <c r="V22" i="111"/>
  <c r="I106" i="108"/>
  <c r="AD33" i="111"/>
  <c r="V28" i="111"/>
  <c r="Z25" i="111"/>
  <c r="AD22" i="111"/>
  <c r="Y32" i="111"/>
  <c r="AD28" i="111"/>
  <c r="Y25" i="111"/>
  <c r="U41" i="108"/>
  <c r="U42" i="108" s="1"/>
  <c r="AC41" i="108"/>
  <c r="AC42" i="108" s="1"/>
  <c r="O85" i="111"/>
  <c r="AA27" i="111"/>
  <c r="V24" i="111"/>
  <c r="V41" i="108"/>
  <c r="S22" i="108"/>
  <c r="AE23" i="107"/>
  <c r="I96" i="111"/>
  <c r="Y31" i="107"/>
  <c r="L95" i="111"/>
  <c r="AB31" i="111" s="1"/>
  <c r="AB31" i="107"/>
  <c r="D95" i="111"/>
  <c r="T31" i="111" s="1"/>
  <c r="T31" i="107"/>
  <c r="G94" i="111"/>
  <c r="W31" i="111" s="1"/>
  <c r="W31" i="107"/>
  <c r="J93" i="111"/>
  <c r="P93" i="111" s="1"/>
  <c r="Z30" i="107"/>
  <c r="M92" i="111"/>
  <c r="AC30" i="107"/>
  <c r="E92" i="111"/>
  <c r="O92" i="111" s="1"/>
  <c r="U30" i="107"/>
  <c r="K90" i="111"/>
  <c r="AA30" i="111" s="1"/>
  <c r="AA30" i="107"/>
  <c r="N89" i="111"/>
  <c r="AD29" i="111" s="1"/>
  <c r="AD29" i="107"/>
  <c r="F89" i="111"/>
  <c r="F106" i="111" s="1"/>
  <c r="V29" i="107"/>
  <c r="AB29" i="107"/>
  <c r="L87" i="111"/>
  <c r="T29" i="107"/>
  <c r="D87" i="111"/>
  <c r="T29" i="111" s="1"/>
  <c r="G86" i="111"/>
  <c r="W29" i="111" s="1"/>
  <c r="W29" i="107"/>
  <c r="M84" i="111"/>
  <c r="AC28" i="111" s="1"/>
  <c r="AC28" i="107"/>
  <c r="E84" i="111"/>
  <c r="U28" i="111" s="1"/>
  <c r="U28" i="107"/>
  <c r="H83" i="111"/>
  <c r="O83" i="111" s="1"/>
  <c r="X28" i="107"/>
  <c r="K82" i="111"/>
  <c r="AA28" i="111" s="1"/>
  <c r="AA28" i="107"/>
  <c r="AD27" i="107"/>
  <c r="N81" i="111"/>
  <c r="V27" i="107"/>
  <c r="F81" i="111"/>
  <c r="I80" i="111"/>
  <c r="Y27" i="111" s="1"/>
  <c r="Y27" i="107"/>
  <c r="L79" i="111"/>
  <c r="AB27" i="111" s="1"/>
  <c r="AB27" i="107"/>
  <c r="D79" i="111"/>
  <c r="T27" i="111" s="1"/>
  <c r="T27" i="107"/>
  <c r="J77" i="111"/>
  <c r="O77" i="111" s="1"/>
  <c r="Z26" i="107"/>
  <c r="M76" i="111"/>
  <c r="AC26" i="107"/>
  <c r="E76" i="111"/>
  <c r="U26" i="111" s="1"/>
  <c r="U26" i="107"/>
  <c r="H75" i="111"/>
  <c r="O75" i="111" s="1"/>
  <c r="X26" i="107"/>
  <c r="AA26" i="107"/>
  <c r="K74" i="111"/>
  <c r="AA26" i="111" s="1"/>
  <c r="N73" i="111"/>
  <c r="AD25" i="107"/>
  <c r="AD41" i="107" s="1"/>
  <c r="F73" i="111"/>
  <c r="V25" i="111" s="1"/>
  <c r="V25" i="107"/>
  <c r="L71" i="111"/>
  <c r="AB25" i="111" s="1"/>
  <c r="AB41" i="111" s="1"/>
  <c r="AB42" i="111" s="1"/>
  <c r="AB25" i="107"/>
  <c r="D71" i="111"/>
  <c r="T25" i="111" s="1"/>
  <c r="T25" i="107"/>
  <c r="G70" i="111"/>
  <c r="W25" i="111" s="1"/>
  <c r="W25" i="107"/>
  <c r="W41" i="107" s="1"/>
  <c r="W42" i="107" s="1"/>
  <c r="J69" i="111"/>
  <c r="O69" i="111" s="1"/>
  <c r="Z24" i="107"/>
  <c r="AC24" i="107"/>
  <c r="M68" i="111"/>
  <c r="U24" i="107"/>
  <c r="E68" i="111"/>
  <c r="H67" i="111"/>
  <c r="X24" i="107"/>
  <c r="X41" i="107" s="1"/>
  <c r="K66" i="111"/>
  <c r="AA24" i="111" s="1"/>
  <c r="AA24" i="107"/>
  <c r="N65" i="111"/>
  <c r="P65" i="111" s="1"/>
  <c r="AD23" i="107"/>
  <c r="N106" i="107"/>
  <c r="F65" i="111"/>
  <c r="V23" i="107"/>
  <c r="V41" i="107" s="1"/>
  <c r="F106" i="107"/>
  <c r="I64" i="111"/>
  <c r="Y23" i="107"/>
  <c r="I106" i="107"/>
  <c r="L63" i="111"/>
  <c r="AB23" i="111" s="1"/>
  <c r="AB23" i="107"/>
  <c r="AB41" i="107" s="1"/>
  <c r="AB42" i="107" s="1"/>
  <c r="D63" i="111"/>
  <c r="T23" i="111" s="1"/>
  <c r="T23" i="107"/>
  <c r="G62" i="111"/>
  <c r="W23" i="111" s="1"/>
  <c r="W23" i="107"/>
  <c r="G106" i="107"/>
  <c r="J61" i="111"/>
  <c r="O61" i="111" s="1"/>
  <c r="J106" i="107"/>
  <c r="Z22" i="107"/>
  <c r="M60" i="111"/>
  <c r="AC22" i="107"/>
  <c r="AC41" i="107" s="1"/>
  <c r="AC42" i="107" s="1"/>
  <c r="M106" i="107"/>
  <c r="E60" i="111"/>
  <c r="O60" i="111" s="1"/>
  <c r="U22" i="107"/>
  <c r="E106" i="107"/>
  <c r="H59" i="111"/>
  <c r="H106" i="107"/>
  <c r="K106" i="107"/>
  <c r="K58" i="111"/>
  <c r="P58" i="111" s="1"/>
  <c r="AA22" i="107"/>
  <c r="AA41" i="107" s="1"/>
  <c r="AA42" i="107" s="1"/>
  <c r="I88" i="111"/>
  <c r="Y29" i="111" s="1"/>
  <c r="Y29" i="107"/>
  <c r="O99" i="111"/>
  <c r="Z32" i="111"/>
  <c r="AA31" i="111"/>
  <c r="Y30" i="111"/>
  <c r="X29" i="111"/>
  <c r="AC27" i="111"/>
  <c r="AB26" i="111"/>
  <c r="V23" i="111"/>
  <c r="Z28" i="107"/>
  <c r="O76" i="111"/>
  <c r="U33" i="111"/>
  <c r="X30" i="111"/>
  <c r="Z26" i="111"/>
  <c r="W24" i="111"/>
  <c r="U23" i="111"/>
  <c r="AC22" i="111"/>
  <c r="AD27" i="111"/>
  <c r="P97" i="111"/>
  <c r="AC33" i="111"/>
  <c r="Z31" i="111"/>
  <c r="O95" i="111"/>
  <c r="AB33" i="111"/>
  <c r="T33" i="111"/>
  <c r="X32" i="111"/>
  <c r="Y31" i="111"/>
  <c r="U29" i="111"/>
  <c r="T28" i="111"/>
  <c r="Y26" i="111"/>
  <c r="X25" i="111"/>
  <c r="AC23" i="111"/>
  <c r="P105" i="111"/>
  <c r="AA33" i="111"/>
  <c r="W32" i="111"/>
  <c r="X31" i="111"/>
  <c r="AB28" i="111"/>
  <c r="U24" i="111"/>
  <c r="Z30" i="111"/>
  <c r="O103" i="111"/>
  <c r="O93" i="111"/>
  <c r="Z33" i="111"/>
  <c r="V32" i="111"/>
  <c r="V31" i="111"/>
  <c r="AB29" i="111"/>
  <c r="U25" i="111"/>
  <c r="AC24" i="111"/>
  <c r="Y22" i="111"/>
  <c r="D106" i="107"/>
  <c r="AB24" i="111"/>
  <c r="L106" i="107"/>
  <c r="W27" i="107"/>
  <c r="O68" i="111"/>
  <c r="O102" i="111"/>
  <c r="P81" i="111"/>
  <c r="AC32" i="111"/>
  <c r="U32" i="111"/>
  <c r="AD31" i="111"/>
  <c r="AC30" i="111"/>
  <c r="O101" i="111"/>
  <c r="O79" i="111"/>
  <c r="O59" i="111"/>
  <c r="X33" i="111"/>
  <c r="AB32" i="111"/>
  <c r="T32" i="111"/>
  <c r="AC31" i="111"/>
  <c r="X28" i="111"/>
  <c r="V27" i="111"/>
  <c r="Y23" i="111"/>
  <c r="P86" i="111"/>
  <c r="X22" i="111"/>
  <c r="P78" i="111"/>
  <c r="T22" i="111"/>
  <c r="AB22" i="111"/>
  <c r="U41" i="107"/>
  <c r="E106" i="111"/>
  <c r="P98" i="111"/>
  <c r="S32" i="111"/>
  <c r="O98" i="111"/>
  <c r="S30" i="111"/>
  <c r="S28" i="111"/>
  <c r="O82" i="111"/>
  <c r="P74" i="111"/>
  <c r="S26" i="111"/>
  <c r="O74" i="111"/>
  <c r="P66" i="111"/>
  <c r="S24" i="111"/>
  <c r="C104" i="111"/>
  <c r="C96" i="111"/>
  <c r="S31" i="111" s="1"/>
  <c r="C88" i="111"/>
  <c r="S29" i="111" s="1"/>
  <c r="C80" i="111"/>
  <c r="C72" i="111"/>
  <c r="C64" i="111"/>
  <c r="P103" i="111"/>
  <c r="P63" i="111"/>
  <c r="C106" i="107"/>
  <c r="S33" i="111"/>
  <c r="S26" i="107"/>
  <c r="S30" i="107"/>
  <c r="O105" i="111"/>
  <c r="O97" i="111"/>
  <c r="O81" i="111"/>
  <c r="O65" i="111"/>
  <c r="P101" i="111"/>
  <c r="P85" i="111"/>
  <c r="O63" i="111"/>
  <c r="P100" i="111"/>
  <c r="P84" i="111"/>
  <c r="P68" i="111"/>
  <c r="O70" i="111"/>
  <c r="P99" i="111"/>
  <c r="P91" i="111"/>
  <c r="P75" i="111"/>
  <c r="P67" i="111"/>
  <c r="P59" i="111"/>
  <c r="S24" i="107"/>
  <c r="S41" i="107" s="1"/>
  <c r="S42" i="107" s="1"/>
  <c r="S28" i="107"/>
  <c r="S32" i="107"/>
  <c r="S22" i="111"/>
  <c r="U42" i="107"/>
  <c r="Y34" i="107"/>
  <c r="S35" i="107"/>
  <c r="AA35" i="107"/>
  <c r="U36" i="107"/>
  <c r="AC36" i="107"/>
  <c r="W37" i="107"/>
  <c r="AE37" i="107"/>
  <c r="Y38" i="107"/>
  <c r="S39" i="107"/>
  <c r="AA39" i="107"/>
  <c r="AE41" i="107"/>
  <c r="AE42" i="107" s="1"/>
  <c r="Z34" i="107"/>
  <c r="T35" i="107"/>
  <c r="AB35" i="107"/>
  <c r="V36" i="107"/>
  <c r="AD36" i="107"/>
  <c r="X37" i="107"/>
  <c r="AF37" i="107"/>
  <c r="Z38" i="107"/>
  <c r="T39" i="107"/>
  <c r="AB39" i="107"/>
  <c r="V40" i="107"/>
  <c r="AD40" i="107"/>
  <c r="AF41" i="107"/>
  <c r="AA34" i="107"/>
  <c r="T34" i="107"/>
  <c r="AB34" i="107"/>
  <c r="V35" i="107"/>
  <c r="AD35" i="107"/>
  <c r="X36" i="107"/>
  <c r="AF36" i="107"/>
  <c r="Z37" i="107"/>
  <c r="X40" i="107"/>
  <c r="AF40" i="107"/>
  <c r="Z41" i="107"/>
  <c r="Z42" i="107" s="1"/>
  <c r="S34" i="107"/>
  <c r="U34" i="107"/>
  <c r="AC34" i="107"/>
  <c r="W35" i="107"/>
  <c r="AE35" i="107"/>
  <c r="Y36" i="107"/>
  <c r="S37" i="107"/>
  <c r="AA37" i="107"/>
  <c r="Y40" i="107"/>
  <c r="Y41" i="107"/>
  <c r="Y42" i="107" s="1"/>
  <c r="V34" i="107"/>
  <c r="AD34" i="107"/>
  <c r="X35" i="107"/>
  <c r="AF35" i="107"/>
  <c r="Z36" i="107"/>
  <c r="T37" i="107"/>
  <c r="AB37" i="107"/>
  <c r="T41" i="107"/>
  <c r="T42" i="107" s="1"/>
  <c r="U37" i="107"/>
  <c r="AC37" i="107"/>
  <c r="V37" i="107"/>
  <c r="AD37" i="107"/>
  <c r="Y34" i="111"/>
  <c r="Z34" i="111"/>
  <c r="T35" i="111"/>
  <c r="AB35" i="111"/>
  <c r="V36" i="111"/>
  <c r="AD36" i="111"/>
  <c r="X37" i="111"/>
  <c r="AF37" i="111"/>
  <c r="Z38" i="111"/>
  <c r="T39" i="111"/>
  <c r="AB39" i="111"/>
  <c r="V40" i="111"/>
  <c r="AD40" i="111"/>
  <c r="S34" i="111"/>
  <c r="AA34" i="111"/>
  <c r="U35" i="111"/>
  <c r="AC35" i="111"/>
  <c r="W36" i="111"/>
  <c r="AE36" i="111"/>
  <c r="Y37" i="111"/>
  <c r="W40" i="111"/>
  <c r="AE40" i="111"/>
  <c r="T34" i="111"/>
  <c r="AB34" i="111"/>
  <c r="V35" i="111"/>
  <c r="AD35" i="111"/>
  <c r="X36" i="111"/>
  <c r="AF36" i="111"/>
  <c r="Z37" i="111"/>
  <c r="X40" i="111"/>
  <c r="AF40" i="111"/>
  <c r="S39" i="111"/>
  <c r="U34" i="111"/>
  <c r="AC34" i="111"/>
  <c r="W35" i="111"/>
  <c r="AE35" i="111"/>
  <c r="Y36" i="111"/>
  <c r="S37" i="111"/>
  <c r="AA37" i="111"/>
  <c r="V34" i="111"/>
  <c r="AD34" i="111"/>
  <c r="X35" i="111"/>
  <c r="AF35" i="111"/>
  <c r="Z36" i="111"/>
  <c r="T37" i="111"/>
  <c r="AB37" i="111"/>
  <c r="AA36" i="111"/>
  <c r="U37" i="111"/>
  <c r="AC37" i="111"/>
  <c r="V37" i="111"/>
  <c r="AD37" i="111"/>
  <c r="Y34" i="108"/>
  <c r="Z34" i="108"/>
  <c r="T35" i="108"/>
  <c r="AB35" i="108"/>
  <c r="V36" i="108"/>
  <c r="AD36" i="108"/>
  <c r="X37" i="108"/>
  <c r="AF37" i="108"/>
  <c r="Z38" i="108"/>
  <c r="T39" i="108"/>
  <c r="AB39" i="108"/>
  <c r="V40" i="108"/>
  <c r="V42" i="108" s="1"/>
  <c r="AD40" i="108"/>
  <c r="X41" i="108"/>
  <c r="X42" i="108" s="1"/>
  <c r="AF41" i="108"/>
  <c r="AE41" i="108"/>
  <c r="S34" i="108"/>
  <c r="AA34" i="108"/>
  <c r="U35" i="108"/>
  <c r="AC35" i="108"/>
  <c r="W36" i="108"/>
  <c r="AE36" i="108"/>
  <c r="Y37" i="108"/>
  <c r="W40" i="108"/>
  <c r="AE40" i="108"/>
  <c r="Y41" i="108"/>
  <c r="Y42" i="108" s="1"/>
  <c r="W41" i="108"/>
  <c r="W42" i="108" s="1"/>
  <c r="T34" i="108"/>
  <c r="AB34" i="108"/>
  <c r="V35" i="108"/>
  <c r="AD35" i="108"/>
  <c r="X36" i="108"/>
  <c r="AF36" i="108"/>
  <c r="Z37" i="108"/>
  <c r="X40" i="108"/>
  <c r="AF40" i="108"/>
  <c r="U34" i="108"/>
  <c r="AC34" i="108"/>
  <c r="W35" i="108"/>
  <c r="AE35" i="108"/>
  <c r="Y36" i="108"/>
  <c r="S37" i="108"/>
  <c r="AA37" i="108"/>
  <c r="S41" i="108"/>
  <c r="S42" i="108" s="1"/>
  <c r="AA41" i="108"/>
  <c r="AA42" i="108" s="1"/>
  <c r="V34" i="108"/>
  <c r="AD34" i="108"/>
  <c r="X35" i="108"/>
  <c r="AF35" i="108"/>
  <c r="Z36" i="108"/>
  <c r="T37" i="108"/>
  <c r="AB37" i="108"/>
  <c r="T41" i="108"/>
  <c r="T42" i="108" s="1"/>
  <c r="S39" i="108"/>
  <c r="AA36" i="108"/>
  <c r="U37" i="108"/>
  <c r="AC37" i="108"/>
  <c r="V37" i="108"/>
  <c r="AD37" i="108"/>
  <c r="D5" i="109"/>
  <c r="P83" i="111" l="1"/>
  <c r="O89" i="111"/>
  <c r="P71" i="111"/>
  <c r="P82" i="111"/>
  <c r="G106" i="111"/>
  <c r="J106" i="111"/>
  <c r="O84" i="111"/>
  <c r="V29" i="111"/>
  <c r="V41" i="111" s="1"/>
  <c r="V42" i="111" s="1"/>
  <c r="P89" i="111"/>
  <c r="W41" i="111"/>
  <c r="W42" i="111" s="1"/>
  <c r="Z22" i="111"/>
  <c r="P61" i="111"/>
  <c r="P79" i="111"/>
  <c r="Y41" i="111"/>
  <c r="Y42" i="111" s="1"/>
  <c r="AD23" i="111"/>
  <c r="H106" i="111"/>
  <c r="P73" i="111"/>
  <c r="P76" i="111"/>
  <c r="P69" i="111"/>
  <c r="O66" i="111"/>
  <c r="O90" i="111"/>
  <c r="AE30" i="111" s="1"/>
  <c r="T41" i="111"/>
  <c r="T42" i="111" s="1"/>
  <c r="Z24" i="111"/>
  <c r="L106" i="111"/>
  <c r="U22" i="111"/>
  <c r="X26" i="111"/>
  <c r="X41" i="111" s="1"/>
  <c r="X42" i="111" s="1"/>
  <c r="AE26" i="111"/>
  <c r="AD42" i="108"/>
  <c r="P60" i="111"/>
  <c r="AF22" i="111" s="1"/>
  <c r="P70" i="111"/>
  <c r="O71" i="111"/>
  <c r="AE25" i="111" s="1"/>
  <c r="P102" i="111"/>
  <c r="AF33" i="111" s="1"/>
  <c r="O86" i="111"/>
  <c r="X24" i="111"/>
  <c r="O67" i="111"/>
  <c r="AE32" i="111"/>
  <c r="AE28" i="111"/>
  <c r="AE24" i="111"/>
  <c r="P87" i="111"/>
  <c r="D106" i="111"/>
  <c r="P92" i="111"/>
  <c r="P95" i="111"/>
  <c r="M106" i="111"/>
  <c r="I106" i="111"/>
  <c r="U30" i="111"/>
  <c r="V42" i="107"/>
  <c r="O87" i="111"/>
  <c r="AD42" i="107"/>
  <c r="P62" i="111"/>
  <c r="O94" i="111"/>
  <c r="O73" i="111"/>
  <c r="AC26" i="111"/>
  <c r="AC41" i="111" s="1"/>
  <c r="AC42" i="111" s="1"/>
  <c r="O62" i="111"/>
  <c r="AA22" i="111"/>
  <c r="AA41" i="111" s="1"/>
  <c r="AA42" i="111" s="1"/>
  <c r="K106" i="111"/>
  <c r="AD25" i="111"/>
  <c r="AD41" i="111" s="1"/>
  <c r="AD42" i="111" s="1"/>
  <c r="O58" i="111"/>
  <c r="AE22" i="111" s="1"/>
  <c r="P77" i="111"/>
  <c r="P90" i="111"/>
  <c r="N106" i="111"/>
  <c r="P94" i="111"/>
  <c r="O72" i="111"/>
  <c r="P72" i="111"/>
  <c r="AF25" i="111" s="1"/>
  <c r="AF24" i="111"/>
  <c r="O64" i="111"/>
  <c r="P64" i="111"/>
  <c r="O80" i="111"/>
  <c r="AE27" i="111" s="1"/>
  <c r="P80" i="111"/>
  <c r="S25" i="111"/>
  <c r="O88" i="111"/>
  <c r="P88" i="111"/>
  <c r="AF29" i="111" s="1"/>
  <c r="O96" i="111"/>
  <c r="P96" i="111"/>
  <c r="P104" i="111"/>
  <c r="O104" i="111"/>
  <c r="AE33" i="111" s="1"/>
  <c r="S23" i="111"/>
  <c r="AF32" i="111"/>
  <c r="C106" i="111"/>
  <c r="S27" i="111"/>
  <c r="AF28" i="111"/>
  <c r="AF42" i="107"/>
  <c r="X42" i="107"/>
  <c r="AE42" i="108"/>
  <c r="AF42" i="108"/>
  <c r="N106" i="109"/>
  <c r="M106" i="109"/>
  <c r="L106" i="109"/>
  <c r="K106" i="109"/>
  <c r="J106" i="109"/>
  <c r="I106" i="109"/>
  <c r="H106" i="109"/>
  <c r="G106" i="109"/>
  <c r="F106" i="109"/>
  <c r="E106" i="109"/>
  <c r="D106" i="109"/>
  <c r="C106" i="109"/>
  <c r="P105" i="109"/>
  <c r="O105" i="109"/>
  <c r="P104" i="109"/>
  <c r="O104" i="109"/>
  <c r="P103" i="109"/>
  <c r="O103" i="109"/>
  <c r="P102" i="109"/>
  <c r="O102" i="109"/>
  <c r="P101" i="109"/>
  <c r="O101" i="109"/>
  <c r="P100" i="109"/>
  <c r="O100" i="109"/>
  <c r="P99" i="109"/>
  <c r="O99" i="109"/>
  <c r="P98" i="109"/>
  <c r="O98" i="109"/>
  <c r="P97" i="109"/>
  <c r="O97" i="109"/>
  <c r="P96" i="109"/>
  <c r="O96" i="109"/>
  <c r="P95" i="109"/>
  <c r="O95" i="109"/>
  <c r="P94" i="109"/>
  <c r="O94" i="109"/>
  <c r="P93" i="109"/>
  <c r="O93" i="109"/>
  <c r="P92" i="109"/>
  <c r="O92" i="109"/>
  <c r="P91" i="109"/>
  <c r="O91" i="109"/>
  <c r="P90" i="109"/>
  <c r="AF30" i="109" s="1"/>
  <c r="O90" i="109"/>
  <c r="P89" i="109"/>
  <c r="O89" i="109"/>
  <c r="P88" i="109"/>
  <c r="O88" i="109"/>
  <c r="P87" i="109"/>
  <c r="O87" i="109"/>
  <c r="P86" i="109"/>
  <c r="AF29" i="109" s="1"/>
  <c r="O86" i="109"/>
  <c r="P85" i="109"/>
  <c r="O85" i="109"/>
  <c r="P84" i="109"/>
  <c r="O84" i="109"/>
  <c r="P83" i="109"/>
  <c r="O83" i="109"/>
  <c r="P82" i="109"/>
  <c r="AF28" i="109" s="1"/>
  <c r="O82" i="109"/>
  <c r="P81" i="109"/>
  <c r="O81" i="109"/>
  <c r="P80" i="109"/>
  <c r="O80" i="109"/>
  <c r="P79" i="109"/>
  <c r="O79" i="109"/>
  <c r="P78" i="109"/>
  <c r="AF27" i="109" s="1"/>
  <c r="O78" i="109"/>
  <c r="P77" i="109"/>
  <c r="O77" i="109"/>
  <c r="P76" i="109"/>
  <c r="O76" i="109"/>
  <c r="P75" i="109"/>
  <c r="O75" i="109"/>
  <c r="P74" i="109"/>
  <c r="AF26" i="109" s="1"/>
  <c r="O74" i="109"/>
  <c r="P73" i="109"/>
  <c r="O73" i="109"/>
  <c r="P72" i="109"/>
  <c r="O72" i="109"/>
  <c r="P71" i="109"/>
  <c r="O71" i="109"/>
  <c r="P70" i="109"/>
  <c r="AF25" i="109" s="1"/>
  <c r="O70" i="109"/>
  <c r="P69" i="109"/>
  <c r="O69" i="109"/>
  <c r="P68" i="109"/>
  <c r="O68" i="109"/>
  <c r="P67" i="109"/>
  <c r="O67" i="109"/>
  <c r="P66" i="109"/>
  <c r="AF24" i="109" s="1"/>
  <c r="O66" i="109"/>
  <c r="P65" i="109"/>
  <c r="O65" i="109"/>
  <c r="P64" i="109"/>
  <c r="O64" i="109"/>
  <c r="P63" i="109"/>
  <c r="O63" i="109"/>
  <c r="P62" i="109"/>
  <c r="AF23" i="109" s="1"/>
  <c r="O62" i="109"/>
  <c r="P61" i="109"/>
  <c r="O61" i="109"/>
  <c r="P60" i="109"/>
  <c r="O60" i="109"/>
  <c r="P59" i="109"/>
  <c r="O59" i="109"/>
  <c r="P58" i="109"/>
  <c r="AF22" i="109" s="1"/>
  <c r="O58" i="109"/>
  <c r="P57" i="109"/>
  <c r="O57" i="109"/>
  <c r="P56" i="109"/>
  <c r="O56" i="109"/>
  <c r="P55" i="109"/>
  <c r="O55" i="109"/>
  <c r="P54" i="109"/>
  <c r="AF21" i="109" s="1"/>
  <c r="O54" i="109"/>
  <c r="P53" i="109"/>
  <c r="O53" i="109"/>
  <c r="P52" i="109"/>
  <c r="O52" i="109"/>
  <c r="P51" i="109"/>
  <c r="O51" i="109"/>
  <c r="P50" i="109"/>
  <c r="AF20" i="109" s="1"/>
  <c r="O50" i="109"/>
  <c r="P49" i="109"/>
  <c r="O49" i="109"/>
  <c r="P48" i="109"/>
  <c r="O48" i="109"/>
  <c r="P47" i="109"/>
  <c r="O47" i="109"/>
  <c r="P46" i="109"/>
  <c r="AF19" i="109" s="1"/>
  <c r="AF36" i="109" s="1"/>
  <c r="O46" i="109"/>
  <c r="P45" i="109"/>
  <c r="O45" i="109"/>
  <c r="P44" i="109"/>
  <c r="O44" i="109"/>
  <c r="P43" i="109"/>
  <c r="O43" i="109"/>
  <c r="P42" i="109"/>
  <c r="AF18" i="109" s="1"/>
  <c r="O42" i="109"/>
  <c r="P41" i="109"/>
  <c r="O41" i="109"/>
  <c r="P40" i="109"/>
  <c r="O40" i="109"/>
  <c r="P39" i="109"/>
  <c r="O39" i="109"/>
  <c r="P38" i="109"/>
  <c r="AF17" i="109" s="1"/>
  <c r="O38" i="109"/>
  <c r="P37" i="109"/>
  <c r="O37" i="109"/>
  <c r="P36" i="109"/>
  <c r="O36" i="109"/>
  <c r="P35" i="109"/>
  <c r="O35" i="109"/>
  <c r="P34" i="109"/>
  <c r="AF16" i="109" s="1"/>
  <c r="O34" i="109"/>
  <c r="AD33" i="109"/>
  <c r="AC33" i="109"/>
  <c r="AB33" i="109"/>
  <c r="AA33" i="109"/>
  <c r="Z33" i="109"/>
  <c r="Y33" i="109"/>
  <c r="X33" i="109"/>
  <c r="W33" i="109"/>
  <c r="V33" i="109"/>
  <c r="U33" i="109"/>
  <c r="T33" i="109"/>
  <c r="S33" i="109"/>
  <c r="P33" i="109"/>
  <c r="O33" i="109"/>
  <c r="AD32" i="109"/>
  <c r="AC32" i="109"/>
  <c r="AB32" i="109"/>
  <c r="AA32" i="109"/>
  <c r="Z32" i="109"/>
  <c r="Y32" i="109"/>
  <c r="X32" i="109"/>
  <c r="W32" i="109"/>
  <c r="V32" i="109"/>
  <c r="U32" i="109"/>
  <c r="T32" i="109"/>
  <c r="S32" i="109"/>
  <c r="P32" i="109"/>
  <c r="O32" i="109"/>
  <c r="AD31" i="109"/>
  <c r="AC31" i="109"/>
  <c r="AB31" i="109"/>
  <c r="AA31" i="109"/>
  <c r="Z31" i="109"/>
  <c r="Y31" i="109"/>
  <c r="X31" i="109"/>
  <c r="W31" i="109"/>
  <c r="V31" i="109"/>
  <c r="U31" i="109"/>
  <c r="T31" i="109"/>
  <c r="S31" i="109"/>
  <c r="P31" i="109"/>
  <c r="O31" i="109"/>
  <c r="AD30" i="109"/>
  <c r="AC30" i="109"/>
  <c r="AB30" i="109"/>
  <c r="AA30" i="109"/>
  <c r="Z30" i="109"/>
  <c r="Y30" i="109"/>
  <c r="X30" i="109"/>
  <c r="W30" i="109"/>
  <c r="V30" i="109"/>
  <c r="U30" i="109"/>
  <c r="T30" i="109"/>
  <c r="S30" i="109"/>
  <c r="P30" i="109"/>
  <c r="AF15" i="109" s="1"/>
  <c r="O30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P29" i="109"/>
  <c r="O29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P28" i="109"/>
  <c r="O28" i="109"/>
  <c r="AD27" i="109"/>
  <c r="AC27" i="109"/>
  <c r="AB27" i="109"/>
  <c r="AA27" i="109"/>
  <c r="Z27" i="109"/>
  <c r="Y27" i="109"/>
  <c r="X27" i="109"/>
  <c r="W27" i="109"/>
  <c r="V27" i="109"/>
  <c r="U27" i="109"/>
  <c r="T27" i="109"/>
  <c r="S27" i="109"/>
  <c r="P27" i="109"/>
  <c r="O27" i="109"/>
  <c r="AD26" i="109"/>
  <c r="AC26" i="109"/>
  <c r="AB26" i="109"/>
  <c r="AA26" i="109"/>
  <c r="Z26" i="109"/>
  <c r="Y26" i="109"/>
  <c r="X26" i="109"/>
  <c r="W26" i="109"/>
  <c r="V26" i="109"/>
  <c r="U26" i="109"/>
  <c r="T26" i="109"/>
  <c r="S26" i="109"/>
  <c r="P26" i="109"/>
  <c r="AF14" i="109" s="1"/>
  <c r="O26" i="109"/>
  <c r="AD25" i="109"/>
  <c r="AC25" i="109"/>
  <c r="AB25" i="109"/>
  <c r="AA25" i="109"/>
  <c r="Z25" i="109"/>
  <c r="Y25" i="109"/>
  <c r="X25" i="109"/>
  <c r="W25" i="109"/>
  <c r="V25" i="109"/>
  <c r="U25" i="109"/>
  <c r="T25" i="109"/>
  <c r="S25" i="109"/>
  <c r="P25" i="109"/>
  <c r="O25" i="109"/>
  <c r="AD24" i="109"/>
  <c r="AC24" i="109"/>
  <c r="AB24" i="109"/>
  <c r="AA24" i="109"/>
  <c r="Z24" i="109"/>
  <c r="Y24" i="109"/>
  <c r="X24" i="109"/>
  <c r="W24" i="109"/>
  <c r="V24" i="109"/>
  <c r="U24" i="109"/>
  <c r="T24" i="109"/>
  <c r="S24" i="109"/>
  <c r="P24" i="109"/>
  <c r="O24" i="109"/>
  <c r="AD23" i="109"/>
  <c r="AC23" i="109"/>
  <c r="AB23" i="109"/>
  <c r="AA23" i="109"/>
  <c r="Z23" i="109"/>
  <c r="Y23" i="109"/>
  <c r="X23" i="109"/>
  <c r="W23" i="109"/>
  <c r="V23" i="109"/>
  <c r="U23" i="109"/>
  <c r="T23" i="109"/>
  <c r="S23" i="109"/>
  <c r="P23" i="109"/>
  <c r="O23" i="109"/>
  <c r="AD22" i="109"/>
  <c r="AC22" i="109"/>
  <c r="AB22" i="109"/>
  <c r="AA22" i="109"/>
  <c r="Z22" i="109"/>
  <c r="Y22" i="109"/>
  <c r="X22" i="109"/>
  <c r="W22" i="109"/>
  <c r="V22" i="109"/>
  <c r="U22" i="109"/>
  <c r="T22" i="109"/>
  <c r="S22" i="109"/>
  <c r="P22" i="109"/>
  <c r="AF13" i="109" s="1"/>
  <c r="AF38" i="109" s="1"/>
  <c r="O22" i="109"/>
  <c r="AD21" i="109"/>
  <c r="AC21" i="109"/>
  <c r="AB21" i="109"/>
  <c r="AA21" i="109"/>
  <c r="Z21" i="109"/>
  <c r="Y21" i="109"/>
  <c r="X21" i="109"/>
  <c r="W21" i="109"/>
  <c r="V21" i="109"/>
  <c r="U21" i="109"/>
  <c r="T21" i="109"/>
  <c r="S21" i="109"/>
  <c r="P21" i="109"/>
  <c r="O21" i="109"/>
  <c r="AD20" i="109"/>
  <c r="AC20" i="109"/>
  <c r="AB20" i="109"/>
  <c r="AA20" i="109"/>
  <c r="Z20" i="109"/>
  <c r="Y20" i="109"/>
  <c r="X20" i="109"/>
  <c r="W20" i="109"/>
  <c r="V20" i="109"/>
  <c r="U20" i="109"/>
  <c r="T20" i="109"/>
  <c r="S20" i="109"/>
  <c r="P20" i="109"/>
  <c r="O20" i="109"/>
  <c r="AD19" i="109"/>
  <c r="AC19" i="109"/>
  <c r="AB19" i="109"/>
  <c r="AB36" i="109" s="1"/>
  <c r="AA19" i="109"/>
  <c r="Z19" i="109"/>
  <c r="Z39" i="109" s="1"/>
  <c r="Y19" i="109"/>
  <c r="X19" i="109"/>
  <c r="W19" i="109"/>
  <c r="W39" i="109" s="1"/>
  <c r="V19" i="109"/>
  <c r="U19" i="109"/>
  <c r="T19" i="109"/>
  <c r="T36" i="109" s="1"/>
  <c r="S19" i="109"/>
  <c r="P19" i="109"/>
  <c r="O19" i="109"/>
  <c r="AD18" i="109"/>
  <c r="AC18" i="109"/>
  <c r="AB18" i="109"/>
  <c r="AA18" i="109"/>
  <c r="Z18" i="109"/>
  <c r="Y18" i="109"/>
  <c r="X18" i="109"/>
  <c r="W18" i="109"/>
  <c r="V18" i="109"/>
  <c r="U18" i="109"/>
  <c r="T18" i="109"/>
  <c r="S18" i="109"/>
  <c r="P18" i="109"/>
  <c r="AF12" i="109" s="1"/>
  <c r="O18" i="109"/>
  <c r="AD17" i="109"/>
  <c r="AC17" i="109"/>
  <c r="AB17" i="109"/>
  <c r="AA17" i="109"/>
  <c r="Z17" i="109"/>
  <c r="Y17" i="109"/>
  <c r="X17" i="109"/>
  <c r="W17" i="109"/>
  <c r="V17" i="109"/>
  <c r="U17" i="109"/>
  <c r="T17" i="109"/>
  <c r="S17" i="109"/>
  <c r="P17" i="109"/>
  <c r="O17" i="109"/>
  <c r="AD16" i="109"/>
  <c r="AC16" i="109"/>
  <c r="AB16" i="109"/>
  <c r="AA16" i="109"/>
  <c r="Z16" i="109"/>
  <c r="Y16" i="109"/>
  <c r="X16" i="109"/>
  <c r="W16" i="109"/>
  <c r="V16" i="109"/>
  <c r="U16" i="109"/>
  <c r="T16" i="109"/>
  <c r="S16" i="109"/>
  <c r="P16" i="109"/>
  <c r="O16" i="109"/>
  <c r="AD15" i="109"/>
  <c r="AC15" i="109"/>
  <c r="AB15" i="109"/>
  <c r="AA15" i="109"/>
  <c r="Z15" i="109"/>
  <c r="Y15" i="109"/>
  <c r="X15" i="109"/>
  <c r="W15" i="109"/>
  <c r="V15" i="109"/>
  <c r="U15" i="109"/>
  <c r="T15" i="109"/>
  <c r="S15" i="109"/>
  <c r="P15" i="109"/>
  <c r="O15" i="109"/>
  <c r="AD14" i="109"/>
  <c r="AC14" i="109"/>
  <c r="AB14" i="109"/>
  <c r="AA14" i="109"/>
  <c r="Z14" i="109"/>
  <c r="Y14" i="109"/>
  <c r="X14" i="109"/>
  <c r="W14" i="109"/>
  <c r="V14" i="109"/>
  <c r="U14" i="109"/>
  <c r="T14" i="109"/>
  <c r="S14" i="109"/>
  <c r="P14" i="109"/>
  <c r="AF11" i="109" s="1"/>
  <c r="O14" i="109"/>
  <c r="AD13" i="109"/>
  <c r="AC13" i="109"/>
  <c r="AB13" i="109"/>
  <c r="AA13" i="109"/>
  <c r="AA38" i="109" s="1"/>
  <c r="Z13" i="109"/>
  <c r="Y13" i="109"/>
  <c r="X13" i="109"/>
  <c r="X38" i="109" s="1"/>
  <c r="W13" i="109"/>
  <c r="V13" i="109"/>
  <c r="U13" i="109"/>
  <c r="T13" i="109"/>
  <c r="S13" i="109"/>
  <c r="S38" i="109" s="1"/>
  <c r="P13" i="109"/>
  <c r="O13" i="109"/>
  <c r="AD12" i="109"/>
  <c r="AC12" i="109"/>
  <c r="AB12" i="109"/>
  <c r="AA12" i="109"/>
  <c r="Z12" i="109"/>
  <c r="Y12" i="109"/>
  <c r="X12" i="109"/>
  <c r="W12" i="109"/>
  <c r="V12" i="109"/>
  <c r="U12" i="109"/>
  <c r="T12" i="109"/>
  <c r="S12" i="109"/>
  <c r="P12" i="109"/>
  <c r="O12" i="109"/>
  <c r="AD11" i="109"/>
  <c r="AC11" i="109"/>
  <c r="AB11" i="109"/>
  <c r="AA11" i="109"/>
  <c r="Z11" i="109"/>
  <c r="Y11" i="109"/>
  <c r="X11" i="109"/>
  <c r="W11" i="109"/>
  <c r="V11" i="109"/>
  <c r="U11" i="109"/>
  <c r="T11" i="109"/>
  <c r="S11" i="109"/>
  <c r="P11" i="109"/>
  <c r="O11" i="109"/>
  <c r="AD10" i="109"/>
  <c r="AC10" i="109"/>
  <c r="AB10" i="109"/>
  <c r="AA10" i="109"/>
  <c r="Z10" i="109"/>
  <c r="Y10" i="109"/>
  <c r="X10" i="109"/>
  <c r="W10" i="109"/>
  <c r="V10" i="109"/>
  <c r="U10" i="109"/>
  <c r="T10" i="109"/>
  <c r="S10" i="109"/>
  <c r="P10" i="109"/>
  <c r="O10" i="109"/>
  <c r="K6" i="109"/>
  <c r="G6" i="109"/>
  <c r="D6" i="109"/>
  <c r="K5" i="109"/>
  <c r="G5" i="109"/>
  <c r="C3" i="109"/>
  <c r="N106" i="101"/>
  <c r="M106" i="101"/>
  <c r="L106" i="101"/>
  <c r="K106" i="101"/>
  <c r="J106" i="101"/>
  <c r="I106" i="101"/>
  <c r="H106" i="101"/>
  <c r="G106" i="101"/>
  <c r="F106" i="101"/>
  <c r="E106" i="101"/>
  <c r="D106" i="101"/>
  <c r="C106" i="101"/>
  <c r="P105" i="101"/>
  <c r="O105" i="101"/>
  <c r="P104" i="101"/>
  <c r="O104" i="101"/>
  <c r="P103" i="101"/>
  <c r="O103" i="101"/>
  <c r="P102" i="101"/>
  <c r="O102" i="101"/>
  <c r="P101" i="101"/>
  <c r="O101" i="101"/>
  <c r="P100" i="101"/>
  <c r="O100" i="101"/>
  <c r="P99" i="101"/>
  <c r="O99" i="101"/>
  <c r="P98" i="101"/>
  <c r="O98" i="101"/>
  <c r="P97" i="101"/>
  <c r="O97" i="101"/>
  <c r="P96" i="101"/>
  <c r="O96" i="101"/>
  <c r="P95" i="101"/>
  <c r="O95" i="101"/>
  <c r="P94" i="101"/>
  <c r="O94" i="101"/>
  <c r="P93" i="101"/>
  <c r="O93" i="101"/>
  <c r="P92" i="101"/>
  <c r="O92" i="101"/>
  <c r="P91" i="101"/>
  <c r="O91" i="101"/>
  <c r="P90" i="101"/>
  <c r="O90" i="101"/>
  <c r="P89" i="101"/>
  <c r="O89" i="101"/>
  <c r="P88" i="101"/>
  <c r="O88" i="101"/>
  <c r="P87" i="101"/>
  <c r="O87" i="101"/>
  <c r="P86" i="101"/>
  <c r="O86" i="101"/>
  <c r="P85" i="101"/>
  <c r="O85" i="101"/>
  <c r="P84" i="101"/>
  <c r="O84" i="101"/>
  <c r="P83" i="101"/>
  <c r="O83" i="101"/>
  <c r="P82" i="101"/>
  <c r="O82" i="101"/>
  <c r="P81" i="101"/>
  <c r="O81" i="101"/>
  <c r="P80" i="101"/>
  <c r="O80" i="101"/>
  <c r="P79" i="101"/>
  <c r="O79" i="101"/>
  <c r="P78" i="101"/>
  <c r="O78" i="101"/>
  <c r="P77" i="101"/>
  <c r="O77" i="101"/>
  <c r="P76" i="101"/>
  <c r="O76" i="101"/>
  <c r="P75" i="101"/>
  <c r="O75" i="101"/>
  <c r="P74" i="101"/>
  <c r="O74" i="101"/>
  <c r="P73" i="101"/>
  <c r="O73" i="101"/>
  <c r="P72" i="101"/>
  <c r="O72" i="101"/>
  <c r="P71" i="101"/>
  <c r="O71" i="101"/>
  <c r="P70" i="101"/>
  <c r="O70" i="101"/>
  <c r="P69" i="101"/>
  <c r="O69" i="101"/>
  <c r="P68" i="101"/>
  <c r="O68" i="101"/>
  <c r="P67" i="101"/>
  <c r="O67" i="101"/>
  <c r="P66" i="101"/>
  <c r="O66" i="101"/>
  <c r="P65" i="101"/>
  <c r="O65" i="101"/>
  <c r="P64" i="101"/>
  <c r="O64" i="101"/>
  <c r="P63" i="101"/>
  <c r="O63" i="101"/>
  <c r="P62" i="101"/>
  <c r="O62" i="101"/>
  <c r="P61" i="101"/>
  <c r="O61" i="101"/>
  <c r="P60" i="101"/>
  <c r="O60" i="101"/>
  <c r="P59" i="101"/>
  <c r="O59" i="101"/>
  <c r="P58" i="101"/>
  <c r="O58" i="101"/>
  <c r="P57" i="101"/>
  <c r="O57" i="101"/>
  <c r="P56" i="101"/>
  <c r="O56" i="101"/>
  <c r="P55" i="101"/>
  <c r="O55" i="101"/>
  <c r="P54" i="101"/>
  <c r="O54" i="101"/>
  <c r="P53" i="101"/>
  <c r="O53" i="101"/>
  <c r="P52" i="101"/>
  <c r="O52" i="101"/>
  <c r="P51" i="101"/>
  <c r="O51" i="101"/>
  <c r="P50" i="101"/>
  <c r="O50" i="101"/>
  <c r="P49" i="101"/>
  <c r="O49" i="101"/>
  <c r="P48" i="101"/>
  <c r="O48" i="101"/>
  <c r="P47" i="101"/>
  <c r="O47" i="101"/>
  <c r="P46" i="101"/>
  <c r="O46" i="101"/>
  <c r="P45" i="101"/>
  <c r="O45" i="101"/>
  <c r="P44" i="101"/>
  <c r="O44" i="101"/>
  <c r="P43" i="101"/>
  <c r="O43" i="101"/>
  <c r="P42" i="101"/>
  <c r="O42" i="101"/>
  <c r="P41" i="101"/>
  <c r="O41" i="101"/>
  <c r="P40" i="101"/>
  <c r="O40" i="101"/>
  <c r="P39" i="101"/>
  <c r="O39" i="101"/>
  <c r="P38" i="101"/>
  <c r="O38" i="101"/>
  <c r="P37" i="101"/>
  <c r="O37" i="101"/>
  <c r="P36" i="101"/>
  <c r="O36" i="101"/>
  <c r="P35" i="101"/>
  <c r="O35" i="101"/>
  <c r="P34" i="101"/>
  <c r="O34" i="101"/>
  <c r="AF33" i="101"/>
  <c r="AE33" i="101"/>
  <c r="AD33" i="101"/>
  <c r="AC33" i="101"/>
  <c r="AB33" i="101"/>
  <c r="AA33" i="101"/>
  <c r="Z33" i="101"/>
  <c r="Y33" i="101"/>
  <c r="X33" i="101"/>
  <c r="W33" i="101"/>
  <c r="V33" i="101"/>
  <c r="U33" i="101"/>
  <c r="T33" i="101"/>
  <c r="S33" i="101"/>
  <c r="P33" i="101"/>
  <c r="O33" i="101"/>
  <c r="AF32" i="101"/>
  <c r="AE32" i="101"/>
  <c r="AD32" i="101"/>
  <c r="AC32" i="101"/>
  <c r="AB32" i="101"/>
  <c r="AA32" i="101"/>
  <c r="Z32" i="101"/>
  <c r="Y32" i="101"/>
  <c r="X32" i="101"/>
  <c r="W32" i="101"/>
  <c r="V32" i="101"/>
  <c r="U32" i="101"/>
  <c r="T32" i="101"/>
  <c r="S32" i="101"/>
  <c r="P32" i="101"/>
  <c r="O32" i="101"/>
  <c r="AF31" i="101"/>
  <c r="AE31" i="101"/>
  <c r="AD31" i="101"/>
  <c r="AC31" i="101"/>
  <c r="AB31" i="101"/>
  <c r="AA31" i="101"/>
  <c r="Z31" i="101"/>
  <c r="Y31" i="101"/>
  <c r="X31" i="101"/>
  <c r="W31" i="101"/>
  <c r="V31" i="101"/>
  <c r="U31" i="101"/>
  <c r="T31" i="101"/>
  <c r="S31" i="101"/>
  <c r="P31" i="101"/>
  <c r="O31" i="101"/>
  <c r="AF30" i="101"/>
  <c r="AE30" i="101"/>
  <c r="AD30" i="101"/>
  <c r="AC30" i="101"/>
  <c r="AB30" i="101"/>
  <c r="AA30" i="101"/>
  <c r="Z30" i="101"/>
  <c r="Y30" i="101"/>
  <c r="X30" i="101"/>
  <c r="W30" i="101"/>
  <c r="V30" i="101"/>
  <c r="U30" i="101"/>
  <c r="T30" i="101"/>
  <c r="S30" i="101"/>
  <c r="P30" i="101"/>
  <c r="O30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P29" i="101"/>
  <c r="O29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P28" i="101"/>
  <c r="O28" i="101"/>
  <c r="AF27" i="101"/>
  <c r="AE27" i="101"/>
  <c r="AD27" i="101"/>
  <c r="AC27" i="101"/>
  <c r="AB27" i="101"/>
  <c r="AA27" i="101"/>
  <c r="Z27" i="101"/>
  <c r="Y27" i="101"/>
  <c r="X27" i="101"/>
  <c r="W27" i="101"/>
  <c r="V27" i="101"/>
  <c r="U27" i="101"/>
  <c r="T27" i="101"/>
  <c r="S27" i="101"/>
  <c r="P27" i="101"/>
  <c r="O27" i="101"/>
  <c r="AF26" i="101"/>
  <c r="AE26" i="101"/>
  <c r="AD26" i="101"/>
  <c r="AC26" i="101"/>
  <c r="AB26" i="101"/>
  <c r="AA26" i="101"/>
  <c r="Z26" i="101"/>
  <c r="Y26" i="101"/>
  <c r="X26" i="101"/>
  <c r="W26" i="101"/>
  <c r="V26" i="101"/>
  <c r="U26" i="101"/>
  <c r="T26" i="101"/>
  <c r="S26" i="101"/>
  <c r="P26" i="101"/>
  <c r="O26" i="101"/>
  <c r="AF25" i="101"/>
  <c r="AE25" i="101"/>
  <c r="AD25" i="101"/>
  <c r="AC25" i="101"/>
  <c r="AB25" i="101"/>
  <c r="AA25" i="101"/>
  <c r="Z25" i="101"/>
  <c r="Y25" i="101"/>
  <c r="X25" i="101"/>
  <c r="W25" i="101"/>
  <c r="V25" i="101"/>
  <c r="U25" i="101"/>
  <c r="T25" i="101"/>
  <c r="S25" i="101"/>
  <c r="P25" i="101"/>
  <c r="O25" i="101"/>
  <c r="AF24" i="101"/>
  <c r="AE24" i="101"/>
  <c r="AD24" i="101"/>
  <c r="AC24" i="101"/>
  <c r="AB24" i="101"/>
  <c r="AA24" i="101"/>
  <c r="Z24" i="101"/>
  <c r="Y24" i="101"/>
  <c r="X24" i="101"/>
  <c r="W24" i="101"/>
  <c r="V24" i="101"/>
  <c r="U24" i="101"/>
  <c r="T24" i="101"/>
  <c r="S24" i="101"/>
  <c r="P24" i="101"/>
  <c r="O24" i="101"/>
  <c r="AF23" i="101"/>
  <c r="AE23" i="101"/>
  <c r="AD23" i="101"/>
  <c r="AC23" i="101"/>
  <c r="AB23" i="101"/>
  <c r="AA23" i="101"/>
  <c r="Z23" i="101"/>
  <c r="Y23" i="101"/>
  <c r="X23" i="101"/>
  <c r="W23" i="101"/>
  <c r="V23" i="101"/>
  <c r="U23" i="101"/>
  <c r="T23" i="101"/>
  <c r="S23" i="101"/>
  <c r="P23" i="101"/>
  <c r="O23" i="101"/>
  <c r="AF22" i="101"/>
  <c r="AE22" i="101"/>
  <c r="AD22" i="101"/>
  <c r="AC22" i="101"/>
  <c r="AB22" i="101"/>
  <c r="AA22" i="101"/>
  <c r="Z22" i="101"/>
  <c r="Y22" i="101"/>
  <c r="X22" i="101"/>
  <c r="W22" i="101"/>
  <c r="V22" i="101"/>
  <c r="U22" i="101"/>
  <c r="T22" i="101"/>
  <c r="S22" i="101"/>
  <c r="P22" i="101"/>
  <c r="O22" i="101"/>
  <c r="AF21" i="101"/>
  <c r="AE21" i="101"/>
  <c r="AD21" i="101"/>
  <c r="AC21" i="101"/>
  <c r="AB21" i="101"/>
  <c r="AA21" i="101"/>
  <c r="Z21" i="101"/>
  <c r="Y21" i="101"/>
  <c r="X21" i="101"/>
  <c r="W21" i="101"/>
  <c r="V21" i="101"/>
  <c r="U21" i="101"/>
  <c r="T21" i="101"/>
  <c r="S21" i="101"/>
  <c r="P21" i="101"/>
  <c r="O21" i="101"/>
  <c r="AF20" i="101"/>
  <c r="AE20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P20" i="101"/>
  <c r="O20" i="101"/>
  <c r="AF19" i="101"/>
  <c r="AF36" i="101" s="1"/>
  <c r="AE19" i="101"/>
  <c r="AE39" i="101" s="1"/>
  <c r="AD19" i="101"/>
  <c r="AD39" i="101" s="1"/>
  <c r="AC19" i="101"/>
  <c r="AC39" i="101" s="1"/>
  <c r="AB19" i="101"/>
  <c r="AB36" i="101" s="1"/>
  <c r="AA19" i="101"/>
  <c r="AA39" i="101" s="1"/>
  <c r="Z19" i="101"/>
  <c r="Z39" i="101" s="1"/>
  <c r="Y19" i="101"/>
  <c r="Y39" i="101" s="1"/>
  <c r="X19" i="101"/>
  <c r="X36" i="101" s="1"/>
  <c r="W19" i="101"/>
  <c r="W39" i="101" s="1"/>
  <c r="V19" i="101"/>
  <c r="V39" i="101" s="1"/>
  <c r="U19" i="101"/>
  <c r="U39" i="101" s="1"/>
  <c r="T19" i="101"/>
  <c r="T36" i="101" s="1"/>
  <c r="S19" i="101"/>
  <c r="S39" i="101" s="1"/>
  <c r="P19" i="101"/>
  <c r="O19" i="101"/>
  <c r="AF18" i="101"/>
  <c r="AE18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P18" i="101"/>
  <c r="O18" i="101"/>
  <c r="AF17" i="101"/>
  <c r="AE17" i="101"/>
  <c r="AD17" i="101"/>
  <c r="AC17" i="101"/>
  <c r="AB17" i="101"/>
  <c r="AA17" i="101"/>
  <c r="Z17" i="101"/>
  <c r="Y17" i="101"/>
  <c r="X17" i="101"/>
  <c r="W17" i="101"/>
  <c r="V17" i="101"/>
  <c r="U17" i="101"/>
  <c r="T17" i="101"/>
  <c r="S17" i="101"/>
  <c r="P17" i="101"/>
  <c r="O17" i="101"/>
  <c r="AF16" i="101"/>
  <c r="AE16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P16" i="101"/>
  <c r="O16" i="101"/>
  <c r="AF15" i="101"/>
  <c r="AE15" i="101"/>
  <c r="AD15" i="101"/>
  <c r="AC15" i="101"/>
  <c r="AB15" i="101"/>
  <c r="AA15" i="101"/>
  <c r="Z15" i="101"/>
  <c r="Y15" i="101"/>
  <c r="X15" i="101"/>
  <c r="W15" i="101"/>
  <c r="V15" i="101"/>
  <c r="U15" i="101"/>
  <c r="T15" i="101"/>
  <c r="S15" i="101"/>
  <c r="P15" i="101"/>
  <c r="O15" i="101"/>
  <c r="AF14" i="101"/>
  <c r="AE14" i="101"/>
  <c r="AD14" i="101"/>
  <c r="AC14" i="101"/>
  <c r="AB14" i="101"/>
  <c r="AA14" i="101"/>
  <c r="Z14" i="101"/>
  <c r="Y14" i="101"/>
  <c r="X14" i="101"/>
  <c r="W14" i="101"/>
  <c r="V14" i="101"/>
  <c r="U14" i="101"/>
  <c r="T14" i="101"/>
  <c r="S14" i="101"/>
  <c r="P14" i="101"/>
  <c r="AF11" i="101" s="1"/>
  <c r="O14" i="101"/>
  <c r="AF13" i="101"/>
  <c r="AF38" i="101" s="1"/>
  <c r="AE13" i="101"/>
  <c r="AE38" i="101" s="1"/>
  <c r="AD13" i="101"/>
  <c r="AD35" i="101" s="1"/>
  <c r="AC13" i="101"/>
  <c r="AC38" i="101" s="1"/>
  <c r="AB13" i="101"/>
  <c r="AB38" i="101" s="1"/>
  <c r="AA13" i="101"/>
  <c r="AA38" i="101" s="1"/>
  <c r="Z13" i="101"/>
  <c r="Z35" i="101" s="1"/>
  <c r="Y13" i="101"/>
  <c r="Y38" i="101" s="1"/>
  <c r="X13" i="101"/>
  <c r="X38" i="101" s="1"/>
  <c r="W13" i="101"/>
  <c r="W38" i="101" s="1"/>
  <c r="V13" i="101"/>
  <c r="V35" i="101" s="1"/>
  <c r="U13" i="101"/>
  <c r="U38" i="101" s="1"/>
  <c r="T13" i="101"/>
  <c r="T38" i="101" s="1"/>
  <c r="S13" i="101"/>
  <c r="S38" i="101" s="1"/>
  <c r="P13" i="101"/>
  <c r="O13" i="101"/>
  <c r="AF12" i="101"/>
  <c r="AE12" i="101"/>
  <c r="AD12" i="101"/>
  <c r="AC12" i="101"/>
  <c r="AB12" i="101"/>
  <c r="AA12" i="101"/>
  <c r="Z12" i="101"/>
  <c r="Y12" i="101"/>
  <c r="X12" i="101"/>
  <c r="W12" i="101"/>
  <c r="V12" i="101"/>
  <c r="U12" i="101"/>
  <c r="T12" i="101"/>
  <c r="S12" i="101"/>
  <c r="P12" i="101"/>
  <c r="O12" i="101"/>
  <c r="AE11" i="101"/>
  <c r="AD11" i="101"/>
  <c r="AC11" i="101"/>
  <c r="AB11" i="101"/>
  <c r="AA11" i="101"/>
  <c r="Z11" i="101"/>
  <c r="Y11" i="101"/>
  <c r="X11" i="101"/>
  <c r="W11" i="101"/>
  <c r="V11" i="101"/>
  <c r="U11" i="101"/>
  <c r="T11" i="101"/>
  <c r="S11" i="101"/>
  <c r="P11" i="101"/>
  <c r="O11" i="101"/>
  <c r="AD10" i="101"/>
  <c r="AC10" i="101"/>
  <c r="AC41" i="101" s="1"/>
  <c r="AB10" i="101"/>
  <c r="AA10" i="101"/>
  <c r="Z10" i="101"/>
  <c r="Z41" i="101" s="1"/>
  <c r="Y10" i="101"/>
  <c r="X10" i="101"/>
  <c r="W10" i="101"/>
  <c r="V10" i="101"/>
  <c r="U10" i="101"/>
  <c r="U41" i="101" s="1"/>
  <c r="T10" i="101"/>
  <c r="S10" i="101"/>
  <c r="P10" i="101"/>
  <c r="AF10" i="101" s="1"/>
  <c r="O10" i="101"/>
  <c r="K6" i="101"/>
  <c r="G6" i="101"/>
  <c r="D6" i="101"/>
  <c r="G5" i="101"/>
  <c r="C3" i="101"/>
  <c r="U41" i="111" l="1"/>
  <c r="U42" i="111" s="1"/>
  <c r="AF26" i="111"/>
  <c r="AF27" i="111"/>
  <c r="Z41" i="111"/>
  <c r="Z42" i="111" s="1"/>
  <c r="AE29" i="111"/>
  <c r="AF23" i="111"/>
  <c r="AF31" i="111"/>
  <c r="AE23" i="111"/>
  <c r="AE41" i="111" s="1"/>
  <c r="AE42" i="111" s="1"/>
  <c r="AE31" i="111"/>
  <c r="AF30" i="111"/>
  <c r="S41" i="111"/>
  <c r="S42" i="111" s="1"/>
  <c r="O106" i="111"/>
  <c r="P106" i="111"/>
  <c r="V41" i="101"/>
  <c r="AD41" i="101"/>
  <c r="X41" i="101"/>
  <c r="T38" i="109"/>
  <c r="AB38" i="109"/>
  <c r="X36" i="109"/>
  <c r="U38" i="109"/>
  <c r="X40" i="109"/>
  <c r="P106" i="109"/>
  <c r="F107" i="109" s="1"/>
  <c r="Z40" i="109"/>
  <c r="V35" i="109"/>
  <c r="AD35" i="109"/>
  <c r="Y41" i="101"/>
  <c r="W38" i="109"/>
  <c r="AE11" i="109"/>
  <c r="AE12" i="109"/>
  <c r="S39" i="109"/>
  <c r="AA39" i="109"/>
  <c r="AE13" i="109"/>
  <c r="AE14" i="109"/>
  <c r="AE15" i="109"/>
  <c r="AE16" i="109"/>
  <c r="AE35" i="109" s="1"/>
  <c r="AE17" i="109"/>
  <c r="AE18" i="109"/>
  <c r="AE19" i="109"/>
  <c r="AE20" i="109"/>
  <c r="AE36" i="109" s="1"/>
  <c r="AE21" i="109"/>
  <c r="AE22" i="109"/>
  <c r="AE23" i="109"/>
  <c r="AE24" i="109"/>
  <c r="AE25" i="109"/>
  <c r="AE26" i="109"/>
  <c r="AE27" i="109"/>
  <c r="AE28" i="109"/>
  <c r="AE29" i="109"/>
  <c r="AE30" i="109"/>
  <c r="AE31" i="109"/>
  <c r="AE32" i="109"/>
  <c r="AE33" i="109"/>
  <c r="Y39" i="109"/>
  <c r="AF40" i="101"/>
  <c r="T41" i="101"/>
  <c r="AB41" i="101"/>
  <c r="AF31" i="109"/>
  <c r="AF32" i="109"/>
  <c r="AF33" i="109"/>
  <c r="Y38" i="109"/>
  <c r="U39" i="109"/>
  <c r="AC39" i="109"/>
  <c r="AC38" i="109"/>
  <c r="T40" i="109"/>
  <c r="AB40" i="109"/>
  <c r="V40" i="109"/>
  <c r="AD40" i="109"/>
  <c r="Z35" i="109"/>
  <c r="V39" i="109"/>
  <c r="AD39" i="109"/>
  <c r="S41" i="101"/>
  <c r="AA41" i="101"/>
  <c r="T40" i="101"/>
  <c r="X40" i="101"/>
  <c r="AB40" i="101"/>
  <c r="V41" i="109"/>
  <c r="Z41" i="109"/>
  <c r="Z42" i="109" s="1"/>
  <c r="AD41" i="109"/>
  <c r="W41" i="101"/>
  <c r="W42" i="101" s="1"/>
  <c r="O106" i="101"/>
  <c r="P106" i="101"/>
  <c r="F107" i="101" s="1"/>
  <c r="V40" i="101"/>
  <c r="V42" i="101" s="1"/>
  <c r="Z40" i="101"/>
  <c r="Z42" i="101" s="1"/>
  <c r="AD40" i="101"/>
  <c r="AD42" i="101" s="1"/>
  <c r="AF10" i="109"/>
  <c r="AF40" i="109" s="1"/>
  <c r="T41" i="109"/>
  <c r="X41" i="109"/>
  <c r="AB41" i="109"/>
  <c r="W41" i="109"/>
  <c r="U41" i="109"/>
  <c r="AA41" i="109"/>
  <c r="S41" i="109"/>
  <c r="AC41" i="109"/>
  <c r="Y41" i="109"/>
  <c r="O106" i="109"/>
  <c r="E108" i="109" s="1"/>
  <c r="T42" i="109"/>
  <c r="AB42" i="109"/>
  <c r="V34" i="109"/>
  <c r="Z34" i="109"/>
  <c r="AD34" i="109"/>
  <c r="T35" i="109"/>
  <c r="X35" i="109"/>
  <c r="AB35" i="109"/>
  <c r="AF35" i="109"/>
  <c r="V36" i="109"/>
  <c r="Z36" i="109"/>
  <c r="AD36" i="109"/>
  <c r="T37" i="109"/>
  <c r="X37" i="109"/>
  <c r="AB37" i="109"/>
  <c r="V38" i="109"/>
  <c r="Z38" i="109"/>
  <c r="AD38" i="109"/>
  <c r="T39" i="109"/>
  <c r="X39" i="109"/>
  <c r="AB39" i="109"/>
  <c r="AF39" i="109"/>
  <c r="M107" i="109"/>
  <c r="T34" i="109"/>
  <c r="X34" i="109"/>
  <c r="AB34" i="109"/>
  <c r="V37" i="109"/>
  <c r="Z37" i="109"/>
  <c r="AD37" i="109"/>
  <c r="J107" i="109"/>
  <c r="L107" i="109"/>
  <c r="N107" i="109"/>
  <c r="D107" i="109"/>
  <c r="H107" i="109"/>
  <c r="AE10" i="109"/>
  <c r="S34" i="109"/>
  <c r="U34" i="109"/>
  <c r="W34" i="109"/>
  <c r="Y34" i="109"/>
  <c r="AA34" i="109"/>
  <c r="AC34" i="109"/>
  <c r="S35" i="109"/>
  <c r="U35" i="109"/>
  <c r="W35" i="109"/>
  <c r="Y35" i="109"/>
  <c r="AA35" i="109"/>
  <c r="AC35" i="109"/>
  <c r="S36" i="109"/>
  <c r="U36" i="109"/>
  <c r="W36" i="109"/>
  <c r="Y36" i="109"/>
  <c r="AA36" i="109"/>
  <c r="AC36" i="109"/>
  <c r="S37" i="109"/>
  <c r="U37" i="109"/>
  <c r="W37" i="109"/>
  <c r="Y37" i="109"/>
  <c r="AA37" i="109"/>
  <c r="AC37" i="109"/>
  <c r="S40" i="109"/>
  <c r="U40" i="109"/>
  <c r="W40" i="109"/>
  <c r="W42" i="109" s="1"/>
  <c r="Y40" i="109"/>
  <c r="AA40" i="109"/>
  <c r="AC40" i="109"/>
  <c r="C107" i="109"/>
  <c r="E107" i="109"/>
  <c r="G107" i="109"/>
  <c r="I107" i="109"/>
  <c r="K107" i="109"/>
  <c r="T42" i="101"/>
  <c r="X42" i="101"/>
  <c r="AB42" i="101"/>
  <c r="V34" i="101"/>
  <c r="Z34" i="101"/>
  <c r="AD34" i="101"/>
  <c r="T35" i="101"/>
  <c r="X35" i="101"/>
  <c r="AB35" i="101"/>
  <c r="AF35" i="101"/>
  <c r="V36" i="101"/>
  <c r="Z36" i="101"/>
  <c r="AD36" i="101"/>
  <c r="T37" i="101"/>
  <c r="X37" i="101"/>
  <c r="AB37" i="101"/>
  <c r="AF37" i="101"/>
  <c r="V38" i="101"/>
  <c r="Z38" i="101"/>
  <c r="AD38" i="101"/>
  <c r="T39" i="101"/>
  <c r="X39" i="101"/>
  <c r="AB39" i="101"/>
  <c r="AF39" i="101"/>
  <c r="AF41" i="101"/>
  <c r="AF42" i="101" s="1"/>
  <c r="C108" i="101"/>
  <c r="E108" i="101"/>
  <c r="G108" i="101"/>
  <c r="I108" i="101"/>
  <c r="K108" i="101"/>
  <c r="M107" i="101"/>
  <c r="T34" i="101"/>
  <c r="X34" i="101"/>
  <c r="AB34" i="101"/>
  <c r="AF34" i="101"/>
  <c r="V37" i="101"/>
  <c r="Z37" i="101"/>
  <c r="AD37" i="101"/>
  <c r="D108" i="101"/>
  <c r="F108" i="101"/>
  <c r="H108" i="101"/>
  <c r="J108" i="101"/>
  <c r="J107" i="101"/>
  <c r="L108" i="101"/>
  <c r="L107" i="101"/>
  <c r="N108" i="101"/>
  <c r="N107" i="101"/>
  <c r="D107" i="101"/>
  <c r="H107" i="101"/>
  <c r="AE10" i="101"/>
  <c r="S34" i="101"/>
  <c r="U34" i="101"/>
  <c r="W34" i="101"/>
  <c r="Y34" i="101"/>
  <c r="AA34" i="101"/>
  <c r="AC34" i="101"/>
  <c r="S35" i="101"/>
  <c r="U35" i="101"/>
  <c r="W35" i="101"/>
  <c r="Y35" i="101"/>
  <c r="AA35" i="101"/>
  <c r="AC35" i="101"/>
  <c r="AE35" i="101"/>
  <c r="S36" i="101"/>
  <c r="U36" i="101"/>
  <c r="W36" i="101"/>
  <c r="Y36" i="101"/>
  <c r="AA36" i="101"/>
  <c r="AC36" i="101"/>
  <c r="AE36" i="101"/>
  <c r="S37" i="101"/>
  <c r="U37" i="101"/>
  <c r="W37" i="101"/>
  <c r="Y37" i="101"/>
  <c r="AA37" i="101"/>
  <c r="AC37" i="101"/>
  <c r="S40" i="101"/>
  <c r="S42" i="101" s="1"/>
  <c r="U40" i="101"/>
  <c r="U42" i="101" s="1"/>
  <c r="W40" i="101"/>
  <c r="Y40" i="101"/>
  <c r="Y42" i="101" s="1"/>
  <c r="AA40" i="101"/>
  <c r="AC40" i="101"/>
  <c r="AC42" i="101" s="1"/>
  <c r="C107" i="101"/>
  <c r="E107" i="101"/>
  <c r="G107" i="101"/>
  <c r="I107" i="101"/>
  <c r="K107" i="101"/>
  <c r="AF41" i="111" l="1"/>
  <c r="AF42" i="111" s="1"/>
  <c r="AF34" i="109"/>
  <c r="V42" i="109"/>
  <c r="AA42" i="101"/>
  <c r="AE38" i="109"/>
  <c r="AF41" i="109"/>
  <c r="AF42" i="109" s="1"/>
  <c r="AF37" i="109"/>
  <c r="X42" i="109"/>
  <c r="AD42" i="109"/>
  <c r="AE39" i="109"/>
  <c r="S42" i="109"/>
  <c r="AC42" i="109"/>
  <c r="U42" i="109"/>
  <c r="AA42" i="109"/>
  <c r="C108" i="109"/>
  <c r="N108" i="109"/>
  <c r="L108" i="109"/>
  <c r="J108" i="109"/>
  <c r="K108" i="109"/>
  <c r="F108" i="109"/>
  <c r="G108" i="109"/>
  <c r="Y42" i="109"/>
  <c r="H108" i="109"/>
  <c r="D108" i="109"/>
  <c r="I108" i="109"/>
  <c r="AE41" i="109"/>
  <c r="AE40" i="109"/>
  <c r="AE37" i="109"/>
  <c r="AE34" i="109"/>
  <c r="AE41" i="101"/>
  <c r="AE40" i="101"/>
  <c r="AE37" i="101"/>
  <c r="AE34" i="101"/>
  <c r="AE42" i="109" l="1"/>
  <c r="AE42" i="101"/>
  <c r="N58" i="104" l="1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O54" i="104"/>
  <c r="P53" i="104"/>
  <c r="AF20" i="104" s="1"/>
  <c r="O53" i="104"/>
  <c r="P52" i="104"/>
  <c r="O52" i="104"/>
  <c r="P51" i="104"/>
  <c r="O51" i="104"/>
  <c r="P50" i="104"/>
  <c r="O50" i="104"/>
  <c r="P49" i="104"/>
  <c r="AF19" i="104" s="1"/>
  <c r="O49" i="104"/>
  <c r="P48" i="104"/>
  <c r="O48" i="104"/>
  <c r="P47" i="104"/>
  <c r="O47" i="104"/>
  <c r="P46" i="104"/>
  <c r="O46" i="104"/>
  <c r="P45" i="104"/>
  <c r="AF18" i="104" s="1"/>
  <c r="O45" i="104"/>
  <c r="P44" i="104"/>
  <c r="O44" i="104"/>
  <c r="P43" i="104"/>
  <c r="O43" i="104"/>
  <c r="P42" i="104"/>
  <c r="O42" i="104"/>
  <c r="P41" i="104"/>
  <c r="AF17" i="104" s="1"/>
  <c r="O41" i="104"/>
  <c r="P40" i="104"/>
  <c r="O40" i="104"/>
  <c r="P39" i="104"/>
  <c r="O39" i="104"/>
  <c r="P38" i="104"/>
  <c r="O38" i="104"/>
  <c r="P37" i="104"/>
  <c r="O37" i="104"/>
  <c r="P36" i="104"/>
  <c r="O36" i="104"/>
  <c r="P35" i="104"/>
  <c r="O35" i="104"/>
  <c r="P34" i="104"/>
  <c r="O34" i="104"/>
  <c r="P33" i="104"/>
  <c r="AF15" i="104" s="1"/>
  <c r="O33" i="104"/>
  <c r="P32" i="104"/>
  <c r="O32" i="104"/>
  <c r="P31" i="104"/>
  <c r="O31" i="104"/>
  <c r="P30" i="104"/>
  <c r="O30" i="104"/>
  <c r="P29" i="104"/>
  <c r="O29" i="104"/>
  <c r="P28" i="104"/>
  <c r="O28" i="104"/>
  <c r="P27" i="104"/>
  <c r="O27" i="104"/>
  <c r="P26" i="104"/>
  <c r="O26" i="104"/>
  <c r="P25" i="104"/>
  <c r="O25" i="104"/>
  <c r="P24" i="104"/>
  <c r="O24" i="104"/>
  <c r="P23" i="104"/>
  <c r="O23" i="104"/>
  <c r="P22" i="104"/>
  <c r="O22" i="104"/>
  <c r="AF21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D19" i="104"/>
  <c r="AC19" i="104"/>
  <c r="AB19" i="104"/>
  <c r="AA19" i="104"/>
  <c r="Z19" i="104"/>
  <c r="Z27" i="104" s="1"/>
  <c r="Y19" i="104"/>
  <c r="X19" i="104"/>
  <c r="W19" i="104"/>
  <c r="V19" i="104"/>
  <c r="U19" i="104"/>
  <c r="T19" i="104"/>
  <c r="S19" i="104"/>
  <c r="P19" i="104"/>
  <c r="AF12" i="104" s="1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E12" i="104" s="1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F14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F13" i="104"/>
  <c r="AD13" i="104"/>
  <c r="AC13" i="104"/>
  <c r="AB13" i="104"/>
  <c r="AB26" i="104" s="1"/>
  <c r="AA13" i="104"/>
  <c r="Z13" i="104"/>
  <c r="Y13" i="104"/>
  <c r="X13" i="104"/>
  <c r="W13" i="104"/>
  <c r="V13" i="104"/>
  <c r="U13" i="104"/>
  <c r="T13" i="104"/>
  <c r="T26" i="104" s="1"/>
  <c r="S13" i="104"/>
  <c r="P13" i="104"/>
  <c r="O13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B10" i="104"/>
  <c r="AA10" i="104"/>
  <c r="Z10" i="104"/>
  <c r="Y10" i="104"/>
  <c r="Y28" i="104" s="1"/>
  <c r="X10" i="104"/>
  <c r="W10" i="104"/>
  <c r="V10" i="104"/>
  <c r="U10" i="104"/>
  <c r="T10" i="104"/>
  <c r="S10" i="104"/>
  <c r="P10" i="104"/>
  <c r="O10" i="104"/>
  <c r="O58" i="104" s="1"/>
  <c r="K6" i="104"/>
  <c r="G6" i="104"/>
  <c r="D6" i="104"/>
  <c r="G5" i="104"/>
  <c r="D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AE21" i="103" s="1"/>
  <c r="P54" i="103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AE18" i="103" s="1"/>
  <c r="P42" i="103"/>
  <c r="O42" i="103"/>
  <c r="P41" i="103"/>
  <c r="O41" i="103"/>
  <c r="P40" i="103"/>
  <c r="O40" i="103"/>
  <c r="P39" i="103"/>
  <c r="O39" i="103"/>
  <c r="P38" i="103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O26" i="103"/>
  <c r="P25" i="103"/>
  <c r="O25" i="103"/>
  <c r="P24" i="103"/>
  <c r="O24" i="103"/>
  <c r="P23" i="103"/>
  <c r="O23" i="103"/>
  <c r="P22" i="103"/>
  <c r="O22" i="103"/>
  <c r="AF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AF12" i="103" s="1"/>
  <c r="O21" i="103"/>
  <c r="AF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F19" i="103"/>
  <c r="AD19" i="103"/>
  <c r="AC19" i="103"/>
  <c r="AB19" i="103"/>
  <c r="AB24" i="103" s="1"/>
  <c r="AA19" i="103"/>
  <c r="Z19" i="103"/>
  <c r="Y19" i="103"/>
  <c r="X19" i="103"/>
  <c r="W19" i="103"/>
  <c r="V19" i="103"/>
  <c r="U19" i="103"/>
  <c r="T19" i="103"/>
  <c r="T24" i="103" s="1"/>
  <c r="S19" i="103"/>
  <c r="P19" i="103"/>
  <c r="O19" i="103"/>
  <c r="AF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F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F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F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F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F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P13" i="103"/>
  <c r="O13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B10" i="103"/>
  <c r="AA10" i="103"/>
  <c r="AA28" i="103" s="1"/>
  <c r="Z10" i="103"/>
  <c r="Y10" i="103"/>
  <c r="X10" i="103"/>
  <c r="W10" i="103"/>
  <c r="V10" i="103"/>
  <c r="U10" i="103"/>
  <c r="T10" i="103"/>
  <c r="S10" i="103"/>
  <c r="S28" i="103" s="1"/>
  <c r="P10" i="103"/>
  <c r="AF10" i="103" s="1"/>
  <c r="O10" i="103"/>
  <c r="K6" i="103"/>
  <c r="G6" i="103"/>
  <c r="D6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AF33" i="110" s="1"/>
  <c r="O103" i="110"/>
  <c r="P102" i="110"/>
  <c r="O102" i="110"/>
  <c r="P101" i="110"/>
  <c r="O101" i="110"/>
  <c r="P100" i="110"/>
  <c r="O100" i="110"/>
  <c r="P99" i="110"/>
  <c r="AF32" i="110" s="1"/>
  <c r="O99" i="110"/>
  <c r="P98" i="110"/>
  <c r="O98" i="110"/>
  <c r="P97" i="110"/>
  <c r="O97" i="110"/>
  <c r="P96" i="110"/>
  <c r="O96" i="110"/>
  <c r="P95" i="110"/>
  <c r="AF31" i="110" s="1"/>
  <c r="O95" i="110"/>
  <c r="P94" i="110"/>
  <c r="O94" i="110"/>
  <c r="P93" i="110"/>
  <c r="O93" i="110"/>
  <c r="P92" i="110"/>
  <c r="O92" i="110"/>
  <c r="P91" i="110"/>
  <c r="AF30" i="110" s="1"/>
  <c r="O91" i="110"/>
  <c r="P90" i="110"/>
  <c r="O90" i="110"/>
  <c r="P89" i="110"/>
  <c r="O89" i="110"/>
  <c r="P88" i="110"/>
  <c r="O88" i="110"/>
  <c r="P87" i="110"/>
  <c r="AF29" i="110" s="1"/>
  <c r="O87" i="110"/>
  <c r="P86" i="110"/>
  <c r="O86" i="110"/>
  <c r="P85" i="110"/>
  <c r="O85" i="110"/>
  <c r="P84" i="110"/>
  <c r="O84" i="110"/>
  <c r="P83" i="110"/>
  <c r="AF28" i="110" s="1"/>
  <c r="O83" i="110"/>
  <c r="P82" i="110"/>
  <c r="O82" i="110"/>
  <c r="P81" i="110"/>
  <c r="O81" i="110"/>
  <c r="P80" i="110"/>
  <c r="O80" i="110"/>
  <c r="P79" i="110"/>
  <c r="AF27" i="110" s="1"/>
  <c r="O79" i="110"/>
  <c r="P78" i="110"/>
  <c r="O78" i="110"/>
  <c r="P77" i="110"/>
  <c r="O77" i="110"/>
  <c r="P76" i="110"/>
  <c r="O76" i="110"/>
  <c r="P75" i="110"/>
  <c r="AF26" i="110" s="1"/>
  <c r="O75" i="110"/>
  <c r="P74" i="110"/>
  <c r="O74" i="110"/>
  <c r="P73" i="110"/>
  <c r="O73" i="110"/>
  <c r="P72" i="110"/>
  <c r="O72" i="110"/>
  <c r="P71" i="110"/>
  <c r="AF25" i="110" s="1"/>
  <c r="O71" i="110"/>
  <c r="P70" i="110"/>
  <c r="O70" i="110"/>
  <c r="P69" i="110"/>
  <c r="O69" i="110"/>
  <c r="P68" i="110"/>
  <c r="O68" i="110"/>
  <c r="P67" i="110"/>
  <c r="AF24" i="110" s="1"/>
  <c r="O67" i="110"/>
  <c r="P66" i="110"/>
  <c r="O66" i="110"/>
  <c r="P65" i="110"/>
  <c r="O65" i="110"/>
  <c r="P64" i="110"/>
  <c r="O64" i="110"/>
  <c r="P63" i="110"/>
  <c r="AF23" i="110" s="1"/>
  <c r="O63" i="110"/>
  <c r="P62" i="110"/>
  <c r="O62" i="110"/>
  <c r="P61" i="110"/>
  <c r="O61" i="110"/>
  <c r="P60" i="110"/>
  <c r="O60" i="110"/>
  <c r="P59" i="110"/>
  <c r="AF22" i="110" s="1"/>
  <c r="O59" i="110"/>
  <c r="P58" i="110"/>
  <c r="O58" i="110"/>
  <c r="P57" i="110"/>
  <c r="O57" i="110"/>
  <c r="P56" i="110"/>
  <c r="O56" i="110"/>
  <c r="P55" i="110"/>
  <c r="AF21" i="110" s="1"/>
  <c r="O55" i="110"/>
  <c r="P54" i="110"/>
  <c r="O54" i="110"/>
  <c r="P53" i="110"/>
  <c r="O53" i="110"/>
  <c r="P52" i="110"/>
  <c r="O52" i="110"/>
  <c r="P51" i="110"/>
  <c r="AF20" i="110" s="1"/>
  <c r="O51" i="110"/>
  <c r="P50" i="110"/>
  <c r="O50" i="110"/>
  <c r="P49" i="110"/>
  <c r="O49" i="110"/>
  <c r="P48" i="110"/>
  <c r="O48" i="110"/>
  <c r="P47" i="110"/>
  <c r="AF19" i="110" s="1"/>
  <c r="AF36" i="110" s="1"/>
  <c r="O47" i="110"/>
  <c r="P46" i="110"/>
  <c r="O46" i="110"/>
  <c r="P45" i="110"/>
  <c r="O45" i="110"/>
  <c r="P44" i="110"/>
  <c r="O44" i="110"/>
  <c r="P43" i="110"/>
  <c r="AF18" i="110" s="1"/>
  <c r="O43" i="110"/>
  <c r="P42" i="110"/>
  <c r="O42" i="110"/>
  <c r="P41" i="110"/>
  <c r="O41" i="110"/>
  <c r="P40" i="110"/>
  <c r="O40" i="110"/>
  <c r="P39" i="110"/>
  <c r="AF17" i="110" s="1"/>
  <c r="O39" i="110"/>
  <c r="P38" i="110"/>
  <c r="O38" i="110"/>
  <c r="P37" i="110"/>
  <c r="O37" i="110"/>
  <c r="P36" i="110"/>
  <c r="O36" i="110"/>
  <c r="P35" i="110"/>
  <c r="AF16" i="110" s="1"/>
  <c r="O35" i="110"/>
  <c r="P34" i="110"/>
  <c r="O34" i="110"/>
  <c r="AE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E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E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E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E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E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E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E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E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E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E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E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E19" i="110"/>
  <c r="AE39" i="110" s="1"/>
  <c r="AD19" i="110"/>
  <c r="AC19" i="110"/>
  <c r="AC39" i="110" s="1"/>
  <c r="AB19" i="110"/>
  <c r="AB39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E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E12" i="110" s="1"/>
  <c r="AE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E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E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E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E11" i="110" s="1"/>
  <c r="AF13" i="110"/>
  <c r="AE13" i="110"/>
  <c r="AE38" i="110" s="1"/>
  <c r="AD13" i="110"/>
  <c r="AD38" i="110" s="1"/>
  <c r="AC13" i="110"/>
  <c r="AC38" i="110" s="1"/>
  <c r="AB13" i="110"/>
  <c r="AB35" i="110" s="1"/>
  <c r="AA13" i="110"/>
  <c r="AA38" i="110" s="1"/>
  <c r="Z13" i="110"/>
  <c r="Z38" i="110" s="1"/>
  <c r="Y13" i="110"/>
  <c r="Y38" i="110" s="1"/>
  <c r="X13" i="110"/>
  <c r="X38" i="110" s="1"/>
  <c r="W13" i="110"/>
  <c r="W38" i="110" s="1"/>
  <c r="V13" i="110"/>
  <c r="U13" i="110"/>
  <c r="U38" i="110" s="1"/>
  <c r="T13" i="110"/>
  <c r="T38" i="110" s="1"/>
  <c r="S13" i="110"/>
  <c r="S38" i="110" s="1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Y41" i="110" s="1"/>
  <c r="X10" i="110"/>
  <c r="W10" i="110"/>
  <c r="V10" i="110"/>
  <c r="U10" i="110"/>
  <c r="T10" i="110"/>
  <c r="S10" i="110"/>
  <c r="P10" i="110"/>
  <c r="O10" i="110"/>
  <c r="O106" i="110" s="1"/>
  <c r="K6" i="110"/>
  <c r="G6" i="110"/>
  <c r="D6" i="110"/>
  <c r="G5" i="110"/>
  <c r="D5" i="110"/>
  <c r="C3" i="110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AE33" i="105" s="1"/>
  <c r="P103" i="105"/>
  <c r="O103" i="105"/>
  <c r="P102" i="105"/>
  <c r="AF33" i="105" s="1"/>
  <c r="O102" i="105"/>
  <c r="P101" i="105"/>
  <c r="O101" i="105"/>
  <c r="P100" i="105"/>
  <c r="O100" i="105"/>
  <c r="AE32" i="105" s="1"/>
  <c r="P99" i="105"/>
  <c r="O99" i="105"/>
  <c r="P98" i="105"/>
  <c r="AF32" i="105" s="1"/>
  <c r="O98" i="105"/>
  <c r="P97" i="105"/>
  <c r="O97" i="105"/>
  <c r="P96" i="105"/>
  <c r="O96" i="105"/>
  <c r="AE31" i="105" s="1"/>
  <c r="P95" i="105"/>
  <c r="O95" i="105"/>
  <c r="P94" i="105"/>
  <c r="AF31" i="105" s="1"/>
  <c r="O94" i="105"/>
  <c r="P93" i="105"/>
  <c r="O93" i="105"/>
  <c r="P92" i="105"/>
  <c r="O92" i="105"/>
  <c r="AE30" i="105" s="1"/>
  <c r="P91" i="105"/>
  <c r="O91" i="105"/>
  <c r="P90" i="105"/>
  <c r="AF30" i="105" s="1"/>
  <c r="O90" i="105"/>
  <c r="P89" i="105"/>
  <c r="O89" i="105"/>
  <c r="P88" i="105"/>
  <c r="O88" i="105"/>
  <c r="AE29" i="105" s="1"/>
  <c r="P87" i="105"/>
  <c r="O87" i="105"/>
  <c r="P86" i="105"/>
  <c r="AF29" i="105" s="1"/>
  <c r="O86" i="105"/>
  <c r="P85" i="105"/>
  <c r="O85" i="105"/>
  <c r="P84" i="105"/>
  <c r="O84" i="105"/>
  <c r="AE28" i="105" s="1"/>
  <c r="P83" i="105"/>
  <c r="O83" i="105"/>
  <c r="P82" i="105"/>
  <c r="AF28" i="105" s="1"/>
  <c r="O82" i="105"/>
  <c r="P81" i="105"/>
  <c r="O81" i="105"/>
  <c r="P80" i="105"/>
  <c r="O80" i="105"/>
  <c r="AE27" i="105" s="1"/>
  <c r="P79" i="105"/>
  <c r="O79" i="105"/>
  <c r="P78" i="105"/>
  <c r="AF27" i="105" s="1"/>
  <c r="O78" i="105"/>
  <c r="P77" i="105"/>
  <c r="O77" i="105"/>
  <c r="P76" i="105"/>
  <c r="O76" i="105"/>
  <c r="AE26" i="105" s="1"/>
  <c r="P75" i="105"/>
  <c r="O75" i="105"/>
  <c r="P74" i="105"/>
  <c r="AF26" i="105" s="1"/>
  <c r="O74" i="105"/>
  <c r="P73" i="105"/>
  <c r="O73" i="105"/>
  <c r="P72" i="105"/>
  <c r="O72" i="105"/>
  <c r="AE25" i="105" s="1"/>
  <c r="P71" i="105"/>
  <c r="O71" i="105"/>
  <c r="P70" i="105"/>
  <c r="AF25" i="105" s="1"/>
  <c r="O70" i="105"/>
  <c r="P69" i="105"/>
  <c r="O69" i="105"/>
  <c r="P68" i="105"/>
  <c r="O68" i="105"/>
  <c r="AE24" i="105" s="1"/>
  <c r="P67" i="105"/>
  <c r="O67" i="105"/>
  <c r="P66" i="105"/>
  <c r="AF24" i="105" s="1"/>
  <c r="O66" i="105"/>
  <c r="P65" i="105"/>
  <c r="O65" i="105"/>
  <c r="P64" i="105"/>
  <c r="O64" i="105"/>
  <c r="AE23" i="105" s="1"/>
  <c r="P63" i="105"/>
  <c r="O63" i="105"/>
  <c r="P62" i="105"/>
  <c r="AF23" i="105" s="1"/>
  <c r="O62" i="105"/>
  <c r="P61" i="105"/>
  <c r="O61" i="105"/>
  <c r="P60" i="105"/>
  <c r="O60" i="105"/>
  <c r="AE22" i="105" s="1"/>
  <c r="P59" i="105"/>
  <c r="O59" i="105"/>
  <c r="P58" i="105"/>
  <c r="AF22" i="105" s="1"/>
  <c r="O58" i="105"/>
  <c r="P57" i="105"/>
  <c r="O57" i="105"/>
  <c r="P56" i="105"/>
  <c r="O56" i="105"/>
  <c r="AE21" i="105" s="1"/>
  <c r="P55" i="105"/>
  <c r="O55" i="105"/>
  <c r="P54" i="105"/>
  <c r="AF21" i="105" s="1"/>
  <c r="O54" i="105"/>
  <c r="P53" i="105"/>
  <c r="O53" i="105"/>
  <c r="P52" i="105"/>
  <c r="O52" i="105"/>
  <c r="AE20" i="105" s="1"/>
  <c r="P51" i="105"/>
  <c r="O51" i="105"/>
  <c r="P50" i="105"/>
  <c r="AF20" i="105" s="1"/>
  <c r="O50" i="105"/>
  <c r="P49" i="105"/>
  <c r="O49" i="105"/>
  <c r="P48" i="105"/>
  <c r="O48" i="105"/>
  <c r="AE19" i="105" s="1"/>
  <c r="AE39" i="105" s="1"/>
  <c r="P47" i="105"/>
  <c r="O47" i="105"/>
  <c r="P46" i="105"/>
  <c r="AF19" i="105" s="1"/>
  <c r="AF36" i="105" s="1"/>
  <c r="O46" i="105"/>
  <c r="P45" i="105"/>
  <c r="O45" i="105"/>
  <c r="P44" i="105"/>
  <c r="O44" i="105"/>
  <c r="AE18" i="105" s="1"/>
  <c r="P43" i="105"/>
  <c r="O43" i="105"/>
  <c r="P42" i="105"/>
  <c r="AF18" i="105" s="1"/>
  <c r="O42" i="105"/>
  <c r="P41" i="105"/>
  <c r="O41" i="105"/>
  <c r="P40" i="105"/>
  <c r="O40" i="105"/>
  <c r="AE17" i="105" s="1"/>
  <c r="P39" i="105"/>
  <c r="O39" i="105"/>
  <c r="P38" i="105"/>
  <c r="AF17" i="105" s="1"/>
  <c r="O38" i="105"/>
  <c r="P37" i="105"/>
  <c r="O37" i="105"/>
  <c r="P36" i="105"/>
  <c r="O36" i="105"/>
  <c r="AE16" i="105" s="1"/>
  <c r="P35" i="105"/>
  <c r="O35" i="105"/>
  <c r="P34" i="105"/>
  <c r="AF16" i="105" s="1"/>
  <c r="O34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AF15" i="105" s="1"/>
  <c r="O30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AF14" i="105" s="1"/>
  <c r="O26" i="105"/>
  <c r="AE14" i="105" s="1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AF13" i="105" s="1"/>
  <c r="AF38" i="105" s="1"/>
  <c r="O22" i="105"/>
  <c r="AE13" i="105" s="1"/>
  <c r="AE38" i="105" s="1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D39" i="105" s="1"/>
  <c r="AC19" i="105"/>
  <c r="AC39" i="105" s="1"/>
  <c r="AB19" i="105"/>
  <c r="AB39" i="105" s="1"/>
  <c r="AA19" i="105"/>
  <c r="AA39" i="105" s="1"/>
  <c r="Z19" i="105"/>
  <c r="Z39" i="105" s="1"/>
  <c r="Y19" i="105"/>
  <c r="Y39" i="105" s="1"/>
  <c r="X19" i="105"/>
  <c r="X39" i="105" s="1"/>
  <c r="W19" i="105"/>
  <c r="W39" i="105" s="1"/>
  <c r="V19" i="105"/>
  <c r="V39" i="105" s="1"/>
  <c r="U19" i="105"/>
  <c r="U39" i="105" s="1"/>
  <c r="T19" i="105"/>
  <c r="T36" i="105" s="1"/>
  <c r="S19" i="105"/>
  <c r="S39" i="105" s="1"/>
  <c r="P19" i="105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AF12" i="105" s="1"/>
  <c r="O18" i="105"/>
  <c r="AE12" i="105" s="1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E15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AF11" i="105" s="1"/>
  <c r="O14" i="105"/>
  <c r="AE11" i="105" s="1"/>
  <c r="AD13" i="105"/>
  <c r="AD38" i="105" s="1"/>
  <c r="AC13" i="105"/>
  <c r="AC38" i="105" s="1"/>
  <c r="AB13" i="105"/>
  <c r="AB38" i="105" s="1"/>
  <c r="AA13" i="105"/>
  <c r="AA38" i="105" s="1"/>
  <c r="Z13" i="105"/>
  <c r="Z38" i="105" s="1"/>
  <c r="Y13" i="105"/>
  <c r="Y38" i="105" s="1"/>
  <c r="X13" i="105"/>
  <c r="X38" i="105" s="1"/>
  <c r="W13" i="105"/>
  <c r="W38" i="105" s="1"/>
  <c r="V13" i="105"/>
  <c r="V38" i="105" s="1"/>
  <c r="U13" i="105"/>
  <c r="U38" i="105" s="1"/>
  <c r="T13" i="105"/>
  <c r="T35" i="105" s="1"/>
  <c r="S13" i="105"/>
  <c r="S38" i="105" s="1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A10" i="105"/>
  <c r="Z10" i="105"/>
  <c r="Y10" i="105"/>
  <c r="X10" i="105"/>
  <c r="W10" i="105"/>
  <c r="V10" i="105"/>
  <c r="U10" i="105"/>
  <c r="T10" i="105"/>
  <c r="S10" i="105"/>
  <c r="P10" i="105"/>
  <c r="O10" i="105"/>
  <c r="K6" i="105"/>
  <c r="G6" i="105"/>
  <c r="D6" i="105"/>
  <c r="G5" i="105"/>
  <c r="C3" i="105"/>
  <c r="AF10" i="104" l="1"/>
  <c r="AF10" i="110"/>
  <c r="AF40" i="110" s="1"/>
  <c r="Z26" i="103"/>
  <c r="AE15" i="103"/>
  <c r="AE19" i="103"/>
  <c r="AE27" i="103" s="1"/>
  <c r="AF10" i="105"/>
  <c r="AF34" i="105" s="1"/>
  <c r="T34" i="110"/>
  <c r="AB37" i="110"/>
  <c r="AF35" i="110"/>
  <c r="W28" i="103"/>
  <c r="X26" i="104"/>
  <c r="AE11" i="104"/>
  <c r="AF11" i="104"/>
  <c r="AF28" i="104" s="1"/>
  <c r="V27" i="104"/>
  <c r="AD27" i="104"/>
  <c r="AE13" i="104"/>
  <c r="V38" i="110"/>
  <c r="AD39" i="110"/>
  <c r="X27" i="103"/>
  <c r="AE16" i="103"/>
  <c r="AE20" i="103"/>
  <c r="U41" i="110"/>
  <c r="AC41" i="110"/>
  <c r="X40" i="105"/>
  <c r="AE17" i="103"/>
  <c r="T41" i="105"/>
  <c r="AB41" i="105"/>
  <c r="V26" i="103"/>
  <c r="AD26" i="103"/>
  <c r="AF11" i="103"/>
  <c r="AF28" i="103" s="1"/>
  <c r="U28" i="104"/>
  <c r="AC28" i="104"/>
  <c r="AE14" i="104"/>
  <c r="AE26" i="104" s="1"/>
  <c r="O106" i="105"/>
  <c r="U41" i="105"/>
  <c r="Y41" i="105"/>
  <c r="AC41" i="105"/>
  <c r="V41" i="110"/>
  <c r="Z41" i="110"/>
  <c r="AD41" i="110"/>
  <c r="C108" i="110"/>
  <c r="G108" i="110"/>
  <c r="K108" i="110"/>
  <c r="T25" i="103"/>
  <c r="X28" i="103"/>
  <c r="AB25" i="103"/>
  <c r="S26" i="103"/>
  <c r="W26" i="103"/>
  <c r="AA26" i="103"/>
  <c r="AF26" i="103"/>
  <c r="U27" i="103"/>
  <c r="Y27" i="103"/>
  <c r="AC24" i="103"/>
  <c r="V28" i="104"/>
  <c r="Z28" i="104"/>
  <c r="AD28" i="104"/>
  <c r="U26" i="104"/>
  <c r="Y26" i="104"/>
  <c r="AC26" i="104"/>
  <c r="S27" i="104"/>
  <c r="W27" i="104"/>
  <c r="AA27" i="104"/>
  <c r="AF27" i="104"/>
  <c r="P58" i="104"/>
  <c r="V41" i="105"/>
  <c r="Z41" i="105"/>
  <c r="C108" i="105"/>
  <c r="G108" i="105"/>
  <c r="S41" i="110"/>
  <c r="W41" i="110"/>
  <c r="AA41" i="110"/>
  <c r="P106" i="110"/>
  <c r="M107" i="110" s="1"/>
  <c r="D108" i="110"/>
  <c r="H108" i="110"/>
  <c r="L108" i="110"/>
  <c r="O58" i="103"/>
  <c r="K60" i="103" s="1"/>
  <c r="U25" i="103"/>
  <c r="Y28" i="103"/>
  <c r="AC28" i="103"/>
  <c r="T23" i="103"/>
  <c r="X26" i="103"/>
  <c r="AB23" i="103"/>
  <c r="AE11" i="103"/>
  <c r="AE12" i="103"/>
  <c r="V27" i="103"/>
  <c r="Z27" i="103"/>
  <c r="AD27" i="103"/>
  <c r="AE13" i="103"/>
  <c r="AE26" i="103" s="1"/>
  <c r="AE14" i="103"/>
  <c r="S28" i="104"/>
  <c r="W28" i="104"/>
  <c r="AA28" i="104"/>
  <c r="V26" i="104"/>
  <c r="Z26" i="104"/>
  <c r="AD26" i="104"/>
  <c r="T27" i="104"/>
  <c r="X27" i="104"/>
  <c r="AB24" i="104"/>
  <c r="AE15" i="104"/>
  <c r="AE16" i="104"/>
  <c r="AE17" i="104"/>
  <c r="AE18" i="104"/>
  <c r="AE19" i="104"/>
  <c r="AE20" i="104"/>
  <c r="AE27" i="104" s="1"/>
  <c r="AE21" i="104"/>
  <c r="AD41" i="105"/>
  <c r="S41" i="105"/>
  <c r="W41" i="105"/>
  <c r="AA41" i="105"/>
  <c r="P106" i="105"/>
  <c r="J107" i="105" s="1"/>
  <c r="X41" i="110"/>
  <c r="V28" i="103"/>
  <c r="Z28" i="103"/>
  <c r="AD28" i="103"/>
  <c r="U26" i="103"/>
  <c r="Y23" i="103"/>
  <c r="AC26" i="103"/>
  <c r="S27" i="103"/>
  <c r="W27" i="103"/>
  <c r="AA27" i="103"/>
  <c r="AF27" i="103"/>
  <c r="P58" i="103"/>
  <c r="C59" i="103" s="1"/>
  <c r="T28" i="104"/>
  <c r="X22" i="104"/>
  <c r="AB28" i="104"/>
  <c r="S26" i="104"/>
  <c r="W26" i="104"/>
  <c r="AA26" i="104"/>
  <c r="AF26" i="104"/>
  <c r="U27" i="104"/>
  <c r="Y24" i="104"/>
  <c r="AC24" i="104"/>
  <c r="K60" i="104"/>
  <c r="C60" i="104"/>
  <c r="J60" i="104"/>
  <c r="G60" i="104"/>
  <c r="F60" i="104"/>
  <c r="K59" i="104"/>
  <c r="C59" i="104"/>
  <c r="N59" i="104"/>
  <c r="J59" i="104"/>
  <c r="F59" i="104"/>
  <c r="G59" i="104"/>
  <c r="L60" i="104"/>
  <c r="AE24" i="104"/>
  <c r="E60" i="104"/>
  <c r="I60" i="104"/>
  <c r="M59" i="104"/>
  <c r="D60" i="104"/>
  <c r="H60" i="104"/>
  <c r="N60" i="104"/>
  <c r="T22" i="104"/>
  <c r="AB22" i="104"/>
  <c r="T23" i="104"/>
  <c r="AB23" i="104"/>
  <c r="T24" i="104"/>
  <c r="AF24" i="104"/>
  <c r="X25" i="104"/>
  <c r="AB27" i="104"/>
  <c r="X28" i="104"/>
  <c r="Y22" i="104"/>
  <c r="AC22" i="104"/>
  <c r="U23" i="104"/>
  <c r="AC23" i="104"/>
  <c r="U24" i="104"/>
  <c r="Y25" i="104"/>
  <c r="AC25" i="104"/>
  <c r="Y27" i="104"/>
  <c r="AC27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H59" i="104"/>
  <c r="L59" i="104"/>
  <c r="AF22" i="104"/>
  <c r="X23" i="104"/>
  <c r="AF23" i="104"/>
  <c r="X24" i="104"/>
  <c r="T25" i="104"/>
  <c r="AB25" i="104"/>
  <c r="U22" i="104"/>
  <c r="Y23" i="104"/>
  <c r="U25" i="104"/>
  <c r="AE10" i="104"/>
  <c r="S22" i="104"/>
  <c r="W22" i="104"/>
  <c r="AA22" i="104"/>
  <c r="S23" i="104"/>
  <c r="W23" i="104"/>
  <c r="AA23" i="104"/>
  <c r="S24" i="104"/>
  <c r="W24" i="104"/>
  <c r="AA24" i="104"/>
  <c r="S25" i="104"/>
  <c r="W25" i="104"/>
  <c r="AA25" i="104"/>
  <c r="E59" i="104"/>
  <c r="I59" i="104"/>
  <c r="G60" i="103"/>
  <c r="K59" i="103"/>
  <c r="D60" i="103"/>
  <c r="AE24" i="103"/>
  <c r="X22" i="103"/>
  <c r="X23" i="103"/>
  <c r="AF23" i="103"/>
  <c r="X24" i="103"/>
  <c r="AF24" i="103"/>
  <c r="X25" i="103"/>
  <c r="T26" i="103"/>
  <c r="AB26" i="103"/>
  <c r="T27" i="103"/>
  <c r="AB27" i="103"/>
  <c r="T28" i="103"/>
  <c r="AB28" i="103"/>
  <c r="Y22" i="103"/>
  <c r="AC22" i="103"/>
  <c r="U23" i="103"/>
  <c r="Y24" i="103"/>
  <c r="Y25" i="103"/>
  <c r="AC25" i="103"/>
  <c r="Y26" i="103"/>
  <c r="AC27" i="103"/>
  <c r="U28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D59" i="103"/>
  <c r="T22" i="103"/>
  <c r="AB22" i="103"/>
  <c r="U22" i="103"/>
  <c r="AC23" i="103"/>
  <c r="U24" i="103"/>
  <c r="AE10" i="103"/>
  <c r="S22" i="103"/>
  <c r="W22" i="103"/>
  <c r="AA22" i="103"/>
  <c r="S23" i="103"/>
  <c r="W23" i="103"/>
  <c r="AA23" i="103"/>
  <c r="S24" i="103"/>
  <c r="W24" i="103"/>
  <c r="AA24" i="103"/>
  <c r="S25" i="103"/>
  <c r="W25" i="103"/>
  <c r="AA25" i="103"/>
  <c r="N107" i="110"/>
  <c r="J107" i="110"/>
  <c r="E108" i="110"/>
  <c r="I108" i="110"/>
  <c r="J108" i="110"/>
  <c r="F108" i="110"/>
  <c r="N108" i="110"/>
  <c r="AB34" i="110"/>
  <c r="X35" i="110"/>
  <c r="X36" i="110"/>
  <c r="T37" i="110"/>
  <c r="AF38" i="110"/>
  <c r="AF39" i="110"/>
  <c r="AB41" i="110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Y40" i="110"/>
  <c r="Y42" i="110" s="1"/>
  <c r="AC40" i="110"/>
  <c r="AC42" i="110" s="1"/>
  <c r="G107" i="110"/>
  <c r="K107" i="110"/>
  <c r="X34" i="110"/>
  <c r="T35" i="110"/>
  <c r="X37" i="110"/>
  <c r="AB38" i="110"/>
  <c r="T40" i="110"/>
  <c r="AB40" i="110"/>
  <c r="T41" i="110"/>
  <c r="AF41" i="110"/>
  <c r="AF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AD40" i="110"/>
  <c r="AD42" i="110" s="1"/>
  <c r="D107" i="110"/>
  <c r="T36" i="110"/>
  <c r="AB36" i="110"/>
  <c r="X40" i="110"/>
  <c r="X42" i="110" s="1"/>
  <c r="AE10" i="110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S42" i="110" s="1"/>
  <c r="W40" i="110"/>
  <c r="AA40" i="110"/>
  <c r="AA42" i="110" s="1"/>
  <c r="K108" i="105"/>
  <c r="N107" i="105"/>
  <c r="D108" i="105"/>
  <c r="H108" i="105"/>
  <c r="L108" i="105"/>
  <c r="E108" i="105"/>
  <c r="I108" i="105"/>
  <c r="J108" i="105"/>
  <c r="F108" i="105"/>
  <c r="N108" i="105"/>
  <c r="AB34" i="105"/>
  <c r="AB35" i="105"/>
  <c r="X36" i="105"/>
  <c r="T37" i="105"/>
  <c r="T38" i="105"/>
  <c r="T39" i="105"/>
  <c r="AF39" i="105"/>
  <c r="AB40" i="105"/>
  <c r="AB42" i="105" s="1"/>
  <c r="X41" i="105"/>
  <c r="X42" i="105" s="1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AC40" i="105"/>
  <c r="G107" i="105"/>
  <c r="X34" i="105"/>
  <c r="AB36" i="105"/>
  <c r="X37" i="105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AD40" i="105"/>
  <c r="H107" i="105"/>
  <c r="T34" i="105"/>
  <c r="X35" i="105"/>
  <c r="AF35" i="105"/>
  <c r="AB37" i="105"/>
  <c r="T40" i="105"/>
  <c r="T42" i="105" s="1"/>
  <c r="AE10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S42" i="105" s="1"/>
  <c r="W40" i="105"/>
  <c r="AA40" i="105"/>
  <c r="AA42" i="105" s="1"/>
  <c r="AC42" i="105" l="1"/>
  <c r="I107" i="110"/>
  <c r="L107" i="110"/>
  <c r="L60" i="103"/>
  <c r="F60" i="103"/>
  <c r="AE23" i="104"/>
  <c r="AF40" i="105"/>
  <c r="W42" i="105"/>
  <c r="AF37" i="105"/>
  <c r="E107" i="110"/>
  <c r="H107" i="110"/>
  <c r="AF22" i="103"/>
  <c r="H60" i="103"/>
  <c r="C60" i="103"/>
  <c r="N60" i="103"/>
  <c r="C107" i="110"/>
  <c r="F107" i="110"/>
  <c r="I60" i="103"/>
  <c r="AE23" i="103"/>
  <c r="AF25" i="103"/>
  <c r="E60" i="103"/>
  <c r="AF25" i="104"/>
  <c r="J60" i="103"/>
  <c r="AF41" i="105"/>
  <c r="AF42" i="105" s="1"/>
  <c r="Y42" i="105"/>
  <c r="AF34" i="110"/>
  <c r="U42" i="110"/>
  <c r="AF37" i="110"/>
  <c r="D107" i="105"/>
  <c r="C107" i="105"/>
  <c r="M107" i="105"/>
  <c r="M59" i="103"/>
  <c r="F59" i="103"/>
  <c r="J59" i="103"/>
  <c r="F107" i="105"/>
  <c r="W42" i="110"/>
  <c r="T42" i="110"/>
  <c r="I59" i="103"/>
  <c r="L59" i="103"/>
  <c r="N59" i="103"/>
  <c r="G59" i="103"/>
  <c r="I107" i="105"/>
  <c r="AD42" i="105"/>
  <c r="E107" i="105"/>
  <c r="L107" i="105"/>
  <c r="Z42" i="105"/>
  <c r="K107" i="105"/>
  <c r="Z42" i="110"/>
  <c r="E59" i="103"/>
  <c r="H59" i="103"/>
  <c r="AE28" i="104"/>
  <c r="AE25" i="104"/>
  <c r="AE22" i="104"/>
  <c r="AE28" i="103"/>
  <c r="AE25" i="103"/>
  <c r="AE22" i="103"/>
  <c r="AE41" i="110"/>
  <c r="AE40" i="110"/>
  <c r="AE37" i="110"/>
  <c r="AE34" i="110"/>
  <c r="AB42" i="110"/>
  <c r="AE41" i="105"/>
  <c r="AE40" i="105"/>
  <c r="AE37" i="105"/>
  <c r="AE34" i="105"/>
  <c r="AE42" i="110" l="1"/>
  <c r="AE42" i="105"/>
  <c r="D5" i="94" l="1"/>
  <c r="D5" i="98"/>
  <c r="O57" i="95"/>
  <c r="O56" i="95"/>
  <c r="O55" i="95"/>
  <c r="O54" i="95"/>
  <c r="O53" i="95"/>
  <c r="O52" i="95"/>
  <c r="O51" i="95"/>
  <c r="O50" i="95"/>
  <c r="O49" i="95"/>
  <c r="O48" i="95"/>
  <c r="O47" i="95"/>
  <c r="O46" i="95"/>
  <c r="O45" i="95"/>
  <c r="O44" i="95"/>
  <c r="O43" i="95"/>
  <c r="O42" i="95"/>
  <c r="O41" i="95"/>
  <c r="O40" i="95"/>
  <c r="O39" i="95"/>
  <c r="O38" i="95"/>
  <c r="O37" i="95"/>
  <c r="O36" i="95"/>
  <c r="O35" i="95"/>
  <c r="O34" i="95"/>
  <c r="O33" i="95"/>
  <c r="O32" i="95"/>
  <c r="O31" i="95"/>
  <c r="O30" i="95"/>
  <c r="O29" i="95"/>
  <c r="O28" i="95"/>
  <c r="O27" i="95"/>
  <c r="O26" i="95"/>
  <c r="O25" i="95"/>
  <c r="O24" i="95"/>
  <c r="O23" i="95"/>
  <c r="O22" i="95"/>
  <c r="O21" i="95"/>
  <c r="O20" i="95"/>
  <c r="O19" i="95"/>
  <c r="O18" i="95"/>
  <c r="O17" i="95"/>
  <c r="O16" i="95"/>
  <c r="O15" i="95"/>
  <c r="O14" i="95"/>
  <c r="O13" i="95"/>
  <c r="O12" i="95"/>
  <c r="O11" i="95"/>
  <c r="O10" i="95"/>
  <c r="O57" i="96"/>
  <c r="O56" i="96"/>
  <c r="O55" i="96"/>
  <c r="O54" i="96"/>
  <c r="O53" i="96"/>
  <c r="O52" i="96"/>
  <c r="O51" i="96"/>
  <c r="O50" i="96"/>
  <c r="O49" i="96"/>
  <c r="O48" i="96"/>
  <c r="O47" i="96"/>
  <c r="O46" i="96"/>
  <c r="O45" i="96"/>
  <c r="O44" i="96"/>
  <c r="O43" i="96"/>
  <c r="O42" i="96"/>
  <c r="O41" i="96"/>
  <c r="O40" i="96"/>
  <c r="O39" i="96"/>
  <c r="O38" i="96"/>
  <c r="O37" i="96"/>
  <c r="O36" i="96"/>
  <c r="O35" i="96"/>
  <c r="O34" i="96"/>
  <c r="O33" i="96"/>
  <c r="O32" i="96"/>
  <c r="O31" i="96"/>
  <c r="O30" i="96"/>
  <c r="O29" i="96"/>
  <c r="O28" i="96"/>
  <c r="O27" i="96"/>
  <c r="O26" i="96"/>
  <c r="O25" i="96"/>
  <c r="O24" i="96"/>
  <c r="O23" i="96"/>
  <c r="O22" i="96"/>
  <c r="O21" i="96"/>
  <c r="O20" i="96"/>
  <c r="O19" i="96"/>
  <c r="O18" i="96"/>
  <c r="O17" i="96"/>
  <c r="O16" i="96"/>
  <c r="O15" i="96"/>
  <c r="O14" i="96"/>
  <c r="O13" i="96"/>
  <c r="O12" i="96"/>
  <c r="O11" i="96"/>
  <c r="O10" i="96"/>
  <c r="K6" i="98" l="1"/>
  <c r="K6" i="99" s="1"/>
  <c r="K6" i="100" s="1"/>
  <c r="G5" i="98"/>
  <c r="G5" i="99" s="1"/>
  <c r="G5" i="100" s="1"/>
  <c r="K6" i="97"/>
  <c r="K5" i="97"/>
  <c r="G5" i="97"/>
  <c r="K6" i="96"/>
  <c r="K5" i="96"/>
  <c r="G5" i="96"/>
  <c r="K6" i="95"/>
  <c r="K5" i="95"/>
  <c r="G5" i="95"/>
  <c r="G5" i="94"/>
  <c r="G6" i="108"/>
  <c r="G6" i="100"/>
  <c r="G6" i="98"/>
  <c r="G6" i="96"/>
  <c r="G6" i="107"/>
  <c r="G6" i="99"/>
  <c r="G6" i="97"/>
  <c r="G6" i="95"/>
  <c r="D6" i="108"/>
  <c r="D6" i="100"/>
  <c r="D6" i="98"/>
  <c r="D6" i="96"/>
  <c r="D6" i="107"/>
  <c r="D6" i="99"/>
  <c r="D6" i="97"/>
  <c r="D6" i="95"/>
  <c r="D5" i="100"/>
  <c r="D5" i="96"/>
  <c r="K5" i="108" l="1"/>
  <c r="K5" i="111" s="1"/>
  <c r="K5" i="107"/>
  <c r="K6" i="107"/>
  <c r="K6" i="108"/>
  <c r="K6" i="111" s="1"/>
  <c r="G5" i="107"/>
  <c r="G5" i="108"/>
  <c r="G5" i="111" s="1"/>
  <c r="C3" i="100"/>
  <c r="C3" i="99"/>
  <c r="C3" i="98"/>
  <c r="C3" i="97"/>
  <c r="C3" i="96"/>
  <c r="C3" i="95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W27" i="99" l="1"/>
  <c r="T27" i="97"/>
  <c r="Z27" i="97"/>
  <c r="X26" i="98"/>
  <c r="AA27" i="99"/>
  <c r="AA26" i="95"/>
  <c r="W26" i="95"/>
  <c r="AD26" i="95"/>
  <c r="C3" i="108"/>
  <c r="C3" i="111"/>
  <c r="C3" i="107"/>
  <c r="X15" i="96"/>
  <c r="X23" i="96" s="1"/>
  <c r="AD16" i="97"/>
  <c r="AD23" i="97" s="1"/>
  <c r="U20" i="100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W20" i="96"/>
  <c r="W24" i="96" s="1"/>
  <c r="Y13" i="95"/>
  <c r="V14" i="97"/>
  <c r="Z27" i="99"/>
  <c r="Y16" i="96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X16" i="97"/>
  <c r="X26" i="97" s="1"/>
  <c r="L10" i="108"/>
  <c r="H10" i="108"/>
  <c r="D10" i="108"/>
  <c r="C10" i="108"/>
  <c r="AD13" i="99"/>
  <c r="AD26" i="99" s="1"/>
  <c r="S13" i="97"/>
  <c r="V19" i="95"/>
  <c r="V15" i="98"/>
  <c r="V21" i="98"/>
  <c r="V27" i="98" s="1"/>
  <c r="V13" i="97"/>
  <c r="U15" i="99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AC18" i="95"/>
  <c r="W16" i="99"/>
  <c r="Y20" i="99"/>
  <c r="Y27" i="99" s="1"/>
  <c r="AC16" i="98"/>
  <c r="AC23" i="98" s="1"/>
  <c r="AD13" i="98"/>
  <c r="U14" i="96"/>
  <c r="AB17" i="95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Y17" i="94"/>
  <c r="U15" i="94"/>
  <c r="W17" i="96"/>
  <c r="Z19" i="98"/>
  <c r="Y19" i="94"/>
  <c r="Y14" i="100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AA17" i="94"/>
  <c r="V21" i="95"/>
  <c r="X13" i="95"/>
  <c r="X23" i="95" s="1"/>
  <c r="W16" i="94"/>
  <c r="AC20" i="94"/>
  <c r="V15" i="95"/>
  <c r="V26" i="95" s="1"/>
  <c r="U14" i="94"/>
  <c r="W18" i="94"/>
  <c r="V11" i="99"/>
  <c r="T12" i="99"/>
  <c r="V12" i="99"/>
  <c r="X12" i="99"/>
  <c r="Z12" i="99"/>
  <c r="AB12" i="99"/>
  <c r="AD12" i="99"/>
  <c r="AB12" i="98"/>
  <c r="AA12" i="97"/>
  <c r="T12" i="98"/>
  <c r="P21" i="100"/>
  <c r="P23" i="100"/>
  <c r="P24" i="100"/>
  <c r="O34" i="100"/>
  <c r="O42" i="100"/>
  <c r="O50" i="100"/>
  <c r="O54" i="100"/>
  <c r="AC11" i="95"/>
  <c r="O38" i="100"/>
  <c r="S17" i="100"/>
  <c r="U11" i="97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S17" i="95"/>
  <c r="S19" i="95"/>
  <c r="Y27" i="95"/>
  <c r="AA27" i="95"/>
  <c r="S15" i="96"/>
  <c r="S17" i="96"/>
  <c r="S19" i="96"/>
  <c r="U27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S10" i="95"/>
  <c r="U10" i="95"/>
  <c r="W10" i="95"/>
  <c r="Y10" i="95"/>
  <c r="AA10" i="95"/>
  <c r="AC10" i="95"/>
  <c r="W23" i="95"/>
  <c r="AA23" i="95"/>
  <c r="Y24" i="95"/>
  <c r="AA24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S10" i="96"/>
  <c r="U10" i="96"/>
  <c r="W10" i="96"/>
  <c r="Y10" i="96"/>
  <c r="AA10" i="96"/>
  <c r="AC10" i="96"/>
  <c r="AA27" i="96"/>
  <c r="AA24" i="96"/>
  <c r="AC27" i="96"/>
  <c r="AC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Z26" i="95" l="1"/>
  <c r="AB26" i="98"/>
  <c r="AB23" i="96"/>
  <c r="AC26" i="95"/>
  <c r="T23" i="96"/>
  <c r="W27" i="96"/>
  <c r="T23" i="98"/>
  <c r="Z24" i="98"/>
  <c r="Y26" i="95"/>
  <c r="AB24" i="99"/>
  <c r="V26" i="97"/>
  <c r="Y26" i="96"/>
  <c r="U27" i="94"/>
  <c r="AC27" i="95"/>
  <c r="AD23" i="98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K10" i="111"/>
  <c r="G10" i="111"/>
  <c r="U26" i="99"/>
  <c r="X24" i="99"/>
  <c r="U23" i="99"/>
  <c r="V24" i="98"/>
  <c r="X23" i="97"/>
  <c r="AD23" i="99"/>
  <c r="S26" i="97"/>
  <c r="AC27" i="99"/>
  <c r="V27" i="95"/>
  <c r="V23" i="97"/>
  <c r="AA24" i="94"/>
  <c r="AC23" i="96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O57" i="107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P10" i="107"/>
  <c r="O10" i="107"/>
  <c r="AC23" i="95"/>
  <c r="U23" i="96"/>
  <c r="AD26" i="98"/>
  <c r="AD24" i="98"/>
  <c r="AC26" i="98"/>
  <c r="AA23" i="100"/>
  <c r="Y24" i="99"/>
  <c r="U26" i="96"/>
  <c r="AB23" i="97"/>
  <c r="W26" i="99"/>
  <c r="U26" i="94"/>
  <c r="V26" i="98"/>
  <c r="U23" i="95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Y23" i="94"/>
  <c r="W26" i="94"/>
  <c r="U23" i="94"/>
  <c r="V23" i="95"/>
  <c r="W23" i="94"/>
  <c r="Y23" i="100"/>
  <c r="W28" i="100"/>
  <c r="AB26" i="99"/>
  <c r="T26" i="99"/>
  <c r="AF13" i="100"/>
  <c r="AC26" i="99"/>
  <c r="AC24" i="100"/>
  <c r="U24" i="100"/>
  <c r="AC23" i="100"/>
  <c r="U23" i="100"/>
  <c r="T25" i="100"/>
  <c r="AB23" i="99"/>
  <c r="T23" i="99"/>
  <c r="AA22" i="100"/>
  <c r="X26" i="99"/>
  <c r="W27" i="100"/>
  <c r="X23" i="99"/>
  <c r="X25" i="100"/>
  <c r="AA25" i="100"/>
  <c r="S24" i="100"/>
  <c r="S23" i="98"/>
  <c r="Z23" i="99"/>
  <c r="Y23" i="99"/>
  <c r="S22" i="100"/>
  <c r="W26" i="100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24" i="98" l="1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H108" i="108"/>
  <c r="C107" i="107"/>
  <c r="H107" i="108"/>
  <c r="H108" i="107"/>
  <c r="H60" i="94"/>
  <c r="AF24" i="100"/>
  <c r="AE27" i="96"/>
  <c r="AF23" i="100"/>
  <c r="AE24" i="96"/>
  <c r="AE27" i="100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<sst xmlns="http://schemas.openxmlformats.org/spreadsheetml/2006/main" count="2335" uniqueCount="179">
  <si>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</si>
  <si>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</si>
  <si>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</si>
  <si>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</si>
  <si>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</si>
  <si>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</si>
  <si>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</si>
  <si>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</si>
  <si>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</si>
  <si>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</si>
  <si>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</si>
  <si>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</si>
  <si>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</si>
  <si>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</si>
  <si>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</si>
  <si>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</si>
  <si>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</si>
  <si>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</si>
  <si>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</si>
  <si>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</si>
  <si>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</si>
  <si>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</si>
  <si>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</si>
  <si>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</si>
  <si>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</si>
  <si>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</si>
  <si>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</si>
  <si>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</si>
  <si>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</si>
  <si>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</si>
  <si>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</si>
  <si>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</si>
  <si>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</si>
  <si>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</si>
  <si>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</si>
  <si>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</si>
  <si>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</si>
  <si>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</si>
  <si>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</si>
  <si>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</si>
  <si>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</si>
  <si>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</si>
  <si>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</si>
  <si>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</si>
  <si>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</si>
  <si>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</si>
  <si>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</si>
  <si>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</si>
  <si>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</si>
  <si>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</si>
  <si>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</si>
  <si>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</si>
  <si>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</si>
  <si>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</si>
  <si>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</si>
  <si>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</si>
  <si>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</si>
  <si>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</si>
  <si>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</si>
  <si>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</si>
  <si>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</si>
  <si>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</si>
  <si>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</si>
  <si>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</si>
  <si>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</si>
  <si>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</si>
  <si>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</si>
  <si>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</si>
  <si>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</si>
  <si>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</si>
  <si>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</si>
  <si>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</si>
  <si>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</si>
  <si>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</si>
  <si>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</si>
  <si>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</si>
  <si>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</si>
  <si>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</si>
  <si>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</si>
  <si>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</si>
  <si>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</si>
  <si>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</si>
  <si>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</si>
  <si>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</si>
  <si>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</si>
  <si>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</si>
  <si>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</si>
  <si>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</si>
  <si>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</si>
  <si>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</si>
  <si>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</si>
  <si>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</si>
  <si>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</si>
  <si>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</si>
  <si>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</si>
  <si>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</si>
  <si>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</si>
  <si>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</si>
  <si>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</si>
  <si>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</si>
  <si>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</si>
  <si>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</si>
  <si>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</si>
  <si>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</si>
  <si>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</si>
  <si>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</si>
  <si>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</si>
  <si>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</si>
  <si>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</si>
  <si>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</si>
  <si>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</si>
  <si>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</si>
  <si>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</si>
  <si>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</si>
  <si>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</si>
  <si>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</si>
  <si>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</si>
  <si>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</si>
  <si>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</si>
  <si>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</si>
  <si>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</si>
  <si>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</si>
  <si>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</si>
  <si>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</si>
  <si>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</si>
  <si>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</si>
  <si>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</si>
  <si>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</si>
  <si>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</si>
  <si>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</si>
  <si>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</si>
  <si>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</si>
  <si>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</si>
  <si>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</si>
  <si>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</si>
  <si>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</si>
  <si>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</si>
  <si>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</si>
  <si>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</si>
  <si>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</si>
  <si>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</si>
  <si>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</si>
  <si>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</si>
  <si>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</si>
  <si>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</si>
  <si>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</si>
  <si>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</si>
  <si>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</si>
  <si>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</si>
  <si>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</si>
  <si>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</si>
  <si>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</si>
  <si>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</si>
  <si>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</si>
  <si>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</si>
  <si>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</si>
  <si>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</si>
  <si>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</si>
  <si>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</si>
  <si>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</si>
  <si>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</si>
  <si>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</si>
  <si>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</si>
  <si>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MCC-C2-Kitemu -Buddo RD</t>
  </si>
  <si>
    <t>23.09.19</t>
  </si>
  <si>
    <t>KITEMU</t>
  </si>
  <si>
    <t>BUDDO</t>
  </si>
  <si>
    <t>Salimah</t>
  </si>
  <si>
    <t>MCC-C2-STNO 59A-BUDDO RD</t>
  </si>
  <si>
    <t>Denis</t>
  </si>
  <si>
    <t>St Charles Lwanga PS</t>
  </si>
  <si>
    <t>25.09.19</t>
  </si>
  <si>
    <t>24.09.19</t>
  </si>
  <si>
    <t>Moreen</t>
  </si>
  <si>
    <t>28.09.19</t>
  </si>
  <si>
    <t>29.09.19</t>
  </si>
  <si>
    <t>27.09.19</t>
  </si>
  <si>
    <t>26.09.19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</si>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</sst>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0" borderId="5" xfId="0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'23.09.19-Kitemu-Buddo'!$AE$9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'23.09.19-Kitemu-Buddo'!$R$10:$R$21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'23.09.19-Kitemu-Buddo'!$AE$10:$AE$21</c:f>
              <c:numCache>
                <c:formatCode>0</c:formatCode>
                <c:ptCount val="12"/>
                <c:pt idx="0">
                  <c:v>38</c:v>
                </c:pt>
                <c:pt idx="1">
                  <c:v>19</c:v>
                </c:pt>
                <c:pt idx="2">
                  <c:v>23</c:v>
                </c:pt>
                <c:pt idx="3">
                  <c:v>19</c:v>
                </c:pt>
                <c:pt idx="4">
                  <c:v>19</c:v>
                </c:pt>
                <c:pt idx="5">
                  <c:v>26</c:v>
                </c:pt>
                <c:pt idx="6">
                  <c:v>37</c:v>
                </c:pt>
                <c:pt idx="7">
                  <c:v>23</c:v>
                </c:pt>
                <c:pt idx="8">
                  <c:v>29</c:v>
                </c:pt>
                <c:pt idx="9">
                  <c:v>28</c:v>
                </c:pt>
                <c:pt idx="10">
                  <c:v>41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'23.09.19-Kitemu-Buddo'!$AF$9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'23.09.19-Kitemu-Buddo'!$R$10:$R$21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'23.09.19-Kitemu-Buddo'!$AF$10:$AF$21</c:f>
              <c:numCache>
                <c:formatCode>0</c:formatCode>
                <c:ptCount val="12"/>
                <c:pt idx="0">
                  <c:v>191</c:v>
                </c:pt>
                <c:pt idx="1">
                  <c:v>157</c:v>
                </c:pt>
                <c:pt idx="2">
                  <c:v>161</c:v>
                </c:pt>
                <c:pt idx="3">
                  <c:v>155</c:v>
                </c:pt>
                <c:pt idx="4">
                  <c:v>110</c:v>
                </c:pt>
                <c:pt idx="5">
                  <c:v>131</c:v>
                </c:pt>
                <c:pt idx="6">
                  <c:v>156</c:v>
                </c:pt>
                <c:pt idx="7">
                  <c:v>134</c:v>
                </c:pt>
                <c:pt idx="8">
                  <c:v>119</c:v>
                </c:pt>
                <c:pt idx="9">
                  <c:v>121</c:v>
                </c:pt>
                <c:pt idx="10">
                  <c:v>179</c:v>
                </c:pt>
                <c:pt idx="11">
                  <c:v>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9652896"/>
        <c:axId val="-39644192"/>
      </c:lineChart>
      <c:catAx>
        <c:axId val="-39652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44192"/>
        <c:crosses val="autoZero"/>
        <c:auto val="1"/>
        <c:lblAlgn val="ctr"/>
        <c:lblOffset val="100"/>
        <c:noMultiLvlLbl val="0"/>
      </c:catAx>
      <c:valAx>
        <c:axId val="-39644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5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'23.09.19-Kitemu-Buddo'!$C$9:$N$9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'23.09.19-Kitemu-Buddo'!$C$59:$N$59</c:f>
              <c:numCache>
                <c:formatCode>0.0%</c:formatCode>
                <c:ptCount val="12"/>
                <c:pt idx="0">
                  <c:v>7.0826306913996634E-2</c:v>
                </c:pt>
                <c:pt idx="1">
                  <c:v>1.0118043844856661E-2</c:v>
                </c:pt>
                <c:pt idx="2">
                  <c:v>9.5559302979201805E-3</c:v>
                </c:pt>
                <c:pt idx="3">
                  <c:v>4.8341765036537379E-2</c:v>
                </c:pt>
                <c:pt idx="4">
                  <c:v>3.9347948285553686E-3</c:v>
                </c:pt>
                <c:pt idx="5">
                  <c:v>5.6211354693648118E-4</c:v>
                </c:pt>
                <c:pt idx="6">
                  <c:v>3.2040472175379427E-2</c:v>
                </c:pt>
                <c:pt idx="7">
                  <c:v>1.4052838673412029E-2</c:v>
                </c:pt>
                <c:pt idx="8">
                  <c:v>1.1242270938729624E-3</c:v>
                </c:pt>
                <c:pt idx="9">
                  <c:v>0</c:v>
                </c:pt>
                <c:pt idx="10">
                  <c:v>0.8094435075885329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'23.09.19-Kitemu-Buddo'!$C$9:$N$9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'23.09.19-Kitemu-Buddo'!$C$60:$N$60</c:f>
              <c:numCache>
                <c:formatCode>0.00%</c:formatCode>
                <c:ptCount val="12"/>
                <c:pt idx="0">
                  <c:v>0.37168141592920356</c:v>
                </c:pt>
                <c:pt idx="1">
                  <c:v>5.3097345132743362E-2</c:v>
                </c:pt>
                <c:pt idx="2">
                  <c:v>5.0147492625368731E-2</c:v>
                </c:pt>
                <c:pt idx="3">
                  <c:v>0.25368731563421831</c:v>
                </c:pt>
                <c:pt idx="4">
                  <c:v>2.0648967551622419E-2</c:v>
                </c:pt>
                <c:pt idx="5">
                  <c:v>2.9498525073746312E-3</c:v>
                </c:pt>
                <c:pt idx="6">
                  <c:v>0.16814159292035399</c:v>
                </c:pt>
                <c:pt idx="7">
                  <c:v>7.3746312684365781E-2</c:v>
                </c:pt>
                <c:pt idx="8">
                  <c:v>5.8997050147492625E-3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'23.09.19 -Buddo-Kitemu'!$R$10:$R$21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'23.09.19 -Buddo-Kitemu'!$AE$10:$AE$21</c:f>
              <c:numCache>
                <c:formatCode>0</c:formatCode>
                <c:ptCount val="12"/>
                <c:pt idx="0">
                  <c:v>52</c:v>
                </c:pt>
                <c:pt idx="1">
                  <c:v>43</c:v>
                </c:pt>
                <c:pt idx="2">
                  <c:v>30</c:v>
                </c:pt>
                <c:pt idx="3">
                  <c:v>26</c:v>
                </c:pt>
                <c:pt idx="4">
                  <c:v>22</c:v>
                </c:pt>
                <c:pt idx="5">
                  <c:v>22</c:v>
                </c:pt>
                <c:pt idx="6">
                  <c:v>24</c:v>
                </c:pt>
                <c:pt idx="7">
                  <c:v>21</c:v>
                </c:pt>
                <c:pt idx="8">
                  <c:v>20</c:v>
                </c:pt>
                <c:pt idx="9">
                  <c:v>25</c:v>
                </c:pt>
                <c:pt idx="10">
                  <c:v>39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'23.09.19 -Buddo-Kitemu'!$AF$9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'23.09.19 -Buddo-Kitemu'!$R$10:$R$21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'23.09.19 -Buddo-Kitemu'!$AF$10:$AF$21</c:f>
              <c:numCache>
                <c:formatCode>0</c:formatCode>
                <c:ptCount val="12"/>
                <c:pt idx="0">
                  <c:v>302</c:v>
                </c:pt>
                <c:pt idx="1">
                  <c:v>267</c:v>
                </c:pt>
                <c:pt idx="2">
                  <c:v>230</c:v>
                </c:pt>
                <c:pt idx="3">
                  <c:v>228</c:v>
                </c:pt>
                <c:pt idx="4">
                  <c:v>158</c:v>
                </c:pt>
                <c:pt idx="5">
                  <c:v>130</c:v>
                </c:pt>
                <c:pt idx="6">
                  <c:v>166</c:v>
                </c:pt>
                <c:pt idx="7">
                  <c:v>112</c:v>
                </c:pt>
                <c:pt idx="8">
                  <c:v>128</c:v>
                </c:pt>
                <c:pt idx="9">
                  <c:v>185</c:v>
                </c:pt>
                <c:pt idx="10">
                  <c:v>245</c:v>
                </c:pt>
                <c:pt idx="11">
                  <c:v>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9645824"/>
        <c:axId val="-39649088"/>
      </c:lineChart>
      <c:catAx>
        <c:axId val="-39645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49088"/>
        <c:crosses val="autoZero"/>
        <c:auto val="1"/>
        <c:lblAlgn val="ctr"/>
        <c:lblOffset val="100"/>
        <c:noMultiLvlLbl val="0"/>
      </c:catAx>
      <c:valAx>
        <c:axId val="-39649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'23.09.19 -Buddo-Kitemu'!$C$59:$N$59</c:f>
              <c:numCache>
                <c:formatCode>0.0%</c:formatCode>
                <c:ptCount val="12"/>
                <c:pt idx="0">
                  <c:v>7.7213596307175822E-2</c:v>
                </c:pt>
                <c:pt idx="1">
                  <c:v>2.9374737725556023E-3</c:v>
                </c:pt>
                <c:pt idx="2">
                  <c:v>9.6516995383969777E-3</c:v>
                </c:pt>
                <c:pt idx="3">
                  <c:v>1.8464120856063786E-2</c:v>
                </c:pt>
                <c:pt idx="4">
                  <c:v>3.3571128829206882E-3</c:v>
                </c:pt>
                <c:pt idx="5">
                  <c:v>0</c:v>
                </c:pt>
                <c:pt idx="6">
                  <c:v>2.5597985732270248E-2</c:v>
                </c:pt>
                <c:pt idx="7">
                  <c:v>1.0071338648762064E-2</c:v>
                </c:pt>
                <c:pt idx="8">
                  <c:v>4.1963911036508602E-4</c:v>
                </c:pt>
                <c:pt idx="9">
                  <c:v>0</c:v>
                </c:pt>
                <c:pt idx="10">
                  <c:v>0.85228703315148968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'23.09.19 -Buddo-Kitemu'!$S$9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'23.09.19 -Buddo-Kitemu'!$R$10:$R$21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'23.09.19 -Buddo-Kitemu'!$S$10:$S$21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15</c:v>
                </c:pt>
                <c:pt idx="3">
                  <c:v>14</c:v>
                </c:pt>
                <c:pt idx="4">
                  <c:v>11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12</c:v>
                </c:pt>
                <c:pt idx="9">
                  <c:v>14</c:v>
                </c:pt>
                <c:pt idx="10">
                  <c:v>17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'23.09.19 -Buddo-Kitemu'!$T$9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'23.09.19 -Buddo-Kitemu'!$R$10:$R$21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'23.09.19 -Buddo-Kitemu'!$T$10:$T$21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'23.09.19 -Buddo-Kitemu'!$U$9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'23.09.19 -Buddo-Kitemu'!$U$10:$U$21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'23.09.19 -Buddo-Kitemu'!$V$9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'23.09.19 -Buddo-Kitemu'!$V$10:$V$21</c:f>
              <c:numCache>
                <c:formatCode>0</c:formatCode>
                <c:ptCount val="12"/>
                <c:pt idx="0">
                  <c:v>11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0</c:v>
                </c:pt>
                <c:pt idx="9">
                  <c:v>4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'23.09.19 -Buddo-Kitemu'!$W$9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'23.09.19 -Buddo-Kitemu'!$X$9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'23.09.19 -Buddo-Kitemu'!$Y$9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'23.09.19 -Buddo-Kitemu'!$Y$10:$Y$21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'23.09.19 -Buddo-Kitemu'!$Z$9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'23.09.19 -Buddo-Kitemu'!$AA$9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'23.09.19 -Buddo-Kitemu'!$AB$9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'23.09.19 -Buddo-Kitemu'!$AC$9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'23.09.19 -Buddo-Kitemu'!$AC$10:$AC$21</c:f>
              <c:numCache>
                <c:formatCode>0</c:formatCode>
                <c:ptCount val="12"/>
                <c:pt idx="0">
                  <c:v>250</c:v>
                </c:pt>
                <c:pt idx="1">
                  <c:v>224</c:v>
                </c:pt>
                <c:pt idx="2">
                  <c:v>200</c:v>
                </c:pt>
                <c:pt idx="3">
                  <c:v>202</c:v>
                </c:pt>
                <c:pt idx="4">
                  <c:v>136</c:v>
                </c:pt>
                <c:pt idx="5">
                  <c:v>108</c:v>
                </c:pt>
                <c:pt idx="6">
                  <c:v>142</c:v>
                </c:pt>
                <c:pt idx="7">
                  <c:v>91</c:v>
                </c:pt>
                <c:pt idx="8">
                  <c:v>108</c:v>
                </c:pt>
                <c:pt idx="9">
                  <c:v>160</c:v>
                </c:pt>
                <c:pt idx="10">
                  <c:v>206</c:v>
                </c:pt>
                <c:pt idx="11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'23.09.19 -Buddo-Kitemu'!$AD$9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'23.09.19 -Buddo-Kitemu'!$AD$10:$AD$21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9641472"/>
        <c:axId val="-39653984"/>
      </c:lineChart>
      <c:catAx>
        <c:axId val="-3964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53984"/>
        <c:crosses val="autoZero"/>
        <c:auto val="1"/>
        <c:lblAlgn val="ctr"/>
        <c:lblOffset val="100"/>
        <c:noMultiLvlLbl val="0"/>
      </c:catAx>
      <c:valAx>
        <c:axId val="-396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4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'23.09.19 -Buddo-Kitemu'!$C$60:$N$60</c:f>
              <c:numCache>
                <c:formatCode>0.00%</c:formatCode>
                <c:ptCount val="12"/>
                <c:pt idx="0">
                  <c:v>0.52272727272727271</c:v>
                </c:pt>
                <c:pt idx="1">
                  <c:v>1.9886363636363636E-2</c:v>
                </c:pt>
                <c:pt idx="2">
                  <c:v>6.5340909090909088E-2</c:v>
                </c:pt>
                <c:pt idx="3">
                  <c:v>0.125</c:v>
                </c:pt>
                <c:pt idx="4">
                  <c:v>2.2727272727272728E-2</c:v>
                </c:pt>
                <c:pt idx="5">
                  <c:v>0</c:v>
                </c:pt>
                <c:pt idx="6">
                  <c:v>0.17329545454545456</c:v>
                </c:pt>
                <c:pt idx="7">
                  <c:v>6.8181818181818177E-2</c:v>
                </c:pt>
                <c:pt idx="8">
                  <c:v>2.840909090909091E-3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Kitemu-Buddo'!$AE$10:$AE$21</c:f>
              <c:numCache>
                <c:formatCode>0</c:formatCode>
                <c:ptCount val="12"/>
                <c:pt idx="0">
                  <c:v>27</c:v>
                </c:pt>
                <c:pt idx="1">
                  <c:v>16</c:v>
                </c:pt>
                <c:pt idx="2">
                  <c:v>19</c:v>
                </c:pt>
                <c:pt idx="3">
                  <c:v>28</c:v>
                </c:pt>
                <c:pt idx="4">
                  <c:v>19</c:v>
                </c:pt>
                <c:pt idx="5">
                  <c:v>29</c:v>
                </c:pt>
                <c:pt idx="6">
                  <c:v>25</c:v>
                </c:pt>
                <c:pt idx="7">
                  <c:v>17</c:v>
                </c:pt>
                <c:pt idx="8">
                  <c:v>25</c:v>
                </c:pt>
                <c:pt idx="9">
                  <c:v>36</c:v>
                </c:pt>
                <c:pt idx="10">
                  <c:v>40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Kitemu-Buddo'!$AF$10:$AF$21</c:f>
              <c:numCache>
                <c:formatCode>0</c:formatCode>
                <c:ptCount val="12"/>
                <c:pt idx="0">
                  <c:v>187</c:v>
                </c:pt>
                <c:pt idx="1">
                  <c:v>186</c:v>
                </c:pt>
                <c:pt idx="2">
                  <c:v>219</c:v>
                </c:pt>
                <c:pt idx="3">
                  <c:v>175</c:v>
                </c:pt>
                <c:pt idx="4">
                  <c:v>125</c:v>
                </c:pt>
                <c:pt idx="5">
                  <c:v>141</c:v>
                </c:pt>
                <c:pt idx="6">
                  <c:v>113</c:v>
                </c:pt>
                <c:pt idx="7">
                  <c:v>106</c:v>
                </c:pt>
                <c:pt idx="8">
                  <c:v>152</c:v>
                </c:pt>
                <c:pt idx="9">
                  <c:v>145</c:v>
                </c:pt>
                <c:pt idx="10">
                  <c:v>172</c:v>
                </c:pt>
                <c:pt idx="11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9646912"/>
        <c:axId val="-44244144"/>
      </c:lineChart>
      <c:catAx>
        <c:axId val="-39646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44244144"/>
        <c:crosses val="autoZero"/>
        <c:auto val="1"/>
        <c:lblAlgn val="ctr"/>
        <c:lblOffset val="100"/>
        <c:noMultiLvlLbl val="0"/>
      </c:catAx>
      <c:valAx>
        <c:axId val="-4424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3964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Kitemu-Buddo'!$C$59:$N$59</c:f>
              <c:numCache>
                <c:formatCode>0.0%</c:formatCode>
                <c:ptCount val="12"/>
                <c:pt idx="0">
                  <c:v>7.2115384615384609E-2</c:v>
                </c:pt>
                <c:pt idx="1">
                  <c:v>8.0128205128205121E-3</c:v>
                </c:pt>
                <c:pt idx="2">
                  <c:v>5.341880341880342E-3</c:v>
                </c:pt>
                <c:pt idx="3">
                  <c:v>4.2200854700854704E-2</c:v>
                </c:pt>
                <c:pt idx="4">
                  <c:v>4.2735042735042739E-3</c:v>
                </c:pt>
                <c:pt idx="5">
                  <c:v>0</c:v>
                </c:pt>
                <c:pt idx="6">
                  <c:v>2.5106837606837608E-2</c:v>
                </c:pt>
                <c:pt idx="7">
                  <c:v>6.41025641025641E-3</c:v>
                </c:pt>
                <c:pt idx="8">
                  <c:v>5.3418803418803424E-4</c:v>
                </c:pt>
                <c:pt idx="9">
                  <c:v>0</c:v>
                </c:pt>
                <c:pt idx="10">
                  <c:v>0.83600427350427353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Kitemu-Buddo'!$S$9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Kitemu-Buddo'!$S$10:$S$21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  <c:pt idx="6">
                  <c:v>13</c:v>
                </c:pt>
                <c:pt idx="7">
                  <c:v>8</c:v>
                </c:pt>
                <c:pt idx="8">
                  <c:v>8</c:v>
                </c:pt>
                <c:pt idx="9">
                  <c:v>20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Kitemu-Buddo'!$T$9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Kitemu-Buddo'!$T$10:$T$21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Kitemu-Buddo'!$U$9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Kitemu-Buddo'!$U$10:$U$21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Kitemu-Buddo'!$V$9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Kitemu-Buddo'!$V$10:$V$21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4</c:v>
                </c:pt>
                <c:pt idx="3">
                  <c:v>8</c:v>
                </c:pt>
                <c:pt idx="4">
                  <c:v>3</c:v>
                </c:pt>
                <c:pt idx="5">
                  <c:v>6</c:v>
                </c:pt>
                <c:pt idx="6">
                  <c:v>8</c:v>
                </c:pt>
                <c:pt idx="7">
                  <c:v>5</c:v>
                </c:pt>
                <c:pt idx="8">
                  <c:v>4</c:v>
                </c:pt>
                <c:pt idx="9">
                  <c:v>5</c:v>
                </c:pt>
                <c:pt idx="10">
                  <c:v>15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Kitemu-Buddo'!$W$9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Kitemu-Buddo'!$X$9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Kitemu-Buddo'!$Y$9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Kitemu-Buddo'!$Y$10:$Y$21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4</c:v>
                </c:pt>
                <c:pt idx="8">
                  <c:v>8</c:v>
                </c:pt>
                <c:pt idx="9">
                  <c:v>3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Kitemu-Buddo'!$Z$9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Kitemu-Buddo'!$AA$9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Kitemu-Buddo'!$AB$9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Kitemu-Buddo'!$AC$9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Kitemu-Buddo'!$AC$10:$AC$21</c:f>
              <c:numCache>
                <c:formatCode>0</c:formatCode>
                <c:ptCount val="12"/>
                <c:pt idx="0">
                  <c:v>160</c:v>
                </c:pt>
                <c:pt idx="1">
                  <c:v>170</c:v>
                </c:pt>
                <c:pt idx="2">
                  <c:v>200</c:v>
                </c:pt>
                <c:pt idx="3">
                  <c:v>147</c:v>
                </c:pt>
                <c:pt idx="4">
                  <c:v>106</c:v>
                </c:pt>
                <c:pt idx="5">
                  <c:v>112</c:v>
                </c:pt>
                <c:pt idx="6">
                  <c:v>88</c:v>
                </c:pt>
                <c:pt idx="7">
                  <c:v>89</c:v>
                </c:pt>
                <c:pt idx="8">
                  <c:v>127</c:v>
                </c:pt>
                <c:pt idx="9">
                  <c:v>109</c:v>
                </c:pt>
                <c:pt idx="10">
                  <c:v>132</c:v>
                </c:pt>
                <c:pt idx="11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Kitemu-Buddo'!$AD$9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Kitemu-Buddo'!$AD$10:$AD$21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185488"/>
        <c:axId val="-7181680"/>
      </c:lineChart>
      <c:catAx>
        <c:axId val="-718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81680"/>
        <c:crosses val="autoZero"/>
        <c:auto val="1"/>
        <c:lblAlgn val="ctr"/>
        <c:lblOffset val="100"/>
        <c:noMultiLvlLbl val="0"/>
      </c:catAx>
      <c:valAx>
        <c:axId val="-718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8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Kitemu-Buddo'!$C$60:$N$60</c:f>
              <c:numCache>
                <c:formatCode>0.00%</c:formatCode>
                <c:ptCount val="12"/>
                <c:pt idx="0">
                  <c:v>0.43973941368078173</c:v>
                </c:pt>
                <c:pt idx="1">
                  <c:v>4.8859934853420196E-2</c:v>
                </c:pt>
                <c:pt idx="2">
                  <c:v>3.2573289902280131E-2</c:v>
                </c:pt>
                <c:pt idx="3">
                  <c:v>0.25732899022801303</c:v>
                </c:pt>
                <c:pt idx="4">
                  <c:v>2.6058631921824105E-2</c:v>
                </c:pt>
                <c:pt idx="5">
                  <c:v>0</c:v>
                </c:pt>
                <c:pt idx="6">
                  <c:v>0.15309446254071662</c:v>
                </c:pt>
                <c:pt idx="7">
                  <c:v>3.9087947882736153E-2</c:v>
                </c:pt>
                <c:pt idx="8">
                  <c:v>3.2573289902280132E-3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Buddo-Kitemu'!$AE$10:$AE$21</c:f>
              <c:numCache>
                <c:formatCode>0</c:formatCode>
                <c:ptCount val="12"/>
                <c:pt idx="0">
                  <c:v>55</c:v>
                </c:pt>
                <c:pt idx="1">
                  <c:v>50</c:v>
                </c:pt>
                <c:pt idx="2">
                  <c:v>33</c:v>
                </c:pt>
                <c:pt idx="3">
                  <c:v>39</c:v>
                </c:pt>
                <c:pt idx="4">
                  <c:v>25</c:v>
                </c:pt>
                <c:pt idx="5">
                  <c:v>25</c:v>
                </c:pt>
                <c:pt idx="6">
                  <c:v>29</c:v>
                </c:pt>
                <c:pt idx="7">
                  <c:v>28</c:v>
                </c:pt>
                <c:pt idx="8">
                  <c:v>22</c:v>
                </c:pt>
                <c:pt idx="9">
                  <c:v>35</c:v>
                </c:pt>
                <c:pt idx="10">
                  <c:v>32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Buddo-Kitemu'!$AF$10:$AF$21</c:f>
              <c:numCache>
                <c:formatCode>0</c:formatCode>
                <c:ptCount val="12"/>
                <c:pt idx="0">
                  <c:v>333</c:v>
                </c:pt>
                <c:pt idx="1">
                  <c:v>311</c:v>
                </c:pt>
                <c:pt idx="2">
                  <c:v>245</c:v>
                </c:pt>
                <c:pt idx="3">
                  <c:v>210</c:v>
                </c:pt>
                <c:pt idx="4">
                  <c:v>190</c:v>
                </c:pt>
                <c:pt idx="5">
                  <c:v>149</c:v>
                </c:pt>
                <c:pt idx="6">
                  <c:v>134</c:v>
                </c:pt>
                <c:pt idx="7">
                  <c:v>136</c:v>
                </c:pt>
                <c:pt idx="8">
                  <c:v>167</c:v>
                </c:pt>
                <c:pt idx="9">
                  <c:v>183</c:v>
                </c:pt>
                <c:pt idx="10">
                  <c:v>190</c:v>
                </c:pt>
                <c:pt idx="11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83856"/>
        <c:axId val="-7182224"/>
      </c:lineChart>
      <c:catAx>
        <c:axId val="-7183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82224"/>
        <c:crosses val="autoZero"/>
        <c:auto val="1"/>
        <c:lblAlgn val="ctr"/>
        <c:lblOffset val="100"/>
        <c:noMultiLvlLbl val="0"/>
      </c:catAx>
      <c:valAx>
        <c:axId val="-7182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8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Buddo-Kitemu'!$C$59:$N$59</c:f>
              <c:numCache>
                <c:formatCode>0.0%</c:formatCode>
                <c:ptCount val="12"/>
                <c:pt idx="0">
                  <c:v>8.5046352277307544E-2</c:v>
                </c:pt>
                <c:pt idx="1">
                  <c:v>6.4490124949617093E-3</c:v>
                </c:pt>
                <c:pt idx="2">
                  <c:v>7.2551390568319227E-3</c:v>
                </c:pt>
                <c:pt idx="3">
                  <c:v>1.6928657799274487E-2</c:v>
                </c:pt>
                <c:pt idx="4">
                  <c:v>3.6275695284159614E-3</c:v>
                </c:pt>
                <c:pt idx="5">
                  <c:v>0</c:v>
                </c:pt>
                <c:pt idx="6">
                  <c:v>3.8694074969770252E-2</c:v>
                </c:pt>
                <c:pt idx="7">
                  <c:v>4.0306328093510681E-3</c:v>
                </c:pt>
                <c:pt idx="8">
                  <c:v>4.0306328093510683E-4</c:v>
                </c:pt>
                <c:pt idx="9">
                  <c:v>0</c:v>
                </c:pt>
                <c:pt idx="10">
                  <c:v>0.83756549778315192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Buddo-Kitemu'!$S$9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Buddo-Kitemu'!$S$10:$S$21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20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21</c:v>
                </c:pt>
                <c:pt idx="8">
                  <c:v>8</c:v>
                </c:pt>
                <c:pt idx="9">
                  <c:v>16</c:v>
                </c:pt>
                <c:pt idx="10">
                  <c:v>24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Buddo-Kitemu'!$T$9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Buddo-Kitemu'!$T$10:$T$21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Buddo-Kitemu'!$U$9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Buddo-Kitemu'!$V$9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Buddo-Kitemu'!$V$10:$V$21</c:f>
              <c:numCache>
                <c:formatCode>0</c:formatCode>
                <c:ptCount val="12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7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Buddo-Kitemu'!$W$9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Buddo-Kitemu'!$X$9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Buddo-Kitemu'!$Y$9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Buddo-Kitemu'!$Y$10:$Y$21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9</c:v>
                </c:pt>
                <c:pt idx="3">
                  <c:v>15</c:v>
                </c:pt>
                <c:pt idx="4">
                  <c:v>13</c:v>
                </c:pt>
                <c:pt idx="5">
                  <c:v>7</c:v>
                </c:pt>
                <c:pt idx="6">
                  <c:v>9</c:v>
                </c:pt>
                <c:pt idx="7">
                  <c:v>1</c:v>
                </c:pt>
                <c:pt idx="8">
                  <c:v>8</c:v>
                </c:pt>
                <c:pt idx="9">
                  <c:v>6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Buddo-Kitemu'!$Z$9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Buddo-Kitemu'!$AA$9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Buddo-Kitemu'!$AB$9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Buddo-Kitemu'!$AC$9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Buddo-Kitemu'!$AC$10:$AC$21</c:f>
              <c:numCache>
                <c:formatCode>0</c:formatCode>
                <c:ptCount val="12"/>
                <c:pt idx="0">
                  <c:v>278</c:v>
                </c:pt>
                <c:pt idx="1">
                  <c:v>261</c:v>
                </c:pt>
                <c:pt idx="2">
                  <c:v>212</c:v>
                </c:pt>
                <c:pt idx="3">
                  <c:v>171</c:v>
                </c:pt>
                <c:pt idx="4">
                  <c:v>165</c:v>
                </c:pt>
                <c:pt idx="5">
                  <c:v>124</c:v>
                </c:pt>
                <c:pt idx="6">
                  <c:v>105</c:v>
                </c:pt>
                <c:pt idx="7">
                  <c:v>108</c:v>
                </c:pt>
                <c:pt idx="8">
                  <c:v>145</c:v>
                </c:pt>
                <c:pt idx="9">
                  <c:v>148</c:v>
                </c:pt>
                <c:pt idx="10">
                  <c:v>158</c:v>
                </c:pt>
                <c:pt idx="11">
                  <c:v>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Buddo-Kitemu'!$AD$9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Buddo-Kitemu'!$AD$10:$AD$21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178416"/>
        <c:axId val="-7174064"/>
      </c:lineChart>
      <c:catAx>
        <c:axId val="-717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74064"/>
        <c:crosses val="autoZero"/>
        <c:auto val="1"/>
        <c:lblAlgn val="ctr"/>
        <c:lblOffset val="100"/>
        <c:noMultiLvlLbl val="0"/>
      </c:catAx>
      <c:valAx>
        <c:axId val="-717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7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Buddo-Kitemu'!$C$60:$N$60</c:f>
              <c:numCache>
                <c:formatCode>0.00%</c:formatCode>
                <c:ptCount val="12"/>
                <c:pt idx="0">
                  <c:v>0.52357320099255578</c:v>
                </c:pt>
                <c:pt idx="1">
                  <c:v>3.9702233250620347E-2</c:v>
                </c:pt>
                <c:pt idx="2">
                  <c:v>4.4665012406947889E-2</c:v>
                </c:pt>
                <c:pt idx="3">
                  <c:v>0.10421836228287841</c:v>
                </c:pt>
                <c:pt idx="4">
                  <c:v>2.2332506203473945E-2</c:v>
                </c:pt>
                <c:pt idx="5">
                  <c:v>0</c:v>
                </c:pt>
                <c:pt idx="6">
                  <c:v>0.23821339950372208</c:v>
                </c:pt>
                <c:pt idx="7">
                  <c:v>2.4813895781637719E-2</c:v>
                </c:pt>
                <c:pt idx="8">
                  <c:v>2.4813895781637717E-3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Kitemu-Buddo'!$AE$10:$AE$21</c:f>
              <c:numCache>
                <c:formatCode>0</c:formatCode>
                <c:ptCount val="12"/>
                <c:pt idx="0">
                  <c:v>29</c:v>
                </c:pt>
                <c:pt idx="1">
                  <c:v>25</c:v>
                </c:pt>
                <c:pt idx="2">
                  <c:v>24</c:v>
                </c:pt>
                <c:pt idx="3">
                  <c:v>21</c:v>
                </c:pt>
                <c:pt idx="4">
                  <c:v>23</c:v>
                </c:pt>
                <c:pt idx="5">
                  <c:v>22</c:v>
                </c:pt>
                <c:pt idx="6">
                  <c:v>24</c:v>
                </c:pt>
                <c:pt idx="7">
                  <c:v>28</c:v>
                </c:pt>
                <c:pt idx="8">
                  <c:v>24</c:v>
                </c:pt>
                <c:pt idx="9">
                  <c:v>29</c:v>
                </c:pt>
                <c:pt idx="10">
                  <c:v>48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Kitemu-Buddo'!$AF$10:$AF$21</c:f>
              <c:numCache>
                <c:formatCode>0</c:formatCode>
                <c:ptCount val="12"/>
                <c:pt idx="0">
                  <c:v>206</c:v>
                </c:pt>
                <c:pt idx="1">
                  <c:v>198</c:v>
                </c:pt>
                <c:pt idx="2">
                  <c:v>182</c:v>
                </c:pt>
                <c:pt idx="3">
                  <c:v>163</c:v>
                </c:pt>
                <c:pt idx="4">
                  <c:v>155</c:v>
                </c:pt>
                <c:pt idx="5">
                  <c:v>149</c:v>
                </c:pt>
                <c:pt idx="6">
                  <c:v>148</c:v>
                </c:pt>
                <c:pt idx="7">
                  <c:v>155</c:v>
                </c:pt>
                <c:pt idx="8">
                  <c:v>161</c:v>
                </c:pt>
                <c:pt idx="9">
                  <c:v>156</c:v>
                </c:pt>
                <c:pt idx="10">
                  <c:v>204</c:v>
                </c:pt>
                <c:pt idx="11">
                  <c:v>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78960"/>
        <c:axId val="-7177328"/>
      </c:lineChart>
      <c:catAx>
        <c:axId val="-7178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77328"/>
        <c:crosses val="autoZero"/>
        <c:auto val="1"/>
        <c:lblAlgn val="ctr"/>
        <c:lblOffset val="100"/>
        <c:noMultiLvlLbl val="0"/>
      </c:catAx>
      <c:valAx>
        <c:axId val="-7177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7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Kitemu-Buddo'!$C$59:$N$59</c:f>
              <c:numCache>
                <c:formatCode>0.0%</c:formatCode>
                <c:ptCount val="12"/>
                <c:pt idx="0">
                  <c:v>6.4189189189189186E-2</c:v>
                </c:pt>
                <c:pt idx="1">
                  <c:v>9.6525096525096523E-3</c:v>
                </c:pt>
                <c:pt idx="2">
                  <c:v>7.7220077220077222E-3</c:v>
                </c:pt>
                <c:pt idx="3">
                  <c:v>3.5714285714285712E-2</c:v>
                </c:pt>
                <c:pt idx="4">
                  <c:v>3.8610038610038611E-3</c:v>
                </c:pt>
                <c:pt idx="5">
                  <c:v>4.8262548262548264E-4</c:v>
                </c:pt>
                <c:pt idx="6">
                  <c:v>3.2818532818532815E-2</c:v>
                </c:pt>
                <c:pt idx="7">
                  <c:v>1.0135135135135136E-2</c:v>
                </c:pt>
                <c:pt idx="8">
                  <c:v>4.8262548262548264E-4</c:v>
                </c:pt>
                <c:pt idx="9">
                  <c:v>0</c:v>
                </c:pt>
                <c:pt idx="10">
                  <c:v>0.83494208494208499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Kitemu-Buddo'!$S$9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Kitemu-Buddo'!$S$10:$S$21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8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7</c:v>
                </c:pt>
                <c:pt idx="7">
                  <c:v>15</c:v>
                </c:pt>
                <c:pt idx="8">
                  <c:v>10</c:v>
                </c:pt>
                <c:pt idx="9">
                  <c:v>11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Kitemu-Buddo'!$T$9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Kitemu-Buddo'!$T$10:$T$21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Kitemu-Buddo'!$U$9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Kitemu-Buddo'!$U$10:$U$21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Kitemu-Buddo'!$V$9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Kitemu-Buddo'!$V$10:$V$21</c:f>
              <c:numCache>
                <c:formatCode>0</c:formatCode>
                <c:ptCount val="12"/>
                <c:pt idx="0">
                  <c:v>10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Kitemu-Buddo'!$W$9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Kitemu-Buddo'!$X$9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Kitemu-Buddo'!$Y$9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Kitemu-Buddo'!$Y$10:$Y$21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7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Kitemu-Buddo'!$Z$9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Kitemu-Buddo'!$AA$9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Kitemu-Buddo'!$AB$9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Kitemu-Buddo'!$AC$9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Kitemu-Buddo'!$AC$10:$AC$21</c:f>
              <c:numCache>
                <c:formatCode>0</c:formatCode>
                <c:ptCount val="12"/>
                <c:pt idx="0">
                  <c:v>177</c:v>
                </c:pt>
                <c:pt idx="1">
                  <c:v>173</c:v>
                </c:pt>
                <c:pt idx="2">
                  <c:v>158</c:v>
                </c:pt>
                <c:pt idx="3">
                  <c:v>142</c:v>
                </c:pt>
                <c:pt idx="4">
                  <c:v>132</c:v>
                </c:pt>
                <c:pt idx="5">
                  <c:v>127</c:v>
                </c:pt>
                <c:pt idx="6">
                  <c:v>124</c:v>
                </c:pt>
                <c:pt idx="7">
                  <c:v>127</c:v>
                </c:pt>
                <c:pt idx="8">
                  <c:v>137</c:v>
                </c:pt>
                <c:pt idx="9">
                  <c:v>127</c:v>
                </c:pt>
                <c:pt idx="10">
                  <c:v>156</c:v>
                </c:pt>
                <c:pt idx="11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Kitemu-Buddo'!$AD$9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Kitemu-Buddo'!$AD$10:$AD$21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171888"/>
        <c:axId val="-7186576"/>
      </c:lineChart>
      <c:catAx>
        <c:axId val="-717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86576"/>
        <c:crosses val="autoZero"/>
        <c:auto val="1"/>
        <c:lblAlgn val="ctr"/>
        <c:lblOffset val="100"/>
        <c:noMultiLvlLbl val="0"/>
      </c:catAx>
      <c:valAx>
        <c:axId val="-718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717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Kitemu-Buddo'!$C$60:$N$60</c:f>
              <c:numCache>
                <c:formatCode>0.00%</c:formatCode>
                <c:ptCount val="12"/>
                <c:pt idx="0">
                  <c:v>0.3888888888888889</c:v>
                </c:pt>
                <c:pt idx="1">
                  <c:v>5.8479532163742687E-2</c:v>
                </c:pt>
                <c:pt idx="2">
                  <c:v>4.6783625730994149E-2</c:v>
                </c:pt>
                <c:pt idx="3">
                  <c:v>0.21637426900584794</c:v>
                </c:pt>
                <c:pt idx="4">
                  <c:v>2.3391812865497075E-2</c:v>
                </c:pt>
                <c:pt idx="5">
                  <c:v>2.9239766081871343E-3</c:v>
                </c:pt>
                <c:pt idx="6">
                  <c:v>0.19883040935672514</c:v>
                </c:pt>
                <c:pt idx="7">
                  <c:v>6.1403508771929821E-2</c:v>
                </c:pt>
                <c:pt idx="8">
                  <c:v>2.9239766081871343E-3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Buddo-Kitemu'!$AE$10:$AE$21</c:f>
              <c:numCache>
                <c:formatCode>0</c:formatCode>
                <c:ptCount val="12"/>
                <c:pt idx="0">
                  <c:v>50</c:v>
                </c:pt>
                <c:pt idx="1">
                  <c:v>39</c:v>
                </c:pt>
                <c:pt idx="2">
                  <c:v>36</c:v>
                </c:pt>
                <c:pt idx="3">
                  <c:v>35</c:v>
                </c:pt>
                <c:pt idx="4">
                  <c:v>32</c:v>
                </c:pt>
                <c:pt idx="5">
                  <c:v>29</c:v>
                </c:pt>
                <c:pt idx="6">
                  <c:v>24</c:v>
                </c:pt>
                <c:pt idx="7">
                  <c:v>19</c:v>
                </c:pt>
                <c:pt idx="8">
                  <c:v>25</c:v>
                </c:pt>
                <c:pt idx="9">
                  <c:v>20</c:v>
                </c:pt>
                <c:pt idx="10">
                  <c:v>34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Buddo-Kitemu'!$AF$10:$AF$21</c:f>
              <c:numCache>
                <c:formatCode>0</c:formatCode>
                <c:ptCount val="12"/>
                <c:pt idx="0">
                  <c:v>313</c:v>
                </c:pt>
                <c:pt idx="1">
                  <c:v>306</c:v>
                </c:pt>
                <c:pt idx="2">
                  <c:v>231</c:v>
                </c:pt>
                <c:pt idx="3">
                  <c:v>281</c:v>
                </c:pt>
                <c:pt idx="4">
                  <c:v>239</c:v>
                </c:pt>
                <c:pt idx="5">
                  <c:v>159</c:v>
                </c:pt>
                <c:pt idx="6">
                  <c:v>151</c:v>
                </c:pt>
                <c:pt idx="7">
                  <c:v>137</c:v>
                </c:pt>
                <c:pt idx="8">
                  <c:v>175</c:v>
                </c:pt>
                <c:pt idx="9">
                  <c:v>185</c:v>
                </c:pt>
                <c:pt idx="10">
                  <c:v>235</c:v>
                </c:pt>
                <c:pt idx="11">
                  <c:v>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3161440"/>
        <c:axId val="-2053151104"/>
      </c:lineChart>
      <c:catAx>
        <c:axId val="-2053161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51104"/>
        <c:crosses val="autoZero"/>
        <c:auto val="1"/>
        <c:lblAlgn val="ctr"/>
        <c:lblOffset val="100"/>
        <c:noMultiLvlLbl val="0"/>
      </c:catAx>
      <c:valAx>
        <c:axId val="-2053151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6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Buddo-Kitemu'!$C$59:$N$59</c:f>
              <c:numCache>
                <c:formatCode>0.0%</c:formatCode>
                <c:ptCount val="12"/>
                <c:pt idx="0">
                  <c:v>7.6229815996995867E-2</c:v>
                </c:pt>
                <c:pt idx="1">
                  <c:v>2.2530980097634247E-3</c:v>
                </c:pt>
                <c:pt idx="2">
                  <c:v>6.7592940292902741E-3</c:v>
                </c:pt>
                <c:pt idx="3">
                  <c:v>1.3894104393541119E-2</c:v>
                </c:pt>
                <c:pt idx="4">
                  <c:v>2.6286143447239955E-3</c:v>
                </c:pt>
                <c:pt idx="5">
                  <c:v>0</c:v>
                </c:pt>
                <c:pt idx="6">
                  <c:v>3.2669921141569656E-2</c:v>
                </c:pt>
                <c:pt idx="7">
                  <c:v>7.1348103642508449E-3</c:v>
                </c:pt>
                <c:pt idx="8">
                  <c:v>3.7551633496057078E-4</c:v>
                </c:pt>
                <c:pt idx="9">
                  <c:v>0</c:v>
                </c:pt>
                <c:pt idx="10">
                  <c:v>0.8580548253849043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Buddo-Kitemu'!$C$60:$N$60</c:f>
              <c:numCache>
                <c:formatCode>0.00%</c:formatCode>
                <c:ptCount val="12"/>
                <c:pt idx="0">
                  <c:v>0.53703703703703709</c:v>
                </c:pt>
                <c:pt idx="1">
                  <c:v>1.5873015873015872E-2</c:v>
                </c:pt>
                <c:pt idx="2">
                  <c:v>4.7619047619047616E-2</c:v>
                </c:pt>
                <c:pt idx="3">
                  <c:v>9.7883597883597878E-2</c:v>
                </c:pt>
                <c:pt idx="4">
                  <c:v>1.8518518518518517E-2</c:v>
                </c:pt>
                <c:pt idx="5">
                  <c:v>0</c:v>
                </c:pt>
                <c:pt idx="6">
                  <c:v>0.23015873015873015</c:v>
                </c:pt>
                <c:pt idx="7">
                  <c:v>5.0264550264550262E-2</c:v>
                </c:pt>
                <c:pt idx="8">
                  <c:v>2.6455026455026454E-3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Kitemu-Buddo-24 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Kitemu-Buddo-24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Kitemu-Buddo-24 HRS'!$AE$10:$AE$33</c:f>
              <c:numCache>
                <c:formatCode>0</c:formatCode>
                <c:ptCount val="24"/>
                <c:pt idx="0">
                  <c:v>38</c:v>
                </c:pt>
                <c:pt idx="1">
                  <c:v>22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33</c:v>
                </c:pt>
                <c:pt idx="6">
                  <c:v>33</c:v>
                </c:pt>
                <c:pt idx="7">
                  <c:v>47</c:v>
                </c:pt>
                <c:pt idx="8">
                  <c:v>37</c:v>
                </c:pt>
                <c:pt idx="9">
                  <c:v>41</c:v>
                </c:pt>
                <c:pt idx="10">
                  <c:v>40</c:v>
                </c:pt>
                <c:pt idx="11">
                  <c:v>34</c:v>
                </c:pt>
                <c:pt idx="12">
                  <c:v>48</c:v>
                </c:pt>
                <c:pt idx="13">
                  <c:v>44</c:v>
                </c:pt>
                <c:pt idx="14">
                  <c:v>41</c:v>
                </c:pt>
                <c:pt idx="15">
                  <c:v>33</c:v>
                </c:pt>
                <c:pt idx="16">
                  <c:v>35</c:v>
                </c:pt>
                <c:pt idx="17">
                  <c:v>15</c:v>
                </c:pt>
                <c:pt idx="18">
                  <c:v>9</c:v>
                </c:pt>
                <c:pt idx="19">
                  <c:v>6</c:v>
                </c:pt>
                <c:pt idx="20">
                  <c:v>4</c:v>
                </c:pt>
                <c:pt idx="21">
                  <c:v>11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Kitemu-Buddo-24 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Kitemu-Buddo-24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Kitemu-Buddo-24 HRS'!$AF$10:$AF$33</c:f>
              <c:numCache>
                <c:formatCode>0</c:formatCode>
                <c:ptCount val="24"/>
                <c:pt idx="0">
                  <c:v>236</c:v>
                </c:pt>
                <c:pt idx="1">
                  <c:v>220</c:v>
                </c:pt>
                <c:pt idx="2">
                  <c:v>167</c:v>
                </c:pt>
                <c:pt idx="3">
                  <c:v>185</c:v>
                </c:pt>
                <c:pt idx="4">
                  <c:v>172</c:v>
                </c:pt>
                <c:pt idx="5">
                  <c:v>187</c:v>
                </c:pt>
                <c:pt idx="6">
                  <c:v>198</c:v>
                </c:pt>
                <c:pt idx="7">
                  <c:v>224</c:v>
                </c:pt>
                <c:pt idx="8">
                  <c:v>163</c:v>
                </c:pt>
                <c:pt idx="9">
                  <c:v>167</c:v>
                </c:pt>
                <c:pt idx="10">
                  <c:v>188</c:v>
                </c:pt>
                <c:pt idx="11">
                  <c:v>192</c:v>
                </c:pt>
                <c:pt idx="12">
                  <c:v>231</c:v>
                </c:pt>
                <c:pt idx="13">
                  <c:v>215</c:v>
                </c:pt>
                <c:pt idx="14">
                  <c:v>281</c:v>
                </c:pt>
                <c:pt idx="15">
                  <c:v>248</c:v>
                </c:pt>
                <c:pt idx="16">
                  <c:v>214</c:v>
                </c:pt>
                <c:pt idx="17">
                  <c:v>130</c:v>
                </c:pt>
                <c:pt idx="18">
                  <c:v>37</c:v>
                </c:pt>
                <c:pt idx="19">
                  <c:v>27</c:v>
                </c:pt>
                <c:pt idx="20">
                  <c:v>11</c:v>
                </c:pt>
                <c:pt idx="21">
                  <c:v>28</c:v>
                </c:pt>
                <c:pt idx="22">
                  <c:v>51</c:v>
                </c:pt>
                <c:pt idx="23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3158176"/>
        <c:axId val="-2053152192"/>
      </c:lineChart>
      <c:catAx>
        <c:axId val="-2053158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52192"/>
        <c:crosses val="autoZero"/>
        <c:auto val="1"/>
        <c:lblAlgn val="ctr"/>
        <c:lblOffset val="100"/>
        <c:noMultiLvlLbl val="0"/>
      </c:catAx>
      <c:valAx>
        <c:axId val="-2053152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5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Kitemu-Buddo-24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Kitemu-Buddo-24 HRS'!$C$107:$N$107</c:f>
              <c:numCache>
                <c:formatCode>0.0%</c:formatCode>
                <c:ptCount val="12"/>
                <c:pt idx="0">
                  <c:v>6.8521380731581663E-2</c:v>
                </c:pt>
                <c:pt idx="1">
                  <c:v>1.056156620298815E-2</c:v>
                </c:pt>
                <c:pt idx="2">
                  <c:v>1.2364760432766615E-2</c:v>
                </c:pt>
                <c:pt idx="3">
                  <c:v>4.9974240082431738E-2</c:v>
                </c:pt>
                <c:pt idx="4">
                  <c:v>4.3791859866048428E-3</c:v>
                </c:pt>
                <c:pt idx="5">
                  <c:v>0</c:v>
                </c:pt>
                <c:pt idx="6">
                  <c:v>1.90623390005152E-2</c:v>
                </c:pt>
                <c:pt idx="7">
                  <c:v>1.056156620298815E-2</c:v>
                </c:pt>
                <c:pt idx="8">
                  <c:v>9.0159711488923232E-3</c:v>
                </c:pt>
                <c:pt idx="9">
                  <c:v>2.5759917568263783E-4</c:v>
                </c:pt>
                <c:pt idx="10">
                  <c:v>0.81530139103554866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Kitemu-Buddo-24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Kitemu-Buddo-24 HRS'!$C$108:$N$108</c:f>
              <c:numCache>
                <c:formatCode>0.00%</c:formatCode>
                <c:ptCount val="12"/>
                <c:pt idx="0">
                  <c:v>0.37099023709902373</c:v>
                </c:pt>
                <c:pt idx="1">
                  <c:v>5.7182705718270568E-2</c:v>
                </c:pt>
                <c:pt idx="2">
                  <c:v>6.6945606694560664E-2</c:v>
                </c:pt>
                <c:pt idx="3">
                  <c:v>0.27057182705718269</c:v>
                </c:pt>
                <c:pt idx="4">
                  <c:v>2.3709902370990237E-2</c:v>
                </c:pt>
                <c:pt idx="5">
                  <c:v>0</c:v>
                </c:pt>
                <c:pt idx="6">
                  <c:v>0.10320781032078104</c:v>
                </c:pt>
                <c:pt idx="7">
                  <c:v>5.7182705718270568E-2</c:v>
                </c:pt>
                <c:pt idx="8">
                  <c:v>4.8814504881450491E-2</c:v>
                </c:pt>
                <c:pt idx="9">
                  <c:v>1.3947001394700139E-3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'[1]27.09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'[1]27.09 Kitemu-Buddo'!$R$10:$R$33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'[1]27.09 Kitemu-Buddo'!$AE$10:$AE$33</c:f>
              <c:numCache>
                <c:formatCode>General</c:formatCode>
                <c:ptCount val="24"/>
                <c:pt idx="0">
                  <c:v>38</c:v>
                </c:pt>
                <c:pt idx="1">
                  <c:v>22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33</c:v>
                </c:pt>
                <c:pt idx="6">
                  <c:v>33</c:v>
                </c:pt>
                <c:pt idx="7">
                  <c:v>47</c:v>
                </c:pt>
                <c:pt idx="8">
                  <c:v>37</c:v>
                </c:pt>
                <c:pt idx="9">
                  <c:v>41</c:v>
                </c:pt>
                <c:pt idx="10">
                  <c:v>40</c:v>
                </c:pt>
                <c:pt idx="11">
                  <c:v>34</c:v>
                </c:pt>
                <c:pt idx="12">
                  <c:v>48</c:v>
                </c:pt>
                <c:pt idx="13">
                  <c:v>44</c:v>
                </c:pt>
                <c:pt idx="14">
                  <c:v>41</c:v>
                </c:pt>
                <c:pt idx="15">
                  <c:v>33</c:v>
                </c:pt>
                <c:pt idx="16">
                  <c:v>35</c:v>
                </c:pt>
                <c:pt idx="17">
                  <c:v>15</c:v>
                </c:pt>
                <c:pt idx="18">
                  <c:v>9</c:v>
                </c:pt>
                <c:pt idx="19">
                  <c:v>6</c:v>
                </c:pt>
                <c:pt idx="20">
                  <c:v>4</c:v>
                </c:pt>
                <c:pt idx="21">
                  <c:v>11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'[1]27.09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'[1]27.09 Kitemu-Buddo'!$R$10:$R$33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'[1]27.09 Kitemu-Buddo'!$AF$10:$AF$33</c:f>
              <c:numCache>
                <c:formatCode>General</c:formatCode>
                <c:ptCount val="24"/>
                <c:pt idx="0">
                  <c:v>236</c:v>
                </c:pt>
                <c:pt idx="1">
                  <c:v>220</c:v>
                </c:pt>
                <c:pt idx="2">
                  <c:v>167</c:v>
                </c:pt>
                <c:pt idx="3">
                  <c:v>185</c:v>
                </c:pt>
                <c:pt idx="4">
                  <c:v>172</c:v>
                </c:pt>
                <c:pt idx="5">
                  <c:v>187</c:v>
                </c:pt>
                <c:pt idx="6">
                  <c:v>198</c:v>
                </c:pt>
                <c:pt idx="7">
                  <c:v>224</c:v>
                </c:pt>
                <c:pt idx="8">
                  <c:v>163</c:v>
                </c:pt>
                <c:pt idx="9">
                  <c:v>167</c:v>
                </c:pt>
                <c:pt idx="10">
                  <c:v>188</c:v>
                </c:pt>
                <c:pt idx="11">
                  <c:v>192</c:v>
                </c:pt>
                <c:pt idx="12">
                  <c:v>231</c:v>
                </c:pt>
                <c:pt idx="13">
                  <c:v>215</c:v>
                </c:pt>
                <c:pt idx="14">
                  <c:v>281</c:v>
                </c:pt>
                <c:pt idx="15">
                  <c:v>248</c:v>
                </c:pt>
                <c:pt idx="16">
                  <c:v>214</c:v>
                </c:pt>
                <c:pt idx="17">
                  <c:v>130</c:v>
                </c:pt>
                <c:pt idx="18">
                  <c:v>37</c:v>
                </c:pt>
                <c:pt idx="19">
                  <c:v>27</c:v>
                </c:pt>
                <c:pt idx="20">
                  <c:v>11</c:v>
                </c:pt>
                <c:pt idx="21">
                  <c:v>28</c:v>
                </c:pt>
                <c:pt idx="22">
                  <c:v>51</c:v>
                </c:pt>
                <c:pt idx="23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3149472"/>
        <c:axId val="-2053148384"/>
      </c:lineChart>
      <c:catAx>
        <c:axId val="-2053149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48384"/>
        <c:crosses val="autoZero"/>
        <c:auto val="1"/>
        <c:lblAlgn val="ctr"/>
        <c:lblOffset val="100"/>
        <c:noMultiLvlLbl val="0"/>
      </c:catAx>
      <c:valAx>
        <c:axId val="-2053148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4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Kitemu-Buddo'!$C$107:$N$107</c:f>
              <c:numCache>
                <c:formatCode>General</c:formatCode>
                <c:ptCount val="12"/>
                <c:pt idx="0">
                  <c:v>6.8521380731581663E-2</c:v>
                </c:pt>
                <c:pt idx="1">
                  <c:v>1.056156620298815E-2</c:v>
                </c:pt>
                <c:pt idx="2">
                  <c:v>1.2364760432766615E-2</c:v>
                </c:pt>
                <c:pt idx="3">
                  <c:v>4.9974240082431738E-2</c:v>
                </c:pt>
                <c:pt idx="4">
                  <c:v>4.3791859866048428E-3</c:v>
                </c:pt>
                <c:pt idx="5">
                  <c:v>0</c:v>
                </c:pt>
                <c:pt idx="6">
                  <c:v>1.90623390005152E-2</c:v>
                </c:pt>
                <c:pt idx="7">
                  <c:v>1.056156620298815E-2</c:v>
                </c:pt>
                <c:pt idx="8">
                  <c:v>9.0159711488923232E-3</c:v>
                </c:pt>
                <c:pt idx="9">
                  <c:v>2.5759917568263783E-4</c:v>
                </c:pt>
                <c:pt idx="10">
                  <c:v>0.81530139103554866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Kitemu-Buddo'!$C$108:$N$108</c:f>
              <c:numCache>
                <c:formatCode>General</c:formatCode>
                <c:ptCount val="12"/>
                <c:pt idx="0">
                  <c:v>0.37099023709902373</c:v>
                </c:pt>
                <c:pt idx="1">
                  <c:v>5.7182705718270568E-2</c:v>
                </c:pt>
                <c:pt idx="2">
                  <c:v>6.6945606694560664E-2</c:v>
                </c:pt>
                <c:pt idx="3">
                  <c:v>0.27057182705718269</c:v>
                </c:pt>
                <c:pt idx="4">
                  <c:v>2.3709902370990237E-2</c:v>
                </c:pt>
                <c:pt idx="5">
                  <c:v>0</c:v>
                </c:pt>
                <c:pt idx="6">
                  <c:v>0.10320781032078104</c:v>
                </c:pt>
                <c:pt idx="7">
                  <c:v>5.7182705718270568E-2</c:v>
                </c:pt>
                <c:pt idx="8">
                  <c:v>4.8814504881450491E-2</c:v>
                </c:pt>
                <c:pt idx="9">
                  <c:v>1.3947001394700139E-3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Buddo-Kitemu-24HRS'!$AE$9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Buddo-Kitemu-24HRS'!$R$10:$R$33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Buddo-Kitemu-24HRS'!$AE$10:$AE$33</c:f>
              <c:numCache>
                <c:formatCode>0</c:formatCode>
                <c:ptCount val="24"/>
                <c:pt idx="0">
                  <c:v>58</c:v>
                </c:pt>
                <c:pt idx="1">
                  <c:v>35</c:v>
                </c:pt>
                <c:pt idx="2">
                  <c:v>35</c:v>
                </c:pt>
                <c:pt idx="3">
                  <c:v>101</c:v>
                </c:pt>
                <c:pt idx="4">
                  <c:v>39</c:v>
                </c:pt>
                <c:pt idx="5">
                  <c:v>31</c:v>
                </c:pt>
                <c:pt idx="6">
                  <c:v>30</c:v>
                </c:pt>
                <c:pt idx="7">
                  <c:v>35</c:v>
                </c:pt>
                <c:pt idx="8">
                  <c:v>26</c:v>
                </c:pt>
                <c:pt idx="9">
                  <c:v>39</c:v>
                </c:pt>
                <c:pt idx="10">
                  <c:v>47</c:v>
                </c:pt>
                <c:pt idx="11">
                  <c:v>42</c:v>
                </c:pt>
                <c:pt idx="12">
                  <c:v>28</c:v>
                </c:pt>
                <c:pt idx="13">
                  <c:v>29</c:v>
                </c:pt>
                <c:pt idx="14">
                  <c:v>13</c:v>
                </c:pt>
                <c:pt idx="15">
                  <c:v>9</c:v>
                </c:pt>
                <c:pt idx="16">
                  <c:v>12</c:v>
                </c:pt>
                <c:pt idx="17">
                  <c:v>3</c:v>
                </c:pt>
                <c:pt idx="18">
                  <c:v>1</c:v>
                </c:pt>
                <c:pt idx="19">
                  <c:v>0</c:v>
                </c:pt>
                <c:pt idx="20">
                  <c:v>7</c:v>
                </c:pt>
                <c:pt idx="21">
                  <c:v>7</c:v>
                </c:pt>
                <c:pt idx="22">
                  <c:v>31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Buddo-Kitemu-24HRS'!$AF$9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Buddo-Kitemu-24HRS'!$R$10:$R$33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Buddo-Kitemu-24HRS'!$AF$10:$AF$33</c:f>
              <c:numCache>
                <c:formatCode>0</c:formatCode>
                <c:ptCount val="24"/>
                <c:pt idx="0">
                  <c:v>357</c:v>
                </c:pt>
                <c:pt idx="1">
                  <c:v>243</c:v>
                </c:pt>
                <c:pt idx="2">
                  <c:v>210</c:v>
                </c:pt>
                <c:pt idx="3">
                  <c:v>320</c:v>
                </c:pt>
                <c:pt idx="4">
                  <c:v>229</c:v>
                </c:pt>
                <c:pt idx="5">
                  <c:v>194</c:v>
                </c:pt>
                <c:pt idx="6">
                  <c:v>172</c:v>
                </c:pt>
                <c:pt idx="7">
                  <c:v>161</c:v>
                </c:pt>
                <c:pt idx="8">
                  <c:v>141</c:v>
                </c:pt>
                <c:pt idx="9">
                  <c:v>180</c:v>
                </c:pt>
                <c:pt idx="10">
                  <c:v>220</c:v>
                </c:pt>
                <c:pt idx="11">
                  <c:v>211</c:v>
                </c:pt>
                <c:pt idx="12">
                  <c:v>228</c:v>
                </c:pt>
                <c:pt idx="13">
                  <c:v>225</c:v>
                </c:pt>
                <c:pt idx="14">
                  <c:v>182</c:v>
                </c:pt>
                <c:pt idx="15">
                  <c:v>96</c:v>
                </c:pt>
                <c:pt idx="16">
                  <c:v>103</c:v>
                </c:pt>
                <c:pt idx="17">
                  <c:v>56</c:v>
                </c:pt>
                <c:pt idx="18">
                  <c:v>19</c:v>
                </c:pt>
                <c:pt idx="19">
                  <c:v>10</c:v>
                </c:pt>
                <c:pt idx="20">
                  <c:v>9</c:v>
                </c:pt>
                <c:pt idx="21">
                  <c:v>14</c:v>
                </c:pt>
                <c:pt idx="22">
                  <c:v>47</c:v>
                </c:pt>
                <c:pt idx="23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3150016"/>
        <c:axId val="-2050962016"/>
      </c:lineChart>
      <c:catAx>
        <c:axId val="-2053150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62016"/>
        <c:crosses val="autoZero"/>
        <c:auto val="1"/>
        <c:lblAlgn val="ctr"/>
        <c:lblOffset val="100"/>
        <c:noMultiLvlLbl val="0"/>
      </c:catAx>
      <c:valAx>
        <c:axId val="-2050962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315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Buddo-Kitemu-24HRS'!$C$9:$N$9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Buddo-Kitemu-24HRS'!$C$107:$N$107</c:f>
              <c:numCache>
                <c:formatCode>0.0%</c:formatCode>
                <c:ptCount val="12"/>
                <c:pt idx="0">
                  <c:v>7.7046121034390833E-2</c:v>
                </c:pt>
                <c:pt idx="1">
                  <c:v>7.9978672354038931E-3</c:v>
                </c:pt>
                <c:pt idx="2">
                  <c:v>1.0130631831511597E-2</c:v>
                </c:pt>
                <c:pt idx="3">
                  <c:v>2.3460410557184751E-2</c:v>
                </c:pt>
                <c:pt idx="4">
                  <c:v>5.0653159157557984E-3</c:v>
                </c:pt>
                <c:pt idx="5">
                  <c:v>0</c:v>
                </c:pt>
                <c:pt idx="6">
                  <c:v>2.8259130898427087E-2</c:v>
                </c:pt>
                <c:pt idx="7">
                  <c:v>1.3862969874700081E-2</c:v>
                </c:pt>
                <c:pt idx="8">
                  <c:v>5.5985070647827243E-3</c:v>
                </c:pt>
                <c:pt idx="9">
                  <c:v>0</c:v>
                </c:pt>
                <c:pt idx="10">
                  <c:v>0.81205011996800858</c:v>
                </c:pt>
                <c:pt idx="11">
                  <c:v>1.6528925619834711E-2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Buddo-Kitemu-24HRS'!$C$9:$N$9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Buddo-Kitemu-24HRS'!$C$108:$N$108</c:f>
              <c:numCache>
                <c:formatCode>0.00%</c:formatCode>
                <c:ptCount val="12"/>
                <c:pt idx="0">
                  <c:v>0.40992907801418438</c:v>
                </c:pt>
                <c:pt idx="1">
                  <c:v>4.2553191489361701E-2</c:v>
                </c:pt>
                <c:pt idx="2">
                  <c:v>5.3900709219858157E-2</c:v>
                </c:pt>
                <c:pt idx="3">
                  <c:v>0.12482269503546099</c:v>
                </c:pt>
                <c:pt idx="4">
                  <c:v>2.6950354609929079E-2</c:v>
                </c:pt>
                <c:pt idx="5">
                  <c:v>0</c:v>
                </c:pt>
                <c:pt idx="6">
                  <c:v>0.15035460992907801</c:v>
                </c:pt>
                <c:pt idx="7">
                  <c:v>7.3758865248226946E-2</c:v>
                </c:pt>
                <c:pt idx="8">
                  <c:v>2.9787234042553193E-2</c:v>
                </c:pt>
                <c:pt idx="9">
                  <c:v>0</c:v>
                </c:pt>
                <c:pt idx="11">
                  <c:v>8.794326241134752E-2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'[1]27.09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'[1]27.09 Buddo-Kitemu'!$R$10:$R$33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'[1]27.09 Buddo-Kitemu'!$AE$10:$AE$33</c:f>
              <c:numCache>
                <c:formatCode>General</c:formatCode>
                <c:ptCount val="24"/>
                <c:pt idx="0">
                  <c:v>58</c:v>
                </c:pt>
                <c:pt idx="1">
                  <c:v>35</c:v>
                </c:pt>
                <c:pt idx="2">
                  <c:v>35</c:v>
                </c:pt>
                <c:pt idx="3">
                  <c:v>101</c:v>
                </c:pt>
                <c:pt idx="4">
                  <c:v>39</c:v>
                </c:pt>
                <c:pt idx="5">
                  <c:v>31</c:v>
                </c:pt>
                <c:pt idx="6">
                  <c:v>30</c:v>
                </c:pt>
                <c:pt idx="7">
                  <c:v>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'[1]27.09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'[1]27.09 Buddo-Kitemu'!$R$10:$R$33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'[1]27.09 Buddo-Kitemu'!$AF$10:$AF$33</c:f>
              <c:numCache>
                <c:formatCode>General</c:formatCode>
                <c:ptCount val="24"/>
                <c:pt idx="0">
                  <c:v>357</c:v>
                </c:pt>
                <c:pt idx="1">
                  <c:v>243</c:v>
                </c:pt>
                <c:pt idx="2">
                  <c:v>210</c:v>
                </c:pt>
                <c:pt idx="3">
                  <c:v>320</c:v>
                </c:pt>
                <c:pt idx="4">
                  <c:v>229</c:v>
                </c:pt>
                <c:pt idx="5">
                  <c:v>194</c:v>
                </c:pt>
                <c:pt idx="6">
                  <c:v>172</c:v>
                </c:pt>
                <c:pt idx="7">
                  <c:v>161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0970176"/>
        <c:axId val="-2050958752"/>
      </c:lineChart>
      <c:catAx>
        <c:axId val="-2050970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58752"/>
        <c:crosses val="autoZero"/>
        <c:auto val="1"/>
        <c:lblAlgn val="ctr"/>
        <c:lblOffset val="100"/>
        <c:noMultiLvlLbl val="0"/>
      </c:catAx>
      <c:valAx>
        <c:axId val="-205095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7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Buddo-Kitemu'!$C$107:$N$107</c:f>
              <c:numCache>
                <c:formatCode>General</c:formatCode>
                <c:ptCount val="12"/>
                <c:pt idx="0">
                  <c:v>7.9533404029692473E-2</c:v>
                </c:pt>
                <c:pt idx="1">
                  <c:v>4.7720042417815486E-3</c:v>
                </c:pt>
                <c:pt idx="2">
                  <c:v>1.1134676564156946E-2</c:v>
                </c:pt>
                <c:pt idx="3">
                  <c:v>1.4846235418875928E-2</c:v>
                </c:pt>
                <c:pt idx="4">
                  <c:v>1.5906680805938495E-3</c:v>
                </c:pt>
                <c:pt idx="5">
                  <c:v>0</c:v>
                </c:pt>
                <c:pt idx="6">
                  <c:v>3.5524920466595972E-2</c:v>
                </c:pt>
                <c:pt idx="7">
                  <c:v>1.1134676564156946E-2</c:v>
                </c:pt>
                <c:pt idx="8">
                  <c:v>1.5906680805938495E-3</c:v>
                </c:pt>
                <c:pt idx="9">
                  <c:v>0</c:v>
                </c:pt>
                <c:pt idx="10">
                  <c:v>0.80699893955461299</c:v>
                </c:pt>
                <c:pt idx="11">
                  <c:v>3.2873806998939555E-2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'[1]27.09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'[1]27.09 Buddo-Kitemu'!$C$108:$N$108</c:f>
              <c:numCache>
                <c:formatCode>General</c:formatCode>
                <c:ptCount val="12"/>
                <c:pt idx="0">
                  <c:v>0.41208791208791207</c:v>
                </c:pt>
                <c:pt idx="1">
                  <c:v>2.4725274725274724E-2</c:v>
                </c:pt>
                <c:pt idx="2">
                  <c:v>5.7692307692307696E-2</c:v>
                </c:pt>
                <c:pt idx="3">
                  <c:v>7.6923076923076927E-2</c:v>
                </c:pt>
                <c:pt idx="4">
                  <c:v>8.241758241758242E-3</c:v>
                </c:pt>
                <c:pt idx="5">
                  <c:v>0</c:v>
                </c:pt>
                <c:pt idx="6">
                  <c:v>0.18406593406593408</c:v>
                </c:pt>
                <c:pt idx="7">
                  <c:v>5.7692307692307696E-2</c:v>
                </c:pt>
                <c:pt idx="8">
                  <c:v>8.241758241758242E-3</c:v>
                </c:pt>
                <c:pt idx="9">
                  <c:v>0</c:v>
                </c:pt>
                <c:pt idx="11">
                  <c:v>0.17032967032967034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Kitemu-Buddo'!$AE$10:$AE$21</c:f>
              <c:numCache>
                <c:formatCode>0</c:formatCode>
                <c:ptCount val="12"/>
                <c:pt idx="0">
                  <c:v>32</c:v>
                </c:pt>
                <c:pt idx="1">
                  <c:v>28</c:v>
                </c:pt>
                <c:pt idx="2">
                  <c:v>18</c:v>
                </c:pt>
                <c:pt idx="3">
                  <c:v>37</c:v>
                </c:pt>
                <c:pt idx="4">
                  <c:v>36</c:v>
                </c:pt>
                <c:pt idx="5">
                  <c:v>38</c:v>
                </c:pt>
                <c:pt idx="6">
                  <c:v>36</c:v>
                </c:pt>
                <c:pt idx="7">
                  <c:v>20</c:v>
                </c:pt>
                <c:pt idx="8">
                  <c:v>22</c:v>
                </c:pt>
                <c:pt idx="9">
                  <c:v>33</c:v>
                </c:pt>
                <c:pt idx="10">
                  <c:v>48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Kitemu-Buddo'!$AF$10:$AF$21</c:f>
              <c:numCache>
                <c:formatCode>0</c:formatCode>
                <c:ptCount val="12"/>
                <c:pt idx="0">
                  <c:v>187</c:v>
                </c:pt>
                <c:pt idx="1">
                  <c:v>220</c:v>
                </c:pt>
                <c:pt idx="2">
                  <c:v>187</c:v>
                </c:pt>
                <c:pt idx="3">
                  <c:v>208</c:v>
                </c:pt>
                <c:pt idx="4">
                  <c:v>179</c:v>
                </c:pt>
                <c:pt idx="5">
                  <c:v>121</c:v>
                </c:pt>
                <c:pt idx="6">
                  <c:v>167</c:v>
                </c:pt>
                <c:pt idx="7">
                  <c:v>102</c:v>
                </c:pt>
                <c:pt idx="8">
                  <c:v>97</c:v>
                </c:pt>
                <c:pt idx="9">
                  <c:v>183</c:v>
                </c:pt>
                <c:pt idx="10">
                  <c:v>236</c:v>
                </c:pt>
                <c:pt idx="11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0957120"/>
        <c:axId val="-2050956576"/>
      </c:lineChart>
      <c:catAx>
        <c:axId val="-2050957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56576"/>
        <c:crosses val="autoZero"/>
        <c:auto val="1"/>
        <c:lblAlgn val="ctr"/>
        <c:lblOffset val="100"/>
        <c:noMultiLvlLbl val="0"/>
      </c:catAx>
      <c:valAx>
        <c:axId val="-205095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5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Kitemu-Buddo'!$C$59:$N$59</c:f>
              <c:numCache>
                <c:formatCode>0.0%</c:formatCode>
                <c:ptCount val="12"/>
                <c:pt idx="0">
                  <c:v>7.0549242424242431E-2</c:v>
                </c:pt>
                <c:pt idx="1">
                  <c:v>1.3257575757575758E-2</c:v>
                </c:pt>
                <c:pt idx="2">
                  <c:v>8.5227272727272721E-3</c:v>
                </c:pt>
                <c:pt idx="3">
                  <c:v>4.7821969696969696E-2</c:v>
                </c:pt>
                <c:pt idx="4">
                  <c:v>4.734848484848485E-3</c:v>
                </c:pt>
                <c:pt idx="5">
                  <c:v>1.4204545454545455E-3</c:v>
                </c:pt>
                <c:pt idx="6">
                  <c:v>2.6515151515151516E-2</c:v>
                </c:pt>
                <c:pt idx="7">
                  <c:v>6.628787878787879E-3</c:v>
                </c:pt>
                <c:pt idx="8">
                  <c:v>4.734848484848485E-3</c:v>
                </c:pt>
                <c:pt idx="9">
                  <c:v>0</c:v>
                </c:pt>
                <c:pt idx="10">
                  <c:v>0.81581439393939392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Kitemu-Buddo'!$S$9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Kitemu-Buddo'!$S$10:$S$21</c:f>
              <c:numCache>
                <c:formatCode>0</c:formatCode>
                <c:ptCount val="12"/>
                <c:pt idx="0">
                  <c:v>14</c:v>
                </c:pt>
                <c:pt idx="1">
                  <c:v>6</c:v>
                </c:pt>
                <c:pt idx="2">
                  <c:v>6</c:v>
                </c:pt>
                <c:pt idx="3">
                  <c:v>18</c:v>
                </c:pt>
                <c:pt idx="4">
                  <c:v>13</c:v>
                </c:pt>
                <c:pt idx="5">
                  <c:v>13</c:v>
                </c:pt>
                <c:pt idx="6">
                  <c:v>15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19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Kitemu-Buddo'!$T$9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Kitemu-Buddo'!$T$10:$T$21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Kitemu-Buddo'!$U$9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Kitemu-Buddo'!$V$9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Kitemu-Buddo'!$V$10:$V$21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3</c:v>
                </c:pt>
                <c:pt idx="3">
                  <c:v>6</c:v>
                </c:pt>
                <c:pt idx="4">
                  <c:v>8</c:v>
                </c:pt>
                <c:pt idx="5">
                  <c:v>17</c:v>
                </c:pt>
                <c:pt idx="6">
                  <c:v>10</c:v>
                </c:pt>
                <c:pt idx="7">
                  <c:v>4</c:v>
                </c:pt>
                <c:pt idx="8">
                  <c:v>6</c:v>
                </c:pt>
                <c:pt idx="9">
                  <c:v>10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Kitemu-Buddo'!$W$9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Kitemu-Buddo'!$X$9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Kitemu-Buddo'!$Y$9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Kitemu-Buddo'!$Z$9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Kitemu-Buddo'!$AA$9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Kitemu-Buddo'!$AB$9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Kitemu-Buddo'!$AC$9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Kitemu-Buddo'!$AC$10:$AC$21</c:f>
              <c:numCache>
                <c:formatCode>0</c:formatCode>
                <c:ptCount val="12"/>
                <c:pt idx="0">
                  <c:v>155</c:v>
                </c:pt>
                <c:pt idx="1">
                  <c:v>192</c:v>
                </c:pt>
                <c:pt idx="2">
                  <c:v>169</c:v>
                </c:pt>
                <c:pt idx="3">
                  <c:v>171</c:v>
                </c:pt>
                <c:pt idx="4">
                  <c:v>143</c:v>
                </c:pt>
                <c:pt idx="5">
                  <c:v>83</c:v>
                </c:pt>
                <c:pt idx="6">
                  <c:v>131</c:v>
                </c:pt>
                <c:pt idx="7">
                  <c:v>82</c:v>
                </c:pt>
                <c:pt idx="8">
                  <c:v>75</c:v>
                </c:pt>
                <c:pt idx="9">
                  <c:v>150</c:v>
                </c:pt>
                <c:pt idx="10">
                  <c:v>188</c:v>
                </c:pt>
                <c:pt idx="11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Kitemu-Buddo'!$AD$9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Kitemu-Buddo'!$AD$10:$AD$21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50960384"/>
        <c:axId val="-2050968544"/>
      </c:lineChart>
      <c:catAx>
        <c:axId val="-2050960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68544"/>
        <c:crosses val="autoZero"/>
        <c:auto val="1"/>
        <c:lblAlgn val="ctr"/>
        <c:lblOffset val="100"/>
        <c:noMultiLvlLbl val="0"/>
      </c:catAx>
      <c:valAx>
        <c:axId val="-205096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6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Kitemu-Buddo'!$C$60:$N$60</c:f>
              <c:numCache>
                <c:formatCode>0.00%</c:formatCode>
                <c:ptCount val="12"/>
                <c:pt idx="0">
                  <c:v>0.38303341902313626</c:v>
                </c:pt>
                <c:pt idx="1">
                  <c:v>7.1979434447300775E-2</c:v>
                </c:pt>
                <c:pt idx="2">
                  <c:v>4.6272493573264781E-2</c:v>
                </c:pt>
                <c:pt idx="3">
                  <c:v>0.25964010282776351</c:v>
                </c:pt>
                <c:pt idx="4">
                  <c:v>2.570694087403599E-2</c:v>
                </c:pt>
                <c:pt idx="5">
                  <c:v>7.7120822622107968E-3</c:v>
                </c:pt>
                <c:pt idx="6">
                  <c:v>0.14395886889460155</c:v>
                </c:pt>
                <c:pt idx="7">
                  <c:v>3.5989717223650387E-2</c:v>
                </c:pt>
                <c:pt idx="8">
                  <c:v>2.570694087403599E-2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Buddo-Kitemu'!$AE$10:$AE$21</c:f>
              <c:numCache>
                <c:formatCode>0</c:formatCode>
                <c:ptCount val="12"/>
                <c:pt idx="0">
                  <c:v>47</c:v>
                </c:pt>
                <c:pt idx="1">
                  <c:v>45</c:v>
                </c:pt>
                <c:pt idx="2">
                  <c:v>42</c:v>
                </c:pt>
                <c:pt idx="3">
                  <c:v>35</c:v>
                </c:pt>
                <c:pt idx="4">
                  <c:v>28</c:v>
                </c:pt>
                <c:pt idx="5">
                  <c:v>31</c:v>
                </c:pt>
                <c:pt idx="6">
                  <c:v>18</c:v>
                </c:pt>
                <c:pt idx="7">
                  <c:v>19</c:v>
                </c:pt>
                <c:pt idx="8">
                  <c:v>18</c:v>
                </c:pt>
                <c:pt idx="9">
                  <c:v>30</c:v>
                </c:pt>
                <c:pt idx="10">
                  <c:v>42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Buddo-Kitemu'!$AF$10:$AF$21</c:f>
              <c:numCache>
                <c:formatCode>0</c:formatCode>
                <c:ptCount val="12"/>
                <c:pt idx="0">
                  <c:v>298</c:v>
                </c:pt>
                <c:pt idx="1">
                  <c:v>285</c:v>
                </c:pt>
                <c:pt idx="2">
                  <c:v>231</c:v>
                </c:pt>
                <c:pt idx="3">
                  <c:v>195</c:v>
                </c:pt>
                <c:pt idx="4">
                  <c:v>145</c:v>
                </c:pt>
                <c:pt idx="5">
                  <c:v>104</c:v>
                </c:pt>
                <c:pt idx="6">
                  <c:v>153</c:v>
                </c:pt>
                <c:pt idx="7">
                  <c:v>84</c:v>
                </c:pt>
                <c:pt idx="8">
                  <c:v>82</c:v>
                </c:pt>
                <c:pt idx="9">
                  <c:v>152</c:v>
                </c:pt>
                <c:pt idx="10">
                  <c:v>173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0966368"/>
        <c:axId val="-2050965824"/>
      </c:lineChart>
      <c:catAx>
        <c:axId val="-2050966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65824"/>
        <c:crosses val="autoZero"/>
        <c:auto val="1"/>
        <c:lblAlgn val="ctr"/>
        <c:lblOffset val="100"/>
        <c:noMultiLvlLbl val="0"/>
      </c:catAx>
      <c:valAx>
        <c:axId val="-2050965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09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Buddo-Kitemu'!$C$59:$N$59</c:f>
              <c:numCache>
                <c:formatCode>0.0%</c:formatCode>
                <c:ptCount val="12"/>
                <c:pt idx="0">
                  <c:v>8.459357277882798E-2</c:v>
                </c:pt>
                <c:pt idx="1">
                  <c:v>1.3232514177693762E-2</c:v>
                </c:pt>
                <c:pt idx="2">
                  <c:v>1.7013232514177693E-2</c:v>
                </c:pt>
                <c:pt idx="3">
                  <c:v>2.2211720226843101E-2</c:v>
                </c:pt>
                <c:pt idx="4">
                  <c:v>5.6710775047258983E-3</c:v>
                </c:pt>
                <c:pt idx="5">
                  <c:v>0</c:v>
                </c:pt>
                <c:pt idx="6">
                  <c:v>2.6465028355387523E-2</c:v>
                </c:pt>
                <c:pt idx="7">
                  <c:v>1.6068052930056712E-2</c:v>
                </c:pt>
                <c:pt idx="8">
                  <c:v>1.4177693761814746E-3</c:v>
                </c:pt>
                <c:pt idx="9">
                  <c:v>0</c:v>
                </c:pt>
                <c:pt idx="10">
                  <c:v>0.81332703213610591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Buddo-Kitemu'!$S$9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Buddo-Kitemu'!$S$10:$S$21</c:f>
              <c:numCache>
                <c:formatCode>0</c:formatCode>
                <c:ptCount val="12"/>
                <c:pt idx="0">
                  <c:v>19</c:v>
                </c:pt>
                <c:pt idx="1">
                  <c:v>30</c:v>
                </c:pt>
                <c:pt idx="2">
                  <c:v>13</c:v>
                </c:pt>
                <c:pt idx="3">
                  <c:v>17</c:v>
                </c:pt>
                <c:pt idx="4">
                  <c:v>9</c:v>
                </c:pt>
                <c:pt idx="5">
                  <c:v>10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25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Buddo-Kitemu'!$T$9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Buddo-Kitemu'!$T$10:$T$21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Buddo-Kitemu'!$U$9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Buddo-Kitemu'!$U$10:$U$21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10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Buddo-Kitemu'!$V$9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Buddo-Kitemu'!$V$10:$V$21</c:f>
              <c:numCache>
                <c:formatCode>0</c:formatCode>
                <c:ptCount val="12"/>
                <c:pt idx="0">
                  <c:v>11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Buddo-Kitemu'!$W$9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Buddo-Kitemu'!$X$9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Buddo-Kitemu'!$Y$9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Buddo-Kitemu'!$Y$10:$Y$21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12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Buddo-Kitemu'!$Z$9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Buddo-Kitemu'!$Z$10:$Z$21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Buddo-Kitemu'!$AA$9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Buddo-Kitemu'!$AB$9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Buddo-Kitemu'!$AC$9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Buddo-Kitemu'!$AC$10:$AC$21</c:f>
              <c:numCache>
                <c:formatCode>0</c:formatCode>
                <c:ptCount val="12"/>
                <c:pt idx="0">
                  <c:v>251</c:v>
                </c:pt>
                <c:pt idx="1">
                  <c:v>240</c:v>
                </c:pt>
                <c:pt idx="2">
                  <c:v>189</c:v>
                </c:pt>
                <c:pt idx="3">
                  <c:v>160</c:v>
                </c:pt>
                <c:pt idx="4">
                  <c:v>117</c:v>
                </c:pt>
                <c:pt idx="5">
                  <c:v>73</c:v>
                </c:pt>
                <c:pt idx="6">
                  <c:v>135</c:v>
                </c:pt>
                <c:pt idx="7">
                  <c:v>65</c:v>
                </c:pt>
                <c:pt idx="8">
                  <c:v>64</c:v>
                </c:pt>
                <c:pt idx="9">
                  <c:v>122</c:v>
                </c:pt>
                <c:pt idx="10">
                  <c:v>131</c:v>
                </c:pt>
                <c:pt idx="11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Buddo-Kitemu'!$AD$9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Buddo-Kitemu'!$AD$10:$AD$21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9645104"/>
        <c:axId val="-2049643472"/>
      </c:lineChart>
      <c:catAx>
        <c:axId val="-204964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3472"/>
        <c:crosses val="autoZero"/>
        <c:auto val="1"/>
        <c:lblAlgn val="ctr"/>
        <c:lblOffset val="100"/>
        <c:noMultiLvlLbl val="0"/>
      </c:catAx>
      <c:valAx>
        <c:axId val="-204964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Buddo-Kitemu'!$C$60:$N$60</c:f>
              <c:numCache>
                <c:formatCode>0.00%</c:formatCode>
                <c:ptCount val="12"/>
                <c:pt idx="0">
                  <c:v>0.45316455696202529</c:v>
                </c:pt>
                <c:pt idx="1">
                  <c:v>7.0886075949367092E-2</c:v>
                </c:pt>
                <c:pt idx="2">
                  <c:v>9.1139240506329114E-2</c:v>
                </c:pt>
                <c:pt idx="3">
                  <c:v>0.11898734177215189</c:v>
                </c:pt>
                <c:pt idx="4">
                  <c:v>3.0379746835443037E-2</c:v>
                </c:pt>
                <c:pt idx="5">
                  <c:v>0</c:v>
                </c:pt>
                <c:pt idx="6">
                  <c:v>0.14177215189873418</c:v>
                </c:pt>
                <c:pt idx="7">
                  <c:v>8.6075949367088608E-2</c:v>
                </c:pt>
                <c:pt idx="8">
                  <c:v>7.5949367088607592E-3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Kitemu-Buddo-24HRS'!$AE$9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Kitemu-Buddo-24HRS'!$R$10:$R$33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Kitemu-Buddo-24HRS'!$AE$10:$AE$33</c:f>
              <c:numCache>
                <c:formatCode>0</c:formatCode>
                <c:ptCount val="24"/>
                <c:pt idx="0">
                  <c:v>37</c:v>
                </c:pt>
                <c:pt idx="1">
                  <c:v>33</c:v>
                </c:pt>
                <c:pt idx="2">
                  <c:v>46</c:v>
                </c:pt>
                <c:pt idx="3">
                  <c:v>40</c:v>
                </c:pt>
                <c:pt idx="4">
                  <c:v>49</c:v>
                </c:pt>
                <c:pt idx="5">
                  <c:v>39</c:v>
                </c:pt>
                <c:pt idx="6">
                  <c:v>38</c:v>
                </c:pt>
                <c:pt idx="7">
                  <c:v>36</c:v>
                </c:pt>
                <c:pt idx="8">
                  <c:v>45</c:v>
                </c:pt>
                <c:pt idx="9">
                  <c:v>48</c:v>
                </c:pt>
                <c:pt idx="10">
                  <c:v>39</c:v>
                </c:pt>
                <c:pt idx="11">
                  <c:v>49</c:v>
                </c:pt>
                <c:pt idx="12">
                  <c:v>48</c:v>
                </c:pt>
                <c:pt idx="13">
                  <c:v>45</c:v>
                </c:pt>
                <c:pt idx="14">
                  <c:v>32</c:v>
                </c:pt>
                <c:pt idx="15">
                  <c:v>46</c:v>
                </c:pt>
                <c:pt idx="16">
                  <c:v>31</c:v>
                </c:pt>
                <c:pt idx="17">
                  <c:v>26</c:v>
                </c:pt>
                <c:pt idx="18">
                  <c:v>18</c:v>
                </c:pt>
                <c:pt idx="19">
                  <c:v>5</c:v>
                </c:pt>
                <c:pt idx="20">
                  <c:v>11</c:v>
                </c:pt>
                <c:pt idx="21">
                  <c:v>21</c:v>
                </c:pt>
                <c:pt idx="22">
                  <c:v>38</c:v>
                </c:pt>
                <c:pt idx="23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Kitemu-Buddo-24HRS'!$AF$9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Kitemu-Buddo-24HRS'!$R$10:$R$33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Kitemu-Buddo-24HRS'!$AF$10:$AF$33</c:f>
              <c:numCache>
                <c:formatCode>0</c:formatCode>
                <c:ptCount val="24"/>
                <c:pt idx="0">
                  <c:v>180</c:v>
                </c:pt>
                <c:pt idx="1">
                  <c:v>259</c:v>
                </c:pt>
                <c:pt idx="2">
                  <c:v>236</c:v>
                </c:pt>
                <c:pt idx="3">
                  <c:v>199</c:v>
                </c:pt>
                <c:pt idx="4">
                  <c:v>187</c:v>
                </c:pt>
                <c:pt idx="5">
                  <c:v>176</c:v>
                </c:pt>
                <c:pt idx="6">
                  <c:v>174</c:v>
                </c:pt>
                <c:pt idx="7">
                  <c:v>191</c:v>
                </c:pt>
                <c:pt idx="8">
                  <c:v>197</c:v>
                </c:pt>
                <c:pt idx="9">
                  <c:v>187</c:v>
                </c:pt>
                <c:pt idx="10">
                  <c:v>155</c:v>
                </c:pt>
                <c:pt idx="11">
                  <c:v>141</c:v>
                </c:pt>
                <c:pt idx="12">
                  <c:v>218</c:v>
                </c:pt>
                <c:pt idx="13">
                  <c:v>233</c:v>
                </c:pt>
                <c:pt idx="14">
                  <c:v>229</c:v>
                </c:pt>
                <c:pt idx="15">
                  <c:v>247</c:v>
                </c:pt>
                <c:pt idx="16">
                  <c:v>215</c:v>
                </c:pt>
                <c:pt idx="17">
                  <c:v>155</c:v>
                </c:pt>
                <c:pt idx="18">
                  <c:v>117</c:v>
                </c:pt>
                <c:pt idx="19">
                  <c:v>74</c:v>
                </c:pt>
                <c:pt idx="20">
                  <c:v>77</c:v>
                </c:pt>
                <c:pt idx="21">
                  <c:v>115</c:v>
                </c:pt>
                <c:pt idx="22">
                  <c:v>165</c:v>
                </c:pt>
                <c:pt idx="23">
                  <c:v>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9646736"/>
        <c:axId val="-2049641840"/>
      </c:lineChart>
      <c:catAx>
        <c:axId val="-2049646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1840"/>
        <c:crosses val="autoZero"/>
        <c:auto val="1"/>
        <c:lblAlgn val="ctr"/>
        <c:lblOffset val="100"/>
        <c:noMultiLvlLbl val="0"/>
      </c:catAx>
      <c:valAx>
        <c:axId val="-2049641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Kitemu-Buddo-24HRS'!$C$9:$N$9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Kitemu-Buddo-24HRS'!$C$107:$N$107</c:f>
              <c:numCache>
                <c:formatCode>0.0%</c:formatCode>
                <c:ptCount val="12"/>
                <c:pt idx="0">
                  <c:v>7.3613986657464922E-2</c:v>
                </c:pt>
                <c:pt idx="1">
                  <c:v>1.3802622498274672E-2</c:v>
                </c:pt>
                <c:pt idx="2">
                  <c:v>9.6618357487922701E-3</c:v>
                </c:pt>
                <c:pt idx="3">
                  <c:v>5.1529790660225443E-2</c:v>
                </c:pt>
                <c:pt idx="4">
                  <c:v>1.3802622498274672E-3</c:v>
                </c:pt>
                <c:pt idx="5">
                  <c:v>2.3004370830457787E-4</c:v>
                </c:pt>
                <c:pt idx="6">
                  <c:v>2.8755463538072235E-2</c:v>
                </c:pt>
                <c:pt idx="7">
                  <c:v>1.4952841039797561E-2</c:v>
                </c:pt>
                <c:pt idx="8">
                  <c:v>4.830917874396135E-3</c:v>
                </c:pt>
                <c:pt idx="9">
                  <c:v>0</c:v>
                </c:pt>
                <c:pt idx="10">
                  <c:v>0.80124223602484468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Kitemu-Buddo-24HRS'!$C$9:$N$9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Kitemu-Buddo-24HRS'!$C$108:$N$108</c:f>
              <c:numCache>
                <c:formatCode>0.00%</c:formatCode>
                <c:ptCount val="12"/>
                <c:pt idx="0">
                  <c:v>0.37037037037037035</c:v>
                </c:pt>
                <c:pt idx="1">
                  <c:v>6.9444444444444448E-2</c:v>
                </c:pt>
                <c:pt idx="2">
                  <c:v>4.8611111111111112E-2</c:v>
                </c:pt>
                <c:pt idx="3">
                  <c:v>0.25925925925925924</c:v>
                </c:pt>
                <c:pt idx="4">
                  <c:v>6.9444444444444441E-3</c:v>
                </c:pt>
                <c:pt idx="5">
                  <c:v>1.1574074074074073E-3</c:v>
                </c:pt>
                <c:pt idx="6">
                  <c:v>0.14467592592592593</c:v>
                </c:pt>
                <c:pt idx="7">
                  <c:v>7.5231481481481483E-2</c:v>
                </c:pt>
                <c:pt idx="8">
                  <c:v>2.4305555555555556E-2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Kitemu-Buddo-24h'!$AE$9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Kitemu-Buddo-24h'!$R$10:$R$33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Kitemu-Buddo-24h'!$AE$10:$AE$33</c:f>
              <c:numCache>
                <c:formatCode>General</c:formatCode>
                <c:ptCount val="24"/>
                <c:pt idx="0">
                  <c:v>37</c:v>
                </c:pt>
                <c:pt idx="1">
                  <c:v>33</c:v>
                </c:pt>
                <c:pt idx="2">
                  <c:v>46</c:v>
                </c:pt>
                <c:pt idx="3">
                  <c:v>40</c:v>
                </c:pt>
                <c:pt idx="4">
                  <c:v>49</c:v>
                </c:pt>
                <c:pt idx="5">
                  <c:v>39</c:v>
                </c:pt>
                <c:pt idx="6">
                  <c:v>38</c:v>
                </c:pt>
                <c:pt idx="7">
                  <c:v>36</c:v>
                </c:pt>
                <c:pt idx="8">
                  <c:v>45</c:v>
                </c:pt>
                <c:pt idx="9">
                  <c:v>48</c:v>
                </c:pt>
                <c:pt idx="10">
                  <c:v>39</c:v>
                </c:pt>
                <c:pt idx="11">
                  <c:v>49</c:v>
                </c:pt>
                <c:pt idx="12">
                  <c:v>48</c:v>
                </c:pt>
                <c:pt idx="13">
                  <c:v>45</c:v>
                </c:pt>
                <c:pt idx="14">
                  <c:v>32</c:v>
                </c:pt>
                <c:pt idx="15">
                  <c:v>46</c:v>
                </c:pt>
                <c:pt idx="16">
                  <c:v>31</c:v>
                </c:pt>
                <c:pt idx="17">
                  <c:v>26</c:v>
                </c:pt>
                <c:pt idx="18">
                  <c:v>18</c:v>
                </c:pt>
                <c:pt idx="19">
                  <c:v>5</c:v>
                </c:pt>
                <c:pt idx="20">
                  <c:v>11</c:v>
                </c:pt>
                <c:pt idx="21">
                  <c:v>21</c:v>
                </c:pt>
                <c:pt idx="22">
                  <c:v>38</c:v>
                </c:pt>
                <c:pt idx="23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47-445B-9E10-7D1A2529B26F}"/>
            </c:ext>
          </c:extLst>
        </c:ser>
        <c:ser>
          <c:idx val="1"/>
          <c:order val="1"/>
          <c:tx>
            <c:strRef>
              <c:f>'[2]28.09 Kitemu-Buddo-24h'!$AF$9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Kitemu-Buddo-24h'!$R$10:$R$33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Kitemu-Buddo-24h'!$AF$10:$AF$33</c:f>
              <c:numCache>
                <c:formatCode>General</c:formatCode>
                <c:ptCount val="24"/>
                <c:pt idx="0">
                  <c:v>180</c:v>
                </c:pt>
                <c:pt idx="1">
                  <c:v>259</c:v>
                </c:pt>
                <c:pt idx="2">
                  <c:v>236</c:v>
                </c:pt>
                <c:pt idx="3">
                  <c:v>199</c:v>
                </c:pt>
                <c:pt idx="4">
                  <c:v>187</c:v>
                </c:pt>
                <c:pt idx="5">
                  <c:v>176</c:v>
                </c:pt>
                <c:pt idx="6">
                  <c:v>174</c:v>
                </c:pt>
                <c:pt idx="7">
                  <c:v>191</c:v>
                </c:pt>
                <c:pt idx="8">
                  <c:v>197</c:v>
                </c:pt>
                <c:pt idx="9">
                  <c:v>187</c:v>
                </c:pt>
                <c:pt idx="10">
                  <c:v>155</c:v>
                </c:pt>
                <c:pt idx="11">
                  <c:v>141</c:v>
                </c:pt>
                <c:pt idx="12">
                  <c:v>218</c:v>
                </c:pt>
                <c:pt idx="13">
                  <c:v>233</c:v>
                </c:pt>
                <c:pt idx="14">
                  <c:v>229</c:v>
                </c:pt>
                <c:pt idx="15">
                  <c:v>247</c:v>
                </c:pt>
                <c:pt idx="16">
                  <c:v>215</c:v>
                </c:pt>
                <c:pt idx="17">
                  <c:v>155</c:v>
                </c:pt>
                <c:pt idx="18">
                  <c:v>117</c:v>
                </c:pt>
                <c:pt idx="19">
                  <c:v>74</c:v>
                </c:pt>
                <c:pt idx="20">
                  <c:v>77</c:v>
                </c:pt>
                <c:pt idx="21">
                  <c:v>115</c:v>
                </c:pt>
                <c:pt idx="22">
                  <c:v>165</c:v>
                </c:pt>
                <c:pt idx="23">
                  <c:v>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47-445B-9E10-7D1A2529B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9639120"/>
        <c:axId val="-2049636400"/>
      </c:lineChart>
      <c:catAx>
        <c:axId val="-2049639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36400"/>
        <c:crosses val="autoZero"/>
        <c:auto val="1"/>
        <c:lblAlgn val="ctr"/>
        <c:lblOffset val="100"/>
        <c:noMultiLvlLbl val="0"/>
      </c:catAx>
      <c:valAx>
        <c:axId val="-20496364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3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88-413C-9187-B5F55B69E2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88-413C-9187-B5F55B69E2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88-413C-9187-B5F55B69E2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88-413C-9187-B5F55B69E2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88-413C-9187-B5F55B69E2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88-413C-9187-B5F55B69E2A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88-413C-9187-B5F55B69E2A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88-413C-9187-B5F55B69E2A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88-413C-9187-B5F55B69E2A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88-413C-9187-B5F55B69E2A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88-413C-9187-B5F55B69E2A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88-413C-9187-B5F55B69E2A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88-413C-9187-B5F55B69E2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Kitemu-Buddo-24h'!$C$9:$N$9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Kitemu-Buddo-24h'!$C$107:$N$107</c:f>
              <c:numCache>
                <c:formatCode>General</c:formatCode>
                <c:ptCount val="12"/>
                <c:pt idx="0">
                  <c:v>7.3613986657464922E-2</c:v>
                </c:pt>
                <c:pt idx="1">
                  <c:v>1.3802622498274672E-2</c:v>
                </c:pt>
                <c:pt idx="2">
                  <c:v>9.6618357487922701E-3</c:v>
                </c:pt>
                <c:pt idx="3">
                  <c:v>5.1529790660225443E-2</c:v>
                </c:pt>
                <c:pt idx="4">
                  <c:v>1.3802622498274672E-3</c:v>
                </c:pt>
                <c:pt idx="5">
                  <c:v>2.3004370830457787E-4</c:v>
                </c:pt>
                <c:pt idx="6">
                  <c:v>2.8755463538072235E-2</c:v>
                </c:pt>
                <c:pt idx="7">
                  <c:v>1.4952841039797561E-2</c:v>
                </c:pt>
                <c:pt idx="8">
                  <c:v>4.830917874396135E-3</c:v>
                </c:pt>
                <c:pt idx="9">
                  <c:v>0</c:v>
                </c:pt>
                <c:pt idx="10">
                  <c:v>0.80124223602484468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88-413C-9187-B5F55B69E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C39-4F81-8459-578C177C5B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C39-4F81-8459-578C177C5B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C39-4F81-8459-578C177C5BD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C39-4F81-8459-578C177C5BD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C39-4F81-8459-578C177C5BD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C39-4F81-8459-578C177C5B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C39-4F81-8459-578C177C5BD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C39-4F81-8459-578C177C5B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C39-4F81-8459-578C177C5BD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C39-4F81-8459-578C177C5BD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C39-4F81-8459-578C177C5BD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C39-4F81-8459-578C177C5BD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C39-4F81-8459-578C177C5B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Kitemu-Buddo-24h'!$C$9:$N$9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Kitemu-Buddo-24h'!$C$108:$N$108</c:f>
              <c:numCache>
                <c:formatCode>General</c:formatCode>
                <c:ptCount val="12"/>
                <c:pt idx="0">
                  <c:v>0.37037037037037035</c:v>
                </c:pt>
                <c:pt idx="1">
                  <c:v>6.9444444444444448E-2</c:v>
                </c:pt>
                <c:pt idx="2">
                  <c:v>4.8611111111111112E-2</c:v>
                </c:pt>
                <c:pt idx="3">
                  <c:v>0.25925925925925924</c:v>
                </c:pt>
                <c:pt idx="4">
                  <c:v>6.9444444444444441E-3</c:v>
                </c:pt>
                <c:pt idx="5">
                  <c:v>1.1574074074074073E-3</c:v>
                </c:pt>
                <c:pt idx="6">
                  <c:v>0.14467592592592593</c:v>
                </c:pt>
                <c:pt idx="7">
                  <c:v>7.5231481481481483E-2</c:v>
                </c:pt>
                <c:pt idx="8">
                  <c:v>2.4305555555555556E-2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C39-4F81-8459-578C177C5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Buddo-Kitemu-24h'!$AE$9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Buddo-Kitemu-24h'!$R$10:$R$33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Buddo-Kitemu-24h'!$AE$10:$AE$33</c:f>
              <c:numCache>
                <c:formatCode>0</c:formatCode>
                <c:ptCount val="24"/>
                <c:pt idx="0">
                  <c:v>46</c:v>
                </c:pt>
                <c:pt idx="1">
                  <c:v>49</c:v>
                </c:pt>
                <c:pt idx="2">
                  <c:v>78</c:v>
                </c:pt>
                <c:pt idx="3">
                  <c:v>40</c:v>
                </c:pt>
                <c:pt idx="4">
                  <c:v>50</c:v>
                </c:pt>
                <c:pt idx="5">
                  <c:v>25</c:v>
                </c:pt>
                <c:pt idx="6">
                  <c:v>37</c:v>
                </c:pt>
                <c:pt idx="7">
                  <c:v>41</c:v>
                </c:pt>
                <c:pt idx="8">
                  <c:v>27</c:v>
                </c:pt>
                <c:pt idx="9">
                  <c:v>35</c:v>
                </c:pt>
                <c:pt idx="10">
                  <c:v>28</c:v>
                </c:pt>
                <c:pt idx="11">
                  <c:v>56</c:v>
                </c:pt>
                <c:pt idx="12">
                  <c:v>31</c:v>
                </c:pt>
                <c:pt idx="13">
                  <c:v>19</c:v>
                </c:pt>
                <c:pt idx="14">
                  <c:v>18</c:v>
                </c:pt>
                <c:pt idx="15">
                  <c:v>10</c:v>
                </c:pt>
                <c:pt idx="16">
                  <c:v>17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5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Buddo-Kitemu-24h'!$AF$9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Buddo-Kitemu-24h'!$R$10:$R$33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Buddo-Kitemu-24h'!$AF$10:$AF$33</c:f>
              <c:numCache>
                <c:formatCode>0</c:formatCode>
                <c:ptCount val="24"/>
                <c:pt idx="0">
                  <c:v>246</c:v>
                </c:pt>
                <c:pt idx="1">
                  <c:v>290</c:v>
                </c:pt>
                <c:pt idx="2">
                  <c:v>305</c:v>
                </c:pt>
                <c:pt idx="3">
                  <c:v>244</c:v>
                </c:pt>
                <c:pt idx="4">
                  <c:v>213</c:v>
                </c:pt>
                <c:pt idx="5">
                  <c:v>183</c:v>
                </c:pt>
                <c:pt idx="6">
                  <c:v>158</c:v>
                </c:pt>
                <c:pt idx="7">
                  <c:v>156</c:v>
                </c:pt>
                <c:pt idx="8">
                  <c:v>134</c:v>
                </c:pt>
                <c:pt idx="9">
                  <c:v>197</c:v>
                </c:pt>
                <c:pt idx="10">
                  <c:v>124</c:v>
                </c:pt>
                <c:pt idx="11">
                  <c:v>155</c:v>
                </c:pt>
                <c:pt idx="12">
                  <c:v>172</c:v>
                </c:pt>
                <c:pt idx="13">
                  <c:v>160</c:v>
                </c:pt>
                <c:pt idx="14">
                  <c:v>101</c:v>
                </c:pt>
                <c:pt idx="15">
                  <c:v>69</c:v>
                </c:pt>
                <c:pt idx="16">
                  <c:v>127</c:v>
                </c:pt>
                <c:pt idx="17">
                  <c:v>26</c:v>
                </c:pt>
                <c:pt idx="18">
                  <c:v>12</c:v>
                </c:pt>
                <c:pt idx="19">
                  <c:v>5</c:v>
                </c:pt>
                <c:pt idx="20">
                  <c:v>1</c:v>
                </c:pt>
                <c:pt idx="21">
                  <c:v>9</c:v>
                </c:pt>
                <c:pt idx="22">
                  <c:v>20</c:v>
                </c:pt>
                <c:pt idx="23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9649456"/>
        <c:axId val="-2049648368"/>
      </c:lineChart>
      <c:catAx>
        <c:axId val="-2049649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8368"/>
        <c:crosses val="autoZero"/>
        <c:auto val="1"/>
        <c:lblAlgn val="ctr"/>
        <c:lblOffset val="100"/>
        <c:noMultiLvlLbl val="0"/>
      </c:catAx>
      <c:valAx>
        <c:axId val="-2049648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964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Buddo-Kitemu-24h'!$C$9:$N$9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Buddo-Kitemu-24h'!$C$107:$N$107</c:f>
              <c:numCache>
                <c:formatCode>0.0%</c:formatCode>
                <c:ptCount val="12"/>
                <c:pt idx="0">
                  <c:v>8.944374209860935E-2</c:v>
                </c:pt>
                <c:pt idx="1">
                  <c:v>1.5802781289506952E-2</c:v>
                </c:pt>
                <c:pt idx="2">
                  <c:v>1.0113780025284451E-2</c:v>
                </c:pt>
                <c:pt idx="3">
                  <c:v>3.5082174462705437E-2</c:v>
                </c:pt>
                <c:pt idx="4">
                  <c:v>5.0568900126422255E-3</c:v>
                </c:pt>
                <c:pt idx="5">
                  <c:v>0</c:v>
                </c:pt>
                <c:pt idx="6">
                  <c:v>2.8761061946902654E-2</c:v>
                </c:pt>
                <c:pt idx="7">
                  <c:v>8.5335018963337544E-3</c:v>
                </c:pt>
                <c:pt idx="8">
                  <c:v>9.165613147914033E-3</c:v>
                </c:pt>
                <c:pt idx="9">
                  <c:v>0</c:v>
                </c:pt>
                <c:pt idx="10">
                  <c:v>0.79804045512010113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Buddo-Kitemu-24h'!$C$9:$N$9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Buddo-Kitemu-24h'!$C$108:$N$108</c:f>
              <c:numCache>
                <c:formatCode>0.00%</c:formatCode>
                <c:ptCount val="12"/>
                <c:pt idx="0">
                  <c:v>0.44287949921752739</c:v>
                </c:pt>
                <c:pt idx="1">
                  <c:v>7.82472613458529E-2</c:v>
                </c:pt>
                <c:pt idx="2">
                  <c:v>5.0078247261345854E-2</c:v>
                </c:pt>
                <c:pt idx="3">
                  <c:v>0.17370892018779344</c:v>
                </c:pt>
                <c:pt idx="4">
                  <c:v>2.5039123630672927E-2</c:v>
                </c:pt>
                <c:pt idx="5">
                  <c:v>0</c:v>
                </c:pt>
                <c:pt idx="6">
                  <c:v>0.14241001564945227</c:v>
                </c:pt>
                <c:pt idx="7">
                  <c:v>4.2253521126760563E-2</c:v>
                </c:pt>
                <c:pt idx="8">
                  <c:v>4.5383411580594682E-2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Buddo-Kitemu-24h'!$AE$9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Buddo-Kitemu-24h'!$R$10:$R$33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Buddo-Kitemu-24h'!$AE$10:$AE$33</c:f>
              <c:numCache>
                <c:formatCode>General</c:formatCode>
                <c:ptCount val="24"/>
                <c:pt idx="0">
                  <c:v>46</c:v>
                </c:pt>
                <c:pt idx="1">
                  <c:v>49</c:v>
                </c:pt>
                <c:pt idx="2">
                  <c:v>78</c:v>
                </c:pt>
                <c:pt idx="3">
                  <c:v>40</c:v>
                </c:pt>
                <c:pt idx="4">
                  <c:v>50</c:v>
                </c:pt>
                <c:pt idx="5">
                  <c:v>25</c:v>
                </c:pt>
                <c:pt idx="6">
                  <c:v>37</c:v>
                </c:pt>
                <c:pt idx="7">
                  <c:v>41</c:v>
                </c:pt>
                <c:pt idx="8">
                  <c:v>27</c:v>
                </c:pt>
                <c:pt idx="9">
                  <c:v>35</c:v>
                </c:pt>
                <c:pt idx="10">
                  <c:v>28</c:v>
                </c:pt>
                <c:pt idx="11">
                  <c:v>56</c:v>
                </c:pt>
                <c:pt idx="12">
                  <c:v>31</c:v>
                </c:pt>
                <c:pt idx="13">
                  <c:v>19</c:v>
                </c:pt>
                <c:pt idx="14">
                  <c:v>18</c:v>
                </c:pt>
                <c:pt idx="15">
                  <c:v>10</c:v>
                </c:pt>
                <c:pt idx="16">
                  <c:v>17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5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2F-4DE4-91FA-D9CA9BF415DD}"/>
            </c:ext>
          </c:extLst>
        </c:ser>
        <c:ser>
          <c:idx val="1"/>
          <c:order val="1"/>
          <c:tx>
            <c:strRef>
              <c:f>'[2]28.09 Buddo-Kitemu-24h'!$AF$9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Buddo-Kitemu-24h'!$R$10:$R$33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Buddo-Kitemu-24h'!$AF$10:$AF$33</c:f>
              <c:numCache>
                <c:formatCode>General</c:formatCode>
                <c:ptCount val="24"/>
                <c:pt idx="0">
                  <c:v>246</c:v>
                </c:pt>
                <c:pt idx="1">
                  <c:v>290</c:v>
                </c:pt>
                <c:pt idx="2">
                  <c:v>305</c:v>
                </c:pt>
                <c:pt idx="3">
                  <c:v>244</c:v>
                </c:pt>
                <c:pt idx="4">
                  <c:v>213</c:v>
                </c:pt>
                <c:pt idx="5">
                  <c:v>183</c:v>
                </c:pt>
                <c:pt idx="6">
                  <c:v>158</c:v>
                </c:pt>
                <c:pt idx="7">
                  <c:v>156</c:v>
                </c:pt>
                <c:pt idx="8">
                  <c:v>134</c:v>
                </c:pt>
                <c:pt idx="9">
                  <c:v>197</c:v>
                </c:pt>
                <c:pt idx="10">
                  <c:v>124</c:v>
                </c:pt>
                <c:pt idx="11">
                  <c:v>155</c:v>
                </c:pt>
                <c:pt idx="12">
                  <c:v>172</c:v>
                </c:pt>
                <c:pt idx="13">
                  <c:v>160</c:v>
                </c:pt>
                <c:pt idx="14">
                  <c:v>101</c:v>
                </c:pt>
                <c:pt idx="15">
                  <c:v>69</c:v>
                </c:pt>
                <c:pt idx="16">
                  <c:v>127</c:v>
                </c:pt>
                <c:pt idx="17">
                  <c:v>26</c:v>
                </c:pt>
                <c:pt idx="18">
                  <c:v>12</c:v>
                </c:pt>
                <c:pt idx="19">
                  <c:v>5</c:v>
                </c:pt>
                <c:pt idx="20">
                  <c:v>1</c:v>
                </c:pt>
                <c:pt idx="21">
                  <c:v>9</c:v>
                </c:pt>
                <c:pt idx="22">
                  <c:v>20</c:v>
                </c:pt>
                <c:pt idx="23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02F-4DE4-91FA-D9CA9BF41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7919184"/>
        <c:axId val="-2047923536"/>
      </c:lineChart>
      <c:catAx>
        <c:axId val="-2047919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23536"/>
        <c:crosses val="autoZero"/>
        <c:auto val="1"/>
        <c:lblAlgn val="ctr"/>
        <c:lblOffset val="100"/>
        <c:noMultiLvlLbl val="0"/>
      </c:catAx>
      <c:valAx>
        <c:axId val="-20479235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1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A7B-4E59-BC5F-255E52AD08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A7B-4E59-BC5F-255E52AD08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A7B-4E59-BC5F-255E52AD08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A7B-4E59-BC5F-255E52AD08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A7B-4E59-BC5F-255E52AD08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A7B-4E59-BC5F-255E52AD08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A7B-4E59-BC5F-255E52AD08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A7B-4E59-BC5F-255E52AD08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A7B-4E59-BC5F-255E52AD08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A7B-4E59-BC5F-255E52AD08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A7B-4E59-BC5F-255E52AD08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A7B-4E59-BC5F-255E52AD082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A7B-4E59-BC5F-255E52AD08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Buddo-Kitemu-24h'!$C$9:$N$9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Buddo-Kitemu-24h'!$C$107:$N$107</c:f>
              <c:numCache>
                <c:formatCode>General</c:formatCode>
                <c:ptCount val="12"/>
                <c:pt idx="0">
                  <c:v>8.944374209860935E-2</c:v>
                </c:pt>
                <c:pt idx="1">
                  <c:v>1.5802781289506952E-2</c:v>
                </c:pt>
                <c:pt idx="2">
                  <c:v>1.0113780025284451E-2</c:v>
                </c:pt>
                <c:pt idx="3">
                  <c:v>3.5082174462705437E-2</c:v>
                </c:pt>
                <c:pt idx="4">
                  <c:v>5.0568900126422255E-3</c:v>
                </c:pt>
                <c:pt idx="5">
                  <c:v>0</c:v>
                </c:pt>
                <c:pt idx="6">
                  <c:v>2.8761061946902654E-2</c:v>
                </c:pt>
                <c:pt idx="7">
                  <c:v>8.5335018963337544E-3</c:v>
                </c:pt>
                <c:pt idx="8">
                  <c:v>9.165613147914033E-3</c:v>
                </c:pt>
                <c:pt idx="9">
                  <c:v>0</c:v>
                </c:pt>
                <c:pt idx="10">
                  <c:v>0.79804045512010113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A7B-4E59-BC5F-255E52AD0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EBB-46EE-8AAE-CDD18D1843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EBB-46EE-8AAE-CDD18D1843D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EBB-46EE-8AAE-CDD18D1843D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EBB-46EE-8AAE-CDD18D1843D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EBB-46EE-8AAE-CDD18D1843D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EBB-46EE-8AAE-CDD18D1843D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EBB-46EE-8AAE-CDD18D1843D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EBB-46EE-8AAE-CDD18D1843D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EBB-46EE-8AAE-CDD18D1843D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EBB-46EE-8AAE-CDD18D1843D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EBB-46EE-8AAE-CDD18D1843D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EBB-46EE-8AAE-CDD18D1843D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EBB-46EE-8AAE-CDD18D1843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Buddo-Kitemu-24h'!$C$9:$N$9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Buddo-Kitemu-24h'!$C$108:$N$108</c:f>
              <c:numCache>
                <c:formatCode>General</c:formatCode>
                <c:ptCount val="12"/>
                <c:pt idx="0">
                  <c:v>0.44287949921752739</c:v>
                </c:pt>
                <c:pt idx="1">
                  <c:v>7.82472613458529E-2</c:v>
                </c:pt>
                <c:pt idx="2">
                  <c:v>5.0078247261345854E-2</c:v>
                </c:pt>
                <c:pt idx="3">
                  <c:v>0.17370892018779344</c:v>
                </c:pt>
                <c:pt idx="4">
                  <c:v>2.5039123630672927E-2</c:v>
                </c:pt>
                <c:pt idx="5">
                  <c:v>0</c:v>
                </c:pt>
                <c:pt idx="6">
                  <c:v>0.14241001564945227</c:v>
                </c:pt>
                <c:pt idx="7">
                  <c:v>4.2253521126760563E-2</c:v>
                </c:pt>
                <c:pt idx="8">
                  <c:v>4.5383411580594682E-2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EBB-46EE-8AAE-CDD18D184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 Kitemu-Buddo'!$AE$10:$AE$21</c:f>
              <c:numCache>
                <c:formatCode>0</c:formatCode>
                <c:ptCount val="12"/>
                <c:pt idx="0">
                  <c:v>34</c:v>
                </c:pt>
                <c:pt idx="1">
                  <c:v>37</c:v>
                </c:pt>
                <c:pt idx="2">
                  <c:v>38</c:v>
                </c:pt>
                <c:pt idx="3">
                  <c:v>37</c:v>
                </c:pt>
                <c:pt idx="4">
                  <c:v>48</c:v>
                </c:pt>
                <c:pt idx="5">
                  <c:v>45</c:v>
                </c:pt>
                <c:pt idx="6">
                  <c:v>42</c:v>
                </c:pt>
                <c:pt idx="7">
                  <c:v>38</c:v>
                </c:pt>
                <c:pt idx="8">
                  <c:v>43</c:v>
                </c:pt>
                <c:pt idx="9">
                  <c:v>40</c:v>
                </c:pt>
                <c:pt idx="10">
                  <c:v>37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 Kitemu-Buddo'!$AF$10:$AF$21</c:f>
              <c:numCache>
                <c:formatCode>0</c:formatCode>
                <c:ptCount val="12"/>
                <c:pt idx="0">
                  <c:v>229</c:v>
                </c:pt>
                <c:pt idx="1">
                  <c:v>229</c:v>
                </c:pt>
                <c:pt idx="2">
                  <c:v>239</c:v>
                </c:pt>
                <c:pt idx="3">
                  <c:v>236</c:v>
                </c:pt>
                <c:pt idx="4">
                  <c:v>271</c:v>
                </c:pt>
                <c:pt idx="5">
                  <c:v>285</c:v>
                </c:pt>
                <c:pt idx="6">
                  <c:v>239</c:v>
                </c:pt>
                <c:pt idx="7">
                  <c:v>226</c:v>
                </c:pt>
                <c:pt idx="8">
                  <c:v>220</c:v>
                </c:pt>
                <c:pt idx="9">
                  <c:v>191</c:v>
                </c:pt>
                <c:pt idx="10">
                  <c:v>191</c:v>
                </c:pt>
                <c:pt idx="11">
                  <c:v>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7917008"/>
        <c:axId val="-2047912112"/>
      </c:lineChart>
      <c:catAx>
        <c:axId val="-2047917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12112"/>
        <c:crosses val="autoZero"/>
        <c:auto val="1"/>
        <c:lblAlgn val="ctr"/>
        <c:lblOffset val="100"/>
        <c:noMultiLvlLbl val="0"/>
      </c:catAx>
      <c:valAx>
        <c:axId val="-2047912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1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 Kitemu-Buddo'!$C$59:$N$59</c:f>
              <c:numCache>
                <c:formatCode>0.0%</c:formatCode>
                <c:ptCount val="12"/>
                <c:pt idx="0">
                  <c:v>7.2955047899778927E-2</c:v>
                </c:pt>
                <c:pt idx="1">
                  <c:v>1.105379513633014E-2</c:v>
                </c:pt>
                <c:pt idx="2">
                  <c:v>7.7376565954310984E-3</c:v>
                </c:pt>
                <c:pt idx="3">
                  <c:v>4.4583640383198231E-2</c:v>
                </c:pt>
                <c:pt idx="4">
                  <c:v>3.6845983787767134E-4</c:v>
                </c:pt>
                <c:pt idx="5">
                  <c:v>3.6845983787767134E-4</c:v>
                </c:pt>
                <c:pt idx="6">
                  <c:v>2.3581429624170966E-2</c:v>
                </c:pt>
                <c:pt idx="7">
                  <c:v>1.1790714812085483E-2</c:v>
                </c:pt>
                <c:pt idx="8">
                  <c:v>7.3691967575534268E-4</c:v>
                </c:pt>
                <c:pt idx="9">
                  <c:v>0</c:v>
                </c:pt>
                <c:pt idx="10">
                  <c:v>0.82682387619749442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 Kitemu-Buddo'!$S$9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 Kitemu-Buddo'!$S$10:$S$21</c:f>
              <c:numCache>
                <c:formatCode>0</c:formatCode>
                <c:ptCount val="12"/>
                <c:pt idx="0">
                  <c:v>12</c:v>
                </c:pt>
                <c:pt idx="1">
                  <c:v>18</c:v>
                </c:pt>
                <c:pt idx="2">
                  <c:v>14</c:v>
                </c:pt>
                <c:pt idx="3">
                  <c:v>13</c:v>
                </c:pt>
                <c:pt idx="4">
                  <c:v>16</c:v>
                </c:pt>
                <c:pt idx="5">
                  <c:v>22</c:v>
                </c:pt>
                <c:pt idx="6">
                  <c:v>25</c:v>
                </c:pt>
                <c:pt idx="7">
                  <c:v>15</c:v>
                </c:pt>
                <c:pt idx="8">
                  <c:v>23</c:v>
                </c:pt>
                <c:pt idx="9">
                  <c:v>15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 Kitemu-Buddo'!$T$9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 Kitemu-Buddo'!$T$10:$T$21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 Kitemu-Buddo'!$U$9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 Kitemu-Buddo'!$V$9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Kitemu-Buddo'!$V$10:$V$21</c:f>
              <c:numCache>
                <c:formatCode>0</c:formatCode>
                <c:ptCount val="12"/>
                <c:pt idx="0">
                  <c:v>15</c:v>
                </c:pt>
                <c:pt idx="1">
                  <c:v>7</c:v>
                </c:pt>
                <c:pt idx="2">
                  <c:v>10</c:v>
                </c:pt>
                <c:pt idx="3">
                  <c:v>9</c:v>
                </c:pt>
                <c:pt idx="4">
                  <c:v>15</c:v>
                </c:pt>
                <c:pt idx="5">
                  <c:v>9</c:v>
                </c:pt>
                <c:pt idx="6">
                  <c:v>5</c:v>
                </c:pt>
                <c:pt idx="7">
                  <c:v>13</c:v>
                </c:pt>
                <c:pt idx="8">
                  <c:v>11</c:v>
                </c:pt>
                <c:pt idx="9">
                  <c:v>10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 Kitemu-Buddo'!$W$9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 Kitemu-Buddo'!$X$9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 Kitemu-Buddo'!$Y$9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Kitemu-Buddo'!$Y$10:$Y$21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2</c:v>
                </c:pt>
                <c:pt idx="9">
                  <c:v>6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 Kitemu-Buddo'!$Z$9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 Kitemu-Buddo'!$AA$9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 Kitemu-Buddo'!$AB$9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 Kitemu-Buddo'!$AC$9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Kitemu-Buddo'!$AC$10:$AC$21</c:f>
              <c:numCache>
                <c:formatCode>0</c:formatCode>
                <c:ptCount val="12"/>
                <c:pt idx="0">
                  <c:v>195</c:v>
                </c:pt>
                <c:pt idx="1">
                  <c:v>192</c:v>
                </c:pt>
                <c:pt idx="2">
                  <c:v>201</c:v>
                </c:pt>
                <c:pt idx="3">
                  <c:v>199</c:v>
                </c:pt>
                <c:pt idx="4">
                  <c:v>223</c:v>
                </c:pt>
                <c:pt idx="5">
                  <c:v>240</c:v>
                </c:pt>
                <c:pt idx="6">
                  <c:v>197</c:v>
                </c:pt>
                <c:pt idx="7">
                  <c:v>188</c:v>
                </c:pt>
                <c:pt idx="8">
                  <c:v>177</c:v>
                </c:pt>
                <c:pt idx="9">
                  <c:v>151</c:v>
                </c:pt>
                <c:pt idx="10">
                  <c:v>154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 Kitemu-Buddo'!$AD$9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 Kitemu-Buddo'!$AD$10:$AD$21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7925168"/>
        <c:axId val="-2047918640"/>
      </c:lineChart>
      <c:catAx>
        <c:axId val="-204792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18640"/>
        <c:crosses val="autoZero"/>
        <c:auto val="1"/>
        <c:lblAlgn val="ctr"/>
        <c:lblOffset val="100"/>
        <c:noMultiLvlLbl val="0"/>
      </c:catAx>
      <c:valAx>
        <c:axId val="-204791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2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 Kitemu-Buddo'!$C$60:$N$60</c:f>
              <c:numCache>
                <c:formatCode>0.00%</c:formatCode>
                <c:ptCount val="12"/>
                <c:pt idx="0">
                  <c:v>0.42127659574468085</c:v>
                </c:pt>
                <c:pt idx="1">
                  <c:v>6.3829787234042548E-2</c:v>
                </c:pt>
                <c:pt idx="2">
                  <c:v>4.4680851063829789E-2</c:v>
                </c:pt>
                <c:pt idx="3">
                  <c:v>0.25744680851063828</c:v>
                </c:pt>
                <c:pt idx="4">
                  <c:v>2.1276595744680851E-3</c:v>
                </c:pt>
                <c:pt idx="5">
                  <c:v>2.1276595744680851E-3</c:v>
                </c:pt>
                <c:pt idx="6">
                  <c:v>0.13617021276595745</c:v>
                </c:pt>
                <c:pt idx="7">
                  <c:v>6.8085106382978725E-2</c:v>
                </c:pt>
                <c:pt idx="8">
                  <c:v>4.2553191489361703E-3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Kitemu-Buddo'!$AE$10:$AE$21</c:f>
              <c:numCache>
                <c:formatCode>General</c:formatCode>
                <c:ptCount val="12"/>
                <c:pt idx="0">
                  <c:v>34</c:v>
                </c:pt>
                <c:pt idx="1">
                  <c:v>37</c:v>
                </c:pt>
                <c:pt idx="2">
                  <c:v>38</c:v>
                </c:pt>
                <c:pt idx="3">
                  <c:v>37</c:v>
                </c:pt>
                <c:pt idx="4">
                  <c:v>48</c:v>
                </c:pt>
                <c:pt idx="5">
                  <c:v>45</c:v>
                </c:pt>
                <c:pt idx="6">
                  <c:v>42</c:v>
                </c:pt>
                <c:pt idx="7">
                  <c:v>38</c:v>
                </c:pt>
                <c:pt idx="8">
                  <c:v>43</c:v>
                </c:pt>
                <c:pt idx="9">
                  <c:v>40</c:v>
                </c:pt>
                <c:pt idx="10">
                  <c:v>37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51-4DE1-A8B0-64CDB225B59F}"/>
            </c:ext>
          </c:extLst>
        </c:ser>
        <c:ser>
          <c:idx val="1"/>
          <c:order val="1"/>
          <c:tx>
            <c:strRef>
              <c:f>'[2]29.09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Kitemu-Buddo'!$R$10:$R$21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Kitemu-Buddo'!$AF$10:$AF$21</c:f>
              <c:numCache>
                <c:formatCode>General</c:formatCode>
                <c:ptCount val="12"/>
                <c:pt idx="0">
                  <c:v>229</c:v>
                </c:pt>
                <c:pt idx="1">
                  <c:v>229</c:v>
                </c:pt>
                <c:pt idx="2">
                  <c:v>239</c:v>
                </c:pt>
                <c:pt idx="3">
                  <c:v>236</c:v>
                </c:pt>
                <c:pt idx="4">
                  <c:v>271</c:v>
                </c:pt>
                <c:pt idx="5">
                  <c:v>285</c:v>
                </c:pt>
                <c:pt idx="6">
                  <c:v>239</c:v>
                </c:pt>
                <c:pt idx="7">
                  <c:v>226</c:v>
                </c:pt>
                <c:pt idx="8">
                  <c:v>220</c:v>
                </c:pt>
                <c:pt idx="9">
                  <c:v>191</c:v>
                </c:pt>
                <c:pt idx="10">
                  <c:v>191</c:v>
                </c:pt>
                <c:pt idx="11">
                  <c:v>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51-4DE1-A8B0-64CDB225B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7921904"/>
        <c:axId val="-2047921360"/>
      </c:lineChart>
      <c:catAx>
        <c:axId val="-2047921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21360"/>
        <c:crosses val="autoZero"/>
        <c:auto val="1"/>
        <c:lblAlgn val="ctr"/>
        <c:lblOffset val="100"/>
        <c:noMultiLvlLbl val="0"/>
      </c:catAx>
      <c:valAx>
        <c:axId val="-2047921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792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423-4814-9180-573FF9280D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423-4814-9180-573FF9280D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423-4814-9180-573FF9280D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423-4814-9180-573FF9280DB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423-4814-9180-573FF9280D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423-4814-9180-573FF9280D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423-4814-9180-573FF9280D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423-4814-9180-573FF9280DB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423-4814-9180-573FF9280D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423-4814-9180-573FF9280D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423-4814-9180-573FF9280DB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423-4814-9180-573FF9280DB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23-4814-9180-573FF9280D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Kitemu-Buddo'!$C$59:$N$59</c:f>
              <c:numCache>
                <c:formatCode>General</c:formatCode>
                <c:ptCount val="12"/>
                <c:pt idx="0">
                  <c:v>7.2955047899778927E-2</c:v>
                </c:pt>
                <c:pt idx="1">
                  <c:v>1.105379513633014E-2</c:v>
                </c:pt>
                <c:pt idx="2">
                  <c:v>7.7376565954310984E-3</c:v>
                </c:pt>
                <c:pt idx="3">
                  <c:v>4.4583640383198231E-2</c:v>
                </c:pt>
                <c:pt idx="4">
                  <c:v>3.6845983787767134E-4</c:v>
                </c:pt>
                <c:pt idx="5">
                  <c:v>3.6845983787767134E-4</c:v>
                </c:pt>
                <c:pt idx="6">
                  <c:v>2.3581429624170966E-2</c:v>
                </c:pt>
                <c:pt idx="7">
                  <c:v>1.1790714812085483E-2</c:v>
                </c:pt>
                <c:pt idx="8">
                  <c:v>7.3691967575534268E-4</c:v>
                </c:pt>
                <c:pt idx="9">
                  <c:v>0</c:v>
                </c:pt>
                <c:pt idx="10">
                  <c:v>0.82682387619749442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423-4814-9180-573FF9280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E6-4E67-BDBE-44D1F33DAB0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E6-4E67-BDBE-44D1F33DAB0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E6-4E67-BDBE-44D1F33DAB0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E6-4E67-BDBE-44D1F33DAB0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E6-4E67-BDBE-44D1F33DAB0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4E6-4E67-BDBE-44D1F33DAB0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4E6-4E67-BDBE-44D1F33DAB0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4E6-4E67-BDBE-44D1F33DAB0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4E6-4E67-BDBE-44D1F33DAB0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4E6-4E67-BDBE-44D1F33DAB0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4E6-4E67-BDBE-44D1F33DAB0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4E6-4E67-BDBE-44D1F33DAB0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4E6-4E67-BDBE-44D1F33DAB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Kitemu-Buddo'!$C$60:$N$60</c:f>
              <c:numCache>
                <c:formatCode>General</c:formatCode>
                <c:ptCount val="12"/>
                <c:pt idx="0">
                  <c:v>0.42127659574468085</c:v>
                </c:pt>
                <c:pt idx="1">
                  <c:v>6.3829787234042548E-2</c:v>
                </c:pt>
                <c:pt idx="2">
                  <c:v>4.4680851063829789E-2</c:v>
                </c:pt>
                <c:pt idx="3">
                  <c:v>0.25744680851063828</c:v>
                </c:pt>
                <c:pt idx="4">
                  <c:v>2.1276595744680851E-3</c:v>
                </c:pt>
                <c:pt idx="5">
                  <c:v>2.1276595744680851E-3</c:v>
                </c:pt>
                <c:pt idx="6">
                  <c:v>0.13617021276595745</c:v>
                </c:pt>
                <c:pt idx="7">
                  <c:v>6.8085106382978725E-2</c:v>
                </c:pt>
                <c:pt idx="8">
                  <c:v>4.2553191489361703E-3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4E6-4E67-BDBE-44D1F33D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Buddo-Kitemu'!$AE$10:$AE$21</c:f>
              <c:numCache>
                <c:formatCode>0</c:formatCode>
                <c:ptCount val="12"/>
                <c:pt idx="0">
                  <c:v>26</c:v>
                </c:pt>
                <c:pt idx="1">
                  <c:v>43</c:v>
                </c:pt>
                <c:pt idx="2">
                  <c:v>35</c:v>
                </c:pt>
                <c:pt idx="3">
                  <c:v>46</c:v>
                </c:pt>
                <c:pt idx="4">
                  <c:v>43</c:v>
                </c:pt>
                <c:pt idx="5">
                  <c:v>29</c:v>
                </c:pt>
                <c:pt idx="6">
                  <c:v>36</c:v>
                </c:pt>
                <c:pt idx="7">
                  <c:v>34</c:v>
                </c:pt>
                <c:pt idx="8">
                  <c:v>34</c:v>
                </c:pt>
                <c:pt idx="9">
                  <c:v>38</c:v>
                </c:pt>
                <c:pt idx="10">
                  <c:v>31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Buddo-Kitemu'!$AF$10:$AF$21</c:f>
              <c:numCache>
                <c:formatCode>0</c:formatCode>
                <c:ptCount val="12"/>
                <c:pt idx="0">
                  <c:v>165</c:v>
                </c:pt>
                <c:pt idx="1">
                  <c:v>200</c:v>
                </c:pt>
                <c:pt idx="2">
                  <c:v>159</c:v>
                </c:pt>
                <c:pt idx="3">
                  <c:v>256</c:v>
                </c:pt>
                <c:pt idx="4">
                  <c:v>242</c:v>
                </c:pt>
                <c:pt idx="5">
                  <c:v>179</c:v>
                </c:pt>
                <c:pt idx="6">
                  <c:v>127</c:v>
                </c:pt>
                <c:pt idx="7">
                  <c:v>126</c:v>
                </c:pt>
                <c:pt idx="8">
                  <c:v>149</c:v>
                </c:pt>
                <c:pt idx="9">
                  <c:v>162</c:v>
                </c:pt>
                <c:pt idx="10">
                  <c:v>180</c:v>
                </c:pt>
                <c:pt idx="11">
                  <c:v>226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5785232"/>
        <c:axId val="-2045781424"/>
      </c:lineChart>
      <c:catAx>
        <c:axId val="-2045785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1424"/>
        <c:crosses val="autoZero"/>
        <c:auto val="1"/>
        <c:lblAlgn val="ctr"/>
        <c:lblOffset val="100"/>
        <c:noMultiLvlLbl val="0"/>
      </c:catAx>
      <c:valAx>
        <c:axId val="-204578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Buddo-Kitemu'!$C$59:$N$59</c:f>
              <c:numCache>
                <c:formatCode>0.0%</c:formatCode>
                <c:ptCount val="12"/>
                <c:pt idx="0">
                  <c:v>0.1040994933210502</c:v>
                </c:pt>
                <c:pt idx="1">
                  <c:v>1.0594196222938737E-2</c:v>
                </c:pt>
                <c:pt idx="2">
                  <c:v>1.6582220175034548E-2</c:v>
                </c:pt>
                <c:pt idx="3">
                  <c:v>1.8885306310456013E-2</c:v>
                </c:pt>
                <c:pt idx="4">
                  <c:v>9.2123445416858593E-4</c:v>
                </c:pt>
                <c:pt idx="5">
                  <c:v>0</c:v>
                </c:pt>
                <c:pt idx="6">
                  <c:v>3.6388760939659141E-2</c:v>
                </c:pt>
                <c:pt idx="7">
                  <c:v>9.6729617687701525E-3</c:v>
                </c:pt>
                <c:pt idx="8">
                  <c:v>1.8424689083371719E-3</c:v>
                </c:pt>
                <c:pt idx="9">
                  <c:v>0</c:v>
                </c:pt>
                <c:pt idx="10">
                  <c:v>0.8010133578995855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Buddo-Kitemu'!$S$9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Buddo-Kitemu'!$S$10:$S$21</c:f>
              <c:numCache>
                <c:formatCode>0</c:formatCode>
                <c:ptCount val="12"/>
                <c:pt idx="0">
                  <c:v>12</c:v>
                </c:pt>
                <c:pt idx="1">
                  <c:v>16</c:v>
                </c:pt>
                <c:pt idx="2">
                  <c:v>22</c:v>
                </c:pt>
                <c:pt idx="3">
                  <c:v>26</c:v>
                </c:pt>
                <c:pt idx="4">
                  <c:v>17</c:v>
                </c:pt>
                <c:pt idx="5">
                  <c:v>18</c:v>
                </c:pt>
                <c:pt idx="6">
                  <c:v>23</c:v>
                </c:pt>
                <c:pt idx="7">
                  <c:v>22</c:v>
                </c:pt>
                <c:pt idx="8">
                  <c:v>15</c:v>
                </c:pt>
                <c:pt idx="9">
                  <c:v>23</c:v>
                </c:pt>
                <c:pt idx="10">
                  <c:v>13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Buddo-Kitemu'!$T$9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Buddo-Kitemu'!$T$10:$T$21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Buddo-Kitemu'!$U$9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Buddo-Kitemu'!$V$9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Buddo-Kitemu'!$V$10:$V$21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Buddo-Kitemu'!$W$9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Buddo-Kitemu'!$X$9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Buddo-Kitemu'!$Y$9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Buddo-Kitemu'!$Y$10:$Y$21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6</c:v>
                </c:pt>
                <c:pt idx="3">
                  <c:v>9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Buddo-Kitemu'!$Z$9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Buddo-Kitemu'!$AA$9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Buddo-Kitemu'!$AB$9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Buddo-Kitemu'!$AC$9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Buddo-Kitemu'!$AC$10:$AC$21</c:f>
              <c:numCache>
                <c:formatCode>0</c:formatCode>
                <c:ptCount val="12"/>
                <c:pt idx="0">
                  <c:v>139</c:v>
                </c:pt>
                <c:pt idx="1">
                  <c:v>157</c:v>
                </c:pt>
                <c:pt idx="2">
                  <c:v>124</c:v>
                </c:pt>
                <c:pt idx="3">
                  <c:v>210</c:v>
                </c:pt>
                <c:pt idx="4">
                  <c:v>199</c:v>
                </c:pt>
                <c:pt idx="5">
                  <c:v>150</c:v>
                </c:pt>
                <c:pt idx="6">
                  <c:v>91</c:v>
                </c:pt>
                <c:pt idx="7">
                  <c:v>92</c:v>
                </c:pt>
                <c:pt idx="8">
                  <c:v>115</c:v>
                </c:pt>
                <c:pt idx="9">
                  <c:v>124</c:v>
                </c:pt>
                <c:pt idx="10">
                  <c:v>149</c:v>
                </c:pt>
                <c:pt idx="11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Buddo-Kitemu'!$AD$9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Buddo-Kitemu'!$AD$10:$AD$21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5780880"/>
        <c:axId val="-2045792304"/>
      </c:lineChart>
      <c:catAx>
        <c:axId val="-204578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92304"/>
        <c:crosses val="autoZero"/>
        <c:auto val="1"/>
        <c:lblAlgn val="ctr"/>
        <c:lblOffset val="100"/>
        <c:noMultiLvlLbl val="0"/>
      </c:catAx>
      <c:valAx>
        <c:axId val="-204579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Buddo-Kitemu'!$C$60:$N$60</c:f>
              <c:numCache>
                <c:formatCode>0.00%</c:formatCode>
                <c:ptCount val="12"/>
                <c:pt idx="0">
                  <c:v>0.52314814814814814</c:v>
                </c:pt>
                <c:pt idx="1">
                  <c:v>5.3240740740740741E-2</c:v>
                </c:pt>
                <c:pt idx="2">
                  <c:v>8.3333333333333329E-2</c:v>
                </c:pt>
                <c:pt idx="3">
                  <c:v>9.4907407407407413E-2</c:v>
                </c:pt>
                <c:pt idx="4">
                  <c:v>4.6296296296296294E-3</c:v>
                </c:pt>
                <c:pt idx="5">
                  <c:v>0</c:v>
                </c:pt>
                <c:pt idx="6">
                  <c:v>0.18287037037037038</c:v>
                </c:pt>
                <c:pt idx="7">
                  <c:v>4.8611111111111112E-2</c:v>
                </c:pt>
                <c:pt idx="8">
                  <c:v>9.2592592592592587E-3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Buddo-Kitemu'!$AE$10:$AE$21</c:f>
              <c:numCache>
                <c:formatCode>General</c:formatCode>
                <c:ptCount val="12"/>
                <c:pt idx="0">
                  <c:v>26</c:v>
                </c:pt>
                <c:pt idx="1">
                  <c:v>43</c:v>
                </c:pt>
                <c:pt idx="2">
                  <c:v>35</c:v>
                </c:pt>
                <c:pt idx="3">
                  <c:v>46</c:v>
                </c:pt>
                <c:pt idx="4">
                  <c:v>43</c:v>
                </c:pt>
                <c:pt idx="5">
                  <c:v>29</c:v>
                </c:pt>
                <c:pt idx="6">
                  <c:v>36</c:v>
                </c:pt>
                <c:pt idx="7">
                  <c:v>34</c:v>
                </c:pt>
                <c:pt idx="8">
                  <c:v>34</c:v>
                </c:pt>
                <c:pt idx="9">
                  <c:v>38</c:v>
                </c:pt>
                <c:pt idx="10">
                  <c:v>31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76-4EE7-834B-041B7C09D57C}"/>
            </c:ext>
          </c:extLst>
        </c:ser>
        <c:ser>
          <c:idx val="1"/>
          <c:order val="1"/>
          <c:tx>
            <c:strRef>
              <c:f>'[2]29.09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Buddo-Kitemu'!$R$10:$R$21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Buddo-Kitemu'!$AF$10:$AF$21</c:f>
              <c:numCache>
                <c:formatCode>General</c:formatCode>
                <c:ptCount val="12"/>
                <c:pt idx="0">
                  <c:v>165</c:v>
                </c:pt>
                <c:pt idx="1">
                  <c:v>200</c:v>
                </c:pt>
                <c:pt idx="2">
                  <c:v>159</c:v>
                </c:pt>
                <c:pt idx="3">
                  <c:v>256</c:v>
                </c:pt>
                <c:pt idx="4">
                  <c:v>242</c:v>
                </c:pt>
                <c:pt idx="5">
                  <c:v>179</c:v>
                </c:pt>
                <c:pt idx="6">
                  <c:v>127</c:v>
                </c:pt>
                <c:pt idx="7">
                  <c:v>126</c:v>
                </c:pt>
                <c:pt idx="8">
                  <c:v>149</c:v>
                </c:pt>
                <c:pt idx="9">
                  <c:v>162</c:v>
                </c:pt>
                <c:pt idx="10">
                  <c:v>180</c:v>
                </c:pt>
                <c:pt idx="11">
                  <c:v>226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76-4EE7-834B-041B7C09D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5792848"/>
        <c:axId val="-2045784144"/>
      </c:lineChart>
      <c:catAx>
        <c:axId val="-2045792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4144"/>
        <c:crosses val="autoZero"/>
        <c:auto val="1"/>
        <c:lblAlgn val="ctr"/>
        <c:lblOffset val="100"/>
        <c:noMultiLvlLbl val="0"/>
      </c:catAx>
      <c:valAx>
        <c:axId val="-204578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9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30-401C-9AED-B302CF8965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30-401C-9AED-B302CF8965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30-401C-9AED-B302CF8965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30-401C-9AED-B302CF8965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30-401C-9AED-B302CF89657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30-401C-9AED-B302CF89657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30-401C-9AED-B302CF89657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30-401C-9AED-B302CF89657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30-401C-9AED-B302CF89657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30-401C-9AED-B302CF89657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30-401C-9AED-B302CF89657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30-401C-9AED-B302CF89657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30-401C-9AED-B302CF89657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Buddo-Kitemu'!$C$59:$N$59</c:f>
              <c:numCache>
                <c:formatCode>General</c:formatCode>
                <c:ptCount val="12"/>
                <c:pt idx="0">
                  <c:v>0.1040994933210502</c:v>
                </c:pt>
                <c:pt idx="1">
                  <c:v>1.0594196222938737E-2</c:v>
                </c:pt>
                <c:pt idx="2">
                  <c:v>1.6582220175034548E-2</c:v>
                </c:pt>
                <c:pt idx="3">
                  <c:v>1.8885306310456013E-2</c:v>
                </c:pt>
                <c:pt idx="4">
                  <c:v>9.2123445416858593E-4</c:v>
                </c:pt>
                <c:pt idx="5">
                  <c:v>0</c:v>
                </c:pt>
                <c:pt idx="6">
                  <c:v>3.6388760939659141E-2</c:v>
                </c:pt>
                <c:pt idx="7">
                  <c:v>9.6729617687701525E-3</c:v>
                </c:pt>
                <c:pt idx="8">
                  <c:v>1.8424689083371719E-3</c:v>
                </c:pt>
                <c:pt idx="9">
                  <c:v>0</c:v>
                </c:pt>
                <c:pt idx="10">
                  <c:v>0.8010133578995855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30-401C-9AED-B302CF89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8B-4F0C-B3D5-259E763CB45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8B-4F0C-B3D5-259E763CB45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8B-4F0C-B3D5-259E763CB45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8B-4F0C-B3D5-259E763CB45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8B-4F0C-B3D5-259E763CB45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8B-4F0C-B3D5-259E763CB45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8B-4F0C-B3D5-259E763CB45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8B-4F0C-B3D5-259E763CB45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8B-4F0C-B3D5-259E763CB45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8B-4F0C-B3D5-259E763CB45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8B-4F0C-B3D5-259E763CB45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8B-4F0C-B3D5-259E763CB45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8B-4F0C-B3D5-259E763CB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Buddo-Kitemu'!$C$60:$N$60</c:f>
              <c:numCache>
                <c:formatCode>General</c:formatCode>
                <c:ptCount val="12"/>
                <c:pt idx="0">
                  <c:v>0.52314814814814814</c:v>
                </c:pt>
                <c:pt idx="1">
                  <c:v>5.3240740740740741E-2</c:v>
                </c:pt>
                <c:pt idx="2">
                  <c:v>8.3333333333333329E-2</c:v>
                </c:pt>
                <c:pt idx="3">
                  <c:v>9.4907407407407413E-2</c:v>
                </c:pt>
                <c:pt idx="4">
                  <c:v>4.6296296296296294E-3</c:v>
                </c:pt>
                <c:pt idx="5">
                  <c:v>0</c:v>
                </c:pt>
                <c:pt idx="6">
                  <c:v>0.18287037037037038</c:v>
                </c:pt>
                <c:pt idx="7">
                  <c:v>4.8611111111111112E-2</c:v>
                </c:pt>
                <c:pt idx="8">
                  <c:v>9.2592592592592587E-3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8B-4F0C-B3D5-259E763CB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Kitemu-Buddo'!$AE$9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Kitemu-Buddo'!$R$10:$R$33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Kitemu-Buddo'!$AE$10:$AE$33</c:f>
              <c:numCache>
                <c:formatCode>0</c:formatCode>
                <c:ptCount val="24"/>
                <c:pt idx="0">
                  <c:v>33.571428571428569</c:v>
                </c:pt>
                <c:pt idx="1">
                  <c:v>25.714285714285712</c:v>
                </c:pt>
                <c:pt idx="2">
                  <c:v>26.571428571428573</c:v>
                </c:pt>
                <c:pt idx="3">
                  <c:v>30.000000000000004</c:v>
                </c:pt>
                <c:pt idx="4">
                  <c:v>32</c:v>
                </c:pt>
                <c:pt idx="5">
                  <c:v>33.142857142857139</c:v>
                </c:pt>
                <c:pt idx="6">
                  <c:v>33.571428571428569</c:v>
                </c:pt>
                <c:pt idx="7">
                  <c:v>29.857142857142854</c:v>
                </c:pt>
                <c:pt idx="8">
                  <c:v>32.142857142857146</c:v>
                </c:pt>
                <c:pt idx="9">
                  <c:v>36.428571428571431</c:v>
                </c:pt>
                <c:pt idx="10">
                  <c:v>41.857142857142861</c:v>
                </c:pt>
                <c:pt idx="11">
                  <c:v>37.571428571428569</c:v>
                </c:pt>
                <c:pt idx="12">
                  <c:v>48</c:v>
                </c:pt>
                <c:pt idx="13">
                  <c:v>44.5</c:v>
                </c:pt>
                <c:pt idx="14">
                  <c:v>36.5</c:v>
                </c:pt>
                <c:pt idx="15">
                  <c:v>39.5</c:v>
                </c:pt>
                <c:pt idx="16">
                  <c:v>33</c:v>
                </c:pt>
                <c:pt idx="17">
                  <c:v>20.5</c:v>
                </c:pt>
                <c:pt idx="18">
                  <c:v>13.5</c:v>
                </c:pt>
                <c:pt idx="19">
                  <c:v>5.5</c:v>
                </c:pt>
                <c:pt idx="20">
                  <c:v>7.5</c:v>
                </c:pt>
                <c:pt idx="21">
                  <c:v>16</c:v>
                </c:pt>
                <c:pt idx="22">
                  <c:v>36.5</c:v>
                </c:pt>
                <c:pt idx="23">
                  <c:v>39.5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Kitemu-Buddo'!$AF$9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Kitemu-Buddo'!$R$10:$R$33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Kitemu-Buddo'!$AF$10:$AF$33</c:f>
              <c:numCache>
                <c:formatCode>0</c:formatCode>
                <c:ptCount val="24"/>
                <c:pt idx="0">
                  <c:v>202.28571428571428</c:v>
                </c:pt>
                <c:pt idx="1">
                  <c:v>209.85714285714289</c:v>
                </c:pt>
                <c:pt idx="2">
                  <c:v>198.71428571428572</c:v>
                </c:pt>
                <c:pt idx="3">
                  <c:v>188.71428571428569</c:v>
                </c:pt>
                <c:pt idx="4">
                  <c:v>171.28571428571428</c:v>
                </c:pt>
                <c:pt idx="5">
                  <c:v>170</c:v>
                </c:pt>
                <c:pt idx="6">
                  <c:v>170.71428571428572</c:v>
                </c:pt>
                <c:pt idx="7">
                  <c:v>162.57142857142856</c:v>
                </c:pt>
                <c:pt idx="8">
                  <c:v>158.42857142857144</c:v>
                </c:pt>
                <c:pt idx="9">
                  <c:v>164.28571428571431</c:v>
                </c:pt>
                <c:pt idx="10">
                  <c:v>189.28571428571428</c:v>
                </c:pt>
                <c:pt idx="11">
                  <c:v>175.28571428571428</c:v>
                </c:pt>
                <c:pt idx="12">
                  <c:v>224.5</c:v>
                </c:pt>
                <c:pt idx="13">
                  <c:v>224</c:v>
                </c:pt>
                <c:pt idx="14">
                  <c:v>255</c:v>
                </c:pt>
                <c:pt idx="15">
                  <c:v>247.5</c:v>
                </c:pt>
                <c:pt idx="16">
                  <c:v>214.5</c:v>
                </c:pt>
                <c:pt idx="17">
                  <c:v>142.5</c:v>
                </c:pt>
                <c:pt idx="18">
                  <c:v>77</c:v>
                </c:pt>
                <c:pt idx="19">
                  <c:v>50.5</c:v>
                </c:pt>
                <c:pt idx="20">
                  <c:v>44</c:v>
                </c:pt>
                <c:pt idx="21">
                  <c:v>71.5</c:v>
                </c:pt>
                <c:pt idx="22">
                  <c:v>108</c:v>
                </c:pt>
                <c:pt idx="23">
                  <c:v>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45789040"/>
        <c:axId val="-2045783600"/>
      </c:lineChart>
      <c:catAx>
        <c:axId val="-2045789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3600"/>
        <c:crosses val="autoZero"/>
        <c:auto val="1"/>
        <c:lblAlgn val="ctr"/>
        <c:lblOffset val="100"/>
        <c:noMultiLvlLbl val="0"/>
      </c:catAx>
      <c:valAx>
        <c:axId val="-2045783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4578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Kitemu-Buddo'!$C$107:$N$107</c:f>
              <c:numCache>
                <c:formatCode>0.0%</c:formatCode>
                <c:ptCount val="12"/>
                <c:pt idx="0">
                  <c:v>7.0775682844648358E-2</c:v>
                </c:pt>
                <c:pt idx="1">
                  <c:v>1.1721270341959999E-2</c:v>
                </c:pt>
                <c:pt idx="2">
                  <c:v>1.0018639328984157E-2</c:v>
                </c:pt>
                <c:pt idx="3">
                  <c:v>4.9698903147179001E-2</c:v>
                </c:pt>
                <c:pt idx="4">
                  <c:v>2.3119936913040353E-3</c:v>
                </c:pt>
                <c:pt idx="5">
                  <c:v>2.5091404401749221E-4</c:v>
                </c:pt>
                <c:pt idx="6">
                  <c:v>2.4679188472291922E-2</c:v>
                </c:pt>
                <c:pt idx="7">
                  <c:v>1.1111907663631801E-2</c:v>
                </c:pt>
                <c:pt idx="8">
                  <c:v>3.208115277080795E-3</c:v>
                </c:pt>
                <c:pt idx="9">
                  <c:v>1.2545702200874613E-4</c:v>
                </c:pt>
                <c:pt idx="10">
                  <c:v>0.81609792816689386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Kitemu-Buddo'!$C$9:$N$9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Kitemu-Buddo'!$C$108:$N$108</c:f>
              <c:numCache>
                <c:formatCode>0.00%</c:formatCode>
                <c:ptCount val="12"/>
                <c:pt idx="0">
                  <c:v>0.38485527726342467</c:v>
                </c:pt>
                <c:pt idx="1">
                  <c:v>6.3736477926128077E-2</c:v>
                </c:pt>
                <c:pt idx="2">
                  <c:v>5.4478121040834236E-2</c:v>
                </c:pt>
                <c:pt idx="3">
                  <c:v>0.27024656466231362</c:v>
                </c:pt>
                <c:pt idx="4">
                  <c:v>1.2571874086346357E-2</c:v>
                </c:pt>
                <c:pt idx="5">
                  <c:v>1.3643894357275117E-3</c:v>
                </c:pt>
                <c:pt idx="6">
                  <c:v>0.13419744664262745</c:v>
                </c:pt>
                <c:pt idx="7">
                  <c:v>6.0422960725075532E-2</c:v>
                </c:pt>
                <c:pt idx="8">
                  <c:v>1.7444693499658909E-2</c:v>
                </c:pt>
                <c:pt idx="9">
                  <c:v>6.8219471786375608E-4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Buddo-Kitemu'!$AE$9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Buddo-Kitemu'!$R$10:$R$33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Buddo-Kitemu'!$AE$10:$AE$33</c:f>
              <c:numCache>
                <c:formatCode>0</c:formatCode>
                <c:ptCount val="24"/>
                <c:pt idx="0">
                  <c:v>47.714285714285715</c:v>
                </c:pt>
                <c:pt idx="1">
                  <c:v>43.428571428571431</c:v>
                </c:pt>
                <c:pt idx="2">
                  <c:v>41.285714285714292</c:v>
                </c:pt>
                <c:pt idx="3">
                  <c:v>46</c:v>
                </c:pt>
                <c:pt idx="4">
                  <c:v>34.142857142857146</c:v>
                </c:pt>
                <c:pt idx="5">
                  <c:v>27.428571428571427</c:v>
                </c:pt>
                <c:pt idx="6">
                  <c:v>28.285714285714288</c:v>
                </c:pt>
                <c:pt idx="7">
                  <c:v>28.142857142857142</c:v>
                </c:pt>
                <c:pt idx="8">
                  <c:v>24.571428571428569</c:v>
                </c:pt>
                <c:pt idx="9">
                  <c:v>31.714285714285715</c:v>
                </c:pt>
                <c:pt idx="10">
                  <c:v>36.142857142857139</c:v>
                </c:pt>
                <c:pt idx="11">
                  <c:v>38.285714285714285</c:v>
                </c:pt>
                <c:pt idx="12">
                  <c:v>29.5</c:v>
                </c:pt>
                <c:pt idx="13">
                  <c:v>24</c:v>
                </c:pt>
                <c:pt idx="14">
                  <c:v>15.5</c:v>
                </c:pt>
                <c:pt idx="15">
                  <c:v>9.5</c:v>
                </c:pt>
                <c:pt idx="16">
                  <c:v>14.5</c:v>
                </c:pt>
                <c:pt idx="17">
                  <c:v>2</c:v>
                </c:pt>
                <c:pt idx="18">
                  <c:v>0.5</c:v>
                </c:pt>
                <c:pt idx="19">
                  <c:v>0.5</c:v>
                </c:pt>
                <c:pt idx="20">
                  <c:v>4</c:v>
                </c:pt>
                <c:pt idx="21">
                  <c:v>5</c:v>
                </c:pt>
                <c:pt idx="22">
                  <c:v>18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Buddo-Kitemu'!$AF$9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Buddo-Kitemu'!$R$10:$R$33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Buddo-Kitemu'!$AF$10:$AF$33</c:f>
              <c:numCache>
                <c:formatCode>0</c:formatCode>
                <c:ptCount val="24"/>
                <c:pt idx="0">
                  <c:v>287.71428571428567</c:v>
                </c:pt>
                <c:pt idx="1">
                  <c:v>271.71428571428572</c:v>
                </c:pt>
                <c:pt idx="2">
                  <c:v>230.14285714285717</c:v>
                </c:pt>
                <c:pt idx="3">
                  <c:v>247.71428571428572</c:v>
                </c:pt>
                <c:pt idx="4">
                  <c:v>202.28571428571431</c:v>
                </c:pt>
                <c:pt idx="5">
                  <c:v>156.85714285714286</c:v>
                </c:pt>
                <c:pt idx="6">
                  <c:v>151.57142857142856</c:v>
                </c:pt>
                <c:pt idx="7">
                  <c:v>130.28571428571428</c:v>
                </c:pt>
                <c:pt idx="8">
                  <c:v>139.42857142857144</c:v>
                </c:pt>
                <c:pt idx="9">
                  <c:v>177.71428571428572</c:v>
                </c:pt>
                <c:pt idx="10">
                  <c:v>195.28571428571428</c:v>
                </c:pt>
                <c:pt idx="11">
                  <c:v>217.42857142857144</c:v>
                </c:pt>
                <c:pt idx="12">
                  <c:v>200</c:v>
                </c:pt>
                <c:pt idx="13">
                  <c:v>192.5</c:v>
                </c:pt>
                <c:pt idx="14">
                  <c:v>141.5</c:v>
                </c:pt>
                <c:pt idx="15">
                  <c:v>82.5</c:v>
                </c:pt>
                <c:pt idx="16">
                  <c:v>115</c:v>
                </c:pt>
                <c:pt idx="17">
                  <c:v>41</c:v>
                </c:pt>
                <c:pt idx="18">
                  <c:v>15.5</c:v>
                </c:pt>
                <c:pt idx="19">
                  <c:v>7.5</c:v>
                </c:pt>
                <c:pt idx="20">
                  <c:v>5</c:v>
                </c:pt>
                <c:pt idx="21">
                  <c:v>11.5</c:v>
                </c:pt>
                <c:pt idx="22">
                  <c:v>33.5</c:v>
                </c:pt>
                <c:pt idx="23">
                  <c:v>90.5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55355168"/>
        <c:axId val="-2055349728"/>
      </c:lineChart>
      <c:catAx>
        <c:axId val="-2055355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5349728"/>
        <c:crosses val="autoZero"/>
        <c:auto val="1"/>
        <c:lblAlgn val="ctr"/>
        <c:lblOffset val="100"/>
        <c:noMultiLvlLbl val="0"/>
      </c:catAx>
      <c:valAx>
        <c:axId val="-2055349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05535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Buddo-Kitemu'!$C$107:$N$107</c:f>
              <c:numCache>
                <c:formatCode>0.0%</c:formatCode>
                <c:ptCount val="12"/>
                <c:pt idx="0">
                  <c:v>8.201973599897476E-2</c:v>
                </c:pt>
                <c:pt idx="1">
                  <c:v>8.1165363748985416E-3</c:v>
                </c:pt>
                <c:pt idx="2">
                  <c:v>9.4408133623819866E-3</c:v>
                </c:pt>
                <c:pt idx="3">
                  <c:v>2.6699132812166258E-2</c:v>
                </c:pt>
                <c:pt idx="4">
                  <c:v>4.7204066811909941E-3</c:v>
                </c:pt>
                <c:pt idx="5">
                  <c:v>0</c:v>
                </c:pt>
                <c:pt idx="6">
                  <c:v>2.7703020205903706E-2</c:v>
                </c:pt>
                <c:pt idx="7">
                  <c:v>1.0231107693622113E-2</c:v>
                </c:pt>
                <c:pt idx="8">
                  <c:v>3.0970994062112863E-3</c:v>
                </c:pt>
                <c:pt idx="9">
                  <c:v>0</c:v>
                </c:pt>
                <c:pt idx="10">
                  <c:v>0.82532359348968343</c:v>
                </c:pt>
                <c:pt idx="11">
                  <c:v>2.6485539749668925E-3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Buddo-Kitemu'!$C$9:$N$9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Buddo-Kitemu'!$C$108:$N$108</c:f>
              <c:numCache>
                <c:formatCode>0.00%</c:formatCode>
                <c:ptCount val="12"/>
                <c:pt idx="0">
                  <c:v>0.46955245781364646</c:v>
                </c:pt>
                <c:pt idx="1">
                  <c:v>4.6466128637808753E-2</c:v>
                </c:pt>
                <c:pt idx="2">
                  <c:v>5.4047444362924905E-2</c:v>
                </c:pt>
                <c:pt idx="3">
                  <c:v>0.15284910736121302</c:v>
                </c:pt>
                <c:pt idx="4">
                  <c:v>2.702372218146246E-2</c:v>
                </c:pt>
                <c:pt idx="5">
                  <c:v>0</c:v>
                </c:pt>
                <c:pt idx="6">
                  <c:v>0.15859623379799459</c:v>
                </c:pt>
                <c:pt idx="7">
                  <c:v>5.857177794081684E-2</c:v>
                </c:pt>
                <c:pt idx="8">
                  <c:v>1.7730496453900711E-2</c:v>
                </c:pt>
                <c:pt idx="9">
                  <c:v>0</c:v>
                </c:pt>
                <c:pt idx="11">
                  <c:v>1.516263145023233E-2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Kitemu-Buddo-2Dir'!$C$9:$N$9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Kitemu-Buddo-2Dir'!$C$107:$N$107</c:f>
              <c:numCache>
                <c:formatCode>0.0%</c:formatCode>
                <c:ptCount val="12"/>
                <c:pt idx="0">
                  <c:v>7.5905821817685695E-2</c:v>
                </c:pt>
                <c:pt idx="1">
                  <c:v>1.0076597735201824E-2</c:v>
                </c:pt>
                <c:pt idx="2">
                  <c:v>9.7550041904613406E-3</c:v>
                </c:pt>
                <c:pt idx="3">
                  <c:v>3.9205176681544433E-2</c:v>
                </c:pt>
                <c:pt idx="4">
                  <c:v>3.4108406260354345E-3</c:v>
                </c:pt>
                <c:pt idx="5">
                  <c:v>1.3643362504141732E-4</c:v>
                </c:pt>
                <c:pt idx="6">
                  <c:v>2.6058822382910716E-2</c:v>
                </c:pt>
                <c:pt idx="7">
                  <c:v>1.0710039565751265E-2</c:v>
                </c:pt>
                <c:pt idx="8">
                  <c:v>3.1574638938156592E-3</c:v>
                </c:pt>
                <c:pt idx="9">
                  <c:v>6.8216812520708673E-5</c:v>
                </c:pt>
                <c:pt idx="10">
                  <c:v>0.8203071705615218</c:v>
                </c:pt>
                <c:pt idx="11">
                  <c:v>1.2084121075096963E-3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Kitemu-Buddo-2Dir'!$C$9:$N$9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Kitemu-Buddo-2Dir'!$C$108:$N$108</c:f>
              <c:numCache>
                <c:formatCode>0.00%</c:formatCode>
                <c:ptCount val="12"/>
                <c:pt idx="0">
                  <c:v>0.42241987092575528</c:v>
                </c:pt>
                <c:pt idx="1">
                  <c:v>5.6076793752372699E-2</c:v>
                </c:pt>
                <c:pt idx="2">
                  <c:v>5.4287108845382077E-2</c:v>
                </c:pt>
                <c:pt idx="3">
                  <c:v>0.21817886002494716</c:v>
                </c:pt>
                <c:pt idx="4">
                  <c:v>1.8981506589294435E-2</c:v>
                </c:pt>
                <c:pt idx="5">
                  <c:v>7.5926026357177713E-4</c:v>
                </c:pt>
                <c:pt idx="6">
                  <c:v>0.14501871034220945</c:v>
                </c:pt>
                <c:pt idx="7">
                  <c:v>5.9601930690384525E-2</c:v>
                </c:pt>
                <c:pt idx="8">
                  <c:v>1.7571451814089704E-2</c:v>
                </c:pt>
                <c:pt idx="9">
                  <c:v>3.7963013178588862E-4</c:v>
                </c:pt>
                <c:pt idx="11">
                  <c:v>6.7248766202071689E-3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Kitemu-Buddo-2Dir'!$S$9:$AF$9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Kitemu-Buddo-2Dir'!$S$41:$AF$41</c:f>
              <c:numCache>
                <c:formatCode>_-* #,##0_-;\-* #,##0_-;_-* "-"_-;_-@_-</c:formatCode>
                <c:ptCount val="14"/>
                <c:pt idx="0">
                  <c:v>556.35714285714289</c:v>
                </c:pt>
                <c:pt idx="1">
                  <c:v>73.857142857142861</c:v>
                </c:pt>
                <c:pt idx="2">
                  <c:v>71.5</c:v>
                </c:pt>
                <c:pt idx="3">
                  <c:v>287.35714285714289</c:v>
                </c:pt>
                <c:pt idx="4">
                  <c:v>25</c:v>
                </c:pt>
                <c:pt idx="5">
                  <c:v>1</c:v>
                </c:pt>
                <c:pt idx="6">
                  <c:v>191</c:v>
                </c:pt>
                <c:pt idx="7">
                  <c:v>78.5</c:v>
                </c:pt>
                <c:pt idx="8">
                  <c:v>23.142857142857139</c:v>
                </c:pt>
                <c:pt idx="9">
                  <c:v>0.5</c:v>
                </c:pt>
                <c:pt idx="10">
                  <c:v>6012.5</c:v>
                </c:pt>
                <c:pt idx="11">
                  <c:v>8.8571428571428559</c:v>
                </c:pt>
                <c:pt idx="12">
                  <c:v>1317.0714285714284</c:v>
                </c:pt>
                <c:pt idx="13">
                  <c:v>7329.5714285714284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F-48AE-958D-260D88777A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Kitemu-Buddo-2Dir'!$S$9:$AF$9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Kitemu-Buddo-2Dir'!$S$42:$AF$42</c:f>
              <c:numCache>
                <c:formatCode>0.000</c:formatCode>
                <c:ptCount val="14"/>
                <c:pt idx="0">
                  <c:v>1.5546906187624752</c:v>
                </c:pt>
                <c:pt idx="1">
                  <c:v>1.6464968152866244</c:v>
                </c:pt>
                <c:pt idx="2">
                  <c:v>1.5543478260869568</c:v>
                </c:pt>
                <c:pt idx="3">
                  <c:v>2.0115000000000003</c:v>
                </c:pt>
                <c:pt idx="4">
                  <c:v>1.5625</c:v>
                </c:pt>
                <c:pt idx="5">
                  <c:v>1</c:v>
                </c:pt>
                <c:pt idx="6">
                  <c:v>1.3941605839416058</c:v>
                </c:pt>
                <c:pt idx="7">
                  <c:v>1.6354166666666667</c:v>
                </c:pt>
                <c:pt idx="8">
                  <c:v>1.35</c:v>
                </c:pt>
                <c:pt idx="9">
                  <c:v>0</c:v>
                </c:pt>
                <c:pt idx="10">
                  <c:v>1.6033333333333333</c:v>
                </c:pt>
                <c:pt idx="11">
                  <c:v>1</c:v>
                </c:pt>
                <c:pt idx="12">
                  <c:v>1.6070245773052116</c:v>
                </c:pt>
                <c:pt idx="13">
                  <c:v>1.6039953731203302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80-466A-B2D5-D96C517E64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Kitemu-Buddo-2Dir'!$AE$9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Kitemu-Buddo-2Dir'!$R$10:$R$33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Kitemu-Buddo-2Dir'!$AE$10:$AE$33</c:f>
              <c:numCache>
                <c:formatCode>0</c:formatCode>
                <c:ptCount val="24"/>
                <c:pt idx="0">
                  <c:v>81.285714285714278</c:v>
                </c:pt>
                <c:pt idx="1">
                  <c:v>69.142857142857139</c:v>
                </c:pt>
                <c:pt idx="2">
                  <c:v>67.857142857142847</c:v>
                </c:pt>
                <c:pt idx="3">
                  <c:v>76</c:v>
                </c:pt>
                <c:pt idx="4">
                  <c:v>66.142857142857139</c:v>
                </c:pt>
                <c:pt idx="5">
                  <c:v>60.571428571428569</c:v>
                </c:pt>
                <c:pt idx="6">
                  <c:v>61.857142857142861</c:v>
                </c:pt>
                <c:pt idx="7">
                  <c:v>58</c:v>
                </c:pt>
                <c:pt idx="8">
                  <c:v>56.714285714285708</c:v>
                </c:pt>
                <c:pt idx="9">
                  <c:v>68.142857142857139</c:v>
                </c:pt>
                <c:pt idx="10">
                  <c:v>78</c:v>
                </c:pt>
                <c:pt idx="11">
                  <c:v>75.857142857142847</c:v>
                </c:pt>
                <c:pt idx="12">
                  <c:v>77.5</c:v>
                </c:pt>
                <c:pt idx="13">
                  <c:v>68.5</c:v>
                </c:pt>
                <c:pt idx="14">
                  <c:v>52</c:v>
                </c:pt>
                <c:pt idx="15">
                  <c:v>49</c:v>
                </c:pt>
                <c:pt idx="16">
                  <c:v>47.5</c:v>
                </c:pt>
                <c:pt idx="17">
                  <c:v>22.5</c:v>
                </c:pt>
                <c:pt idx="18">
                  <c:v>14</c:v>
                </c:pt>
                <c:pt idx="19">
                  <c:v>6</c:v>
                </c:pt>
                <c:pt idx="20">
                  <c:v>11.5</c:v>
                </c:pt>
                <c:pt idx="21">
                  <c:v>21</c:v>
                </c:pt>
                <c:pt idx="22">
                  <c:v>54.5</c:v>
                </c:pt>
                <c:pt idx="23">
                  <c:v>73.5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EB-45C3-B9D6-9A1704E1343B}"/>
            </c:ext>
          </c:extLst>
        </c:ser>
        <c:ser>
          <c:idx val="1"/>
          <c:order val="1"/>
          <c:tx>
            <c:strRef>
              <c:f>'Avg Week Kitemu-Buddo-2Dir'!$AF$9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Kitemu-Buddo-2Dir'!$R$10:$R$33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Kitemu-Buddo-2Dir'!$AF$10:$AF$33</c:f>
              <c:numCache>
                <c:formatCode>0</c:formatCode>
                <c:ptCount val="24"/>
                <c:pt idx="0">
                  <c:v>490</c:v>
                </c:pt>
                <c:pt idx="1">
                  <c:v>481.57142857142856</c:v>
                </c:pt>
                <c:pt idx="2">
                  <c:v>428.85714285714289</c:v>
                </c:pt>
                <c:pt idx="3">
                  <c:v>436.42857142857144</c:v>
                </c:pt>
                <c:pt idx="4">
                  <c:v>373.57142857142856</c:v>
                </c:pt>
                <c:pt idx="5">
                  <c:v>326.85714285714283</c:v>
                </c:pt>
                <c:pt idx="6">
                  <c:v>322.28571428571428</c:v>
                </c:pt>
                <c:pt idx="7">
                  <c:v>292.85714285714289</c:v>
                </c:pt>
                <c:pt idx="8">
                  <c:v>297.85714285714289</c:v>
                </c:pt>
                <c:pt idx="9">
                  <c:v>342</c:v>
                </c:pt>
                <c:pt idx="10">
                  <c:v>384.57142857142856</c:v>
                </c:pt>
                <c:pt idx="11">
                  <c:v>392.71428571428572</c:v>
                </c:pt>
                <c:pt idx="12">
                  <c:v>424.5</c:v>
                </c:pt>
                <c:pt idx="13">
                  <c:v>416.5</c:v>
                </c:pt>
                <c:pt idx="14">
                  <c:v>396.5</c:v>
                </c:pt>
                <c:pt idx="15">
                  <c:v>330</c:v>
                </c:pt>
                <c:pt idx="16">
                  <c:v>329.5</c:v>
                </c:pt>
                <c:pt idx="17">
                  <c:v>183.5</c:v>
                </c:pt>
                <c:pt idx="18">
                  <c:v>92.5</c:v>
                </c:pt>
                <c:pt idx="19">
                  <c:v>58</c:v>
                </c:pt>
                <c:pt idx="20">
                  <c:v>49</c:v>
                </c:pt>
                <c:pt idx="21">
                  <c:v>83</c:v>
                </c:pt>
                <c:pt idx="22">
                  <c:v>141.5</c:v>
                </c:pt>
                <c:pt idx="23">
                  <c:v>255.5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EB-45C3-B9D6-9A1704E1343B}"/>
            </c:ext>
          </c:extLst>
        </c:ser>
        <c:ser>
          <c:idx val="5"/>
          <c:order val="2"/>
          <c:tx>
            <c:strRef>
              <c:f>'Avg Week Kitemu-Buddo-2Dir'!$AC$9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Kitemu-Buddo-2Dir'!$R$10:$R$33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Kitemu-Buddo-2Dir'!$AC$10:$AC$33</c:f>
              <c:numCache>
                <c:formatCode>0</c:formatCode>
                <c:ptCount val="24"/>
                <c:pt idx="0">
                  <c:v>408.71428571428567</c:v>
                </c:pt>
                <c:pt idx="1">
                  <c:v>412.42857142857139</c:v>
                </c:pt>
                <c:pt idx="2">
                  <c:v>361.00000000000006</c:v>
                </c:pt>
                <c:pt idx="3">
                  <c:v>360.42857142857144</c:v>
                </c:pt>
                <c:pt idx="4">
                  <c:v>307.42857142857144</c:v>
                </c:pt>
                <c:pt idx="5">
                  <c:v>266.28571428571428</c:v>
                </c:pt>
                <c:pt idx="6">
                  <c:v>260.42857142857144</c:v>
                </c:pt>
                <c:pt idx="7">
                  <c:v>234.85714285714286</c:v>
                </c:pt>
                <c:pt idx="8">
                  <c:v>241.14285714285717</c:v>
                </c:pt>
                <c:pt idx="9">
                  <c:v>273.85714285714289</c:v>
                </c:pt>
                <c:pt idx="10">
                  <c:v>306.57142857142856</c:v>
                </c:pt>
                <c:pt idx="11">
                  <c:v>316.85714285714289</c:v>
                </c:pt>
                <c:pt idx="12">
                  <c:v>347</c:v>
                </c:pt>
                <c:pt idx="13">
                  <c:v>348</c:v>
                </c:pt>
                <c:pt idx="14">
                  <c:v>344.5</c:v>
                </c:pt>
                <c:pt idx="15">
                  <c:v>281</c:v>
                </c:pt>
                <c:pt idx="16">
                  <c:v>282</c:v>
                </c:pt>
                <c:pt idx="17">
                  <c:v>161</c:v>
                </c:pt>
                <c:pt idx="18">
                  <c:v>78.5</c:v>
                </c:pt>
                <c:pt idx="19">
                  <c:v>52</c:v>
                </c:pt>
                <c:pt idx="20">
                  <c:v>37.5</c:v>
                </c:pt>
                <c:pt idx="21">
                  <c:v>62</c:v>
                </c:pt>
                <c:pt idx="22">
                  <c:v>87</c:v>
                </c:pt>
                <c:pt idx="23">
                  <c:v>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EB-45C3-B9D6-9A1704E13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chart" Target="../charts/chart28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27.xml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3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33.xml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8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47.xml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3.xml"/><Relationship Id="rId2" Type="http://schemas.openxmlformats.org/officeDocument/2006/relationships/image" Target="../media/image1.emf"/><Relationship Id="rId16" Type="http://schemas.openxmlformats.org/officeDocument/2006/relationships/chart" Target="../charts/chart52.xml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9.xml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19" Type="http://schemas.openxmlformats.org/officeDocument/2006/relationships/chart" Target="../charts/chart6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66.xml"/><Relationship Id="rId2" Type="http://schemas.openxmlformats.org/officeDocument/2006/relationships/image" Target="../media/image1.emf"/><Relationship Id="rId16" Type="http://schemas.openxmlformats.org/officeDocument/2006/relationships/chart" Target="../charts/chart65.xml"/><Relationship Id="rId1" Type="http://schemas.openxmlformats.org/officeDocument/2006/relationships/chart" Target="../charts/chart6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4.xml"/><Relationship Id="rId10" Type="http://schemas.openxmlformats.org/officeDocument/2006/relationships/image" Target="../media/image9.jpeg"/><Relationship Id="rId19" Type="http://schemas.openxmlformats.org/officeDocument/2006/relationships/chart" Target="../charts/chart6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3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0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7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3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7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79.xml"/><Relationship Id="rId2" Type="http://schemas.openxmlformats.org/officeDocument/2006/relationships/image" Target="../media/image2.emf"/><Relationship Id="rId16" Type="http://schemas.openxmlformats.org/officeDocument/2006/relationships/chart" Target="../charts/chart78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77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7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A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A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B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B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B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B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B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B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B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B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B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D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698500</xdr:colOff>
      <xdr:row>57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22</xdr:col>
      <xdr:colOff>698500</xdr:colOff>
      <xdr:row>72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58</xdr:row>
      <xdr:rowOff>15876</xdr:rowOff>
    </xdr:from>
    <xdr:to>
      <xdr:col>30</xdr:col>
      <xdr:colOff>698501</xdr:colOff>
      <xdr:row>72</xdr:row>
      <xdr:rowOff>254000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15875</xdr:rowOff>
    </xdr:from>
    <xdr:to>
      <xdr:col>27</xdr:col>
      <xdr:colOff>714374</xdr:colOff>
      <xdr:row>57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279400</xdr:rowOff>
    </xdr:from>
    <xdr:to>
      <xdr:col>23</xdr:col>
      <xdr:colOff>15875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58</xdr:row>
      <xdr:rowOff>1</xdr:rowOff>
    </xdr:from>
    <xdr:to>
      <xdr:col>30</xdr:col>
      <xdr:colOff>698500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23</xdr:col>
      <xdr:colOff>698500</xdr:colOff>
      <xdr:row>75</xdr:row>
      <xdr:rowOff>15874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15874</xdr:colOff>
      <xdr:row>75</xdr:row>
      <xdr:rowOff>15876</xdr:rowOff>
    </xdr:from>
    <xdr:to>
      <xdr:col>23</xdr:col>
      <xdr:colOff>698499</xdr:colOff>
      <xdr:row>91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58</xdr:row>
      <xdr:rowOff>271461</xdr:rowOff>
    </xdr:from>
    <xdr:to>
      <xdr:col>31</xdr:col>
      <xdr:colOff>15875</xdr:colOff>
      <xdr:row>75</xdr:row>
      <xdr:rowOff>15874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81E5F49-75E2-4A6A-8BEE-0D4A64081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698501</xdr:colOff>
      <xdr:row>75</xdr:row>
      <xdr:rowOff>17462</xdr:rowOff>
    </xdr:from>
    <xdr:to>
      <xdr:col>31</xdr:col>
      <xdr:colOff>1</xdr:colOff>
      <xdr:row>91</xdr:row>
      <xdr:rowOff>15875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EB321C2-83E2-4091-B544-3C08BC546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42</xdr:row>
      <xdr:rowOff>285749</xdr:rowOff>
    </xdr:from>
    <xdr:to>
      <xdr:col>28</xdr:col>
      <xdr:colOff>0</xdr:colOff>
      <xdr:row>58</xdr:row>
      <xdr:rowOff>269874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1F58562-444A-465D-9652-25A1BC800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EDMP-Data%20Shakirah/MCC%20-C2-STN%20-59A%20-BUDDO%20RD-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%20Shakirah\MCC%20-C2-STN%20-59A%20-BUDDO%20RD-Shaki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-Kitemu-Buddo"/>
      <sheetName val="23.09.19 -Buddo-Kitemu"/>
      <sheetName val="24.09 Kitemu-Buddo"/>
      <sheetName val="24.09 Buddo-Kitemu"/>
      <sheetName val="25.09 Kitemu-Buddo"/>
      <sheetName val="25.09 Buddo-Kitemu"/>
      <sheetName val="27.09 Kitemu-Buddo"/>
      <sheetName val="27.09 Buddo-Kitemu"/>
      <sheetName val="26.09 Kitemu-Buddo"/>
      <sheetName val="26.09 Buddo-Kitemu"/>
      <sheetName val="28.09 Kitemu-Buddo-24h"/>
      <sheetName val="28.09 Buddo-Kitemu-24h"/>
      <sheetName val="29.09 Kitemu-Buddo"/>
      <sheetName val="29.09 Buddo-Kitemu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MCC-C2-Kitemu -Buddo RD</v>
          </cell>
        </row>
        <row r="6">
          <cell r="D6" t="str">
            <v>KITEMU</v>
          </cell>
          <cell r="G6" t="str">
            <v>BUDDO</v>
          </cell>
        </row>
      </sheetData>
      <sheetData sheetId="1">
        <row r="6">
          <cell r="D6" t="str">
            <v>BUDDO</v>
          </cell>
        </row>
      </sheetData>
      <sheetData sheetId="2"/>
      <sheetData sheetId="3">
        <row r="6">
          <cell r="G6" t="str">
            <v>KITEMU</v>
          </cell>
        </row>
      </sheetData>
      <sheetData sheetId="4"/>
      <sheetData sheetId="5"/>
      <sheetData sheetId="6">
        <row r="5">
          <cell r="D5" t="str">
            <v>27.09.19</v>
          </cell>
          <cell r="G5" t="str">
            <v>St Charles Lwanga PS</v>
          </cell>
          <cell r="K5" t="str">
            <v>Moreen</v>
          </cell>
        </row>
        <row r="6">
          <cell r="K6" t="str">
            <v>Denis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38</v>
          </cell>
          <cell r="AF10">
            <v>236</v>
          </cell>
        </row>
        <row r="11">
          <cell r="R11" t="str">
            <v>0800-0900</v>
          </cell>
          <cell r="AE11">
            <v>22</v>
          </cell>
          <cell r="AF11">
            <v>220</v>
          </cell>
        </row>
        <row r="12">
          <cell r="R12" t="str">
            <v>0900-1000</v>
          </cell>
          <cell r="AE12">
            <v>18</v>
          </cell>
          <cell r="AF12">
            <v>167</v>
          </cell>
        </row>
        <row r="13">
          <cell r="R13" t="str">
            <v>1000-1100</v>
          </cell>
          <cell r="AE13">
            <v>28</v>
          </cell>
          <cell r="AF13">
            <v>185</v>
          </cell>
        </row>
        <row r="14">
          <cell r="R14" t="str">
            <v>1100-1200</v>
          </cell>
          <cell r="AE14">
            <v>30</v>
          </cell>
          <cell r="AF14">
            <v>172</v>
          </cell>
        </row>
        <row r="15">
          <cell r="R15" t="str">
            <v>1200-1300</v>
          </cell>
          <cell r="AE15">
            <v>33</v>
          </cell>
          <cell r="AF15">
            <v>187</v>
          </cell>
        </row>
        <row r="16">
          <cell r="R16" t="str">
            <v>1300-1400</v>
          </cell>
          <cell r="AE16">
            <v>33</v>
          </cell>
          <cell r="AF16">
            <v>198</v>
          </cell>
        </row>
        <row r="17">
          <cell r="R17" t="str">
            <v>1400-1500</v>
          </cell>
          <cell r="AE17">
            <v>47</v>
          </cell>
          <cell r="AF17">
            <v>224</v>
          </cell>
        </row>
        <row r="18">
          <cell r="R18" t="str">
            <v>1500-1600</v>
          </cell>
          <cell r="AE18">
            <v>37</v>
          </cell>
          <cell r="AF18">
            <v>163</v>
          </cell>
        </row>
        <row r="19">
          <cell r="R19" t="str">
            <v>1600-1700</v>
          </cell>
          <cell r="AE19">
            <v>41</v>
          </cell>
          <cell r="AF19">
            <v>167</v>
          </cell>
        </row>
        <row r="20">
          <cell r="R20" t="str">
            <v>1700-1800</v>
          </cell>
          <cell r="AE20">
            <v>40</v>
          </cell>
          <cell r="AF20">
            <v>188</v>
          </cell>
        </row>
        <row r="21">
          <cell r="R21" t="str">
            <v>1800-1900</v>
          </cell>
          <cell r="AE21">
            <v>34</v>
          </cell>
          <cell r="AF21">
            <v>192</v>
          </cell>
        </row>
        <row r="22">
          <cell r="R22" t="str">
            <v>1900-2000</v>
          </cell>
          <cell r="AE22">
            <v>48</v>
          </cell>
          <cell r="AF22">
            <v>231</v>
          </cell>
        </row>
        <row r="23">
          <cell r="R23" t="str">
            <v>2000-2100</v>
          </cell>
          <cell r="AE23">
            <v>44</v>
          </cell>
          <cell r="AF23">
            <v>215</v>
          </cell>
        </row>
        <row r="24">
          <cell r="R24" t="str">
            <v>2100-2200</v>
          </cell>
          <cell r="AE24">
            <v>41</v>
          </cell>
          <cell r="AF24">
            <v>281</v>
          </cell>
        </row>
        <row r="25">
          <cell r="R25" t="str">
            <v>2200-2300</v>
          </cell>
          <cell r="AE25">
            <v>33</v>
          </cell>
          <cell r="AF25">
            <v>248</v>
          </cell>
        </row>
        <row r="26">
          <cell r="R26" t="str">
            <v>2300-0000</v>
          </cell>
          <cell r="AE26">
            <v>35</v>
          </cell>
          <cell r="AF26">
            <v>214</v>
          </cell>
        </row>
        <row r="27">
          <cell r="R27" t="str">
            <v>0000-0100</v>
          </cell>
          <cell r="AE27">
            <v>15</v>
          </cell>
          <cell r="AF27">
            <v>130</v>
          </cell>
        </row>
        <row r="28">
          <cell r="R28" t="str">
            <v>0100-0200</v>
          </cell>
          <cell r="AE28">
            <v>9</v>
          </cell>
          <cell r="AF28">
            <v>37</v>
          </cell>
        </row>
        <row r="29">
          <cell r="R29" t="str">
            <v>0200-0300</v>
          </cell>
          <cell r="AE29">
            <v>6</v>
          </cell>
          <cell r="AF29">
            <v>27</v>
          </cell>
        </row>
        <row r="30">
          <cell r="R30" t="str">
            <v>0300-0400</v>
          </cell>
          <cell r="AE30">
            <v>4</v>
          </cell>
          <cell r="AF30">
            <v>11</v>
          </cell>
        </row>
        <row r="31">
          <cell r="R31" t="str">
            <v>0400-0500</v>
          </cell>
          <cell r="AE31">
            <v>11</v>
          </cell>
          <cell r="AF31">
            <v>28</v>
          </cell>
        </row>
        <row r="32">
          <cell r="R32" t="str">
            <v>0500-0600</v>
          </cell>
          <cell r="AE32">
            <v>35</v>
          </cell>
          <cell r="AF32">
            <v>51</v>
          </cell>
        </row>
        <row r="33">
          <cell r="R33" t="str">
            <v>0600-0700</v>
          </cell>
          <cell r="AE33">
            <v>35</v>
          </cell>
          <cell r="AF33">
            <v>110</v>
          </cell>
        </row>
        <row r="107">
          <cell r="C107">
            <v>6.8521380731581663E-2</v>
          </cell>
          <cell r="D107">
            <v>1.056156620298815E-2</v>
          </cell>
          <cell r="E107">
            <v>1.2364760432766615E-2</v>
          </cell>
          <cell r="F107">
            <v>4.9974240082431738E-2</v>
          </cell>
          <cell r="G107">
            <v>4.3791859866048428E-3</v>
          </cell>
          <cell r="H107">
            <v>0</v>
          </cell>
          <cell r="I107">
            <v>1.90623390005152E-2</v>
          </cell>
          <cell r="J107">
            <v>1.056156620298815E-2</v>
          </cell>
          <cell r="K107">
            <v>9.0159711488923232E-3</v>
          </cell>
          <cell r="L107">
            <v>2.5759917568263783E-4</v>
          </cell>
          <cell r="M107">
            <v>0.81530139103554866</v>
          </cell>
          <cell r="N107">
            <v>0</v>
          </cell>
        </row>
        <row r="108">
          <cell r="C108">
            <v>0.37099023709902373</v>
          </cell>
          <cell r="D108">
            <v>5.7182705718270568E-2</v>
          </cell>
          <cell r="E108">
            <v>6.6945606694560664E-2</v>
          </cell>
          <cell r="F108">
            <v>0.27057182705718269</v>
          </cell>
          <cell r="G108">
            <v>2.3709902370990237E-2</v>
          </cell>
          <cell r="H108">
            <v>0</v>
          </cell>
          <cell r="I108">
            <v>0.10320781032078104</v>
          </cell>
          <cell r="J108">
            <v>5.7182705718270568E-2</v>
          </cell>
          <cell r="K108">
            <v>4.8814504881450491E-2</v>
          </cell>
          <cell r="L108">
            <v>1.3947001394700139E-3</v>
          </cell>
          <cell r="N108">
            <v>0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58</v>
          </cell>
          <cell r="AF10">
            <v>357</v>
          </cell>
        </row>
        <row r="11">
          <cell r="R11" t="str">
            <v>0800-0900</v>
          </cell>
          <cell r="AE11">
            <v>35</v>
          </cell>
          <cell r="AF11">
            <v>243</v>
          </cell>
        </row>
        <row r="12">
          <cell r="R12" t="str">
            <v>0900-1000</v>
          </cell>
          <cell r="AE12">
            <v>35</v>
          </cell>
          <cell r="AF12">
            <v>210</v>
          </cell>
        </row>
        <row r="13">
          <cell r="R13" t="str">
            <v>1000-1100</v>
          </cell>
          <cell r="AE13">
            <v>101</v>
          </cell>
          <cell r="AF13">
            <v>320</v>
          </cell>
        </row>
        <row r="14">
          <cell r="R14" t="str">
            <v>1100-1200</v>
          </cell>
          <cell r="AE14">
            <v>39</v>
          </cell>
          <cell r="AF14">
            <v>229</v>
          </cell>
        </row>
        <row r="15">
          <cell r="R15" t="str">
            <v>1200-1300</v>
          </cell>
          <cell r="AE15">
            <v>31</v>
          </cell>
          <cell r="AF15">
            <v>194</v>
          </cell>
        </row>
        <row r="16">
          <cell r="R16" t="str">
            <v>1300-1400</v>
          </cell>
          <cell r="AE16">
            <v>30</v>
          </cell>
          <cell r="AF16">
            <v>172</v>
          </cell>
        </row>
        <row r="17">
          <cell r="R17" t="str">
            <v>1400-1500</v>
          </cell>
          <cell r="AE17">
            <v>35</v>
          </cell>
          <cell r="AF17">
            <v>161</v>
          </cell>
        </row>
        <row r="18">
          <cell r="R18" t="str">
            <v>1500-1600</v>
          </cell>
          <cell r="AE18">
            <v>0</v>
          </cell>
          <cell r="AF18">
            <v>0</v>
          </cell>
        </row>
        <row r="19">
          <cell r="R19" t="str">
            <v>1600-1700</v>
          </cell>
          <cell r="AE19">
            <v>0</v>
          </cell>
          <cell r="AF19">
            <v>0</v>
          </cell>
        </row>
        <row r="20">
          <cell r="R20" t="str">
            <v>1700-1800</v>
          </cell>
          <cell r="AE20">
            <v>0</v>
          </cell>
          <cell r="AF20">
            <v>0</v>
          </cell>
        </row>
        <row r="21">
          <cell r="R21" t="str">
            <v>1800-1900</v>
          </cell>
          <cell r="AE21">
            <v>0</v>
          </cell>
          <cell r="AF21">
            <v>0</v>
          </cell>
        </row>
        <row r="22">
          <cell r="R22" t="str">
            <v>1900-2000</v>
          </cell>
          <cell r="AE22">
            <v>0</v>
          </cell>
          <cell r="AF22">
            <v>0</v>
          </cell>
        </row>
        <row r="23">
          <cell r="R23" t="str">
            <v>2000-2100</v>
          </cell>
          <cell r="AE23">
            <v>0</v>
          </cell>
          <cell r="AF23">
            <v>0</v>
          </cell>
        </row>
        <row r="24">
          <cell r="R24" t="str">
            <v>2100-2200</v>
          </cell>
          <cell r="AE24">
            <v>0</v>
          </cell>
          <cell r="AF24">
            <v>0</v>
          </cell>
        </row>
        <row r="25">
          <cell r="R25" t="str">
            <v>2200-2300</v>
          </cell>
          <cell r="AE25">
            <v>0</v>
          </cell>
          <cell r="AF25">
            <v>0</v>
          </cell>
        </row>
        <row r="26">
          <cell r="R26" t="str">
            <v>2300-0000</v>
          </cell>
          <cell r="AE26">
            <v>0</v>
          </cell>
          <cell r="AF26">
            <v>0</v>
          </cell>
        </row>
        <row r="27">
          <cell r="R27" t="str">
            <v>0000-0100</v>
          </cell>
          <cell r="AE27">
            <v>0</v>
          </cell>
          <cell r="AF27">
            <v>0</v>
          </cell>
        </row>
        <row r="28">
          <cell r="R28" t="str">
            <v>0100-0200</v>
          </cell>
          <cell r="AE28">
            <v>0</v>
          </cell>
          <cell r="AF28">
            <v>0</v>
          </cell>
        </row>
        <row r="29">
          <cell r="R29" t="str">
            <v>0200-0300</v>
          </cell>
          <cell r="AE29">
            <v>0</v>
          </cell>
          <cell r="AF29">
            <v>0</v>
          </cell>
        </row>
        <row r="30">
          <cell r="R30" t="str">
            <v>0300-0400</v>
          </cell>
          <cell r="AE30">
            <v>0</v>
          </cell>
          <cell r="AF30">
            <v>0</v>
          </cell>
        </row>
        <row r="31">
          <cell r="R31" t="str">
            <v>0400-0500</v>
          </cell>
          <cell r="AE31">
            <v>0</v>
          </cell>
          <cell r="AF31">
            <v>0</v>
          </cell>
        </row>
        <row r="32">
          <cell r="R32" t="str">
            <v>0500-0600</v>
          </cell>
          <cell r="AE32">
            <v>0</v>
          </cell>
          <cell r="AF32">
            <v>0</v>
          </cell>
        </row>
        <row r="33">
          <cell r="R33" t="str">
            <v>0600-0700</v>
          </cell>
          <cell r="AE33">
            <v>0</v>
          </cell>
          <cell r="AF33">
            <v>0</v>
          </cell>
        </row>
        <row r="107">
          <cell r="C107">
            <v>7.9533404029692473E-2</v>
          </cell>
          <cell r="D107">
            <v>4.7720042417815486E-3</v>
          </cell>
          <cell r="E107">
            <v>1.1134676564156946E-2</v>
          </cell>
          <cell r="F107">
            <v>1.4846235418875928E-2</v>
          </cell>
          <cell r="G107">
            <v>1.5906680805938495E-3</v>
          </cell>
          <cell r="H107">
            <v>0</v>
          </cell>
          <cell r="I107">
            <v>3.5524920466595972E-2</v>
          </cell>
          <cell r="J107">
            <v>1.1134676564156946E-2</v>
          </cell>
          <cell r="K107">
            <v>1.5906680805938495E-3</v>
          </cell>
          <cell r="L107">
            <v>0</v>
          </cell>
          <cell r="M107">
            <v>0.80699893955461299</v>
          </cell>
          <cell r="N107">
            <v>3.2873806998939555E-2</v>
          </cell>
        </row>
        <row r="108">
          <cell r="C108">
            <v>0.41208791208791207</v>
          </cell>
          <cell r="D108">
            <v>2.4725274725274724E-2</v>
          </cell>
          <cell r="E108">
            <v>5.7692307692307696E-2</v>
          </cell>
          <cell r="F108">
            <v>7.6923076923076927E-2</v>
          </cell>
          <cell r="G108">
            <v>8.241758241758242E-3</v>
          </cell>
          <cell r="H108">
            <v>0</v>
          </cell>
          <cell r="I108">
            <v>0.18406593406593408</v>
          </cell>
          <cell r="J108">
            <v>5.7692307692307696E-2</v>
          </cell>
          <cell r="K108">
            <v>8.241758241758242E-3</v>
          </cell>
          <cell r="L108">
            <v>0</v>
          </cell>
          <cell r="N108">
            <v>0.17032967032967034</v>
          </cell>
        </row>
      </sheetData>
      <sheetData sheetId="8"/>
      <sheetData sheetId="9">
        <row r="5">
          <cell r="G5" t="str">
            <v>St Charles Lwanga PS</v>
          </cell>
        </row>
        <row r="6">
          <cell r="K6" t="str">
            <v>Denis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-Kitemu-Buddo"/>
      <sheetName val="23.09.19 -Buddo-Kitemu"/>
      <sheetName val="24.09 Kitemu-Buddo"/>
      <sheetName val="24.09 Buddo-Kitemu"/>
      <sheetName val="25.09 Kitemu-Buddo"/>
      <sheetName val="25.09 Buddo-Kitemu"/>
      <sheetName val="26.09 Kitemu-Buddo"/>
      <sheetName val="26.09 Buddo-Kitemu"/>
      <sheetName val="27.09 Kitemu-Buddo"/>
      <sheetName val="27.09 Buddo-Kitemu"/>
      <sheetName val="28.09 Kitemu-Buddo-24h"/>
      <sheetName val="28.09 Buddo-Kitemu-24h"/>
      <sheetName val="29.09 Kitemu-Buddo"/>
      <sheetName val="29.09 Buddo-Kitemu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MCC-C2-Kitemu -Buddo RD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</row>
        <row r="6">
          <cell r="D6" t="str">
            <v>KITEMU</v>
          </cell>
          <cell r="E6">
            <v>0</v>
          </cell>
          <cell r="G6" t="str">
            <v>BUDDO</v>
          </cell>
          <cell r="H6">
            <v>0</v>
          </cell>
        </row>
      </sheetData>
      <sheetData sheetId="1">
        <row r="3">
          <cell r="C3" t="str">
            <v>MCC-C2-STNO 59A-BUDDO RD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</row>
        <row r="6">
          <cell r="D6" t="str">
            <v>BUDDO</v>
          </cell>
          <cell r="E6">
            <v>0</v>
          </cell>
          <cell r="G6" t="str">
            <v>KITEMU</v>
          </cell>
          <cell r="H6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G5" t="str">
            <v>St Charles Lwanga PS</v>
          </cell>
          <cell r="H5">
            <v>0</v>
          </cell>
        </row>
        <row r="6">
          <cell r="K6" t="str">
            <v>Denis</v>
          </cell>
          <cell r="L6">
            <v>0</v>
          </cell>
        </row>
      </sheetData>
      <sheetData sheetId="10">
        <row r="5">
          <cell r="D5" t="str">
            <v>28.09.19</v>
          </cell>
          <cell r="G5" t="str">
            <v>St Charles Lwanga PS</v>
          </cell>
          <cell r="H5">
            <v>0</v>
          </cell>
        </row>
        <row r="6">
          <cell r="K6" t="str">
            <v>Denis</v>
          </cell>
          <cell r="L6">
            <v>0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37</v>
          </cell>
          <cell r="AF10">
            <v>180</v>
          </cell>
        </row>
        <row r="11">
          <cell r="R11" t="str">
            <v>0800-0900</v>
          </cell>
          <cell r="AE11">
            <v>33</v>
          </cell>
          <cell r="AF11">
            <v>259</v>
          </cell>
        </row>
        <row r="12">
          <cell r="R12" t="str">
            <v>0900-1000</v>
          </cell>
          <cell r="AE12">
            <v>46</v>
          </cell>
          <cell r="AF12">
            <v>236</v>
          </cell>
        </row>
        <row r="13">
          <cell r="R13" t="str">
            <v>1000-1100</v>
          </cell>
          <cell r="AE13">
            <v>40</v>
          </cell>
          <cell r="AF13">
            <v>199</v>
          </cell>
        </row>
        <row r="14">
          <cell r="R14" t="str">
            <v>1100-1200</v>
          </cell>
          <cell r="AE14">
            <v>49</v>
          </cell>
          <cell r="AF14">
            <v>187</v>
          </cell>
        </row>
        <row r="15">
          <cell r="R15" t="str">
            <v>1200-1300</v>
          </cell>
          <cell r="AE15">
            <v>39</v>
          </cell>
          <cell r="AF15">
            <v>176</v>
          </cell>
        </row>
        <row r="16">
          <cell r="R16" t="str">
            <v>1300-1400</v>
          </cell>
          <cell r="AE16">
            <v>38</v>
          </cell>
          <cell r="AF16">
            <v>174</v>
          </cell>
        </row>
        <row r="17">
          <cell r="R17" t="str">
            <v>1400-1500</v>
          </cell>
          <cell r="AE17">
            <v>36</v>
          </cell>
          <cell r="AF17">
            <v>191</v>
          </cell>
        </row>
        <row r="18">
          <cell r="R18" t="str">
            <v>1500-1600</v>
          </cell>
          <cell r="AE18">
            <v>45</v>
          </cell>
          <cell r="AF18">
            <v>197</v>
          </cell>
        </row>
        <row r="19">
          <cell r="R19" t="str">
            <v>1600-1700</v>
          </cell>
          <cell r="AE19">
            <v>48</v>
          </cell>
          <cell r="AF19">
            <v>187</v>
          </cell>
        </row>
        <row r="20">
          <cell r="R20" t="str">
            <v>1700-1800</v>
          </cell>
          <cell r="AE20">
            <v>39</v>
          </cell>
          <cell r="AF20">
            <v>155</v>
          </cell>
        </row>
        <row r="21">
          <cell r="R21" t="str">
            <v>1800-1900</v>
          </cell>
          <cell r="AE21">
            <v>49</v>
          </cell>
          <cell r="AF21">
            <v>141</v>
          </cell>
        </row>
        <row r="22">
          <cell r="R22" t="str">
            <v>1900-2000</v>
          </cell>
          <cell r="AE22">
            <v>48</v>
          </cell>
          <cell r="AF22">
            <v>218</v>
          </cell>
        </row>
        <row r="23">
          <cell r="R23" t="str">
            <v>2000-2100</v>
          </cell>
          <cell r="AE23">
            <v>45</v>
          </cell>
          <cell r="AF23">
            <v>233</v>
          </cell>
        </row>
        <row r="24">
          <cell r="R24" t="str">
            <v>2100-2200</v>
          </cell>
          <cell r="AE24">
            <v>32</v>
          </cell>
          <cell r="AF24">
            <v>229</v>
          </cell>
        </row>
        <row r="25">
          <cell r="R25" t="str">
            <v>2200-2300</v>
          </cell>
          <cell r="AE25">
            <v>46</v>
          </cell>
          <cell r="AF25">
            <v>247</v>
          </cell>
        </row>
        <row r="26">
          <cell r="R26" t="str">
            <v>2300-0000</v>
          </cell>
          <cell r="AE26">
            <v>31</v>
          </cell>
          <cell r="AF26">
            <v>215</v>
          </cell>
        </row>
        <row r="27">
          <cell r="R27" t="str">
            <v>0000-0100</v>
          </cell>
          <cell r="AE27">
            <v>26</v>
          </cell>
          <cell r="AF27">
            <v>155</v>
          </cell>
        </row>
        <row r="28">
          <cell r="R28" t="str">
            <v>0100-0200</v>
          </cell>
          <cell r="AE28">
            <v>18</v>
          </cell>
          <cell r="AF28">
            <v>117</v>
          </cell>
        </row>
        <row r="29">
          <cell r="R29" t="str">
            <v>0200-0300</v>
          </cell>
          <cell r="AE29">
            <v>5</v>
          </cell>
          <cell r="AF29">
            <v>74</v>
          </cell>
        </row>
        <row r="30">
          <cell r="R30" t="str">
            <v>0300-0400</v>
          </cell>
          <cell r="AE30">
            <v>11</v>
          </cell>
          <cell r="AF30">
            <v>77</v>
          </cell>
        </row>
        <row r="31">
          <cell r="R31" t="str">
            <v>0400-0500</v>
          </cell>
          <cell r="AE31">
            <v>21</v>
          </cell>
          <cell r="AF31">
            <v>115</v>
          </cell>
        </row>
        <row r="32">
          <cell r="R32" t="str">
            <v>0500-0600</v>
          </cell>
          <cell r="AE32">
            <v>38</v>
          </cell>
          <cell r="AF32">
            <v>165</v>
          </cell>
        </row>
        <row r="33">
          <cell r="R33" t="str">
            <v>0600-0700</v>
          </cell>
          <cell r="AE33">
            <v>44</v>
          </cell>
          <cell r="AF33">
            <v>220</v>
          </cell>
        </row>
        <row r="107">
          <cell r="C107">
            <v>7.3613986657464922E-2</v>
          </cell>
          <cell r="D107">
            <v>1.3802622498274672E-2</v>
          </cell>
          <cell r="E107">
            <v>9.6618357487922701E-3</v>
          </cell>
          <cell r="F107">
            <v>5.1529790660225443E-2</v>
          </cell>
          <cell r="G107">
            <v>1.3802622498274672E-3</v>
          </cell>
          <cell r="H107">
            <v>2.3004370830457787E-4</v>
          </cell>
          <cell r="I107">
            <v>2.8755463538072235E-2</v>
          </cell>
          <cell r="J107">
            <v>1.4952841039797561E-2</v>
          </cell>
          <cell r="K107">
            <v>4.830917874396135E-3</v>
          </cell>
          <cell r="L107">
            <v>0</v>
          </cell>
          <cell r="M107">
            <v>0.80124223602484468</v>
          </cell>
          <cell r="N107">
            <v>0</v>
          </cell>
        </row>
        <row r="108">
          <cell r="C108">
            <v>0.37037037037037035</v>
          </cell>
          <cell r="D108">
            <v>6.9444444444444448E-2</v>
          </cell>
          <cell r="E108">
            <v>4.8611111111111112E-2</v>
          </cell>
          <cell r="F108">
            <v>0.25925925925925924</v>
          </cell>
          <cell r="G108">
            <v>6.9444444444444441E-3</v>
          </cell>
          <cell r="H108">
            <v>1.1574074074074073E-3</v>
          </cell>
          <cell r="I108">
            <v>0.14467592592592593</v>
          </cell>
          <cell r="J108">
            <v>7.5231481481481483E-2</v>
          </cell>
          <cell r="K108">
            <v>2.4305555555555556E-2</v>
          </cell>
          <cell r="L108">
            <v>0</v>
          </cell>
          <cell r="M108">
            <v>0</v>
          </cell>
          <cell r="N108">
            <v>0</v>
          </cell>
        </row>
      </sheetData>
      <sheetData sheetId="11">
        <row r="5">
          <cell r="G5" t="str">
            <v>St Charles Lwanga PS</v>
          </cell>
          <cell r="H5">
            <v>0</v>
          </cell>
        </row>
        <row r="6">
          <cell r="K6" t="str">
            <v>Denis</v>
          </cell>
          <cell r="L6">
            <v>0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46</v>
          </cell>
          <cell r="AF10">
            <v>246</v>
          </cell>
        </row>
        <row r="11">
          <cell r="R11" t="str">
            <v>0800-0900</v>
          </cell>
          <cell r="AE11">
            <v>49</v>
          </cell>
          <cell r="AF11">
            <v>290</v>
          </cell>
        </row>
        <row r="12">
          <cell r="R12" t="str">
            <v>0900-1000</v>
          </cell>
          <cell r="AE12">
            <v>78</v>
          </cell>
          <cell r="AF12">
            <v>305</v>
          </cell>
        </row>
        <row r="13">
          <cell r="R13" t="str">
            <v>1000-1100</v>
          </cell>
          <cell r="AE13">
            <v>40</v>
          </cell>
          <cell r="AF13">
            <v>244</v>
          </cell>
        </row>
        <row r="14">
          <cell r="R14" t="str">
            <v>1100-1200</v>
          </cell>
          <cell r="AE14">
            <v>50</v>
          </cell>
          <cell r="AF14">
            <v>213</v>
          </cell>
        </row>
        <row r="15">
          <cell r="R15" t="str">
            <v>1200-1300</v>
          </cell>
          <cell r="AE15">
            <v>25</v>
          </cell>
          <cell r="AF15">
            <v>183</v>
          </cell>
        </row>
        <row r="16">
          <cell r="R16" t="str">
            <v>1300-1400</v>
          </cell>
          <cell r="AE16">
            <v>37</v>
          </cell>
          <cell r="AF16">
            <v>158</v>
          </cell>
        </row>
        <row r="17">
          <cell r="R17" t="str">
            <v>1400-1500</v>
          </cell>
          <cell r="AE17">
            <v>41</v>
          </cell>
          <cell r="AF17">
            <v>156</v>
          </cell>
        </row>
        <row r="18">
          <cell r="R18" t="str">
            <v>1500-1600</v>
          </cell>
          <cell r="AE18">
            <v>27</v>
          </cell>
          <cell r="AF18">
            <v>134</v>
          </cell>
        </row>
        <row r="19">
          <cell r="R19" t="str">
            <v>1600-1700</v>
          </cell>
          <cell r="AE19">
            <v>35</v>
          </cell>
          <cell r="AF19">
            <v>197</v>
          </cell>
        </row>
        <row r="20">
          <cell r="R20" t="str">
            <v>1700-1800</v>
          </cell>
          <cell r="AE20">
            <v>28</v>
          </cell>
          <cell r="AF20">
            <v>124</v>
          </cell>
        </row>
        <row r="21">
          <cell r="R21" t="str">
            <v>1800-1900</v>
          </cell>
          <cell r="AE21">
            <v>56</v>
          </cell>
          <cell r="AF21">
            <v>155</v>
          </cell>
        </row>
        <row r="22">
          <cell r="R22" t="str">
            <v>1900-2000</v>
          </cell>
          <cell r="AE22">
            <v>31</v>
          </cell>
          <cell r="AF22">
            <v>172</v>
          </cell>
        </row>
        <row r="23">
          <cell r="R23" t="str">
            <v>2000-2100</v>
          </cell>
          <cell r="AE23">
            <v>19</v>
          </cell>
          <cell r="AF23">
            <v>160</v>
          </cell>
        </row>
        <row r="24">
          <cell r="R24" t="str">
            <v>2100-2200</v>
          </cell>
          <cell r="AE24">
            <v>18</v>
          </cell>
          <cell r="AF24">
            <v>101</v>
          </cell>
        </row>
        <row r="25">
          <cell r="R25" t="str">
            <v>2200-2300</v>
          </cell>
          <cell r="AE25">
            <v>10</v>
          </cell>
          <cell r="AF25">
            <v>69</v>
          </cell>
        </row>
        <row r="26">
          <cell r="R26" t="str">
            <v>2300-0000</v>
          </cell>
          <cell r="AE26">
            <v>17</v>
          </cell>
          <cell r="AF26">
            <v>127</v>
          </cell>
        </row>
        <row r="27">
          <cell r="R27" t="str">
            <v>0000-0100</v>
          </cell>
          <cell r="AE27">
            <v>1</v>
          </cell>
          <cell r="AF27">
            <v>26</v>
          </cell>
        </row>
        <row r="28">
          <cell r="R28" t="str">
            <v>0100-0200</v>
          </cell>
          <cell r="AE28">
            <v>0</v>
          </cell>
          <cell r="AF28">
            <v>12</v>
          </cell>
        </row>
        <row r="29">
          <cell r="R29" t="str">
            <v>0200-0300</v>
          </cell>
          <cell r="AE29">
            <v>1</v>
          </cell>
          <cell r="AF29">
            <v>5</v>
          </cell>
        </row>
        <row r="30">
          <cell r="R30" t="str">
            <v>0300-0400</v>
          </cell>
          <cell r="AE30">
            <v>1</v>
          </cell>
          <cell r="AF30">
            <v>1</v>
          </cell>
        </row>
        <row r="31">
          <cell r="R31" t="str">
            <v>0400-0500</v>
          </cell>
          <cell r="AE31">
            <v>3</v>
          </cell>
          <cell r="AF31">
            <v>9</v>
          </cell>
        </row>
        <row r="32">
          <cell r="R32" t="str">
            <v>0500-0600</v>
          </cell>
          <cell r="AE32">
            <v>5</v>
          </cell>
          <cell r="AF32">
            <v>20</v>
          </cell>
        </row>
        <row r="33">
          <cell r="R33" t="str">
            <v>0600-0700</v>
          </cell>
          <cell r="AE33">
            <v>21</v>
          </cell>
          <cell r="AF33">
            <v>57</v>
          </cell>
        </row>
        <row r="107">
          <cell r="C107">
            <v>8.944374209860935E-2</v>
          </cell>
          <cell r="D107">
            <v>1.5802781289506952E-2</v>
          </cell>
          <cell r="E107">
            <v>1.0113780025284451E-2</v>
          </cell>
          <cell r="F107">
            <v>3.5082174462705437E-2</v>
          </cell>
          <cell r="G107">
            <v>5.0568900126422255E-3</v>
          </cell>
          <cell r="H107">
            <v>0</v>
          </cell>
          <cell r="I107">
            <v>2.8761061946902654E-2</v>
          </cell>
          <cell r="J107">
            <v>8.5335018963337544E-3</v>
          </cell>
          <cell r="K107">
            <v>9.165613147914033E-3</v>
          </cell>
          <cell r="L107">
            <v>0</v>
          </cell>
          <cell r="M107">
            <v>0.79804045512010113</v>
          </cell>
          <cell r="N107">
            <v>0</v>
          </cell>
        </row>
        <row r="108">
          <cell r="C108">
            <v>0.44287949921752739</v>
          </cell>
          <cell r="D108">
            <v>7.82472613458529E-2</v>
          </cell>
          <cell r="E108">
            <v>5.0078247261345854E-2</v>
          </cell>
          <cell r="F108">
            <v>0.17370892018779344</v>
          </cell>
          <cell r="G108">
            <v>2.5039123630672927E-2</v>
          </cell>
          <cell r="H108">
            <v>0</v>
          </cell>
          <cell r="I108">
            <v>0.14241001564945227</v>
          </cell>
          <cell r="J108">
            <v>4.2253521126760563E-2</v>
          </cell>
          <cell r="K108">
            <v>4.5383411580594682E-2</v>
          </cell>
          <cell r="L108">
            <v>0</v>
          </cell>
          <cell r="M108">
            <v>0</v>
          </cell>
          <cell r="N108">
            <v>0</v>
          </cell>
        </row>
      </sheetData>
      <sheetData sheetId="12">
        <row r="5">
          <cell r="D5" t="str">
            <v>29.09.19</v>
          </cell>
          <cell r="G5" t="str">
            <v>St Charles Lwanga PS</v>
          </cell>
          <cell r="H5">
            <v>0</v>
          </cell>
        </row>
        <row r="6">
          <cell r="K6" t="str">
            <v>Denis</v>
          </cell>
          <cell r="L6">
            <v>0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34</v>
          </cell>
          <cell r="AF10">
            <v>229</v>
          </cell>
        </row>
        <row r="11">
          <cell r="R11" t="str">
            <v>0800-0900</v>
          </cell>
          <cell r="AE11">
            <v>37</v>
          </cell>
          <cell r="AF11">
            <v>229</v>
          </cell>
        </row>
        <row r="12">
          <cell r="R12" t="str">
            <v>0900-1000</v>
          </cell>
          <cell r="AE12">
            <v>38</v>
          </cell>
          <cell r="AF12">
            <v>239</v>
          </cell>
        </row>
        <row r="13">
          <cell r="R13" t="str">
            <v>1000-1100</v>
          </cell>
          <cell r="AE13">
            <v>37</v>
          </cell>
          <cell r="AF13">
            <v>236</v>
          </cell>
        </row>
        <row r="14">
          <cell r="R14" t="str">
            <v>1100-1200</v>
          </cell>
          <cell r="AE14">
            <v>48</v>
          </cell>
          <cell r="AF14">
            <v>271</v>
          </cell>
        </row>
        <row r="15">
          <cell r="R15" t="str">
            <v>1200-1300</v>
          </cell>
          <cell r="AE15">
            <v>45</v>
          </cell>
          <cell r="AF15">
            <v>285</v>
          </cell>
        </row>
        <row r="16">
          <cell r="R16" t="str">
            <v>1300-1400</v>
          </cell>
          <cell r="AE16">
            <v>42</v>
          </cell>
          <cell r="AF16">
            <v>239</v>
          </cell>
        </row>
        <row r="17">
          <cell r="R17" t="str">
            <v>1400-1500</v>
          </cell>
          <cell r="AE17">
            <v>38</v>
          </cell>
          <cell r="AF17">
            <v>226</v>
          </cell>
        </row>
        <row r="18">
          <cell r="R18" t="str">
            <v>1500-1600</v>
          </cell>
          <cell r="AE18">
            <v>43</v>
          </cell>
          <cell r="AF18">
            <v>220</v>
          </cell>
        </row>
        <row r="19">
          <cell r="R19" t="str">
            <v>1600-1700</v>
          </cell>
          <cell r="AE19">
            <v>40</v>
          </cell>
          <cell r="AF19">
            <v>191</v>
          </cell>
        </row>
        <row r="20">
          <cell r="R20" t="str">
            <v>1700-1800</v>
          </cell>
          <cell r="AE20">
            <v>37</v>
          </cell>
          <cell r="AF20">
            <v>191</v>
          </cell>
        </row>
        <row r="21">
          <cell r="R21" t="str">
            <v>1800-1900</v>
          </cell>
          <cell r="AE21">
            <v>31</v>
          </cell>
          <cell r="AF21">
            <v>158</v>
          </cell>
        </row>
        <row r="59">
          <cell r="C59">
            <v>7.2955047899778927E-2</v>
          </cell>
          <cell r="D59">
            <v>1.105379513633014E-2</v>
          </cell>
          <cell r="E59">
            <v>7.7376565954310984E-3</v>
          </cell>
          <cell r="F59">
            <v>4.4583640383198231E-2</v>
          </cell>
          <cell r="G59">
            <v>3.6845983787767134E-4</v>
          </cell>
          <cell r="H59">
            <v>3.6845983787767134E-4</v>
          </cell>
          <cell r="I59">
            <v>2.3581429624170966E-2</v>
          </cell>
          <cell r="J59">
            <v>1.1790714812085483E-2</v>
          </cell>
          <cell r="K59">
            <v>7.3691967575534268E-4</v>
          </cell>
          <cell r="L59">
            <v>0</v>
          </cell>
          <cell r="M59">
            <v>0.82682387619749442</v>
          </cell>
          <cell r="N59">
            <v>0</v>
          </cell>
        </row>
        <row r="60">
          <cell r="C60">
            <v>0.42127659574468085</v>
          </cell>
          <cell r="D60">
            <v>6.3829787234042548E-2</v>
          </cell>
          <cell r="E60">
            <v>4.4680851063829789E-2</v>
          </cell>
          <cell r="F60">
            <v>0.25744680851063828</v>
          </cell>
          <cell r="G60">
            <v>2.1276595744680851E-3</v>
          </cell>
          <cell r="H60">
            <v>2.1276595744680851E-3</v>
          </cell>
          <cell r="I60">
            <v>0.13617021276595745</v>
          </cell>
          <cell r="J60">
            <v>6.8085106382978725E-2</v>
          </cell>
          <cell r="K60">
            <v>4.2553191489361703E-3</v>
          </cell>
          <cell r="L60">
            <v>0</v>
          </cell>
          <cell r="M60">
            <v>0</v>
          </cell>
          <cell r="N60">
            <v>0</v>
          </cell>
        </row>
      </sheetData>
      <sheetData sheetId="1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26</v>
          </cell>
          <cell r="AF10">
            <v>165</v>
          </cell>
        </row>
        <row r="11">
          <cell r="R11" t="str">
            <v>0800-0900</v>
          </cell>
          <cell r="AE11">
            <v>43</v>
          </cell>
          <cell r="AF11">
            <v>200</v>
          </cell>
        </row>
        <row r="12">
          <cell r="R12" t="str">
            <v>0900-1000</v>
          </cell>
          <cell r="AE12">
            <v>35</v>
          </cell>
          <cell r="AF12">
            <v>159</v>
          </cell>
        </row>
        <row r="13">
          <cell r="R13" t="str">
            <v>1000-1100</v>
          </cell>
          <cell r="AE13">
            <v>46</v>
          </cell>
          <cell r="AF13">
            <v>256</v>
          </cell>
        </row>
        <row r="14">
          <cell r="R14" t="str">
            <v>1100-1200</v>
          </cell>
          <cell r="AE14">
            <v>43</v>
          </cell>
          <cell r="AF14">
            <v>242</v>
          </cell>
        </row>
        <row r="15">
          <cell r="R15" t="str">
            <v>1200-1300</v>
          </cell>
          <cell r="AE15">
            <v>29</v>
          </cell>
          <cell r="AF15">
            <v>179</v>
          </cell>
        </row>
        <row r="16">
          <cell r="R16" t="str">
            <v>1300-1400</v>
          </cell>
          <cell r="AE16">
            <v>36</v>
          </cell>
          <cell r="AF16">
            <v>127</v>
          </cell>
        </row>
        <row r="17">
          <cell r="R17" t="str">
            <v>1400-1500</v>
          </cell>
          <cell r="AE17">
            <v>34</v>
          </cell>
          <cell r="AF17">
            <v>126</v>
          </cell>
        </row>
        <row r="18">
          <cell r="R18" t="str">
            <v>1500-1600</v>
          </cell>
          <cell r="AE18">
            <v>34</v>
          </cell>
          <cell r="AF18">
            <v>149</v>
          </cell>
        </row>
        <row r="19">
          <cell r="R19" t="str">
            <v>1600-1700</v>
          </cell>
          <cell r="AE19">
            <v>38</v>
          </cell>
          <cell r="AF19">
            <v>162</v>
          </cell>
        </row>
        <row r="20">
          <cell r="R20" t="str">
            <v>1700-1800</v>
          </cell>
          <cell r="AE20">
            <v>31</v>
          </cell>
          <cell r="AF20">
            <v>180</v>
          </cell>
        </row>
        <row r="21">
          <cell r="R21" t="str">
            <v>1800-1900</v>
          </cell>
          <cell r="AE21">
            <v>37</v>
          </cell>
          <cell r="AF21">
            <v>226</v>
          </cell>
        </row>
        <row r="59">
          <cell r="C59">
            <v>0.1040994933210502</v>
          </cell>
          <cell r="D59">
            <v>1.0594196222938737E-2</v>
          </cell>
          <cell r="E59">
            <v>1.6582220175034548E-2</v>
          </cell>
          <cell r="F59">
            <v>1.8885306310456013E-2</v>
          </cell>
          <cell r="G59">
            <v>9.2123445416858593E-4</v>
          </cell>
          <cell r="H59">
            <v>0</v>
          </cell>
          <cell r="I59">
            <v>3.6388760939659141E-2</v>
          </cell>
          <cell r="J59">
            <v>9.6729617687701525E-3</v>
          </cell>
          <cell r="K59">
            <v>1.8424689083371719E-3</v>
          </cell>
          <cell r="L59">
            <v>0</v>
          </cell>
          <cell r="M59">
            <v>0.8010133578995855</v>
          </cell>
          <cell r="N59">
            <v>0</v>
          </cell>
        </row>
        <row r="60">
          <cell r="C60">
            <v>0.52314814814814814</v>
          </cell>
          <cell r="D60">
            <v>5.3240740740740741E-2</v>
          </cell>
          <cell r="E60">
            <v>8.3333333333333329E-2</v>
          </cell>
          <cell r="F60">
            <v>9.4907407407407413E-2</v>
          </cell>
          <cell r="G60">
            <v>4.6296296296296294E-3</v>
          </cell>
          <cell r="H60">
            <v>0</v>
          </cell>
          <cell r="I60">
            <v>0.18287037037037038</v>
          </cell>
          <cell r="J60">
            <v>4.8611111111111112E-2</v>
          </cell>
          <cell r="K60">
            <v>9.2592592592592587E-3</v>
          </cell>
          <cell r="L60">
            <v>0</v>
          </cell>
          <cell r="M60">
            <v>0</v>
          </cell>
          <cell r="N60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1" t="s">
        <v>96</v>
      </c>
      <c r="C3" s="65" t="s">
        <v>163</v>
      </c>
      <c r="D3" s="65"/>
      <c r="E3" s="65"/>
      <c r="F3" s="65"/>
      <c r="G3" s="6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0" t="s">
        <v>170</v>
      </c>
      <c r="H5" s="61"/>
      <c r="I5" s="14"/>
      <c r="J5" s="2" t="s">
        <v>5</v>
      </c>
      <c r="K5" s="60" t="s">
        <v>167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166</v>
      </c>
      <c r="H6" s="61"/>
      <c r="J6" s="2" t="s">
        <v>21</v>
      </c>
      <c r="K6" s="60" t="s">
        <v>169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3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29</v>
      </c>
      <c r="R10" s="1" t="s">
        <v>6</v>
      </c>
      <c r="S10" s="17">
        <f t="shared" ref="S10:AF10" si="2">SUM(C10:C13)</f>
        <v>12</v>
      </c>
      <c r="T10" s="17">
        <f t="shared" si="2"/>
        <v>2</v>
      </c>
      <c r="U10" s="17">
        <f t="shared" si="2"/>
        <v>3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153</v>
      </c>
      <c r="AD10" s="17">
        <f t="shared" si="2"/>
        <v>0</v>
      </c>
      <c r="AE10" s="31">
        <f t="shared" si="2"/>
        <v>38</v>
      </c>
      <c r="AF10" s="31">
        <f t="shared" si="2"/>
        <v>191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3</v>
      </c>
      <c r="G11" s="50">
        <v>1</v>
      </c>
      <c r="H11" s="50">
        <v>0</v>
      </c>
      <c r="I11" s="50">
        <v>2</v>
      </c>
      <c r="J11" s="50">
        <v>3</v>
      </c>
      <c r="K11" s="50">
        <v>0</v>
      </c>
      <c r="L11" s="50">
        <v>0</v>
      </c>
      <c r="M11" s="50">
        <v>47</v>
      </c>
      <c r="N11" s="50">
        <v>0</v>
      </c>
      <c r="O11" s="15">
        <f t="shared" si="0"/>
        <v>9</v>
      </c>
      <c r="P11" s="15">
        <f t="shared" si="1"/>
        <v>56</v>
      </c>
      <c r="R11" s="1" t="s">
        <v>7</v>
      </c>
      <c r="S11" s="17">
        <f t="shared" ref="S11:AF11" si="3">SUM(C14:C17)</f>
        <v>7</v>
      </c>
      <c r="T11" s="17">
        <f t="shared" si="3"/>
        <v>2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138</v>
      </c>
      <c r="AD11" s="17">
        <f t="shared" si="3"/>
        <v>0</v>
      </c>
      <c r="AE11" s="31">
        <f t="shared" si="3"/>
        <v>19</v>
      </c>
      <c r="AF11" s="31">
        <f t="shared" si="3"/>
        <v>157</v>
      </c>
    </row>
    <row r="12" spans="2:32" ht="23.1" customHeight="1" x14ac:dyDescent="0.25">
      <c r="B12" s="23" t="s">
        <v>39</v>
      </c>
      <c r="C12" s="50">
        <v>6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44</v>
      </c>
      <c r="N12" s="50">
        <v>0</v>
      </c>
      <c r="O12" s="15">
        <f t="shared" si="0"/>
        <v>9</v>
      </c>
      <c r="P12" s="15">
        <f t="shared" si="1"/>
        <v>53</v>
      </c>
      <c r="R12" s="1" t="s">
        <v>8</v>
      </c>
      <c r="S12" s="17">
        <f t="shared" ref="S12:AF12" si="4">SUM(C18:C21)</f>
        <v>9</v>
      </c>
      <c r="T12" s="17">
        <f t="shared" si="4"/>
        <v>3</v>
      </c>
      <c r="U12" s="17">
        <f t="shared" si="4"/>
        <v>1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138</v>
      </c>
      <c r="AD12" s="17">
        <f t="shared" si="4"/>
        <v>0</v>
      </c>
      <c r="AE12" s="31">
        <f t="shared" si="4"/>
        <v>23</v>
      </c>
      <c r="AF12" s="31">
        <f t="shared" si="4"/>
        <v>161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2</v>
      </c>
      <c r="F13" s="50">
        <v>3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41</v>
      </c>
      <c r="N13" s="50">
        <v>0</v>
      </c>
      <c r="O13" s="15">
        <f t="shared" si="0"/>
        <v>12</v>
      </c>
      <c r="P13" s="15">
        <f t="shared" si="1"/>
        <v>53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136</v>
      </c>
      <c r="AD13" s="17">
        <f t="shared" si="5"/>
        <v>0</v>
      </c>
      <c r="AE13" s="31">
        <f t="shared" si="5"/>
        <v>19</v>
      </c>
      <c r="AF13" s="31">
        <f t="shared" si="5"/>
        <v>155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6</v>
      </c>
      <c r="P14" s="15">
        <f t="shared" si="1"/>
        <v>46</v>
      </c>
      <c r="R14" s="1" t="s">
        <v>10</v>
      </c>
      <c r="S14" s="17">
        <f t="shared" ref="S14:AF14" si="6">SUM(C26:C29)</f>
        <v>10</v>
      </c>
      <c r="T14" s="17">
        <f t="shared" si="6"/>
        <v>1</v>
      </c>
      <c r="U14" s="17">
        <f t="shared" si="6"/>
        <v>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91</v>
      </c>
      <c r="AD14" s="17">
        <f t="shared" si="6"/>
        <v>0</v>
      </c>
      <c r="AE14" s="31">
        <f t="shared" si="6"/>
        <v>19</v>
      </c>
      <c r="AF14" s="31">
        <f t="shared" si="6"/>
        <v>110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34</v>
      </c>
      <c r="N15" s="50">
        <v>0</v>
      </c>
      <c r="O15" s="15">
        <f t="shared" si="0"/>
        <v>6</v>
      </c>
      <c r="P15" s="15">
        <f t="shared" si="1"/>
        <v>40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0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105</v>
      </c>
      <c r="AD15" s="17">
        <f t="shared" si="7"/>
        <v>0</v>
      </c>
      <c r="AE15" s="31">
        <f t="shared" si="7"/>
        <v>26</v>
      </c>
      <c r="AF15" s="31">
        <f t="shared" si="7"/>
        <v>131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27</v>
      </c>
      <c r="N16" s="50">
        <v>0</v>
      </c>
      <c r="O16" s="15">
        <f t="shared" si="0"/>
        <v>3</v>
      </c>
      <c r="P16" s="15">
        <f t="shared" si="1"/>
        <v>30</v>
      </c>
      <c r="R16" s="1" t="s">
        <v>12</v>
      </c>
      <c r="S16" s="17">
        <f t="shared" ref="S16:AF16" si="8">SUM(C34:C37)</f>
        <v>19</v>
      </c>
      <c r="T16" s="17">
        <f t="shared" si="8"/>
        <v>3</v>
      </c>
      <c r="U16" s="17">
        <f t="shared" si="8"/>
        <v>1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119</v>
      </c>
      <c r="AD16" s="17">
        <f t="shared" si="8"/>
        <v>0</v>
      </c>
      <c r="AE16" s="31">
        <f t="shared" si="8"/>
        <v>37</v>
      </c>
      <c r="AF16" s="31">
        <f t="shared" si="8"/>
        <v>156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37</v>
      </c>
      <c r="N17" s="50">
        <v>0</v>
      </c>
      <c r="O17" s="15">
        <f t="shared" si="0"/>
        <v>4</v>
      </c>
      <c r="P17" s="15">
        <f t="shared" si="1"/>
        <v>41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2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111</v>
      </c>
      <c r="AD17" s="17">
        <f t="shared" si="9"/>
        <v>0</v>
      </c>
      <c r="AE17" s="31">
        <f t="shared" si="9"/>
        <v>23</v>
      </c>
      <c r="AF17" s="31">
        <f t="shared" si="9"/>
        <v>134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27</v>
      </c>
      <c r="N18" s="50">
        <v>0</v>
      </c>
      <c r="O18" s="15">
        <f t="shared" si="0"/>
        <v>7</v>
      </c>
      <c r="P18" s="15">
        <f t="shared" si="1"/>
        <v>34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0</v>
      </c>
      <c r="V18" s="17">
        <f t="shared" si="10"/>
        <v>10</v>
      </c>
      <c r="W18" s="17">
        <f t="shared" si="10"/>
        <v>2</v>
      </c>
      <c r="X18" s="17">
        <f t="shared" si="10"/>
        <v>1</v>
      </c>
      <c r="Y18" s="17">
        <f t="shared" si="10"/>
        <v>3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90</v>
      </c>
      <c r="AD18" s="17">
        <f t="shared" si="10"/>
        <v>0</v>
      </c>
      <c r="AE18" s="31">
        <f t="shared" si="10"/>
        <v>29</v>
      </c>
      <c r="AF18" s="31">
        <f t="shared" si="10"/>
        <v>119</v>
      </c>
    </row>
    <row r="19" spans="2:32" ht="23.1" customHeight="1" x14ac:dyDescent="0.25">
      <c r="B19" s="23" t="s">
        <v>46</v>
      </c>
      <c r="C19" s="50">
        <v>1</v>
      </c>
      <c r="D19" s="50">
        <v>2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6</v>
      </c>
      <c r="P19" s="15">
        <f t="shared" si="1"/>
        <v>46</v>
      </c>
      <c r="R19" s="1" t="s">
        <v>15</v>
      </c>
      <c r="S19" s="17">
        <f t="shared" ref="S19:AF19" si="11">SUM(C46:C49)</f>
        <v>10</v>
      </c>
      <c r="T19" s="17">
        <f t="shared" si="11"/>
        <v>2</v>
      </c>
      <c r="U19" s="17">
        <f t="shared" si="11"/>
        <v>1</v>
      </c>
      <c r="V19" s="17">
        <f t="shared" si="11"/>
        <v>11</v>
      </c>
      <c r="W19" s="17">
        <f t="shared" si="11"/>
        <v>2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93</v>
      </c>
      <c r="AD19" s="17">
        <f t="shared" si="11"/>
        <v>0</v>
      </c>
      <c r="AE19" s="31">
        <f t="shared" si="11"/>
        <v>28</v>
      </c>
      <c r="AF19" s="31">
        <f t="shared" si="11"/>
        <v>121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40</v>
      </c>
      <c r="N20" s="50">
        <v>0</v>
      </c>
      <c r="O20" s="15">
        <f t="shared" si="0"/>
        <v>6</v>
      </c>
      <c r="P20" s="15">
        <f t="shared" si="1"/>
        <v>46</v>
      </c>
      <c r="R20" s="1" t="s">
        <v>16</v>
      </c>
      <c r="S20" s="17">
        <f t="shared" ref="S20:AF20" si="12">SUM(C50:C53)</f>
        <v>12</v>
      </c>
      <c r="T20" s="17">
        <f t="shared" si="12"/>
        <v>3</v>
      </c>
      <c r="U20" s="17">
        <f t="shared" si="12"/>
        <v>0</v>
      </c>
      <c r="V20" s="17">
        <f t="shared" si="12"/>
        <v>19</v>
      </c>
      <c r="W20" s="17">
        <f t="shared" si="12"/>
        <v>1</v>
      </c>
      <c r="X20" s="17">
        <f t="shared" si="12"/>
        <v>0</v>
      </c>
      <c r="Y20" s="17">
        <f t="shared" si="12"/>
        <v>4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138</v>
      </c>
      <c r="AD20" s="17">
        <f t="shared" si="12"/>
        <v>0</v>
      </c>
      <c r="AE20" s="31">
        <f t="shared" si="12"/>
        <v>41</v>
      </c>
      <c r="AF20" s="31">
        <f t="shared" si="12"/>
        <v>179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31</v>
      </c>
      <c r="N21" s="50">
        <v>0</v>
      </c>
      <c r="O21" s="15">
        <f t="shared" si="0"/>
        <v>4</v>
      </c>
      <c r="P21" s="15">
        <f t="shared" si="1"/>
        <v>35</v>
      </c>
      <c r="R21" s="36" t="s">
        <v>20</v>
      </c>
      <c r="S21" s="34">
        <f t="shared" ref="S21:AF21" si="13">SUM(C54:C57)</f>
        <v>15</v>
      </c>
      <c r="T21" s="17">
        <f t="shared" si="13"/>
        <v>0</v>
      </c>
      <c r="U21" s="17">
        <f t="shared" si="13"/>
        <v>3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128</v>
      </c>
      <c r="AD21" s="17">
        <f t="shared" si="13"/>
        <v>0</v>
      </c>
      <c r="AE21" s="31">
        <f t="shared" si="13"/>
        <v>37</v>
      </c>
      <c r="AF21" s="31">
        <f t="shared" si="13"/>
        <v>165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5</v>
      </c>
      <c r="P22" s="15">
        <f t="shared" si="1"/>
        <v>38</v>
      </c>
      <c r="R22" s="38" t="s">
        <v>90</v>
      </c>
      <c r="S22" s="39">
        <f>MAX(S10:S12)</f>
        <v>12</v>
      </c>
      <c r="T22" s="39">
        <f t="shared" ref="T22:AF22" si="14">MAX(T10:T12)</f>
        <v>3</v>
      </c>
      <c r="U22" s="39">
        <f t="shared" si="14"/>
        <v>3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6</v>
      </c>
      <c r="AA22" s="39">
        <f t="shared" si="14"/>
        <v>0</v>
      </c>
      <c r="AB22" s="39">
        <f t="shared" si="14"/>
        <v>0</v>
      </c>
      <c r="AC22" s="39">
        <f t="shared" si="14"/>
        <v>153</v>
      </c>
      <c r="AD22" s="39">
        <f t="shared" si="14"/>
        <v>0</v>
      </c>
      <c r="AE22" s="40">
        <f t="shared" si="14"/>
        <v>38</v>
      </c>
      <c r="AF22" s="40">
        <f t="shared" si="14"/>
        <v>191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40</v>
      </c>
      <c r="N23" s="50">
        <v>0</v>
      </c>
      <c r="O23" s="15">
        <f t="shared" si="0"/>
        <v>3</v>
      </c>
      <c r="P23" s="15">
        <f t="shared" si="1"/>
        <v>43</v>
      </c>
      <c r="R23" s="38" t="s">
        <v>91</v>
      </c>
      <c r="S23" s="39">
        <f>MAX(S13:S18)</f>
        <v>19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10</v>
      </c>
      <c r="W23" s="39">
        <f t="shared" si="15"/>
        <v>2</v>
      </c>
      <c r="X23" s="39">
        <f t="shared" si="15"/>
        <v>1</v>
      </c>
      <c r="Y23" s="39">
        <f t="shared" si="15"/>
        <v>9</v>
      </c>
      <c r="Z23" s="39">
        <f t="shared" si="15"/>
        <v>4</v>
      </c>
      <c r="AA23" s="39">
        <f t="shared" si="15"/>
        <v>1</v>
      </c>
      <c r="AB23" s="39">
        <f t="shared" si="15"/>
        <v>0</v>
      </c>
      <c r="AC23" s="39">
        <f t="shared" si="15"/>
        <v>136</v>
      </c>
      <c r="AD23" s="39">
        <f t="shared" si="15"/>
        <v>0</v>
      </c>
      <c r="AE23" s="40">
        <f t="shared" si="15"/>
        <v>37</v>
      </c>
      <c r="AF23" s="40">
        <f t="shared" si="15"/>
        <v>156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40</v>
      </c>
      <c r="N24" s="50">
        <v>0</v>
      </c>
      <c r="O24" s="15">
        <f t="shared" si="0"/>
        <v>7</v>
      </c>
      <c r="P24" s="15">
        <f t="shared" si="1"/>
        <v>47</v>
      </c>
      <c r="R24" s="38" t="s">
        <v>92</v>
      </c>
      <c r="S24" s="39">
        <f>MAX(S19:S21)</f>
        <v>15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19</v>
      </c>
      <c r="W24" s="39">
        <f t="shared" si="16"/>
        <v>2</v>
      </c>
      <c r="X24" s="39">
        <f t="shared" si="16"/>
        <v>0</v>
      </c>
      <c r="Y24" s="39">
        <f t="shared" si="16"/>
        <v>9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138</v>
      </c>
      <c r="AD24" s="39">
        <f t="shared" si="16"/>
        <v>0</v>
      </c>
      <c r="AE24" s="40">
        <f t="shared" si="16"/>
        <v>41</v>
      </c>
      <c r="AF24" s="40">
        <f t="shared" si="16"/>
        <v>179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4</v>
      </c>
      <c r="P25" s="15">
        <f t="shared" si="1"/>
        <v>27</v>
      </c>
      <c r="R25" s="37" t="s">
        <v>85</v>
      </c>
      <c r="S25" s="35">
        <f t="shared" ref="S25:AF25" si="17">SUM(S10:S12)</f>
        <v>28</v>
      </c>
      <c r="T25" s="16">
        <f t="shared" si="17"/>
        <v>7</v>
      </c>
      <c r="U25" s="16">
        <f t="shared" si="17"/>
        <v>6</v>
      </c>
      <c r="V25" s="16">
        <f t="shared" si="17"/>
        <v>13</v>
      </c>
      <c r="W25" s="16">
        <f t="shared" si="17"/>
        <v>1</v>
      </c>
      <c r="X25" s="16">
        <f t="shared" si="17"/>
        <v>0</v>
      </c>
      <c r="Y25" s="16">
        <f t="shared" si="17"/>
        <v>15</v>
      </c>
      <c r="Z25" s="16">
        <f t="shared" si="17"/>
        <v>10</v>
      </c>
      <c r="AA25" s="16">
        <f t="shared" si="17"/>
        <v>0</v>
      </c>
      <c r="AB25" s="16">
        <f t="shared" si="17"/>
        <v>0</v>
      </c>
      <c r="AC25" s="16">
        <f t="shared" si="17"/>
        <v>429</v>
      </c>
      <c r="AD25" s="16">
        <f t="shared" si="17"/>
        <v>0</v>
      </c>
      <c r="AE25" s="32">
        <f t="shared" si="17"/>
        <v>80</v>
      </c>
      <c r="AF25" s="32">
        <f t="shared" si="17"/>
        <v>509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19</v>
      </c>
      <c r="N26" s="50">
        <v>0</v>
      </c>
      <c r="O26" s="15">
        <f t="shared" si="0"/>
        <v>3</v>
      </c>
      <c r="P26" s="15">
        <f t="shared" si="1"/>
        <v>22</v>
      </c>
      <c r="R26" s="28" t="s">
        <v>86</v>
      </c>
      <c r="S26" s="16">
        <f t="shared" ref="S26:AF26" si="18">SUM(S13:S18)</f>
        <v>61</v>
      </c>
      <c r="T26" s="16">
        <f t="shared" si="18"/>
        <v>6</v>
      </c>
      <c r="U26" s="16">
        <f t="shared" si="18"/>
        <v>7</v>
      </c>
      <c r="V26" s="16">
        <f t="shared" si="18"/>
        <v>35</v>
      </c>
      <c r="W26" s="16">
        <f t="shared" si="18"/>
        <v>2</v>
      </c>
      <c r="X26" s="16">
        <f t="shared" si="18"/>
        <v>1</v>
      </c>
      <c r="Y26" s="16">
        <f t="shared" si="18"/>
        <v>28</v>
      </c>
      <c r="Z26" s="16">
        <f t="shared" si="18"/>
        <v>12</v>
      </c>
      <c r="AA26" s="16">
        <f t="shared" si="18"/>
        <v>1</v>
      </c>
      <c r="AB26" s="16">
        <f t="shared" si="18"/>
        <v>0</v>
      </c>
      <c r="AC26" s="16">
        <f t="shared" si="18"/>
        <v>652</v>
      </c>
      <c r="AD26" s="16">
        <f t="shared" si="18"/>
        <v>0</v>
      </c>
      <c r="AE26" s="32">
        <f t="shared" si="18"/>
        <v>153</v>
      </c>
      <c r="AF26" s="32">
        <f t="shared" si="18"/>
        <v>805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29</v>
      </c>
      <c r="N27" s="50">
        <v>0</v>
      </c>
      <c r="O27" s="15">
        <f t="shared" si="0"/>
        <v>7</v>
      </c>
      <c r="P27" s="15">
        <f t="shared" si="1"/>
        <v>36</v>
      </c>
      <c r="R27" s="29" t="s">
        <v>87</v>
      </c>
      <c r="S27" s="16">
        <f t="shared" ref="S27:AF27" si="19">SUM(S19:S21)</f>
        <v>37</v>
      </c>
      <c r="T27" s="16">
        <f t="shared" si="19"/>
        <v>5</v>
      </c>
      <c r="U27" s="16">
        <f t="shared" si="19"/>
        <v>4</v>
      </c>
      <c r="V27" s="16">
        <f t="shared" si="19"/>
        <v>38</v>
      </c>
      <c r="W27" s="16">
        <f t="shared" si="19"/>
        <v>4</v>
      </c>
      <c r="X27" s="16">
        <f t="shared" si="19"/>
        <v>0</v>
      </c>
      <c r="Y27" s="16">
        <f t="shared" si="19"/>
        <v>14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359</v>
      </c>
      <c r="AD27" s="16">
        <f t="shared" si="19"/>
        <v>0</v>
      </c>
      <c r="AE27" s="32">
        <f t="shared" si="19"/>
        <v>106</v>
      </c>
      <c r="AF27" s="32">
        <f t="shared" si="19"/>
        <v>465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3</v>
      </c>
      <c r="P28" s="15">
        <f t="shared" si="1"/>
        <v>20</v>
      </c>
      <c r="R28" s="5" t="s">
        <v>17</v>
      </c>
      <c r="S28" s="16">
        <f t="shared" ref="S28:AF28" si="20">SUM(S10:S21)</f>
        <v>126</v>
      </c>
      <c r="T28" s="16">
        <f t="shared" si="20"/>
        <v>18</v>
      </c>
      <c r="U28" s="16">
        <f t="shared" si="20"/>
        <v>17</v>
      </c>
      <c r="V28" s="16">
        <f t="shared" si="20"/>
        <v>86</v>
      </c>
      <c r="W28" s="16">
        <f t="shared" si="20"/>
        <v>7</v>
      </c>
      <c r="X28" s="16">
        <f t="shared" si="20"/>
        <v>1</v>
      </c>
      <c r="Y28" s="16">
        <f t="shared" si="20"/>
        <v>57</v>
      </c>
      <c r="Z28" s="16">
        <f t="shared" si="20"/>
        <v>25</v>
      </c>
      <c r="AA28" s="16">
        <f t="shared" si="20"/>
        <v>2</v>
      </c>
      <c r="AB28" s="16">
        <f t="shared" si="20"/>
        <v>0</v>
      </c>
      <c r="AC28" s="16">
        <f t="shared" si="20"/>
        <v>1440</v>
      </c>
      <c r="AD28" s="16">
        <f t="shared" si="20"/>
        <v>0</v>
      </c>
      <c r="AE28" s="32">
        <f t="shared" si="20"/>
        <v>339</v>
      </c>
      <c r="AF28" s="32">
        <f t="shared" si="20"/>
        <v>1779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3</v>
      </c>
      <c r="K29" s="50">
        <v>0</v>
      </c>
      <c r="L29" s="50">
        <v>0</v>
      </c>
      <c r="M29" s="50">
        <v>26</v>
      </c>
      <c r="N29" s="50">
        <v>0</v>
      </c>
      <c r="O29" s="15">
        <f t="shared" si="0"/>
        <v>6</v>
      </c>
      <c r="P29" s="15">
        <f t="shared" si="1"/>
        <v>32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7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29</v>
      </c>
      <c r="N31" s="50">
        <v>0</v>
      </c>
      <c r="O31" s="15">
        <f t="shared" si="0"/>
        <v>9</v>
      </c>
      <c r="P31" s="15">
        <f t="shared" si="1"/>
        <v>38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4</v>
      </c>
      <c r="P32" s="15">
        <f t="shared" si="1"/>
        <v>35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6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32</v>
      </c>
      <c r="N34" s="50">
        <v>0</v>
      </c>
      <c r="O34" s="15">
        <f t="shared" si="0"/>
        <v>6</v>
      </c>
      <c r="P34" s="15">
        <f t="shared" si="1"/>
        <v>38</v>
      </c>
    </row>
    <row r="35" spans="2:20" ht="23.1" customHeight="1" x14ac:dyDescent="0.25">
      <c r="B35" s="24" t="s">
        <v>62</v>
      </c>
      <c r="C35" s="50">
        <v>4</v>
      </c>
      <c r="D35" s="50">
        <v>2</v>
      </c>
      <c r="E35" s="50">
        <v>0</v>
      </c>
      <c r="F35" s="50">
        <v>4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11</v>
      </c>
      <c r="P35" s="15">
        <f t="shared" si="1"/>
        <v>36</v>
      </c>
    </row>
    <row r="36" spans="2:20" ht="23.1" customHeight="1" x14ac:dyDescent="0.25">
      <c r="B36" s="24" t="s">
        <v>63</v>
      </c>
      <c r="C36" s="50">
        <v>7</v>
      </c>
      <c r="D36" s="50">
        <v>1</v>
      </c>
      <c r="E36" s="50">
        <v>1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33</v>
      </c>
      <c r="N36" s="50">
        <v>0</v>
      </c>
      <c r="O36" s="15">
        <f t="shared" si="0"/>
        <v>13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29</v>
      </c>
      <c r="N37" s="50">
        <v>0</v>
      </c>
      <c r="O37" s="15">
        <f t="shared" si="0"/>
        <v>7</v>
      </c>
      <c r="P37" s="15">
        <f t="shared" si="1"/>
        <v>36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6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2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28</v>
      </c>
      <c r="N39" s="50">
        <v>0</v>
      </c>
      <c r="O39" s="15">
        <f t="shared" si="0"/>
        <v>8</v>
      </c>
      <c r="P39" s="15">
        <f t="shared" si="1"/>
        <v>36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35</v>
      </c>
      <c r="N40" s="50">
        <v>0</v>
      </c>
      <c r="O40" s="15">
        <f t="shared" si="0"/>
        <v>4</v>
      </c>
      <c r="P40" s="15">
        <f t="shared" si="1"/>
        <v>39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26</v>
      </c>
      <c r="N41" s="50">
        <v>0</v>
      </c>
      <c r="O41" s="15">
        <f t="shared" si="0"/>
        <v>5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6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30</v>
      </c>
      <c r="N42" s="50">
        <v>0</v>
      </c>
      <c r="O42" s="15">
        <f t="shared" si="0"/>
        <v>10</v>
      </c>
      <c r="P42" s="15">
        <f t="shared" si="1"/>
        <v>40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1</v>
      </c>
      <c r="K43" s="50">
        <v>1</v>
      </c>
      <c r="L43" s="50">
        <v>0</v>
      </c>
      <c r="M43" s="50">
        <v>28</v>
      </c>
      <c r="N43" s="50">
        <v>0</v>
      </c>
      <c r="O43" s="15">
        <f t="shared" si="0"/>
        <v>8</v>
      </c>
      <c r="P43" s="15">
        <f t="shared" si="1"/>
        <v>36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2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3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8</v>
      </c>
      <c r="P45" s="15">
        <f t="shared" si="1"/>
        <v>33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27</v>
      </c>
      <c r="N46" s="50">
        <v>0</v>
      </c>
      <c r="O46" s="15">
        <f t="shared" si="0"/>
        <v>6</v>
      </c>
      <c r="P46" s="15">
        <f t="shared" si="1"/>
        <v>33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0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15</v>
      </c>
      <c r="N47" s="50">
        <v>0</v>
      </c>
      <c r="O47" s="15">
        <f t="shared" si="0"/>
        <v>6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29</v>
      </c>
      <c r="N48" s="50">
        <v>0</v>
      </c>
      <c r="O48" s="15">
        <f t="shared" si="0"/>
        <v>3</v>
      </c>
      <c r="P48" s="15">
        <f t="shared" si="1"/>
        <v>32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0</v>
      </c>
      <c r="F49" s="50">
        <v>5</v>
      </c>
      <c r="G49" s="50">
        <v>2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22</v>
      </c>
      <c r="N49" s="50">
        <v>0</v>
      </c>
      <c r="O49" s="15">
        <f t="shared" si="0"/>
        <v>13</v>
      </c>
      <c r="P49" s="15">
        <f t="shared" si="1"/>
        <v>35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2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39</v>
      </c>
      <c r="N50" s="50">
        <v>0</v>
      </c>
      <c r="O50" s="15">
        <f t="shared" si="0"/>
        <v>5</v>
      </c>
      <c r="P50" s="15">
        <f t="shared" si="1"/>
        <v>44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6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9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2</v>
      </c>
      <c r="E52" s="50">
        <v>0</v>
      </c>
      <c r="F52" s="50">
        <v>7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35</v>
      </c>
      <c r="N52" s="50">
        <v>0</v>
      </c>
      <c r="O52" s="15">
        <f t="shared" si="0"/>
        <v>15</v>
      </c>
      <c r="P52" s="15">
        <f t="shared" si="1"/>
        <v>50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1</v>
      </c>
      <c r="E53" s="50">
        <v>0</v>
      </c>
      <c r="F53" s="50">
        <v>4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34</v>
      </c>
      <c r="N53" s="50">
        <v>0</v>
      </c>
      <c r="O53" s="15">
        <f t="shared" si="0"/>
        <v>12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5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34</v>
      </c>
      <c r="N54" s="50">
        <v>0</v>
      </c>
      <c r="O54" s="15">
        <f t="shared" si="0"/>
        <v>11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3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32</v>
      </c>
      <c r="N55" s="50">
        <v>0</v>
      </c>
      <c r="O55" s="15">
        <f t="shared" si="0"/>
        <v>10</v>
      </c>
      <c r="P55" s="15">
        <f t="shared" si="1"/>
        <v>42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32</v>
      </c>
      <c r="N56" s="50">
        <v>0</v>
      </c>
      <c r="O56" s="15">
        <f t="shared" si="0"/>
        <v>9</v>
      </c>
      <c r="P56" s="15">
        <f t="shared" si="1"/>
        <v>41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2</v>
      </c>
      <c r="F57" s="50">
        <v>0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30</v>
      </c>
      <c r="N57" s="50">
        <v>0</v>
      </c>
      <c r="O57" s="15">
        <f t="shared" si="0"/>
        <v>7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126</v>
      </c>
      <c r="D58" s="16">
        <f t="shared" si="21"/>
        <v>18</v>
      </c>
      <c r="E58" s="16">
        <f t="shared" si="21"/>
        <v>17</v>
      </c>
      <c r="F58" s="16">
        <f t="shared" si="21"/>
        <v>86</v>
      </c>
      <c r="G58" s="16">
        <f t="shared" si="21"/>
        <v>7</v>
      </c>
      <c r="H58" s="16">
        <f t="shared" si="21"/>
        <v>1</v>
      </c>
      <c r="I58" s="16">
        <f t="shared" si="21"/>
        <v>57</v>
      </c>
      <c r="J58" s="16">
        <f t="shared" si="21"/>
        <v>25</v>
      </c>
      <c r="K58" s="16">
        <f t="shared" si="21"/>
        <v>2</v>
      </c>
      <c r="L58" s="16">
        <f t="shared" si="21"/>
        <v>0</v>
      </c>
      <c r="M58" s="16">
        <f t="shared" si="21"/>
        <v>1440</v>
      </c>
      <c r="N58" s="16">
        <f t="shared" si="21"/>
        <v>0</v>
      </c>
      <c r="O58" s="16">
        <f t="shared" si="21"/>
        <v>339</v>
      </c>
      <c r="P58" s="16">
        <f t="shared" si="21"/>
        <v>1779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7.0826306913996634E-2</v>
      </c>
      <c r="D59" s="43">
        <f t="shared" si="22"/>
        <v>1.0118043844856661E-2</v>
      </c>
      <c r="E59" s="43">
        <f t="shared" si="22"/>
        <v>9.5559302979201805E-3</v>
      </c>
      <c r="F59" s="43">
        <f t="shared" si="22"/>
        <v>4.8341765036537379E-2</v>
      </c>
      <c r="G59" s="43">
        <f t="shared" si="22"/>
        <v>3.9347948285553686E-3</v>
      </c>
      <c r="H59" s="43">
        <f t="shared" si="22"/>
        <v>5.6211354693648118E-4</v>
      </c>
      <c r="I59" s="43">
        <f t="shared" si="22"/>
        <v>3.2040472175379427E-2</v>
      </c>
      <c r="J59" s="43">
        <f t="shared" si="22"/>
        <v>1.4052838673412029E-2</v>
      </c>
      <c r="K59" s="43">
        <f t="shared" si="22"/>
        <v>1.1242270938729624E-3</v>
      </c>
      <c r="L59" s="43">
        <f t="shared" si="22"/>
        <v>0</v>
      </c>
      <c r="M59" s="43">
        <f t="shared" si="22"/>
        <v>0.8094435075885329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0.37168141592920356</v>
      </c>
      <c r="D60" s="44">
        <f t="shared" ref="D60:N60" si="23">D58/$O$58</f>
        <v>5.3097345132743362E-2</v>
      </c>
      <c r="E60" s="44">
        <f t="shared" si="23"/>
        <v>5.0147492625368731E-2</v>
      </c>
      <c r="F60" s="44">
        <f t="shared" si="23"/>
        <v>0.25368731563421831</v>
      </c>
      <c r="G60" s="44">
        <f t="shared" si="23"/>
        <v>2.0648967551622419E-2</v>
      </c>
      <c r="H60" s="44">
        <f t="shared" si="23"/>
        <v>2.9498525073746312E-3</v>
      </c>
      <c r="I60" s="44">
        <f t="shared" si="23"/>
        <v>0.16814159292035399</v>
      </c>
      <c r="J60" s="44">
        <f t="shared" si="23"/>
        <v>7.3746312684365781E-2</v>
      </c>
      <c r="K60" s="44">
        <f t="shared" si="23"/>
        <v>5.8997050147492625E-3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">
        <v>168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'23.09.19-Kitemu-Buddo'!D5</f>
        <v>23.09.19</v>
      </c>
      <c r="E5" s="3"/>
      <c r="F5" s="41" t="s">
        <v>1</v>
      </c>
      <c r="G5" s="66" t="str">
        <f>'23.09.19-Kitemu-Buddo'!G5:H5</f>
        <v>St Charles Lwanga PS</v>
      </c>
      <c r="H5" s="67"/>
      <c r="I5" s="14"/>
      <c r="J5" s="2" t="s">
        <v>5</v>
      </c>
      <c r="K5" s="66" t="s">
        <v>167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166</v>
      </c>
      <c r="E6" s="61"/>
      <c r="F6" s="2" t="s">
        <v>2</v>
      </c>
      <c r="G6" s="60" t="s">
        <v>165</v>
      </c>
      <c r="H6" s="61"/>
      <c r="J6" s="2" t="s">
        <v>21</v>
      </c>
      <c r="K6" s="66" t="s">
        <v>169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60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73</v>
      </c>
      <c r="R10" s="1" t="s">
        <v>6</v>
      </c>
      <c r="S10" s="17">
        <f t="shared" ref="S10:AF10" si="2">SUM(C10:C13)</f>
        <v>24</v>
      </c>
      <c r="T10" s="17">
        <f t="shared" si="2"/>
        <v>0</v>
      </c>
      <c r="U10" s="17">
        <f t="shared" si="2"/>
        <v>4</v>
      </c>
      <c r="V10" s="17">
        <f t="shared" si="2"/>
        <v>11</v>
      </c>
      <c r="W10" s="17">
        <f t="shared" si="2"/>
        <v>2</v>
      </c>
      <c r="X10" s="17">
        <f t="shared" si="2"/>
        <v>0</v>
      </c>
      <c r="Y10" s="17">
        <f t="shared" si="2"/>
        <v>8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250</v>
      </c>
      <c r="AD10" s="17">
        <f t="shared" si="2"/>
        <v>0</v>
      </c>
      <c r="AE10" s="31">
        <f t="shared" si="2"/>
        <v>52</v>
      </c>
      <c r="AF10" s="31">
        <f t="shared" si="2"/>
        <v>302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2</v>
      </c>
      <c r="F11" s="50">
        <v>1</v>
      </c>
      <c r="G11" s="50">
        <v>2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61</v>
      </c>
      <c r="N11" s="50">
        <v>0</v>
      </c>
      <c r="O11" s="15">
        <f t="shared" si="0"/>
        <v>11</v>
      </c>
      <c r="P11" s="15">
        <f t="shared" si="1"/>
        <v>72</v>
      </c>
      <c r="R11" s="1" t="s">
        <v>7</v>
      </c>
      <c r="S11" s="17">
        <f t="shared" ref="S11:AF11" si="3">SUM(C14:C17)</f>
        <v>32</v>
      </c>
      <c r="T11" s="17">
        <f t="shared" si="3"/>
        <v>0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224</v>
      </c>
      <c r="AD11" s="17">
        <f t="shared" si="3"/>
        <v>0</v>
      </c>
      <c r="AE11" s="31">
        <f t="shared" si="3"/>
        <v>43</v>
      </c>
      <c r="AF11" s="31">
        <f t="shared" si="3"/>
        <v>267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1</v>
      </c>
      <c r="F12" s="50">
        <v>5</v>
      </c>
      <c r="G12" s="50">
        <v>0</v>
      </c>
      <c r="H12" s="50">
        <v>0</v>
      </c>
      <c r="I12" s="50">
        <v>3</v>
      </c>
      <c r="J12" s="50">
        <v>2</v>
      </c>
      <c r="K12" s="50">
        <v>0</v>
      </c>
      <c r="L12" s="50">
        <v>0</v>
      </c>
      <c r="M12" s="50">
        <v>71</v>
      </c>
      <c r="N12" s="50">
        <v>0</v>
      </c>
      <c r="O12" s="15">
        <f t="shared" si="0"/>
        <v>17</v>
      </c>
      <c r="P12" s="15">
        <f t="shared" si="1"/>
        <v>88</v>
      </c>
      <c r="R12" s="1" t="s">
        <v>8</v>
      </c>
      <c r="S12" s="17">
        <f t="shared" ref="S12:AF12" si="4">SUM(C18:C21)</f>
        <v>15</v>
      </c>
      <c r="T12" s="17">
        <f t="shared" si="4"/>
        <v>3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200</v>
      </c>
      <c r="AD12" s="17">
        <f t="shared" si="4"/>
        <v>0</v>
      </c>
      <c r="AE12" s="31">
        <f t="shared" si="4"/>
        <v>30</v>
      </c>
      <c r="AF12" s="31">
        <f t="shared" si="4"/>
        <v>230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0</v>
      </c>
      <c r="F13" s="50">
        <v>3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58</v>
      </c>
      <c r="N13" s="50">
        <v>0</v>
      </c>
      <c r="O13" s="15">
        <f t="shared" si="0"/>
        <v>11</v>
      </c>
      <c r="P13" s="15">
        <f t="shared" si="1"/>
        <v>69</v>
      </c>
      <c r="R13" s="1" t="s">
        <v>9</v>
      </c>
      <c r="S13" s="17">
        <f t="shared" ref="S13:AF13" si="5">SUM(C22:C25)</f>
        <v>14</v>
      </c>
      <c r="T13" s="17">
        <f t="shared" si="5"/>
        <v>1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202</v>
      </c>
      <c r="AD13" s="17">
        <f t="shared" si="5"/>
        <v>0</v>
      </c>
      <c r="AE13" s="31">
        <f t="shared" si="5"/>
        <v>26</v>
      </c>
      <c r="AF13" s="31">
        <f t="shared" si="5"/>
        <v>228</v>
      </c>
    </row>
    <row r="14" spans="2:32" ht="23.1" customHeight="1" x14ac:dyDescent="0.25">
      <c r="B14" s="23" t="s">
        <v>41</v>
      </c>
      <c r="C14" s="50">
        <v>12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54</v>
      </c>
      <c r="N14" s="50">
        <v>0</v>
      </c>
      <c r="O14" s="15">
        <f t="shared" si="0"/>
        <v>16</v>
      </c>
      <c r="P14" s="15">
        <f t="shared" si="1"/>
        <v>70</v>
      </c>
      <c r="R14" s="1" t="s">
        <v>10</v>
      </c>
      <c r="S14" s="17">
        <f t="shared" ref="S14:AF14" si="6">SUM(C26:C29)</f>
        <v>11</v>
      </c>
      <c r="T14" s="17">
        <f t="shared" si="6"/>
        <v>1</v>
      </c>
      <c r="U14" s="17">
        <f t="shared" si="6"/>
        <v>2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136</v>
      </c>
      <c r="AD14" s="17">
        <f t="shared" si="6"/>
        <v>0</v>
      </c>
      <c r="AE14" s="31">
        <f t="shared" si="6"/>
        <v>22</v>
      </c>
      <c r="AF14" s="31">
        <f t="shared" si="6"/>
        <v>158</v>
      </c>
    </row>
    <row r="15" spans="2:32" ht="23.1" customHeight="1" x14ac:dyDescent="0.25">
      <c r="B15" s="23" t="s">
        <v>42</v>
      </c>
      <c r="C15" s="50">
        <v>8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54</v>
      </c>
      <c r="N15" s="50">
        <v>0</v>
      </c>
      <c r="O15" s="15">
        <f t="shared" si="0"/>
        <v>11</v>
      </c>
      <c r="P15" s="15">
        <f t="shared" si="1"/>
        <v>65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2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108</v>
      </c>
      <c r="AD15" s="17">
        <f t="shared" si="7"/>
        <v>0</v>
      </c>
      <c r="AE15" s="31">
        <f t="shared" si="7"/>
        <v>22</v>
      </c>
      <c r="AF15" s="31">
        <f t="shared" si="7"/>
        <v>130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54</v>
      </c>
      <c r="N16" s="50">
        <v>0</v>
      </c>
      <c r="O16" s="15">
        <f t="shared" si="0"/>
        <v>7</v>
      </c>
      <c r="P16" s="15">
        <f t="shared" si="1"/>
        <v>61</v>
      </c>
      <c r="R16" s="1" t="s">
        <v>12</v>
      </c>
      <c r="S16" s="17">
        <f t="shared" ref="S16:AF16" si="8">SUM(C34:C37)</f>
        <v>12</v>
      </c>
      <c r="T16" s="17">
        <f t="shared" si="8"/>
        <v>1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142</v>
      </c>
      <c r="AD16" s="17">
        <f t="shared" si="8"/>
        <v>0</v>
      </c>
      <c r="AE16" s="31">
        <f t="shared" si="8"/>
        <v>24</v>
      </c>
      <c r="AF16" s="31">
        <f t="shared" si="8"/>
        <v>166</v>
      </c>
    </row>
    <row r="17" spans="2:32" ht="23.1" customHeight="1" x14ac:dyDescent="0.25">
      <c r="B17" s="23" t="s">
        <v>44</v>
      </c>
      <c r="C17" s="50">
        <v>6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62</v>
      </c>
      <c r="N17" s="50">
        <v>0</v>
      </c>
      <c r="O17" s="15">
        <f t="shared" si="0"/>
        <v>9</v>
      </c>
      <c r="P17" s="15">
        <f t="shared" si="1"/>
        <v>71</v>
      </c>
      <c r="R17" s="1" t="s">
        <v>13</v>
      </c>
      <c r="S17" s="17">
        <f t="shared" ref="S17:AF17" si="9">SUM(C38:C41)</f>
        <v>13</v>
      </c>
      <c r="T17" s="17">
        <f t="shared" si="9"/>
        <v>0</v>
      </c>
      <c r="U17" s="17">
        <f t="shared" si="9"/>
        <v>2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91</v>
      </c>
      <c r="AD17" s="17">
        <f t="shared" si="9"/>
        <v>0</v>
      </c>
      <c r="AE17" s="31">
        <f t="shared" si="9"/>
        <v>21</v>
      </c>
      <c r="AF17" s="31">
        <f t="shared" si="9"/>
        <v>112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1</v>
      </c>
      <c r="F18" s="50">
        <v>1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9</v>
      </c>
      <c r="P18" s="15">
        <f t="shared" si="1"/>
        <v>54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108</v>
      </c>
      <c r="AD18" s="17">
        <f t="shared" si="10"/>
        <v>0</v>
      </c>
      <c r="AE18" s="31">
        <f t="shared" si="10"/>
        <v>20</v>
      </c>
      <c r="AF18" s="31">
        <f t="shared" si="10"/>
        <v>128</v>
      </c>
    </row>
    <row r="19" spans="2:32" ht="23.1" customHeight="1" x14ac:dyDescent="0.25">
      <c r="B19" s="23" t="s">
        <v>46</v>
      </c>
      <c r="C19" s="50">
        <v>6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50</v>
      </c>
      <c r="N19" s="50">
        <v>0</v>
      </c>
      <c r="O19" s="15">
        <f t="shared" si="0"/>
        <v>9</v>
      </c>
      <c r="P19" s="15">
        <f t="shared" si="1"/>
        <v>59</v>
      </c>
      <c r="R19" s="1" t="s">
        <v>15</v>
      </c>
      <c r="S19" s="17">
        <f t="shared" ref="S19:AF19" si="11">SUM(C46:C49)</f>
        <v>14</v>
      </c>
      <c r="T19" s="17">
        <f t="shared" si="11"/>
        <v>0</v>
      </c>
      <c r="U19" s="17">
        <f t="shared" si="11"/>
        <v>1</v>
      </c>
      <c r="V19" s="17">
        <f t="shared" si="11"/>
        <v>4</v>
      </c>
      <c r="W19" s="17">
        <f t="shared" si="11"/>
        <v>2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160</v>
      </c>
      <c r="AD19" s="17">
        <f t="shared" si="11"/>
        <v>0</v>
      </c>
      <c r="AE19" s="31">
        <f t="shared" si="11"/>
        <v>25</v>
      </c>
      <c r="AF19" s="31">
        <f t="shared" si="11"/>
        <v>185</v>
      </c>
    </row>
    <row r="20" spans="2:32" ht="23.1" customHeight="1" x14ac:dyDescent="0.25">
      <c r="B20" s="23" t="s">
        <v>47</v>
      </c>
      <c r="C20" s="50">
        <v>3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47</v>
      </c>
      <c r="N20" s="50">
        <v>0</v>
      </c>
      <c r="O20" s="15">
        <f t="shared" si="0"/>
        <v>7</v>
      </c>
      <c r="P20" s="15">
        <f t="shared" si="1"/>
        <v>54</v>
      </c>
      <c r="R20" s="1" t="s">
        <v>16</v>
      </c>
      <c r="S20" s="17">
        <f t="shared" ref="S20:AF20" si="12">SUM(C50:C53)</f>
        <v>17</v>
      </c>
      <c r="T20" s="17">
        <f t="shared" si="12"/>
        <v>1</v>
      </c>
      <c r="U20" s="17">
        <f t="shared" si="12"/>
        <v>1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5</v>
      </c>
      <c r="AA20" s="17">
        <f t="shared" si="12"/>
        <v>1</v>
      </c>
      <c r="AB20" s="17">
        <f t="shared" si="12"/>
        <v>0</v>
      </c>
      <c r="AC20" s="17">
        <f t="shared" si="12"/>
        <v>206</v>
      </c>
      <c r="AD20" s="17">
        <f t="shared" si="12"/>
        <v>0</v>
      </c>
      <c r="AE20" s="31">
        <f t="shared" si="12"/>
        <v>39</v>
      </c>
      <c r="AF20" s="31">
        <f t="shared" si="12"/>
        <v>245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58</v>
      </c>
      <c r="N21" s="50">
        <v>0</v>
      </c>
      <c r="O21" s="15">
        <f t="shared" si="0"/>
        <v>5</v>
      </c>
      <c r="P21" s="15">
        <f t="shared" si="1"/>
        <v>63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3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204</v>
      </c>
      <c r="AD21" s="17">
        <f t="shared" si="13"/>
        <v>0</v>
      </c>
      <c r="AE21" s="31">
        <f t="shared" si="13"/>
        <v>28</v>
      </c>
      <c r="AF21" s="31">
        <f t="shared" si="13"/>
        <v>232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7</v>
      </c>
      <c r="P22" s="15">
        <f t="shared" si="1"/>
        <v>40</v>
      </c>
      <c r="R22" s="38" t="s">
        <v>90</v>
      </c>
      <c r="S22" s="39">
        <f>MAX(S10:S12)</f>
        <v>32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11</v>
      </c>
      <c r="W22" s="39">
        <f t="shared" si="14"/>
        <v>2</v>
      </c>
      <c r="X22" s="39">
        <f t="shared" si="14"/>
        <v>0</v>
      </c>
      <c r="Y22" s="39">
        <f t="shared" si="14"/>
        <v>8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250</v>
      </c>
      <c r="AD22" s="39">
        <f t="shared" si="14"/>
        <v>0</v>
      </c>
      <c r="AE22" s="40">
        <f t="shared" si="14"/>
        <v>52</v>
      </c>
      <c r="AF22" s="40">
        <f t="shared" si="14"/>
        <v>302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2</v>
      </c>
      <c r="F23" s="50">
        <v>0</v>
      </c>
      <c r="G23" s="50">
        <v>0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55</v>
      </c>
      <c r="N23" s="50">
        <v>0</v>
      </c>
      <c r="O23" s="15">
        <f t="shared" si="0"/>
        <v>10</v>
      </c>
      <c r="P23" s="15">
        <f t="shared" si="1"/>
        <v>65</v>
      </c>
      <c r="R23" s="38" t="s">
        <v>91</v>
      </c>
      <c r="S23" s="39">
        <f>MAX(S13:S18)</f>
        <v>14</v>
      </c>
      <c r="T23" s="39">
        <f t="shared" ref="T23:AF23" si="15">MAX(T13:T18)</f>
        <v>1</v>
      </c>
      <c r="U23" s="39">
        <f t="shared" si="15"/>
        <v>3</v>
      </c>
      <c r="V23" s="39">
        <f t="shared" si="15"/>
        <v>5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4</v>
      </c>
      <c r="AA23" s="39">
        <f t="shared" si="15"/>
        <v>0</v>
      </c>
      <c r="AB23" s="39">
        <f t="shared" si="15"/>
        <v>0</v>
      </c>
      <c r="AC23" s="39">
        <f t="shared" si="15"/>
        <v>202</v>
      </c>
      <c r="AD23" s="39">
        <f t="shared" si="15"/>
        <v>0</v>
      </c>
      <c r="AE23" s="40">
        <f t="shared" si="15"/>
        <v>26</v>
      </c>
      <c r="AF23" s="40">
        <f t="shared" si="15"/>
        <v>228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60</v>
      </c>
      <c r="N24" s="50">
        <v>0</v>
      </c>
      <c r="O24" s="15">
        <f t="shared" si="0"/>
        <v>6</v>
      </c>
      <c r="P24" s="15">
        <f t="shared" si="1"/>
        <v>66</v>
      </c>
      <c r="R24" s="38" t="s">
        <v>92</v>
      </c>
      <c r="S24" s="39">
        <f>MAX(S19:S21)</f>
        <v>17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6</v>
      </c>
      <c r="W24" s="39">
        <f t="shared" si="16"/>
        <v>3</v>
      </c>
      <c r="X24" s="39">
        <f t="shared" si="16"/>
        <v>0</v>
      </c>
      <c r="Y24" s="39">
        <f t="shared" si="16"/>
        <v>9</v>
      </c>
      <c r="Z24" s="39">
        <f t="shared" si="16"/>
        <v>5</v>
      </c>
      <c r="AA24" s="39">
        <f t="shared" si="16"/>
        <v>1</v>
      </c>
      <c r="AB24" s="39">
        <f t="shared" si="16"/>
        <v>0</v>
      </c>
      <c r="AC24" s="39">
        <f t="shared" si="16"/>
        <v>206</v>
      </c>
      <c r="AD24" s="39">
        <f t="shared" si="16"/>
        <v>0</v>
      </c>
      <c r="AE24" s="40">
        <f t="shared" si="16"/>
        <v>39</v>
      </c>
      <c r="AF24" s="40">
        <f t="shared" si="16"/>
        <v>245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54</v>
      </c>
      <c r="N25" s="50">
        <v>0</v>
      </c>
      <c r="O25" s="15">
        <f t="shared" si="0"/>
        <v>3</v>
      </c>
      <c r="P25" s="15">
        <f t="shared" si="1"/>
        <v>57</v>
      </c>
      <c r="R25" s="37" t="s">
        <v>85</v>
      </c>
      <c r="S25" s="35">
        <f t="shared" ref="S25:AF25" si="17">SUM(S10:S12)</f>
        <v>71</v>
      </c>
      <c r="T25" s="16">
        <f t="shared" si="17"/>
        <v>3</v>
      </c>
      <c r="U25" s="16">
        <f t="shared" si="17"/>
        <v>10</v>
      </c>
      <c r="V25" s="16">
        <f t="shared" si="17"/>
        <v>14</v>
      </c>
      <c r="W25" s="16">
        <f t="shared" si="17"/>
        <v>2</v>
      </c>
      <c r="X25" s="16">
        <f t="shared" si="17"/>
        <v>0</v>
      </c>
      <c r="Y25" s="16">
        <f t="shared" si="17"/>
        <v>19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674</v>
      </c>
      <c r="AD25" s="16">
        <f t="shared" si="17"/>
        <v>0</v>
      </c>
      <c r="AE25" s="32">
        <f t="shared" si="17"/>
        <v>125</v>
      </c>
      <c r="AF25" s="32">
        <f t="shared" si="17"/>
        <v>799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4</v>
      </c>
      <c r="P26" s="15">
        <f t="shared" si="1"/>
        <v>39</v>
      </c>
      <c r="R26" s="28" t="s">
        <v>86</v>
      </c>
      <c r="S26" s="16">
        <f t="shared" ref="S26:AF26" si="18">SUM(S13:S18)</f>
        <v>72</v>
      </c>
      <c r="T26" s="16">
        <f t="shared" si="18"/>
        <v>3</v>
      </c>
      <c r="U26" s="16">
        <f t="shared" si="18"/>
        <v>11</v>
      </c>
      <c r="V26" s="16">
        <f t="shared" si="18"/>
        <v>16</v>
      </c>
      <c r="W26" s="16">
        <f t="shared" si="18"/>
        <v>0</v>
      </c>
      <c r="X26" s="16">
        <f t="shared" si="18"/>
        <v>0</v>
      </c>
      <c r="Y26" s="16">
        <f t="shared" si="18"/>
        <v>22</v>
      </c>
      <c r="Z26" s="16">
        <f t="shared" si="18"/>
        <v>11</v>
      </c>
      <c r="AA26" s="16">
        <f t="shared" si="18"/>
        <v>0</v>
      </c>
      <c r="AB26" s="16">
        <f t="shared" si="18"/>
        <v>0</v>
      </c>
      <c r="AC26" s="16">
        <f t="shared" si="18"/>
        <v>787</v>
      </c>
      <c r="AD26" s="16">
        <f t="shared" si="18"/>
        <v>0</v>
      </c>
      <c r="AE26" s="32">
        <f t="shared" si="18"/>
        <v>135</v>
      </c>
      <c r="AF26" s="32">
        <f t="shared" si="18"/>
        <v>922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42</v>
      </c>
      <c r="N27" s="50">
        <v>0</v>
      </c>
      <c r="O27" s="15">
        <f t="shared" si="0"/>
        <v>7</v>
      </c>
      <c r="P27" s="15">
        <f t="shared" si="1"/>
        <v>49</v>
      </c>
      <c r="R27" s="29" t="s">
        <v>87</v>
      </c>
      <c r="S27" s="16">
        <f t="shared" ref="S27:AF27" si="19">SUM(S19:S21)</f>
        <v>41</v>
      </c>
      <c r="T27" s="16">
        <f t="shared" si="19"/>
        <v>1</v>
      </c>
      <c r="U27" s="16">
        <f t="shared" si="19"/>
        <v>2</v>
      </c>
      <c r="V27" s="16">
        <f t="shared" si="19"/>
        <v>14</v>
      </c>
      <c r="W27" s="16">
        <f t="shared" si="19"/>
        <v>6</v>
      </c>
      <c r="X27" s="16">
        <f t="shared" si="19"/>
        <v>0</v>
      </c>
      <c r="Y27" s="16">
        <f t="shared" si="19"/>
        <v>20</v>
      </c>
      <c r="Z27" s="16">
        <f t="shared" si="19"/>
        <v>7</v>
      </c>
      <c r="AA27" s="16">
        <f t="shared" si="19"/>
        <v>1</v>
      </c>
      <c r="AB27" s="16">
        <f t="shared" si="19"/>
        <v>0</v>
      </c>
      <c r="AC27" s="16">
        <f t="shared" si="19"/>
        <v>570</v>
      </c>
      <c r="AD27" s="16">
        <f t="shared" si="19"/>
        <v>0</v>
      </c>
      <c r="AE27" s="32">
        <f t="shared" si="19"/>
        <v>92</v>
      </c>
      <c r="AF27" s="32">
        <f t="shared" si="19"/>
        <v>662</v>
      </c>
    </row>
    <row r="28" spans="2:32" ht="23.1" customHeight="1" x14ac:dyDescent="0.25">
      <c r="B28" s="23" t="s">
        <v>55</v>
      </c>
      <c r="C28" s="50">
        <v>6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28</v>
      </c>
      <c r="N28" s="50">
        <v>0</v>
      </c>
      <c r="O28" s="15">
        <f t="shared" si="0"/>
        <v>10</v>
      </c>
      <c r="P28" s="15">
        <f t="shared" si="1"/>
        <v>38</v>
      </c>
      <c r="R28" s="5" t="s">
        <v>17</v>
      </c>
      <c r="S28" s="16">
        <f t="shared" ref="S28:AF28" si="20">SUM(S10:S21)</f>
        <v>184</v>
      </c>
      <c r="T28" s="16">
        <f t="shared" si="20"/>
        <v>7</v>
      </c>
      <c r="U28" s="16">
        <f t="shared" si="20"/>
        <v>23</v>
      </c>
      <c r="V28" s="16">
        <f t="shared" si="20"/>
        <v>44</v>
      </c>
      <c r="W28" s="16">
        <f t="shared" si="20"/>
        <v>8</v>
      </c>
      <c r="X28" s="16">
        <f t="shared" si="20"/>
        <v>0</v>
      </c>
      <c r="Y28" s="16">
        <f t="shared" si="20"/>
        <v>61</v>
      </c>
      <c r="Z28" s="16">
        <f t="shared" si="20"/>
        <v>24</v>
      </c>
      <c r="AA28" s="16">
        <f t="shared" si="20"/>
        <v>1</v>
      </c>
      <c r="AB28" s="16">
        <f t="shared" si="20"/>
        <v>0</v>
      </c>
      <c r="AC28" s="16">
        <f t="shared" si="20"/>
        <v>2031</v>
      </c>
      <c r="AD28" s="16">
        <f t="shared" si="20"/>
        <v>0</v>
      </c>
      <c r="AE28" s="32">
        <f t="shared" si="20"/>
        <v>352</v>
      </c>
      <c r="AF28" s="32">
        <f t="shared" si="20"/>
        <v>2383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31</v>
      </c>
      <c r="N29" s="50">
        <v>0</v>
      </c>
      <c r="O29" s="15">
        <f t="shared" si="0"/>
        <v>1</v>
      </c>
      <c r="P29" s="15">
        <f t="shared" si="1"/>
        <v>32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34</v>
      </c>
      <c r="N30" s="50">
        <v>0</v>
      </c>
      <c r="O30" s="15">
        <f t="shared" si="0"/>
        <v>1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4</v>
      </c>
      <c r="P31" s="15">
        <f t="shared" si="1"/>
        <v>30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26</v>
      </c>
      <c r="N32" s="50">
        <v>0</v>
      </c>
      <c r="O32" s="15">
        <f t="shared" si="0"/>
        <v>8</v>
      </c>
      <c r="P32" s="15">
        <f t="shared" si="1"/>
        <v>34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22</v>
      </c>
      <c r="N33" s="50">
        <v>0</v>
      </c>
      <c r="O33" s="15">
        <f t="shared" si="0"/>
        <v>9</v>
      </c>
      <c r="P33" s="15">
        <f t="shared" si="1"/>
        <v>31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4</v>
      </c>
      <c r="P34" s="15">
        <f t="shared" si="1"/>
        <v>34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6</v>
      </c>
      <c r="P35" s="15">
        <f t="shared" si="1"/>
        <v>41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37</v>
      </c>
      <c r="N36" s="50">
        <v>0</v>
      </c>
      <c r="O36" s="15">
        <f t="shared" si="0"/>
        <v>5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9</v>
      </c>
      <c r="P37" s="15">
        <f t="shared" si="1"/>
        <v>49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5</v>
      </c>
      <c r="P38" s="15">
        <f t="shared" si="1"/>
        <v>23</v>
      </c>
    </row>
    <row r="39" spans="2:20" ht="23.1" customHeight="1" x14ac:dyDescent="0.25">
      <c r="B39" s="24" t="s">
        <v>66</v>
      </c>
      <c r="C39" s="50">
        <v>7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10</v>
      </c>
      <c r="P39" s="15">
        <f t="shared" si="1"/>
        <v>35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3</v>
      </c>
      <c r="P40" s="15">
        <f t="shared" si="1"/>
        <v>22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29</v>
      </c>
      <c r="N41" s="50">
        <v>0</v>
      </c>
      <c r="O41" s="15">
        <f t="shared" si="0"/>
        <v>3</v>
      </c>
      <c r="P41" s="15">
        <f t="shared" si="1"/>
        <v>32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39</v>
      </c>
      <c r="N42" s="50">
        <v>0</v>
      </c>
      <c r="O42" s="15">
        <f t="shared" si="0"/>
        <v>4</v>
      </c>
      <c r="P42" s="15">
        <f t="shared" si="1"/>
        <v>43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3</v>
      </c>
      <c r="J43" s="50">
        <v>2</v>
      </c>
      <c r="K43" s="50">
        <v>0</v>
      </c>
      <c r="L43" s="50">
        <v>0</v>
      </c>
      <c r="M43" s="50">
        <v>32</v>
      </c>
      <c r="N43" s="50">
        <v>0</v>
      </c>
      <c r="O43" s="15">
        <f t="shared" si="0"/>
        <v>10</v>
      </c>
      <c r="P43" s="15">
        <f t="shared" si="1"/>
        <v>42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2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4</v>
      </c>
      <c r="P45" s="15">
        <f t="shared" si="1"/>
        <v>29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1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44</v>
      </c>
      <c r="N46" s="50">
        <v>0</v>
      </c>
      <c r="O46" s="15">
        <f t="shared" si="0"/>
        <v>2</v>
      </c>
      <c r="P46" s="15">
        <f t="shared" si="1"/>
        <v>46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33</v>
      </c>
      <c r="N47" s="50">
        <v>0</v>
      </c>
      <c r="O47" s="15">
        <f t="shared" si="0"/>
        <v>13</v>
      </c>
      <c r="P47" s="15">
        <f t="shared" si="1"/>
        <v>46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2</v>
      </c>
      <c r="G48" s="50">
        <v>1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37</v>
      </c>
      <c r="N48" s="50">
        <v>0</v>
      </c>
      <c r="O48" s="15">
        <f t="shared" si="0"/>
        <v>6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46</v>
      </c>
      <c r="N49" s="50">
        <v>0</v>
      </c>
      <c r="O49" s="15">
        <f t="shared" si="0"/>
        <v>4</v>
      </c>
      <c r="P49" s="15">
        <f t="shared" si="1"/>
        <v>50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1</v>
      </c>
      <c r="G50" s="50">
        <v>1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50</v>
      </c>
      <c r="N50" s="50">
        <v>0</v>
      </c>
      <c r="O50" s="15">
        <f t="shared" si="0"/>
        <v>11</v>
      </c>
      <c r="P50" s="15">
        <f t="shared" si="1"/>
        <v>61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56</v>
      </c>
      <c r="N51" s="50">
        <v>0</v>
      </c>
      <c r="O51" s="15">
        <f t="shared" si="0"/>
        <v>9</v>
      </c>
      <c r="P51" s="15">
        <f t="shared" si="1"/>
        <v>65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1</v>
      </c>
      <c r="F52" s="50">
        <v>3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46</v>
      </c>
      <c r="N52" s="50">
        <v>0</v>
      </c>
      <c r="O52" s="15">
        <f t="shared" si="0"/>
        <v>11</v>
      </c>
      <c r="P52" s="15">
        <f t="shared" si="1"/>
        <v>57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54</v>
      </c>
      <c r="N53" s="50">
        <v>0</v>
      </c>
      <c r="O53" s="15">
        <f t="shared" si="0"/>
        <v>8</v>
      </c>
      <c r="P53" s="15">
        <f t="shared" si="1"/>
        <v>62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1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53</v>
      </c>
      <c r="N54" s="50">
        <v>0</v>
      </c>
      <c r="O54" s="15">
        <f t="shared" si="0"/>
        <v>5</v>
      </c>
      <c r="P54" s="15">
        <f t="shared" si="1"/>
        <v>58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1</v>
      </c>
      <c r="G55" s="50">
        <v>2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45</v>
      </c>
      <c r="N55" s="50">
        <v>0</v>
      </c>
      <c r="O55" s="15">
        <f t="shared" si="0"/>
        <v>10</v>
      </c>
      <c r="P55" s="15">
        <f t="shared" si="1"/>
        <v>55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2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48</v>
      </c>
      <c r="N56" s="50">
        <v>0</v>
      </c>
      <c r="O56" s="15">
        <f t="shared" si="0"/>
        <v>7</v>
      </c>
      <c r="P56" s="15">
        <f t="shared" si="1"/>
        <v>55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58</v>
      </c>
      <c r="N57" s="50">
        <v>0</v>
      </c>
      <c r="O57" s="15">
        <f t="shared" si="0"/>
        <v>6</v>
      </c>
      <c r="P57" s="15">
        <f t="shared" si="1"/>
        <v>64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184</v>
      </c>
      <c r="D58" s="16">
        <f t="shared" si="21"/>
        <v>7</v>
      </c>
      <c r="E58" s="16">
        <f t="shared" si="21"/>
        <v>23</v>
      </c>
      <c r="F58" s="16">
        <f t="shared" si="21"/>
        <v>44</v>
      </c>
      <c r="G58" s="16">
        <f t="shared" si="21"/>
        <v>8</v>
      </c>
      <c r="H58" s="16">
        <f t="shared" si="21"/>
        <v>0</v>
      </c>
      <c r="I58" s="16">
        <f t="shared" si="21"/>
        <v>61</v>
      </c>
      <c r="J58" s="16">
        <f t="shared" si="21"/>
        <v>24</v>
      </c>
      <c r="K58" s="16">
        <f t="shared" si="21"/>
        <v>1</v>
      </c>
      <c r="L58" s="16">
        <f t="shared" si="21"/>
        <v>0</v>
      </c>
      <c r="M58" s="16">
        <f t="shared" si="21"/>
        <v>2031</v>
      </c>
      <c r="N58" s="16">
        <f t="shared" si="21"/>
        <v>0</v>
      </c>
      <c r="O58" s="16">
        <f t="shared" si="21"/>
        <v>352</v>
      </c>
      <c r="P58" s="16">
        <f t="shared" si="21"/>
        <v>2383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7.7213596307175822E-2</v>
      </c>
      <c r="D59" s="43">
        <f t="shared" si="22"/>
        <v>2.9374737725556023E-3</v>
      </c>
      <c r="E59" s="43">
        <f t="shared" si="22"/>
        <v>9.6516995383969777E-3</v>
      </c>
      <c r="F59" s="43">
        <f t="shared" si="22"/>
        <v>1.8464120856063786E-2</v>
      </c>
      <c r="G59" s="43">
        <f t="shared" si="22"/>
        <v>3.3571128829206882E-3</v>
      </c>
      <c r="H59" s="43">
        <f t="shared" si="22"/>
        <v>0</v>
      </c>
      <c r="I59" s="43">
        <f t="shared" si="22"/>
        <v>2.5597985732270248E-2</v>
      </c>
      <c r="J59" s="43">
        <f t="shared" si="22"/>
        <v>1.0071338648762064E-2</v>
      </c>
      <c r="K59" s="43">
        <f t="shared" si="22"/>
        <v>4.1963911036508602E-4</v>
      </c>
      <c r="L59" s="43">
        <f t="shared" si="22"/>
        <v>0</v>
      </c>
      <c r="M59" s="43">
        <f t="shared" si="22"/>
        <v>0.85228703315148968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0.52272727272727271</v>
      </c>
      <c r="D60" s="44">
        <f t="shared" ref="D60:N60" si="23">D58/$O$58</f>
        <v>1.9886363636363636E-2</v>
      </c>
      <c r="E60" s="44">
        <f t="shared" si="23"/>
        <v>6.5340909090909088E-2</v>
      </c>
      <c r="F60" s="44">
        <f t="shared" si="23"/>
        <v>0.125</v>
      </c>
      <c r="G60" s="44">
        <f t="shared" si="23"/>
        <v>2.2727272727272728E-2</v>
      </c>
      <c r="H60" s="44">
        <f t="shared" si="23"/>
        <v>0</v>
      </c>
      <c r="I60" s="44">
        <f t="shared" si="23"/>
        <v>0.17329545454545456</v>
      </c>
      <c r="J60" s="44">
        <f t="shared" si="23"/>
        <v>6.8181818181818177E-2</v>
      </c>
      <c r="K60" s="44">
        <f t="shared" si="23"/>
        <v>2.840909090909091E-3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E5" sqref="E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'23.09.19-Kitemu-Buddo'!C3:G3</f>
        <v>MCC-C2-Kitemu 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9" t="str">
        <f>'23.09.19-Kitemu-Buddo'!G5:H5</f>
        <v>St Charles Lwanga PS</v>
      </c>
      <c r="H5" s="70"/>
      <c r="I5" s="14"/>
      <c r="J5" s="2" t="s">
        <v>5</v>
      </c>
      <c r="K5" s="69" t="str">
        <f>'23.09.19-Kitemu-Buddo'!K5:L5</f>
        <v>Salimah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'23.09.19-Kitemu-Buddo'!D6:E6</f>
        <v>KITEMU</v>
      </c>
      <c r="E6" s="70"/>
      <c r="F6" s="2" t="s">
        <v>2</v>
      </c>
      <c r="G6" s="69" t="str">
        <f>'23.09.19-Kitemu-Buddo'!G6:H6</f>
        <v>BUDDO</v>
      </c>
      <c r="H6" s="70"/>
      <c r="J6" s="2" t="s">
        <v>21</v>
      </c>
      <c r="K6" s="69" t="str">
        <f>'23.09.19-Kitemu-Buddo'!K6:L6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0</v>
      </c>
      <c r="F10" s="50">
        <v>3</v>
      </c>
      <c r="G10" s="50">
        <v>1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24</v>
      </c>
      <c r="N10" s="50">
        <v>0</v>
      </c>
      <c r="O10" s="17">
        <f t="shared" ref="O10:O57" si="0">SUM(C10:L10,N10)</f>
        <v>8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8</v>
      </c>
      <c r="T10" s="17">
        <f t="shared" si="2"/>
        <v>1</v>
      </c>
      <c r="U10" s="17">
        <f t="shared" si="2"/>
        <v>2</v>
      </c>
      <c r="V10" s="17">
        <f t="shared" si="2"/>
        <v>9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160</v>
      </c>
      <c r="AD10" s="17">
        <f t="shared" si="2"/>
        <v>0</v>
      </c>
      <c r="AE10" s="31">
        <f t="shared" si="2"/>
        <v>27</v>
      </c>
      <c r="AF10" s="31">
        <f t="shared" si="2"/>
        <v>187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1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30</v>
      </c>
      <c r="N11" s="50">
        <v>0</v>
      </c>
      <c r="O11" s="17">
        <f t="shared" si="0"/>
        <v>4</v>
      </c>
      <c r="P11" s="15">
        <f t="shared" si="1"/>
        <v>34</v>
      </c>
      <c r="R11" s="1" t="s">
        <v>7</v>
      </c>
      <c r="S11" s="17">
        <f t="shared" ref="S11:AF11" si="3">SUM(C14:C17)</f>
        <v>7</v>
      </c>
      <c r="T11" s="17">
        <f t="shared" si="3"/>
        <v>1</v>
      </c>
      <c r="U11" s="17">
        <f t="shared" si="3"/>
        <v>0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170</v>
      </c>
      <c r="AD11" s="17">
        <f t="shared" si="3"/>
        <v>0</v>
      </c>
      <c r="AE11" s="31">
        <f t="shared" si="3"/>
        <v>16</v>
      </c>
      <c r="AF11" s="31">
        <f t="shared" si="3"/>
        <v>186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46</v>
      </c>
      <c r="N12" s="50">
        <v>0</v>
      </c>
      <c r="O12" s="17">
        <f t="shared" si="0"/>
        <v>8</v>
      </c>
      <c r="P12" s="15">
        <f t="shared" si="1"/>
        <v>54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0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200</v>
      </c>
      <c r="AD12" s="17">
        <f t="shared" si="4"/>
        <v>0</v>
      </c>
      <c r="AE12" s="31">
        <f t="shared" si="4"/>
        <v>19</v>
      </c>
      <c r="AF12" s="31">
        <f t="shared" si="4"/>
        <v>219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60</v>
      </c>
      <c r="N13" s="50">
        <v>0</v>
      </c>
      <c r="O13" s="17">
        <f t="shared" si="0"/>
        <v>7</v>
      </c>
      <c r="P13" s="15">
        <f t="shared" si="1"/>
        <v>67</v>
      </c>
      <c r="R13" s="1" t="s">
        <v>9</v>
      </c>
      <c r="S13" s="17">
        <f t="shared" ref="S13:AF13" si="5">SUM(C22:C25)</f>
        <v>13</v>
      </c>
      <c r="T13" s="17">
        <f t="shared" si="5"/>
        <v>2</v>
      </c>
      <c r="U13" s="17">
        <f t="shared" si="5"/>
        <v>0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147</v>
      </c>
      <c r="AD13" s="17">
        <f t="shared" si="5"/>
        <v>0</v>
      </c>
      <c r="AE13" s="31">
        <f t="shared" si="5"/>
        <v>28</v>
      </c>
      <c r="AF13" s="31">
        <f t="shared" si="5"/>
        <v>175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40</v>
      </c>
      <c r="N14" s="50">
        <v>0</v>
      </c>
      <c r="O14" s="17">
        <f t="shared" si="0"/>
        <v>4</v>
      </c>
      <c r="P14" s="15">
        <f t="shared" si="1"/>
        <v>44</v>
      </c>
      <c r="R14" s="1" t="s">
        <v>10</v>
      </c>
      <c r="S14" s="17">
        <f t="shared" ref="S14:AF14" si="6">SUM(C26:C29)</f>
        <v>10</v>
      </c>
      <c r="T14" s="17">
        <f t="shared" si="6"/>
        <v>2</v>
      </c>
      <c r="U14" s="17">
        <f t="shared" si="6"/>
        <v>1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106</v>
      </c>
      <c r="AD14" s="17">
        <f t="shared" si="6"/>
        <v>0</v>
      </c>
      <c r="AE14" s="31">
        <f t="shared" si="6"/>
        <v>19</v>
      </c>
      <c r="AF14" s="31">
        <f t="shared" si="6"/>
        <v>125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50</v>
      </c>
      <c r="N15" s="50">
        <v>0</v>
      </c>
      <c r="O15" s="17">
        <f t="shared" si="0"/>
        <v>2</v>
      </c>
      <c r="P15" s="15">
        <f t="shared" si="1"/>
        <v>52</v>
      </c>
      <c r="R15" s="1" t="s">
        <v>11</v>
      </c>
      <c r="S15" s="17">
        <f t="shared" ref="S15:AF15" si="7">SUM(C30:C33)</f>
        <v>13</v>
      </c>
      <c r="T15" s="17">
        <f t="shared" si="7"/>
        <v>3</v>
      </c>
      <c r="U15" s="17">
        <f t="shared" si="7"/>
        <v>0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112</v>
      </c>
      <c r="AD15" s="17">
        <f t="shared" si="7"/>
        <v>0</v>
      </c>
      <c r="AE15" s="31">
        <f t="shared" si="7"/>
        <v>29</v>
      </c>
      <c r="AF15" s="31">
        <f t="shared" si="7"/>
        <v>141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47</v>
      </c>
      <c r="N16" s="50">
        <v>0</v>
      </c>
      <c r="O16" s="17">
        <f t="shared" si="0"/>
        <v>3</v>
      </c>
      <c r="P16" s="15">
        <f t="shared" si="1"/>
        <v>50</v>
      </c>
      <c r="R16" s="1" t="s">
        <v>12</v>
      </c>
      <c r="S16" s="17">
        <f t="shared" ref="S16:AF16" si="8">SUM(C34:C37)</f>
        <v>13</v>
      </c>
      <c r="T16" s="17">
        <f t="shared" si="8"/>
        <v>2</v>
      </c>
      <c r="U16" s="17">
        <f t="shared" si="8"/>
        <v>1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88</v>
      </c>
      <c r="AD16" s="17">
        <f t="shared" si="8"/>
        <v>0</v>
      </c>
      <c r="AE16" s="31">
        <f t="shared" si="8"/>
        <v>25</v>
      </c>
      <c r="AF16" s="31">
        <f t="shared" si="8"/>
        <v>113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33</v>
      </c>
      <c r="N17" s="50">
        <v>0</v>
      </c>
      <c r="O17" s="17">
        <f t="shared" si="0"/>
        <v>7</v>
      </c>
      <c r="P17" s="15">
        <f t="shared" si="1"/>
        <v>40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0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89</v>
      </c>
      <c r="AD17" s="17">
        <f t="shared" si="9"/>
        <v>0</v>
      </c>
      <c r="AE17" s="31">
        <f t="shared" si="9"/>
        <v>17</v>
      </c>
      <c r="AF17" s="31">
        <f t="shared" si="9"/>
        <v>106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63</v>
      </c>
      <c r="N18" s="50">
        <v>0</v>
      </c>
      <c r="O18" s="17">
        <f t="shared" si="0"/>
        <v>3</v>
      </c>
      <c r="P18" s="15">
        <f t="shared" si="1"/>
        <v>66</v>
      </c>
      <c r="R18" s="1" t="s">
        <v>14</v>
      </c>
      <c r="S18" s="17">
        <f t="shared" ref="S18:AF18" si="10">SUM(C42:C45)</f>
        <v>8</v>
      </c>
      <c r="T18" s="17">
        <f t="shared" si="10"/>
        <v>1</v>
      </c>
      <c r="U18" s="17">
        <f t="shared" si="10"/>
        <v>2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127</v>
      </c>
      <c r="AD18" s="17">
        <f t="shared" si="10"/>
        <v>0</v>
      </c>
      <c r="AE18" s="31">
        <f t="shared" si="10"/>
        <v>25</v>
      </c>
      <c r="AF18" s="31">
        <f t="shared" si="10"/>
        <v>152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49</v>
      </c>
      <c r="N19" s="50">
        <v>0</v>
      </c>
      <c r="O19" s="17">
        <f t="shared" si="0"/>
        <v>4</v>
      </c>
      <c r="P19" s="15">
        <f t="shared" si="1"/>
        <v>53</v>
      </c>
      <c r="R19" s="1" t="s">
        <v>15</v>
      </c>
      <c r="S19" s="17">
        <f t="shared" ref="S19:AF19" si="11">SUM(C46:C49)</f>
        <v>20</v>
      </c>
      <c r="T19" s="17">
        <f t="shared" si="11"/>
        <v>2</v>
      </c>
      <c r="U19" s="17">
        <f t="shared" si="11"/>
        <v>3</v>
      </c>
      <c r="V19" s="17">
        <f t="shared" si="11"/>
        <v>5</v>
      </c>
      <c r="W19" s="17">
        <f t="shared" si="11"/>
        <v>2</v>
      </c>
      <c r="X19" s="17">
        <f t="shared" si="11"/>
        <v>0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109</v>
      </c>
      <c r="AD19" s="17">
        <f t="shared" si="11"/>
        <v>0</v>
      </c>
      <c r="AE19" s="31">
        <f t="shared" si="11"/>
        <v>36</v>
      </c>
      <c r="AF19" s="31">
        <f t="shared" si="11"/>
        <v>145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38</v>
      </c>
      <c r="N20" s="50"/>
      <c r="O20" s="17">
        <f t="shared" si="0"/>
        <v>7</v>
      </c>
      <c r="P20" s="15">
        <f t="shared" si="1"/>
        <v>45</v>
      </c>
      <c r="R20" s="1" t="s">
        <v>16</v>
      </c>
      <c r="S20" s="17">
        <f t="shared" ref="S20:AF20" si="12">SUM(C50:C53)</f>
        <v>14</v>
      </c>
      <c r="T20" s="17">
        <f t="shared" si="12"/>
        <v>1</v>
      </c>
      <c r="U20" s="17">
        <f t="shared" si="12"/>
        <v>0</v>
      </c>
      <c r="V20" s="17">
        <f t="shared" si="12"/>
        <v>15</v>
      </c>
      <c r="W20" s="17">
        <f t="shared" si="12"/>
        <v>2</v>
      </c>
      <c r="X20" s="17">
        <f t="shared" si="12"/>
        <v>0</v>
      </c>
      <c r="Y20" s="17">
        <f t="shared" si="12"/>
        <v>7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132</v>
      </c>
      <c r="AD20" s="17">
        <f t="shared" si="12"/>
        <v>0</v>
      </c>
      <c r="AE20" s="31">
        <f t="shared" si="12"/>
        <v>40</v>
      </c>
      <c r="AF20" s="31">
        <f t="shared" si="12"/>
        <v>172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7">
        <f t="shared" si="0"/>
        <v>5</v>
      </c>
      <c r="P21" s="15">
        <f t="shared" si="1"/>
        <v>55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1</v>
      </c>
      <c r="V21" s="17">
        <f t="shared" si="13"/>
        <v>7</v>
      </c>
      <c r="W21" s="17">
        <f t="shared" si="13"/>
        <v>2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125</v>
      </c>
      <c r="AD21" s="17">
        <f t="shared" si="13"/>
        <v>0</v>
      </c>
      <c r="AE21" s="31">
        <f t="shared" si="13"/>
        <v>26</v>
      </c>
      <c r="AF21" s="31">
        <f t="shared" si="13"/>
        <v>151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0</v>
      </c>
      <c r="F22" s="50">
        <v>3</v>
      </c>
      <c r="G22" s="50">
        <v>0</v>
      </c>
      <c r="H22" s="50">
        <v>0</v>
      </c>
      <c r="I22" s="50">
        <v>0</v>
      </c>
      <c r="J22" s="50">
        <v>1</v>
      </c>
      <c r="K22" s="50">
        <v>1</v>
      </c>
      <c r="L22" s="50">
        <v>0</v>
      </c>
      <c r="M22" s="50">
        <v>43</v>
      </c>
      <c r="N22" s="50">
        <v>0</v>
      </c>
      <c r="O22" s="17">
        <f t="shared" si="0"/>
        <v>9</v>
      </c>
      <c r="P22" s="15">
        <f t="shared" si="1"/>
        <v>52</v>
      </c>
      <c r="R22" s="38" t="s">
        <v>90</v>
      </c>
      <c r="S22" s="39">
        <f>MAX(S10:S12)</f>
        <v>10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9</v>
      </c>
      <c r="W22" s="39">
        <f t="shared" si="14"/>
        <v>2</v>
      </c>
      <c r="X22" s="39">
        <f t="shared" si="14"/>
        <v>0</v>
      </c>
      <c r="Y22" s="39">
        <f t="shared" si="14"/>
        <v>5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200</v>
      </c>
      <c r="AD22" s="39">
        <f t="shared" si="14"/>
        <v>0</v>
      </c>
      <c r="AE22" s="40">
        <f t="shared" si="14"/>
        <v>27</v>
      </c>
      <c r="AF22" s="40">
        <f t="shared" si="14"/>
        <v>219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0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35</v>
      </c>
      <c r="N23" s="50">
        <v>0</v>
      </c>
      <c r="O23" s="17">
        <f t="shared" si="0"/>
        <v>6</v>
      </c>
      <c r="P23" s="15">
        <f t="shared" si="1"/>
        <v>41</v>
      </c>
      <c r="R23" s="38" t="s">
        <v>91</v>
      </c>
      <c r="S23" s="39">
        <f>MAX(S13:S18)</f>
        <v>13</v>
      </c>
      <c r="T23" s="39">
        <f t="shared" ref="T23:AF23" si="15">MAX(T13:T18)</f>
        <v>3</v>
      </c>
      <c r="U23" s="39">
        <f t="shared" si="15"/>
        <v>2</v>
      </c>
      <c r="V23" s="39">
        <f t="shared" si="15"/>
        <v>8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147</v>
      </c>
      <c r="AD23" s="39">
        <f t="shared" si="15"/>
        <v>0</v>
      </c>
      <c r="AE23" s="40">
        <f t="shared" si="15"/>
        <v>29</v>
      </c>
      <c r="AF23" s="40">
        <f t="shared" si="15"/>
        <v>175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39</v>
      </c>
      <c r="N24" s="50">
        <v>0</v>
      </c>
      <c r="O24" s="17">
        <f t="shared" si="0"/>
        <v>7</v>
      </c>
      <c r="P24" s="15">
        <f t="shared" si="1"/>
        <v>46</v>
      </c>
      <c r="R24" s="38" t="s">
        <v>92</v>
      </c>
      <c r="S24" s="39">
        <f>MAX(S19:S21)</f>
        <v>20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15</v>
      </c>
      <c r="W24" s="39">
        <f t="shared" si="16"/>
        <v>2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132</v>
      </c>
      <c r="AD24" s="39">
        <f t="shared" si="16"/>
        <v>0</v>
      </c>
      <c r="AE24" s="40">
        <f t="shared" si="16"/>
        <v>40</v>
      </c>
      <c r="AF24" s="40">
        <f t="shared" si="16"/>
        <v>172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30</v>
      </c>
      <c r="N25" s="50">
        <v>0</v>
      </c>
      <c r="O25" s="17">
        <f t="shared" si="0"/>
        <v>6</v>
      </c>
      <c r="P25" s="15">
        <f t="shared" si="1"/>
        <v>36</v>
      </c>
      <c r="R25" s="37" t="s">
        <v>85</v>
      </c>
      <c r="S25" s="35">
        <f t="shared" ref="S25:AF25" si="17">SUM(S10:S12)</f>
        <v>25</v>
      </c>
      <c r="T25" s="16">
        <f t="shared" si="17"/>
        <v>2</v>
      </c>
      <c r="U25" s="16">
        <f t="shared" si="17"/>
        <v>2</v>
      </c>
      <c r="V25" s="16">
        <f t="shared" si="17"/>
        <v>18</v>
      </c>
      <c r="W25" s="16">
        <f t="shared" si="17"/>
        <v>2</v>
      </c>
      <c r="X25" s="16">
        <f t="shared" si="17"/>
        <v>0</v>
      </c>
      <c r="Y25" s="16">
        <f t="shared" si="17"/>
        <v>11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530</v>
      </c>
      <c r="AD25" s="16">
        <f t="shared" si="17"/>
        <v>0</v>
      </c>
      <c r="AE25" s="32">
        <f t="shared" si="17"/>
        <v>62</v>
      </c>
      <c r="AF25" s="32">
        <f t="shared" si="17"/>
        <v>592</v>
      </c>
    </row>
    <row r="26" spans="2:32" ht="23.1" customHeight="1" x14ac:dyDescent="0.25">
      <c r="B26" s="23" t="s">
        <v>53</v>
      </c>
      <c r="C26" s="50">
        <v>2</v>
      </c>
      <c r="D26" s="50">
        <v>2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28</v>
      </c>
      <c r="N26" s="50">
        <v>0</v>
      </c>
      <c r="O26" s="17">
        <f t="shared" si="0"/>
        <v>6</v>
      </c>
      <c r="P26" s="15">
        <f t="shared" si="1"/>
        <v>34</v>
      </c>
      <c r="R26" s="28" t="s">
        <v>86</v>
      </c>
      <c r="S26" s="16">
        <f t="shared" ref="S26:AF26" si="18">SUM(S13:S18)</f>
        <v>65</v>
      </c>
      <c r="T26" s="16">
        <f t="shared" si="18"/>
        <v>10</v>
      </c>
      <c r="U26" s="16">
        <f t="shared" si="18"/>
        <v>4</v>
      </c>
      <c r="V26" s="16">
        <f t="shared" si="18"/>
        <v>34</v>
      </c>
      <c r="W26" s="16">
        <f t="shared" si="18"/>
        <v>0</v>
      </c>
      <c r="X26" s="16">
        <f t="shared" si="18"/>
        <v>0</v>
      </c>
      <c r="Y26" s="16">
        <f t="shared" si="18"/>
        <v>22</v>
      </c>
      <c r="Z26" s="16">
        <f t="shared" si="18"/>
        <v>7</v>
      </c>
      <c r="AA26" s="16">
        <f t="shared" si="18"/>
        <v>1</v>
      </c>
      <c r="AB26" s="16">
        <f t="shared" si="18"/>
        <v>0</v>
      </c>
      <c r="AC26" s="16">
        <f t="shared" si="18"/>
        <v>669</v>
      </c>
      <c r="AD26" s="16">
        <f t="shared" si="18"/>
        <v>0</v>
      </c>
      <c r="AE26" s="32">
        <f t="shared" si="18"/>
        <v>143</v>
      </c>
      <c r="AF26" s="32">
        <f t="shared" si="18"/>
        <v>812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7">
        <f t="shared" si="0"/>
        <v>6</v>
      </c>
      <c r="P27" s="15">
        <f t="shared" si="1"/>
        <v>36</v>
      </c>
      <c r="R27" s="29" t="s">
        <v>87</v>
      </c>
      <c r="S27" s="16">
        <f t="shared" ref="S27:AF27" si="19">SUM(S19:S21)</f>
        <v>45</v>
      </c>
      <c r="T27" s="16">
        <f t="shared" si="19"/>
        <v>3</v>
      </c>
      <c r="U27" s="16">
        <f t="shared" si="19"/>
        <v>4</v>
      </c>
      <c r="V27" s="16">
        <f t="shared" si="19"/>
        <v>27</v>
      </c>
      <c r="W27" s="16">
        <f t="shared" si="19"/>
        <v>6</v>
      </c>
      <c r="X27" s="16">
        <f t="shared" si="19"/>
        <v>0</v>
      </c>
      <c r="Y27" s="16">
        <f t="shared" si="19"/>
        <v>14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366</v>
      </c>
      <c r="AD27" s="16">
        <f t="shared" si="19"/>
        <v>0</v>
      </c>
      <c r="AE27" s="32">
        <f t="shared" si="19"/>
        <v>102</v>
      </c>
      <c r="AF27" s="32">
        <f t="shared" si="19"/>
        <v>468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27</v>
      </c>
      <c r="N28" s="50">
        <v>0</v>
      </c>
      <c r="O28" s="17">
        <f t="shared" si="0"/>
        <v>4</v>
      </c>
      <c r="P28" s="15">
        <f t="shared" si="1"/>
        <v>31</v>
      </c>
      <c r="R28" s="5" t="s">
        <v>17</v>
      </c>
      <c r="S28" s="16">
        <f t="shared" ref="S28:AF28" si="20">SUM(S10:S21)</f>
        <v>135</v>
      </c>
      <c r="T28" s="16">
        <f t="shared" si="20"/>
        <v>15</v>
      </c>
      <c r="U28" s="16">
        <f t="shared" si="20"/>
        <v>10</v>
      </c>
      <c r="V28" s="16">
        <f t="shared" si="20"/>
        <v>79</v>
      </c>
      <c r="W28" s="16">
        <f t="shared" si="20"/>
        <v>8</v>
      </c>
      <c r="X28" s="16">
        <f t="shared" si="20"/>
        <v>0</v>
      </c>
      <c r="Y28" s="16">
        <f t="shared" si="20"/>
        <v>47</v>
      </c>
      <c r="Z28" s="16">
        <f t="shared" si="20"/>
        <v>12</v>
      </c>
      <c r="AA28" s="16">
        <f t="shared" si="20"/>
        <v>1</v>
      </c>
      <c r="AB28" s="16">
        <f t="shared" si="20"/>
        <v>0</v>
      </c>
      <c r="AC28" s="16">
        <f t="shared" si="20"/>
        <v>1565</v>
      </c>
      <c r="AD28" s="16">
        <f t="shared" si="20"/>
        <v>0</v>
      </c>
      <c r="AE28" s="32">
        <f t="shared" si="20"/>
        <v>307</v>
      </c>
      <c r="AF28" s="32">
        <f t="shared" si="20"/>
        <v>1872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7">
        <f t="shared" si="0"/>
        <v>3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24</v>
      </c>
      <c r="N30" s="50">
        <v>0</v>
      </c>
      <c r="O30" s="17">
        <f t="shared" si="0"/>
        <v>4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0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25</v>
      </c>
      <c r="N31" s="50">
        <v>0</v>
      </c>
      <c r="O31" s="17">
        <f t="shared" si="0"/>
        <v>9</v>
      </c>
      <c r="P31" s="15">
        <f t="shared" si="1"/>
        <v>34</v>
      </c>
    </row>
    <row r="32" spans="2:32" ht="23.1" customHeight="1" x14ac:dyDescent="0.25">
      <c r="B32" s="24" t="s">
        <v>59</v>
      </c>
      <c r="C32" s="50">
        <v>5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35</v>
      </c>
      <c r="N32" s="50">
        <v>0</v>
      </c>
      <c r="O32" s="17">
        <f t="shared" si="0"/>
        <v>8</v>
      </c>
      <c r="P32" s="15">
        <f t="shared" si="1"/>
        <v>43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28</v>
      </c>
      <c r="N33" s="50">
        <v>0</v>
      </c>
      <c r="O33" s="17">
        <f t="shared" si="0"/>
        <v>8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22</v>
      </c>
      <c r="N34" s="50">
        <v>0</v>
      </c>
      <c r="O34" s="17">
        <f t="shared" si="0"/>
        <v>5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3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25</v>
      </c>
      <c r="N35" s="50">
        <v>0</v>
      </c>
      <c r="O35" s="17">
        <f t="shared" si="0"/>
        <v>7</v>
      </c>
      <c r="P35" s="15">
        <f t="shared" si="1"/>
        <v>32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7">
        <f t="shared" si="0"/>
        <v>6</v>
      </c>
      <c r="P36" s="15">
        <f t="shared" si="1"/>
        <v>26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7">
        <f t="shared" si="0"/>
        <v>7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19</v>
      </c>
      <c r="N38" s="50">
        <v>0</v>
      </c>
      <c r="O38" s="17">
        <f t="shared" si="0"/>
        <v>3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7">
        <f t="shared" si="0"/>
        <v>5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21</v>
      </c>
      <c r="N40" s="50">
        <v>0</v>
      </c>
      <c r="O40" s="17">
        <f t="shared" si="0"/>
        <v>4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29</v>
      </c>
      <c r="N41" s="50">
        <v>0</v>
      </c>
      <c r="O41" s="17">
        <f t="shared" si="0"/>
        <v>5</v>
      </c>
      <c r="P41" s="15">
        <f t="shared" si="1"/>
        <v>34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41</v>
      </c>
      <c r="N42" s="50">
        <v>0</v>
      </c>
      <c r="O42" s="17">
        <f t="shared" si="0"/>
        <v>3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34</v>
      </c>
      <c r="N43" s="50">
        <v>0</v>
      </c>
      <c r="O43" s="17">
        <f t="shared" si="0"/>
        <v>3</v>
      </c>
      <c r="P43" s="15">
        <f t="shared" si="1"/>
        <v>37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27</v>
      </c>
      <c r="N44" s="50">
        <v>0</v>
      </c>
      <c r="O44" s="17">
        <f t="shared" si="0"/>
        <v>7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3</v>
      </c>
      <c r="D45" s="50">
        <v>1</v>
      </c>
      <c r="E45" s="50">
        <v>1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7">
        <f t="shared" si="0"/>
        <v>12</v>
      </c>
      <c r="P45" s="15">
        <f t="shared" si="1"/>
        <v>37</v>
      </c>
    </row>
    <row r="46" spans="2:20" ht="23.1" customHeight="1" x14ac:dyDescent="0.25">
      <c r="B46" s="24" t="s">
        <v>73</v>
      </c>
      <c r="C46" s="50">
        <v>6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29</v>
      </c>
      <c r="N46" s="50">
        <v>0</v>
      </c>
      <c r="O46" s="17">
        <f t="shared" si="0"/>
        <v>7</v>
      </c>
      <c r="P46" s="15">
        <f t="shared" si="1"/>
        <v>36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0</v>
      </c>
      <c r="F47" s="50">
        <v>0</v>
      </c>
      <c r="G47" s="50">
        <v>1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27</v>
      </c>
      <c r="N47" s="50">
        <v>0</v>
      </c>
      <c r="O47" s="17">
        <f t="shared" si="0"/>
        <v>11</v>
      </c>
      <c r="P47" s="15">
        <f t="shared" si="1"/>
        <v>38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4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25</v>
      </c>
      <c r="N48" s="50">
        <v>0</v>
      </c>
      <c r="O48" s="17">
        <f t="shared" si="0"/>
        <v>6</v>
      </c>
      <c r="P48" s="15">
        <f t="shared" si="1"/>
        <v>31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3</v>
      </c>
      <c r="F49" s="50">
        <v>0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28</v>
      </c>
      <c r="N49" s="50">
        <v>0</v>
      </c>
      <c r="O49" s="17">
        <f t="shared" si="0"/>
        <v>12</v>
      </c>
      <c r="P49" s="15">
        <f t="shared" si="1"/>
        <v>40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3</v>
      </c>
      <c r="G50" s="50">
        <v>2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36</v>
      </c>
      <c r="N50" s="50">
        <v>0</v>
      </c>
      <c r="O50" s="17">
        <f t="shared" si="0"/>
        <v>9</v>
      </c>
      <c r="P50" s="15">
        <f t="shared" si="1"/>
        <v>45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0</v>
      </c>
      <c r="F51" s="50">
        <v>6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32</v>
      </c>
      <c r="N51" s="50">
        <v>0</v>
      </c>
      <c r="O51" s="17">
        <f t="shared" si="0"/>
        <v>12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0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29</v>
      </c>
      <c r="N52" s="50">
        <v>0</v>
      </c>
      <c r="O52" s="17">
        <f t="shared" si="0"/>
        <v>9</v>
      </c>
      <c r="P52" s="15">
        <f t="shared" si="1"/>
        <v>38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4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35</v>
      </c>
      <c r="N53" s="50">
        <v>0</v>
      </c>
      <c r="O53" s="17">
        <f t="shared" si="0"/>
        <v>10</v>
      </c>
      <c r="P53" s="15">
        <f t="shared" si="1"/>
        <v>45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3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30</v>
      </c>
      <c r="N54" s="50">
        <v>0</v>
      </c>
      <c r="O54" s="17">
        <f t="shared" si="0"/>
        <v>7</v>
      </c>
      <c r="P54" s="15">
        <f t="shared" si="1"/>
        <v>37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1</v>
      </c>
      <c r="F55" s="50">
        <v>2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34</v>
      </c>
      <c r="N55" s="50">
        <v>0</v>
      </c>
      <c r="O55" s="17">
        <f t="shared" si="0"/>
        <v>6</v>
      </c>
      <c r="P55" s="15">
        <f t="shared" si="1"/>
        <v>40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29</v>
      </c>
      <c r="N56" s="50">
        <v>0</v>
      </c>
      <c r="O56" s="17">
        <f t="shared" si="0"/>
        <v>5</v>
      </c>
      <c r="P56" s="15">
        <f t="shared" si="1"/>
        <v>34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1</v>
      </c>
      <c r="G57" s="50">
        <v>2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32</v>
      </c>
      <c r="N57" s="50">
        <v>0</v>
      </c>
      <c r="O57" s="17">
        <f t="shared" si="0"/>
        <v>8</v>
      </c>
      <c r="P57" s="15">
        <f t="shared" si="1"/>
        <v>40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135</v>
      </c>
      <c r="D58" s="16">
        <f t="shared" si="21"/>
        <v>15</v>
      </c>
      <c r="E58" s="16">
        <f t="shared" si="21"/>
        <v>10</v>
      </c>
      <c r="F58" s="16">
        <f t="shared" si="21"/>
        <v>79</v>
      </c>
      <c r="G58" s="16">
        <f t="shared" si="21"/>
        <v>8</v>
      </c>
      <c r="H58" s="16">
        <f t="shared" si="21"/>
        <v>0</v>
      </c>
      <c r="I58" s="16">
        <f t="shared" si="21"/>
        <v>47</v>
      </c>
      <c r="J58" s="16">
        <f t="shared" si="21"/>
        <v>12</v>
      </c>
      <c r="K58" s="16">
        <f t="shared" si="21"/>
        <v>1</v>
      </c>
      <c r="L58" s="16">
        <f t="shared" si="21"/>
        <v>0</v>
      </c>
      <c r="M58" s="16">
        <f t="shared" si="21"/>
        <v>1565</v>
      </c>
      <c r="N58" s="16">
        <f t="shared" si="21"/>
        <v>0</v>
      </c>
      <c r="O58" s="16">
        <f t="shared" si="21"/>
        <v>307</v>
      </c>
      <c r="P58" s="16">
        <f t="shared" si="21"/>
        <v>1872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7.2115384615384609E-2</v>
      </c>
      <c r="D59" s="43">
        <f t="shared" si="22"/>
        <v>8.0128205128205121E-3</v>
      </c>
      <c r="E59" s="43">
        <f t="shared" si="22"/>
        <v>5.341880341880342E-3</v>
      </c>
      <c r="F59" s="43">
        <f t="shared" si="22"/>
        <v>4.2200854700854704E-2</v>
      </c>
      <c r="G59" s="43">
        <f t="shared" si="22"/>
        <v>4.2735042735042739E-3</v>
      </c>
      <c r="H59" s="43">
        <f t="shared" si="22"/>
        <v>0</v>
      </c>
      <c r="I59" s="43">
        <f t="shared" si="22"/>
        <v>2.5106837606837608E-2</v>
      </c>
      <c r="J59" s="43">
        <f t="shared" si="22"/>
        <v>6.41025641025641E-3</v>
      </c>
      <c r="K59" s="43">
        <f t="shared" si="22"/>
        <v>5.3418803418803424E-4</v>
      </c>
      <c r="L59" s="43">
        <f t="shared" si="22"/>
        <v>0</v>
      </c>
      <c r="M59" s="43">
        <f t="shared" si="22"/>
        <v>0.83600427350427353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0.43973941368078173</v>
      </c>
      <c r="D60" s="44">
        <f t="shared" ref="D60:N60" si="23">D58/$O$58</f>
        <v>4.8859934853420196E-2</v>
      </c>
      <c r="E60" s="44">
        <f t="shared" si="23"/>
        <v>3.2573289902280131E-2</v>
      </c>
      <c r="F60" s="44">
        <f t="shared" si="23"/>
        <v>0.25732899022801303</v>
      </c>
      <c r="G60" s="44">
        <f t="shared" si="23"/>
        <v>2.6058631921824105E-2</v>
      </c>
      <c r="H60" s="44">
        <f t="shared" si="23"/>
        <v>0</v>
      </c>
      <c r="I60" s="44">
        <f t="shared" si="23"/>
        <v>0.15309446254071662</v>
      </c>
      <c r="J60" s="44">
        <f t="shared" si="23"/>
        <v>3.9087947882736153E-2</v>
      </c>
      <c r="K60" s="44">
        <f t="shared" si="23"/>
        <v>3.2573289902280132E-3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'24.09 Kitemu-Buddo'!D5</f>
        <v>24.09.19</v>
      </c>
      <c r="E5" s="3"/>
      <c r="F5" s="41" t="s">
        <v>1</v>
      </c>
      <c r="G5" s="69" t="str">
        <f>'23.09.19-Kitemu-Buddo'!G5:H5</f>
        <v>St Charles Lwanga PS</v>
      </c>
      <c r="H5" s="70"/>
      <c r="I5" s="14"/>
      <c r="J5" s="2" t="s">
        <v>5</v>
      </c>
      <c r="K5" s="69" t="str">
        <f>'23.09.19-Kitemu-Buddo'!K5:L5</f>
        <v>Salimah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'23.09.19 -Buddo-Kitemu'!D6:E6</f>
        <v>BUDDO</v>
      </c>
      <c r="E6" s="70"/>
      <c r="F6" s="2" t="s">
        <v>2</v>
      </c>
      <c r="G6" s="69" t="str">
        <f>'23.09.19 -Buddo-Kitemu'!G6:H6</f>
        <v>KITEMU</v>
      </c>
      <c r="H6" s="70"/>
      <c r="J6" s="2" t="s">
        <v>21</v>
      </c>
      <c r="K6" s="69" t="str">
        <f>'23.09.19-Kitemu-Buddo'!K6:L6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0</v>
      </c>
      <c r="E10" s="50">
        <v>0</v>
      </c>
      <c r="F10" s="50">
        <v>6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50</v>
      </c>
      <c r="N10" s="50">
        <v>0</v>
      </c>
      <c r="O10" s="17">
        <f t="shared" ref="O10:O57" si="0">SUM(C10:L10,N10)</f>
        <v>15</v>
      </c>
      <c r="P10" s="15">
        <f t="shared" ref="P10:P57" si="1">SUM(C10:N10)</f>
        <v>65</v>
      </c>
      <c r="R10" s="1" t="s">
        <v>6</v>
      </c>
      <c r="S10" s="17">
        <f t="shared" ref="S10:AF10" si="2">SUM(C10:C13)</f>
        <v>24</v>
      </c>
      <c r="T10" s="17">
        <f t="shared" si="2"/>
        <v>5</v>
      </c>
      <c r="U10" s="17">
        <f t="shared" si="2"/>
        <v>1</v>
      </c>
      <c r="V10" s="17">
        <f t="shared" si="2"/>
        <v>13</v>
      </c>
      <c r="W10" s="17">
        <f t="shared" si="2"/>
        <v>2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278</v>
      </c>
      <c r="AD10" s="17">
        <f t="shared" si="2"/>
        <v>0</v>
      </c>
      <c r="AE10" s="31">
        <f t="shared" si="2"/>
        <v>55</v>
      </c>
      <c r="AF10" s="31">
        <f t="shared" si="2"/>
        <v>333</v>
      </c>
    </row>
    <row r="11" spans="2:32" s="6" customFormat="1" ht="23.1" customHeight="1" x14ac:dyDescent="0.25">
      <c r="B11" s="23" t="s">
        <v>38</v>
      </c>
      <c r="C11" s="50">
        <v>8</v>
      </c>
      <c r="D11" s="50">
        <v>1</v>
      </c>
      <c r="E11" s="50">
        <v>0</v>
      </c>
      <c r="F11" s="50">
        <v>2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71</v>
      </c>
      <c r="N11" s="50">
        <v>0</v>
      </c>
      <c r="O11" s="17">
        <f t="shared" si="0"/>
        <v>14</v>
      </c>
      <c r="P11" s="15">
        <f t="shared" si="1"/>
        <v>85</v>
      </c>
      <c r="R11" s="1" t="s">
        <v>7</v>
      </c>
      <c r="S11" s="17">
        <f t="shared" ref="S11:AF11" si="3">SUM(C14:C17)</f>
        <v>32</v>
      </c>
      <c r="T11" s="17">
        <f t="shared" si="3"/>
        <v>2</v>
      </c>
      <c r="U11" s="17">
        <f t="shared" si="3"/>
        <v>4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261</v>
      </c>
      <c r="AD11" s="17">
        <f t="shared" si="3"/>
        <v>0</v>
      </c>
      <c r="AE11" s="31">
        <f t="shared" si="3"/>
        <v>50</v>
      </c>
      <c r="AF11" s="31">
        <f t="shared" si="3"/>
        <v>311</v>
      </c>
    </row>
    <row r="12" spans="2:32" ht="23.1" customHeight="1" x14ac:dyDescent="0.25">
      <c r="B12" s="23" t="s">
        <v>39</v>
      </c>
      <c r="C12" s="50">
        <v>4</v>
      </c>
      <c r="D12" s="50">
        <v>2</v>
      </c>
      <c r="E12" s="50">
        <v>1</v>
      </c>
      <c r="F12" s="50">
        <v>2</v>
      </c>
      <c r="G12" s="50">
        <v>1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68</v>
      </c>
      <c r="N12" s="50">
        <v>0</v>
      </c>
      <c r="O12" s="17">
        <f t="shared" si="0"/>
        <v>14</v>
      </c>
      <c r="P12" s="15">
        <f t="shared" si="1"/>
        <v>82</v>
      </c>
      <c r="R12" s="1" t="s">
        <v>8</v>
      </c>
      <c r="S12" s="17">
        <f t="shared" ref="S12:AF12" si="4">SUM(C18:C21)</f>
        <v>20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212</v>
      </c>
      <c r="AD12" s="17">
        <f t="shared" si="4"/>
        <v>0</v>
      </c>
      <c r="AE12" s="31">
        <f t="shared" si="4"/>
        <v>33</v>
      </c>
      <c r="AF12" s="31">
        <f t="shared" si="4"/>
        <v>245</v>
      </c>
    </row>
    <row r="13" spans="2:32" ht="23.1" customHeight="1" x14ac:dyDescent="0.25">
      <c r="B13" s="23" t="s">
        <v>40</v>
      </c>
      <c r="C13" s="50">
        <v>4</v>
      </c>
      <c r="D13" s="50">
        <v>2</v>
      </c>
      <c r="E13" s="50">
        <v>0</v>
      </c>
      <c r="F13" s="50">
        <v>3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89</v>
      </c>
      <c r="N13" s="50">
        <v>0</v>
      </c>
      <c r="O13" s="17">
        <f t="shared" si="0"/>
        <v>12</v>
      </c>
      <c r="P13" s="15">
        <f t="shared" si="1"/>
        <v>101</v>
      </c>
      <c r="R13" s="1" t="s">
        <v>9</v>
      </c>
      <c r="S13" s="17">
        <f t="shared" ref="S13:AF13" si="5">SUM(C22:C25)</f>
        <v>15</v>
      </c>
      <c r="T13" s="17">
        <f t="shared" si="5"/>
        <v>3</v>
      </c>
      <c r="U13" s="17">
        <f t="shared" si="5"/>
        <v>0</v>
      </c>
      <c r="V13" s="17">
        <f t="shared" si="5"/>
        <v>3</v>
      </c>
      <c r="W13" s="17">
        <f t="shared" si="5"/>
        <v>3</v>
      </c>
      <c r="X13" s="17">
        <f t="shared" si="5"/>
        <v>0</v>
      </c>
      <c r="Y13" s="17">
        <f t="shared" si="5"/>
        <v>15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171</v>
      </c>
      <c r="AD13" s="17">
        <f t="shared" si="5"/>
        <v>0</v>
      </c>
      <c r="AE13" s="31">
        <f t="shared" si="5"/>
        <v>39</v>
      </c>
      <c r="AF13" s="31">
        <f t="shared" si="5"/>
        <v>210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65</v>
      </c>
      <c r="N14" s="50">
        <v>0</v>
      </c>
      <c r="O14" s="17">
        <f t="shared" si="0"/>
        <v>10</v>
      </c>
      <c r="P14" s="15">
        <f t="shared" si="1"/>
        <v>75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165</v>
      </c>
      <c r="AD14" s="17">
        <f t="shared" si="6"/>
        <v>0</v>
      </c>
      <c r="AE14" s="31">
        <f t="shared" si="6"/>
        <v>25</v>
      </c>
      <c r="AF14" s="31">
        <f t="shared" si="6"/>
        <v>190</v>
      </c>
    </row>
    <row r="15" spans="2:32" ht="23.1" customHeight="1" x14ac:dyDescent="0.25">
      <c r="B15" s="23" t="s">
        <v>42</v>
      </c>
      <c r="C15" s="50">
        <v>9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60</v>
      </c>
      <c r="N15" s="50">
        <v>0</v>
      </c>
      <c r="O15" s="17">
        <f t="shared" si="0"/>
        <v>14</v>
      </c>
      <c r="P15" s="15">
        <f t="shared" si="1"/>
        <v>74</v>
      </c>
      <c r="R15" s="1" t="s">
        <v>11</v>
      </c>
      <c r="S15" s="17">
        <f t="shared" ref="S15:AF15" si="7">SUM(C30:C33)</f>
        <v>13</v>
      </c>
      <c r="T15" s="17">
        <f t="shared" si="7"/>
        <v>1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124</v>
      </c>
      <c r="AD15" s="17">
        <f t="shared" si="7"/>
        <v>0</v>
      </c>
      <c r="AE15" s="31">
        <f t="shared" si="7"/>
        <v>25</v>
      </c>
      <c r="AF15" s="31">
        <f t="shared" si="7"/>
        <v>149</v>
      </c>
    </row>
    <row r="16" spans="2:32" ht="23.1" customHeight="1" x14ac:dyDescent="0.25">
      <c r="B16" s="23" t="s">
        <v>43</v>
      </c>
      <c r="C16" s="50">
        <v>15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82</v>
      </c>
      <c r="N16" s="50">
        <v>0</v>
      </c>
      <c r="O16" s="17">
        <f t="shared" si="0"/>
        <v>19</v>
      </c>
      <c r="P16" s="15">
        <f t="shared" si="1"/>
        <v>101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105</v>
      </c>
      <c r="AD16" s="17">
        <f t="shared" si="8"/>
        <v>0</v>
      </c>
      <c r="AE16" s="31">
        <f t="shared" si="8"/>
        <v>29</v>
      </c>
      <c r="AF16" s="31">
        <f t="shared" si="8"/>
        <v>134</v>
      </c>
    </row>
    <row r="17" spans="2:32" ht="23.1" customHeight="1" x14ac:dyDescent="0.25">
      <c r="B17" s="23" t="s">
        <v>44</v>
      </c>
      <c r="C17" s="50">
        <v>3</v>
      </c>
      <c r="D17" s="50">
        <v>2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54</v>
      </c>
      <c r="N17" s="50">
        <v>0</v>
      </c>
      <c r="O17" s="17">
        <f t="shared" si="0"/>
        <v>7</v>
      </c>
      <c r="P17" s="15">
        <f t="shared" si="1"/>
        <v>61</v>
      </c>
      <c r="R17" s="1" t="s">
        <v>13</v>
      </c>
      <c r="S17" s="17">
        <f t="shared" ref="S17:AF17" si="9">SUM(C38:C41)</f>
        <v>21</v>
      </c>
      <c r="T17" s="17">
        <f t="shared" si="9"/>
        <v>1</v>
      </c>
      <c r="U17" s="17">
        <f t="shared" si="9"/>
        <v>0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108</v>
      </c>
      <c r="AD17" s="17">
        <f t="shared" si="9"/>
        <v>0</v>
      </c>
      <c r="AE17" s="31">
        <f t="shared" si="9"/>
        <v>28</v>
      </c>
      <c r="AF17" s="31">
        <f t="shared" si="9"/>
        <v>136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65</v>
      </c>
      <c r="N18" s="50">
        <v>0</v>
      </c>
      <c r="O18" s="17">
        <f t="shared" si="0"/>
        <v>7</v>
      </c>
      <c r="P18" s="15">
        <f t="shared" si="1"/>
        <v>72</v>
      </c>
      <c r="R18" s="1" t="s">
        <v>14</v>
      </c>
      <c r="S18" s="17">
        <f t="shared" ref="S18:AF18" si="10">SUM(C42:C45)</f>
        <v>8</v>
      </c>
      <c r="T18" s="17">
        <f t="shared" si="10"/>
        <v>1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145</v>
      </c>
      <c r="AD18" s="17">
        <f t="shared" si="10"/>
        <v>0</v>
      </c>
      <c r="AE18" s="31">
        <f t="shared" si="10"/>
        <v>22</v>
      </c>
      <c r="AF18" s="31">
        <f t="shared" si="10"/>
        <v>167</v>
      </c>
    </row>
    <row r="19" spans="2:32" ht="23.1" customHeight="1" x14ac:dyDescent="0.25">
      <c r="B19" s="23" t="s">
        <v>46</v>
      </c>
      <c r="C19" s="50">
        <v>10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60</v>
      </c>
      <c r="N19" s="50">
        <v>0</v>
      </c>
      <c r="O19" s="17">
        <f t="shared" si="0"/>
        <v>12</v>
      </c>
      <c r="P19" s="15">
        <f t="shared" si="1"/>
        <v>72</v>
      </c>
      <c r="R19" s="1" t="s">
        <v>15</v>
      </c>
      <c r="S19" s="17">
        <f t="shared" ref="S19:AF19" si="11">SUM(C46:C49)</f>
        <v>16</v>
      </c>
      <c r="T19" s="17">
        <f t="shared" si="11"/>
        <v>1</v>
      </c>
      <c r="U19" s="17">
        <f t="shared" si="11"/>
        <v>2</v>
      </c>
      <c r="V19" s="17">
        <f t="shared" si="11"/>
        <v>7</v>
      </c>
      <c r="W19" s="17">
        <f t="shared" si="11"/>
        <v>2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148</v>
      </c>
      <c r="AD19" s="17">
        <f t="shared" si="11"/>
        <v>0</v>
      </c>
      <c r="AE19" s="31">
        <f t="shared" si="11"/>
        <v>35</v>
      </c>
      <c r="AF19" s="31">
        <f t="shared" si="11"/>
        <v>183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48</v>
      </c>
      <c r="N20" s="50">
        <v>0</v>
      </c>
      <c r="O20" s="17">
        <f t="shared" si="0"/>
        <v>8</v>
      </c>
      <c r="P20" s="15">
        <f t="shared" si="1"/>
        <v>56</v>
      </c>
      <c r="R20" s="1" t="s">
        <v>16</v>
      </c>
      <c r="S20" s="17">
        <f t="shared" ref="S20:AF20" si="12">SUM(C50:C53)</f>
        <v>24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158</v>
      </c>
      <c r="AD20" s="17">
        <f t="shared" si="12"/>
        <v>0</v>
      </c>
      <c r="AE20" s="31">
        <f t="shared" si="12"/>
        <v>32</v>
      </c>
      <c r="AF20" s="31">
        <f t="shared" si="12"/>
        <v>190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39</v>
      </c>
      <c r="N21" s="50">
        <v>0</v>
      </c>
      <c r="O21" s="17">
        <f t="shared" si="0"/>
        <v>6</v>
      </c>
      <c r="P21" s="15">
        <f t="shared" si="1"/>
        <v>45</v>
      </c>
      <c r="R21" s="36" t="s">
        <v>20</v>
      </c>
      <c r="S21" s="34">
        <f t="shared" ref="S21:AF21" si="13">SUM(C54:C57)</f>
        <v>12</v>
      </c>
      <c r="T21" s="17">
        <f t="shared" si="13"/>
        <v>2</v>
      </c>
      <c r="U21" s="17">
        <f t="shared" si="13"/>
        <v>1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203</v>
      </c>
      <c r="AD21" s="17">
        <f t="shared" si="13"/>
        <v>0</v>
      </c>
      <c r="AE21" s="31">
        <f t="shared" si="13"/>
        <v>30</v>
      </c>
      <c r="AF21" s="31">
        <f t="shared" si="13"/>
        <v>233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0</v>
      </c>
      <c r="F22" s="50">
        <v>0</v>
      </c>
      <c r="G22" s="50">
        <v>1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40</v>
      </c>
      <c r="N22" s="50">
        <v>0</v>
      </c>
      <c r="O22" s="17">
        <f t="shared" si="0"/>
        <v>14</v>
      </c>
      <c r="P22" s="15">
        <f t="shared" si="1"/>
        <v>54</v>
      </c>
      <c r="R22" s="38" t="s">
        <v>90</v>
      </c>
      <c r="S22" s="39">
        <f>MAX(S10:S12)</f>
        <v>32</v>
      </c>
      <c r="T22" s="39">
        <f t="shared" ref="T22:AF22" si="14">MAX(T10:T12)</f>
        <v>5</v>
      </c>
      <c r="U22" s="39">
        <f t="shared" si="14"/>
        <v>4</v>
      </c>
      <c r="V22" s="39">
        <f t="shared" si="14"/>
        <v>13</v>
      </c>
      <c r="W22" s="39">
        <f t="shared" si="14"/>
        <v>2</v>
      </c>
      <c r="X22" s="39">
        <f t="shared" si="14"/>
        <v>0</v>
      </c>
      <c r="Y22" s="39">
        <f t="shared" si="14"/>
        <v>10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278</v>
      </c>
      <c r="AD22" s="39">
        <f t="shared" si="14"/>
        <v>0</v>
      </c>
      <c r="AE22" s="40">
        <f t="shared" si="14"/>
        <v>55</v>
      </c>
      <c r="AF22" s="40">
        <f t="shared" si="14"/>
        <v>333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0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43</v>
      </c>
      <c r="N23" s="50">
        <v>0</v>
      </c>
      <c r="O23" s="17">
        <f t="shared" si="0"/>
        <v>9</v>
      </c>
      <c r="P23" s="15">
        <f t="shared" si="1"/>
        <v>52</v>
      </c>
      <c r="R23" s="38" t="s">
        <v>91</v>
      </c>
      <c r="S23" s="39">
        <f>MAX(S13:S18)</f>
        <v>21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4</v>
      </c>
      <c r="W23" s="39">
        <f t="shared" si="15"/>
        <v>3</v>
      </c>
      <c r="X23" s="39">
        <f t="shared" si="15"/>
        <v>0</v>
      </c>
      <c r="Y23" s="39">
        <f t="shared" si="15"/>
        <v>15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171</v>
      </c>
      <c r="AD23" s="39">
        <f t="shared" si="15"/>
        <v>0</v>
      </c>
      <c r="AE23" s="40">
        <f t="shared" si="15"/>
        <v>39</v>
      </c>
      <c r="AF23" s="40">
        <f t="shared" si="15"/>
        <v>210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1</v>
      </c>
      <c r="G24" s="50">
        <v>1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50</v>
      </c>
      <c r="N24" s="50">
        <v>0</v>
      </c>
      <c r="O24" s="17">
        <f t="shared" si="0"/>
        <v>7</v>
      </c>
      <c r="P24" s="15">
        <f t="shared" si="1"/>
        <v>57</v>
      </c>
      <c r="R24" s="38" t="s">
        <v>92</v>
      </c>
      <c r="S24" s="39">
        <f>MAX(S19:S21)</f>
        <v>24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8</v>
      </c>
      <c r="W24" s="39">
        <f t="shared" si="16"/>
        <v>2</v>
      </c>
      <c r="X24" s="39">
        <f t="shared" si="16"/>
        <v>0</v>
      </c>
      <c r="Y24" s="39">
        <f t="shared" si="16"/>
        <v>6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203</v>
      </c>
      <c r="AD24" s="39">
        <f t="shared" si="16"/>
        <v>0</v>
      </c>
      <c r="AE24" s="40">
        <f t="shared" si="16"/>
        <v>35</v>
      </c>
      <c r="AF24" s="40">
        <f t="shared" si="16"/>
        <v>233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0</v>
      </c>
      <c r="F25" s="50">
        <v>1</v>
      </c>
      <c r="G25" s="50">
        <v>1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38</v>
      </c>
      <c r="N25" s="50">
        <v>0</v>
      </c>
      <c r="O25" s="17">
        <f t="shared" si="0"/>
        <v>9</v>
      </c>
      <c r="P25" s="15">
        <f t="shared" si="1"/>
        <v>47</v>
      </c>
      <c r="R25" s="37" t="s">
        <v>85</v>
      </c>
      <c r="S25" s="35">
        <f t="shared" ref="S25:AF25" si="17">SUM(S10:S12)</f>
        <v>76</v>
      </c>
      <c r="T25" s="16">
        <f t="shared" si="17"/>
        <v>7</v>
      </c>
      <c r="U25" s="16">
        <f t="shared" si="17"/>
        <v>6</v>
      </c>
      <c r="V25" s="16">
        <f t="shared" si="17"/>
        <v>16</v>
      </c>
      <c r="W25" s="16">
        <f t="shared" si="17"/>
        <v>2</v>
      </c>
      <c r="X25" s="16">
        <f t="shared" si="17"/>
        <v>0</v>
      </c>
      <c r="Y25" s="16">
        <f t="shared" si="17"/>
        <v>29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751</v>
      </c>
      <c r="AD25" s="16">
        <f t="shared" si="17"/>
        <v>0</v>
      </c>
      <c r="AE25" s="32">
        <f t="shared" si="17"/>
        <v>138</v>
      </c>
      <c r="AF25" s="32">
        <f t="shared" si="17"/>
        <v>889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36</v>
      </c>
      <c r="N26" s="50">
        <v>0</v>
      </c>
      <c r="O26" s="17">
        <f t="shared" si="0"/>
        <v>6</v>
      </c>
      <c r="P26" s="15">
        <f t="shared" si="1"/>
        <v>42</v>
      </c>
      <c r="R26" s="28" t="s">
        <v>86</v>
      </c>
      <c r="S26" s="16">
        <f t="shared" ref="S26:AF26" si="18">SUM(S13:S18)</f>
        <v>83</v>
      </c>
      <c r="T26" s="16">
        <f t="shared" si="18"/>
        <v>6</v>
      </c>
      <c r="U26" s="16">
        <f t="shared" si="18"/>
        <v>6</v>
      </c>
      <c r="V26" s="16">
        <f t="shared" si="18"/>
        <v>10</v>
      </c>
      <c r="W26" s="16">
        <f t="shared" si="18"/>
        <v>3</v>
      </c>
      <c r="X26" s="16">
        <f t="shared" si="18"/>
        <v>0</v>
      </c>
      <c r="Y26" s="16">
        <f t="shared" si="18"/>
        <v>53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818</v>
      </c>
      <c r="AD26" s="16">
        <f t="shared" si="18"/>
        <v>0</v>
      </c>
      <c r="AE26" s="32">
        <f t="shared" si="18"/>
        <v>168</v>
      </c>
      <c r="AF26" s="32">
        <f t="shared" si="18"/>
        <v>986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43</v>
      </c>
      <c r="N27" s="50">
        <v>0</v>
      </c>
      <c r="O27" s="17">
        <f t="shared" si="0"/>
        <v>6</v>
      </c>
      <c r="P27" s="15">
        <f t="shared" si="1"/>
        <v>49</v>
      </c>
      <c r="R27" s="29" t="s">
        <v>87</v>
      </c>
      <c r="S27" s="16">
        <f t="shared" ref="S27:AF27" si="19">SUM(S19:S21)</f>
        <v>52</v>
      </c>
      <c r="T27" s="16">
        <f t="shared" si="19"/>
        <v>3</v>
      </c>
      <c r="U27" s="16">
        <f t="shared" si="19"/>
        <v>6</v>
      </c>
      <c r="V27" s="16">
        <f t="shared" si="19"/>
        <v>16</v>
      </c>
      <c r="W27" s="16">
        <f t="shared" si="19"/>
        <v>4</v>
      </c>
      <c r="X27" s="16">
        <f t="shared" si="19"/>
        <v>0</v>
      </c>
      <c r="Y27" s="16">
        <f t="shared" si="19"/>
        <v>14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509</v>
      </c>
      <c r="AD27" s="16">
        <f t="shared" si="19"/>
        <v>0</v>
      </c>
      <c r="AE27" s="32">
        <f t="shared" si="19"/>
        <v>97</v>
      </c>
      <c r="AF27" s="32">
        <f t="shared" si="19"/>
        <v>606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45</v>
      </c>
      <c r="N28" s="50">
        <v>0</v>
      </c>
      <c r="O28" s="17">
        <f t="shared" si="0"/>
        <v>4</v>
      </c>
      <c r="P28" s="15">
        <f t="shared" si="1"/>
        <v>49</v>
      </c>
      <c r="R28" s="5" t="s">
        <v>17</v>
      </c>
      <c r="S28" s="16">
        <f t="shared" ref="S28:AF28" si="20">SUM(S10:S21)</f>
        <v>211</v>
      </c>
      <c r="T28" s="16">
        <f t="shared" si="20"/>
        <v>16</v>
      </c>
      <c r="U28" s="16">
        <f t="shared" si="20"/>
        <v>18</v>
      </c>
      <c r="V28" s="16">
        <f t="shared" si="20"/>
        <v>42</v>
      </c>
      <c r="W28" s="16">
        <f t="shared" si="20"/>
        <v>9</v>
      </c>
      <c r="X28" s="16">
        <f t="shared" si="20"/>
        <v>0</v>
      </c>
      <c r="Y28" s="16">
        <f t="shared" si="20"/>
        <v>96</v>
      </c>
      <c r="Z28" s="16">
        <f t="shared" si="20"/>
        <v>10</v>
      </c>
      <c r="AA28" s="16">
        <f t="shared" si="20"/>
        <v>1</v>
      </c>
      <c r="AB28" s="16">
        <f t="shared" si="20"/>
        <v>0</v>
      </c>
      <c r="AC28" s="16">
        <f t="shared" si="20"/>
        <v>2078</v>
      </c>
      <c r="AD28" s="16">
        <f t="shared" si="20"/>
        <v>0</v>
      </c>
      <c r="AE28" s="32">
        <f t="shared" si="20"/>
        <v>403</v>
      </c>
      <c r="AF28" s="32">
        <f t="shared" si="20"/>
        <v>2481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5</v>
      </c>
      <c r="J29" s="50">
        <v>1</v>
      </c>
      <c r="K29" s="50">
        <v>0</v>
      </c>
      <c r="L29" s="50">
        <v>0</v>
      </c>
      <c r="M29" s="50">
        <v>41</v>
      </c>
      <c r="N29" s="50">
        <v>0</v>
      </c>
      <c r="O29" s="17">
        <f t="shared" si="0"/>
        <v>9</v>
      </c>
      <c r="P29" s="15">
        <f t="shared" si="1"/>
        <v>50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30</v>
      </c>
      <c r="N30" s="50">
        <v>0</v>
      </c>
      <c r="O30" s="17">
        <f t="shared" si="0"/>
        <v>3</v>
      </c>
      <c r="P30" s="15">
        <f t="shared" si="1"/>
        <v>33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26</v>
      </c>
      <c r="N31" s="50">
        <v>0</v>
      </c>
      <c r="O31" s="17">
        <f t="shared" si="0"/>
        <v>7</v>
      </c>
      <c r="P31" s="15">
        <f t="shared" si="1"/>
        <v>33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40</v>
      </c>
      <c r="N32" s="50">
        <v>0</v>
      </c>
      <c r="O32" s="17">
        <f t="shared" si="0"/>
        <v>8</v>
      </c>
      <c r="P32" s="15">
        <f t="shared" si="1"/>
        <v>48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28</v>
      </c>
      <c r="N33" s="50">
        <v>0</v>
      </c>
      <c r="O33" s="17">
        <f t="shared" si="0"/>
        <v>7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25</v>
      </c>
      <c r="N34" s="50">
        <v>0</v>
      </c>
      <c r="O34" s="17">
        <f t="shared" si="0"/>
        <v>8</v>
      </c>
      <c r="P34" s="15">
        <f t="shared" si="1"/>
        <v>33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23</v>
      </c>
      <c r="N35" s="50">
        <v>0</v>
      </c>
      <c r="O35" s="17">
        <f t="shared" si="0"/>
        <v>8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23</v>
      </c>
      <c r="N36" s="50">
        <v>0</v>
      </c>
      <c r="O36" s="17">
        <f t="shared" si="0"/>
        <v>7</v>
      </c>
      <c r="P36" s="15">
        <f t="shared" si="1"/>
        <v>30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34</v>
      </c>
      <c r="N37" s="50">
        <v>0</v>
      </c>
      <c r="O37" s="17">
        <f t="shared" si="0"/>
        <v>6</v>
      </c>
      <c r="P37" s="15">
        <f t="shared" si="1"/>
        <v>40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26</v>
      </c>
      <c r="N38" s="50">
        <v>0</v>
      </c>
      <c r="O38" s="17">
        <f t="shared" si="0"/>
        <v>5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7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7">
        <f t="shared" si="0"/>
        <v>10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29</v>
      </c>
      <c r="N40" s="50">
        <v>0</v>
      </c>
      <c r="O40" s="17">
        <f t="shared" si="0"/>
        <v>6</v>
      </c>
      <c r="P40" s="15">
        <f t="shared" si="1"/>
        <v>35</v>
      </c>
    </row>
    <row r="41" spans="2:20" ht="23.1" customHeight="1" x14ac:dyDescent="0.25">
      <c r="B41" s="23" t="s">
        <v>68</v>
      </c>
      <c r="C41" s="50">
        <v>6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38</v>
      </c>
      <c r="N41" s="50">
        <v>0</v>
      </c>
      <c r="O41" s="17">
        <f t="shared" si="0"/>
        <v>7</v>
      </c>
      <c r="P41" s="15">
        <f t="shared" si="1"/>
        <v>45</v>
      </c>
    </row>
    <row r="42" spans="2:20" ht="23.1" customHeight="1" x14ac:dyDescent="0.25">
      <c r="B42" s="24" t="s">
        <v>69</v>
      </c>
      <c r="C42" s="50">
        <v>6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40</v>
      </c>
      <c r="N42" s="50">
        <v>0</v>
      </c>
      <c r="O42" s="17">
        <f t="shared" si="0"/>
        <v>9</v>
      </c>
      <c r="P42" s="15">
        <f t="shared" si="1"/>
        <v>49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33</v>
      </c>
      <c r="N43" s="50">
        <v>0</v>
      </c>
      <c r="O43" s="17">
        <f t="shared" si="0"/>
        <v>4</v>
      </c>
      <c r="P43" s="15">
        <f t="shared" si="1"/>
        <v>37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2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41</v>
      </c>
      <c r="N44" s="50">
        <v>0</v>
      </c>
      <c r="O44" s="17">
        <f t="shared" si="0"/>
        <v>5</v>
      </c>
      <c r="P44" s="15">
        <f t="shared" si="1"/>
        <v>46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31</v>
      </c>
      <c r="N45" s="50">
        <v>0</v>
      </c>
      <c r="O45" s="17">
        <f t="shared" si="0"/>
        <v>4</v>
      </c>
      <c r="P45" s="15">
        <f t="shared" si="1"/>
        <v>35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45</v>
      </c>
      <c r="N46" s="50">
        <v>0</v>
      </c>
      <c r="O46" s="17">
        <f t="shared" si="0"/>
        <v>10</v>
      </c>
      <c r="P46" s="15">
        <f t="shared" si="1"/>
        <v>55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37</v>
      </c>
      <c r="N47" s="50">
        <v>0</v>
      </c>
      <c r="O47" s="17">
        <f t="shared" si="0"/>
        <v>9</v>
      </c>
      <c r="P47" s="15">
        <f t="shared" si="1"/>
        <v>46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1</v>
      </c>
      <c r="F48" s="50">
        <v>1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27</v>
      </c>
      <c r="N48" s="50">
        <v>0</v>
      </c>
      <c r="O48" s="17">
        <f t="shared" si="0"/>
        <v>7</v>
      </c>
      <c r="P48" s="15">
        <f t="shared" si="1"/>
        <v>34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3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39</v>
      </c>
      <c r="N49" s="50">
        <v>0</v>
      </c>
      <c r="O49" s="17">
        <f t="shared" si="0"/>
        <v>9</v>
      </c>
      <c r="P49" s="15">
        <f t="shared" si="1"/>
        <v>48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7">
        <f t="shared" si="0"/>
        <v>3</v>
      </c>
      <c r="P50" s="15">
        <f t="shared" si="1"/>
        <v>43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38</v>
      </c>
      <c r="N51" s="50">
        <v>0</v>
      </c>
      <c r="O51" s="17">
        <f t="shared" si="0"/>
        <v>10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34</v>
      </c>
      <c r="N52" s="50">
        <v>0</v>
      </c>
      <c r="O52" s="17">
        <f t="shared" si="0"/>
        <v>11</v>
      </c>
      <c r="P52" s="15">
        <f t="shared" si="1"/>
        <v>45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46</v>
      </c>
      <c r="N53" s="50">
        <v>0</v>
      </c>
      <c r="O53" s="17">
        <f t="shared" si="0"/>
        <v>8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1</v>
      </c>
      <c r="E54" s="50">
        <v>0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43</v>
      </c>
      <c r="N54" s="50">
        <v>0</v>
      </c>
      <c r="O54" s="17">
        <f t="shared" si="0"/>
        <v>8</v>
      </c>
      <c r="P54" s="15">
        <f t="shared" si="1"/>
        <v>51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52</v>
      </c>
      <c r="N55" s="50">
        <v>0</v>
      </c>
      <c r="O55" s="17">
        <f t="shared" si="0"/>
        <v>3</v>
      </c>
      <c r="P55" s="15">
        <f t="shared" si="1"/>
        <v>55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50</v>
      </c>
      <c r="N56" s="50">
        <v>0</v>
      </c>
      <c r="O56" s="17">
        <f t="shared" si="0"/>
        <v>6</v>
      </c>
      <c r="P56" s="15">
        <f t="shared" si="1"/>
        <v>56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1</v>
      </c>
      <c r="E57" s="50">
        <v>0</v>
      </c>
      <c r="F57" s="50">
        <v>4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58</v>
      </c>
      <c r="N57" s="50">
        <v>0</v>
      </c>
      <c r="O57" s="17">
        <f t="shared" si="0"/>
        <v>13</v>
      </c>
      <c r="P57" s="15">
        <f t="shared" si="1"/>
        <v>71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211</v>
      </c>
      <c r="D58" s="16">
        <f t="shared" si="21"/>
        <v>16</v>
      </c>
      <c r="E58" s="16">
        <f t="shared" si="21"/>
        <v>18</v>
      </c>
      <c r="F58" s="16">
        <f t="shared" si="21"/>
        <v>42</v>
      </c>
      <c r="G58" s="16">
        <f t="shared" si="21"/>
        <v>9</v>
      </c>
      <c r="H58" s="16">
        <f t="shared" si="21"/>
        <v>0</v>
      </c>
      <c r="I58" s="16">
        <f t="shared" si="21"/>
        <v>96</v>
      </c>
      <c r="J58" s="16">
        <f t="shared" si="21"/>
        <v>10</v>
      </c>
      <c r="K58" s="16">
        <f t="shared" si="21"/>
        <v>1</v>
      </c>
      <c r="L58" s="16">
        <f t="shared" si="21"/>
        <v>0</v>
      </c>
      <c r="M58" s="16">
        <f t="shared" si="21"/>
        <v>2078</v>
      </c>
      <c r="N58" s="16">
        <f t="shared" si="21"/>
        <v>0</v>
      </c>
      <c r="O58" s="16">
        <f t="shared" si="21"/>
        <v>403</v>
      </c>
      <c r="P58" s="16">
        <f t="shared" si="21"/>
        <v>2481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8.5046352277307544E-2</v>
      </c>
      <c r="D59" s="43">
        <f t="shared" si="22"/>
        <v>6.4490124949617093E-3</v>
      </c>
      <c r="E59" s="43">
        <f t="shared" si="22"/>
        <v>7.2551390568319227E-3</v>
      </c>
      <c r="F59" s="43">
        <f t="shared" si="22"/>
        <v>1.6928657799274487E-2</v>
      </c>
      <c r="G59" s="43">
        <f t="shared" si="22"/>
        <v>3.6275695284159614E-3</v>
      </c>
      <c r="H59" s="43">
        <f t="shared" si="22"/>
        <v>0</v>
      </c>
      <c r="I59" s="43">
        <f t="shared" si="22"/>
        <v>3.8694074969770252E-2</v>
      </c>
      <c r="J59" s="43">
        <f t="shared" si="22"/>
        <v>4.0306328093510681E-3</v>
      </c>
      <c r="K59" s="43">
        <f t="shared" si="22"/>
        <v>4.0306328093510683E-4</v>
      </c>
      <c r="L59" s="43">
        <f t="shared" si="22"/>
        <v>0</v>
      </c>
      <c r="M59" s="43">
        <f t="shared" si="22"/>
        <v>0.83756549778315192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0.52357320099255578</v>
      </c>
      <c r="D60" s="44">
        <f t="shared" ref="D60:N60" si="23">D58/$O$58</f>
        <v>3.9702233250620347E-2</v>
      </c>
      <c r="E60" s="44">
        <f t="shared" si="23"/>
        <v>4.4665012406947889E-2</v>
      </c>
      <c r="F60" s="44">
        <f t="shared" si="23"/>
        <v>0.10421836228287841</v>
      </c>
      <c r="G60" s="44">
        <f t="shared" si="23"/>
        <v>2.2332506203473945E-2</v>
      </c>
      <c r="H60" s="44">
        <f t="shared" si="23"/>
        <v>0</v>
      </c>
      <c r="I60" s="44">
        <f t="shared" si="23"/>
        <v>0.23821339950372208</v>
      </c>
      <c r="J60" s="44">
        <f t="shared" si="23"/>
        <v>2.4813895781637719E-2</v>
      </c>
      <c r="K60" s="44">
        <f t="shared" si="23"/>
        <v>2.4813895781637717E-3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R51" sqref="R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'23.09.19-Kitemu-Buddo'!C3:G3</f>
        <v>MCC-C2-Kitemu 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9" t="str">
        <f>'23.09.19-Kitemu-Buddo'!G5:H5</f>
        <v>St Charles Lwanga PS</v>
      </c>
      <c r="H5" s="70"/>
      <c r="I5" s="14"/>
      <c r="J5" s="2" t="s">
        <v>5</v>
      </c>
      <c r="K5" s="69" t="str">
        <f>'23.09.19-Kitemu-Buddo'!K5:L5</f>
        <v>Salimah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'23.09.19-Kitemu-Buddo'!D6:E6</f>
        <v>KITEMU</v>
      </c>
      <c r="E6" s="70"/>
      <c r="F6" s="2" t="s">
        <v>2</v>
      </c>
      <c r="G6" s="69" t="str">
        <f>'23.09.19-Kitemu-Buddo'!G6:H6</f>
        <v>BUDDO</v>
      </c>
      <c r="H6" s="70"/>
      <c r="J6" s="2" t="s">
        <v>21</v>
      </c>
      <c r="K6" s="69" t="str">
        <f>'23.09.19-Kitemu-Buddo'!K6:L6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3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31</v>
      </c>
      <c r="R10" s="1" t="s">
        <v>6</v>
      </c>
      <c r="S10" s="17">
        <f t="shared" ref="S10:AF10" si="2">SUM(C10:C13)</f>
        <v>8</v>
      </c>
      <c r="T10" s="17">
        <f t="shared" si="2"/>
        <v>1</v>
      </c>
      <c r="U10" s="17">
        <f t="shared" si="2"/>
        <v>2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177</v>
      </c>
      <c r="AD10" s="17">
        <f t="shared" si="2"/>
        <v>0</v>
      </c>
      <c r="AE10" s="31">
        <f t="shared" si="2"/>
        <v>29</v>
      </c>
      <c r="AF10" s="31">
        <f t="shared" si="2"/>
        <v>206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4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7</v>
      </c>
      <c r="P11" s="15">
        <f t="shared" si="1"/>
        <v>43</v>
      </c>
      <c r="R11" s="1" t="s">
        <v>7</v>
      </c>
      <c r="S11" s="17">
        <f t="shared" ref="S11:AF11" si="3">SUM(C14:C17)</f>
        <v>11</v>
      </c>
      <c r="T11" s="17">
        <f t="shared" si="3"/>
        <v>3</v>
      </c>
      <c r="U11" s="17">
        <f t="shared" si="3"/>
        <v>2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173</v>
      </c>
      <c r="AD11" s="17">
        <f t="shared" si="3"/>
        <v>0</v>
      </c>
      <c r="AE11" s="31">
        <f t="shared" si="3"/>
        <v>25</v>
      </c>
      <c r="AF11" s="31">
        <f t="shared" si="3"/>
        <v>198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3</v>
      </c>
      <c r="G12" s="50">
        <v>0</v>
      </c>
      <c r="H12" s="50">
        <v>0</v>
      </c>
      <c r="I12" s="50">
        <v>3</v>
      </c>
      <c r="J12" s="50">
        <v>1</v>
      </c>
      <c r="K12" s="50">
        <v>0</v>
      </c>
      <c r="L12" s="50">
        <v>0</v>
      </c>
      <c r="M12" s="50">
        <v>53</v>
      </c>
      <c r="N12" s="50">
        <v>0</v>
      </c>
      <c r="O12" s="15">
        <f t="shared" si="0"/>
        <v>9</v>
      </c>
      <c r="P12" s="15">
        <f t="shared" si="1"/>
        <v>62</v>
      </c>
      <c r="R12" s="1" t="s">
        <v>8</v>
      </c>
      <c r="S12" s="17">
        <f t="shared" ref="S12:AF12" si="4">SUM(C18:C21)</f>
        <v>8</v>
      </c>
      <c r="T12" s="17">
        <f t="shared" si="4"/>
        <v>2</v>
      </c>
      <c r="U12" s="17">
        <f t="shared" si="4"/>
        <v>1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158</v>
      </c>
      <c r="AD12" s="17">
        <f t="shared" si="4"/>
        <v>0</v>
      </c>
      <c r="AE12" s="31">
        <f t="shared" si="4"/>
        <v>24</v>
      </c>
      <c r="AF12" s="31">
        <f t="shared" si="4"/>
        <v>182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63</v>
      </c>
      <c r="N13" s="50">
        <v>0</v>
      </c>
      <c r="O13" s="15">
        <f t="shared" si="0"/>
        <v>7</v>
      </c>
      <c r="P13" s="15">
        <f t="shared" si="1"/>
        <v>70</v>
      </c>
      <c r="R13" s="1" t="s">
        <v>9</v>
      </c>
      <c r="S13" s="17">
        <f t="shared" ref="S13:AF13" si="5">SUM(C22:C25)</f>
        <v>5</v>
      </c>
      <c r="T13" s="17">
        <f t="shared" si="5"/>
        <v>2</v>
      </c>
      <c r="U13" s="17">
        <f t="shared" si="5"/>
        <v>0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142</v>
      </c>
      <c r="AD13" s="17">
        <f t="shared" si="5"/>
        <v>0</v>
      </c>
      <c r="AE13" s="31">
        <f t="shared" si="5"/>
        <v>21</v>
      </c>
      <c r="AF13" s="31">
        <f t="shared" si="5"/>
        <v>163</v>
      </c>
    </row>
    <row r="14" spans="2:32" ht="23.1" customHeight="1" x14ac:dyDescent="0.25">
      <c r="B14" s="23" t="s">
        <v>41</v>
      </c>
      <c r="C14" s="50">
        <v>5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49</v>
      </c>
      <c r="N14" s="50">
        <v>0</v>
      </c>
      <c r="O14" s="15">
        <f t="shared" si="0"/>
        <v>6</v>
      </c>
      <c r="P14" s="15">
        <f t="shared" si="1"/>
        <v>55</v>
      </c>
      <c r="R14" s="1" t="s">
        <v>10</v>
      </c>
      <c r="S14" s="17">
        <f t="shared" ref="S14:AF14" si="6">SUM(C26:C29)</f>
        <v>6</v>
      </c>
      <c r="T14" s="17">
        <f t="shared" si="6"/>
        <v>1</v>
      </c>
      <c r="U14" s="17">
        <f t="shared" si="6"/>
        <v>1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132</v>
      </c>
      <c r="AD14" s="17">
        <f t="shared" si="6"/>
        <v>0</v>
      </c>
      <c r="AE14" s="31">
        <f t="shared" si="6"/>
        <v>23</v>
      </c>
      <c r="AF14" s="31">
        <f t="shared" si="6"/>
        <v>155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40</v>
      </c>
      <c r="N15" s="50">
        <v>0</v>
      </c>
      <c r="O15" s="15">
        <f t="shared" si="0"/>
        <v>6</v>
      </c>
      <c r="P15" s="15">
        <f t="shared" si="1"/>
        <v>46</v>
      </c>
      <c r="R15" s="1" t="s">
        <v>11</v>
      </c>
      <c r="S15" s="17">
        <f t="shared" ref="S15:AF15" si="7">SUM(C30:C33)</f>
        <v>10</v>
      </c>
      <c r="T15" s="17">
        <f t="shared" si="7"/>
        <v>1</v>
      </c>
      <c r="U15" s="17">
        <f t="shared" si="7"/>
        <v>0</v>
      </c>
      <c r="V15" s="17">
        <f t="shared" si="7"/>
        <v>3</v>
      </c>
      <c r="W15" s="17">
        <f t="shared" si="7"/>
        <v>2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127</v>
      </c>
      <c r="AD15" s="17">
        <f t="shared" si="7"/>
        <v>0</v>
      </c>
      <c r="AE15" s="31">
        <f t="shared" si="7"/>
        <v>22</v>
      </c>
      <c r="AF15" s="31">
        <f t="shared" si="7"/>
        <v>149</v>
      </c>
    </row>
    <row r="16" spans="2:32" ht="23.1" customHeight="1" x14ac:dyDescent="0.25">
      <c r="B16" s="23" t="s">
        <v>43</v>
      </c>
      <c r="C16" s="50">
        <v>2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39</v>
      </c>
      <c r="N16" s="50">
        <v>0</v>
      </c>
      <c r="O16" s="15">
        <f t="shared" si="0"/>
        <v>6</v>
      </c>
      <c r="P16" s="15">
        <f t="shared" si="1"/>
        <v>45</v>
      </c>
      <c r="R16" s="1" t="s">
        <v>12</v>
      </c>
      <c r="S16" s="17">
        <f t="shared" ref="S16:AF16" si="8">SUM(C34:C37)</f>
        <v>7</v>
      </c>
      <c r="T16" s="17">
        <f t="shared" si="8"/>
        <v>3</v>
      </c>
      <c r="U16" s="17">
        <f t="shared" si="8"/>
        <v>3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124</v>
      </c>
      <c r="AD16" s="17">
        <f t="shared" si="8"/>
        <v>0</v>
      </c>
      <c r="AE16" s="31">
        <f t="shared" si="8"/>
        <v>24</v>
      </c>
      <c r="AF16" s="31">
        <f t="shared" si="8"/>
        <v>148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7</v>
      </c>
      <c r="P17" s="15">
        <f t="shared" si="1"/>
        <v>52</v>
      </c>
      <c r="R17" s="1" t="s">
        <v>13</v>
      </c>
      <c r="S17" s="17">
        <f t="shared" ref="S17:AF17" si="9">SUM(C38:C41)</f>
        <v>15</v>
      </c>
      <c r="T17" s="17">
        <f t="shared" si="9"/>
        <v>0</v>
      </c>
      <c r="U17" s="17">
        <f t="shared" si="9"/>
        <v>2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127</v>
      </c>
      <c r="AD17" s="17">
        <f t="shared" si="9"/>
        <v>0</v>
      </c>
      <c r="AE17" s="31">
        <f t="shared" si="9"/>
        <v>28</v>
      </c>
      <c r="AF17" s="31">
        <f t="shared" si="9"/>
        <v>155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39</v>
      </c>
      <c r="N18" s="50">
        <v>0</v>
      </c>
      <c r="O18" s="15">
        <f t="shared" si="0"/>
        <v>2</v>
      </c>
      <c r="P18" s="15">
        <f t="shared" si="1"/>
        <v>41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1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137</v>
      </c>
      <c r="AD18" s="17">
        <f t="shared" si="10"/>
        <v>0</v>
      </c>
      <c r="AE18" s="31">
        <f t="shared" si="10"/>
        <v>24</v>
      </c>
      <c r="AF18" s="31">
        <f t="shared" si="10"/>
        <v>161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1</v>
      </c>
      <c r="F19" s="50">
        <v>1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0</v>
      </c>
      <c r="M19" s="50">
        <v>36</v>
      </c>
      <c r="N19" s="50">
        <v>0</v>
      </c>
      <c r="O19" s="15">
        <f t="shared" si="0"/>
        <v>9</v>
      </c>
      <c r="P19" s="15">
        <f t="shared" si="1"/>
        <v>45</v>
      </c>
      <c r="R19" s="1" t="s">
        <v>15</v>
      </c>
      <c r="S19" s="17">
        <f t="shared" ref="S19:AF19" si="11">SUM(C46:C49)</f>
        <v>11</v>
      </c>
      <c r="T19" s="17">
        <f t="shared" si="11"/>
        <v>2</v>
      </c>
      <c r="U19" s="17">
        <f t="shared" si="11"/>
        <v>0</v>
      </c>
      <c r="V19" s="17">
        <f t="shared" si="11"/>
        <v>6</v>
      </c>
      <c r="W19" s="17">
        <f t="shared" si="11"/>
        <v>3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127</v>
      </c>
      <c r="AD19" s="17">
        <f t="shared" si="11"/>
        <v>0</v>
      </c>
      <c r="AE19" s="31">
        <f t="shared" si="11"/>
        <v>29</v>
      </c>
      <c r="AF19" s="31">
        <f t="shared" si="11"/>
        <v>156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0</v>
      </c>
      <c r="M20" s="50">
        <v>44</v>
      </c>
      <c r="N20" s="50">
        <v>0</v>
      </c>
      <c r="O20" s="15">
        <f t="shared" si="0"/>
        <v>8</v>
      </c>
      <c r="P20" s="15">
        <f t="shared" si="1"/>
        <v>52</v>
      </c>
      <c r="R20" s="1" t="s">
        <v>16</v>
      </c>
      <c r="S20" s="17">
        <f t="shared" ref="S20:AF20" si="12">SUM(C50:C53)</f>
        <v>21</v>
      </c>
      <c r="T20" s="17">
        <f t="shared" si="12"/>
        <v>2</v>
      </c>
      <c r="U20" s="17">
        <f t="shared" si="12"/>
        <v>0</v>
      </c>
      <c r="V20" s="17">
        <f t="shared" si="12"/>
        <v>12</v>
      </c>
      <c r="W20" s="17">
        <f t="shared" si="12"/>
        <v>2</v>
      </c>
      <c r="X20" s="17">
        <f t="shared" si="12"/>
        <v>0</v>
      </c>
      <c r="Y20" s="17">
        <f t="shared" si="12"/>
        <v>9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156</v>
      </c>
      <c r="AD20" s="17">
        <f t="shared" si="12"/>
        <v>0</v>
      </c>
      <c r="AE20" s="31">
        <f t="shared" si="12"/>
        <v>48</v>
      </c>
      <c r="AF20" s="31">
        <f t="shared" si="12"/>
        <v>204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39</v>
      </c>
      <c r="N21" s="50">
        <v>0</v>
      </c>
      <c r="O21" s="15">
        <f t="shared" si="0"/>
        <v>5</v>
      </c>
      <c r="P21" s="15">
        <f t="shared" si="1"/>
        <v>44</v>
      </c>
      <c r="R21" s="36" t="s">
        <v>20</v>
      </c>
      <c r="S21" s="34">
        <f t="shared" ref="S21:AF21" si="13">SUM(C54:C57)</f>
        <v>21</v>
      </c>
      <c r="T21" s="17">
        <f t="shared" si="13"/>
        <v>3</v>
      </c>
      <c r="U21" s="17">
        <f t="shared" si="13"/>
        <v>4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150</v>
      </c>
      <c r="AD21" s="17">
        <f t="shared" si="13"/>
        <v>0</v>
      </c>
      <c r="AE21" s="31">
        <f t="shared" si="13"/>
        <v>45</v>
      </c>
      <c r="AF21" s="31">
        <f t="shared" si="13"/>
        <v>195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0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38</v>
      </c>
      <c r="N22" s="50">
        <v>0</v>
      </c>
      <c r="O22" s="15">
        <f t="shared" si="0"/>
        <v>6</v>
      </c>
      <c r="P22" s="15">
        <f t="shared" si="1"/>
        <v>44</v>
      </c>
      <c r="R22" s="38" t="s">
        <v>90</v>
      </c>
      <c r="S22" s="39">
        <f>MAX(S10:S12)</f>
        <v>11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10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5</v>
      </c>
      <c r="AA22" s="39">
        <f t="shared" si="14"/>
        <v>0</v>
      </c>
      <c r="AB22" s="39">
        <f t="shared" si="14"/>
        <v>0</v>
      </c>
      <c r="AC22" s="39">
        <f t="shared" si="14"/>
        <v>177</v>
      </c>
      <c r="AD22" s="39">
        <f t="shared" si="14"/>
        <v>0</v>
      </c>
      <c r="AE22" s="40">
        <f t="shared" si="14"/>
        <v>29</v>
      </c>
      <c r="AF22" s="40">
        <f t="shared" si="14"/>
        <v>206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5">
        <f t="shared" si="0"/>
        <v>6</v>
      </c>
      <c r="P23" s="15">
        <f t="shared" si="1"/>
        <v>38</v>
      </c>
      <c r="R23" s="38" t="s">
        <v>91</v>
      </c>
      <c r="S23" s="39">
        <f>MAX(S13:S18)</f>
        <v>15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6</v>
      </c>
      <c r="W23" s="39">
        <f t="shared" si="15"/>
        <v>2</v>
      </c>
      <c r="X23" s="39">
        <f t="shared" si="15"/>
        <v>0</v>
      </c>
      <c r="Y23" s="39">
        <f t="shared" si="15"/>
        <v>10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142</v>
      </c>
      <c r="AD23" s="39">
        <f t="shared" si="15"/>
        <v>0</v>
      </c>
      <c r="AE23" s="40">
        <f t="shared" si="15"/>
        <v>28</v>
      </c>
      <c r="AF23" s="40">
        <f t="shared" si="15"/>
        <v>163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38</v>
      </c>
      <c r="N24" s="50">
        <v>0</v>
      </c>
      <c r="O24" s="15">
        <f t="shared" si="0"/>
        <v>4</v>
      </c>
      <c r="P24" s="15">
        <f t="shared" si="1"/>
        <v>42</v>
      </c>
      <c r="R24" s="38" t="s">
        <v>92</v>
      </c>
      <c r="S24" s="39">
        <f>MAX(S19:S21)</f>
        <v>21</v>
      </c>
      <c r="T24" s="39">
        <f t="shared" ref="T24:AF24" si="16">MAX(T19:T21)</f>
        <v>3</v>
      </c>
      <c r="U24" s="39">
        <f t="shared" si="16"/>
        <v>4</v>
      </c>
      <c r="V24" s="39">
        <f t="shared" si="16"/>
        <v>12</v>
      </c>
      <c r="W24" s="39">
        <f t="shared" si="16"/>
        <v>3</v>
      </c>
      <c r="X24" s="39">
        <f t="shared" si="16"/>
        <v>0</v>
      </c>
      <c r="Y24" s="39">
        <f t="shared" si="16"/>
        <v>9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156</v>
      </c>
      <c r="AD24" s="39">
        <f t="shared" si="16"/>
        <v>0</v>
      </c>
      <c r="AE24" s="40">
        <f t="shared" si="16"/>
        <v>48</v>
      </c>
      <c r="AF24" s="40">
        <f t="shared" si="16"/>
        <v>204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1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34</v>
      </c>
      <c r="N25" s="50">
        <v>0</v>
      </c>
      <c r="O25" s="15">
        <f t="shared" si="0"/>
        <v>5</v>
      </c>
      <c r="P25" s="15">
        <f t="shared" si="1"/>
        <v>39</v>
      </c>
      <c r="R25" s="37" t="s">
        <v>85</v>
      </c>
      <c r="S25" s="35">
        <f t="shared" ref="S25:AF25" si="17">SUM(S10:S12)</f>
        <v>27</v>
      </c>
      <c r="T25" s="16">
        <f t="shared" si="17"/>
        <v>6</v>
      </c>
      <c r="U25" s="16">
        <f t="shared" si="17"/>
        <v>5</v>
      </c>
      <c r="V25" s="16">
        <f t="shared" si="17"/>
        <v>16</v>
      </c>
      <c r="W25" s="16">
        <f t="shared" si="17"/>
        <v>0</v>
      </c>
      <c r="X25" s="16">
        <f t="shared" si="17"/>
        <v>1</v>
      </c>
      <c r="Y25" s="16">
        <f t="shared" si="17"/>
        <v>12</v>
      </c>
      <c r="Z25" s="16">
        <f t="shared" si="17"/>
        <v>11</v>
      </c>
      <c r="AA25" s="16">
        <f t="shared" si="17"/>
        <v>0</v>
      </c>
      <c r="AB25" s="16">
        <f t="shared" si="17"/>
        <v>0</v>
      </c>
      <c r="AC25" s="16">
        <f t="shared" si="17"/>
        <v>508</v>
      </c>
      <c r="AD25" s="16">
        <f t="shared" si="17"/>
        <v>0</v>
      </c>
      <c r="AE25" s="32">
        <f t="shared" si="17"/>
        <v>78</v>
      </c>
      <c r="AF25" s="32">
        <f t="shared" si="17"/>
        <v>586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29</v>
      </c>
      <c r="N26" s="50">
        <v>0</v>
      </c>
      <c r="O26" s="15">
        <f t="shared" si="0"/>
        <v>7</v>
      </c>
      <c r="P26" s="15">
        <f t="shared" si="1"/>
        <v>36</v>
      </c>
      <c r="R26" s="28" t="s">
        <v>86</v>
      </c>
      <c r="S26" s="16">
        <f t="shared" ref="S26:AF26" si="18">SUM(S13:S18)</f>
        <v>53</v>
      </c>
      <c r="T26" s="16">
        <f t="shared" si="18"/>
        <v>7</v>
      </c>
      <c r="U26" s="16">
        <f t="shared" si="18"/>
        <v>7</v>
      </c>
      <c r="V26" s="16">
        <f t="shared" si="18"/>
        <v>29</v>
      </c>
      <c r="W26" s="16">
        <f t="shared" si="18"/>
        <v>3</v>
      </c>
      <c r="X26" s="16">
        <f t="shared" si="18"/>
        <v>0</v>
      </c>
      <c r="Y26" s="16">
        <f t="shared" si="18"/>
        <v>36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789</v>
      </c>
      <c r="AD26" s="16">
        <f t="shared" si="18"/>
        <v>0</v>
      </c>
      <c r="AE26" s="32">
        <f t="shared" si="18"/>
        <v>142</v>
      </c>
      <c r="AF26" s="32">
        <f t="shared" si="18"/>
        <v>931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6</v>
      </c>
      <c r="P27" s="15">
        <f t="shared" si="1"/>
        <v>41</v>
      </c>
      <c r="R27" s="29" t="s">
        <v>87</v>
      </c>
      <c r="S27" s="16">
        <f t="shared" ref="S27:AF27" si="19">SUM(S19:S21)</f>
        <v>53</v>
      </c>
      <c r="T27" s="16">
        <f t="shared" si="19"/>
        <v>7</v>
      </c>
      <c r="U27" s="16">
        <f t="shared" si="19"/>
        <v>4</v>
      </c>
      <c r="V27" s="16">
        <f t="shared" si="19"/>
        <v>29</v>
      </c>
      <c r="W27" s="16">
        <f t="shared" si="19"/>
        <v>5</v>
      </c>
      <c r="X27" s="16">
        <f t="shared" si="19"/>
        <v>0</v>
      </c>
      <c r="Y27" s="16">
        <f t="shared" si="19"/>
        <v>20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433</v>
      </c>
      <c r="AD27" s="16">
        <f t="shared" si="19"/>
        <v>0</v>
      </c>
      <c r="AE27" s="32">
        <f t="shared" si="19"/>
        <v>122</v>
      </c>
      <c r="AF27" s="32">
        <f t="shared" si="19"/>
        <v>555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7</v>
      </c>
      <c r="P28" s="15">
        <f t="shared" si="1"/>
        <v>39</v>
      </c>
      <c r="R28" s="5" t="s">
        <v>17</v>
      </c>
      <c r="S28" s="16">
        <f t="shared" ref="S28:AF28" si="20">SUM(S10:S21)</f>
        <v>133</v>
      </c>
      <c r="T28" s="16">
        <f t="shared" si="20"/>
        <v>20</v>
      </c>
      <c r="U28" s="16">
        <f t="shared" si="20"/>
        <v>16</v>
      </c>
      <c r="V28" s="16">
        <f t="shared" si="20"/>
        <v>74</v>
      </c>
      <c r="W28" s="16">
        <f t="shared" si="20"/>
        <v>8</v>
      </c>
      <c r="X28" s="16">
        <f t="shared" si="20"/>
        <v>1</v>
      </c>
      <c r="Y28" s="16">
        <f t="shared" si="20"/>
        <v>68</v>
      </c>
      <c r="Z28" s="16">
        <f t="shared" si="20"/>
        <v>21</v>
      </c>
      <c r="AA28" s="16">
        <f t="shared" si="20"/>
        <v>1</v>
      </c>
      <c r="AB28" s="16">
        <f t="shared" si="20"/>
        <v>0</v>
      </c>
      <c r="AC28" s="16">
        <f t="shared" si="20"/>
        <v>1730</v>
      </c>
      <c r="AD28" s="16">
        <f t="shared" si="20"/>
        <v>0</v>
      </c>
      <c r="AE28" s="32">
        <f t="shared" si="20"/>
        <v>342</v>
      </c>
      <c r="AF28" s="32">
        <f t="shared" si="20"/>
        <v>2072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36</v>
      </c>
      <c r="N29" s="50">
        <v>0</v>
      </c>
      <c r="O29" s="15">
        <f t="shared" si="0"/>
        <v>3</v>
      </c>
      <c r="P29" s="15">
        <f t="shared" si="1"/>
        <v>39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27</v>
      </c>
      <c r="N30" s="50">
        <v>0</v>
      </c>
      <c r="O30" s="15">
        <f t="shared" si="0"/>
        <v>4</v>
      </c>
      <c r="P30" s="15">
        <f t="shared" si="1"/>
        <v>31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30</v>
      </c>
      <c r="N31" s="50">
        <v>0</v>
      </c>
      <c r="O31" s="15">
        <f t="shared" si="0"/>
        <v>6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38</v>
      </c>
      <c r="N32" s="50">
        <v>0</v>
      </c>
      <c r="O32" s="15">
        <f t="shared" si="0"/>
        <v>5</v>
      </c>
      <c r="P32" s="15">
        <f t="shared" si="1"/>
        <v>43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2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32</v>
      </c>
      <c r="N33" s="50">
        <v>0</v>
      </c>
      <c r="O33" s="15">
        <f t="shared" si="0"/>
        <v>7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26</v>
      </c>
      <c r="N34" s="50">
        <v>0</v>
      </c>
      <c r="O34" s="15">
        <f t="shared" si="0"/>
        <v>5</v>
      </c>
      <c r="P34" s="15">
        <f t="shared" si="1"/>
        <v>31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4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0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33</v>
      </c>
      <c r="N36" s="50">
        <v>0</v>
      </c>
      <c r="O36" s="15">
        <f t="shared" si="0"/>
        <v>8</v>
      </c>
      <c r="P36" s="15">
        <f t="shared" si="1"/>
        <v>41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7</v>
      </c>
      <c r="P37" s="15">
        <f t="shared" si="1"/>
        <v>42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2</v>
      </c>
      <c r="P38" s="15">
        <f t="shared" si="1"/>
        <v>32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0</v>
      </c>
      <c r="F39" s="50">
        <v>4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32</v>
      </c>
      <c r="N39" s="50">
        <v>0</v>
      </c>
      <c r="O39" s="15">
        <f t="shared" si="0"/>
        <v>10</v>
      </c>
      <c r="P39" s="15">
        <f t="shared" si="1"/>
        <v>42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8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29</v>
      </c>
      <c r="N41" s="50">
        <v>0</v>
      </c>
      <c r="O41" s="15">
        <f t="shared" si="0"/>
        <v>8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2</v>
      </c>
      <c r="P42" s="15">
        <f t="shared" si="1"/>
        <v>36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2</v>
      </c>
      <c r="G43" s="50">
        <v>0</v>
      </c>
      <c r="H43" s="50">
        <v>0</v>
      </c>
      <c r="I43" s="50">
        <v>3</v>
      </c>
      <c r="J43" s="50">
        <v>1</v>
      </c>
      <c r="K43" s="50">
        <v>0</v>
      </c>
      <c r="L43" s="50">
        <v>0</v>
      </c>
      <c r="M43" s="50">
        <v>39</v>
      </c>
      <c r="N43" s="50">
        <v>0</v>
      </c>
      <c r="O43" s="15">
        <f t="shared" si="0"/>
        <v>8</v>
      </c>
      <c r="P43" s="15">
        <f t="shared" si="1"/>
        <v>47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33</v>
      </c>
      <c r="N44" s="50">
        <v>0</v>
      </c>
      <c r="O44" s="15">
        <f t="shared" si="0"/>
        <v>6</v>
      </c>
      <c r="P44" s="15">
        <f t="shared" si="1"/>
        <v>39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0</v>
      </c>
      <c r="F45" s="50">
        <v>2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31</v>
      </c>
      <c r="N45" s="50">
        <v>0</v>
      </c>
      <c r="O45" s="15">
        <f t="shared" si="0"/>
        <v>8</v>
      </c>
      <c r="P45" s="15">
        <f t="shared" si="1"/>
        <v>39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28</v>
      </c>
      <c r="N46" s="50">
        <v>0</v>
      </c>
      <c r="O46" s="15">
        <f t="shared" si="0"/>
        <v>9</v>
      </c>
      <c r="P46" s="15">
        <f t="shared" si="1"/>
        <v>37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0</v>
      </c>
      <c r="G47" s="50">
        <v>2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32</v>
      </c>
      <c r="N47" s="50">
        <v>0</v>
      </c>
      <c r="O47" s="15">
        <f t="shared" si="0"/>
        <v>6</v>
      </c>
      <c r="P47" s="15">
        <f t="shared" si="1"/>
        <v>38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0</v>
      </c>
      <c r="F48" s="50">
        <v>4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9</v>
      </c>
      <c r="P48" s="15">
        <f t="shared" si="1"/>
        <v>39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37</v>
      </c>
      <c r="N49" s="50">
        <v>0</v>
      </c>
      <c r="O49" s="15">
        <f t="shared" si="0"/>
        <v>5</v>
      </c>
      <c r="P49" s="15">
        <f t="shared" si="1"/>
        <v>42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4</v>
      </c>
      <c r="G50" s="50">
        <v>2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15</v>
      </c>
      <c r="P50" s="15">
        <f t="shared" si="1"/>
        <v>50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2</v>
      </c>
      <c r="E51" s="50">
        <v>0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39</v>
      </c>
      <c r="N51" s="50">
        <v>0</v>
      </c>
      <c r="O51" s="15">
        <f t="shared" si="0"/>
        <v>13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11</v>
      </c>
      <c r="P52" s="15">
        <f t="shared" si="1"/>
        <v>56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37</v>
      </c>
      <c r="N53" s="50">
        <v>0</v>
      </c>
      <c r="O53" s="15">
        <f t="shared" si="0"/>
        <v>9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32</v>
      </c>
      <c r="N54" s="50">
        <v>0</v>
      </c>
      <c r="O54" s="15">
        <f t="shared" si="0"/>
        <v>8</v>
      </c>
      <c r="P54" s="15">
        <f t="shared" si="1"/>
        <v>40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38</v>
      </c>
      <c r="N55" s="50">
        <v>0</v>
      </c>
      <c r="O55" s="15">
        <f t="shared" si="0"/>
        <v>8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2</v>
      </c>
      <c r="E56" s="50">
        <v>1</v>
      </c>
      <c r="F56" s="50">
        <v>1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37</v>
      </c>
      <c r="N56" s="50">
        <v>0</v>
      </c>
      <c r="O56" s="15">
        <f t="shared" si="0"/>
        <v>16</v>
      </c>
      <c r="P56" s="15">
        <f t="shared" si="1"/>
        <v>53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3</v>
      </c>
      <c r="F57" s="50">
        <v>4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43</v>
      </c>
      <c r="N57" s="50">
        <v>0</v>
      </c>
      <c r="O57" s="15">
        <f t="shared" si="0"/>
        <v>13</v>
      </c>
      <c r="P57" s="15">
        <f t="shared" si="1"/>
        <v>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133</v>
      </c>
      <c r="D58" s="16">
        <f t="shared" si="21"/>
        <v>20</v>
      </c>
      <c r="E58" s="16">
        <f t="shared" si="21"/>
        <v>16</v>
      </c>
      <c r="F58" s="16">
        <f t="shared" si="21"/>
        <v>74</v>
      </c>
      <c r="G58" s="16">
        <f t="shared" si="21"/>
        <v>8</v>
      </c>
      <c r="H58" s="16">
        <f t="shared" si="21"/>
        <v>1</v>
      </c>
      <c r="I58" s="16">
        <f t="shared" si="21"/>
        <v>68</v>
      </c>
      <c r="J58" s="16">
        <f t="shared" si="21"/>
        <v>21</v>
      </c>
      <c r="K58" s="16">
        <f t="shared" si="21"/>
        <v>1</v>
      </c>
      <c r="L58" s="16">
        <f t="shared" si="21"/>
        <v>0</v>
      </c>
      <c r="M58" s="16">
        <f t="shared" si="21"/>
        <v>1730</v>
      </c>
      <c r="N58" s="16">
        <f t="shared" si="21"/>
        <v>0</v>
      </c>
      <c r="O58" s="16">
        <f t="shared" si="21"/>
        <v>342</v>
      </c>
      <c r="P58" s="16">
        <f t="shared" si="21"/>
        <v>2072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6.4189189189189186E-2</v>
      </c>
      <c r="D59" s="43">
        <f t="shared" si="22"/>
        <v>9.6525096525096523E-3</v>
      </c>
      <c r="E59" s="43">
        <f t="shared" si="22"/>
        <v>7.7220077220077222E-3</v>
      </c>
      <c r="F59" s="43">
        <f t="shared" si="22"/>
        <v>3.5714285714285712E-2</v>
      </c>
      <c r="G59" s="43">
        <f t="shared" si="22"/>
        <v>3.8610038610038611E-3</v>
      </c>
      <c r="H59" s="43">
        <f t="shared" si="22"/>
        <v>4.8262548262548264E-4</v>
      </c>
      <c r="I59" s="43">
        <f t="shared" si="22"/>
        <v>3.2818532818532815E-2</v>
      </c>
      <c r="J59" s="43">
        <f t="shared" si="22"/>
        <v>1.0135135135135136E-2</v>
      </c>
      <c r="K59" s="43">
        <f t="shared" si="22"/>
        <v>4.8262548262548264E-4</v>
      </c>
      <c r="L59" s="43">
        <f t="shared" si="22"/>
        <v>0</v>
      </c>
      <c r="M59" s="43">
        <f t="shared" si="22"/>
        <v>0.83494208494208499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0.3888888888888889</v>
      </c>
      <c r="D60" s="44">
        <f t="shared" ref="D60:N60" si="23">D58/$O$58</f>
        <v>5.8479532163742687E-2</v>
      </c>
      <c r="E60" s="44">
        <f t="shared" si="23"/>
        <v>4.6783625730994149E-2</v>
      </c>
      <c r="F60" s="44">
        <f t="shared" si="23"/>
        <v>0.21637426900584794</v>
      </c>
      <c r="G60" s="44">
        <f t="shared" si="23"/>
        <v>2.3391812865497075E-2</v>
      </c>
      <c r="H60" s="44">
        <f t="shared" si="23"/>
        <v>2.9239766081871343E-3</v>
      </c>
      <c r="I60" s="44">
        <f t="shared" si="23"/>
        <v>0.19883040935672514</v>
      </c>
      <c r="J60" s="44">
        <f t="shared" si="23"/>
        <v>6.1403508771929821E-2</v>
      </c>
      <c r="K60" s="44">
        <f t="shared" si="23"/>
        <v>2.9239766081871343E-3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S52" sqref="S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Kitemu-Buddo'!D5</f>
        <v>25.09.19</v>
      </c>
      <c r="E5" s="3"/>
      <c r="F5" s="41" t="s">
        <v>1</v>
      </c>
      <c r="G5" s="69" t="str">
        <f>'23.09.19-Kitemu-Buddo'!G5:H5</f>
        <v>St Charles Lwanga PS</v>
      </c>
      <c r="H5" s="70"/>
      <c r="I5" s="14"/>
      <c r="J5" s="2" t="s">
        <v>5</v>
      </c>
      <c r="K5" s="69" t="s">
        <v>173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'23.09.19 -Buddo-Kitemu'!D6:E6</f>
        <v>BUDDO</v>
      </c>
      <c r="E6" s="70"/>
      <c r="F6" s="2" t="s">
        <v>2</v>
      </c>
      <c r="G6" s="69" t="str">
        <f>'23.09.19 -Buddo-Kitemu'!G6:H6</f>
        <v>KITEMU</v>
      </c>
      <c r="H6" s="70"/>
      <c r="J6" s="2" t="s">
        <v>21</v>
      </c>
      <c r="K6" s="69" t="str">
        <f>'23.09.19-Kitemu-Buddo'!K6:L6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0</v>
      </c>
      <c r="F10" s="50">
        <v>4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54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67</v>
      </c>
      <c r="R10" s="1" t="s">
        <v>6</v>
      </c>
      <c r="S10" s="17">
        <f t="shared" ref="S10:AF10" si="2">SUM(C10:C13)</f>
        <v>20</v>
      </c>
      <c r="T10" s="17">
        <f t="shared" si="2"/>
        <v>2</v>
      </c>
      <c r="U10" s="17">
        <f t="shared" si="2"/>
        <v>2</v>
      </c>
      <c r="V10" s="17">
        <f t="shared" si="2"/>
        <v>14</v>
      </c>
      <c r="W10" s="17">
        <f t="shared" si="2"/>
        <v>4</v>
      </c>
      <c r="X10" s="17">
        <f t="shared" si="2"/>
        <v>0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263</v>
      </c>
      <c r="AD10" s="17">
        <f t="shared" si="2"/>
        <v>0</v>
      </c>
      <c r="AE10" s="31">
        <f t="shared" si="2"/>
        <v>50</v>
      </c>
      <c r="AF10" s="31">
        <f t="shared" si="2"/>
        <v>313</v>
      </c>
    </row>
    <row r="11" spans="2:32" s="6" customFormat="1" ht="23.1" customHeight="1" x14ac:dyDescent="0.25">
      <c r="B11" s="23" t="s">
        <v>38</v>
      </c>
      <c r="C11" s="50">
        <v>5</v>
      </c>
      <c r="D11" s="50">
        <v>2</v>
      </c>
      <c r="E11" s="50">
        <v>1</v>
      </c>
      <c r="F11" s="50">
        <v>3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75</v>
      </c>
      <c r="N11" s="50">
        <v>0</v>
      </c>
      <c r="O11" s="15">
        <f t="shared" si="0"/>
        <v>14</v>
      </c>
      <c r="P11" s="15">
        <f t="shared" si="1"/>
        <v>89</v>
      </c>
      <c r="R11" s="1" t="s">
        <v>7</v>
      </c>
      <c r="S11" s="17">
        <f t="shared" ref="S11:AF11" si="3">SUM(C14:C17)</f>
        <v>28</v>
      </c>
      <c r="T11" s="17">
        <f t="shared" si="3"/>
        <v>2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267</v>
      </c>
      <c r="AD11" s="17">
        <f t="shared" si="3"/>
        <v>0</v>
      </c>
      <c r="AE11" s="31">
        <f t="shared" si="3"/>
        <v>39</v>
      </c>
      <c r="AF11" s="31">
        <f t="shared" si="3"/>
        <v>306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1</v>
      </c>
      <c r="F12" s="50">
        <v>3</v>
      </c>
      <c r="G12" s="50">
        <v>1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60</v>
      </c>
      <c r="N12" s="50">
        <v>0</v>
      </c>
      <c r="O12" s="15">
        <f t="shared" si="0"/>
        <v>11</v>
      </c>
      <c r="P12" s="15">
        <f t="shared" si="1"/>
        <v>71</v>
      </c>
      <c r="R12" s="1" t="s">
        <v>8</v>
      </c>
      <c r="S12" s="17">
        <f t="shared" ref="S12:AF12" si="4">SUM(C18:C21)</f>
        <v>26</v>
      </c>
      <c r="T12" s="17">
        <f t="shared" si="4"/>
        <v>1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195</v>
      </c>
      <c r="AD12" s="17">
        <f t="shared" si="4"/>
        <v>0</v>
      </c>
      <c r="AE12" s="31">
        <f t="shared" si="4"/>
        <v>36</v>
      </c>
      <c r="AF12" s="31">
        <f t="shared" si="4"/>
        <v>231</v>
      </c>
    </row>
    <row r="13" spans="2:32" ht="23.1" customHeight="1" x14ac:dyDescent="0.25">
      <c r="B13" s="23" t="s">
        <v>40</v>
      </c>
      <c r="C13" s="50">
        <v>6</v>
      </c>
      <c r="D13" s="50">
        <v>0</v>
      </c>
      <c r="E13" s="50">
        <v>0</v>
      </c>
      <c r="F13" s="50">
        <v>4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12</v>
      </c>
      <c r="P13" s="15">
        <f t="shared" si="1"/>
        <v>86</v>
      </c>
      <c r="R13" s="1" t="s">
        <v>9</v>
      </c>
      <c r="S13" s="17">
        <f t="shared" ref="S13:AF13" si="5">SUM(C22:C25)</f>
        <v>21</v>
      </c>
      <c r="T13" s="17">
        <f t="shared" si="5"/>
        <v>0</v>
      </c>
      <c r="U13" s="17">
        <f t="shared" si="5"/>
        <v>1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246</v>
      </c>
      <c r="AD13" s="17">
        <f t="shared" si="5"/>
        <v>0</v>
      </c>
      <c r="AE13" s="31">
        <f t="shared" si="5"/>
        <v>35</v>
      </c>
      <c r="AF13" s="31">
        <f t="shared" si="5"/>
        <v>281</v>
      </c>
    </row>
    <row r="14" spans="2:32" ht="23.1" customHeight="1" x14ac:dyDescent="0.25">
      <c r="B14" s="23" t="s">
        <v>41</v>
      </c>
      <c r="C14" s="50">
        <v>7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75</v>
      </c>
      <c r="N14" s="50">
        <v>0</v>
      </c>
      <c r="O14" s="15">
        <f t="shared" si="0"/>
        <v>8</v>
      </c>
      <c r="P14" s="15">
        <f t="shared" si="1"/>
        <v>83</v>
      </c>
      <c r="R14" s="1" t="s">
        <v>10</v>
      </c>
      <c r="S14" s="17">
        <f t="shared" ref="S14:AF14" si="6">SUM(C26:C29)</f>
        <v>20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207</v>
      </c>
      <c r="AD14" s="17">
        <f t="shared" si="6"/>
        <v>0</v>
      </c>
      <c r="AE14" s="31">
        <f t="shared" si="6"/>
        <v>32</v>
      </c>
      <c r="AF14" s="31">
        <f t="shared" si="6"/>
        <v>239</v>
      </c>
    </row>
    <row r="15" spans="2:32" ht="23.1" customHeight="1" x14ac:dyDescent="0.25">
      <c r="B15" s="23" t="s">
        <v>42</v>
      </c>
      <c r="C15" s="50">
        <v>9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86</v>
      </c>
      <c r="N15" s="50">
        <v>0</v>
      </c>
      <c r="O15" s="15">
        <f t="shared" si="0"/>
        <v>12</v>
      </c>
      <c r="P15" s="15">
        <f t="shared" si="1"/>
        <v>98</v>
      </c>
      <c r="R15" s="1" t="s">
        <v>11</v>
      </c>
      <c r="S15" s="17">
        <f t="shared" ref="S15:AF15" si="7">SUM(C30:C33)</f>
        <v>11</v>
      </c>
      <c r="T15" s="17">
        <f t="shared" si="7"/>
        <v>0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130</v>
      </c>
      <c r="AD15" s="17">
        <f t="shared" si="7"/>
        <v>0</v>
      </c>
      <c r="AE15" s="31">
        <f t="shared" si="7"/>
        <v>29</v>
      </c>
      <c r="AF15" s="31">
        <f t="shared" si="7"/>
        <v>159</v>
      </c>
    </row>
    <row r="16" spans="2:32" ht="23.1" customHeight="1" x14ac:dyDescent="0.25">
      <c r="B16" s="23" t="s">
        <v>43</v>
      </c>
      <c r="C16" s="50">
        <v>8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50</v>
      </c>
      <c r="N16" s="50">
        <v>0</v>
      </c>
      <c r="O16" s="15">
        <f t="shared" si="0"/>
        <v>10</v>
      </c>
      <c r="P16" s="15">
        <f t="shared" si="1"/>
        <v>60</v>
      </c>
      <c r="R16" s="1" t="s">
        <v>12</v>
      </c>
      <c r="S16" s="17">
        <f t="shared" ref="S16:AF16" si="8">SUM(C34:C37)</f>
        <v>13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127</v>
      </c>
      <c r="AD16" s="17">
        <f t="shared" si="8"/>
        <v>0</v>
      </c>
      <c r="AE16" s="31">
        <f t="shared" si="8"/>
        <v>24</v>
      </c>
      <c r="AF16" s="31">
        <f t="shared" si="8"/>
        <v>151</v>
      </c>
    </row>
    <row r="17" spans="2:32" ht="23.1" customHeight="1" x14ac:dyDescent="0.25">
      <c r="B17" s="23" t="s">
        <v>44</v>
      </c>
      <c r="C17" s="50">
        <v>4</v>
      </c>
      <c r="D17" s="50">
        <v>2</v>
      </c>
      <c r="E17" s="50">
        <v>0</v>
      </c>
      <c r="F17" s="50">
        <v>1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56</v>
      </c>
      <c r="N17" s="50">
        <v>0</v>
      </c>
      <c r="O17" s="15">
        <f t="shared" si="0"/>
        <v>9</v>
      </c>
      <c r="P17" s="15">
        <f t="shared" si="1"/>
        <v>65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118</v>
      </c>
      <c r="AD17" s="17">
        <f t="shared" si="9"/>
        <v>0</v>
      </c>
      <c r="AE17" s="31">
        <f t="shared" si="9"/>
        <v>19</v>
      </c>
      <c r="AF17" s="31">
        <f t="shared" si="9"/>
        <v>137</v>
      </c>
    </row>
    <row r="18" spans="2:32" ht="23.1" customHeight="1" x14ac:dyDescent="0.25">
      <c r="B18" s="23" t="s">
        <v>45</v>
      </c>
      <c r="C18" s="50">
        <v>12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57</v>
      </c>
      <c r="N18" s="50">
        <v>0</v>
      </c>
      <c r="O18" s="15">
        <f t="shared" si="0"/>
        <v>15</v>
      </c>
      <c r="P18" s="15">
        <f t="shared" si="1"/>
        <v>72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150</v>
      </c>
      <c r="AD18" s="17">
        <f t="shared" si="10"/>
        <v>0</v>
      </c>
      <c r="AE18" s="31">
        <f t="shared" si="10"/>
        <v>25</v>
      </c>
      <c r="AF18" s="31">
        <f t="shared" si="10"/>
        <v>175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43</v>
      </c>
      <c r="N19" s="50">
        <v>0</v>
      </c>
      <c r="O19" s="15">
        <f t="shared" si="0"/>
        <v>4</v>
      </c>
      <c r="P19" s="15">
        <f t="shared" si="1"/>
        <v>47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165</v>
      </c>
      <c r="AD19" s="17">
        <f t="shared" si="11"/>
        <v>0</v>
      </c>
      <c r="AE19" s="31">
        <f t="shared" si="11"/>
        <v>20</v>
      </c>
      <c r="AF19" s="31">
        <f t="shared" si="11"/>
        <v>185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45</v>
      </c>
      <c r="N20" s="50">
        <v>0</v>
      </c>
      <c r="O20" s="15">
        <f t="shared" si="0"/>
        <v>6</v>
      </c>
      <c r="P20" s="15">
        <f t="shared" si="1"/>
        <v>51</v>
      </c>
      <c r="R20" s="1" t="s">
        <v>16</v>
      </c>
      <c r="S20" s="17">
        <f t="shared" ref="S20:AF20" si="12">SUM(C50:C53)</f>
        <v>18</v>
      </c>
      <c r="T20" s="17">
        <f t="shared" si="12"/>
        <v>0</v>
      </c>
      <c r="U20" s="17">
        <f t="shared" si="12"/>
        <v>0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201</v>
      </c>
      <c r="AD20" s="17">
        <f t="shared" si="12"/>
        <v>0</v>
      </c>
      <c r="AE20" s="31">
        <f t="shared" si="12"/>
        <v>34</v>
      </c>
      <c r="AF20" s="31">
        <f t="shared" si="12"/>
        <v>235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11</v>
      </c>
      <c r="P21" s="15">
        <f t="shared" si="1"/>
        <v>61</v>
      </c>
      <c r="R21" s="36" t="s">
        <v>20</v>
      </c>
      <c r="S21" s="34">
        <f t="shared" ref="S21:AF21" si="13">SUM(C54:C57)</f>
        <v>16</v>
      </c>
      <c r="T21" s="17">
        <f t="shared" si="13"/>
        <v>1</v>
      </c>
      <c r="U21" s="17">
        <f t="shared" si="13"/>
        <v>0</v>
      </c>
      <c r="V21" s="17">
        <f t="shared" si="13"/>
        <v>2</v>
      </c>
      <c r="W21" s="17">
        <f t="shared" si="13"/>
        <v>2</v>
      </c>
      <c r="X21" s="17">
        <f t="shared" si="13"/>
        <v>0</v>
      </c>
      <c r="Y21" s="17">
        <f t="shared" si="13"/>
        <v>9</v>
      </c>
      <c r="Z21" s="17">
        <f t="shared" si="13"/>
        <v>4</v>
      </c>
      <c r="AA21" s="17">
        <f t="shared" si="13"/>
        <v>1</v>
      </c>
      <c r="AB21" s="17">
        <f t="shared" si="13"/>
        <v>0</v>
      </c>
      <c r="AC21" s="17">
        <f t="shared" si="13"/>
        <v>216</v>
      </c>
      <c r="AD21" s="17">
        <f t="shared" si="13"/>
        <v>0</v>
      </c>
      <c r="AE21" s="31">
        <f t="shared" si="13"/>
        <v>35</v>
      </c>
      <c r="AF21" s="31">
        <f t="shared" si="13"/>
        <v>251</v>
      </c>
    </row>
    <row r="22" spans="2:32" ht="23.1" customHeight="1" x14ac:dyDescent="0.25">
      <c r="B22" s="23" t="s">
        <v>49</v>
      </c>
      <c r="C22" s="50">
        <v>9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60</v>
      </c>
      <c r="N22" s="50">
        <v>0</v>
      </c>
      <c r="O22" s="15">
        <f t="shared" si="0"/>
        <v>15</v>
      </c>
      <c r="P22" s="15">
        <f t="shared" si="1"/>
        <v>75</v>
      </c>
      <c r="R22" s="38" t="s">
        <v>90</v>
      </c>
      <c r="S22" s="39">
        <f>MAX(S10:S12)</f>
        <v>28</v>
      </c>
      <c r="T22" s="39">
        <f t="shared" ref="T22:AF22" si="14">MAX(T10:T12)</f>
        <v>2</v>
      </c>
      <c r="U22" s="39">
        <f t="shared" si="14"/>
        <v>2</v>
      </c>
      <c r="V22" s="39">
        <f t="shared" si="14"/>
        <v>14</v>
      </c>
      <c r="W22" s="39">
        <f t="shared" si="14"/>
        <v>4</v>
      </c>
      <c r="X22" s="39">
        <f t="shared" si="14"/>
        <v>0</v>
      </c>
      <c r="Y22" s="39">
        <f t="shared" si="14"/>
        <v>7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267</v>
      </c>
      <c r="AD22" s="39">
        <f t="shared" si="14"/>
        <v>0</v>
      </c>
      <c r="AE22" s="40">
        <f t="shared" si="14"/>
        <v>50</v>
      </c>
      <c r="AF22" s="40">
        <f t="shared" si="14"/>
        <v>313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50</v>
      </c>
      <c r="N23" s="50">
        <v>0</v>
      </c>
      <c r="O23" s="15">
        <f t="shared" si="0"/>
        <v>6</v>
      </c>
      <c r="P23" s="15">
        <f t="shared" si="1"/>
        <v>56</v>
      </c>
      <c r="R23" s="38" t="s">
        <v>91</v>
      </c>
      <c r="S23" s="39">
        <f>MAX(S13:S18)</f>
        <v>21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11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246</v>
      </c>
      <c r="AD23" s="39">
        <f t="shared" si="15"/>
        <v>0</v>
      </c>
      <c r="AE23" s="40">
        <f t="shared" si="15"/>
        <v>35</v>
      </c>
      <c r="AF23" s="40">
        <f t="shared" si="15"/>
        <v>281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66</v>
      </c>
      <c r="N24" s="50">
        <v>0</v>
      </c>
      <c r="O24" s="15">
        <f t="shared" si="0"/>
        <v>5</v>
      </c>
      <c r="P24" s="15">
        <f t="shared" si="1"/>
        <v>71</v>
      </c>
      <c r="R24" s="38" t="s">
        <v>92</v>
      </c>
      <c r="S24" s="39">
        <f>MAX(S19:S21)</f>
        <v>18</v>
      </c>
      <c r="T24" s="39">
        <f t="shared" ref="T24:AF24" si="16">MAX(T19:T21)</f>
        <v>1</v>
      </c>
      <c r="U24" s="39">
        <f t="shared" si="16"/>
        <v>0</v>
      </c>
      <c r="V24" s="39">
        <f t="shared" si="16"/>
        <v>5</v>
      </c>
      <c r="W24" s="39">
        <f t="shared" si="16"/>
        <v>2</v>
      </c>
      <c r="X24" s="39">
        <f t="shared" si="16"/>
        <v>0</v>
      </c>
      <c r="Y24" s="39">
        <f t="shared" si="16"/>
        <v>9</v>
      </c>
      <c r="Z24" s="39">
        <f t="shared" si="16"/>
        <v>4</v>
      </c>
      <c r="AA24" s="39">
        <f t="shared" si="16"/>
        <v>1</v>
      </c>
      <c r="AB24" s="39">
        <f t="shared" si="16"/>
        <v>0</v>
      </c>
      <c r="AC24" s="39">
        <f t="shared" si="16"/>
        <v>216</v>
      </c>
      <c r="AD24" s="39">
        <f t="shared" si="16"/>
        <v>0</v>
      </c>
      <c r="AE24" s="40">
        <f t="shared" si="16"/>
        <v>35</v>
      </c>
      <c r="AF24" s="40">
        <f t="shared" si="16"/>
        <v>251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70</v>
      </c>
      <c r="N25" s="50">
        <v>0</v>
      </c>
      <c r="O25" s="15">
        <f t="shared" si="0"/>
        <v>9</v>
      </c>
      <c r="P25" s="15">
        <f t="shared" si="1"/>
        <v>79</v>
      </c>
      <c r="R25" s="37" t="s">
        <v>85</v>
      </c>
      <c r="S25" s="35">
        <f t="shared" ref="S25:AF25" si="17">SUM(S10:S12)</f>
        <v>74</v>
      </c>
      <c r="T25" s="16">
        <f t="shared" si="17"/>
        <v>5</v>
      </c>
      <c r="U25" s="16">
        <f t="shared" si="17"/>
        <v>6</v>
      </c>
      <c r="V25" s="16">
        <f t="shared" si="17"/>
        <v>16</v>
      </c>
      <c r="W25" s="16">
        <f t="shared" si="17"/>
        <v>4</v>
      </c>
      <c r="X25" s="16">
        <f t="shared" si="17"/>
        <v>0</v>
      </c>
      <c r="Y25" s="16">
        <f t="shared" si="17"/>
        <v>18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725</v>
      </c>
      <c r="AD25" s="16">
        <f t="shared" si="17"/>
        <v>0</v>
      </c>
      <c r="AE25" s="32">
        <f t="shared" si="17"/>
        <v>125</v>
      </c>
      <c r="AF25" s="32">
        <f t="shared" si="17"/>
        <v>850</v>
      </c>
    </row>
    <row r="26" spans="2:32" ht="23.1" customHeight="1" x14ac:dyDescent="0.25">
      <c r="B26" s="23" t="s">
        <v>53</v>
      </c>
      <c r="C26" s="50">
        <v>7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12</v>
      </c>
      <c r="P26" s="15">
        <f t="shared" si="1"/>
        <v>77</v>
      </c>
      <c r="R26" s="28" t="s">
        <v>86</v>
      </c>
      <c r="S26" s="16">
        <f t="shared" ref="S26:AF26" si="18">SUM(S13:S18)</f>
        <v>86</v>
      </c>
      <c r="T26" s="16">
        <f t="shared" si="18"/>
        <v>0</v>
      </c>
      <c r="U26" s="16">
        <f t="shared" si="18"/>
        <v>12</v>
      </c>
      <c r="V26" s="16">
        <f t="shared" si="18"/>
        <v>11</v>
      </c>
      <c r="W26" s="16">
        <f t="shared" si="18"/>
        <v>0</v>
      </c>
      <c r="X26" s="16">
        <f t="shared" si="18"/>
        <v>0</v>
      </c>
      <c r="Y26" s="16">
        <f t="shared" si="18"/>
        <v>46</v>
      </c>
      <c r="Z26" s="16">
        <f t="shared" si="18"/>
        <v>9</v>
      </c>
      <c r="AA26" s="16">
        <f t="shared" si="18"/>
        <v>0</v>
      </c>
      <c r="AB26" s="16">
        <f t="shared" si="18"/>
        <v>0</v>
      </c>
      <c r="AC26" s="16">
        <f t="shared" si="18"/>
        <v>978</v>
      </c>
      <c r="AD26" s="16">
        <f t="shared" si="18"/>
        <v>0</v>
      </c>
      <c r="AE26" s="32">
        <f t="shared" si="18"/>
        <v>164</v>
      </c>
      <c r="AF26" s="32">
        <f t="shared" si="18"/>
        <v>1142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56</v>
      </c>
      <c r="N27" s="50">
        <v>0</v>
      </c>
      <c r="O27" s="15">
        <f t="shared" si="0"/>
        <v>3</v>
      </c>
      <c r="P27" s="15">
        <f t="shared" si="1"/>
        <v>59</v>
      </c>
      <c r="R27" s="29" t="s">
        <v>87</v>
      </c>
      <c r="S27" s="16">
        <f t="shared" ref="S27:AF27" si="19">SUM(S19:S21)</f>
        <v>43</v>
      </c>
      <c r="T27" s="16">
        <f t="shared" si="19"/>
        <v>1</v>
      </c>
      <c r="U27" s="16">
        <f t="shared" si="19"/>
        <v>0</v>
      </c>
      <c r="V27" s="16">
        <f t="shared" si="19"/>
        <v>10</v>
      </c>
      <c r="W27" s="16">
        <f t="shared" si="19"/>
        <v>3</v>
      </c>
      <c r="X27" s="16">
        <f t="shared" si="19"/>
        <v>0</v>
      </c>
      <c r="Y27" s="16">
        <f t="shared" si="19"/>
        <v>23</v>
      </c>
      <c r="Z27" s="16">
        <f t="shared" si="19"/>
        <v>8</v>
      </c>
      <c r="AA27" s="16">
        <f t="shared" si="19"/>
        <v>1</v>
      </c>
      <c r="AB27" s="16">
        <f t="shared" si="19"/>
        <v>0</v>
      </c>
      <c r="AC27" s="16">
        <f t="shared" si="19"/>
        <v>582</v>
      </c>
      <c r="AD27" s="16">
        <f t="shared" si="19"/>
        <v>0</v>
      </c>
      <c r="AE27" s="32">
        <f t="shared" si="19"/>
        <v>89</v>
      </c>
      <c r="AF27" s="32">
        <f t="shared" si="19"/>
        <v>671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8</v>
      </c>
      <c r="P28" s="15">
        <f t="shared" si="1"/>
        <v>50</v>
      </c>
      <c r="R28" s="5" t="s">
        <v>17</v>
      </c>
      <c r="S28" s="16">
        <f t="shared" ref="S28:AF28" si="20">SUM(S10:S21)</f>
        <v>203</v>
      </c>
      <c r="T28" s="16">
        <f t="shared" si="20"/>
        <v>6</v>
      </c>
      <c r="U28" s="16">
        <f t="shared" si="20"/>
        <v>18</v>
      </c>
      <c r="V28" s="16">
        <f t="shared" si="20"/>
        <v>37</v>
      </c>
      <c r="W28" s="16">
        <f t="shared" si="20"/>
        <v>7</v>
      </c>
      <c r="X28" s="16">
        <f t="shared" si="20"/>
        <v>0</v>
      </c>
      <c r="Y28" s="16">
        <f t="shared" si="20"/>
        <v>87</v>
      </c>
      <c r="Z28" s="16">
        <f t="shared" si="20"/>
        <v>19</v>
      </c>
      <c r="AA28" s="16">
        <f t="shared" si="20"/>
        <v>1</v>
      </c>
      <c r="AB28" s="16">
        <f t="shared" si="20"/>
        <v>0</v>
      </c>
      <c r="AC28" s="16">
        <f t="shared" si="20"/>
        <v>2285</v>
      </c>
      <c r="AD28" s="16">
        <f t="shared" si="20"/>
        <v>0</v>
      </c>
      <c r="AE28" s="32">
        <f t="shared" si="20"/>
        <v>378</v>
      </c>
      <c r="AF28" s="32">
        <f t="shared" si="20"/>
        <v>2663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44</v>
      </c>
      <c r="N29" s="50">
        <v>0</v>
      </c>
      <c r="O29" s="15">
        <f t="shared" si="0"/>
        <v>9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45</v>
      </c>
      <c r="N30" s="50">
        <v>0</v>
      </c>
      <c r="O30" s="15">
        <f t="shared" si="0"/>
        <v>9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34</v>
      </c>
      <c r="N31" s="50">
        <v>0</v>
      </c>
      <c r="O31" s="15">
        <f t="shared" si="0"/>
        <v>2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27</v>
      </c>
      <c r="N32" s="50">
        <v>0</v>
      </c>
      <c r="O32" s="15">
        <f t="shared" si="0"/>
        <v>9</v>
      </c>
      <c r="P32" s="15">
        <f t="shared" si="1"/>
        <v>36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9</v>
      </c>
      <c r="P33" s="15">
        <f t="shared" si="1"/>
        <v>33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33</v>
      </c>
      <c r="N34" s="50">
        <v>0</v>
      </c>
      <c r="O34" s="15">
        <f t="shared" si="0"/>
        <v>5</v>
      </c>
      <c r="P34" s="15">
        <f t="shared" si="1"/>
        <v>38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7</v>
      </c>
      <c r="P35" s="15">
        <f t="shared" si="1"/>
        <v>37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32</v>
      </c>
      <c r="N36" s="50">
        <v>0</v>
      </c>
      <c r="O36" s="15">
        <f t="shared" si="0"/>
        <v>6</v>
      </c>
      <c r="P36" s="15">
        <f t="shared" si="1"/>
        <v>38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32</v>
      </c>
      <c r="N37" s="50">
        <v>0</v>
      </c>
      <c r="O37" s="15">
        <f t="shared" si="0"/>
        <v>6</v>
      </c>
      <c r="P37" s="15">
        <f t="shared" si="1"/>
        <v>38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34</v>
      </c>
      <c r="N38" s="50">
        <v>0</v>
      </c>
      <c r="O38" s="15">
        <f t="shared" si="0"/>
        <v>6</v>
      </c>
      <c r="P38" s="15">
        <f t="shared" si="1"/>
        <v>40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33</v>
      </c>
      <c r="N39" s="50">
        <v>0</v>
      </c>
      <c r="O39" s="15">
        <f t="shared" si="0"/>
        <v>2</v>
      </c>
      <c r="P39" s="15">
        <f t="shared" si="1"/>
        <v>35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23</v>
      </c>
      <c r="N40" s="50">
        <v>0</v>
      </c>
      <c r="O40" s="15">
        <f t="shared" si="0"/>
        <v>5</v>
      </c>
      <c r="P40" s="15">
        <f t="shared" si="1"/>
        <v>28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6</v>
      </c>
      <c r="P41" s="15">
        <f t="shared" si="1"/>
        <v>34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44</v>
      </c>
      <c r="N42" s="50">
        <v>0</v>
      </c>
      <c r="O42" s="15">
        <f t="shared" si="0"/>
        <v>4</v>
      </c>
      <c r="P42" s="15">
        <f t="shared" si="1"/>
        <v>48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2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31</v>
      </c>
      <c r="N43" s="50">
        <v>0</v>
      </c>
      <c r="O43" s="15">
        <f t="shared" si="0"/>
        <v>9</v>
      </c>
      <c r="P43" s="15">
        <f t="shared" si="1"/>
        <v>40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3</v>
      </c>
      <c r="P44" s="15">
        <f t="shared" si="1"/>
        <v>43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2</v>
      </c>
      <c r="G45" s="50">
        <v>0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35</v>
      </c>
      <c r="N45" s="50">
        <v>0</v>
      </c>
      <c r="O45" s="15">
        <f t="shared" si="0"/>
        <v>9</v>
      </c>
      <c r="P45" s="15">
        <f t="shared" si="1"/>
        <v>44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30</v>
      </c>
      <c r="N46" s="50">
        <v>0</v>
      </c>
      <c r="O46" s="15">
        <f t="shared" si="0"/>
        <v>7</v>
      </c>
      <c r="P46" s="15">
        <f t="shared" si="1"/>
        <v>37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3</v>
      </c>
      <c r="P47" s="15">
        <f t="shared" si="1"/>
        <v>43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4</v>
      </c>
      <c r="P48" s="15">
        <f t="shared" si="1"/>
        <v>44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6</v>
      </c>
      <c r="P49" s="15">
        <f t="shared" si="1"/>
        <v>61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4</v>
      </c>
      <c r="P50" s="15">
        <f t="shared" si="1"/>
        <v>63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8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0</v>
      </c>
      <c r="F52" s="50">
        <v>3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0</v>
      </c>
      <c r="M52" s="50">
        <v>48</v>
      </c>
      <c r="N52" s="50">
        <v>0</v>
      </c>
      <c r="O52" s="15">
        <f t="shared" si="0"/>
        <v>14</v>
      </c>
      <c r="P52" s="15">
        <f t="shared" si="1"/>
        <v>62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54</v>
      </c>
      <c r="N53" s="50">
        <v>0</v>
      </c>
      <c r="O53" s="15">
        <f t="shared" si="0"/>
        <v>8</v>
      </c>
      <c r="P53" s="15">
        <f t="shared" si="1"/>
        <v>62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1</v>
      </c>
      <c r="E54" s="50">
        <v>0</v>
      </c>
      <c r="F54" s="50">
        <v>0</v>
      </c>
      <c r="G54" s="50">
        <v>1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57</v>
      </c>
      <c r="N54" s="50">
        <v>0</v>
      </c>
      <c r="O54" s="15">
        <f t="shared" si="0"/>
        <v>11</v>
      </c>
      <c r="P54" s="15">
        <f t="shared" si="1"/>
        <v>68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0</v>
      </c>
      <c r="M55" s="50">
        <v>48</v>
      </c>
      <c r="N55" s="50">
        <v>0</v>
      </c>
      <c r="O55" s="15">
        <f t="shared" si="0"/>
        <v>10</v>
      </c>
      <c r="P55" s="15">
        <f t="shared" si="1"/>
        <v>58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0</v>
      </c>
      <c r="J56" s="50">
        <v>3</v>
      </c>
      <c r="K56" s="50">
        <v>1</v>
      </c>
      <c r="L56" s="50">
        <v>0</v>
      </c>
      <c r="M56" s="50">
        <v>51</v>
      </c>
      <c r="N56" s="50">
        <v>0</v>
      </c>
      <c r="O56" s="15">
        <f t="shared" si="0"/>
        <v>7</v>
      </c>
      <c r="P56" s="15">
        <f t="shared" si="1"/>
        <v>58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7</v>
      </c>
      <c r="P57" s="15">
        <f t="shared" si="1"/>
        <v>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203</v>
      </c>
      <c r="D58" s="16">
        <f t="shared" si="21"/>
        <v>6</v>
      </c>
      <c r="E58" s="16">
        <f t="shared" si="21"/>
        <v>18</v>
      </c>
      <c r="F58" s="16">
        <f t="shared" si="21"/>
        <v>37</v>
      </c>
      <c r="G58" s="16">
        <f t="shared" si="21"/>
        <v>7</v>
      </c>
      <c r="H58" s="16">
        <f t="shared" si="21"/>
        <v>0</v>
      </c>
      <c r="I58" s="16">
        <f t="shared" si="21"/>
        <v>87</v>
      </c>
      <c r="J58" s="16">
        <f t="shared" si="21"/>
        <v>19</v>
      </c>
      <c r="K58" s="16">
        <f t="shared" si="21"/>
        <v>1</v>
      </c>
      <c r="L58" s="16">
        <f t="shared" si="21"/>
        <v>0</v>
      </c>
      <c r="M58" s="16">
        <f t="shared" si="21"/>
        <v>2285</v>
      </c>
      <c r="N58" s="16">
        <f t="shared" si="21"/>
        <v>0</v>
      </c>
      <c r="O58" s="16">
        <f t="shared" si="21"/>
        <v>378</v>
      </c>
      <c r="P58" s="16">
        <f t="shared" si="21"/>
        <v>2663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7.6229815996995867E-2</v>
      </c>
      <c r="D59" s="43">
        <f t="shared" si="22"/>
        <v>2.2530980097634247E-3</v>
      </c>
      <c r="E59" s="43">
        <f t="shared" si="22"/>
        <v>6.7592940292902741E-3</v>
      </c>
      <c r="F59" s="43">
        <f t="shared" si="22"/>
        <v>1.3894104393541119E-2</v>
      </c>
      <c r="G59" s="43">
        <f t="shared" si="22"/>
        <v>2.6286143447239955E-3</v>
      </c>
      <c r="H59" s="43">
        <f t="shared" si="22"/>
        <v>0</v>
      </c>
      <c r="I59" s="43">
        <f t="shared" si="22"/>
        <v>3.2669921141569656E-2</v>
      </c>
      <c r="J59" s="43">
        <f t="shared" si="22"/>
        <v>7.1348103642508449E-3</v>
      </c>
      <c r="K59" s="43">
        <f t="shared" si="22"/>
        <v>3.7551633496057078E-4</v>
      </c>
      <c r="L59" s="43">
        <f t="shared" si="22"/>
        <v>0</v>
      </c>
      <c r="M59" s="43">
        <f t="shared" si="22"/>
        <v>0.8580548253849043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0.53703703703703709</v>
      </c>
      <c r="D60" s="44">
        <f t="shared" ref="D60:N60" si="23">D58/$O$58</f>
        <v>1.5873015873015872E-2</v>
      </c>
      <c r="E60" s="44">
        <f t="shared" si="23"/>
        <v>4.7619047619047616E-2</v>
      </c>
      <c r="F60" s="44">
        <f t="shared" si="23"/>
        <v>9.7883597883597878E-2</v>
      </c>
      <c r="G60" s="44">
        <f t="shared" si="23"/>
        <v>1.8518518518518517E-2</v>
      </c>
      <c r="H60" s="44">
        <f t="shared" si="23"/>
        <v>0</v>
      </c>
      <c r="I60" s="44">
        <f t="shared" si="23"/>
        <v>0.23015873015873015</v>
      </c>
      <c r="J60" s="44">
        <f t="shared" si="23"/>
        <v>5.0264550264550262E-2</v>
      </c>
      <c r="K60" s="44">
        <f t="shared" si="23"/>
        <v>2.6455026455026454E-3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3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'[1]23.09.19-Kitemu-Buddo'!C3:G3</f>
        <v>MCC-C2-Kitemu 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9" t="str">
        <f>'[1]26.09 Buddo-Kitemu'!G5:H5</f>
        <v>St Charles Lwanga PS</v>
      </c>
      <c r="H5" s="70"/>
      <c r="I5" s="14"/>
      <c r="J5" s="2" t="s">
        <v>5</v>
      </c>
      <c r="K5" s="69" t="s">
        <v>167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'[1]23.09.19-Kitemu-Buddo'!D6:E6</f>
        <v>KITEMU</v>
      </c>
      <c r="E6" s="70"/>
      <c r="F6" s="2" t="s">
        <v>2</v>
      </c>
      <c r="G6" s="69" t="str">
        <f>'[1]23.09.19-Kitemu-Buddo'!G6:H6</f>
        <v>BUDDO</v>
      </c>
      <c r="H6" s="70"/>
      <c r="J6" s="2" t="s">
        <v>21</v>
      </c>
      <c r="K6" s="69" t="str">
        <f>'[1]26.09 Buddo-Kitemu'!K6:L6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8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26</v>
      </c>
      <c r="N10" s="50">
        <v>0</v>
      </c>
      <c r="O10" s="15">
        <f t="shared" ref="O10:O73" si="0">SUM(C10:L10,N10)</f>
        <v>13</v>
      </c>
      <c r="P10" s="15">
        <f t="shared" ref="P10:P73" si="1">SUM(C10:N10)</f>
        <v>39</v>
      </c>
      <c r="R10" s="1" t="s">
        <v>6</v>
      </c>
      <c r="S10" s="17">
        <f t="shared" ref="S10:AF10" si="2">SUM(C10:C13)</f>
        <v>7</v>
      </c>
      <c r="T10" s="17">
        <f t="shared" si="2"/>
        <v>3</v>
      </c>
      <c r="U10" s="17">
        <f t="shared" si="2"/>
        <v>2</v>
      </c>
      <c r="V10" s="17">
        <f t="shared" si="2"/>
        <v>17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198</v>
      </c>
      <c r="AD10" s="17">
        <f t="shared" si="2"/>
        <v>0</v>
      </c>
      <c r="AE10" s="31">
        <f t="shared" si="2"/>
        <v>38</v>
      </c>
      <c r="AF10" s="31">
        <f t="shared" si="2"/>
        <v>236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0</v>
      </c>
      <c r="F11" s="50">
        <v>4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53</v>
      </c>
      <c r="N11" s="50">
        <v>0</v>
      </c>
      <c r="O11" s="15">
        <f t="shared" si="0"/>
        <v>7</v>
      </c>
      <c r="P11" s="15">
        <f t="shared" si="1"/>
        <v>60</v>
      </c>
      <c r="R11" s="1" t="s">
        <v>7</v>
      </c>
      <c r="S11" s="17">
        <f t="shared" ref="S11:AF11" si="3">SUM(C14:C17)</f>
        <v>9</v>
      </c>
      <c r="T11" s="17">
        <f t="shared" si="3"/>
        <v>3</v>
      </c>
      <c r="U11" s="17">
        <f t="shared" si="3"/>
        <v>1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1</v>
      </c>
      <c r="AB11" s="17">
        <f t="shared" si="3"/>
        <v>0</v>
      </c>
      <c r="AC11" s="17">
        <f t="shared" si="3"/>
        <v>198</v>
      </c>
      <c r="AD11" s="17">
        <f t="shared" si="3"/>
        <v>0</v>
      </c>
      <c r="AE11" s="31">
        <f t="shared" si="3"/>
        <v>22</v>
      </c>
      <c r="AF11" s="31">
        <f t="shared" si="3"/>
        <v>220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64</v>
      </c>
      <c r="N12" s="50">
        <v>0</v>
      </c>
      <c r="O12" s="15">
        <f t="shared" si="0"/>
        <v>10</v>
      </c>
      <c r="P12" s="15">
        <f t="shared" si="1"/>
        <v>74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3</v>
      </c>
      <c r="AB12" s="17">
        <f t="shared" si="4"/>
        <v>0</v>
      </c>
      <c r="AC12" s="17">
        <f t="shared" si="4"/>
        <v>149</v>
      </c>
      <c r="AD12" s="17">
        <f t="shared" si="4"/>
        <v>0</v>
      </c>
      <c r="AE12" s="31">
        <f t="shared" si="4"/>
        <v>18</v>
      </c>
      <c r="AF12" s="31">
        <f t="shared" si="4"/>
        <v>167</v>
      </c>
    </row>
    <row r="13" spans="2:32" ht="23.1" customHeight="1" x14ac:dyDescent="0.25">
      <c r="B13" s="45" t="s">
        <v>40</v>
      </c>
      <c r="C13" s="50">
        <v>0</v>
      </c>
      <c r="D13" s="50">
        <v>2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0</v>
      </c>
      <c r="M13" s="50">
        <v>55</v>
      </c>
      <c r="N13" s="50">
        <v>0</v>
      </c>
      <c r="O13" s="15">
        <f t="shared" si="0"/>
        <v>8</v>
      </c>
      <c r="P13" s="15">
        <f t="shared" si="1"/>
        <v>63</v>
      </c>
      <c r="R13" s="1" t="s">
        <v>9</v>
      </c>
      <c r="S13" s="17">
        <f t="shared" ref="S13:AF13" si="5">SUM(C22:C25)</f>
        <v>12</v>
      </c>
      <c r="T13" s="17">
        <f t="shared" si="5"/>
        <v>0</v>
      </c>
      <c r="U13" s="17">
        <f t="shared" si="5"/>
        <v>0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157</v>
      </c>
      <c r="AD13" s="17">
        <f t="shared" si="5"/>
        <v>0</v>
      </c>
      <c r="AE13" s="31">
        <f t="shared" si="5"/>
        <v>28</v>
      </c>
      <c r="AF13" s="31">
        <f t="shared" si="5"/>
        <v>185</v>
      </c>
    </row>
    <row r="14" spans="2:32" ht="23.1" customHeight="1" x14ac:dyDescent="0.25">
      <c r="B14" s="45" t="s">
        <v>41</v>
      </c>
      <c r="C14" s="50">
        <v>4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45</v>
      </c>
      <c r="N14" s="50">
        <v>0</v>
      </c>
      <c r="O14" s="15">
        <f t="shared" si="0"/>
        <v>6</v>
      </c>
      <c r="P14" s="15">
        <f t="shared" si="1"/>
        <v>51</v>
      </c>
      <c r="R14" s="1" t="s">
        <v>10</v>
      </c>
      <c r="S14" s="17">
        <f t="shared" ref="S14:AF14" si="6">SUM(C26:C29)</f>
        <v>9</v>
      </c>
      <c r="T14" s="17">
        <f t="shared" si="6"/>
        <v>1</v>
      </c>
      <c r="U14" s="17">
        <f t="shared" si="6"/>
        <v>5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142</v>
      </c>
      <c r="AD14" s="17">
        <f t="shared" si="6"/>
        <v>0</v>
      </c>
      <c r="AE14" s="31">
        <f t="shared" si="6"/>
        <v>30</v>
      </c>
      <c r="AF14" s="31">
        <f t="shared" si="6"/>
        <v>172</v>
      </c>
    </row>
    <row r="15" spans="2:32" ht="23.1" customHeight="1" x14ac:dyDescent="0.25">
      <c r="B15" s="45" t="s">
        <v>42</v>
      </c>
      <c r="C15" s="50">
        <v>2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57</v>
      </c>
      <c r="N15" s="50">
        <v>0</v>
      </c>
      <c r="O15" s="15">
        <f t="shared" si="0"/>
        <v>5</v>
      </c>
      <c r="P15" s="15">
        <f t="shared" si="1"/>
        <v>62</v>
      </c>
      <c r="R15" s="1" t="s">
        <v>11</v>
      </c>
      <c r="S15" s="17">
        <f t="shared" ref="S15:AF15" si="7">SUM(C30:C33)</f>
        <v>13</v>
      </c>
      <c r="T15" s="17">
        <f t="shared" si="7"/>
        <v>2</v>
      </c>
      <c r="U15" s="17">
        <f t="shared" si="7"/>
        <v>1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3</v>
      </c>
      <c r="AB15" s="17">
        <f t="shared" si="7"/>
        <v>0</v>
      </c>
      <c r="AC15" s="17">
        <f t="shared" si="7"/>
        <v>154</v>
      </c>
      <c r="AD15" s="17">
        <f t="shared" si="7"/>
        <v>0</v>
      </c>
      <c r="AE15" s="31">
        <f t="shared" si="7"/>
        <v>33</v>
      </c>
      <c r="AF15" s="31">
        <f t="shared" si="7"/>
        <v>187</v>
      </c>
    </row>
    <row r="16" spans="2:32" ht="23.1" customHeight="1" x14ac:dyDescent="0.25">
      <c r="B16" s="45" t="s">
        <v>43</v>
      </c>
      <c r="C16" s="50">
        <v>1</v>
      </c>
      <c r="D16" s="50">
        <v>1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53</v>
      </c>
      <c r="N16" s="50">
        <v>0</v>
      </c>
      <c r="O16" s="15">
        <f t="shared" si="0"/>
        <v>4</v>
      </c>
      <c r="P16" s="15">
        <f t="shared" si="1"/>
        <v>57</v>
      </c>
      <c r="R16" s="1" t="s">
        <v>12</v>
      </c>
      <c r="S16" s="17">
        <f t="shared" ref="S16:AF16" si="8">SUM(C34:C37)</f>
        <v>14</v>
      </c>
      <c r="T16" s="17">
        <f t="shared" si="8"/>
        <v>1</v>
      </c>
      <c r="U16" s="17">
        <f t="shared" si="8"/>
        <v>3</v>
      </c>
      <c r="V16" s="17">
        <f t="shared" si="8"/>
        <v>4</v>
      </c>
      <c r="W16" s="17">
        <f t="shared" si="8"/>
        <v>2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3</v>
      </c>
      <c r="AB16" s="17">
        <f t="shared" si="8"/>
        <v>0</v>
      </c>
      <c r="AC16" s="17">
        <f t="shared" si="8"/>
        <v>165</v>
      </c>
      <c r="AD16" s="17">
        <f t="shared" si="8"/>
        <v>0</v>
      </c>
      <c r="AE16" s="31">
        <f t="shared" si="8"/>
        <v>33</v>
      </c>
      <c r="AF16" s="31">
        <f t="shared" si="8"/>
        <v>198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43</v>
      </c>
      <c r="N17" s="50">
        <v>0</v>
      </c>
      <c r="O17" s="15">
        <f t="shared" si="0"/>
        <v>7</v>
      </c>
      <c r="P17" s="15">
        <f t="shared" si="1"/>
        <v>50</v>
      </c>
      <c r="R17" s="1" t="s">
        <v>13</v>
      </c>
      <c r="S17" s="17">
        <f t="shared" ref="S17:AF17" si="9">SUM(C38:C41)</f>
        <v>16</v>
      </c>
      <c r="T17" s="17">
        <f t="shared" si="9"/>
        <v>1</v>
      </c>
      <c r="U17" s="17">
        <f t="shared" si="9"/>
        <v>1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6</v>
      </c>
      <c r="AA17" s="17">
        <f t="shared" si="9"/>
        <v>3</v>
      </c>
      <c r="AB17" s="17">
        <f t="shared" si="9"/>
        <v>0</v>
      </c>
      <c r="AC17" s="17">
        <f t="shared" si="9"/>
        <v>177</v>
      </c>
      <c r="AD17" s="17">
        <f t="shared" si="9"/>
        <v>0</v>
      </c>
      <c r="AE17" s="31">
        <f t="shared" si="9"/>
        <v>47</v>
      </c>
      <c r="AF17" s="31">
        <f t="shared" si="9"/>
        <v>224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33</v>
      </c>
      <c r="N18" s="50">
        <v>0</v>
      </c>
      <c r="O18" s="15">
        <f t="shared" si="0"/>
        <v>4</v>
      </c>
      <c r="P18" s="15">
        <f t="shared" si="1"/>
        <v>37</v>
      </c>
      <c r="R18" s="1" t="s">
        <v>14</v>
      </c>
      <c r="S18" s="17">
        <f t="shared" ref="S18:AF18" si="10">SUM(C42:C45)</f>
        <v>13</v>
      </c>
      <c r="T18" s="17">
        <f t="shared" si="10"/>
        <v>2</v>
      </c>
      <c r="U18" s="17">
        <f t="shared" si="10"/>
        <v>6</v>
      </c>
      <c r="V18" s="17">
        <f t="shared" si="10"/>
        <v>5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5</v>
      </c>
      <c r="AB18" s="17">
        <f t="shared" si="10"/>
        <v>0</v>
      </c>
      <c r="AC18" s="17">
        <f t="shared" si="10"/>
        <v>126</v>
      </c>
      <c r="AD18" s="17">
        <f t="shared" si="10"/>
        <v>0</v>
      </c>
      <c r="AE18" s="31">
        <f t="shared" si="10"/>
        <v>37</v>
      </c>
      <c r="AF18" s="31">
        <f t="shared" si="10"/>
        <v>163</v>
      </c>
    </row>
    <row r="19" spans="2:32" ht="23.1" customHeight="1" x14ac:dyDescent="0.25">
      <c r="B19" s="45" t="s">
        <v>46</v>
      </c>
      <c r="C19" s="50">
        <v>3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1</v>
      </c>
      <c r="L19" s="50">
        <v>0</v>
      </c>
      <c r="M19" s="50">
        <v>36</v>
      </c>
      <c r="N19" s="50">
        <v>0</v>
      </c>
      <c r="O19" s="15">
        <f t="shared" si="0"/>
        <v>5</v>
      </c>
      <c r="P19" s="15">
        <f t="shared" si="1"/>
        <v>41</v>
      </c>
      <c r="R19" s="1" t="s">
        <v>15</v>
      </c>
      <c r="S19" s="17">
        <f t="shared" ref="S19:AF19" si="11">SUM(C46:C49)</f>
        <v>12</v>
      </c>
      <c r="T19" s="17">
        <f t="shared" si="11"/>
        <v>2</v>
      </c>
      <c r="U19" s="17">
        <f t="shared" si="11"/>
        <v>2</v>
      </c>
      <c r="V19" s="17">
        <f t="shared" si="11"/>
        <v>14</v>
      </c>
      <c r="W19" s="17">
        <f t="shared" si="11"/>
        <v>3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3</v>
      </c>
      <c r="AB19" s="17">
        <f t="shared" si="11"/>
        <v>0</v>
      </c>
      <c r="AC19" s="17">
        <f t="shared" si="11"/>
        <v>126</v>
      </c>
      <c r="AD19" s="17">
        <f t="shared" si="11"/>
        <v>0</v>
      </c>
      <c r="AE19" s="31">
        <f t="shared" si="11"/>
        <v>41</v>
      </c>
      <c r="AF19" s="31">
        <f t="shared" si="11"/>
        <v>167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39</v>
      </c>
      <c r="N20" s="50">
        <v>0</v>
      </c>
      <c r="O20" s="15">
        <f t="shared" si="0"/>
        <v>2</v>
      </c>
      <c r="P20" s="15">
        <f t="shared" si="1"/>
        <v>41</v>
      </c>
      <c r="R20" s="1" t="s">
        <v>16</v>
      </c>
      <c r="S20" s="17">
        <f t="shared" ref="S20:AF20" si="12">SUM(C50:C53)</f>
        <v>14</v>
      </c>
      <c r="T20" s="17">
        <f t="shared" si="12"/>
        <v>3</v>
      </c>
      <c r="U20" s="17">
        <f t="shared" si="12"/>
        <v>2</v>
      </c>
      <c r="V20" s="17">
        <f t="shared" si="12"/>
        <v>9</v>
      </c>
      <c r="W20" s="17">
        <f t="shared" si="12"/>
        <v>3</v>
      </c>
      <c r="X20" s="17">
        <f t="shared" si="12"/>
        <v>0</v>
      </c>
      <c r="Y20" s="17">
        <f t="shared" si="12"/>
        <v>4</v>
      </c>
      <c r="Z20" s="17">
        <f t="shared" si="12"/>
        <v>2</v>
      </c>
      <c r="AA20" s="17">
        <f t="shared" si="12"/>
        <v>3</v>
      </c>
      <c r="AB20" s="17">
        <f t="shared" si="12"/>
        <v>0</v>
      </c>
      <c r="AC20" s="17">
        <f t="shared" si="12"/>
        <v>148</v>
      </c>
      <c r="AD20" s="17">
        <f t="shared" si="12"/>
        <v>0</v>
      </c>
      <c r="AE20" s="31">
        <f t="shared" si="12"/>
        <v>40</v>
      </c>
      <c r="AF20" s="31">
        <f t="shared" si="12"/>
        <v>188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41</v>
      </c>
      <c r="N21" s="50">
        <v>0</v>
      </c>
      <c r="O21" s="15">
        <f t="shared" si="0"/>
        <v>7</v>
      </c>
      <c r="P21" s="15">
        <f t="shared" si="1"/>
        <v>48</v>
      </c>
      <c r="R21" s="36" t="s">
        <v>20</v>
      </c>
      <c r="S21" s="34">
        <f t="shared" ref="S21:AF21" si="13">SUM(C54:C57)</f>
        <v>8</v>
      </c>
      <c r="T21" s="17">
        <f t="shared" si="13"/>
        <v>5</v>
      </c>
      <c r="U21" s="17">
        <f t="shared" si="13"/>
        <v>5</v>
      </c>
      <c r="V21" s="17">
        <f t="shared" si="13"/>
        <v>4</v>
      </c>
      <c r="W21" s="17">
        <f t="shared" si="13"/>
        <v>3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158</v>
      </c>
      <c r="AD21" s="17">
        <f t="shared" si="13"/>
        <v>0</v>
      </c>
      <c r="AE21" s="31">
        <f t="shared" si="13"/>
        <v>34</v>
      </c>
      <c r="AF21" s="31">
        <f t="shared" si="13"/>
        <v>192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5</v>
      </c>
      <c r="P22" s="15">
        <f t="shared" si="1"/>
        <v>53</v>
      </c>
      <c r="R22" s="36" t="s">
        <v>146</v>
      </c>
      <c r="S22" s="34">
        <f>SUM(C58:C61)</f>
        <v>19</v>
      </c>
      <c r="T22" s="34">
        <f t="shared" ref="T22:AF22" si="14">SUM(D58:D61)</f>
        <v>4</v>
      </c>
      <c r="U22" s="34">
        <f t="shared" si="14"/>
        <v>7</v>
      </c>
      <c r="V22" s="34">
        <f t="shared" si="14"/>
        <v>9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2</v>
      </c>
      <c r="AA22" s="34">
        <f t="shared" si="14"/>
        <v>1</v>
      </c>
      <c r="AB22" s="34">
        <f t="shared" si="14"/>
        <v>0</v>
      </c>
      <c r="AC22" s="34">
        <f t="shared" si="14"/>
        <v>183</v>
      </c>
      <c r="AD22" s="34">
        <f t="shared" si="14"/>
        <v>0</v>
      </c>
      <c r="AE22" s="31">
        <f t="shared" si="14"/>
        <v>48</v>
      </c>
      <c r="AF22" s="31">
        <f t="shared" si="14"/>
        <v>231</v>
      </c>
    </row>
    <row r="23" spans="2:32" ht="23.1" customHeight="1" x14ac:dyDescent="0.25">
      <c r="B23" s="45" t="s">
        <v>50</v>
      </c>
      <c r="C23" s="50">
        <v>4</v>
      </c>
      <c r="D23" s="50">
        <v>0</v>
      </c>
      <c r="E23" s="50">
        <v>0</v>
      </c>
      <c r="F23" s="50">
        <v>0</v>
      </c>
      <c r="G23" s="50">
        <v>1</v>
      </c>
      <c r="H23" s="50">
        <v>0</v>
      </c>
      <c r="I23" s="50">
        <v>1</v>
      </c>
      <c r="J23" s="50">
        <v>1</v>
      </c>
      <c r="K23" s="50">
        <v>2</v>
      </c>
      <c r="L23" s="50">
        <v>0</v>
      </c>
      <c r="M23" s="50">
        <v>39</v>
      </c>
      <c r="N23" s="50">
        <v>0</v>
      </c>
      <c r="O23" s="15">
        <f t="shared" si="0"/>
        <v>9</v>
      </c>
      <c r="P23" s="15">
        <f t="shared" si="1"/>
        <v>48</v>
      </c>
      <c r="R23" s="36" t="s">
        <v>147</v>
      </c>
      <c r="S23" s="34">
        <f>SUM(C62:C65)</f>
        <v>12</v>
      </c>
      <c r="T23" s="34">
        <f t="shared" ref="T23:AF23" si="15">SUM(D62:D65)</f>
        <v>2</v>
      </c>
      <c r="U23" s="34">
        <f t="shared" si="15"/>
        <v>5</v>
      </c>
      <c r="V23" s="34">
        <f t="shared" si="15"/>
        <v>12</v>
      </c>
      <c r="W23" s="34">
        <f t="shared" si="15"/>
        <v>1</v>
      </c>
      <c r="X23" s="34">
        <f t="shared" si="15"/>
        <v>0</v>
      </c>
      <c r="Y23" s="34">
        <f t="shared" si="15"/>
        <v>5</v>
      </c>
      <c r="Z23" s="34">
        <f t="shared" si="15"/>
        <v>5</v>
      </c>
      <c r="AA23" s="34">
        <f t="shared" si="15"/>
        <v>2</v>
      </c>
      <c r="AB23" s="34">
        <f t="shared" si="15"/>
        <v>0</v>
      </c>
      <c r="AC23" s="34">
        <f t="shared" si="15"/>
        <v>171</v>
      </c>
      <c r="AD23" s="34">
        <f t="shared" si="15"/>
        <v>0</v>
      </c>
      <c r="AE23" s="31">
        <f t="shared" si="15"/>
        <v>44</v>
      </c>
      <c r="AF23" s="31">
        <f t="shared" si="15"/>
        <v>215</v>
      </c>
    </row>
    <row r="24" spans="2:32" ht="23.1" customHeight="1" x14ac:dyDescent="0.25">
      <c r="B24" s="45" t="s">
        <v>51</v>
      </c>
      <c r="C24" s="50">
        <v>4</v>
      </c>
      <c r="D24" s="50">
        <v>0</v>
      </c>
      <c r="E24" s="50">
        <v>0</v>
      </c>
      <c r="F24" s="50">
        <v>2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36</v>
      </c>
      <c r="N24" s="50">
        <v>0</v>
      </c>
      <c r="O24" s="15">
        <f t="shared" si="0"/>
        <v>9</v>
      </c>
      <c r="P24" s="15">
        <f t="shared" si="1"/>
        <v>45</v>
      </c>
      <c r="R24" s="36" t="s">
        <v>148</v>
      </c>
      <c r="S24" s="34">
        <f>SUM(C66:C69)</f>
        <v>18</v>
      </c>
      <c r="T24" s="34">
        <f t="shared" ref="T24:AF24" si="16">SUM(D66:D69)</f>
        <v>7</v>
      </c>
      <c r="U24" s="34">
        <f t="shared" si="16"/>
        <v>4</v>
      </c>
      <c r="V24" s="34">
        <f t="shared" si="16"/>
        <v>10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2</v>
      </c>
      <c r="AB24" s="34">
        <f t="shared" si="16"/>
        <v>0</v>
      </c>
      <c r="AC24" s="34">
        <f t="shared" si="16"/>
        <v>240</v>
      </c>
      <c r="AD24" s="34">
        <f t="shared" si="16"/>
        <v>0</v>
      </c>
      <c r="AE24" s="31">
        <f t="shared" si="16"/>
        <v>41</v>
      </c>
      <c r="AF24" s="31">
        <f t="shared" si="16"/>
        <v>281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34</v>
      </c>
      <c r="N25" s="50">
        <v>0</v>
      </c>
      <c r="O25" s="15">
        <f t="shared" si="0"/>
        <v>5</v>
      </c>
      <c r="P25" s="15">
        <f t="shared" si="1"/>
        <v>39</v>
      </c>
      <c r="R25" s="36" t="s">
        <v>149</v>
      </c>
      <c r="S25" s="34">
        <f>SUM(C70:C73)</f>
        <v>18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10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215</v>
      </c>
      <c r="AD25" s="34">
        <f t="shared" si="17"/>
        <v>0</v>
      </c>
      <c r="AE25" s="31">
        <f t="shared" si="17"/>
        <v>33</v>
      </c>
      <c r="AF25" s="31">
        <f t="shared" si="17"/>
        <v>248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9</v>
      </c>
      <c r="P26" s="15">
        <f t="shared" si="1"/>
        <v>44</v>
      </c>
      <c r="R26" s="36" t="s">
        <v>150</v>
      </c>
      <c r="S26" s="34">
        <f>SUM(C74:C77)</f>
        <v>19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7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3</v>
      </c>
      <c r="AA26" s="34">
        <f t="shared" si="18"/>
        <v>1</v>
      </c>
      <c r="AB26" s="34">
        <f t="shared" si="18"/>
        <v>1</v>
      </c>
      <c r="AC26" s="34">
        <f t="shared" si="18"/>
        <v>179</v>
      </c>
      <c r="AD26" s="34">
        <f t="shared" si="18"/>
        <v>0</v>
      </c>
      <c r="AE26" s="31">
        <f t="shared" si="18"/>
        <v>35</v>
      </c>
      <c r="AF26" s="31">
        <f t="shared" si="18"/>
        <v>214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36</v>
      </c>
      <c r="N27" s="50">
        <v>0</v>
      </c>
      <c r="O27" s="15">
        <f t="shared" si="0"/>
        <v>5</v>
      </c>
      <c r="P27" s="15">
        <f t="shared" si="1"/>
        <v>41</v>
      </c>
      <c r="R27" s="36" t="s">
        <v>151</v>
      </c>
      <c r="S27" s="34">
        <f>SUM(C78:C81)</f>
        <v>14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115</v>
      </c>
      <c r="AD27" s="34">
        <f t="shared" si="19"/>
        <v>0</v>
      </c>
      <c r="AE27" s="31">
        <f t="shared" si="19"/>
        <v>15</v>
      </c>
      <c r="AF27" s="31">
        <f t="shared" si="19"/>
        <v>130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38</v>
      </c>
      <c r="N28" s="50">
        <v>0</v>
      </c>
      <c r="O28" s="15">
        <f t="shared" si="0"/>
        <v>6</v>
      </c>
      <c r="P28" s="15">
        <f t="shared" si="1"/>
        <v>44</v>
      </c>
      <c r="R28" s="36" t="s">
        <v>152</v>
      </c>
      <c r="S28" s="34">
        <f>SUM(C82:C85)</f>
        <v>6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28</v>
      </c>
      <c r="AD28" s="34">
        <f t="shared" si="20"/>
        <v>0</v>
      </c>
      <c r="AE28" s="31">
        <f t="shared" si="20"/>
        <v>9</v>
      </c>
      <c r="AF28" s="31">
        <f t="shared" si="20"/>
        <v>37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10</v>
      </c>
      <c r="P29" s="15">
        <f t="shared" si="1"/>
        <v>43</v>
      </c>
      <c r="R29" s="36" t="s">
        <v>153</v>
      </c>
      <c r="S29" s="34">
        <f>SUM(C86:C89)</f>
        <v>3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21</v>
      </c>
      <c r="AD29" s="34">
        <f t="shared" si="21"/>
        <v>0</v>
      </c>
      <c r="AE29" s="31">
        <f t="shared" si="21"/>
        <v>6</v>
      </c>
      <c r="AF29" s="31">
        <f t="shared" si="21"/>
        <v>27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2</v>
      </c>
      <c r="L30" s="50">
        <v>0</v>
      </c>
      <c r="M30" s="50">
        <v>34</v>
      </c>
      <c r="N30" s="50">
        <v>0</v>
      </c>
      <c r="O30" s="15">
        <f t="shared" si="0"/>
        <v>7</v>
      </c>
      <c r="P30" s="15">
        <f t="shared" si="1"/>
        <v>41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4</v>
      </c>
      <c r="AF30" s="31">
        <f t="shared" si="22"/>
        <v>11</v>
      </c>
    </row>
    <row r="31" spans="2:32" ht="23.1" customHeight="1" x14ac:dyDescent="0.25">
      <c r="B31" s="46" t="s">
        <v>58</v>
      </c>
      <c r="C31" s="50">
        <v>7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44</v>
      </c>
      <c r="N31" s="50">
        <v>0</v>
      </c>
      <c r="O31" s="15">
        <f t="shared" si="0"/>
        <v>11</v>
      </c>
      <c r="P31" s="15">
        <f t="shared" si="1"/>
        <v>55</v>
      </c>
      <c r="R31" s="36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17</v>
      </c>
      <c r="AD31" s="34">
        <f t="shared" si="23"/>
        <v>0</v>
      </c>
      <c r="AE31" s="31">
        <f t="shared" si="23"/>
        <v>11</v>
      </c>
      <c r="AF31" s="31">
        <f t="shared" si="23"/>
        <v>28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1</v>
      </c>
      <c r="F32" s="50">
        <v>5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9</v>
      </c>
      <c r="P32" s="15">
        <f t="shared" si="1"/>
        <v>49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26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16</v>
      </c>
      <c r="AD32" s="34">
        <f t="shared" si="24"/>
        <v>0</v>
      </c>
      <c r="AE32" s="31">
        <f t="shared" si="24"/>
        <v>35</v>
      </c>
      <c r="AF32" s="31">
        <f t="shared" si="24"/>
        <v>51</v>
      </c>
    </row>
    <row r="33" spans="2:32" ht="23.1" customHeight="1" x14ac:dyDescent="0.25">
      <c r="B33" s="45" t="s">
        <v>60</v>
      </c>
      <c r="C33" s="50">
        <v>2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36</v>
      </c>
      <c r="N33" s="50">
        <v>0</v>
      </c>
      <c r="O33" s="15">
        <f t="shared" si="0"/>
        <v>6</v>
      </c>
      <c r="P33" s="15">
        <f t="shared" si="1"/>
        <v>42</v>
      </c>
      <c r="R33" s="33" t="s">
        <v>157</v>
      </c>
      <c r="S33" s="34">
        <f>SUM(C102:C105)</f>
        <v>10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20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3</v>
      </c>
      <c r="AA33" s="34">
        <f t="shared" si="25"/>
        <v>0</v>
      </c>
      <c r="AB33" s="34">
        <f t="shared" si="25"/>
        <v>0</v>
      </c>
      <c r="AC33" s="34">
        <f t="shared" si="25"/>
        <v>75</v>
      </c>
      <c r="AD33" s="34">
        <f t="shared" si="25"/>
        <v>0</v>
      </c>
      <c r="AE33" s="31">
        <f t="shared" si="25"/>
        <v>35</v>
      </c>
      <c r="AF33" s="31">
        <f t="shared" si="25"/>
        <v>110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2</v>
      </c>
      <c r="L34" s="50">
        <v>0</v>
      </c>
      <c r="M34" s="50">
        <v>35</v>
      </c>
      <c r="N34" s="50">
        <v>0</v>
      </c>
      <c r="O34" s="15">
        <f t="shared" si="0"/>
        <v>6</v>
      </c>
      <c r="P34" s="15">
        <f t="shared" si="1"/>
        <v>41</v>
      </c>
      <c r="R34" s="38" t="s">
        <v>90</v>
      </c>
      <c r="S34" s="39">
        <f t="shared" ref="S34:AF34" si="26">MAX(S10:S12)</f>
        <v>9</v>
      </c>
      <c r="T34" s="39">
        <f t="shared" si="26"/>
        <v>3</v>
      </c>
      <c r="U34" s="39">
        <f t="shared" si="26"/>
        <v>2</v>
      </c>
      <c r="V34" s="39">
        <f t="shared" si="26"/>
        <v>17</v>
      </c>
      <c r="W34" s="39">
        <f t="shared" si="26"/>
        <v>2</v>
      </c>
      <c r="X34" s="39">
        <f t="shared" si="26"/>
        <v>0</v>
      </c>
      <c r="Y34" s="39">
        <f t="shared" si="26"/>
        <v>4</v>
      </c>
      <c r="Z34" s="39">
        <f t="shared" si="26"/>
        <v>2</v>
      </c>
      <c r="AA34" s="39">
        <f t="shared" si="26"/>
        <v>3</v>
      </c>
      <c r="AB34" s="39">
        <f t="shared" si="26"/>
        <v>0</v>
      </c>
      <c r="AC34" s="39">
        <f t="shared" si="26"/>
        <v>198</v>
      </c>
      <c r="AD34" s="39">
        <f t="shared" si="26"/>
        <v>0</v>
      </c>
      <c r="AE34" s="40">
        <f t="shared" si="26"/>
        <v>38</v>
      </c>
      <c r="AF34" s="40">
        <f t="shared" si="26"/>
        <v>236</v>
      </c>
    </row>
    <row r="35" spans="2:32" ht="23.1" customHeight="1" x14ac:dyDescent="0.25">
      <c r="B35" s="46" t="s">
        <v>62</v>
      </c>
      <c r="C35" s="50">
        <v>3</v>
      </c>
      <c r="D35" s="50">
        <v>0</v>
      </c>
      <c r="E35" s="50">
        <v>0</v>
      </c>
      <c r="F35" s="50">
        <v>1</v>
      </c>
      <c r="G35" s="50">
        <v>2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38</v>
      </c>
      <c r="N35" s="50">
        <v>0</v>
      </c>
      <c r="O35" s="15">
        <f t="shared" si="0"/>
        <v>6</v>
      </c>
      <c r="P35" s="15">
        <f t="shared" si="1"/>
        <v>44</v>
      </c>
      <c r="R35" s="38" t="s">
        <v>91</v>
      </c>
      <c r="S35" s="39">
        <f t="shared" ref="S35:AF35" si="27">MAX(S13:S18)</f>
        <v>16</v>
      </c>
      <c r="T35" s="39">
        <f t="shared" si="27"/>
        <v>2</v>
      </c>
      <c r="U35" s="39">
        <f t="shared" si="27"/>
        <v>6</v>
      </c>
      <c r="V35" s="39">
        <f t="shared" si="27"/>
        <v>15</v>
      </c>
      <c r="W35" s="39">
        <f t="shared" si="27"/>
        <v>2</v>
      </c>
      <c r="X35" s="39">
        <f t="shared" si="27"/>
        <v>0</v>
      </c>
      <c r="Y35" s="39">
        <f t="shared" si="27"/>
        <v>6</v>
      </c>
      <c r="Z35" s="39">
        <f t="shared" si="27"/>
        <v>6</v>
      </c>
      <c r="AA35" s="39">
        <f t="shared" si="27"/>
        <v>5</v>
      </c>
      <c r="AB35" s="39">
        <f t="shared" si="27"/>
        <v>0</v>
      </c>
      <c r="AC35" s="39">
        <f t="shared" si="27"/>
        <v>177</v>
      </c>
      <c r="AD35" s="39">
        <f t="shared" si="27"/>
        <v>0</v>
      </c>
      <c r="AE35" s="40">
        <f t="shared" si="27"/>
        <v>47</v>
      </c>
      <c r="AF35" s="40">
        <f t="shared" si="27"/>
        <v>224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2</v>
      </c>
      <c r="K36" s="50">
        <v>1</v>
      </c>
      <c r="L36" s="50">
        <v>0</v>
      </c>
      <c r="M36" s="50">
        <v>43</v>
      </c>
      <c r="N36" s="50">
        <v>0</v>
      </c>
      <c r="O36" s="15">
        <f t="shared" si="0"/>
        <v>9</v>
      </c>
      <c r="P36" s="15">
        <f t="shared" si="1"/>
        <v>52</v>
      </c>
      <c r="R36" s="38" t="s">
        <v>92</v>
      </c>
      <c r="S36" s="39">
        <f t="shared" ref="S36:AF36" si="28">MAX(S19:S21)</f>
        <v>14</v>
      </c>
      <c r="T36" s="39">
        <f t="shared" si="28"/>
        <v>5</v>
      </c>
      <c r="U36" s="39">
        <f t="shared" si="28"/>
        <v>5</v>
      </c>
      <c r="V36" s="39">
        <f t="shared" si="28"/>
        <v>14</v>
      </c>
      <c r="W36" s="39">
        <f t="shared" si="28"/>
        <v>3</v>
      </c>
      <c r="X36" s="39">
        <f t="shared" si="28"/>
        <v>0</v>
      </c>
      <c r="Y36" s="39">
        <f t="shared" si="28"/>
        <v>7</v>
      </c>
      <c r="Z36" s="39">
        <f t="shared" si="28"/>
        <v>2</v>
      </c>
      <c r="AA36" s="39">
        <f t="shared" si="28"/>
        <v>3</v>
      </c>
      <c r="AB36" s="39">
        <f t="shared" si="28"/>
        <v>0</v>
      </c>
      <c r="AC36" s="39">
        <f t="shared" si="28"/>
        <v>158</v>
      </c>
      <c r="AD36" s="39">
        <f t="shared" si="28"/>
        <v>0</v>
      </c>
      <c r="AE36" s="40">
        <f t="shared" si="28"/>
        <v>41</v>
      </c>
      <c r="AF36" s="40">
        <f t="shared" si="28"/>
        <v>192</v>
      </c>
    </row>
    <row r="37" spans="2:32" ht="23.1" customHeight="1" x14ac:dyDescent="0.25">
      <c r="B37" s="45" t="s">
        <v>64</v>
      </c>
      <c r="C37" s="50">
        <v>6</v>
      </c>
      <c r="D37" s="50">
        <v>1</v>
      </c>
      <c r="E37" s="50">
        <v>2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49</v>
      </c>
      <c r="N37" s="50">
        <v>0</v>
      </c>
      <c r="O37" s="15">
        <f t="shared" si="0"/>
        <v>12</v>
      </c>
      <c r="P37" s="15">
        <f t="shared" si="1"/>
        <v>61</v>
      </c>
      <c r="R37" s="37" t="s">
        <v>85</v>
      </c>
      <c r="S37" s="35">
        <f t="shared" ref="S37:AF37" si="29">SUM(S10:S12)</f>
        <v>23</v>
      </c>
      <c r="T37" s="16">
        <f t="shared" si="29"/>
        <v>6</v>
      </c>
      <c r="U37" s="16">
        <f t="shared" si="29"/>
        <v>5</v>
      </c>
      <c r="V37" s="16">
        <f t="shared" si="29"/>
        <v>23</v>
      </c>
      <c r="W37" s="16">
        <f t="shared" si="29"/>
        <v>2</v>
      </c>
      <c r="X37" s="16">
        <f t="shared" si="29"/>
        <v>0</v>
      </c>
      <c r="Y37" s="16">
        <f t="shared" si="29"/>
        <v>9</v>
      </c>
      <c r="Z37" s="16">
        <f t="shared" si="29"/>
        <v>5</v>
      </c>
      <c r="AA37" s="16">
        <f t="shared" si="29"/>
        <v>5</v>
      </c>
      <c r="AB37" s="16">
        <f t="shared" si="29"/>
        <v>0</v>
      </c>
      <c r="AC37" s="16">
        <f t="shared" si="29"/>
        <v>545</v>
      </c>
      <c r="AD37" s="16">
        <f t="shared" si="29"/>
        <v>0</v>
      </c>
      <c r="AE37" s="32">
        <f t="shared" si="29"/>
        <v>78</v>
      </c>
      <c r="AF37" s="32">
        <f t="shared" si="29"/>
        <v>623</v>
      </c>
    </row>
    <row r="38" spans="2:32" ht="23.1" customHeight="1" x14ac:dyDescent="0.25">
      <c r="B38" s="46" t="s">
        <v>65</v>
      </c>
      <c r="C38" s="50">
        <v>5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45</v>
      </c>
      <c r="N38" s="50">
        <v>0</v>
      </c>
      <c r="O38" s="15">
        <f t="shared" si="0"/>
        <v>11</v>
      </c>
      <c r="P38" s="15">
        <f t="shared" si="1"/>
        <v>56</v>
      </c>
      <c r="R38" s="28" t="s">
        <v>86</v>
      </c>
      <c r="S38" s="16">
        <f t="shared" ref="S38:AF38" si="30">SUM(S13:S18)</f>
        <v>77</v>
      </c>
      <c r="T38" s="16">
        <f t="shared" si="30"/>
        <v>7</v>
      </c>
      <c r="U38" s="16">
        <f t="shared" si="30"/>
        <v>16</v>
      </c>
      <c r="V38" s="16">
        <f t="shared" si="30"/>
        <v>43</v>
      </c>
      <c r="W38" s="16">
        <f t="shared" si="30"/>
        <v>4</v>
      </c>
      <c r="X38" s="16">
        <f t="shared" si="30"/>
        <v>0</v>
      </c>
      <c r="Y38" s="16">
        <f t="shared" si="30"/>
        <v>27</v>
      </c>
      <c r="Z38" s="16">
        <f t="shared" si="30"/>
        <v>18</v>
      </c>
      <c r="AA38" s="16">
        <f t="shared" si="30"/>
        <v>16</v>
      </c>
      <c r="AB38" s="16">
        <f t="shared" si="30"/>
        <v>0</v>
      </c>
      <c r="AC38" s="16">
        <f t="shared" si="30"/>
        <v>921</v>
      </c>
      <c r="AD38" s="16">
        <f t="shared" si="30"/>
        <v>0</v>
      </c>
      <c r="AE38" s="32">
        <f t="shared" si="30"/>
        <v>208</v>
      </c>
      <c r="AF38" s="32">
        <f t="shared" si="30"/>
        <v>1129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0</v>
      </c>
      <c r="F39" s="50">
        <v>6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47</v>
      </c>
      <c r="N39" s="50">
        <v>0</v>
      </c>
      <c r="O39" s="15">
        <f t="shared" si="0"/>
        <v>12</v>
      </c>
      <c r="P39" s="15">
        <f t="shared" si="1"/>
        <v>59</v>
      </c>
      <c r="R39" s="29" t="s">
        <v>87</v>
      </c>
      <c r="S39" s="16">
        <f t="shared" ref="S39:AF39" si="31">SUM(S19:S21)</f>
        <v>34</v>
      </c>
      <c r="T39" s="16">
        <f t="shared" si="31"/>
        <v>10</v>
      </c>
      <c r="U39" s="16">
        <f t="shared" si="31"/>
        <v>9</v>
      </c>
      <c r="V39" s="16">
        <f t="shared" si="31"/>
        <v>27</v>
      </c>
      <c r="W39" s="16">
        <f t="shared" si="31"/>
        <v>9</v>
      </c>
      <c r="X39" s="16">
        <f t="shared" si="31"/>
        <v>0</v>
      </c>
      <c r="Y39" s="16">
        <f t="shared" si="31"/>
        <v>15</v>
      </c>
      <c r="Z39" s="16">
        <f t="shared" si="31"/>
        <v>3</v>
      </c>
      <c r="AA39" s="16">
        <f t="shared" si="31"/>
        <v>8</v>
      </c>
      <c r="AB39" s="16">
        <f t="shared" si="31"/>
        <v>0</v>
      </c>
      <c r="AC39" s="16">
        <f t="shared" si="31"/>
        <v>432</v>
      </c>
      <c r="AD39" s="16">
        <f t="shared" si="31"/>
        <v>0</v>
      </c>
      <c r="AE39" s="32">
        <f t="shared" si="31"/>
        <v>115</v>
      </c>
      <c r="AF39" s="32">
        <f t="shared" si="31"/>
        <v>547</v>
      </c>
    </row>
    <row r="40" spans="2:32" ht="23.1" customHeight="1" x14ac:dyDescent="0.25">
      <c r="B40" s="46" t="s">
        <v>67</v>
      </c>
      <c r="C40" s="50">
        <v>7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11</v>
      </c>
      <c r="P40" s="15">
        <f t="shared" si="1"/>
        <v>57</v>
      </c>
      <c r="R40" s="5" t="s">
        <v>17</v>
      </c>
      <c r="S40" s="16">
        <f t="shared" ref="S40:AF40" si="32">SUM(S10:S21)</f>
        <v>134</v>
      </c>
      <c r="T40" s="16">
        <f t="shared" si="32"/>
        <v>23</v>
      </c>
      <c r="U40" s="16">
        <f t="shared" si="32"/>
        <v>30</v>
      </c>
      <c r="V40" s="16">
        <f t="shared" si="32"/>
        <v>93</v>
      </c>
      <c r="W40" s="16">
        <f t="shared" si="32"/>
        <v>15</v>
      </c>
      <c r="X40" s="16">
        <f t="shared" si="32"/>
        <v>0</v>
      </c>
      <c r="Y40" s="16">
        <f t="shared" si="32"/>
        <v>51</v>
      </c>
      <c r="Z40" s="16">
        <f t="shared" si="32"/>
        <v>26</v>
      </c>
      <c r="AA40" s="16">
        <f t="shared" si="32"/>
        <v>29</v>
      </c>
      <c r="AB40" s="16">
        <f t="shared" si="32"/>
        <v>0</v>
      </c>
      <c r="AC40" s="16">
        <f t="shared" si="32"/>
        <v>1898</v>
      </c>
      <c r="AD40" s="16">
        <f t="shared" si="32"/>
        <v>0</v>
      </c>
      <c r="AE40" s="32">
        <f t="shared" si="32"/>
        <v>401</v>
      </c>
      <c r="AF40" s="32">
        <f t="shared" si="32"/>
        <v>2299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5</v>
      </c>
      <c r="G41" s="50">
        <v>0</v>
      </c>
      <c r="H41" s="50">
        <v>0</v>
      </c>
      <c r="I41" s="50">
        <v>1</v>
      </c>
      <c r="J41" s="50">
        <v>3</v>
      </c>
      <c r="K41" s="50">
        <v>2</v>
      </c>
      <c r="L41" s="50">
        <v>0</v>
      </c>
      <c r="M41" s="50">
        <v>39</v>
      </c>
      <c r="N41" s="50">
        <v>0</v>
      </c>
      <c r="O41" s="15">
        <f t="shared" si="0"/>
        <v>13</v>
      </c>
      <c r="P41" s="15">
        <f t="shared" si="1"/>
        <v>52</v>
      </c>
      <c r="R41" s="5" t="s">
        <v>159</v>
      </c>
      <c r="S41" s="16">
        <f>SUM(S10:S33)</f>
        <v>266</v>
      </c>
      <c r="T41" s="16">
        <f t="shared" ref="T41:AF41" si="33">SUM(T10:T33)</f>
        <v>41</v>
      </c>
      <c r="U41" s="16">
        <f t="shared" si="33"/>
        <v>48</v>
      </c>
      <c r="V41" s="16">
        <f t="shared" si="33"/>
        <v>194</v>
      </c>
      <c r="W41" s="16">
        <f t="shared" si="33"/>
        <v>17</v>
      </c>
      <c r="X41" s="16">
        <f t="shared" si="33"/>
        <v>0</v>
      </c>
      <c r="Y41" s="16">
        <f t="shared" si="33"/>
        <v>74</v>
      </c>
      <c r="Z41" s="16">
        <f t="shared" si="33"/>
        <v>41</v>
      </c>
      <c r="AA41" s="16">
        <f t="shared" si="33"/>
        <v>35</v>
      </c>
      <c r="AB41" s="16">
        <f t="shared" si="33"/>
        <v>1</v>
      </c>
      <c r="AC41" s="16">
        <f t="shared" si="33"/>
        <v>3165</v>
      </c>
      <c r="AD41" s="16">
        <f t="shared" si="33"/>
        <v>0</v>
      </c>
      <c r="AE41" s="32">
        <f t="shared" si="33"/>
        <v>717</v>
      </c>
      <c r="AF41" s="32">
        <f t="shared" si="33"/>
        <v>3882</v>
      </c>
    </row>
    <row r="42" spans="2:32" ht="23.1" customHeight="1" x14ac:dyDescent="0.25">
      <c r="B42" s="46" t="s">
        <v>69</v>
      </c>
      <c r="C42" s="50">
        <v>5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2</v>
      </c>
      <c r="L42" s="50">
        <v>0</v>
      </c>
      <c r="M42" s="50">
        <v>34</v>
      </c>
      <c r="N42" s="50">
        <v>0</v>
      </c>
      <c r="O42" s="15">
        <f t="shared" si="0"/>
        <v>9</v>
      </c>
      <c r="P42" s="15">
        <f t="shared" si="1"/>
        <v>43</v>
      </c>
      <c r="R42" s="5" t="s">
        <v>160</v>
      </c>
      <c r="S42" s="48">
        <f>S41/S40</f>
        <v>1.9850746268656716</v>
      </c>
      <c r="T42" s="48">
        <f t="shared" ref="T42:AF42" si="34">T41/T40</f>
        <v>1.7826086956521738</v>
      </c>
      <c r="U42" s="48">
        <f t="shared" si="34"/>
        <v>1.6</v>
      </c>
      <c r="V42" s="48">
        <f t="shared" si="34"/>
        <v>2.086021505376344</v>
      </c>
      <c r="W42" s="48">
        <f t="shared" si="34"/>
        <v>1.1333333333333333</v>
      </c>
      <c r="X42" s="48" t="e">
        <f t="shared" si="34"/>
        <v>#DIV/0!</v>
      </c>
      <c r="Y42" s="48">
        <f t="shared" si="34"/>
        <v>1.4509803921568627</v>
      </c>
      <c r="Z42" s="48">
        <f t="shared" si="34"/>
        <v>1.5769230769230769</v>
      </c>
      <c r="AA42" s="48">
        <f t="shared" si="34"/>
        <v>1.2068965517241379</v>
      </c>
      <c r="AB42" s="48" t="e">
        <f t="shared" si="34"/>
        <v>#DIV/0!</v>
      </c>
      <c r="AC42" s="48">
        <f t="shared" si="34"/>
        <v>1.6675447839831401</v>
      </c>
      <c r="AD42" s="48" t="e">
        <f t="shared" si="34"/>
        <v>#DIV/0!</v>
      </c>
      <c r="AE42" s="48">
        <f t="shared" si="34"/>
        <v>1.7880299251870324</v>
      </c>
      <c r="AF42" s="48">
        <f t="shared" si="34"/>
        <v>1.6885602435841671</v>
      </c>
    </row>
    <row r="43" spans="2:32" ht="23.1" customHeight="1" x14ac:dyDescent="0.25">
      <c r="B43" s="45" t="s">
        <v>70</v>
      </c>
      <c r="C43" s="50">
        <v>3</v>
      </c>
      <c r="D43" s="50">
        <v>1</v>
      </c>
      <c r="E43" s="50">
        <v>2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5">
        <f t="shared" si="0"/>
        <v>8</v>
      </c>
      <c r="P43" s="15">
        <f t="shared" si="1"/>
        <v>34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2</v>
      </c>
      <c r="F44" s="50">
        <v>1</v>
      </c>
      <c r="G44" s="50">
        <v>1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36</v>
      </c>
      <c r="N44" s="50">
        <v>0</v>
      </c>
      <c r="O44" s="15">
        <f t="shared" si="0"/>
        <v>8</v>
      </c>
      <c r="P44" s="15">
        <f t="shared" si="1"/>
        <v>44</v>
      </c>
    </row>
    <row r="45" spans="2:32" ht="23.1" customHeight="1" x14ac:dyDescent="0.25">
      <c r="B45" s="45" t="s">
        <v>72</v>
      </c>
      <c r="C45" s="50">
        <v>2</v>
      </c>
      <c r="D45" s="50">
        <v>1</v>
      </c>
      <c r="E45" s="50">
        <v>2</v>
      </c>
      <c r="F45" s="50">
        <v>3</v>
      </c>
      <c r="G45" s="50">
        <v>0</v>
      </c>
      <c r="H45" s="50">
        <v>0</v>
      </c>
      <c r="I45" s="50">
        <v>1</v>
      </c>
      <c r="J45" s="50">
        <v>1</v>
      </c>
      <c r="K45" s="50">
        <v>2</v>
      </c>
      <c r="L45" s="50">
        <v>0</v>
      </c>
      <c r="M45" s="50">
        <v>30</v>
      </c>
      <c r="N45" s="50">
        <v>0</v>
      </c>
      <c r="O45" s="15">
        <f t="shared" si="0"/>
        <v>12</v>
      </c>
      <c r="P45" s="15">
        <f t="shared" si="1"/>
        <v>42</v>
      </c>
    </row>
    <row r="46" spans="2:32" ht="23.1" customHeight="1" x14ac:dyDescent="0.25">
      <c r="B46" s="46" t="s">
        <v>73</v>
      </c>
      <c r="C46" s="50">
        <v>3</v>
      </c>
      <c r="D46" s="50">
        <v>1</v>
      </c>
      <c r="E46" s="50">
        <v>0</v>
      </c>
      <c r="F46" s="50">
        <v>6</v>
      </c>
      <c r="G46" s="50">
        <v>1</v>
      </c>
      <c r="H46" s="50">
        <v>0</v>
      </c>
      <c r="I46" s="50">
        <v>2</v>
      </c>
      <c r="J46" s="50">
        <v>0</v>
      </c>
      <c r="K46" s="50">
        <v>1</v>
      </c>
      <c r="L46" s="50">
        <v>0</v>
      </c>
      <c r="M46" s="50">
        <v>29</v>
      </c>
      <c r="N46" s="50">
        <v>0</v>
      </c>
      <c r="O46" s="15">
        <f t="shared" si="0"/>
        <v>14</v>
      </c>
      <c r="P46" s="15">
        <f t="shared" si="1"/>
        <v>43</v>
      </c>
      <c r="R46" s="8"/>
      <c r="T46"/>
    </row>
    <row r="47" spans="2:32" ht="23.1" customHeight="1" x14ac:dyDescent="0.25">
      <c r="B47" s="46" t="s">
        <v>74</v>
      </c>
      <c r="C47" s="50">
        <v>4</v>
      </c>
      <c r="D47" s="50">
        <v>1</v>
      </c>
      <c r="E47" s="50">
        <v>0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2</v>
      </c>
      <c r="L47" s="50">
        <v>0</v>
      </c>
      <c r="M47" s="50">
        <v>32</v>
      </c>
      <c r="N47" s="50">
        <v>0</v>
      </c>
      <c r="O47" s="15">
        <f t="shared" si="0"/>
        <v>11</v>
      </c>
      <c r="P47" s="15">
        <f t="shared" si="1"/>
        <v>43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6</v>
      </c>
      <c r="P48" s="15">
        <f t="shared" si="1"/>
        <v>36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1</v>
      </c>
      <c r="F49" s="50">
        <v>2</v>
      </c>
      <c r="G49" s="50">
        <v>2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10</v>
      </c>
      <c r="P49" s="15">
        <f t="shared" si="1"/>
        <v>45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0</v>
      </c>
      <c r="F50" s="50">
        <v>3</v>
      </c>
      <c r="G50" s="50">
        <v>3</v>
      </c>
      <c r="H50" s="50">
        <v>0</v>
      </c>
      <c r="I50" s="50">
        <v>2</v>
      </c>
      <c r="J50" s="50">
        <v>1</v>
      </c>
      <c r="K50" s="50">
        <v>2</v>
      </c>
      <c r="L50" s="50">
        <v>0</v>
      </c>
      <c r="M50" s="50">
        <v>35</v>
      </c>
      <c r="N50" s="50">
        <v>0</v>
      </c>
      <c r="O50" s="15">
        <f t="shared" si="0"/>
        <v>14</v>
      </c>
      <c r="P50" s="15">
        <f t="shared" si="1"/>
        <v>49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1</v>
      </c>
      <c r="E51" s="50">
        <v>2</v>
      </c>
      <c r="F51" s="50">
        <v>2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28</v>
      </c>
      <c r="N51" s="50">
        <v>0</v>
      </c>
      <c r="O51" s="15">
        <f t="shared" si="0"/>
        <v>8</v>
      </c>
      <c r="P51" s="15">
        <f t="shared" si="1"/>
        <v>36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2</v>
      </c>
      <c r="E52" s="50">
        <v>0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1</v>
      </c>
      <c r="L52" s="50">
        <v>0</v>
      </c>
      <c r="M52" s="50">
        <v>35</v>
      </c>
      <c r="N52" s="50">
        <v>0</v>
      </c>
      <c r="O52" s="15">
        <f t="shared" si="0"/>
        <v>9</v>
      </c>
      <c r="P52" s="15">
        <f t="shared" si="1"/>
        <v>44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50</v>
      </c>
      <c r="N53" s="50">
        <v>0</v>
      </c>
      <c r="O53" s="15">
        <f t="shared" si="0"/>
        <v>9</v>
      </c>
      <c r="P53" s="15">
        <f t="shared" si="1"/>
        <v>59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2</v>
      </c>
      <c r="E54" s="50">
        <v>3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38</v>
      </c>
      <c r="N54" s="50">
        <v>0</v>
      </c>
      <c r="O54" s="15">
        <f t="shared" si="0"/>
        <v>8</v>
      </c>
      <c r="P54" s="15">
        <f t="shared" si="1"/>
        <v>46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2</v>
      </c>
      <c r="F55" s="50">
        <v>0</v>
      </c>
      <c r="G55" s="50">
        <v>2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34</v>
      </c>
      <c r="N55" s="50">
        <v>0</v>
      </c>
      <c r="O55" s="15">
        <f t="shared" si="0"/>
        <v>6</v>
      </c>
      <c r="P55" s="15">
        <f t="shared" si="1"/>
        <v>40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2</v>
      </c>
      <c r="E56" s="50">
        <v>0</v>
      </c>
      <c r="F56" s="50">
        <v>0</v>
      </c>
      <c r="G56" s="50">
        <v>1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42</v>
      </c>
      <c r="N56" s="50">
        <v>0</v>
      </c>
      <c r="O56" s="15">
        <f t="shared" si="0"/>
        <v>9</v>
      </c>
      <c r="P56" s="15">
        <f t="shared" si="1"/>
        <v>51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1</v>
      </c>
      <c r="E57" s="50">
        <v>0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2</v>
      </c>
      <c r="L57" s="50">
        <v>0</v>
      </c>
      <c r="M57" s="50">
        <v>44</v>
      </c>
      <c r="N57" s="50">
        <v>0</v>
      </c>
      <c r="O57" s="15">
        <f t="shared" si="0"/>
        <v>11</v>
      </c>
      <c r="P57" s="15">
        <f t="shared" si="1"/>
        <v>55</v>
      </c>
      <c r="R57" s="8"/>
      <c r="T57"/>
    </row>
    <row r="58" spans="2:20" ht="23.1" customHeight="1" x14ac:dyDescent="0.25">
      <c r="B58" s="45" t="s">
        <v>99</v>
      </c>
      <c r="C58" s="50">
        <v>8</v>
      </c>
      <c r="D58" s="50">
        <v>1</v>
      </c>
      <c r="E58" s="50">
        <v>1</v>
      </c>
      <c r="F58" s="50">
        <v>2</v>
      </c>
      <c r="G58" s="50">
        <v>0</v>
      </c>
      <c r="H58" s="50">
        <v>0</v>
      </c>
      <c r="I58" s="50">
        <v>2</v>
      </c>
      <c r="J58" s="50">
        <v>0</v>
      </c>
      <c r="K58" s="50">
        <v>1</v>
      </c>
      <c r="L58" s="50">
        <v>0</v>
      </c>
      <c r="M58" s="50">
        <v>40</v>
      </c>
      <c r="N58" s="50">
        <v>0</v>
      </c>
      <c r="O58" s="15">
        <f t="shared" si="0"/>
        <v>15</v>
      </c>
      <c r="P58" s="15">
        <f t="shared" si="1"/>
        <v>55</v>
      </c>
      <c r="R58" s="8"/>
      <c r="T58"/>
    </row>
    <row r="59" spans="2:20" ht="23.1" customHeight="1" x14ac:dyDescent="0.25">
      <c r="B59" s="45" t="s">
        <v>100</v>
      </c>
      <c r="C59" s="50">
        <v>6</v>
      </c>
      <c r="D59" s="50">
        <v>0</v>
      </c>
      <c r="E59" s="50">
        <v>3</v>
      </c>
      <c r="F59" s="50">
        <v>2</v>
      </c>
      <c r="G59" s="50">
        <v>0</v>
      </c>
      <c r="H59" s="50">
        <v>0</v>
      </c>
      <c r="I59" s="50">
        <v>1</v>
      </c>
      <c r="J59" s="50">
        <v>1</v>
      </c>
      <c r="K59" s="50">
        <v>0</v>
      </c>
      <c r="L59" s="50">
        <v>0</v>
      </c>
      <c r="M59" s="50">
        <v>48</v>
      </c>
      <c r="N59" s="50">
        <v>0</v>
      </c>
      <c r="O59" s="15">
        <f t="shared" si="0"/>
        <v>13</v>
      </c>
      <c r="P59" s="15">
        <f t="shared" si="1"/>
        <v>61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3</v>
      </c>
      <c r="E60" s="50">
        <v>2</v>
      </c>
      <c r="F60" s="50">
        <v>3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45</v>
      </c>
      <c r="N60" s="50">
        <v>0</v>
      </c>
      <c r="O60" s="15">
        <f t="shared" si="0"/>
        <v>12</v>
      </c>
      <c r="P60" s="15">
        <f t="shared" si="1"/>
        <v>57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1</v>
      </c>
      <c r="F61" s="50">
        <v>2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50</v>
      </c>
      <c r="N61" s="50">
        <v>0</v>
      </c>
      <c r="O61" s="15">
        <f t="shared" si="0"/>
        <v>8</v>
      </c>
      <c r="P61" s="15">
        <f t="shared" si="1"/>
        <v>58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0</v>
      </c>
      <c r="E62" s="50">
        <v>2</v>
      </c>
      <c r="F62" s="50">
        <v>3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44</v>
      </c>
      <c r="N62" s="50">
        <v>0</v>
      </c>
      <c r="O62" s="15">
        <f t="shared" si="0"/>
        <v>11</v>
      </c>
      <c r="P62" s="15">
        <f t="shared" si="1"/>
        <v>55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0</v>
      </c>
      <c r="F63" s="50">
        <v>4</v>
      </c>
      <c r="G63" s="50">
        <v>0</v>
      </c>
      <c r="H63" s="50">
        <v>0</v>
      </c>
      <c r="I63" s="50">
        <v>0</v>
      </c>
      <c r="J63" s="50">
        <v>4</v>
      </c>
      <c r="K63" s="50">
        <v>1</v>
      </c>
      <c r="L63" s="50">
        <v>0</v>
      </c>
      <c r="M63" s="50">
        <v>39</v>
      </c>
      <c r="N63" s="50">
        <v>0</v>
      </c>
      <c r="O63" s="15">
        <f t="shared" si="0"/>
        <v>11</v>
      </c>
      <c r="P63" s="15">
        <f t="shared" si="1"/>
        <v>50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2</v>
      </c>
      <c r="E64" s="50">
        <v>2</v>
      </c>
      <c r="F64" s="50">
        <v>3</v>
      </c>
      <c r="G64" s="50">
        <v>0</v>
      </c>
      <c r="H64" s="50">
        <v>0</v>
      </c>
      <c r="I64" s="50">
        <v>2</v>
      </c>
      <c r="J64" s="50">
        <v>0</v>
      </c>
      <c r="K64" s="50">
        <v>1</v>
      </c>
      <c r="L64" s="50">
        <v>0</v>
      </c>
      <c r="M64" s="50">
        <v>42</v>
      </c>
      <c r="N64" s="50">
        <v>0</v>
      </c>
      <c r="O64" s="15">
        <f t="shared" si="0"/>
        <v>13</v>
      </c>
      <c r="P64" s="15">
        <f t="shared" si="1"/>
        <v>55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1</v>
      </c>
      <c r="F65" s="50">
        <v>2</v>
      </c>
      <c r="G65" s="50">
        <v>1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46</v>
      </c>
      <c r="N65" s="50">
        <v>0</v>
      </c>
      <c r="O65" s="15">
        <f t="shared" si="0"/>
        <v>9</v>
      </c>
      <c r="P65" s="15">
        <f t="shared" si="1"/>
        <v>55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3</v>
      </c>
      <c r="F66" s="50">
        <v>2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67</v>
      </c>
      <c r="N66" s="50">
        <v>0</v>
      </c>
      <c r="O66" s="15">
        <f t="shared" si="0"/>
        <v>9</v>
      </c>
      <c r="P66" s="15">
        <f t="shared" si="1"/>
        <v>76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1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2</v>
      </c>
      <c r="L67" s="50">
        <v>0</v>
      </c>
      <c r="M67" s="50">
        <v>54</v>
      </c>
      <c r="N67" s="50">
        <v>0</v>
      </c>
      <c r="O67" s="15">
        <f t="shared" si="0"/>
        <v>12</v>
      </c>
      <c r="P67" s="15">
        <f t="shared" si="1"/>
        <v>66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4</v>
      </c>
      <c r="E68" s="50">
        <v>1</v>
      </c>
      <c r="F68" s="50">
        <v>3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59</v>
      </c>
      <c r="N68" s="50">
        <v>0</v>
      </c>
      <c r="O68" s="15">
        <f t="shared" si="0"/>
        <v>13</v>
      </c>
      <c r="P68" s="15">
        <f t="shared" si="1"/>
        <v>72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2</v>
      </c>
      <c r="E69" s="50">
        <v>0</v>
      </c>
      <c r="F69" s="50">
        <v>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60</v>
      </c>
      <c r="N69" s="50">
        <v>0</v>
      </c>
      <c r="O69" s="15">
        <f t="shared" si="0"/>
        <v>7</v>
      </c>
      <c r="P69" s="15">
        <f t="shared" si="1"/>
        <v>67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3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51</v>
      </c>
      <c r="N70" s="50">
        <v>0</v>
      </c>
      <c r="O70" s="15">
        <f t="shared" si="0"/>
        <v>4</v>
      </c>
      <c r="P70" s="15">
        <f t="shared" si="1"/>
        <v>55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39</v>
      </c>
      <c r="N71" s="50">
        <v>0</v>
      </c>
      <c r="O71" s="15">
        <f t="shared" si="0"/>
        <v>4</v>
      </c>
      <c r="P71" s="15">
        <f t="shared" si="1"/>
        <v>43</v>
      </c>
      <c r="R71" s="8"/>
      <c r="T71"/>
    </row>
    <row r="72" spans="2:20" ht="23.1" customHeight="1" x14ac:dyDescent="0.25">
      <c r="B72" s="45" t="s">
        <v>112</v>
      </c>
      <c r="C72" s="50">
        <v>7</v>
      </c>
      <c r="D72" s="50">
        <v>0</v>
      </c>
      <c r="E72" s="50">
        <v>1</v>
      </c>
      <c r="F72" s="50">
        <v>2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55</v>
      </c>
      <c r="N72" s="50">
        <v>0</v>
      </c>
      <c r="O72" s="15">
        <f t="shared" si="0"/>
        <v>10</v>
      </c>
      <c r="P72" s="15">
        <f t="shared" si="1"/>
        <v>65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2</v>
      </c>
      <c r="E73" s="50">
        <v>0</v>
      </c>
      <c r="F73" s="50">
        <v>4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70</v>
      </c>
      <c r="N73" s="50">
        <v>0</v>
      </c>
      <c r="O73" s="15">
        <f t="shared" si="0"/>
        <v>15</v>
      </c>
      <c r="P73" s="15">
        <f t="shared" si="1"/>
        <v>85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1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1</v>
      </c>
      <c r="K74" s="50">
        <v>1</v>
      </c>
      <c r="L74" s="50">
        <v>0</v>
      </c>
      <c r="M74" s="50">
        <v>55</v>
      </c>
      <c r="N74" s="50">
        <v>0</v>
      </c>
      <c r="O74" s="15">
        <f t="shared" ref="O74:O105" si="35">SUM(C74:L74,N74)</f>
        <v>7</v>
      </c>
      <c r="P74" s="15">
        <f t="shared" ref="P74:P105" si="36">SUM(C74:N74)</f>
        <v>62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3</v>
      </c>
      <c r="G75" s="50">
        <v>0</v>
      </c>
      <c r="H75" s="50">
        <v>0</v>
      </c>
      <c r="I75" s="50">
        <v>2</v>
      </c>
      <c r="J75" s="50">
        <v>2</v>
      </c>
      <c r="K75" s="50">
        <v>0</v>
      </c>
      <c r="L75" s="50">
        <v>0</v>
      </c>
      <c r="M75" s="50">
        <v>50</v>
      </c>
      <c r="N75" s="50">
        <v>0</v>
      </c>
      <c r="O75" s="15">
        <f t="shared" si="35"/>
        <v>10</v>
      </c>
      <c r="P75" s="15">
        <f t="shared" si="36"/>
        <v>60</v>
      </c>
      <c r="R75" s="8"/>
      <c r="T75"/>
    </row>
    <row r="76" spans="2:20" ht="23.1" customHeight="1" x14ac:dyDescent="0.25">
      <c r="B76" s="45" t="s">
        <v>116</v>
      </c>
      <c r="C76" s="50">
        <v>6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1</v>
      </c>
      <c r="M76" s="50">
        <v>35</v>
      </c>
      <c r="N76" s="50">
        <v>0</v>
      </c>
      <c r="O76" s="15">
        <f t="shared" si="35"/>
        <v>9</v>
      </c>
      <c r="P76" s="15">
        <f t="shared" si="36"/>
        <v>44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39</v>
      </c>
      <c r="N77" s="50">
        <v>0</v>
      </c>
      <c r="O77" s="15">
        <f t="shared" si="35"/>
        <v>9</v>
      </c>
      <c r="P77" s="15">
        <f t="shared" si="36"/>
        <v>48</v>
      </c>
      <c r="R77" s="8"/>
      <c r="T77"/>
    </row>
    <row r="78" spans="2:20" ht="23.1" customHeight="1" x14ac:dyDescent="0.25">
      <c r="B78" s="46" t="s">
        <v>118</v>
      </c>
      <c r="C78" s="50">
        <v>6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45</v>
      </c>
      <c r="N78" s="50">
        <v>0</v>
      </c>
      <c r="O78" s="15">
        <f t="shared" si="35"/>
        <v>6</v>
      </c>
      <c r="P78" s="15">
        <f t="shared" si="36"/>
        <v>51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35</v>
      </c>
      <c r="N79" s="50">
        <v>0</v>
      </c>
      <c r="O79" s="15">
        <f t="shared" si="35"/>
        <v>5</v>
      </c>
      <c r="P79" s="15">
        <f t="shared" si="36"/>
        <v>40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23</v>
      </c>
      <c r="N80" s="50">
        <v>0</v>
      </c>
      <c r="O80" s="15">
        <f t="shared" si="35"/>
        <v>2</v>
      </c>
      <c r="P80" s="15">
        <f t="shared" si="36"/>
        <v>25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12</v>
      </c>
      <c r="N81" s="50">
        <v>0</v>
      </c>
      <c r="O81" s="15">
        <f t="shared" si="35"/>
        <v>2</v>
      </c>
      <c r="P81" s="15">
        <f t="shared" si="36"/>
        <v>14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10</v>
      </c>
      <c r="N82" s="50">
        <v>0</v>
      </c>
      <c r="O82" s="15">
        <f t="shared" si="35"/>
        <v>3</v>
      </c>
      <c r="P82" s="15">
        <f t="shared" si="36"/>
        <v>13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8</v>
      </c>
      <c r="N83" s="50">
        <v>0</v>
      </c>
      <c r="O83" s="15">
        <f t="shared" si="35"/>
        <v>3</v>
      </c>
      <c r="P83" s="15">
        <f t="shared" si="36"/>
        <v>11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1</v>
      </c>
      <c r="P84" s="15">
        <f t="shared" si="36"/>
        <v>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2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5"/>
        <v>3</v>
      </c>
      <c r="P86" s="15">
        <f t="shared" si="36"/>
        <v>9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6</v>
      </c>
      <c r="N87" s="50">
        <v>0</v>
      </c>
      <c r="O87" s="15">
        <f t="shared" si="35"/>
        <v>1</v>
      </c>
      <c r="P87" s="15">
        <f t="shared" si="36"/>
        <v>7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1</v>
      </c>
      <c r="P88" s="15">
        <f t="shared" si="36"/>
        <v>5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5</v>
      </c>
      <c r="N89" s="50">
        <v>0</v>
      </c>
      <c r="O89" s="15">
        <f t="shared" si="35"/>
        <v>1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3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0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1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6</v>
      </c>
      <c r="N96" s="50">
        <v>0</v>
      </c>
      <c r="O96" s="15">
        <f t="shared" si="35"/>
        <v>3</v>
      </c>
      <c r="P96" s="15">
        <f t="shared" si="36"/>
        <v>9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8</v>
      </c>
      <c r="N97" s="50">
        <v>0</v>
      </c>
      <c r="O97" s="15">
        <f t="shared" si="35"/>
        <v>6</v>
      </c>
      <c r="P97" s="15">
        <f t="shared" si="36"/>
        <v>14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0</v>
      </c>
      <c r="F98" s="50">
        <v>7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10</v>
      </c>
      <c r="P98" s="15">
        <f t="shared" si="36"/>
        <v>11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8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6</v>
      </c>
      <c r="N99" s="50">
        <v>0</v>
      </c>
      <c r="O99" s="15">
        <f t="shared" si="35"/>
        <v>10</v>
      </c>
      <c r="P99" s="15">
        <f t="shared" si="36"/>
        <v>16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7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7</v>
      </c>
      <c r="P100" s="15">
        <f t="shared" si="36"/>
        <v>12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4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5">
        <f t="shared" si="35"/>
        <v>8</v>
      </c>
      <c r="P101" s="15">
        <f t="shared" si="36"/>
        <v>12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6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9</v>
      </c>
      <c r="N102" s="50">
        <v>0</v>
      </c>
      <c r="O102" s="15">
        <f t="shared" si="35"/>
        <v>10</v>
      </c>
      <c r="P102" s="15">
        <f t="shared" si="36"/>
        <v>19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8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11</v>
      </c>
      <c r="N103" s="50">
        <v>0</v>
      </c>
      <c r="O103" s="15">
        <f t="shared" si="35"/>
        <v>11</v>
      </c>
      <c r="P103" s="15">
        <f t="shared" si="36"/>
        <v>22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21</v>
      </c>
      <c r="N104" s="50">
        <v>0</v>
      </c>
      <c r="O104" s="15">
        <f t="shared" si="35"/>
        <v>2</v>
      </c>
      <c r="P104" s="15">
        <f t="shared" si="36"/>
        <v>23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1</v>
      </c>
      <c r="F105" s="50">
        <v>6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34</v>
      </c>
      <c r="N105" s="50">
        <v>0</v>
      </c>
      <c r="O105" s="15">
        <f t="shared" si="35"/>
        <v>12</v>
      </c>
      <c r="P105" s="15">
        <f t="shared" si="36"/>
        <v>46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266</v>
      </c>
      <c r="D106" s="16">
        <f t="shared" ref="D106:P106" si="37">SUM(D10:D105)</f>
        <v>41</v>
      </c>
      <c r="E106" s="16">
        <f t="shared" si="37"/>
        <v>48</v>
      </c>
      <c r="F106" s="16">
        <f t="shared" si="37"/>
        <v>194</v>
      </c>
      <c r="G106" s="16">
        <f t="shared" si="37"/>
        <v>17</v>
      </c>
      <c r="H106" s="16">
        <f t="shared" si="37"/>
        <v>0</v>
      </c>
      <c r="I106" s="16">
        <f t="shared" si="37"/>
        <v>74</v>
      </c>
      <c r="J106" s="16">
        <f t="shared" si="37"/>
        <v>41</v>
      </c>
      <c r="K106" s="16">
        <f t="shared" si="37"/>
        <v>35</v>
      </c>
      <c r="L106" s="16">
        <f t="shared" si="37"/>
        <v>1</v>
      </c>
      <c r="M106" s="16">
        <f t="shared" si="37"/>
        <v>3165</v>
      </c>
      <c r="N106" s="16">
        <f t="shared" si="37"/>
        <v>0</v>
      </c>
      <c r="O106" s="16">
        <f t="shared" si="37"/>
        <v>717</v>
      </c>
      <c r="P106" s="16">
        <f t="shared" si="37"/>
        <v>3882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6.8521380731581663E-2</v>
      </c>
      <c r="D107" s="43">
        <f t="shared" si="38"/>
        <v>1.056156620298815E-2</v>
      </c>
      <c r="E107" s="43">
        <f t="shared" si="38"/>
        <v>1.2364760432766615E-2</v>
      </c>
      <c r="F107" s="43">
        <f t="shared" si="38"/>
        <v>4.9974240082431738E-2</v>
      </c>
      <c r="G107" s="43">
        <f t="shared" si="38"/>
        <v>4.3791859866048428E-3</v>
      </c>
      <c r="H107" s="43">
        <f t="shared" si="38"/>
        <v>0</v>
      </c>
      <c r="I107" s="43">
        <f t="shared" si="38"/>
        <v>1.90623390005152E-2</v>
      </c>
      <c r="J107" s="43">
        <f t="shared" si="38"/>
        <v>1.056156620298815E-2</v>
      </c>
      <c r="K107" s="43">
        <f t="shared" si="38"/>
        <v>9.0159711488923232E-3</v>
      </c>
      <c r="L107" s="43">
        <f t="shared" si="38"/>
        <v>2.5759917568263783E-4</v>
      </c>
      <c r="M107" s="43">
        <f t="shared" si="38"/>
        <v>0.81530139103554866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0.37099023709902373</v>
      </c>
      <c r="D108" s="44">
        <f t="shared" ref="D108:N108" si="39">D106/$O$106</f>
        <v>5.7182705718270568E-2</v>
      </c>
      <c r="E108" s="44">
        <f t="shared" si="39"/>
        <v>6.6945606694560664E-2</v>
      </c>
      <c r="F108" s="44">
        <f t="shared" si="39"/>
        <v>0.27057182705718269</v>
      </c>
      <c r="G108" s="44">
        <f t="shared" si="39"/>
        <v>2.3709902370990237E-2</v>
      </c>
      <c r="H108" s="44">
        <f t="shared" si="39"/>
        <v>0</v>
      </c>
      <c r="I108" s="44">
        <f t="shared" si="39"/>
        <v>0.10320781032078104</v>
      </c>
      <c r="J108" s="44">
        <f t="shared" si="39"/>
        <v>5.7182705718270568E-2</v>
      </c>
      <c r="K108" s="44">
        <f t="shared" si="39"/>
        <v>4.8814504881450491E-2</v>
      </c>
      <c r="L108" s="44">
        <f t="shared" si="39"/>
        <v>1.3947001394700139E-3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3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'[1]23.09.19-Kitemu-Buddo'!C3:G3</f>
        <v>MCC-C2-Kitemu 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'26.09 Kitemu-Buddo-24 HRS'!D5</f>
        <v>26.09.19</v>
      </c>
      <c r="E5" s="3"/>
      <c r="F5" s="41" t="s">
        <v>1</v>
      </c>
      <c r="G5" s="69" t="str">
        <f>'[1]27.09 Kitemu-Buddo'!G5:H5</f>
        <v>St Charles Lwanga PS</v>
      </c>
      <c r="H5" s="70"/>
      <c r="I5" s="14"/>
      <c r="J5" s="2" t="s">
        <v>5</v>
      </c>
      <c r="K5" s="69" t="str">
        <f>'[1]27.09 Kitemu-Buddo'!K5:L5</f>
        <v>Moreen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'[1]23.09.19 -Buddo-Kitemu'!D6:E6</f>
        <v>BUDDO</v>
      </c>
      <c r="E6" s="70"/>
      <c r="F6" s="2" t="s">
        <v>2</v>
      </c>
      <c r="G6" s="69" t="str">
        <f>'[1]24.09 Buddo-Kitemu'!G6:H6</f>
        <v>KITEMU</v>
      </c>
      <c r="H6" s="70"/>
      <c r="J6" s="2" t="s">
        <v>21</v>
      </c>
      <c r="K6" s="69" t="str">
        <f>'[1]27.09 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73</v>
      </c>
      <c r="N10" s="50">
        <v>0</v>
      </c>
      <c r="O10" s="15">
        <f t="shared" ref="O10:O73" si="0">SUM(C10:L10,N10)</f>
        <v>13</v>
      </c>
      <c r="P10" s="15">
        <f t="shared" ref="P10:P73" si="1">SUM(C10:N10)</f>
        <v>86</v>
      </c>
      <c r="R10" s="1" t="s">
        <v>6</v>
      </c>
      <c r="S10" s="17">
        <f t="shared" ref="S10:AF10" si="2">SUM(C10:C13)</f>
        <v>30</v>
      </c>
      <c r="T10" s="17">
        <f t="shared" si="2"/>
        <v>2</v>
      </c>
      <c r="U10" s="17">
        <f t="shared" si="2"/>
        <v>2</v>
      </c>
      <c r="V10" s="17">
        <f t="shared" si="2"/>
        <v>13</v>
      </c>
      <c r="W10" s="17">
        <f t="shared" si="2"/>
        <v>2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299</v>
      </c>
      <c r="AD10" s="17">
        <f t="shared" si="2"/>
        <v>0</v>
      </c>
      <c r="AE10" s="31">
        <f t="shared" si="2"/>
        <v>58</v>
      </c>
      <c r="AF10" s="31">
        <f t="shared" si="2"/>
        <v>357</v>
      </c>
    </row>
    <row r="11" spans="2:32" s="6" customFormat="1" ht="23.1" customHeight="1" x14ac:dyDescent="0.25">
      <c r="B11" s="45" t="s">
        <v>38</v>
      </c>
      <c r="C11" s="50">
        <v>7</v>
      </c>
      <c r="D11" s="50">
        <v>1</v>
      </c>
      <c r="E11" s="50">
        <v>1</v>
      </c>
      <c r="F11" s="50">
        <v>3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75</v>
      </c>
      <c r="N11" s="50">
        <v>0</v>
      </c>
      <c r="O11" s="15">
        <f t="shared" si="0"/>
        <v>13</v>
      </c>
      <c r="P11" s="15">
        <f t="shared" si="1"/>
        <v>88</v>
      </c>
      <c r="R11" s="1" t="s">
        <v>7</v>
      </c>
      <c r="S11" s="17">
        <f t="shared" ref="S11:AF11" si="3">SUM(C14:C17)</f>
        <v>23</v>
      </c>
      <c r="T11" s="17">
        <f t="shared" si="3"/>
        <v>1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208</v>
      </c>
      <c r="AD11" s="17">
        <f t="shared" si="3"/>
        <v>0</v>
      </c>
      <c r="AE11" s="31">
        <f t="shared" si="3"/>
        <v>35</v>
      </c>
      <c r="AF11" s="31">
        <f t="shared" si="3"/>
        <v>243</v>
      </c>
    </row>
    <row r="12" spans="2:32" ht="23.1" customHeight="1" x14ac:dyDescent="0.25">
      <c r="B12" s="45" t="s">
        <v>39</v>
      </c>
      <c r="C12" s="50">
        <v>6</v>
      </c>
      <c r="D12" s="50">
        <v>0</v>
      </c>
      <c r="E12" s="50">
        <v>0</v>
      </c>
      <c r="F12" s="50">
        <v>3</v>
      </c>
      <c r="G12" s="50">
        <v>1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64</v>
      </c>
      <c r="N12" s="50">
        <v>0</v>
      </c>
      <c r="O12" s="15">
        <f t="shared" si="0"/>
        <v>14</v>
      </c>
      <c r="P12" s="15">
        <f t="shared" si="1"/>
        <v>78</v>
      </c>
      <c r="R12" s="1" t="s">
        <v>8</v>
      </c>
      <c r="S12" s="17">
        <f t="shared" ref="S12:AF12" si="4">SUM(C18:C21)</f>
        <v>17</v>
      </c>
      <c r="T12" s="17">
        <f t="shared" si="4"/>
        <v>2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175</v>
      </c>
      <c r="AD12" s="17">
        <f t="shared" si="4"/>
        <v>0</v>
      </c>
      <c r="AE12" s="31">
        <f t="shared" si="4"/>
        <v>35</v>
      </c>
      <c r="AF12" s="31">
        <f t="shared" si="4"/>
        <v>210</v>
      </c>
    </row>
    <row r="13" spans="2:32" ht="23.1" customHeight="1" x14ac:dyDescent="0.25">
      <c r="B13" s="45" t="s">
        <v>40</v>
      </c>
      <c r="C13" s="50">
        <v>7</v>
      </c>
      <c r="D13" s="50">
        <v>0</v>
      </c>
      <c r="E13" s="50">
        <v>1</v>
      </c>
      <c r="F13" s="50">
        <v>6</v>
      </c>
      <c r="G13" s="50">
        <v>0</v>
      </c>
      <c r="H13" s="50">
        <v>0</v>
      </c>
      <c r="I13" s="50">
        <v>2</v>
      </c>
      <c r="J13" s="50">
        <v>2</v>
      </c>
      <c r="K13" s="50">
        <v>0</v>
      </c>
      <c r="L13" s="50">
        <v>0</v>
      </c>
      <c r="M13" s="50">
        <v>87</v>
      </c>
      <c r="N13" s="50">
        <v>0</v>
      </c>
      <c r="O13" s="15">
        <f t="shared" si="0"/>
        <v>18</v>
      </c>
      <c r="P13" s="15">
        <f t="shared" si="1"/>
        <v>105</v>
      </c>
      <c r="R13" s="1" t="s">
        <v>9</v>
      </c>
      <c r="S13" s="17">
        <f t="shared" ref="S13:AF13" si="5">SUM(C22:C25)</f>
        <v>26</v>
      </c>
      <c r="T13" s="17">
        <f t="shared" si="5"/>
        <v>1</v>
      </c>
      <c r="U13" s="17">
        <f t="shared" si="5"/>
        <v>1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219</v>
      </c>
      <c r="AD13" s="17">
        <f t="shared" si="5"/>
        <v>61</v>
      </c>
      <c r="AE13" s="31">
        <f t="shared" si="5"/>
        <v>101</v>
      </c>
      <c r="AF13" s="31">
        <f t="shared" si="5"/>
        <v>320</v>
      </c>
    </row>
    <row r="14" spans="2:32" ht="23.1" customHeight="1" x14ac:dyDescent="0.25">
      <c r="B14" s="45" t="s">
        <v>41</v>
      </c>
      <c r="C14" s="50">
        <v>7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54</v>
      </c>
      <c r="N14" s="50">
        <v>0</v>
      </c>
      <c r="O14" s="15">
        <f t="shared" si="0"/>
        <v>11</v>
      </c>
      <c r="P14" s="15">
        <f t="shared" si="1"/>
        <v>65</v>
      </c>
      <c r="R14" s="1" t="s">
        <v>10</v>
      </c>
      <c r="S14" s="17">
        <f t="shared" ref="S14:AF14" si="6">SUM(C26:C29)</f>
        <v>21</v>
      </c>
      <c r="T14" s="17">
        <f t="shared" si="6"/>
        <v>1</v>
      </c>
      <c r="U14" s="17">
        <f t="shared" si="6"/>
        <v>3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190</v>
      </c>
      <c r="AD14" s="17">
        <f t="shared" si="6"/>
        <v>0</v>
      </c>
      <c r="AE14" s="31">
        <f t="shared" si="6"/>
        <v>39</v>
      </c>
      <c r="AF14" s="31">
        <f t="shared" si="6"/>
        <v>229</v>
      </c>
    </row>
    <row r="15" spans="2:32" ht="23.1" customHeight="1" x14ac:dyDescent="0.25">
      <c r="B15" s="45" t="s">
        <v>42</v>
      </c>
      <c r="C15" s="50">
        <v>5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53</v>
      </c>
      <c r="N15" s="50">
        <v>0</v>
      </c>
      <c r="O15" s="15">
        <f t="shared" si="0"/>
        <v>6</v>
      </c>
      <c r="P15" s="15">
        <f t="shared" si="1"/>
        <v>59</v>
      </c>
      <c r="R15" s="1" t="s">
        <v>11</v>
      </c>
      <c r="S15" s="17">
        <f t="shared" ref="S15:AF15" si="7">SUM(C30:C33)</f>
        <v>13</v>
      </c>
      <c r="T15" s="17">
        <f t="shared" si="7"/>
        <v>1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163</v>
      </c>
      <c r="AD15" s="17">
        <f t="shared" si="7"/>
        <v>0</v>
      </c>
      <c r="AE15" s="31">
        <f t="shared" si="7"/>
        <v>31</v>
      </c>
      <c r="AF15" s="31">
        <f t="shared" si="7"/>
        <v>194</v>
      </c>
    </row>
    <row r="16" spans="2:32" ht="23.1" customHeight="1" x14ac:dyDescent="0.25">
      <c r="B16" s="45" t="s">
        <v>43</v>
      </c>
      <c r="C16" s="50">
        <v>5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49</v>
      </c>
      <c r="N16" s="50">
        <v>0</v>
      </c>
      <c r="O16" s="15">
        <f t="shared" si="0"/>
        <v>7</v>
      </c>
      <c r="P16" s="15">
        <f t="shared" si="1"/>
        <v>56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142</v>
      </c>
      <c r="AD16" s="17">
        <f t="shared" si="8"/>
        <v>1</v>
      </c>
      <c r="AE16" s="31">
        <f t="shared" si="8"/>
        <v>30</v>
      </c>
      <c r="AF16" s="31">
        <f t="shared" si="8"/>
        <v>172</v>
      </c>
    </row>
    <row r="17" spans="2:32" ht="23.1" customHeight="1" x14ac:dyDescent="0.25">
      <c r="B17" s="45" t="s">
        <v>44</v>
      </c>
      <c r="C17" s="50">
        <v>6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52</v>
      </c>
      <c r="N17" s="50">
        <v>0</v>
      </c>
      <c r="O17" s="15">
        <f t="shared" si="0"/>
        <v>11</v>
      </c>
      <c r="P17" s="15">
        <f t="shared" si="1"/>
        <v>63</v>
      </c>
      <c r="R17" s="1" t="s">
        <v>13</v>
      </c>
      <c r="S17" s="17">
        <f t="shared" ref="S17:AF17" si="9">SUM(C38:C41)</f>
        <v>9</v>
      </c>
      <c r="T17" s="17">
        <f t="shared" si="9"/>
        <v>1</v>
      </c>
      <c r="U17" s="17">
        <f t="shared" si="9"/>
        <v>4</v>
      </c>
      <c r="V17" s="17">
        <f t="shared" si="9"/>
        <v>5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126</v>
      </c>
      <c r="AD17" s="17">
        <f t="shared" si="9"/>
        <v>0</v>
      </c>
      <c r="AE17" s="31">
        <f t="shared" si="9"/>
        <v>35</v>
      </c>
      <c r="AF17" s="31">
        <f t="shared" si="9"/>
        <v>161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32</v>
      </c>
      <c r="N18" s="50">
        <v>0</v>
      </c>
      <c r="O18" s="15">
        <f t="shared" si="0"/>
        <v>5</v>
      </c>
      <c r="P18" s="15">
        <f t="shared" si="1"/>
        <v>37</v>
      </c>
      <c r="R18" s="1" t="s">
        <v>14</v>
      </c>
      <c r="S18" s="17">
        <f t="shared" ref="S18:AF18" si="10">SUM(C42:C45)</f>
        <v>7</v>
      </c>
      <c r="T18" s="17">
        <f t="shared" si="10"/>
        <v>3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6</v>
      </c>
      <c r="AA18" s="17">
        <f t="shared" si="10"/>
        <v>1</v>
      </c>
      <c r="AB18" s="17">
        <f t="shared" si="10"/>
        <v>0</v>
      </c>
      <c r="AC18" s="17">
        <f t="shared" si="10"/>
        <v>115</v>
      </c>
      <c r="AD18" s="17">
        <f t="shared" si="10"/>
        <v>0</v>
      </c>
      <c r="AE18" s="31">
        <f t="shared" si="10"/>
        <v>26</v>
      </c>
      <c r="AF18" s="31">
        <f t="shared" si="10"/>
        <v>141</v>
      </c>
    </row>
    <row r="19" spans="2:32" ht="23.1" customHeight="1" x14ac:dyDescent="0.25">
      <c r="B19" s="45" t="s">
        <v>46</v>
      </c>
      <c r="C19" s="50">
        <v>1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1</v>
      </c>
      <c r="L19" s="50">
        <v>0</v>
      </c>
      <c r="M19" s="50">
        <v>36</v>
      </c>
      <c r="N19" s="50">
        <v>0</v>
      </c>
      <c r="O19" s="15">
        <f t="shared" si="0"/>
        <v>7</v>
      </c>
      <c r="P19" s="15">
        <f t="shared" si="1"/>
        <v>43</v>
      </c>
      <c r="R19" s="1" t="s">
        <v>15</v>
      </c>
      <c r="S19" s="17">
        <f t="shared" ref="S19:AF19" si="11">SUM(C46:C49)</f>
        <v>15</v>
      </c>
      <c r="T19" s="17">
        <f t="shared" si="11"/>
        <v>3</v>
      </c>
      <c r="U19" s="17">
        <f t="shared" si="11"/>
        <v>4</v>
      </c>
      <c r="V19" s="17">
        <f t="shared" si="11"/>
        <v>2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4</v>
      </c>
      <c r="AA19" s="17">
        <f t="shared" si="11"/>
        <v>6</v>
      </c>
      <c r="AB19" s="17">
        <f t="shared" si="11"/>
        <v>0</v>
      </c>
      <c r="AC19" s="17">
        <f t="shared" si="11"/>
        <v>141</v>
      </c>
      <c r="AD19" s="17">
        <f t="shared" si="11"/>
        <v>0</v>
      </c>
      <c r="AE19" s="31">
        <f t="shared" si="11"/>
        <v>39</v>
      </c>
      <c r="AF19" s="31">
        <f t="shared" si="11"/>
        <v>180</v>
      </c>
    </row>
    <row r="20" spans="2:32" ht="23.1" customHeight="1" x14ac:dyDescent="0.25">
      <c r="B20" s="45" t="s">
        <v>47</v>
      </c>
      <c r="C20" s="50">
        <v>7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53</v>
      </c>
      <c r="N20" s="50">
        <v>0</v>
      </c>
      <c r="O20" s="15">
        <f t="shared" si="0"/>
        <v>9</v>
      </c>
      <c r="P20" s="15">
        <f t="shared" si="1"/>
        <v>62</v>
      </c>
      <c r="R20" s="1" t="s">
        <v>16</v>
      </c>
      <c r="S20" s="17">
        <f t="shared" ref="S20:AF20" si="12">SUM(C50:C53)</f>
        <v>20</v>
      </c>
      <c r="T20" s="17">
        <f t="shared" si="12"/>
        <v>4</v>
      </c>
      <c r="U20" s="17">
        <f t="shared" si="12"/>
        <v>4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4</v>
      </c>
      <c r="AB20" s="17">
        <f t="shared" si="12"/>
        <v>0</v>
      </c>
      <c r="AC20" s="17">
        <f t="shared" si="12"/>
        <v>173</v>
      </c>
      <c r="AD20" s="17">
        <f t="shared" si="12"/>
        <v>0</v>
      </c>
      <c r="AE20" s="31">
        <f t="shared" si="12"/>
        <v>47</v>
      </c>
      <c r="AF20" s="31">
        <f t="shared" si="12"/>
        <v>220</v>
      </c>
    </row>
    <row r="21" spans="2:32" ht="23.1" customHeight="1" x14ac:dyDescent="0.25">
      <c r="B21" s="45" t="s">
        <v>48</v>
      </c>
      <c r="C21" s="50">
        <v>6</v>
      </c>
      <c r="D21" s="50">
        <v>1</v>
      </c>
      <c r="E21" s="50">
        <v>2</v>
      </c>
      <c r="F21" s="50">
        <v>1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54</v>
      </c>
      <c r="N21" s="50">
        <v>0</v>
      </c>
      <c r="O21" s="15">
        <f t="shared" si="0"/>
        <v>14</v>
      </c>
      <c r="P21" s="15">
        <f t="shared" si="1"/>
        <v>68</v>
      </c>
      <c r="R21" s="36" t="s">
        <v>20</v>
      </c>
      <c r="S21" s="34">
        <f t="shared" ref="S21:AF21" si="13">SUM(C54:C57)</f>
        <v>18</v>
      </c>
      <c r="T21" s="17">
        <f t="shared" si="13"/>
        <v>2</v>
      </c>
      <c r="U21" s="17">
        <f t="shared" si="13"/>
        <v>1</v>
      </c>
      <c r="V21" s="17">
        <f t="shared" si="13"/>
        <v>4</v>
      </c>
      <c r="W21" s="17">
        <f t="shared" si="13"/>
        <v>3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169</v>
      </c>
      <c r="AD21" s="17">
        <f t="shared" si="13"/>
        <v>0</v>
      </c>
      <c r="AE21" s="31">
        <f t="shared" si="13"/>
        <v>42</v>
      </c>
      <c r="AF21" s="31">
        <f t="shared" si="13"/>
        <v>211</v>
      </c>
    </row>
    <row r="22" spans="2:32" ht="23.1" customHeight="1" x14ac:dyDescent="0.25">
      <c r="B22" s="45" t="s">
        <v>49</v>
      </c>
      <c r="C22" s="50">
        <v>6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61</v>
      </c>
      <c r="N22" s="50">
        <v>61</v>
      </c>
      <c r="O22" s="15">
        <f t="shared" si="0"/>
        <v>72</v>
      </c>
      <c r="P22" s="15">
        <f t="shared" si="1"/>
        <v>133</v>
      </c>
      <c r="R22" s="36" t="s">
        <v>146</v>
      </c>
      <c r="S22" s="34">
        <f>SUM(C58:C61)</f>
        <v>14</v>
      </c>
      <c r="T22" s="34">
        <f t="shared" ref="T22:AF22" si="14">SUM(D58:D61)</f>
        <v>1</v>
      </c>
      <c r="U22" s="34">
        <f t="shared" si="14"/>
        <v>1</v>
      </c>
      <c r="V22" s="34">
        <f t="shared" si="14"/>
        <v>3</v>
      </c>
      <c r="W22" s="34">
        <f t="shared" si="14"/>
        <v>1</v>
      </c>
      <c r="X22" s="34">
        <f t="shared" si="14"/>
        <v>0</v>
      </c>
      <c r="Y22" s="34">
        <f t="shared" si="14"/>
        <v>5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200</v>
      </c>
      <c r="AD22" s="34">
        <f t="shared" si="14"/>
        <v>0</v>
      </c>
      <c r="AE22" s="31">
        <f t="shared" si="14"/>
        <v>28</v>
      </c>
      <c r="AF22" s="31">
        <f t="shared" si="14"/>
        <v>228</v>
      </c>
    </row>
    <row r="23" spans="2:32" ht="23.1" customHeight="1" x14ac:dyDescent="0.25">
      <c r="B23" s="45" t="s">
        <v>50</v>
      </c>
      <c r="C23" s="50">
        <v>6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9</v>
      </c>
      <c r="P23" s="15">
        <f t="shared" si="1"/>
        <v>69</v>
      </c>
      <c r="R23" s="36" t="s">
        <v>147</v>
      </c>
      <c r="S23" s="34">
        <f>SUM(C62:C65)</f>
        <v>13</v>
      </c>
      <c r="T23" s="34">
        <f t="shared" ref="T23:AF23" si="15">SUM(D62:D65)</f>
        <v>3</v>
      </c>
      <c r="U23" s="34">
        <f t="shared" si="15"/>
        <v>2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6</v>
      </c>
      <c r="AA23" s="34">
        <f t="shared" si="15"/>
        <v>2</v>
      </c>
      <c r="AB23" s="34">
        <f t="shared" si="15"/>
        <v>0</v>
      </c>
      <c r="AC23" s="34">
        <f t="shared" si="15"/>
        <v>196</v>
      </c>
      <c r="AD23" s="34">
        <f t="shared" si="15"/>
        <v>0</v>
      </c>
      <c r="AE23" s="31">
        <f t="shared" si="15"/>
        <v>29</v>
      </c>
      <c r="AF23" s="31">
        <f t="shared" si="15"/>
        <v>225</v>
      </c>
    </row>
    <row r="24" spans="2:32" ht="23.1" customHeight="1" x14ac:dyDescent="0.25">
      <c r="B24" s="45" t="s">
        <v>51</v>
      </c>
      <c r="C24" s="50">
        <v>10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55</v>
      </c>
      <c r="N24" s="50">
        <v>0</v>
      </c>
      <c r="O24" s="15">
        <f t="shared" si="0"/>
        <v>14</v>
      </c>
      <c r="P24" s="15">
        <f t="shared" si="1"/>
        <v>69</v>
      </c>
      <c r="R24" s="36" t="s">
        <v>148</v>
      </c>
      <c r="S24" s="34">
        <f>SUM(C66:C69)</f>
        <v>5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169</v>
      </c>
      <c r="AD24" s="34">
        <f t="shared" si="16"/>
        <v>0</v>
      </c>
      <c r="AE24" s="31">
        <f t="shared" si="16"/>
        <v>13</v>
      </c>
      <c r="AF24" s="31">
        <f t="shared" si="16"/>
        <v>182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43</v>
      </c>
      <c r="N25" s="50">
        <v>0</v>
      </c>
      <c r="O25" s="15">
        <f t="shared" si="0"/>
        <v>6</v>
      </c>
      <c r="P25" s="15">
        <f t="shared" si="1"/>
        <v>49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1</v>
      </c>
      <c r="AA25" s="34">
        <f t="shared" si="17"/>
        <v>1</v>
      </c>
      <c r="AB25" s="34">
        <f t="shared" si="17"/>
        <v>0</v>
      </c>
      <c r="AC25" s="34">
        <f t="shared" si="17"/>
        <v>87</v>
      </c>
      <c r="AD25" s="34">
        <f t="shared" si="17"/>
        <v>0</v>
      </c>
      <c r="AE25" s="31">
        <f t="shared" si="17"/>
        <v>9</v>
      </c>
      <c r="AF25" s="31">
        <f t="shared" si="17"/>
        <v>96</v>
      </c>
    </row>
    <row r="26" spans="2:32" ht="23.1" customHeight="1" x14ac:dyDescent="0.25">
      <c r="B26" s="45" t="s">
        <v>53</v>
      </c>
      <c r="C26" s="50">
        <v>4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8</v>
      </c>
      <c r="P26" s="15">
        <f t="shared" si="1"/>
        <v>68</v>
      </c>
      <c r="R26" s="36" t="s">
        <v>150</v>
      </c>
      <c r="S26" s="34">
        <f>SUM(C74:C77)</f>
        <v>9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91</v>
      </c>
      <c r="AD26" s="34">
        <f t="shared" si="18"/>
        <v>0</v>
      </c>
      <c r="AE26" s="31">
        <f t="shared" si="18"/>
        <v>12</v>
      </c>
      <c r="AF26" s="31">
        <f t="shared" si="18"/>
        <v>103</v>
      </c>
    </row>
    <row r="27" spans="2:32" ht="23.1" customHeight="1" x14ac:dyDescent="0.25">
      <c r="B27" s="45" t="s">
        <v>54</v>
      </c>
      <c r="C27" s="50">
        <v>6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51</v>
      </c>
      <c r="N27" s="50">
        <v>0</v>
      </c>
      <c r="O27" s="15">
        <f t="shared" si="0"/>
        <v>8</v>
      </c>
      <c r="P27" s="15">
        <f t="shared" si="1"/>
        <v>59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53</v>
      </c>
      <c r="AD27" s="34">
        <f t="shared" si="19"/>
        <v>0</v>
      </c>
      <c r="AE27" s="31">
        <f t="shared" si="19"/>
        <v>3</v>
      </c>
      <c r="AF27" s="31">
        <f t="shared" si="19"/>
        <v>56</v>
      </c>
    </row>
    <row r="28" spans="2:32" ht="23.1" customHeight="1" x14ac:dyDescent="0.25">
      <c r="B28" s="45" t="s">
        <v>55</v>
      </c>
      <c r="C28" s="50">
        <v>7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4</v>
      </c>
      <c r="J28" s="50">
        <v>3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16</v>
      </c>
      <c r="P28" s="15">
        <f t="shared" si="1"/>
        <v>58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18</v>
      </c>
      <c r="AD28" s="34">
        <f t="shared" si="20"/>
        <v>0</v>
      </c>
      <c r="AE28" s="31">
        <f t="shared" si="20"/>
        <v>1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37</v>
      </c>
      <c r="N29" s="50">
        <v>0</v>
      </c>
      <c r="O29" s="15">
        <f t="shared" si="0"/>
        <v>7</v>
      </c>
      <c r="P29" s="15">
        <f t="shared" si="1"/>
        <v>44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10</v>
      </c>
      <c r="AD29" s="34">
        <f t="shared" si="21"/>
        <v>0</v>
      </c>
      <c r="AE29" s="31">
        <f t="shared" si="21"/>
        <v>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34</v>
      </c>
      <c r="N30" s="50">
        <v>0</v>
      </c>
      <c r="O30" s="15">
        <f t="shared" si="0"/>
        <v>6</v>
      </c>
      <c r="P30" s="15">
        <f t="shared" si="1"/>
        <v>40</v>
      </c>
      <c r="R30" s="36" t="s">
        <v>154</v>
      </c>
      <c r="S30" s="34">
        <f>SUM(C90:C93)</f>
        <v>6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7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5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39</v>
      </c>
      <c r="N31" s="50">
        <v>0</v>
      </c>
      <c r="O31" s="15">
        <f t="shared" si="0"/>
        <v>11</v>
      </c>
      <c r="P31" s="15">
        <f t="shared" si="1"/>
        <v>50</v>
      </c>
      <c r="R31" s="36" t="s">
        <v>155</v>
      </c>
      <c r="S31" s="34">
        <f>SUM(C94:C97)</f>
        <v>3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1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7</v>
      </c>
      <c r="AF31" s="31">
        <f t="shared" si="23"/>
        <v>14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54</v>
      </c>
      <c r="N32" s="50">
        <v>0</v>
      </c>
      <c r="O32" s="15">
        <f t="shared" si="0"/>
        <v>8</v>
      </c>
      <c r="P32" s="15">
        <f t="shared" si="1"/>
        <v>62</v>
      </c>
      <c r="R32" s="33" t="s">
        <v>156</v>
      </c>
      <c r="S32" s="34">
        <f>SUM(C98:C101)</f>
        <v>5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16</v>
      </c>
      <c r="W32" s="34">
        <f t="shared" si="24"/>
        <v>6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16</v>
      </c>
      <c r="AD32" s="34">
        <f t="shared" si="24"/>
        <v>0</v>
      </c>
      <c r="AE32" s="31">
        <f t="shared" si="24"/>
        <v>31</v>
      </c>
      <c r="AF32" s="31">
        <f t="shared" si="24"/>
        <v>47</v>
      </c>
    </row>
    <row r="33" spans="2:32" ht="23.1" customHeight="1" x14ac:dyDescent="0.25">
      <c r="B33" s="45" t="s">
        <v>60</v>
      </c>
      <c r="C33" s="50">
        <v>4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36</v>
      </c>
      <c r="N33" s="50">
        <v>0</v>
      </c>
      <c r="O33" s="15">
        <f t="shared" si="0"/>
        <v>6</v>
      </c>
      <c r="P33" s="15">
        <f t="shared" si="1"/>
        <v>42</v>
      </c>
      <c r="R33" s="33" t="s">
        <v>157</v>
      </c>
      <c r="S33" s="34">
        <f>SUM(C102:C105)</f>
        <v>18</v>
      </c>
      <c r="T33" s="34">
        <f t="shared" ref="T33:AF33" si="25">SUM(D102:D105)</f>
        <v>1</v>
      </c>
      <c r="U33" s="34">
        <f t="shared" si="25"/>
        <v>1</v>
      </c>
      <c r="V33" s="34">
        <f t="shared" si="25"/>
        <v>20</v>
      </c>
      <c r="W33" s="34">
        <f t="shared" si="25"/>
        <v>3</v>
      </c>
      <c r="X33" s="34">
        <f t="shared" si="25"/>
        <v>0</v>
      </c>
      <c r="Y33" s="34">
        <f t="shared" si="25"/>
        <v>2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77</v>
      </c>
      <c r="AD33" s="34">
        <f t="shared" si="25"/>
        <v>0</v>
      </c>
      <c r="AE33" s="31">
        <f t="shared" si="25"/>
        <v>47</v>
      </c>
      <c r="AF33" s="31">
        <f t="shared" si="25"/>
        <v>124</v>
      </c>
    </row>
    <row r="34" spans="2:32" ht="23.1" customHeight="1" x14ac:dyDescent="0.25">
      <c r="B34" s="46" t="s">
        <v>61</v>
      </c>
      <c r="C34" s="50">
        <v>5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51</v>
      </c>
      <c r="N34" s="50">
        <v>1</v>
      </c>
      <c r="O34" s="15">
        <f t="shared" si="0"/>
        <v>9</v>
      </c>
      <c r="P34" s="15">
        <f t="shared" si="1"/>
        <v>60</v>
      </c>
      <c r="R34" s="38" t="s">
        <v>90</v>
      </c>
      <c r="S34" s="39">
        <f t="shared" ref="S34:AF34" si="26">MAX(S10:S12)</f>
        <v>30</v>
      </c>
      <c r="T34" s="39">
        <f t="shared" si="26"/>
        <v>2</v>
      </c>
      <c r="U34" s="39">
        <f t="shared" si="26"/>
        <v>3</v>
      </c>
      <c r="V34" s="39">
        <f t="shared" si="26"/>
        <v>13</v>
      </c>
      <c r="W34" s="39">
        <f t="shared" si="26"/>
        <v>2</v>
      </c>
      <c r="X34" s="39">
        <f t="shared" si="26"/>
        <v>0</v>
      </c>
      <c r="Y34" s="39">
        <f t="shared" si="26"/>
        <v>9</v>
      </c>
      <c r="Z34" s="39">
        <f t="shared" si="26"/>
        <v>2</v>
      </c>
      <c r="AA34" s="39">
        <f t="shared" si="26"/>
        <v>1</v>
      </c>
      <c r="AB34" s="39">
        <f t="shared" si="26"/>
        <v>0</v>
      </c>
      <c r="AC34" s="39">
        <f t="shared" si="26"/>
        <v>299</v>
      </c>
      <c r="AD34" s="39">
        <f t="shared" si="26"/>
        <v>0</v>
      </c>
      <c r="AE34" s="40">
        <f t="shared" si="26"/>
        <v>58</v>
      </c>
      <c r="AF34" s="40">
        <f t="shared" si="26"/>
        <v>357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7</v>
      </c>
      <c r="J35" s="50">
        <v>1</v>
      </c>
      <c r="K35" s="50">
        <v>0</v>
      </c>
      <c r="L35" s="50">
        <v>0</v>
      </c>
      <c r="M35" s="50">
        <v>27</v>
      </c>
      <c r="N35" s="50">
        <v>0</v>
      </c>
      <c r="O35" s="15">
        <f t="shared" si="0"/>
        <v>8</v>
      </c>
      <c r="P35" s="15">
        <f t="shared" si="1"/>
        <v>35</v>
      </c>
      <c r="R35" s="38" t="s">
        <v>91</v>
      </c>
      <c r="S35" s="39">
        <f t="shared" ref="S35:AF35" si="27">MAX(S13:S18)</f>
        <v>26</v>
      </c>
      <c r="T35" s="39">
        <f t="shared" si="27"/>
        <v>3</v>
      </c>
      <c r="U35" s="39">
        <f t="shared" si="27"/>
        <v>4</v>
      </c>
      <c r="V35" s="39">
        <f t="shared" si="27"/>
        <v>5</v>
      </c>
      <c r="W35" s="39">
        <f t="shared" si="27"/>
        <v>1</v>
      </c>
      <c r="X35" s="39">
        <f t="shared" si="27"/>
        <v>0</v>
      </c>
      <c r="Y35" s="39">
        <f t="shared" si="27"/>
        <v>10</v>
      </c>
      <c r="Z35" s="39">
        <f t="shared" si="27"/>
        <v>6</v>
      </c>
      <c r="AA35" s="39">
        <f t="shared" si="27"/>
        <v>1</v>
      </c>
      <c r="AB35" s="39">
        <f t="shared" si="27"/>
        <v>0</v>
      </c>
      <c r="AC35" s="39">
        <f t="shared" si="27"/>
        <v>219</v>
      </c>
      <c r="AD35" s="39">
        <f t="shared" si="27"/>
        <v>61</v>
      </c>
      <c r="AE35" s="40">
        <f t="shared" si="27"/>
        <v>101</v>
      </c>
      <c r="AF35" s="40">
        <f t="shared" si="27"/>
        <v>320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29</v>
      </c>
      <c r="N36" s="50">
        <v>0</v>
      </c>
      <c r="O36" s="15">
        <f t="shared" si="0"/>
        <v>7</v>
      </c>
      <c r="P36" s="15">
        <f t="shared" si="1"/>
        <v>36</v>
      </c>
      <c r="R36" s="38" t="s">
        <v>92</v>
      </c>
      <c r="S36" s="39">
        <f t="shared" ref="S36:AF36" si="28">MAX(S19:S21)</f>
        <v>20</v>
      </c>
      <c r="T36" s="39">
        <f t="shared" si="28"/>
        <v>4</v>
      </c>
      <c r="U36" s="39">
        <f t="shared" si="28"/>
        <v>4</v>
      </c>
      <c r="V36" s="39">
        <f t="shared" si="28"/>
        <v>5</v>
      </c>
      <c r="W36" s="39">
        <f t="shared" si="28"/>
        <v>3</v>
      </c>
      <c r="X36" s="39">
        <f t="shared" si="28"/>
        <v>0</v>
      </c>
      <c r="Y36" s="39">
        <f t="shared" si="28"/>
        <v>9</v>
      </c>
      <c r="Z36" s="39">
        <f t="shared" si="28"/>
        <v>4</v>
      </c>
      <c r="AA36" s="39">
        <f t="shared" si="28"/>
        <v>6</v>
      </c>
      <c r="AB36" s="39">
        <f t="shared" si="28"/>
        <v>0</v>
      </c>
      <c r="AC36" s="39">
        <f t="shared" si="28"/>
        <v>173</v>
      </c>
      <c r="AD36" s="39">
        <f t="shared" si="28"/>
        <v>0</v>
      </c>
      <c r="AE36" s="40">
        <f t="shared" si="28"/>
        <v>47</v>
      </c>
      <c r="AF36" s="40">
        <f t="shared" si="28"/>
        <v>220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6</v>
      </c>
      <c r="P37" s="15">
        <f t="shared" si="1"/>
        <v>41</v>
      </c>
      <c r="R37" s="37" t="s">
        <v>85</v>
      </c>
      <c r="S37" s="35">
        <f t="shared" ref="S37:AF37" si="29">SUM(S10:S12)</f>
        <v>70</v>
      </c>
      <c r="T37" s="16">
        <f t="shared" si="29"/>
        <v>5</v>
      </c>
      <c r="U37" s="16">
        <f t="shared" si="29"/>
        <v>8</v>
      </c>
      <c r="V37" s="16">
        <f t="shared" si="29"/>
        <v>16</v>
      </c>
      <c r="W37" s="16">
        <f t="shared" si="29"/>
        <v>2</v>
      </c>
      <c r="X37" s="16">
        <f t="shared" si="29"/>
        <v>0</v>
      </c>
      <c r="Y37" s="16">
        <f t="shared" si="29"/>
        <v>22</v>
      </c>
      <c r="Z37" s="16">
        <f t="shared" si="29"/>
        <v>4</v>
      </c>
      <c r="AA37" s="16">
        <f t="shared" si="29"/>
        <v>1</v>
      </c>
      <c r="AB37" s="16">
        <f t="shared" si="29"/>
        <v>0</v>
      </c>
      <c r="AC37" s="16">
        <f t="shared" si="29"/>
        <v>682</v>
      </c>
      <c r="AD37" s="16">
        <f t="shared" si="29"/>
        <v>0</v>
      </c>
      <c r="AE37" s="32">
        <f t="shared" si="29"/>
        <v>128</v>
      </c>
      <c r="AF37" s="32">
        <f t="shared" si="29"/>
        <v>810</v>
      </c>
    </row>
    <row r="38" spans="2:32" ht="23.1" customHeight="1" x14ac:dyDescent="0.25">
      <c r="B38" s="46" t="s">
        <v>65</v>
      </c>
      <c r="C38" s="50">
        <v>2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6</v>
      </c>
      <c r="P38" s="15">
        <f t="shared" si="1"/>
        <v>24</v>
      </c>
      <c r="R38" s="28" t="s">
        <v>86</v>
      </c>
      <c r="S38" s="16">
        <f t="shared" ref="S38:AF38" si="30">SUM(S13:S18)</f>
        <v>87</v>
      </c>
      <c r="T38" s="16">
        <f t="shared" si="30"/>
        <v>7</v>
      </c>
      <c r="U38" s="16">
        <f t="shared" si="30"/>
        <v>16</v>
      </c>
      <c r="V38" s="16">
        <f t="shared" si="30"/>
        <v>12</v>
      </c>
      <c r="W38" s="16">
        <f t="shared" si="30"/>
        <v>1</v>
      </c>
      <c r="X38" s="16">
        <f t="shared" si="30"/>
        <v>0</v>
      </c>
      <c r="Y38" s="16">
        <f t="shared" si="30"/>
        <v>51</v>
      </c>
      <c r="Z38" s="16">
        <f t="shared" si="30"/>
        <v>23</v>
      </c>
      <c r="AA38" s="16">
        <f t="shared" si="30"/>
        <v>3</v>
      </c>
      <c r="AB38" s="16">
        <f t="shared" si="30"/>
        <v>0</v>
      </c>
      <c r="AC38" s="16">
        <f t="shared" si="30"/>
        <v>955</v>
      </c>
      <c r="AD38" s="16">
        <f t="shared" si="30"/>
        <v>62</v>
      </c>
      <c r="AE38" s="32">
        <f t="shared" si="30"/>
        <v>262</v>
      </c>
      <c r="AF38" s="32">
        <f t="shared" si="30"/>
        <v>1217</v>
      </c>
    </row>
    <row r="39" spans="2:32" ht="23.1" customHeight="1" x14ac:dyDescent="0.25">
      <c r="B39" s="46" t="s">
        <v>66</v>
      </c>
      <c r="C39" s="50">
        <v>4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31</v>
      </c>
      <c r="N39" s="50">
        <v>0</v>
      </c>
      <c r="O39" s="15">
        <f t="shared" si="0"/>
        <v>8</v>
      </c>
      <c r="P39" s="15">
        <f t="shared" si="1"/>
        <v>39</v>
      </c>
      <c r="R39" s="29" t="s">
        <v>87</v>
      </c>
      <c r="S39" s="16">
        <f t="shared" ref="S39:AF39" si="31">SUM(S19:S21)</f>
        <v>53</v>
      </c>
      <c r="T39" s="16">
        <f t="shared" si="31"/>
        <v>9</v>
      </c>
      <c r="U39" s="16">
        <f t="shared" si="31"/>
        <v>9</v>
      </c>
      <c r="V39" s="16">
        <f t="shared" si="31"/>
        <v>11</v>
      </c>
      <c r="W39" s="16">
        <f t="shared" si="31"/>
        <v>5</v>
      </c>
      <c r="X39" s="16">
        <f t="shared" si="31"/>
        <v>0</v>
      </c>
      <c r="Y39" s="16">
        <f t="shared" si="31"/>
        <v>19</v>
      </c>
      <c r="Z39" s="16">
        <f t="shared" si="31"/>
        <v>9</v>
      </c>
      <c r="AA39" s="16">
        <f t="shared" si="31"/>
        <v>13</v>
      </c>
      <c r="AB39" s="16">
        <f t="shared" si="31"/>
        <v>0</v>
      </c>
      <c r="AC39" s="16">
        <f t="shared" si="31"/>
        <v>483</v>
      </c>
      <c r="AD39" s="16">
        <f t="shared" si="31"/>
        <v>0</v>
      </c>
      <c r="AE39" s="32">
        <f t="shared" si="31"/>
        <v>128</v>
      </c>
      <c r="AF39" s="32">
        <f t="shared" si="31"/>
        <v>611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1</v>
      </c>
      <c r="F40" s="50">
        <v>3</v>
      </c>
      <c r="G40" s="50">
        <v>1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38</v>
      </c>
      <c r="N40" s="50">
        <v>0</v>
      </c>
      <c r="O40" s="15">
        <f t="shared" si="0"/>
        <v>12</v>
      </c>
      <c r="P40" s="15">
        <f t="shared" si="1"/>
        <v>50</v>
      </c>
      <c r="R40" s="5" t="s">
        <v>17</v>
      </c>
      <c r="S40" s="16">
        <f t="shared" ref="S40:AF40" si="32">SUM(S10:S21)</f>
        <v>210</v>
      </c>
      <c r="T40" s="16">
        <f t="shared" si="32"/>
        <v>21</v>
      </c>
      <c r="U40" s="16">
        <f t="shared" si="32"/>
        <v>33</v>
      </c>
      <c r="V40" s="16">
        <f t="shared" si="32"/>
        <v>39</v>
      </c>
      <c r="W40" s="16">
        <f t="shared" si="32"/>
        <v>8</v>
      </c>
      <c r="X40" s="16">
        <f t="shared" si="32"/>
        <v>0</v>
      </c>
      <c r="Y40" s="16">
        <f t="shared" si="32"/>
        <v>92</v>
      </c>
      <c r="Z40" s="16">
        <f t="shared" si="32"/>
        <v>36</v>
      </c>
      <c r="AA40" s="16">
        <f t="shared" si="32"/>
        <v>17</v>
      </c>
      <c r="AB40" s="16">
        <f t="shared" si="32"/>
        <v>0</v>
      </c>
      <c r="AC40" s="16">
        <f t="shared" si="32"/>
        <v>2120</v>
      </c>
      <c r="AD40" s="16">
        <f t="shared" si="32"/>
        <v>62</v>
      </c>
      <c r="AE40" s="32">
        <f t="shared" si="32"/>
        <v>518</v>
      </c>
      <c r="AF40" s="32">
        <f t="shared" si="32"/>
        <v>2638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4</v>
      </c>
      <c r="J41" s="50">
        <v>1</v>
      </c>
      <c r="K41" s="50">
        <v>0</v>
      </c>
      <c r="L41" s="50">
        <v>0</v>
      </c>
      <c r="M41" s="50">
        <v>39</v>
      </c>
      <c r="N41" s="50">
        <v>0</v>
      </c>
      <c r="O41" s="15">
        <f t="shared" si="0"/>
        <v>9</v>
      </c>
      <c r="P41" s="15">
        <f t="shared" si="1"/>
        <v>48</v>
      </c>
      <c r="R41" s="5" t="s">
        <v>159</v>
      </c>
      <c r="S41" s="16">
        <f>SUM(S10:S33)</f>
        <v>289</v>
      </c>
      <c r="T41" s="16">
        <f t="shared" ref="T41:AF41" si="33">SUM(T10:T33)</f>
        <v>30</v>
      </c>
      <c r="U41" s="16">
        <f t="shared" si="33"/>
        <v>38</v>
      </c>
      <c r="V41" s="16">
        <f t="shared" si="33"/>
        <v>88</v>
      </c>
      <c r="W41" s="16">
        <f t="shared" si="33"/>
        <v>19</v>
      </c>
      <c r="X41" s="16">
        <f t="shared" si="33"/>
        <v>0</v>
      </c>
      <c r="Y41" s="16">
        <f t="shared" si="33"/>
        <v>106</v>
      </c>
      <c r="Z41" s="16">
        <f t="shared" si="33"/>
        <v>52</v>
      </c>
      <c r="AA41" s="16">
        <f t="shared" si="33"/>
        <v>21</v>
      </c>
      <c r="AB41" s="16">
        <f t="shared" si="33"/>
        <v>0</v>
      </c>
      <c r="AC41" s="16">
        <f t="shared" si="33"/>
        <v>3046</v>
      </c>
      <c r="AD41" s="16">
        <f t="shared" si="33"/>
        <v>62</v>
      </c>
      <c r="AE41" s="32">
        <f t="shared" si="33"/>
        <v>705</v>
      </c>
      <c r="AF41" s="32">
        <f t="shared" si="33"/>
        <v>3751</v>
      </c>
    </row>
    <row r="42" spans="2:32" ht="23.1" customHeight="1" x14ac:dyDescent="0.25">
      <c r="B42" s="46" t="s">
        <v>69</v>
      </c>
      <c r="C42" s="50">
        <v>1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30</v>
      </c>
      <c r="N42" s="50">
        <v>0</v>
      </c>
      <c r="O42" s="15">
        <f t="shared" si="0"/>
        <v>6</v>
      </c>
      <c r="P42" s="15">
        <f t="shared" si="1"/>
        <v>36</v>
      </c>
      <c r="R42" s="5" t="s">
        <v>160</v>
      </c>
      <c r="S42" s="48">
        <f>S41/S40</f>
        <v>1.3761904761904762</v>
      </c>
      <c r="T42" s="48">
        <f t="shared" ref="T42:AF42" si="34">T41/T40</f>
        <v>1.4285714285714286</v>
      </c>
      <c r="U42" s="48">
        <f t="shared" si="34"/>
        <v>1.1515151515151516</v>
      </c>
      <c r="V42" s="48">
        <f t="shared" si="34"/>
        <v>2.2564102564102564</v>
      </c>
      <c r="W42" s="48">
        <f t="shared" si="34"/>
        <v>2.375</v>
      </c>
      <c r="X42" s="48" t="e">
        <f t="shared" si="34"/>
        <v>#DIV/0!</v>
      </c>
      <c r="Y42" s="48">
        <f t="shared" si="34"/>
        <v>1.1521739130434783</v>
      </c>
      <c r="Z42" s="48">
        <f t="shared" si="34"/>
        <v>1.4444444444444444</v>
      </c>
      <c r="AA42" s="48">
        <f t="shared" si="34"/>
        <v>1.2352941176470589</v>
      </c>
      <c r="AB42" s="48" t="e">
        <f t="shared" si="34"/>
        <v>#DIV/0!</v>
      </c>
      <c r="AC42" s="48">
        <f t="shared" si="34"/>
        <v>1.4367924528301887</v>
      </c>
      <c r="AD42" s="48">
        <f t="shared" si="34"/>
        <v>1</v>
      </c>
      <c r="AE42" s="48">
        <f t="shared" si="34"/>
        <v>1.3610038610038611</v>
      </c>
      <c r="AF42" s="48">
        <f t="shared" si="34"/>
        <v>1.4219105382865806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5</v>
      </c>
      <c r="P43" s="15">
        <f t="shared" si="1"/>
        <v>30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37</v>
      </c>
      <c r="N44" s="50">
        <v>0</v>
      </c>
      <c r="O44" s="15">
        <f t="shared" si="0"/>
        <v>7</v>
      </c>
      <c r="P44" s="15">
        <f t="shared" si="1"/>
        <v>44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2</v>
      </c>
      <c r="J45" s="50">
        <v>2</v>
      </c>
      <c r="K45" s="50">
        <v>1</v>
      </c>
      <c r="L45" s="50">
        <v>0</v>
      </c>
      <c r="M45" s="50">
        <v>23</v>
      </c>
      <c r="N45" s="50">
        <v>0</v>
      </c>
      <c r="O45" s="15">
        <f t="shared" si="0"/>
        <v>8</v>
      </c>
      <c r="P45" s="15">
        <f t="shared" si="1"/>
        <v>31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0"/>
        <v>9</v>
      </c>
      <c r="P46" s="15">
        <f t="shared" si="1"/>
        <v>42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2</v>
      </c>
      <c r="L47" s="50">
        <v>0</v>
      </c>
      <c r="M47" s="50">
        <v>30</v>
      </c>
      <c r="N47" s="50">
        <v>0</v>
      </c>
      <c r="O47" s="15">
        <f t="shared" si="0"/>
        <v>8</v>
      </c>
      <c r="P47" s="15">
        <f t="shared" si="1"/>
        <v>38</v>
      </c>
      <c r="R47" s="8"/>
      <c r="T47"/>
    </row>
    <row r="48" spans="2:32" ht="23.1" customHeight="1" x14ac:dyDescent="0.25">
      <c r="B48" s="46" t="s">
        <v>75</v>
      </c>
      <c r="C48" s="50">
        <v>5</v>
      </c>
      <c r="D48" s="50">
        <v>0</v>
      </c>
      <c r="E48" s="50">
        <v>3</v>
      </c>
      <c r="F48" s="50">
        <v>0</v>
      </c>
      <c r="G48" s="50">
        <v>1</v>
      </c>
      <c r="H48" s="50">
        <v>0</v>
      </c>
      <c r="I48" s="50">
        <v>0</v>
      </c>
      <c r="J48" s="50">
        <v>1</v>
      </c>
      <c r="K48" s="50">
        <v>2</v>
      </c>
      <c r="L48" s="50">
        <v>0</v>
      </c>
      <c r="M48" s="50">
        <v>42</v>
      </c>
      <c r="N48" s="50">
        <v>0</v>
      </c>
      <c r="O48" s="15">
        <f t="shared" si="0"/>
        <v>12</v>
      </c>
      <c r="P48" s="15">
        <f t="shared" si="1"/>
        <v>54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2</v>
      </c>
      <c r="K49" s="50">
        <v>2</v>
      </c>
      <c r="L49" s="50">
        <v>0</v>
      </c>
      <c r="M49" s="50">
        <v>36</v>
      </c>
      <c r="N49" s="50">
        <v>0</v>
      </c>
      <c r="O49" s="15">
        <f t="shared" si="0"/>
        <v>10</v>
      </c>
      <c r="P49" s="15">
        <f t="shared" si="1"/>
        <v>46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1</v>
      </c>
      <c r="E50" s="50">
        <v>0</v>
      </c>
      <c r="F50" s="50">
        <v>2</v>
      </c>
      <c r="G50" s="50">
        <v>1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29</v>
      </c>
      <c r="N50" s="50">
        <v>0</v>
      </c>
      <c r="O50" s="15">
        <f t="shared" si="0"/>
        <v>12</v>
      </c>
      <c r="P50" s="15">
        <f t="shared" si="1"/>
        <v>41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49</v>
      </c>
      <c r="N51" s="50">
        <v>0</v>
      </c>
      <c r="O51" s="15">
        <f t="shared" si="0"/>
        <v>9</v>
      </c>
      <c r="P51" s="15">
        <f t="shared" si="1"/>
        <v>58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3</v>
      </c>
      <c r="E52" s="50">
        <v>2</v>
      </c>
      <c r="F52" s="50">
        <v>0</v>
      </c>
      <c r="G52" s="50">
        <v>0</v>
      </c>
      <c r="H52" s="50">
        <v>0</v>
      </c>
      <c r="I52" s="50">
        <v>3</v>
      </c>
      <c r="J52" s="50">
        <v>0</v>
      </c>
      <c r="K52" s="50">
        <v>2</v>
      </c>
      <c r="L52" s="50">
        <v>0</v>
      </c>
      <c r="M52" s="50">
        <v>55</v>
      </c>
      <c r="N52" s="50">
        <v>0</v>
      </c>
      <c r="O52" s="15">
        <f t="shared" si="0"/>
        <v>17</v>
      </c>
      <c r="P52" s="15">
        <f t="shared" si="1"/>
        <v>72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9</v>
      </c>
      <c r="P53" s="15">
        <f t="shared" si="1"/>
        <v>49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1</v>
      </c>
      <c r="H54" s="50">
        <v>0</v>
      </c>
      <c r="I54" s="50">
        <v>2</v>
      </c>
      <c r="J54" s="50">
        <v>0</v>
      </c>
      <c r="K54" s="50">
        <v>2</v>
      </c>
      <c r="L54" s="50">
        <v>0</v>
      </c>
      <c r="M54" s="50">
        <v>40</v>
      </c>
      <c r="N54" s="50">
        <v>0</v>
      </c>
      <c r="O54" s="15">
        <f t="shared" si="0"/>
        <v>8</v>
      </c>
      <c r="P54" s="15">
        <f t="shared" si="1"/>
        <v>48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2</v>
      </c>
      <c r="J55" s="50">
        <v>1</v>
      </c>
      <c r="K55" s="50">
        <v>1</v>
      </c>
      <c r="L55" s="50">
        <v>0</v>
      </c>
      <c r="M55" s="50">
        <v>41</v>
      </c>
      <c r="N55" s="50">
        <v>0</v>
      </c>
      <c r="O55" s="15">
        <f t="shared" si="0"/>
        <v>9</v>
      </c>
      <c r="P55" s="15">
        <f t="shared" si="1"/>
        <v>50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1</v>
      </c>
      <c r="E56" s="50">
        <v>1</v>
      </c>
      <c r="F56" s="50">
        <v>2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43</v>
      </c>
      <c r="N56" s="50">
        <v>0</v>
      </c>
      <c r="O56" s="15">
        <f t="shared" si="0"/>
        <v>10</v>
      </c>
      <c r="P56" s="15">
        <f t="shared" si="1"/>
        <v>53</v>
      </c>
      <c r="R56" s="8"/>
      <c r="T56"/>
    </row>
    <row r="57" spans="2:20" ht="23.1" customHeight="1" x14ac:dyDescent="0.25">
      <c r="B57" s="45" t="s">
        <v>84</v>
      </c>
      <c r="C57" s="50">
        <v>8</v>
      </c>
      <c r="D57" s="50">
        <v>1</v>
      </c>
      <c r="E57" s="50">
        <v>0</v>
      </c>
      <c r="F57" s="50">
        <v>1</v>
      </c>
      <c r="G57" s="50">
        <v>1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15</v>
      </c>
      <c r="P57" s="15">
        <f t="shared" si="1"/>
        <v>60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3</v>
      </c>
      <c r="J58" s="50">
        <v>1</v>
      </c>
      <c r="K58" s="50">
        <v>0</v>
      </c>
      <c r="L58" s="50">
        <v>0</v>
      </c>
      <c r="M58" s="50">
        <v>48</v>
      </c>
      <c r="N58" s="50">
        <v>0</v>
      </c>
      <c r="O58" s="15">
        <f t="shared" si="0"/>
        <v>11</v>
      </c>
      <c r="P58" s="15">
        <f t="shared" si="1"/>
        <v>59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0</v>
      </c>
      <c r="E59" s="50">
        <v>1</v>
      </c>
      <c r="F59" s="50">
        <v>1</v>
      </c>
      <c r="G59" s="50">
        <v>1</v>
      </c>
      <c r="H59" s="50">
        <v>0</v>
      </c>
      <c r="I59" s="50">
        <v>1</v>
      </c>
      <c r="J59" s="50">
        <v>2</v>
      </c>
      <c r="K59" s="50">
        <v>0</v>
      </c>
      <c r="L59" s="50">
        <v>0</v>
      </c>
      <c r="M59" s="50">
        <v>48</v>
      </c>
      <c r="N59" s="50">
        <v>0</v>
      </c>
      <c r="O59" s="15">
        <f t="shared" si="0"/>
        <v>9</v>
      </c>
      <c r="P59" s="15">
        <f t="shared" si="1"/>
        <v>57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50</v>
      </c>
      <c r="N60" s="50">
        <v>0</v>
      </c>
      <c r="O60" s="15">
        <f t="shared" si="0"/>
        <v>3</v>
      </c>
      <c r="P60" s="15">
        <f t="shared" si="1"/>
        <v>53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54</v>
      </c>
      <c r="N61" s="50">
        <v>0</v>
      </c>
      <c r="O61" s="15">
        <f t="shared" si="0"/>
        <v>5</v>
      </c>
      <c r="P61" s="15">
        <f t="shared" si="1"/>
        <v>59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59</v>
      </c>
      <c r="N62" s="50">
        <v>0</v>
      </c>
      <c r="O62" s="15">
        <f t="shared" si="0"/>
        <v>3</v>
      </c>
      <c r="P62" s="15">
        <f t="shared" si="1"/>
        <v>62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0</v>
      </c>
      <c r="E63" s="50">
        <v>0</v>
      </c>
      <c r="F63" s="50">
        <v>1</v>
      </c>
      <c r="G63" s="50">
        <v>0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50</v>
      </c>
      <c r="N63" s="50">
        <v>0</v>
      </c>
      <c r="O63" s="15">
        <f t="shared" si="0"/>
        <v>8</v>
      </c>
      <c r="P63" s="15">
        <f t="shared" si="1"/>
        <v>58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2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3</v>
      </c>
      <c r="K64" s="50">
        <v>2</v>
      </c>
      <c r="L64" s="50">
        <v>0</v>
      </c>
      <c r="M64" s="50">
        <v>41</v>
      </c>
      <c r="N64" s="50">
        <v>0</v>
      </c>
      <c r="O64" s="15">
        <f t="shared" si="0"/>
        <v>11</v>
      </c>
      <c r="P64" s="15">
        <f t="shared" si="1"/>
        <v>52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1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46</v>
      </c>
      <c r="N65" s="50">
        <v>0</v>
      </c>
      <c r="O65" s="15">
        <f t="shared" si="0"/>
        <v>7</v>
      </c>
      <c r="P65" s="15">
        <f t="shared" si="1"/>
        <v>53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1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61</v>
      </c>
      <c r="N66" s="50">
        <v>0</v>
      </c>
      <c r="O66" s="15">
        <f t="shared" si="0"/>
        <v>5</v>
      </c>
      <c r="P66" s="15">
        <f t="shared" si="1"/>
        <v>66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2</v>
      </c>
      <c r="K67" s="50">
        <v>0</v>
      </c>
      <c r="L67" s="50">
        <v>0</v>
      </c>
      <c r="M67" s="50">
        <v>64</v>
      </c>
      <c r="N67" s="50">
        <v>0</v>
      </c>
      <c r="O67" s="15">
        <f t="shared" si="0"/>
        <v>2</v>
      </c>
      <c r="P67" s="15">
        <f t="shared" si="1"/>
        <v>66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1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22</v>
      </c>
      <c r="N68" s="50">
        <v>0</v>
      </c>
      <c r="O68" s="15">
        <f t="shared" si="0"/>
        <v>3</v>
      </c>
      <c r="P68" s="15">
        <f t="shared" si="1"/>
        <v>25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22</v>
      </c>
      <c r="N69" s="50">
        <v>0</v>
      </c>
      <c r="O69" s="15">
        <f t="shared" si="0"/>
        <v>3</v>
      </c>
      <c r="P69" s="15">
        <f t="shared" si="1"/>
        <v>25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24</v>
      </c>
      <c r="N70" s="50">
        <v>0</v>
      </c>
      <c r="O70" s="15">
        <f t="shared" si="0"/>
        <v>3</v>
      </c>
      <c r="P70" s="15">
        <f t="shared" si="1"/>
        <v>27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1</v>
      </c>
      <c r="L71" s="50">
        <v>0</v>
      </c>
      <c r="M71" s="50">
        <v>16</v>
      </c>
      <c r="N71" s="50">
        <v>0</v>
      </c>
      <c r="O71" s="15">
        <f t="shared" si="0"/>
        <v>3</v>
      </c>
      <c r="P71" s="15">
        <f t="shared" si="1"/>
        <v>19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25</v>
      </c>
      <c r="N72" s="50">
        <v>0</v>
      </c>
      <c r="O72" s="15">
        <f t="shared" si="0"/>
        <v>2</v>
      </c>
      <c r="P72" s="15">
        <f t="shared" si="1"/>
        <v>27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22</v>
      </c>
      <c r="N73" s="50">
        <v>0</v>
      </c>
      <c r="O73" s="15">
        <f t="shared" si="0"/>
        <v>1</v>
      </c>
      <c r="P73" s="15">
        <f t="shared" si="1"/>
        <v>23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26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27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0</v>
      </c>
      <c r="E75" s="50">
        <v>1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37</v>
      </c>
      <c r="N75" s="50">
        <v>0</v>
      </c>
      <c r="O75" s="15">
        <f t="shared" si="35"/>
        <v>8</v>
      </c>
      <c r="P75" s="15">
        <f t="shared" si="36"/>
        <v>45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14</v>
      </c>
      <c r="N76" s="50">
        <v>0</v>
      </c>
      <c r="O76" s="15">
        <f t="shared" si="35"/>
        <v>2</v>
      </c>
      <c r="P76" s="15">
        <f t="shared" si="36"/>
        <v>16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14</v>
      </c>
      <c r="N77" s="50">
        <v>0</v>
      </c>
      <c r="O77" s="15">
        <f t="shared" si="35"/>
        <v>1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14</v>
      </c>
      <c r="N78" s="50">
        <v>0</v>
      </c>
      <c r="O78" s="15">
        <f t="shared" si="35"/>
        <v>1</v>
      </c>
      <c r="P78" s="15">
        <f t="shared" si="36"/>
        <v>15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20</v>
      </c>
      <c r="N79" s="50">
        <v>0</v>
      </c>
      <c r="O79" s="15">
        <f t="shared" si="35"/>
        <v>2</v>
      </c>
      <c r="P79" s="15">
        <f t="shared" si="36"/>
        <v>22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10</v>
      </c>
      <c r="N80" s="50">
        <v>0</v>
      </c>
      <c r="O80" s="15">
        <f t="shared" si="35"/>
        <v>0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9</v>
      </c>
      <c r="N81" s="50">
        <v>0</v>
      </c>
      <c r="O81" s="15">
        <f t="shared" si="35"/>
        <v>0</v>
      </c>
      <c r="P81" s="15">
        <f t="shared" si="36"/>
        <v>9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7</v>
      </c>
      <c r="N82" s="50">
        <v>0</v>
      </c>
      <c r="O82" s="15">
        <f t="shared" si="35"/>
        <v>1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0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0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5"/>
        <v>0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0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0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0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1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1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5">
        <f t="shared" si="35"/>
        <v>2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0</v>
      </c>
      <c r="F98" s="50">
        <v>5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8</v>
      </c>
      <c r="P98" s="15">
        <f t="shared" si="36"/>
        <v>11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5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8</v>
      </c>
      <c r="P99" s="15">
        <f t="shared" si="36"/>
        <v>10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1</v>
      </c>
      <c r="G100" s="50">
        <v>6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7</v>
      </c>
      <c r="P100" s="15">
        <f t="shared" si="36"/>
        <v>10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1</v>
      </c>
      <c r="E101" s="50">
        <v>0</v>
      </c>
      <c r="F101" s="50">
        <v>5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8</v>
      </c>
      <c r="N101" s="50">
        <v>0</v>
      </c>
      <c r="O101" s="15">
        <f t="shared" si="35"/>
        <v>8</v>
      </c>
      <c r="P101" s="15">
        <f t="shared" si="36"/>
        <v>16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0</v>
      </c>
      <c r="E102" s="50">
        <v>0</v>
      </c>
      <c r="F102" s="50">
        <v>5</v>
      </c>
      <c r="G102" s="50">
        <v>2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13</v>
      </c>
      <c r="P102" s="15">
        <f t="shared" si="36"/>
        <v>17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8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25</v>
      </c>
      <c r="N103" s="50">
        <v>0</v>
      </c>
      <c r="O103" s="15">
        <f t="shared" si="35"/>
        <v>12</v>
      </c>
      <c r="P103" s="15">
        <f t="shared" si="36"/>
        <v>37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1</v>
      </c>
      <c r="E104" s="50">
        <v>0</v>
      </c>
      <c r="F104" s="50">
        <v>6</v>
      </c>
      <c r="G104" s="50">
        <v>1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25</v>
      </c>
      <c r="N104" s="50">
        <v>0</v>
      </c>
      <c r="O104" s="15">
        <f t="shared" si="35"/>
        <v>17</v>
      </c>
      <c r="P104" s="15">
        <f t="shared" si="36"/>
        <v>42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1</v>
      </c>
      <c r="F105" s="50">
        <v>1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23</v>
      </c>
      <c r="N105" s="50">
        <v>0</v>
      </c>
      <c r="O105" s="15">
        <f t="shared" si="35"/>
        <v>5</v>
      </c>
      <c r="P105" s="15">
        <f t="shared" si="36"/>
        <v>28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289</v>
      </c>
      <c r="D106" s="16">
        <f t="shared" ref="D106:P106" si="37">SUM(D10:D105)</f>
        <v>30</v>
      </c>
      <c r="E106" s="16">
        <f t="shared" si="37"/>
        <v>38</v>
      </c>
      <c r="F106" s="16">
        <f t="shared" si="37"/>
        <v>88</v>
      </c>
      <c r="G106" s="16">
        <f t="shared" si="37"/>
        <v>19</v>
      </c>
      <c r="H106" s="16">
        <f t="shared" si="37"/>
        <v>0</v>
      </c>
      <c r="I106" s="16">
        <f t="shared" si="37"/>
        <v>106</v>
      </c>
      <c r="J106" s="16">
        <f t="shared" si="37"/>
        <v>52</v>
      </c>
      <c r="K106" s="16">
        <f t="shared" si="37"/>
        <v>21</v>
      </c>
      <c r="L106" s="16">
        <f t="shared" si="37"/>
        <v>0</v>
      </c>
      <c r="M106" s="16">
        <f t="shared" si="37"/>
        <v>3046</v>
      </c>
      <c r="N106" s="16">
        <f t="shared" si="37"/>
        <v>62</v>
      </c>
      <c r="O106" s="16">
        <f t="shared" si="37"/>
        <v>705</v>
      </c>
      <c r="P106" s="16">
        <f t="shared" si="37"/>
        <v>3751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7.7046121034390833E-2</v>
      </c>
      <c r="D107" s="43">
        <f t="shared" si="38"/>
        <v>7.9978672354038931E-3</v>
      </c>
      <c r="E107" s="43">
        <f t="shared" si="38"/>
        <v>1.0130631831511597E-2</v>
      </c>
      <c r="F107" s="43">
        <f t="shared" si="38"/>
        <v>2.3460410557184751E-2</v>
      </c>
      <c r="G107" s="43">
        <f t="shared" si="38"/>
        <v>5.0653159157557984E-3</v>
      </c>
      <c r="H107" s="43">
        <f t="shared" si="38"/>
        <v>0</v>
      </c>
      <c r="I107" s="43">
        <f t="shared" si="38"/>
        <v>2.8259130898427087E-2</v>
      </c>
      <c r="J107" s="43">
        <f t="shared" si="38"/>
        <v>1.3862969874700081E-2</v>
      </c>
      <c r="K107" s="43">
        <f t="shared" si="38"/>
        <v>5.5985070647827243E-3</v>
      </c>
      <c r="L107" s="43">
        <f t="shared" si="38"/>
        <v>0</v>
      </c>
      <c r="M107" s="43">
        <f t="shared" si="38"/>
        <v>0.81205011996800858</v>
      </c>
      <c r="N107" s="43">
        <f t="shared" si="38"/>
        <v>1.6528925619834711E-2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0.40992907801418438</v>
      </c>
      <c r="D108" s="44">
        <f t="shared" ref="D108:N108" si="39">D106/$O$106</f>
        <v>4.2553191489361701E-2</v>
      </c>
      <c r="E108" s="44">
        <f t="shared" si="39"/>
        <v>5.3900709219858157E-2</v>
      </c>
      <c r="F108" s="44">
        <f t="shared" si="39"/>
        <v>0.12482269503546099</v>
      </c>
      <c r="G108" s="44">
        <f t="shared" si="39"/>
        <v>2.6950354609929079E-2</v>
      </c>
      <c r="H108" s="44">
        <f t="shared" si="39"/>
        <v>0</v>
      </c>
      <c r="I108" s="44">
        <f t="shared" si="39"/>
        <v>0.15035460992907801</v>
      </c>
      <c r="J108" s="44">
        <f t="shared" si="39"/>
        <v>7.3758865248226946E-2</v>
      </c>
      <c r="K108" s="44">
        <f t="shared" si="39"/>
        <v>2.9787234042553193E-2</v>
      </c>
      <c r="L108" s="44">
        <f t="shared" si="39"/>
        <v>0</v>
      </c>
      <c r="M108" s="44"/>
      <c r="N108" s="44">
        <f t="shared" si="39"/>
        <v>8.794326241134752E-2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'23.09.19-Kitemu-Buddo'!C3:G3</f>
        <v>MCC-C2-Kitemu 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9" t="str">
        <f>'25.09 Buddo-Kitemu'!G5:H5</f>
        <v>St Charles Lwanga PS</v>
      </c>
      <c r="H5" s="70"/>
      <c r="I5" s="14"/>
      <c r="J5" s="2" t="s">
        <v>5</v>
      </c>
      <c r="K5" s="69" t="s">
        <v>167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'23.09.19-Kitemu-Buddo'!D6:E6</f>
        <v>KITEMU</v>
      </c>
      <c r="E6" s="70"/>
      <c r="F6" s="2" t="s">
        <v>2</v>
      </c>
      <c r="G6" s="69" t="str">
        <f>'23.09.19-Kitemu-Buddo'!G6:H6</f>
        <v>BUDDO</v>
      </c>
      <c r="H6" s="70"/>
      <c r="J6" s="2" t="s">
        <v>21</v>
      </c>
      <c r="K6" s="69" t="str">
        <f>'25.09 Buddo-Kitemu'!K6:L6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2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27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35</v>
      </c>
      <c r="R10" s="1" t="s">
        <v>6</v>
      </c>
      <c r="S10" s="17">
        <f t="shared" ref="S10:AF10" si="2">SUM(C10:C13)</f>
        <v>14</v>
      </c>
      <c r="T10" s="17">
        <f t="shared" si="2"/>
        <v>0</v>
      </c>
      <c r="U10" s="17">
        <f t="shared" si="2"/>
        <v>0</v>
      </c>
      <c r="V10" s="17">
        <f t="shared" si="2"/>
        <v>11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155</v>
      </c>
      <c r="AD10" s="17">
        <f t="shared" si="2"/>
        <v>0</v>
      </c>
      <c r="AE10" s="31">
        <f t="shared" si="2"/>
        <v>32</v>
      </c>
      <c r="AF10" s="31">
        <f t="shared" si="2"/>
        <v>187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4</v>
      </c>
      <c r="P11" s="15">
        <f t="shared" si="1"/>
        <v>29</v>
      </c>
      <c r="R11" s="1" t="s">
        <v>7</v>
      </c>
      <c r="S11" s="17">
        <f t="shared" ref="S11:AF11" si="3">SUM(C14:C17)</f>
        <v>6</v>
      </c>
      <c r="T11" s="17">
        <f t="shared" si="3"/>
        <v>5</v>
      </c>
      <c r="U11" s="17">
        <f t="shared" si="3"/>
        <v>2</v>
      </c>
      <c r="V11" s="17">
        <f t="shared" si="3"/>
        <v>9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192</v>
      </c>
      <c r="AD11" s="17">
        <f t="shared" si="3"/>
        <v>0</v>
      </c>
      <c r="AE11" s="31">
        <f t="shared" si="3"/>
        <v>28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43</v>
      </c>
      <c r="N12" s="50">
        <v>0</v>
      </c>
      <c r="O12" s="15">
        <f t="shared" si="0"/>
        <v>10</v>
      </c>
      <c r="P12" s="15">
        <f t="shared" si="1"/>
        <v>53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169</v>
      </c>
      <c r="AD12" s="17">
        <f t="shared" si="4"/>
        <v>0</v>
      </c>
      <c r="AE12" s="31">
        <f t="shared" si="4"/>
        <v>18</v>
      </c>
      <c r="AF12" s="31">
        <f t="shared" si="4"/>
        <v>187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0</v>
      </c>
      <c r="F13" s="50">
        <v>4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10</v>
      </c>
      <c r="P13" s="15">
        <f t="shared" si="1"/>
        <v>70</v>
      </c>
      <c r="R13" s="1" t="s">
        <v>9</v>
      </c>
      <c r="S13" s="17">
        <f t="shared" ref="S13:AF13" si="5">SUM(C22:C25)</f>
        <v>18</v>
      </c>
      <c r="T13" s="17">
        <f t="shared" si="5"/>
        <v>2</v>
      </c>
      <c r="U13" s="17">
        <f t="shared" si="5"/>
        <v>3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4</v>
      </c>
      <c r="AB13" s="17">
        <f t="shared" si="5"/>
        <v>0</v>
      </c>
      <c r="AC13" s="17">
        <f t="shared" si="5"/>
        <v>171</v>
      </c>
      <c r="AD13" s="17">
        <f t="shared" si="5"/>
        <v>0</v>
      </c>
      <c r="AE13" s="31">
        <f t="shared" si="5"/>
        <v>37</v>
      </c>
      <c r="AF13" s="31">
        <f t="shared" si="5"/>
        <v>208</v>
      </c>
    </row>
    <row r="14" spans="2:32" ht="23.1" customHeight="1" x14ac:dyDescent="0.25">
      <c r="B14" s="23" t="s">
        <v>41</v>
      </c>
      <c r="C14" s="50">
        <v>2</v>
      </c>
      <c r="D14" s="50">
        <v>1</v>
      </c>
      <c r="E14" s="50">
        <v>0</v>
      </c>
      <c r="F14" s="50">
        <v>2</v>
      </c>
      <c r="G14" s="50">
        <v>1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45</v>
      </c>
      <c r="N14" s="50">
        <v>0</v>
      </c>
      <c r="O14" s="15">
        <f t="shared" si="0"/>
        <v>7</v>
      </c>
      <c r="P14" s="15">
        <f t="shared" si="1"/>
        <v>52</v>
      </c>
      <c r="R14" s="1" t="s">
        <v>10</v>
      </c>
      <c r="S14" s="17">
        <f t="shared" ref="S14:AF14" si="6">SUM(C26:C29)</f>
        <v>13</v>
      </c>
      <c r="T14" s="17">
        <f t="shared" si="6"/>
        <v>4</v>
      </c>
      <c r="U14" s="17">
        <f t="shared" si="6"/>
        <v>0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143</v>
      </c>
      <c r="AD14" s="17">
        <f t="shared" si="6"/>
        <v>0</v>
      </c>
      <c r="AE14" s="31">
        <f t="shared" si="6"/>
        <v>36</v>
      </c>
      <c r="AF14" s="31">
        <f t="shared" si="6"/>
        <v>179</v>
      </c>
    </row>
    <row r="15" spans="2:32" ht="23.1" customHeight="1" x14ac:dyDescent="0.25">
      <c r="B15" s="23" t="s">
        <v>42</v>
      </c>
      <c r="C15" s="50">
        <v>1</v>
      </c>
      <c r="D15" s="50">
        <v>2</v>
      </c>
      <c r="E15" s="50">
        <v>0</v>
      </c>
      <c r="F15" s="50">
        <v>4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54</v>
      </c>
      <c r="N15" s="50">
        <v>0</v>
      </c>
      <c r="O15" s="15">
        <f t="shared" si="0"/>
        <v>8</v>
      </c>
      <c r="P15" s="15">
        <f t="shared" si="1"/>
        <v>62</v>
      </c>
      <c r="R15" s="1" t="s">
        <v>11</v>
      </c>
      <c r="S15" s="17">
        <f t="shared" ref="S15:AF15" si="7">SUM(C30:C33)</f>
        <v>13</v>
      </c>
      <c r="T15" s="17">
        <f t="shared" si="7"/>
        <v>2</v>
      </c>
      <c r="U15" s="17">
        <f t="shared" si="7"/>
        <v>3</v>
      </c>
      <c r="V15" s="17">
        <f t="shared" si="7"/>
        <v>17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83</v>
      </c>
      <c r="AD15" s="17">
        <f t="shared" si="7"/>
        <v>0</v>
      </c>
      <c r="AE15" s="31">
        <f t="shared" si="7"/>
        <v>38</v>
      </c>
      <c r="AF15" s="31">
        <f t="shared" si="7"/>
        <v>121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45</v>
      </c>
      <c r="N16" s="50">
        <v>0</v>
      </c>
      <c r="O16" s="15">
        <f t="shared" si="0"/>
        <v>7</v>
      </c>
      <c r="P16" s="15">
        <f t="shared" si="1"/>
        <v>52</v>
      </c>
      <c r="R16" s="1" t="s">
        <v>12</v>
      </c>
      <c r="S16" s="17">
        <f t="shared" ref="S16:AF16" si="8">SUM(C34:C37)</f>
        <v>15</v>
      </c>
      <c r="T16" s="17">
        <f t="shared" si="8"/>
        <v>3</v>
      </c>
      <c r="U16" s="17">
        <f t="shared" si="8"/>
        <v>1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131</v>
      </c>
      <c r="AD16" s="17">
        <f t="shared" si="8"/>
        <v>0</v>
      </c>
      <c r="AE16" s="31">
        <f t="shared" si="8"/>
        <v>36</v>
      </c>
      <c r="AF16" s="31">
        <f t="shared" si="8"/>
        <v>167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48</v>
      </c>
      <c r="N17" s="50">
        <v>0</v>
      </c>
      <c r="O17" s="15">
        <f t="shared" si="0"/>
        <v>6</v>
      </c>
      <c r="P17" s="15">
        <f t="shared" si="1"/>
        <v>54</v>
      </c>
      <c r="R17" s="1" t="s">
        <v>13</v>
      </c>
      <c r="S17" s="17">
        <f t="shared" ref="S17:AF17" si="9">SUM(C38:C41)</f>
        <v>7</v>
      </c>
      <c r="T17" s="17">
        <f t="shared" si="9"/>
        <v>1</v>
      </c>
      <c r="U17" s="17">
        <f t="shared" si="9"/>
        <v>1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82</v>
      </c>
      <c r="AD17" s="17">
        <f t="shared" si="9"/>
        <v>0</v>
      </c>
      <c r="AE17" s="31">
        <f t="shared" si="9"/>
        <v>20</v>
      </c>
      <c r="AF17" s="31">
        <f t="shared" si="9"/>
        <v>102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29</v>
      </c>
      <c r="N18" s="50">
        <v>0</v>
      </c>
      <c r="O18" s="15">
        <f t="shared" si="0"/>
        <v>6</v>
      </c>
      <c r="P18" s="15">
        <f t="shared" si="1"/>
        <v>35</v>
      </c>
      <c r="R18" s="1" t="s">
        <v>14</v>
      </c>
      <c r="S18" s="17">
        <f t="shared" ref="S18:AF18" si="10">SUM(C42:C45)</f>
        <v>8</v>
      </c>
      <c r="T18" s="17">
        <f t="shared" si="10"/>
        <v>1</v>
      </c>
      <c r="U18" s="17">
        <f t="shared" si="10"/>
        <v>0</v>
      </c>
      <c r="V18" s="17">
        <f t="shared" si="10"/>
        <v>6</v>
      </c>
      <c r="W18" s="17">
        <f t="shared" si="10"/>
        <v>1</v>
      </c>
      <c r="X18" s="17">
        <f t="shared" si="10"/>
        <v>1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75</v>
      </c>
      <c r="AD18" s="17">
        <f t="shared" si="10"/>
        <v>0</v>
      </c>
      <c r="AE18" s="31">
        <f t="shared" si="10"/>
        <v>22</v>
      </c>
      <c r="AF18" s="31">
        <f t="shared" si="10"/>
        <v>97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39</v>
      </c>
      <c r="N19" s="50">
        <v>0</v>
      </c>
      <c r="O19" s="15">
        <f t="shared" si="0"/>
        <v>4</v>
      </c>
      <c r="P19" s="15">
        <f t="shared" si="1"/>
        <v>43</v>
      </c>
      <c r="R19" s="1" t="s">
        <v>15</v>
      </c>
      <c r="S19" s="17">
        <f t="shared" ref="S19:AF19" si="11">SUM(C46:C49)</f>
        <v>15</v>
      </c>
      <c r="T19" s="17">
        <f t="shared" si="11"/>
        <v>2</v>
      </c>
      <c r="U19" s="17">
        <f t="shared" si="11"/>
        <v>1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150</v>
      </c>
      <c r="AD19" s="17">
        <f t="shared" si="11"/>
        <v>0</v>
      </c>
      <c r="AE19" s="31">
        <f t="shared" si="11"/>
        <v>33</v>
      </c>
      <c r="AF19" s="31">
        <f t="shared" si="11"/>
        <v>183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1</v>
      </c>
      <c r="L20" s="50">
        <v>0</v>
      </c>
      <c r="M20" s="50">
        <v>51</v>
      </c>
      <c r="N20" s="50">
        <v>0</v>
      </c>
      <c r="O20" s="15">
        <f t="shared" si="0"/>
        <v>3</v>
      </c>
      <c r="P20" s="15">
        <f t="shared" si="1"/>
        <v>54</v>
      </c>
      <c r="R20" s="1" t="s">
        <v>16</v>
      </c>
      <c r="S20" s="17">
        <f t="shared" ref="S20:AF20" si="12">SUM(C50:C53)</f>
        <v>19</v>
      </c>
      <c r="T20" s="17">
        <f t="shared" si="12"/>
        <v>3</v>
      </c>
      <c r="U20" s="17">
        <f t="shared" si="12"/>
        <v>2</v>
      </c>
      <c r="V20" s="17">
        <f t="shared" si="12"/>
        <v>8</v>
      </c>
      <c r="W20" s="17">
        <f t="shared" si="12"/>
        <v>5</v>
      </c>
      <c r="X20" s="17">
        <f t="shared" si="12"/>
        <v>0</v>
      </c>
      <c r="Y20" s="17">
        <f t="shared" si="12"/>
        <v>8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188</v>
      </c>
      <c r="AD20" s="17">
        <f t="shared" si="12"/>
        <v>0</v>
      </c>
      <c r="AE20" s="31">
        <f t="shared" si="12"/>
        <v>48</v>
      </c>
      <c r="AF20" s="31">
        <f t="shared" si="12"/>
        <v>236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5</v>
      </c>
      <c r="P21" s="15">
        <f t="shared" si="1"/>
        <v>55</v>
      </c>
      <c r="R21" s="36" t="s">
        <v>20</v>
      </c>
      <c r="S21" s="34">
        <f t="shared" ref="S21:AF21" si="13">SUM(C54:C57)</f>
        <v>15</v>
      </c>
      <c r="T21" s="17">
        <f t="shared" si="13"/>
        <v>5</v>
      </c>
      <c r="U21" s="17">
        <f t="shared" si="13"/>
        <v>3</v>
      </c>
      <c r="V21" s="17">
        <f t="shared" si="13"/>
        <v>9</v>
      </c>
      <c r="W21" s="17">
        <f t="shared" si="13"/>
        <v>1</v>
      </c>
      <c r="X21" s="17">
        <f t="shared" si="13"/>
        <v>1</v>
      </c>
      <c r="Y21" s="17">
        <f t="shared" si="13"/>
        <v>4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184</v>
      </c>
      <c r="AD21" s="17">
        <f t="shared" si="13"/>
        <v>0</v>
      </c>
      <c r="AE21" s="31">
        <f t="shared" si="13"/>
        <v>41</v>
      </c>
      <c r="AF21" s="31">
        <f t="shared" si="13"/>
        <v>225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39</v>
      </c>
      <c r="N22" s="50">
        <v>0</v>
      </c>
      <c r="O22" s="15">
        <f t="shared" si="0"/>
        <v>9</v>
      </c>
      <c r="P22" s="15">
        <f t="shared" si="1"/>
        <v>48</v>
      </c>
      <c r="R22" s="38" t="s">
        <v>90</v>
      </c>
      <c r="S22" s="39">
        <f>MAX(S10:S12)</f>
        <v>14</v>
      </c>
      <c r="T22" s="39">
        <f t="shared" ref="T22:AF22" si="14">MAX(T10:T12)</f>
        <v>5</v>
      </c>
      <c r="U22" s="39">
        <f t="shared" si="14"/>
        <v>2</v>
      </c>
      <c r="V22" s="39">
        <f t="shared" si="14"/>
        <v>11</v>
      </c>
      <c r="W22" s="39">
        <f t="shared" si="14"/>
        <v>1</v>
      </c>
      <c r="X22" s="39">
        <f t="shared" si="14"/>
        <v>1</v>
      </c>
      <c r="Y22" s="39">
        <f t="shared" si="14"/>
        <v>5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192</v>
      </c>
      <c r="AD22" s="39">
        <f t="shared" si="14"/>
        <v>0</v>
      </c>
      <c r="AE22" s="40">
        <f t="shared" si="14"/>
        <v>32</v>
      </c>
      <c r="AF22" s="40">
        <f t="shared" si="14"/>
        <v>220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40</v>
      </c>
      <c r="N23" s="50">
        <v>0</v>
      </c>
      <c r="O23" s="15">
        <f t="shared" si="0"/>
        <v>8</v>
      </c>
      <c r="P23" s="15">
        <f t="shared" si="1"/>
        <v>48</v>
      </c>
      <c r="R23" s="38" t="s">
        <v>91</v>
      </c>
      <c r="S23" s="39">
        <f>MAX(S13:S18)</f>
        <v>18</v>
      </c>
      <c r="T23" s="39">
        <f t="shared" ref="T23:AF23" si="15">MAX(T13:T18)</f>
        <v>4</v>
      </c>
      <c r="U23" s="39">
        <f t="shared" si="15"/>
        <v>3</v>
      </c>
      <c r="V23" s="39">
        <f t="shared" si="15"/>
        <v>17</v>
      </c>
      <c r="W23" s="39">
        <f t="shared" si="15"/>
        <v>1</v>
      </c>
      <c r="X23" s="39">
        <f t="shared" si="15"/>
        <v>1</v>
      </c>
      <c r="Y23" s="39">
        <f t="shared" si="15"/>
        <v>8</v>
      </c>
      <c r="Z23" s="39">
        <f t="shared" si="15"/>
        <v>2</v>
      </c>
      <c r="AA23" s="39">
        <f t="shared" si="15"/>
        <v>4</v>
      </c>
      <c r="AB23" s="39">
        <f t="shared" si="15"/>
        <v>0</v>
      </c>
      <c r="AC23" s="39">
        <f t="shared" si="15"/>
        <v>171</v>
      </c>
      <c r="AD23" s="39">
        <f t="shared" si="15"/>
        <v>0</v>
      </c>
      <c r="AE23" s="40">
        <f t="shared" si="15"/>
        <v>38</v>
      </c>
      <c r="AF23" s="40">
        <f t="shared" si="15"/>
        <v>208</v>
      </c>
    </row>
    <row r="24" spans="2:32" ht="23.1" customHeight="1" x14ac:dyDescent="0.25">
      <c r="B24" s="23" t="s">
        <v>51</v>
      </c>
      <c r="C24" s="50">
        <v>6</v>
      </c>
      <c r="D24" s="50">
        <v>1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42</v>
      </c>
      <c r="N24" s="50">
        <v>0</v>
      </c>
      <c r="O24" s="15">
        <f t="shared" si="0"/>
        <v>9</v>
      </c>
      <c r="P24" s="15">
        <f t="shared" si="1"/>
        <v>51</v>
      </c>
      <c r="R24" s="38" t="s">
        <v>92</v>
      </c>
      <c r="S24" s="39">
        <f>MAX(S19:S21)</f>
        <v>19</v>
      </c>
      <c r="T24" s="39">
        <f t="shared" ref="T24:AF24" si="16">MAX(T19:T21)</f>
        <v>5</v>
      </c>
      <c r="U24" s="39">
        <f t="shared" si="16"/>
        <v>3</v>
      </c>
      <c r="V24" s="39">
        <f t="shared" si="16"/>
        <v>10</v>
      </c>
      <c r="W24" s="39">
        <f t="shared" si="16"/>
        <v>5</v>
      </c>
      <c r="X24" s="39">
        <f t="shared" si="16"/>
        <v>1</v>
      </c>
      <c r="Y24" s="39">
        <f t="shared" si="16"/>
        <v>8</v>
      </c>
      <c r="Z24" s="39">
        <f t="shared" si="16"/>
        <v>3</v>
      </c>
      <c r="AA24" s="39">
        <f t="shared" si="16"/>
        <v>0</v>
      </c>
      <c r="AB24" s="39">
        <f t="shared" si="16"/>
        <v>0</v>
      </c>
      <c r="AC24" s="39">
        <f t="shared" si="16"/>
        <v>188</v>
      </c>
      <c r="AD24" s="39">
        <f t="shared" si="16"/>
        <v>0</v>
      </c>
      <c r="AE24" s="40">
        <f t="shared" si="16"/>
        <v>48</v>
      </c>
      <c r="AF24" s="40">
        <f t="shared" si="16"/>
        <v>236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3</v>
      </c>
      <c r="J25" s="50">
        <v>0</v>
      </c>
      <c r="K25" s="50">
        <v>2</v>
      </c>
      <c r="L25" s="50">
        <v>0</v>
      </c>
      <c r="M25" s="50">
        <v>50</v>
      </c>
      <c r="N25" s="50">
        <v>0</v>
      </c>
      <c r="O25" s="15">
        <f t="shared" si="0"/>
        <v>11</v>
      </c>
      <c r="P25" s="15">
        <f t="shared" si="1"/>
        <v>61</v>
      </c>
      <c r="R25" s="37" t="s">
        <v>85</v>
      </c>
      <c r="S25" s="35">
        <f t="shared" ref="S25:AF25" si="17">SUM(S10:S12)</f>
        <v>26</v>
      </c>
      <c r="T25" s="16">
        <f t="shared" si="17"/>
        <v>5</v>
      </c>
      <c r="U25" s="16">
        <f t="shared" si="17"/>
        <v>4</v>
      </c>
      <c r="V25" s="16">
        <f t="shared" si="17"/>
        <v>23</v>
      </c>
      <c r="W25" s="16">
        <f t="shared" si="17"/>
        <v>2</v>
      </c>
      <c r="X25" s="16">
        <f t="shared" si="17"/>
        <v>1</v>
      </c>
      <c r="Y25" s="16">
        <f t="shared" si="17"/>
        <v>12</v>
      </c>
      <c r="Z25" s="16">
        <f t="shared" si="17"/>
        <v>3</v>
      </c>
      <c r="AA25" s="16">
        <f t="shared" si="17"/>
        <v>2</v>
      </c>
      <c r="AB25" s="16">
        <f t="shared" si="17"/>
        <v>0</v>
      </c>
      <c r="AC25" s="16">
        <f t="shared" si="17"/>
        <v>516</v>
      </c>
      <c r="AD25" s="16">
        <f t="shared" si="17"/>
        <v>0</v>
      </c>
      <c r="AE25" s="32">
        <f t="shared" si="17"/>
        <v>78</v>
      </c>
      <c r="AF25" s="32">
        <f t="shared" si="17"/>
        <v>594</v>
      </c>
    </row>
    <row r="26" spans="2:32" ht="23.1" customHeight="1" x14ac:dyDescent="0.25">
      <c r="B26" s="23" t="s">
        <v>53</v>
      </c>
      <c r="C26" s="50">
        <v>3</v>
      </c>
      <c r="D26" s="50">
        <v>2</v>
      </c>
      <c r="E26" s="50">
        <v>0</v>
      </c>
      <c r="F26" s="50">
        <v>2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40</v>
      </c>
      <c r="N26" s="50">
        <v>0</v>
      </c>
      <c r="O26" s="15">
        <f t="shared" si="0"/>
        <v>11</v>
      </c>
      <c r="P26" s="15">
        <f t="shared" si="1"/>
        <v>51</v>
      </c>
      <c r="R26" s="28" t="s">
        <v>86</v>
      </c>
      <c r="S26" s="16">
        <f t="shared" ref="S26:AF26" si="18">SUM(S13:S18)</f>
        <v>74</v>
      </c>
      <c r="T26" s="16">
        <f t="shared" si="18"/>
        <v>13</v>
      </c>
      <c r="U26" s="16">
        <f t="shared" si="18"/>
        <v>8</v>
      </c>
      <c r="V26" s="16">
        <f t="shared" si="18"/>
        <v>51</v>
      </c>
      <c r="W26" s="16">
        <f t="shared" si="18"/>
        <v>2</v>
      </c>
      <c r="X26" s="16">
        <f t="shared" si="18"/>
        <v>1</v>
      </c>
      <c r="Y26" s="16">
        <f t="shared" si="18"/>
        <v>28</v>
      </c>
      <c r="Z26" s="16">
        <f t="shared" si="18"/>
        <v>4</v>
      </c>
      <c r="AA26" s="16">
        <f t="shared" si="18"/>
        <v>8</v>
      </c>
      <c r="AB26" s="16">
        <f t="shared" si="18"/>
        <v>0</v>
      </c>
      <c r="AC26" s="16">
        <f t="shared" si="18"/>
        <v>685</v>
      </c>
      <c r="AD26" s="16">
        <f t="shared" si="18"/>
        <v>0</v>
      </c>
      <c r="AE26" s="32">
        <f t="shared" si="18"/>
        <v>189</v>
      </c>
      <c r="AF26" s="32">
        <f t="shared" si="18"/>
        <v>874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1</v>
      </c>
      <c r="K27" s="50">
        <v>1</v>
      </c>
      <c r="L27" s="50">
        <v>0</v>
      </c>
      <c r="M27" s="50">
        <v>35</v>
      </c>
      <c r="N27" s="50">
        <v>0</v>
      </c>
      <c r="O27" s="15">
        <f t="shared" si="0"/>
        <v>11</v>
      </c>
      <c r="P27" s="15">
        <f t="shared" si="1"/>
        <v>46</v>
      </c>
      <c r="R27" s="29" t="s">
        <v>87</v>
      </c>
      <c r="S27" s="16">
        <f t="shared" ref="S27:AF27" si="19">SUM(S19:S21)</f>
        <v>49</v>
      </c>
      <c r="T27" s="16">
        <f t="shared" si="19"/>
        <v>10</v>
      </c>
      <c r="U27" s="16">
        <f t="shared" si="19"/>
        <v>6</v>
      </c>
      <c r="V27" s="16">
        <f t="shared" si="19"/>
        <v>27</v>
      </c>
      <c r="W27" s="16">
        <f t="shared" si="19"/>
        <v>6</v>
      </c>
      <c r="X27" s="16">
        <f t="shared" si="19"/>
        <v>1</v>
      </c>
      <c r="Y27" s="16">
        <f t="shared" si="19"/>
        <v>16</v>
      </c>
      <c r="Z27" s="16">
        <f t="shared" si="19"/>
        <v>7</v>
      </c>
      <c r="AA27" s="16">
        <f t="shared" si="19"/>
        <v>0</v>
      </c>
      <c r="AB27" s="16">
        <f t="shared" si="19"/>
        <v>0</v>
      </c>
      <c r="AC27" s="16">
        <f t="shared" si="19"/>
        <v>522</v>
      </c>
      <c r="AD27" s="16">
        <f t="shared" si="19"/>
        <v>0</v>
      </c>
      <c r="AE27" s="32">
        <f t="shared" si="19"/>
        <v>122</v>
      </c>
      <c r="AF27" s="32">
        <f t="shared" si="19"/>
        <v>644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30</v>
      </c>
      <c r="N28" s="50">
        <v>0</v>
      </c>
      <c r="O28" s="15">
        <f t="shared" si="0"/>
        <v>5</v>
      </c>
      <c r="P28" s="15">
        <f t="shared" si="1"/>
        <v>35</v>
      </c>
      <c r="R28" s="5" t="s">
        <v>17</v>
      </c>
      <c r="S28" s="16">
        <f t="shared" ref="S28:AF28" si="20">SUM(S10:S21)</f>
        <v>149</v>
      </c>
      <c r="T28" s="16">
        <f t="shared" si="20"/>
        <v>28</v>
      </c>
      <c r="U28" s="16">
        <f t="shared" si="20"/>
        <v>18</v>
      </c>
      <c r="V28" s="16">
        <f t="shared" si="20"/>
        <v>101</v>
      </c>
      <c r="W28" s="16">
        <f t="shared" si="20"/>
        <v>10</v>
      </c>
      <c r="X28" s="16">
        <f t="shared" si="20"/>
        <v>3</v>
      </c>
      <c r="Y28" s="16">
        <f t="shared" si="20"/>
        <v>56</v>
      </c>
      <c r="Z28" s="16">
        <f t="shared" si="20"/>
        <v>14</v>
      </c>
      <c r="AA28" s="16">
        <f t="shared" si="20"/>
        <v>10</v>
      </c>
      <c r="AB28" s="16">
        <f t="shared" si="20"/>
        <v>0</v>
      </c>
      <c r="AC28" s="16">
        <f t="shared" si="20"/>
        <v>1723</v>
      </c>
      <c r="AD28" s="16">
        <f t="shared" si="20"/>
        <v>0</v>
      </c>
      <c r="AE28" s="32">
        <f t="shared" si="20"/>
        <v>389</v>
      </c>
      <c r="AF28" s="32">
        <f t="shared" si="20"/>
        <v>2112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0</v>
      </c>
      <c r="F29" s="50">
        <v>2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38</v>
      </c>
      <c r="N29" s="50">
        <v>0</v>
      </c>
      <c r="O29" s="15">
        <f t="shared" si="0"/>
        <v>9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4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27</v>
      </c>
      <c r="N30" s="50">
        <v>0</v>
      </c>
      <c r="O30" s="15">
        <f t="shared" si="0"/>
        <v>5</v>
      </c>
      <c r="P30" s="15">
        <f t="shared" si="1"/>
        <v>32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0</v>
      </c>
      <c r="F31" s="50">
        <v>3</v>
      </c>
      <c r="G31" s="50">
        <v>1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8</v>
      </c>
      <c r="P31" s="15">
        <f t="shared" si="1"/>
        <v>21</v>
      </c>
    </row>
    <row r="32" spans="2:32" ht="23.1" customHeight="1" x14ac:dyDescent="0.25">
      <c r="B32" s="24" t="s">
        <v>59</v>
      </c>
      <c r="C32" s="50">
        <v>2</v>
      </c>
      <c r="D32" s="50">
        <v>2</v>
      </c>
      <c r="E32" s="50">
        <v>1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8</v>
      </c>
      <c r="P32" s="15">
        <f t="shared" si="1"/>
        <v>27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2</v>
      </c>
      <c r="F33" s="50">
        <v>7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17</v>
      </c>
      <c r="P33" s="15">
        <f t="shared" si="1"/>
        <v>41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5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38</v>
      </c>
      <c r="N35" s="50">
        <v>0</v>
      </c>
      <c r="O35" s="15">
        <f t="shared" si="0"/>
        <v>10</v>
      </c>
      <c r="P35" s="15">
        <f t="shared" si="1"/>
        <v>48</v>
      </c>
    </row>
    <row r="36" spans="2:20" ht="23.1" customHeight="1" x14ac:dyDescent="0.25">
      <c r="B36" s="24" t="s">
        <v>63</v>
      </c>
      <c r="C36" s="50">
        <v>7</v>
      </c>
      <c r="D36" s="50">
        <v>1</v>
      </c>
      <c r="E36" s="50">
        <v>0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41</v>
      </c>
      <c r="N36" s="50">
        <v>0</v>
      </c>
      <c r="O36" s="15">
        <f t="shared" si="0"/>
        <v>14</v>
      </c>
      <c r="P36" s="15">
        <f t="shared" si="1"/>
        <v>55</v>
      </c>
    </row>
    <row r="37" spans="2:20" ht="23.1" customHeight="1" x14ac:dyDescent="0.25">
      <c r="B37" s="23" t="s">
        <v>64</v>
      </c>
      <c r="C37" s="50">
        <v>2</v>
      </c>
      <c r="D37" s="50">
        <v>2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38</v>
      </c>
      <c r="N37" s="50">
        <v>0</v>
      </c>
      <c r="O37" s="15">
        <f t="shared" si="0"/>
        <v>7</v>
      </c>
      <c r="P37" s="15">
        <f t="shared" si="1"/>
        <v>45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33</v>
      </c>
      <c r="N38" s="50">
        <v>0</v>
      </c>
      <c r="O38" s="15">
        <f t="shared" si="0"/>
        <v>9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26</v>
      </c>
      <c r="N39" s="50">
        <v>0</v>
      </c>
      <c r="O39" s="15">
        <f t="shared" si="0"/>
        <v>4</v>
      </c>
      <c r="P39" s="15">
        <f t="shared" si="1"/>
        <v>30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1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1</v>
      </c>
      <c r="L41" s="50">
        <v>0</v>
      </c>
      <c r="M41" s="50">
        <v>15</v>
      </c>
      <c r="N41" s="50">
        <v>0</v>
      </c>
      <c r="O41" s="15">
        <f t="shared" si="0"/>
        <v>6</v>
      </c>
      <c r="P41" s="15">
        <f t="shared" si="1"/>
        <v>21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5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2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0</v>
      </c>
      <c r="F44" s="50">
        <v>2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26</v>
      </c>
      <c r="N44" s="50">
        <v>0</v>
      </c>
      <c r="O44" s="15">
        <f t="shared" si="0"/>
        <v>8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1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7</v>
      </c>
      <c r="P45" s="15">
        <f t="shared" si="1"/>
        <v>37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0</v>
      </c>
      <c r="F46" s="50">
        <v>3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43</v>
      </c>
      <c r="N46" s="50">
        <v>0</v>
      </c>
      <c r="O46" s="15">
        <f t="shared" si="0"/>
        <v>7</v>
      </c>
      <c r="P46" s="15">
        <f t="shared" si="1"/>
        <v>50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37</v>
      </c>
      <c r="N47" s="50">
        <v>0</v>
      </c>
      <c r="O47" s="15">
        <f t="shared" si="0"/>
        <v>5</v>
      </c>
      <c r="P47" s="15">
        <f t="shared" si="1"/>
        <v>42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1</v>
      </c>
      <c r="F48" s="50">
        <v>3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32</v>
      </c>
      <c r="N48" s="50">
        <v>0</v>
      </c>
      <c r="O48" s="15">
        <f t="shared" si="0"/>
        <v>11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0</v>
      </c>
      <c r="F49" s="50">
        <v>3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38</v>
      </c>
      <c r="N49" s="50">
        <v>0</v>
      </c>
      <c r="O49" s="15">
        <f t="shared" si="0"/>
        <v>10</v>
      </c>
      <c r="P49" s="15">
        <f t="shared" si="1"/>
        <v>48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2</v>
      </c>
      <c r="F50" s="50">
        <v>2</v>
      </c>
      <c r="G50" s="50">
        <v>3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14</v>
      </c>
      <c r="P50" s="15">
        <f t="shared" si="1"/>
        <v>54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3</v>
      </c>
      <c r="J51" s="50">
        <v>2</v>
      </c>
      <c r="K51" s="50">
        <v>0</v>
      </c>
      <c r="L51" s="50">
        <v>0</v>
      </c>
      <c r="M51" s="50">
        <v>49</v>
      </c>
      <c r="N51" s="50">
        <v>0</v>
      </c>
      <c r="O51" s="15">
        <f t="shared" si="0"/>
        <v>14</v>
      </c>
      <c r="P51" s="15">
        <f t="shared" si="1"/>
        <v>63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1</v>
      </c>
      <c r="G52" s="50">
        <v>2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9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3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54</v>
      </c>
      <c r="N53" s="50">
        <v>0</v>
      </c>
      <c r="O53" s="15">
        <f t="shared" si="0"/>
        <v>11</v>
      </c>
      <c r="P53" s="15">
        <f t="shared" si="1"/>
        <v>65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2</v>
      </c>
      <c r="J54" s="50">
        <v>2</v>
      </c>
      <c r="K54" s="50">
        <v>0</v>
      </c>
      <c r="L54" s="50">
        <v>0</v>
      </c>
      <c r="M54" s="50">
        <v>44</v>
      </c>
      <c r="N54" s="50">
        <v>0</v>
      </c>
      <c r="O54" s="15">
        <f t="shared" si="0"/>
        <v>9</v>
      </c>
      <c r="P54" s="15">
        <f t="shared" si="1"/>
        <v>53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2</v>
      </c>
      <c r="F55" s="50">
        <v>3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11</v>
      </c>
      <c r="P55" s="15">
        <f t="shared" si="1"/>
        <v>51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4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9</v>
      </c>
      <c r="P56" s="15">
        <f t="shared" si="1"/>
        <v>59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3</v>
      </c>
      <c r="E57" s="50">
        <v>0</v>
      </c>
      <c r="F57" s="50">
        <v>1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12</v>
      </c>
      <c r="P57" s="15">
        <f t="shared" si="1"/>
        <v>62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149</v>
      </c>
      <c r="D58" s="16">
        <f t="shared" si="21"/>
        <v>28</v>
      </c>
      <c r="E58" s="16">
        <f t="shared" si="21"/>
        <v>18</v>
      </c>
      <c r="F58" s="16">
        <f t="shared" si="21"/>
        <v>101</v>
      </c>
      <c r="G58" s="16">
        <f t="shared" si="21"/>
        <v>10</v>
      </c>
      <c r="H58" s="16">
        <f t="shared" si="21"/>
        <v>3</v>
      </c>
      <c r="I58" s="16">
        <f t="shared" si="21"/>
        <v>56</v>
      </c>
      <c r="J58" s="16">
        <f t="shared" si="21"/>
        <v>14</v>
      </c>
      <c r="K58" s="16">
        <f t="shared" si="21"/>
        <v>10</v>
      </c>
      <c r="L58" s="16">
        <f t="shared" si="21"/>
        <v>0</v>
      </c>
      <c r="M58" s="16">
        <f t="shared" si="21"/>
        <v>1723</v>
      </c>
      <c r="N58" s="16">
        <f t="shared" si="21"/>
        <v>0</v>
      </c>
      <c r="O58" s="16">
        <f t="shared" si="21"/>
        <v>389</v>
      </c>
      <c r="P58" s="16">
        <f t="shared" si="21"/>
        <v>2112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7.0549242424242431E-2</v>
      </c>
      <c r="D59" s="43">
        <f t="shared" si="22"/>
        <v>1.3257575757575758E-2</v>
      </c>
      <c r="E59" s="43">
        <f t="shared" si="22"/>
        <v>8.5227272727272721E-3</v>
      </c>
      <c r="F59" s="43">
        <f t="shared" si="22"/>
        <v>4.7821969696969696E-2</v>
      </c>
      <c r="G59" s="43">
        <f t="shared" si="22"/>
        <v>4.734848484848485E-3</v>
      </c>
      <c r="H59" s="43">
        <f t="shared" si="22"/>
        <v>1.4204545454545455E-3</v>
      </c>
      <c r="I59" s="43">
        <f t="shared" si="22"/>
        <v>2.6515151515151516E-2</v>
      </c>
      <c r="J59" s="43">
        <f t="shared" si="22"/>
        <v>6.628787878787879E-3</v>
      </c>
      <c r="K59" s="43">
        <f t="shared" si="22"/>
        <v>4.734848484848485E-3</v>
      </c>
      <c r="L59" s="43">
        <f t="shared" si="22"/>
        <v>0</v>
      </c>
      <c r="M59" s="43">
        <f t="shared" si="22"/>
        <v>0.81581439393939392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0.38303341902313626</v>
      </c>
      <c r="D60" s="44">
        <f t="shared" ref="D60:N60" si="23">D58/$O$58</f>
        <v>7.1979434447300775E-2</v>
      </c>
      <c r="E60" s="44">
        <f t="shared" si="23"/>
        <v>4.6272493573264781E-2</v>
      </c>
      <c r="F60" s="44">
        <f t="shared" si="23"/>
        <v>0.25964010282776351</v>
      </c>
      <c r="G60" s="44">
        <f t="shared" si="23"/>
        <v>2.570694087403599E-2</v>
      </c>
      <c r="H60" s="44">
        <f t="shared" si="23"/>
        <v>7.7120822622107968E-3</v>
      </c>
      <c r="I60" s="44">
        <f t="shared" si="23"/>
        <v>0.14395886889460155</v>
      </c>
      <c r="J60" s="44">
        <f t="shared" si="23"/>
        <v>3.5989717223650387E-2</v>
      </c>
      <c r="K60" s="44">
        <f t="shared" si="23"/>
        <v>2.570694087403599E-2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55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'27.09 Kitemu-Buddo'!D5</f>
        <v>27.09.19</v>
      </c>
      <c r="E5" s="3"/>
      <c r="F5" s="41" t="s">
        <v>1</v>
      </c>
      <c r="G5" s="69" t="str">
        <f>'27.09 Kitemu-Buddo'!G5:H5</f>
        <v>St Charles Lwanga PS</v>
      </c>
      <c r="H5" s="70"/>
      <c r="I5" s="14"/>
      <c r="J5" s="2" t="s">
        <v>5</v>
      </c>
      <c r="K5" s="69" t="s">
        <v>173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'23.09.19 -Buddo-Kitemu'!D6:E6</f>
        <v>BUDDO</v>
      </c>
      <c r="E6" s="70"/>
      <c r="F6" s="2" t="s">
        <v>2</v>
      </c>
      <c r="G6" s="69" t="str">
        <f>'23.09.19 -Buddo-Kitemu'!G6:H6</f>
        <v>KITEMU</v>
      </c>
      <c r="H6" s="70"/>
      <c r="J6" s="2" t="s">
        <v>21</v>
      </c>
      <c r="K6" s="69" t="str">
        <f>'27.09 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3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48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19</v>
      </c>
      <c r="T10" s="17">
        <f t="shared" si="2"/>
        <v>6</v>
      </c>
      <c r="U10" s="17">
        <f t="shared" si="2"/>
        <v>2</v>
      </c>
      <c r="V10" s="17">
        <f t="shared" si="2"/>
        <v>11</v>
      </c>
      <c r="W10" s="17">
        <f t="shared" si="2"/>
        <v>2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251</v>
      </c>
      <c r="AD10" s="17">
        <f t="shared" si="2"/>
        <v>0</v>
      </c>
      <c r="AE10" s="31">
        <f t="shared" si="2"/>
        <v>47</v>
      </c>
      <c r="AF10" s="31">
        <f t="shared" si="2"/>
        <v>298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2</v>
      </c>
      <c r="E11" s="50">
        <v>0</v>
      </c>
      <c r="F11" s="50">
        <v>2</v>
      </c>
      <c r="G11" s="50">
        <v>2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60</v>
      </c>
      <c r="N11" s="50">
        <v>0</v>
      </c>
      <c r="O11" s="15">
        <f t="shared" si="0"/>
        <v>9</v>
      </c>
      <c r="P11" s="15">
        <f t="shared" si="1"/>
        <v>69</v>
      </c>
      <c r="R11" s="1" t="s">
        <v>7</v>
      </c>
      <c r="S11" s="17">
        <f t="shared" ref="S11:AF11" si="3">SUM(C14:C17)</f>
        <v>30</v>
      </c>
      <c r="T11" s="17">
        <f t="shared" si="3"/>
        <v>2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240</v>
      </c>
      <c r="AD11" s="17">
        <f t="shared" si="3"/>
        <v>0</v>
      </c>
      <c r="AE11" s="31">
        <f t="shared" si="3"/>
        <v>45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67</v>
      </c>
      <c r="N12" s="50">
        <v>0</v>
      </c>
      <c r="O12" s="15">
        <f t="shared" si="0"/>
        <v>13</v>
      </c>
      <c r="P12" s="15">
        <f t="shared" si="1"/>
        <v>80</v>
      </c>
      <c r="R12" s="1" t="s">
        <v>8</v>
      </c>
      <c r="S12" s="17">
        <f t="shared" ref="S12:AF12" si="4">SUM(C18:C21)</f>
        <v>13</v>
      </c>
      <c r="T12" s="17">
        <f t="shared" si="4"/>
        <v>1</v>
      </c>
      <c r="U12" s="17">
        <f t="shared" si="4"/>
        <v>10</v>
      </c>
      <c r="V12" s="17">
        <f t="shared" si="4"/>
        <v>2</v>
      </c>
      <c r="W12" s="17">
        <f t="shared" si="4"/>
        <v>1</v>
      </c>
      <c r="X12" s="17">
        <f t="shared" si="4"/>
        <v>0</v>
      </c>
      <c r="Y12" s="17">
        <f t="shared" si="4"/>
        <v>12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189</v>
      </c>
      <c r="AD12" s="17">
        <f t="shared" si="4"/>
        <v>0</v>
      </c>
      <c r="AE12" s="31">
        <f t="shared" si="4"/>
        <v>42</v>
      </c>
      <c r="AF12" s="31">
        <f t="shared" si="4"/>
        <v>231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76</v>
      </c>
      <c r="N13" s="50">
        <v>0</v>
      </c>
      <c r="O13" s="15">
        <f t="shared" si="0"/>
        <v>12</v>
      </c>
      <c r="P13" s="15">
        <f t="shared" si="1"/>
        <v>88</v>
      </c>
      <c r="R13" s="1" t="s">
        <v>9</v>
      </c>
      <c r="S13" s="17">
        <f t="shared" ref="S13:AF13" si="5">SUM(C22:C25)</f>
        <v>17</v>
      </c>
      <c r="T13" s="17">
        <f t="shared" si="5"/>
        <v>5</v>
      </c>
      <c r="U13" s="17">
        <f t="shared" si="5"/>
        <v>2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160</v>
      </c>
      <c r="AD13" s="17">
        <f t="shared" si="5"/>
        <v>0</v>
      </c>
      <c r="AE13" s="31">
        <f t="shared" si="5"/>
        <v>35</v>
      </c>
      <c r="AF13" s="31">
        <f t="shared" si="5"/>
        <v>195</v>
      </c>
    </row>
    <row r="14" spans="2:32" ht="23.1" customHeight="1" x14ac:dyDescent="0.25">
      <c r="B14" s="23" t="s">
        <v>41</v>
      </c>
      <c r="C14" s="50">
        <v>7</v>
      </c>
      <c r="D14" s="50">
        <v>2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61</v>
      </c>
      <c r="N14" s="50">
        <v>0</v>
      </c>
      <c r="O14" s="15">
        <f t="shared" si="0"/>
        <v>12</v>
      </c>
      <c r="P14" s="15">
        <f t="shared" si="1"/>
        <v>73</v>
      </c>
      <c r="R14" s="1" t="s">
        <v>10</v>
      </c>
      <c r="S14" s="17">
        <f t="shared" ref="S14:AF14" si="6">SUM(C26:C29)</f>
        <v>9</v>
      </c>
      <c r="T14" s="17">
        <f t="shared" si="6"/>
        <v>3</v>
      </c>
      <c r="U14" s="17">
        <f t="shared" si="6"/>
        <v>5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4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117</v>
      </c>
      <c r="AD14" s="17">
        <f t="shared" si="6"/>
        <v>0</v>
      </c>
      <c r="AE14" s="31">
        <f t="shared" si="6"/>
        <v>28</v>
      </c>
      <c r="AF14" s="31">
        <f t="shared" si="6"/>
        <v>145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3</v>
      </c>
      <c r="K15" s="50">
        <v>0</v>
      </c>
      <c r="L15" s="50">
        <v>0</v>
      </c>
      <c r="M15" s="50">
        <v>69</v>
      </c>
      <c r="N15" s="50">
        <v>0</v>
      </c>
      <c r="O15" s="15">
        <f t="shared" si="0"/>
        <v>11</v>
      </c>
      <c r="P15" s="15">
        <f t="shared" si="1"/>
        <v>80</v>
      </c>
      <c r="R15" s="1" t="s">
        <v>11</v>
      </c>
      <c r="S15" s="17">
        <f t="shared" ref="S15:AF15" si="7">SUM(C30:C33)</f>
        <v>10</v>
      </c>
      <c r="T15" s="17">
        <f t="shared" si="7"/>
        <v>1</v>
      </c>
      <c r="U15" s="17">
        <f t="shared" si="7"/>
        <v>4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5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73</v>
      </c>
      <c r="AD15" s="17">
        <f t="shared" si="7"/>
        <v>0</v>
      </c>
      <c r="AE15" s="31">
        <f t="shared" si="7"/>
        <v>31</v>
      </c>
      <c r="AF15" s="31">
        <f t="shared" si="7"/>
        <v>104</v>
      </c>
    </row>
    <row r="16" spans="2:32" ht="23.1" customHeight="1" x14ac:dyDescent="0.25">
      <c r="B16" s="23" t="s">
        <v>43</v>
      </c>
      <c r="C16" s="50">
        <v>8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2</v>
      </c>
      <c r="K16" s="50">
        <v>1</v>
      </c>
      <c r="L16" s="50">
        <v>0</v>
      </c>
      <c r="M16" s="50">
        <v>50</v>
      </c>
      <c r="N16" s="50">
        <v>0</v>
      </c>
      <c r="O16" s="15">
        <f t="shared" si="0"/>
        <v>14</v>
      </c>
      <c r="P16" s="15">
        <f t="shared" si="1"/>
        <v>64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135</v>
      </c>
      <c r="AD16" s="17">
        <f t="shared" si="8"/>
        <v>0</v>
      </c>
      <c r="AE16" s="31">
        <f t="shared" si="8"/>
        <v>18</v>
      </c>
      <c r="AF16" s="31">
        <f t="shared" si="8"/>
        <v>153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60</v>
      </c>
      <c r="N17" s="50">
        <v>0</v>
      </c>
      <c r="O17" s="15">
        <f t="shared" si="0"/>
        <v>8</v>
      </c>
      <c r="P17" s="15">
        <f t="shared" si="1"/>
        <v>68</v>
      </c>
      <c r="R17" s="1" t="s">
        <v>13</v>
      </c>
      <c r="S17" s="17">
        <f t="shared" ref="S17:AF17" si="9">SUM(C38:C41)</f>
        <v>9</v>
      </c>
      <c r="T17" s="17">
        <f t="shared" si="9"/>
        <v>2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65</v>
      </c>
      <c r="AD17" s="17">
        <f t="shared" si="9"/>
        <v>0</v>
      </c>
      <c r="AE17" s="31">
        <f t="shared" si="9"/>
        <v>19</v>
      </c>
      <c r="AF17" s="31">
        <f t="shared" si="9"/>
        <v>84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3</v>
      </c>
      <c r="F18" s="50">
        <v>1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55</v>
      </c>
      <c r="N18" s="50">
        <v>0</v>
      </c>
      <c r="O18" s="15">
        <f t="shared" si="0"/>
        <v>14</v>
      </c>
      <c r="P18" s="15">
        <f t="shared" si="1"/>
        <v>69</v>
      </c>
      <c r="R18" s="1" t="s">
        <v>14</v>
      </c>
      <c r="S18" s="17">
        <f t="shared" ref="S18:AF18" si="10">SUM(C42:C45)</f>
        <v>9</v>
      </c>
      <c r="T18" s="17">
        <f t="shared" si="10"/>
        <v>3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64</v>
      </c>
      <c r="AD18" s="17">
        <f t="shared" si="10"/>
        <v>0</v>
      </c>
      <c r="AE18" s="31">
        <f t="shared" si="10"/>
        <v>18</v>
      </c>
      <c r="AF18" s="31">
        <f t="shared" si="10"/>
        <v>82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4</v>
      </c>
      <c r="F19" s="50">
        <v>0</v>
      </c>
      <c r="G19" s="50">
        <v>1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11</v>
      </c>
      <c r="P19" s="15">
        <f t="shared" si="1"/>
        <v>51</v>
      </c>
      <c r="R19" s="1" t="s">
        <v>15</v>
      </c>
      <c r="S19" s="17">
        <f t="shared" ref="S19:AF19" si="11">SUM(C46:C49)</f>
        <v>11</v>
      </c>
      <c r="T19" s="17">
        <f t="shared" si="11"/>
        <v>2</v>
      </c>
      <c r="U19" s="17">
        <f t="shared" si="11"/>
        <v>4</v>
      </c>
      <c r="V19" s="17">
        <f t="shared" si="11"/>
        <v>4</v>
      </c>
      <c r="W19" s="17">
        <f t="shared" si="11"/>
        <v>2</v>
      </c>
      <c r="X19" s="17">
        <f t="shared" si="11"/>
        <v>0</v>
      </c>
      <c r="Y19" s="17">
        <f t="shared" si="11"/>
        <v>3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122</v>
      </c>
      <c r="AD19" s="17">
        <f t="shared" si="11"/>
        <v>0</v>
      </c>
      <c r="AE19" s="31">
        <f t="shared" si="11"/>
        <v>30</v>
      </c>
      <c r="AF19" s="31">
        <f t="shared" si="11"/>
        <v>152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42</v>
      </c>
      <c r="N20" s="50">
        <v>0</v>
      </c>
      <c r="O20" s="15">
        <f t="shared" si="0"/>
        <v>10</v>
      </c>
      <c r="P20" s="15">
        <f t="shared" si="1"/>
        <v>52</v>
      </c>
      <c r="R20" s="1" t="s">
        <v>16</v>
      </c>
      <c r="S20" s="17">
        <f t="shared" ref="S20:AF20" si="12">SUM(C50:C53)</f>
        <v>25</v>
      </c>
      <c r="T20" s="17">
        <f t="shared" si="12"/>
        <v>1</v>
      </c>
      <c r="U20" s="17">
        <f t="shared" si="12"/>
        <v>2</v>
      </c>
      <c r="V20" s="17">
        <f t="shared" si="12"/>
        <v>3</v>
      </c>
      <c r="W20" s="17">
        <f t="shared" si="12"/>
        <v>3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131</v>
      </c>
      <c r="AD20" s="17">
        <f t="shared" si="12"/>
        <v>0</v>
      </c>
      <c r="AE20" s="31">
        <f t="shared" si="12"/>
        <v>42</v>
      </c>
      <c r="AF20" s="31">
        <f t="shared" si="12"/>
        <v>173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52</v>
      </c>
      <c r="N21" s="50">
        <v>0</v>
      </c>
      <c r="O21" s="15">
        <f t="shared" si="0"/>
        <v>7</v>
      </c>
      <c r="P21" s="15">
        <f t="shared" si="1"/>
        <v>59</v>
      </c>
      <c r="R21" s="36" t="s">
        <v>20</v>
      </c>
      <c r="S21" s="34">
        <f t="shared" ref="S21:AF21" si="13">SUM(C54:C57)</f>
        <v>18</v>
      </c>
      <c r="T21" s="17">
        <f t="shared" si="13"/>
        <v>2</v>
      </c>
      <c r="U21" s="17">
        <f t="shared" si="13"/>
        <v>1</v>
      </c>
      <c r="V21" s="17">
        <f t="shared" si="13"/>
        <v>5</v>
      </c>
      <c r="W21" s="17">
        <f t="shared" si="13"/>
        <v>2</v>
      </c>
      <c r="X21" s="17">
        <f t="shared" si="13"/>
        <v>0</v>
      </c>
      <c r="Y21" s="17">
        <f t="shared" si="13"/>
        <v>7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174</v>
      </c>
      <c r="AD21" s="17">
        <f t="shared" si="13"/>
        <v>0</v>
      </c>
      <c r="AE21" s="31">
        <f t="shared" si="13"/>
        <v>40</v>
      </c>
      <c r="AF21" s="31">
        <f t="shared" si="13"/>
        <v>214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50</v>
      </c>
      <c r="N22" s="50">
        <v>0</v>
      </c>
      <c r="O22" s="15">
        <f t="shared" si="0"/>
        <v>7</v>
      </c>
      <c r="P22" s="15">
        <f t="shared" si="1"/>
        <v>57</v>
      </c>
      <c r="R22" s="38" t="s">
        <v>90</v>
      </c>
      <c r="S22" s="39">
        <f>MAX(S10:S12)</f>
        <v>30</v>
      </c>
      <c r="T22" s="39">
        <f t="shared" ref="T22:AF22" si="14">MAX(T10:T12)</f>
        <v>6</v>
      </c>
      <c r="U22" s="39">
        <f t="shared" si="14"/>
        <v>10</v>
      </c>
      <c r="V22" s="39">
        <f t="shared" si="14"/>
        <v>11</v>
      </c>
      <c r="W22" s="39">
        <f t="shared" si="14"/>
        <v>2</v>
      </c>
      <c r="X22" s="39">
        <f t="shared" si="14"/>
        <v>0</v>
      </c>
      <c r="Y22" s="39">
        <f t="shared" si="14"/>
        <v>12</v>
      </c>
      <c r="Z22" s="39">
        <f t="shared" si="14"/>
        <v>6</v>
      </c>
      <c r="AA22" s="39">
        <f t="shared" si="14"/>
        <v>1</v>
      </c>
      <c r="AB22" s="39">
        <f t="shared" si="14"/>
        <v>0</v>
      </c>
      <c r="AC22" s="39">
        <f t="shared" si="14"/>
        <v>251</v>
      </c>
      <c r="AD22" s="39">
        <f t="shared" si="14"/>
        <v>0</v>
      </c>
      <c r="AE22" s="40">
        <f t="shared" si="14"/>
        <v>47</v>
      </c>
      <c r="AF22" s="40">
        <f t="shared" si="14"/>
        <v>298</v>
      </c>
    </row>
    <row r="23" spans="2:32" ht="23.1" customHeight="1" x14ac:dyDescent="0.25">
      <c r="B23" s="23" t="s">
        <v>50</v>
      </c>
      <c r="C23" s="50">
        <v>4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37</v>
      </c>
      <c r="N23" s="50">
        <v>0</v>
      </c>
      <c r="O23" s="15">
        <f t="shared" si="0"/>
        <v>7</v>
      </c>
      <c r="P23" s="15">
        <f t="shared" si="1"/>
        <v>44</v>
      </c>
      <c r="R23" s="38" t="s">
        <v>91</v>
      </c>
      <c r="S23" s="39">
        <f>MAX(S13:S18)</f>
        <v>17</v>
      </c>
      <c r="T23" s="39">
        <f t="shared" ref="T23:AF23" si="15">MAX(T13:T18)</f>
        <v>5</v>
      </c>
      <c r="U23" s="39">
        <f t="shared" si="15"/>
        <v>5</v>
      </c>
      <c r="V23" s="39">
        <f t="shared" si="15"/>
        <v>5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5</v>
      </c>
      <c r="AA23" s="39">
        <f t="shared" si="15"/>
        <v>1</v>
      </c>
      <c r="AB23" s="39">
        <f t="shared" si="15"/>
        <v>0</v>
      </c>
      <c r="AC23" s="39">
        <f t="shared" si="15"/>
        <v>160</v>
      </c>
      <c r="AD23" s="39">
        <f t="shared" si="15"/>
        <v>0</v>
      </c>
      <c r="AE23" s="40">
        <f t="shared" si="15"/>
        <v>35</v>
      </c>
      <c r="AF23" s="40">
        <f t="shared" si="15"/>
        <v>195</v>
      </c>
    </row>
    <row r="24" spans="2:32" ht="23.1" customHeight="1" x14ac:dyDescent="0.25">
      <c r="B24" s="23" t="s">
        <v>51</v>
      </c>
      <c r="C24" s="50">
        <v>6</v>
      </c>
      <c r="D24" s="50">
        <v>2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48</v>
      </c>
      <c r="N24" s="50">
        <v>0</v>
      </c>
      <c r="O24" s="15">
        <f t="shared" si="0"/>
        <v>11</v>
      </c>
      <c r="P24" s="15">
        <f t="shared" si="1"/>
        <v>59</v>
      </c>
      <c r="R24" s="38" t="s">
        <v>92</v>
      </c>
      <c r="S24" s="39">
        <f>MAX(S19:S21)</f>
        <v>25</v>
      </c>
      <c r="T24" s="39">
        <f t="shared" ref="T24:AF24" si="16">MAX(T19:T21)</f>
        <v>2</v>
      </c>
      <c r="U24" s="39">
        <f t="shared" si="16"/>
        <v>4</v>
      </c>
      <c r="V24" s="39">
        <f t="shared" si="16"/>
        <v>5</v>
      </c>
      <c r="W24" s="39">
        <f t="shared" si="16"/>
        <v>3</v>
      </c>
      <c r="X24" s="39">
        <f t="shared" si="16"/>
        <v>0</v>
      </c>
      <c r="Y24" s="39">
        <f t="shared" si="16"/>
        <v>7</v>
      </c>
      <c r="Z24" s="39">
        <f t="shared" si="16"/>
        <v>5</v>
      </c>
      <c r="AA24" s="39">
        <f t="shared" si="16"/>
        <v>1</v>
      </c>
      <c r="AB24" s="39">
        <f t="shared" si="16"/>
        <v>0</v>
      </c>
      <c r="AC24" s="39">
        <f t="shared" si="16"/>
        <v>174</v>
      </c>
      <c r="AD24" s="39">
        <f t="shared" si="16"/>
        <v>0</v>
      </c>
      <c r="AE24" s="40">
        <f t="shared" si="16"/>
        <v>42</v>
      </c>
      <c r="AF24" s="40">
        <f t="shared" si="16"/>
        <v>214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0</v>
      </c>
      <c r="F25" s="50">
        <v>4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25</v>
      </c>
      <c r="N25" s="50">
        <v>0</v>
      </c>
      <c r="O25" s="15">
        <f t="shared" si="0"/>
        <v>10</v>
      </c>
      <c r="P25" s="15">
        <f t="shared" si="1"/>
        <v>35</v>
      </c>
      <c r="R25" s="37" t="s">
        <v>85</v>
      </c>
      <c r="S25" s="35">
        <f t="shared" ref="S25:AF25" si="17">SUM(S10:S12)</f>
        <v>62</v>
      </c>
      <c r="T25" s="16">
        <f t="shared" si="17"/>
        <v>9</v>
      </c>
      <c r="U25" s="16">
        <f t="shared" si="17"/>
        <v>14</v>
      </c>
      <c r="V25" s="16">
        <f t="shared" si="17"/>
        <v>14</v>
      </c>
      <c r="W25" s="16">
        <f t="shared" si="17"/>
        <v>3</v>
      </c>
      <c r="X25" s="16">
        <f t="shared" si="17"/>
        <v>0</v>
      </c>
      <c r="Y25" s="16">
        <f t="shared" si="17"/>
        <v>20</v>
      </c>
      <c r="Z25" s="16">
        <f t="shared" si="17"/>
        <v>11</v>
      </c>
      <c r="AA25" s="16">
        <f t="shared" si="17"/>
        <v>1</v>
      </c>
      <c r="AB25" s="16">
        <f t="shared" si="17"/>
        <v>0</v>
      </c>
      <c r="AC25" s="16">
        <f t="shared" si="17"/>
        <v>680</v>
      </c>
      <c r="AD25" s="16">
        <f t="shared" si="17"/>
        <v>0</v>
      </c>
      <c r="AE25" s="32">
        <f t="shared" si="17"/>
        <v>134</v>
      </c>
      <c r="AF25" s="32">
        <f t="shared" si="17"/>
        <v>814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3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32</v>
      </c>
      <c r="N26" s="50">
        <v>0</v>
      </c>
      <c r="O26" s="15">
        <f t="shared" si="0"/>
        <v>8</v>
      </c>
      <c r="P26" s="15">
        <f t="shared" si="1"/>
        <v>40</v>
      </c>
      <c r="R26" s="28" t="s">
        <v>86</v>
      </c>
      <c r="S26" s="16">
        <f t="shared" ref="S26:AF26" si="18">SUM(S13:S18)</f>
        <v>63</v>
      </c>
      <c r="T26" s="16">
        <f t="shared" si="18"/>
        <v>14</v>
      </c>
      <c r="U26" s="16">
        <f t="shared" si="18"/>
        <v>15</v>
      </c>
      <c r="V26" s="16">
        <f t="shared" si="18"/>
        <v>21</v>
      </c>
      <c r="W26" s="16">
        <f t="shared" si="18"/>
        <v>2</v>
      </c>
      <c r="X26" s="16">
        <f t="shared" si="18"/>
        <v>0</v>
      </c>
      <c r="Y26" s="16">
        <f t="shared" si="18"/>
        <v>20</v>
      </c>
      <c r="Z26" s="16">
        <f t="shared" si="18"/>
        <v>13</v>
      </c>
      <c r="AA26" s="16">
        <f t="shared" si="18"/>
        <v>1</v>
      </c>
      <c r="AB26" s="16">
        <f t="shared" si="18"/>
        <v>0</v>
      </c>
      <c r="AC26" s="16">
        <f t="shared" si="18"/>
        <v>614</v>
      </c>
      <c r="AD26" s="16">
        <f t="shared" si="18"/>
        <v>0</v>
      </c>
      <c r="AE26" s="32">
        <f t="shared" si="18"/>
        <v>149</v>
      </c>
      <c r="AF26" s="32">
        <f t="shared" si="18"/>
        <v>763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5</v>
      </c>
      <c r="P27" s="15">
        <f t="shared" si="1"/>
        <v>35</v>
      </c>
      <c r="R27" s="29" t="s">
        <v>87</v>
      </c>
      <c r="S27" s="16">
        <f t="shared" ref="S27:AF27" si="19">SUM(S19:S21)</f>
        <v>54</v>
      </c>
      <c r="T27" s="16">
        <f t="shared" si="19"/>
        <v>5</v>
      </c>
      <c r="U27" s="16">
        <f t="shared" si="19"/>
        <v>7</v>
      </c>
      <c r="V27" s="16">
        <f t="shared" si="19"/>
        <v>12</v>
      </c>
      <c r="W27" s="16">
        <f t="shared" si="19"/>
        <v>7</v>
      </c>
      <c r="X27" s="16">
        <f t="shared" si="19"/>
        <v>0</v>
      </c>
      <c r="Y27" s="16">
        <f t="shared" si="19"/>
        <v>16</v>
      </c>
      <c r="Z27" s="16">
        <f t="shared" si="19"/>
        <v>10</v>
      </c>
      <c r="AA27" s="16">
        <f t="shared" si="19"/>
        <v>1</v>
      </c>
      <c r="AB27" s="16">
        <f t="shared" si="19"/>
        <v>0</v>
      </c>
      <c r="AC27" s="16">
        <f t="shared" si="19"/>
        <v>427</v>
      </c>
      <c r="AD27" s="16">
        <f t="shared" si="19"/>
        <v>0</v>
      </c>
      <c r="AE27" s="32">
        <f t="shared" si="19"/>
        <v>112</v>
      </c>
      <c r="AF27" s="32">
        <f t="shared" si="19"/>
        <v>539</v>
      </c>
    </row>
    <row r="28" spans="2:32" ht="23.1" customHeight="1" x14ac:dyDescent="0.25">
      <c r="B28" s="23" t="s">
        <v>55</v>
      </c>
      <c r="C28" s="50">
        <v>2</v>
      </c>
      <c r="D28" s="50">
        <v>2</v>
      </c>
      <c r="E28" s="50">
        <v>2</v>
      </c>
      <c r="F28" s="50">
        <v>1</v>
      </c>
      <c r="G28" s="50">
        <v>1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31</v>
      </c>
      <c r="N28" s="50">
        <v>0</v>
      </c>
      <c r="O28" s="15">
        <f t="shared" si="0"/>
        <v>10</v>
      </c>
      <c r="P28" s="15">
        <f t="shared" si="1"/>
        <v>41</v>
      </c>
      <c r="R28" s="5" t="s">
        <v>17</v>
      </c>
      <c r="S28" s="16">
        <f t="shared" ref="S28:AF28" si="20">SUM(S10:S21)</f>
        <v>179</v>
      </c>
      <c r="T28" s="16">
        <f t="shared" si="20"/>
        <v>28</v>
      </c>
      <c r="U28" s="16">
        <f t="shared" si="20"/>
        <v>36</v>
      </c>
      <c r="V28" s="16">
        <f t="shared" si="20"/>
        <v>47</v>
      </c>
      <c r="W28" s="16">
        <f t="shared" si="20"/>
        <v>12</v>
      </c>
      <c r="X28" s="16">
        <f t="shared" si="20"/>
        <v>0</v>
      </c>
      <c r="Y28" s="16">
        <f t="shared" si="20"/>
        <v>56</v>
      </c>
      <c r="Z28" s="16">
        <f t="shared" si="20"/>
        <v>34</v>
      </c>
      <c r="AA28" s="16">
        <f t="shared" si="20"/>
        <v>3</v>
      </c>
      <c r="AB28" s="16">
        <f t="shared" si="20"/>
        <v>0</v>
      </c>
      <c r="AC28" s="16">
        <f t="shared" si="20"/>
        <v>1721</v>
      </c>
      <c r="AD28" s="16">
        <f t="shared" si="20"/>
        <v>0</v>
      </c>
      <c r="AE28" s="32">
        <f t="shared" si="20"/>
        <v>395</v>
      </c>
      <c r="AF28" s="32">
        <f t="shared" si="20"/>
        <v>2116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24</v>
      </c>
      <c r="N29" s="50">
        <v>0</v>
      </c>
      <c r="O29" s="15">
        <f t="shared" si="0"/>
        <v>5</v>
      </c>
      <c r="P29" s="15">
        <f t="shared" si="1"/>
        <v>29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3</v>
      </c>
      <c r="K30" s="50">
        <v>0</v>
      </c>
      <c r="L30" s="50">
        <v>0</v>
      </c>
      <c r="M30" s="50">
        <v>19</v>
      </c>
      <c r="N30" s="50">
        <v>0</v>
      </c>
      <c r="O30" s="15">
        <f t="shared" si="0"/>
        <v>10</v>
      </c>
      <c r="P30" s="15">
        <f t="shared" si="1"/>
        <v>29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2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5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8</v>
      </c>
      <c r="P32" s="15">
        <f t="shared" si="1"/>
        <v>27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2</v>
      </c>
      <c r="G33" s="50">
        <v>1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28</v>
      </c>
      <c r="N33" s="50">
        <v>0</v>
      </c>
      <c r="O33" s="15">
        <f t="shared" si="0"/>
        <v>8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37</v>
      </c>
      <c r="N34" s="50">
        <v>0</v>
      </c>
      <c r="O34" s="15">
        <f t="shared" si="0"/>
        <v>3</v>
      </c>
      <c r="P34" s="15">
        <f t="shared" si="1"/>
        <v>40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39</v>
      </c>
      <c r="N35" s="50">
        <v>0</v>
      </c>
      <c r="O35" s="15">
        <f t="shared" si="0"/>
        <v>3</v>
      </c>
      <c r="P35" s="15">
        <f t="shared" si="1"/>
        <v>42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34</v>
      </c>
      <c r="N36" s="50">
        <v>0</v>
      </c>
      <c r="O36" s="15">
        <f t="shared" si="0"/>
        <v>4</v>
      </c>
      <c r="P36" s="15">
        <f t="shared" si="1"/>
        <v>38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8</v>
      </c>
      <c r="P37" s="15">
        <f t="shared" si="1"/>
        <v>33</v>
      </c>
    </row>
    <row r="38" spans="2:20" ht="23.1" customHeight="1" x14ac:dyDescent="0.25">
      <c r="B38" s="24" t="s">
        <v>65</v>
      </c>
      <c r="C38" s="50">
        <v>4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38</v>
      </c>
      <c r="N38" s="50">
        <v>0</v>
      </c>
      <c r="O38" s="15">
        <f t="shared" si="0"/>
        <v>9</v>
      </c>
      <c r="P38" s="15">
        <f t="shared" si="1"/>
        <v>47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0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7</v>
      </c>
      <c r="P39" s="15">
        <f t="shared" si="1"/>
        <v>26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2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4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2</v>
      </c>
      <c r="P43" s="15">
        <f t="shared" si="1"/>
        <v>18</v>
      </c>
    </row>
    <row r="44" spans="2:20" ht="23.1" customHeight="1" x14ac:dyDescent="0.25">
      <c r="B44" s="25" t="s">
        <v>71</v>
      </c>
      <c r="C44" s="50">
        <v>3</v>
      </c>
      <c r="D44" s="50">
        <v>2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6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3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28</v>
      </c>
      <c r="N45" s="50">
        <v>0</v>
      </c>
      <c r="O45" s="15">
        <f t="shared" si="0"/>
        <v>6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2</v>
      </c>
      <c r="F46" s="50">
        <v>2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8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35</v>
      </c>
      <c r="N47" s="50">
        <v>0</v>
      </c>
      <c r="O47" s="15">
        <f t="shared" si="0"/>
        <v>5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1</v>
      </c>
      <c r="E48" s="50">
        <v>1</v>
      </c>
      <c r="F48" s="50">
        <v>1</v>
      </c>
      <c r="G48" s="50">
        <v>1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11</v>
      </c>
      <c r="P48" s="15">
        <f t="shared" si="1"/>
        <v>51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26</v>
      </c>
      <c r="N49" s="50">
        <v>0</v>
      </c>
      <c r="O49" s="15">
        <f t="shared" si="0"/>
        <v>6</v>
      </c>
      <c r="P49" s="15">
        <f t="shared" si="1"/>
        <v>32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0</v>
      </c>
      <c r="F50" s="50">
        <v>0</v>
      </c>
      <c r="G50" s="50">
        <v>2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27</v>
      </c>
      <c r="N50" s="50">
        <v>0</v>
      </c>
      <c r="O50" s="15">
        <f t="shared" si="0"/>
        <v>7</v>
      </c>
      <c r="P50" s="15">
        <f t="shared" si="1"/>
        <v>34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0</v>
      </c>
      <c r="F51" s="50">
        <v>3</v>
      </c>
      <c r="G51" s="50">
        <v>1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31</v>
      </c>
      <c r="N51" s="50">
        <v>0</v>
      </c>
      <c r="O51" s="15">
        <f t="shared" si="0"/>
        <v>11</v>
      </c>
      <c r="P51" s="15">
        <f t="shared" si="1"/>
        <v>42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34</v>
      </c>
      <c r="N52" s="50">
        <v>0</v>
      </c>
      <c r="O52" s="15">
        <f t="shared" si="0"/>
        <v>9</v>
      </c>
      <c r="P52" s="15">
        <f t="shared" si="1"/>
        <v>43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5</v>
      </c>
      <c r="J53" s="50">
        <v>0</v>
      </c>
      <c r="K53" s="50">
        <v>1</v>
      </c>
      <c r="L53" s="50">
        <v>0</v>
      </c>
      <c r="M53" s="50">
        <v>39</v>
      </c>
      <c r="N53" s="50">
        <v>0</v>
      </c>
      <c r="O53" s="15">
        <f t="shared" si="0"/>
        <v>15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2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6</v>
      </c>
      <c r="P54" s="15">
        <f t="shared" si="1"/>
        <v>56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1</v>
      </c>
      <c r="F55" s="50">
        <v>3</v>
      </c>
      <c r="G55" s="50">
        <v>1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48</v>
      </c>
      <c r="N55" s="50">
        <v>0</v>
      </c>
      <c r="O55" s="15">
        <f t="shared" si="0"/>
        <v>12</v>
      </c>
      <c r="P55" s="15">
        <f t="shared" si="1"/>
        <v>60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0</v>
      </c>
      <c r="F56" s="50">
        <v>1</v>
      </c>
      <c r="G56" s="50">
        <v>1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38</v>
      </c>
      <c r="N56" s="50">
        <v>0</v>
      </c>
      <c r="O56" s="15">
        <f t="shared" si="0"/>
        <v>11</v>
      </c>
      <c r="P56" s="15">
        <f t="shared" si="1"/>
        <v>49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38</v>
      </c>
      <c r="N57" s="50">
        <v>0</v>
      </c>
      <c r="O57" s="15">
        <f t="shared" si="0"/>
        <v>11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179</v>
      </c>
      <c r="D58" s="16">
        <f t="shared" si="21"/>
        <v>28</v>
      </c>
      <c r="E58" s="16">
        <f t="shared" si="21"/>
        <v>36</v>
      </c>
      <c r="F58" s="16">
        <f t="shared" si="21"/>
        <v>47</v>
      </c>
      <c r="G58" s="16">
        <f t="shared" si="21"/>
        <v>12</v>
      </c>
      <c r="H58" s="16">
        <f t="shared" si="21"/>
        <v>0</v>
      </c>
      <c r="I58" s="16">
        <f t="shared" si="21"/>
        <v>56</v>
      </c>
      <c r="J58" s="16">
        <f t="shared" si="21"/>
        <v>34</v>
      </c>
      <c r="K58" s="16">
        <f t="shared" si="21"/>
        <v>3</v>
      </c>
      <c r="L58" s="16">
        <f t="shared" si="21"/>
        <v>0</v>
      </c>
      <c r="M58" s="16">
        <f t="shared" si="21"/>
        <v>1721</v>
      </c>
      <c r="N58" s="16">
        <f t="shared" si="21"/>
        <v>0</v>
      </c>
      <c r="O58" s="16">
        <f t="shared" si="21"/>
        <v>395</v>
      </c>
      <c r="P58" s="16">
        <f t="shared" si="21"/>
        <v>2116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8.459357277882798E-2</v>
      </c>
      <c r="D59" s="43">
        <f t="shared" si="22"/>
        <v>1.3232514177693762E-2</v>
      </c>
      <c r="E59" s="43">
        <f t="shared" si="22"/>
        <v>1.7013232514177693E-2</v>
      </c>
      <c r="F59" s="43">
        <f t="shared" si="22"/>
        <v>2.2211720226843101E-2</v>
      </c>
      <c r="G59" s="43">
        <f t="shared" si="22"/>
        <v>5.6710775047258983E-3</v>
      </c>
      <c r="H59" s="43">
        <f t="shared" si="22"/>
        <v>0</v>
      </c>
      <c r="I59" s="43">
        <f t="shared" si="22"/>
        <v>2.6465028355387523E-2</v>
      </c>
      <c r="J59" s="43">
        <f t="shared" si="22"/>
        <v>1.6068052930056712E-2</v>
      </c>
      <c r="K59" s="43">
        <f t="shared" si="22"/>
        <v>1.4177693761814746E-3</v>
      </c>
      <c r="L59" s="43">
        <f t="shared" si="22"/>
        <v>0</v>
      </c>
      <c r="M59" s="43">
        <f t="shared" si="22"/>
        <v>0.81332703213610591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0.45316455696202529</v>
      </c>
      <c r="D60" s="44">
        <f t="shared" ref="D60:N60" si="23">D58/$O$58</f>
        <v>7.0886075949367092E-2</v>
      </c>
      <c r="E60" s="44">
        <f t="shared" si="23"/>
        <v>9.1139240506329114E-2</v>
      </c>
      <c r="F60" s="44">
        <f t="shared" si="23"/>
        <v>0.11898734177215189</v>
      </c>
      <c r="G60" s="44">
        <f t="shared" si="23"/>
        <v>3.0379746835443037E-2</v>
      </c>
      <c r="H60" s="44">
        <f t="shared" si="23"/>
        <v>0</v>
      </c>
      <c r="I60" s="44">
        <f t="shared" si="23"/>
        <v>0.14177215189873418</v>
      </c>
      <c r="J60" s="44">
        <f t="shared" si="23"/>
        <v>8.6075949367088608E-2</v>
      </c>
      <c r="K60" s="44">
        <f t="shared" si="23"/>
        <v>7.5949367088607592E-3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A43" zoomScale="60" workbookViewId="0">
      <selection activeCell="O6" sqref="O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'[2]23.09.19-Kitemu-Buddo'!C3:G3</f>
        <v>MCC-C2-Kitemu -Buddo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174</v>
      </c>
      <c r="F5" s="41" t="s">
        <v>1</v>
      </c>
      <c r="G5" s="69" t="str">
        <f>'[2]27.09 Buddo-Kitemu'!G5:H5</f>
        <v>St Charles Lwanga PS</v>
      </c>
      <c r="H5" s="70"/>
      <c r="I5" s="14"/>
      <c r="J5" s="2" t="s">
        <v>5</v>
      </c>
      <c r="K5" s="69" t="s">
        <v>167</v>
      </c>
      <c r="L5" s="7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9" t="str">
        <f>'[2]23.09.19-Kitemu-Buddo'!D6:E6</f>
        <v>KITEMU</v>
      </c>
      <c r="E6" s="70"/>
      <c r="F6" s="2" t="s">
        <v>2</v>
      </c>
      <c r="G6" s="69" t="str">
        <f>'[2]23.09.19-Kitemu-Buddo'!G6:H6</f>
        <v>BUDDO</v>
      </c>
      <c r="H6" s="70"/>
      <c r="J6" s="2" t="s">
        <v>21</v>
      </c>
      <c r="K6" s="69" t="str">
        <f>'[2]27.09 Buddo-Kitemu'!K6:L6</f>
        <v>Denis</v>
      </c>
      <c r="L6" s="7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1" t="s">
        <v>88</v>
      </c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18</v>
      </c>
      <c r="N10" s="50">
        <v>0</v>
      </c>
      <c r="O10" s="17">
        <f t="shared" ref="O10:O73" si="0">SUM(C10:L10,N10)</f>
        <v>10</v>
      </c>
      <c r="P10" s="17">
        <f t="shared" ref="P10:P73" si="1">SUM(C10:N10)</f>
        <v>28</v>
      </c>
      <c r="R10" s="1" t="s">
        <v>6</v>
      </c>
      <c r="S10" s="17">
        <f t="shared" ref="S10:AF10" si="2">SUM(C10:C13)</f>
        <v>9</v>
      </c>
      <c r="T10" s="17">
        <f t="shared" si="2"/>
        <v>2</v>
      </c>
      <c r="U10" s="17">
        <f t="shared" si="2"/>
        <v>1</v>
      </c>
      <c r="V10" s="17">
        <f t="shared" si="2"/>
        <v>11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5</v>
      </c>
      <c r="AA10" s="17">
        <f t="shared" si="2"/>
        <v>3</v>
      </c>
      <c r="AB10" s="17">
        <f t="shared" si="2"/>
        <v>0</v>
      </c>
      <c r="AC10" s="17">
        <f t="shared" si="2"/>
        <v>143</v>
      </c>
      <c r="AD10" s="17">
        <f t="shared" si="2"/>
        <v>0</v>
      </c>
      <c r="AE10" s="31">
        <f t="shared" si="2"/>
        <v>37</v>
      </c>
      <c r="AF10" s="31">
        <f t="shared" si="2"/>
        <v>180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1</v>
      </c>
      <c r="F11" s="50">
        <v>3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32</v>
      </c>
      <c r="N11" s="50">
        <v>0</v>
      </c>
      <c r="O11" s="17">
        <f t="shared" si="0"/>
        <v>9</v>
      </c>
      <c r="P11" s="17">
        <f t="shared" si="1"/>
        <v>41</v>
      </c>
      <c r="R11" s="1" t="s">
        <v>7</v>
      </c>
      <c r="S11" s="17">
        <f t="shared" ref="S11:AF11" si="3">SUM(C14:C17)</f>
        <v>14</v>
      </c>
      <c r="T11" s="17">
        <f t="shared" si="3"/>
        <v>2</v>
      </c>
      <c r="U11" s="17">
        <f t="shared" si="3"/>
        <v>2</v>
      </c>
      <c r="V11" s="17">
        <f t="shared" si="3"/>
        <v>8</v>
      </c>
      <c r="W11" s="17">
        <f t="shared" si="3"/>
        <v>2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226</v>
      </c>
      <c r="AD11" s="17">
        <f t="shared" si="3"/>
        <v>0</v>
      </c>
      <c r="AE11" s="31">
        <f t="shared" si="3"/>
        <v>33</v>
      </c>
      <c r="AF11" s="31">
        <f t="shared" si="3"/>
        <v>259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0</v>
      </c>
      <c r="F12" s="50">
        <v>3</v>
      </c>
      <c r="G12" s="50">
        <v>0</v>
      </c>
      <c r="H12" s="50">
        <v>0</v>
      </c>
      <c r="I12" s="50">
        <v>1</v>
      </c>
      <c r="J12" s="50">
        <v>1</v>
      </c>
      <c r="K12" s="50">
        <v>2</v>
      </c>
      <c r="L12" s="50">
        <v>0</v>
      </c>
      <c r="M12" s="50">
        <v>37</v>
      </c>
      <c r="N12" s="50">
        <v>0</v>
      </c>
      <c r="O12" s="17">
        <f t="shared" si="0"/>
        <v>11</v>
      </c>
      <c r="P12" s="17">
        <f t="shared" si="1"/>
        <v>48</v>
      </c>
      <c r="R12" s="1" t="s">
        <v>8</v>
      </c>
      <c r="S12" s="17">
        <f t="shared" ref="S12:AF12" si="4">SUM(C18:C21)</f>
        <v>18</v>
      </c>
      <c r="T12" s="17">
        <f t="shared" si="4"/>
        <v>3</v>
      </c>
      <c r="U12" s="17">
        <f t="shared" si="4"/>
        <v>0</v>
      </c>
      <c r="V12" s="17">
        <f t="shared" si="4"/>
        <v>14</v>
      </c>
      <c r="W12" s="17">
        <f t="shared" si="4"/>
        <v>1</v>
      </c>
      <c r="X12" s="17">
        <f t="shared" si="4"/>
        <v>0</v>
      </c>
      <c r="Y12" s="17">
        <f t="shared" si="4"/>
        <v>4</v>
      </c>
      <c r="Z12" s="17">
        <f t="shared" si="4"/>
        <v>5</v>
      </c>
      <c r="AA12" s="17">
        <f t="shared" si="4"/>
        <v>1</v>
      </c>
      <c r="AB12" s="17">
        <f t="shared" si="4"/>
        <v>0</v>
      </c>
      <c r="AC12" s="17">
        <f t="shared" si="4"/>
        <v>190</v>
      </c>
      <c r="AD12" s="17">
        <f t="shared" si="4"/>
        <v>0</v>
      </c>
      <c r="AE12" s="31">
        <f t="shared" si="4"/>
        <v>46</v>
      </c>
      <c r="AF12" s="31">
        <f t="shared" si="4"/>
        <v>236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0</v>
      </c>
      <c r="M13" s="50">
        <v>56</v>
      </c>
      <c r="N13" s="50">
        <v>0</v>
      </c>
      <c r="O13" s="17">
        <f t="shared" si="0"/>
        <v>7</v>
      </c>
      <c r="P13" s="17">
        <f t="shared" si="1"/>
        <v>63</v>
      </c>
      <c r="R13" s="1" t="s">
        <v>9</v>
      </c>
      <c r="S13" s="17">
        <f t="shared" ref="S13:AF13" si="5">SUM(C22:C25)</f>
        <v>13</v>
      </c>
      <c r="T13" s="17">
        <f t="shared" si="5"/>
        <v>4</v>
      </c>
      <c r="U13" s="17">
        <f t="shared" si="5"/>
        <v>2</v>
      </c>
      <c r="V13" s="17">
        <f t="shared" si="5"/>
        <v>13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159</v>
      </c>
      <c r="AD13" s="17">
        <f t="shared" si="5"/>
        <v>0</v>
      </c>
      <c r="AE13" s="31">
        <f t="shared" si="5"/>
        <v>40</v>
      </c>
      <c r="AF13" s="31">
        <f t="shared" si="5"/>
        <v>199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0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59</v>
      </c>
      <c r="N14" s="50">
        <v>0</v>
      </c>
      <c r="O14" s="17">
        <f t="shared" si="0"/>
        <v>6</v>
      </c>
      <c r="P14" s="17">
        <f t="shared" si="1"/>
        <v>65</v>
      </c>
      <c r="R14" s="1" t="s">
        <v>10</v>
      </c>
      <c r="S14" s="17">
        <f t="shared" ref="S14:AF14" si="6">SUM(C26:C29)</f>
        <v>20</v>
      </c>
      <c r="T14" s="17">
        <f t="shared" si="6"/>
        <v>3</v>
      </c>
      <c r="U14" s="17">
        <f t="shared" si="6"/>
        <v>2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4</v>
      </c>
      <c r="AA14" s="17">
        <f t="shared" si="6"/>
        <v>3</v>
      </c>
      <c r="AB14" s="17">
        <f t="shared" si="6"/>
        <v>0</v>
      </c>
      <c r="AC14" s="17">
        <f t="shared" si="6"/>
        <v>138</v>
      </c>
      <c r="AD14" s="17">
        <f t="shared" si="6"/>
        <v>0</v>
      </c>
      <c r="AE14" s="31">
        <f t="shared" si="6"/>
        <v>49</v>
      </c>
      <c r="AF14" s="31">
        <f t="shared" si="6"/>
        <v>187</v>
      </c>
    </row>
    <row r="15" spans="2:32" ht="23.1" customHeight="1" x14ac:dyDescent="0.25">
      <c r="B15" s="45" t="s">
        <v>42</v>
      </c>
      <c r="C15" s="50">
        <v>3</v>
      </c>
      <c r="D15" s="50">
        <v>1</v>
      </c>
      <c r="E15" s="50">
        <v>1</v>
      </c>
      <c r="F15" s="50">
        <v>0</v>
      </c>
      <c r="G15" s="50">
        <v>1</v>
      </c>
      <c r="H15" s="50">
        <v>0</v>
      </c>
      <c r="I15" s="50">
        <v>0</v>
      </c>
      <c r="J15" s="50">
        <v>1</v>
      </c>
      <c r="K15" s="50">
        <v>1</v>
      </c>
      <c r="L15" s="50">
        <v>0</v>
      </c>
      <c r="M15" s="50">
        <v>62</v>
      </c>
      <c r="N15" s="50">
        <v>0</v>
      </c>
      <c r="O15" s="17">
        <f t="shared" si="0"/>
        <v>8</v>
      </c>
      <c r="P15" s="17">
        <f t="shared" si="1"/>
        <v>70</v>
      </c>
      <c r="R15" s="1" t="s">
        <v>11</v>
      </c>
      <c r="S15" s="17">
        <f t="shared" ref="S15:AF15" si="7">SUM(C30:C33)</f>
        <v>18</v>
      </c>
      <c r="T15" s="17">
        <f t="shared" si="7"/>
        <v>3</v>
      </c>
      <c r="U15" s="17">
        <f t="shared" si="7"/>
        <v>3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137</v>
      </c>
      <c r="AD15" s="17">
        <f t="shared" si="7"/>
        <v>0</v>
      </c>
      <c r="AE15" s="31">
        <f t="shared" si="7"/>
        <v>39</v>
      </c>
      <c r="AF15" s="31">
        <f t="shared" si="7"/>
        <v>176</v>
      </c>
    </row>
    <row r="16" spans="2:32" ht="23.1" customHeight="1" x14ac:dyDescent="0.25">
      <c r="B16" s="45" t="s">
        <v>43</v>
      </c>
      <c r="C16" s="50">
        <v>5</v>
      </c>
      <c r="D16" s="50">
        <v>1</v>
      </c>
      <c r="E16" s="50">
        <v>0</v>
      </c>
      <c r="F16" s="50">
        <v>4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57</v>
      </c>
      <c r="N16" s="50">
        <v>0</v>
      </c>
      <c r="O16" s="17">
        <f t="shared" si="0"/>
        <v>10</v>
      </c>
      <c r="P16" s="17">
        <f t="shared" si="1"/>
        <v>67</v>
      </c>
      <c r="R16" s="1" t="s">
        <v>12</v>
      </c>
      <c r="S16" s="17">
        <f t="shared" ref="S16:AF16" si="8">SUM(C34:C37)</f>
        <v>16</v>
      </c>
      <c r="T16" s="17">
        <f t="shared" si="8"/>
        <v>1</v>
      </c>
      <c r="U16" s="17">
        <f t="shared" si="8"/>
        <v>1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136</v>
      </c>
      <c r="AD16" s="17">
        <f t="shared" si="8"/>
        <v>0</v>
      </c>
      <c r="AE16" s="31">
        <f t="shared" si="8"/>
        <v>38</v>
      </c>
      <c r="AF16" s="31">
        <f t="shared" si="8"/>
        <v>174</v>
      </c>
    </row>
    <row r="17" spans="2:32" ht="23.1" customHeight="1" x14ac:dyDescent="0.25">
      <c r="B17" s="45" t="s">
        <v>44</v>
      </c>
      <c r="C17" s="50">
        <v>3</v>
      </c>
      <c r="D17" s="50">
        <v>0</v>
      </c>
      <c r="E17" s="50">
        <v>1</v>
      </c>
      <c r="F17" s="50">
        <v>2</v>
      </c>
      <c r="G17" s="50">
        <v>1</v>
      </c>
      <c r="H17" s="50">
        <v>1</v>
      </c>
      <c r="I17" s="50">
        <v>1</v>
      </c>
      <c r="J17" s="50">
        <v>0</v>
      </c>
      <c r="K17" s="50">
        <v>0</v>
      </c>
      <c r="L17" s="50">
        <v>0</v>
      </c>
      <c r="M17" s="50">
        <v>48</v>
      </c>
      <c r="N17" s="50">
        <v>0</v>
      </c>
      <c r="O17" s="17">
        <f t="shared" si="0"/>
        <v>9</v>
      </c>
      <c r="P17" s="17">
        <f t="shared" si="1"/>
        <v>57</v>
      </c>
      <c r="R17" s="1" t="s">
        <v>13</v>
      </c>
      <c r="S17" s="17">
        <f t="shared" ref="S17:AF17" si="9">SUM(C38:C41)</f>
        <v>14</v>
      </c>
      <c r="T17" s="17">
        <f t="shared" si="9"/>
        <v>4</v>
      </c>
      <c r="U17" s="17">
        <f t="shared" si="9"/>
        <v>0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155</v>
      </c>
      <c r="AD17" s="17">
        <f t="shared" si="9"/>
        <v>0</v>
      </c>
      <c r="AE17" s="31">
        <f t="shared" si="9"/>
        <v>36</v>
      </c>
      <c r="AF17" s="31">
        <f t="shared" si="9"/>
        <v>191</v>
      </c>
    </row>
    <row r="18" spans="2:32" ht="23.1" customHeight="1" x14ac:dyDescent="0.25">
      <c r="B18" s="45" t="s">
        <v>45</v>
      </c>
      <c r="C18" s="50">
        <v>2</v>
      </c>
      <c r="D18" s="50">
        <v>1</v>
      </c>
      <c r="E18" s="50">
        <v>0</v>
      </c>
      <c r="F18" s="50">
        <v>6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43</v>
      </c>
      <c r="N18" s="50">
        <v>0</v>
      </c>
      <c r="O18" s="17">
        <f t="shared" si="0"/>
        <v>11</v>
      </c>
      <c r="P18" s="17">
        <f t="shared" si="1"/>
        <v>54</v>
      </c>
      <c r="R18" s="1" t="s">
        <v>14</v>
      </c>
      <c r="S18" s="17">
        <f t="shared" ref="S18:AF18" si="10">SUM(C42:C45)</f>
        <v>17</v>
      </c>
      <c r="T18" s="17">
        <f t="shared" si="10"/>
        <v>1</v>
      </c>
      <c r="U18" s="17">
        <f t="shared" si="10"/>
        <v>1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6</v>
      </c>
      <c r="AA18" s="17">
        <f t="shared" si="10"/>
        <v>3</v>
      </c>
      <c r="AB18" s="17">
        <f t="shared" si="10"/>
        <v>0</v>
      </c>
      <c r="AC18" s="17">
        <f t="shared" si="10"/>
        <v>152</v>
      </c>
      <c r="AD18" s="17">
        <f t="shared" si="10"/>
        <v>0</v>
      </c>
      <c r="AE18" s="31">
        <f t="shared" si="10"/>
        <v>45</v>
      </c>
      <c r="AF18" s="31">
        <f t="shared" si="10"/>
        <v>197</v>
      </c>
    </row>
    <row r="19" spans="2:32" ht="23.1" customHeight="1" x14ac:dyDescent="0.25">
      <c r="B19" s="45" t="s">
        <v>46</v>
      </c>
      <c r="C19" s="50">
        <v>8</v>
      </c>
      <c r="D19" s="50">
        <v>0</v>
      </c>
      <c r="E19" s="50">
        <v>0</v>
      </c>
      <c r="F19" s="50">
        <v>3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49</v>
      </c>
      <c r="N19" s="50">
        <v>0</v>
      </c>
      <c r="O19" s="17">
        <f t="shared" si="0"/>
        <v>12</v>
      </c>
      <c r="P19" s="17">
        <f t="shared" si="1"/>
        <v>61</v>
      </c>
      <c r="R19" s="1" t="s">
        <v>15</v>
      </c>
      <c r="S19" s="17">
        <f t="shared" ref="S19:AF19" si="11">SUM(C46:C49)</f>
        <v>17</v>
      </c>
      <c r="T19" s="17">
        <f t="shared" si="11"/>
        <v>2</v>
      </c>
      <c r="U19" s="17">
        <f t="shared" si="11"/>
        <v>4</v>
      </c>
      <c r="V19" s="17">
        <f t="shared" si="11"/>
        <v>15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139</v>
      </c>
      <c r="AD19" s="17">
        <f t="shared" si="11"/>
        <v>0</v>
      </c>
      <c r="AE19" s="31">
        <f t="shared" si="11"/>
        <v>48</v>
      </c>
      <c r="AF19" s="31">
        <f t="shared" si="11"/>
        <v>187</v>
      </c>
    </row>
    <row r="20" spans="2:32" ht="23.1" customHeight="1" x14ac:dyDescent="0.25">
      <c r="B20" s="45" t="s">
        <v>47</v>
      </c>
      <c r="C20" s="50">
        <v>5</v>
      </c>
      <c r="D20" s="50">
        <v>0</v>
      </c>
      <c r="E20" s="50">
        <v>0</v>
      </c>
      <c r="F20" s="50">
        <v>3</v>
      </c>
      <c r="G20" s="50">
        <v>0</v>
      </c>
      <c r="H20" s="50">
        <v>0</v>
      </c>
      <c r="I20" s="50">
        <v>2</v>
      </c>
      <c r="J20" s="50">
        <v>3</v>
      </c>
      <c r="K20" s="50">
        <v>0</v>
      </c>
      <c r="L20" s="50">
        <v>0</v>
      </c>
      <c r="M20" s="50">
        <v>50</v>
      </c>
      <c r="N20" s="50">
        <v>0</v>
      </c>
      <c r="O20" s="17">
        <f t="shared" si="0"/>
        <v>13</v>
      </c>
      <c r="P20" s="17">
        <f t="shared" si="1"/>
        <v>63</v>
      </c>
      <c r="R20" s="1" t="s">
        <v>16</v>
      </c>
      <c r="S20" s="17">
        <f t="shared" ref="S20:AF20" si="12">SUM(C50:C53)</f>
        <v>15</v>
      </c>
      <c r="T20" s="17">
        <f t="shared" si="12"/>
        <v>3</v>
      </c>
      <c r="U20" s="17">
        <f t="shared" si="12"/>
        <v>0</v>
      </c>
      <c r="V20" s="17">
        <f t="shared" si="12"/>
        <v>14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116</v>
      </c>
      <c r="AD20" s="17">
        <f t="shared" si="12"/>
        <v>0</v>
      </c>
      <c r="AE20" s="31">
        <f t="shared" si="12"/>
        <v>39</v>
      </c>
      <c r="AF20" s="31">
        <f t="shared" si="12"/>
        <v>155</v>
      </c>
    </row>
    <row r="21" spans="2:32" ht="23.1" customHeight="1" x14ac:dyDescent="0.25">
      <c r="B21" s="45" t="s">
        <v>48</v>
      </c>
      <c r="C21" s="50">
        <v>3</v>
      </c>
      <c r="D21" s="50">
        <v>2</v>
      </c>
      <c r="E21" s="50">
        <v>0</v>
      </c>
      <c r="F21" s="50">
        <v>2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0</v>
      </c>
      <c r="M21" s="50">
        <v>48</v>
      </c>
      <c r="N21" s="50">
        <v>0</v>
      </c>
      <c r="O21" s="17">
        <f t="shared" si="0"/>
        <v>10</v>
      </c>
      <c r="P21" s="17">
        <f t="shared" si="1"/>
        <v>58</v>
      </c>
      <c r="R21" s="36" t="s">
        <v>20</v>
      </c>
      <c r="S21" s="34">
        <f t="shared" ref="S21:AF21" si="13">SUM(C54:C57)</f>
        <v>22</v>
      </c>
      <c r="T21" s="17">
        <f t="shared" si="13"/>
        <v>4</v>
      </c>
      <c r="U21" s="17">
        <f t="shared" si="13"/>
        <v>1</v>
      </c>
      <c r="V21" s="17">
        <f t="shared" si="13"/>
        <v>12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49</v>
      </c>
      <c r="AF21" s="31">
        <f t="shared" si="13"/>
        <v>141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1</v>
      </c>
      <c r="F22" s="50">
        <v>4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39</v>
      </c>
      <c r="N22" s="50">
        <v>0</v>
      </c>
      <c r="O22" s="17">
        <f t="shared" si="0"/>
        <v>10</v>
      </c>
      <c r="P22" s="17">
        <f t="shared" si="1"/>
        <v>49</v>
      </c>
      <c r="R22" s="36" t="s">
        <v>146</v>
      </c>
      <c r="S22" s="34">
        <f>SUM(C58:C61)</f>
        <v>17</v>
      </c>
      <c r="T22" s="34">
        <f t="shared" ref="T22:AF22" si="14">SUM(D58:D61)</f>
        <v>5</v>
      </c>
      <c r="U22" s="34">
        <f t="shared" si="14"/>
        <v>7</v>
      </c>
      <c r="V22" s="34">
        <f t="shared" si="14"/>
        <v>12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170</v>
      </c>
      <c r="AD22" s="34">
        <f t="shared" si="14"/>
        <v>0</v>
      </c>
      <c r="AE22" s="31">
        <f t="shared" si="14"/>
        <v>48</v>
      </c>
      <c r="AF22" s="31">
        <f t="shared" si="14"/>
        <v>218</v>
      </c>
    </row>
    <row r="23" spans="2:32" ht="23.1" customHeight="1" x14ac:dyDescent="0.25">
      <c r="B23" s="45" t="s">
        <v>50</v>
      </c>
      <c r="C23" s="50">
        <v>4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47</v>
      </c>
      <c r="N23" s="50">
        <v>0</v>
      </c>
      <c r="O23" s="17">
        <f t="shared" si="0"/>
        <v>9</v>
      </c>
      <c r="P23" s="17">
        <f t="shared" si="1"/>
        <v>56</v>
      </c>
      <c r="R23" s="36" t="s">
        <v>147</v>
      </c>
      <c r="S23" s="34">
        <f>SUM(C62:C65)</f>
        <v>17</v>
      </c>
      <c r="T23" s="34">
        <f t="shared" ref="T23:AF23" si="15">SUM(D62:D65)</f>
        <v>4</v>
      </c>
      <c r="U23" s="34">
        <f t="shared" si="15"/>
        <v>2</v>
      </c>
      <c r="V23" s="34">
        <f t="shared" si="15"/>
        <v>12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188</v>
      </c>
      <c r="AD23" s="34">
        <f t="shared" si="15"/>
        <v>0</v>
      </c>
      <c r="AE23" s="31">
        <f t="shared" si="15"/>
        <v>45</v>
      </c>
      <c r="AF23" s="31">
        <f t="shared" si="15"/>
        <v>233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0</v>
      </c>
      <c r="F24" s="50">
        <v>4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39</v>
      </c>
      <c r="N24" s="50">
        <v>0</v>
      </c>
      <c r="O24" s="17">
        <f t="shared" si="0"/>
        <v>9</v>
      </c>
      <c r="P24" s="17">
        <f t="shared" si="1"/>
        <v>48</v>
      </c>
      <c r="R24" s="36" t="s">
        <v>148</v>
      </c>
      <c r="S24" s="34">
        <f>SUM(C66:C69)</f>
        <v>12</v>
      </c>
      <c r="T24" s="34">
        <f t="shared" ref="T24:AF24" si="16">SUM(D66:D69)</f>
        <v>3</v>
      </c>
      <c r="U24" s="34">
        <f t="shared" si="16"/>
        <v>0</v>
      </c>
      <c r="V24" s="34">
        <f t="shared" si="16"/>
        <v>12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197</v>
      </c>
      <c r="AD24" s="34">
        <f t="shared" si="16"/>
        <v>0</v>
      </c>
      <c r="AE24" s="31">
        <f t="shared" si="16"/>
        <v>32</v>
      </c>
      <c r="AF24" s="31">
        <f t="shared" si="16"/>
        <v>229</v>
      </c>
    </row>
    <row r="25" spans="2:32" ht="23.1" customHeight="1" x14ac:dyDescent="0.25">
      <c r="B25" s="45" t="s">
        <v>52</v>
      </c>
      <c r="C25" s="50">
        <v>3</v>
      </c>
      <c r="D25" s="50">
        <v>3</v>
      </c>
      <c r="E25" s="50">
        <v>1</v>
      </c>
      <c r="F25" s="50">
        <v>2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34</v>
      </c>
      <c r="N25" s="50">
        <v>0</v>
      </c>
      <c r="O25" s="17">
        <f t="shared" si="0"/>
        <v>12</v>
      </c>
      <c r="P25" s="17">
        <f t="shared" si="1"/>
        <v>46</v>
      </c>
      <c r="R25" s="36" t="s">
        <v>149</v>
      </c>
      <c r="S25" s="34">
        <f>SUM(C70:C73)</f>
        <v>23</v>
      </c>
      <c r="T25" s="34">
        <f t="shared" ref="T25:AF25" si="17">SUM(D70:D73)</f>
        <v>4</v>
      </c>
      <c r="U25" s="34">
        <f t="shared" si="17"/>
        <v>2</v>
      </c>
      <c r="V25" s="34">
        <f t="shared" si="17"/>
        <v>7</v>
      </c>
      <c r="W25" s="34">
        <f t="shared" si="17"/>
        <v>0</v>
      </c>
      <c r="X25" s="34">
        <f t="shared" si="17"/>
        <v>0</v>
      </c>
      <c r="Y25" s="34">
        <f t="shared" si="17"/>
        <v>9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201</v>
      </c>
      <c r="AD25" s="34">
        <f t="shared" si="17"/>
        <v>0</v>
      </c>
      <c r="AE25" s="31">
        <f t="shared" si="17"/>
        <v>46</v>
      </c>
      <c r="AF25" s="31">
        <f t="shared" si="17"/>
        <v>247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4</v>
      </c>
      <c r="J26" s="50">
        <v>0</v>
      </c>
      <c r="K26" s="50">
        <v>2</v>
      </c>
      <c r="L26" s="50">
        <v>0</v>
      </c>
      <c r="M26" s="50">
        <v>34</v>
      </c>
      <c r="N26" s="50">
        <v>0</v>
      </c>
      <c r="O26" s="17">
        <f t="shared" si="0"/>
        <v>11</v>
      </c>
      <c r="P26" s="17">
        <f t="shared" si="1"/>
        <v>45</v>
      </c>
      <c r="R26" s="36" t="s">
        <v>150</v>
      </c>
      <c r="S26" s="34">
        <f>SUM(C74:C77)</f>
        <v>16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7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184</v>
      </c>
      <c r="AD26" s="34">
        <f t="shared" si="18"/>
        <v>0</v>
      </c>
      <c r="AE26" s="31">
        <f t="shared" si="18"/>
        <v>31</v>
      </c>
      <c r="AF26" s="31">
        <f t="shared" si="18"/>
        <v>215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36</v>
      </c>
      <c r="N27" s="50">
        <v>0</v>
      </c>
      <c r="O27" s="17">
        <f t="shared" si="0"/>
        <v>10</v>
      </c>
      <c r="P27" s="17">
        <f t="shared" si="1"/>
        <v>46</v>
      </c>
      <c r="R27" s="36" t="s">
        <v>151</v>
      </c>
      <c r="S27" s="34">
        <f>SUM(C78:C81)</f>
        <v>9</v>
      </c>
      <c r="T27" s="34">
        <f t="shared" ref="T27:AF27" si="19">SUM(D78:D81)</f>
        <v>2</v>
      </c>
      <c r="U27" s="34">
        <f t="shared" si="19"/>
        <v>2</v>
      </c>
      <c r="V27" s="34">
        <f t="shared" si="19"/>
        <v>8</v>
      </c>
      <c r="W27" s="34">
        <f t="shared" si="19"/>
        <v>1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129</v>
      </c>
      <c r="AD27" s="34">
        <f t="shared" si="19"/>
        <v>0</v>
      </c>
      <c r="AE27" s="31">
        <f t="shared" si="19"/>
        <v>26</v>
      </c>
      <c r="AF27" s="31">
        <f t="shared" si="19"/>
        <v>155</v>
      </c>
    </row>
    <row r="28" spans="2:32" ht="23.1" customHeight="1" x14ac:dyDescent="0.25">
      <c r="B28" s="45" t="s">
        <v>55</v>
      </c>
      <c r="C28" s="50">
        <v>6</v>
      </c>
      <c r="D28" s="50">
        <v>2</v>
      </c>
      <c r="E28" s="50">
        <v>0</v>
      </c>
      <c r="F28" s="50">
        <v>3</v>
      </c>
      <c r="G28" s="50">
        <v>0</v>
      </c>
      <c r="H28" s="50">
        <v>0</v>
      </c>
      <c r="I28" s="50">
        <v>4</v>
      </c>
      <c r="J28" s="50">
        <v>1</v>
      </c>
      <c r="K28" s="50">
        <v>1</v>
      </c>
      <c r="L28" s="50">
        <v>0</v>
      </c>
      <c r="M28" s="50">
        <v>32</v>
      </c>
      <c r="N28" s="50">
        <v>0</v>
      </c>
      <c r="O28" s="17">
        <f t="shared" si="0"/>
        <v>17</v>
      </c>
      <c r="P28" s="17">
        <f t="shared" si="1"/>
        <v>49</v>
      </c>
      <c r="R28" s="36" t="s">
        <v>152</v>
      </c>
      <c r="S28" s="34">
        <f>SUM(C82:C85)</f>
        <v>7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3</v>
      </c>
      <c r="AA28" s="34">
        <f t="shared" si="20"/>
        <v>1</v>
      </c>
      <c r="AB28" s="34">
        <f t="shared" si="20"/>
        <v>0</v>
      </c>
      <c r="AC28" s="34">
        <f t="shared" si="20"/>
        <v>99</v>
      </c>
      <c r="AD28" s="34">
        <f t="shared" si="20"/>
        <v>0</v>
      </c>
      <c r="AE28" s="31">
        <f t="shared" si="20"/>
        <v>18</v>
      </c>
      <c r="AF28" s="31">
        <f t="shared" si="20"/>
        <v>117</v>
      </c>
    </row>
    <row r="29" spans="2:32" ht="23.1" customHeight="1" x14ac:dyDescent="0.25">
      <c r="B29" s="45" t="s">
        <v>56</v>
      </c>
      <c r="C29" s="50">
        <v>7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36</v>
      </c>
      <c r="N29" s="50">
        <v>0</v>
      </c>
      <c r="O29" s="17">
        <f t="shared" si="0"/>
        <v>11</v>
      </c>
      <c r="P29" s="17">
        <f t="shared" si="1"/>
        <v>47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69</v>
      </c>
      <c r="AD29" s="34">
        <f t="shared" si="21"/>
        <v>0</v>
      </c>
      <c r="AE29" s="31">
        <f t="shared" si="21"/>
        <v>5</v>
      </c>
      <c r="AF29" s="31">
        <f t="shared" si="21"/>
        <v>74</v>
      </c>
    </row>
    <row r="30" spans="2:32" ht="23.1" customHeight="1" x14ac:dyDescent="0.25">
      <c r="B30" s="45" t="s">
        <v>57</v>
      </c>
      <c r="C30" s="50">
        <v>4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29</v>
      </c>
      <c r="N30" s="50">
        <v>0</v>
      </c>
      <c r="O30" s="17">
        <f t="shared" si="0"/>
        <v>8</v>
      </c>
      <c r="P30" s="17">
        <f t="shared" si="1"/>
        <v>37</v>
      </c>
      <c r="R30" s="36" t="s">
        <v>154</v>
      </c>
      <c r="S30" s="34">
        <f>SUM(C90:C93)</f>
        <v>2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66</v>
      </c>
      <c r="AD30" s="34">
        <f t="shared" si="22"/>
        <v>0</v>
      </c>
      <c r="AE30" s="31">
        <f t="shared" si="22"/>
        <v>11</v>
      </c>
      <c r="AF30" s="31">
        <f t="shared" si="22"/>
        <v>77</v>
      </c>
    </row>
    <row r="31" spans="2:32" ht="23.1" customHeight="1" x14ac:dyDescent="0.25">
      <c r="B31" s="46" t="s">
        <v>58</v>
      </c>
      <c r="C31" s="50">
        <v>5</v>
      </c>
      <c r="D31" s="50">
        <v>1</v>
      </c>
      <c r="E31" s="50">
        <v>2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32</v>
      </c>
      <c r="N31" s="50">
        <v>0</v>
      </c>
      <c r="O31" s="17">
        <f t="shared" si="0"/>
        <v>12</v>
      </c>
      <c r="P31" s="17">
        <f t="shared" si="1"/>
        <v>44</v>
      </c>
      <c r="R31" s="36" t="s">
        <v>155</v>
      </c>
      <c r="S31" s="34">
        <f>SUM(C94:C97)</f>
        <v>5</v>
      </c>
      <c r="T31" s="34">
        <f t="shared" ref="T31:AF31" si="23">SUM(D94:D97)</f>
        <v>2</v>
      </c>
      <c r="U31" s="34">
        <f t="shared" si="23"/>
        <v>2</v>
      </c>
      <c r="V31" s="34">
        <f t="shared" si="23"/>
        <v>5</v>
      </c>
      <c r="W31" s="34">
        <f t="shared" si="23"/>
        <v>0</v>
      </c>
      <c r="X31" s="34">
        <f t="shared" si="23"/>
        <v>0</v>
      </c>
      <c r="Y31" s="34">
        <f t="shared" si="23"/>
        <v>6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94</v>
      </c>
      <c r="AD31" s="34">
        <f t="shared" si="23"/>
        <v>0</v>
      </c>
      <c r="AE31" s="31">
        <f t="shared" si="23"/>
        <v>21</v>
      </c>
      <c r="AF31" s="31">
        <f t="shared" si="23"/>
        <v>115</v>
      </c>
    </row>
    <row r="32" spans="2:32" ht="23.1" customHeight="1" x14ac:dyDescent="0.25">
      <c r="B32" s="46" t="s">
        <v>59</v>
      </c>
      <c r="C32" s="50">
        <v>5</v>
      </c>
      <c r="D32" s="50">
        <v>2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40</v>
      </c>
      <c r="N32" s="50">
        <v>0</v>
      </c>
      <c r="O32" s="17">
        <f t="shared" si="0"/>
        <v>10</v>
      </c>
      <c r="P32" s="17">
        <f t="shared" si="1"/>
        <v>50</v>
      </c>
      <c r="R32" s="51" t="s">
        <v>156</v>
      </c>
      <c r="S32" s="34">
        <f>SUM(C98:C101)</f>
        <v>7</v>
      </c>
      <c r="T32" s="34">
        <f t="shared" ref="T32:AF32" si="24">SUM(D98:D101)</f>
        <v>3</v>
      </c>
      <c r="U32" s="34">
        <f t="shared" si="24"/>
        <v>3</v>
      </c>
      <c r="V32" s="34">
        <f t="shared" si="24"/>
        <v>15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5</v>
      </c>
      <c r="AA32" s="34">
        <f t="shared" si="24"/>
        <v>0</v>
      </c>
      <c r="AB32" s="34">
        <f t="shared" si="24"/>
        <v>0</v>
      </c>
      <c r="AC32" s="34">
        <f t="shared" si="24"/>
        <v>127</v>
      </c>
      <c r="AD32" s="34">
        <f t="shared" si="24"/>
        <v>0</v>
      </c>
      <c r="AE32" s="31">
        <f t="shared" si="24"/>
        <v>38</v>
      </c>
      <c r="AF32" s="31">
        <f t="shared" si="24"/>
        <v>165</v>
      </c>
    </row>
    <row r="33" spans="2:32" ht="23.1" customHeight="1" x14ac:dyDescent="0.25">
      <c r="B33" s="45" t="s">
        <v>60</v>
      </c>
      <c r="C33" s="50">
        <v>4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36</v>
      </c>
      <c r="N33" s="50">
        <v>0</v>
      </c>
      <c r="O33" s="17">
        <f t="shared" si="0"/>
        <v>9</v>
      </c>
      <c r="P33" s="17">
        <f t="shared" si="1"/>
        <v>45</v>
      </c>
      <c r="R33" s="51" t="s">
        <v>157</v>
      </c>
      <c r="S33" s="34">
        <f>SUM(C102:C105)</f>
        <v>11</v>
      </c>
      <c r="T33" s="34">
        <f t="shared" ref="T33:AF33" si="25">SUM(D102:D105)</f>
        <v>2</v>
      </c>
      <c r="U33" s="34">
        <f t="shared" si="25"/>
        <v>2</v>
      </c>
      <c r="V33" s="34">
        <f t="shared" si="25"/>
        <v>19</v>
      </c>
      <c r="W33" s="34">
        <f t="shared" si="25"/>
        <v>0</v>
      </c>
      <c r="X33" s="34">
        <f t="shared" si="25"/>
        <v>0</v>
      </c>
      <c r="Y33" s="34">
        <f t="shared" si="25"/>
        <v>7</v>
      </c>
      <c r="Z33" s="34">
        <f t="shared" si="25"/>
        <v>3</v>
      </c>
      <c r="AA33" s="34">
        <f t="shared" si="25"/>
        <v>0</v>
      </c>
      <c r="AB33" s="34">
        <f t="shared" si="25"/>
        <v>0</v>
      </c>
      <c r="AC33" s="34">
        <f t="shared" si="25"/>
        <v>176</v>
      </c>
      <c r="AD33" s="34">
        <f t="shared" si="25"/>
        <v>0</v>
      </c>
      <c r="AE33" s="31">
        <f t="shared" si="25"/>
        <v>44</v>
      </c>
      <c r="AF33" s="31">
        <f t="shared" si="25"/>
        <v>220</v>
      </c>
    </row>
    <row r="34" spans="2:32" ht="23.1" customHeight="1" x14ac:dyDescent="0.25">
      <c r="B34" s="46" t="s">
        <v>61</v>
      </c>
      <c r="C34" s="50">
        <v>5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2</v>
      </c>
      <c r="L34" s="50">
        <v>0</v>
      </c>
      <c r="M34" s="50">
        <v>35</v>
      </c>
      <c r="N34" s="50">
        <v>0</v>
      </c>
      <c r="O34" s="17">
        <f t="shared" si="0"/>
        <v>10</v>
      </c>
      <c r="P34" s="17">
        <f t="shared" si="1"/>
        <v>45</v>
      </c>
      <c r="R34" s="52" t="s">
        <v>90</v>
      </c>
      <c r="S34" s="53">
        <f t="shared" ref="S34:AF34" si="26">MAX(S10:S12)</f>
        <v>18</v>
      </c>
      <c r="T34" s="53">
        <f t="shared" si="26"/>
        <v>3</v>
      </c>
      <c r="U34" s="53">
        <f t="shared" si="26"/>
        <v>2</v>
      </c>
      <c r="V34" s="53">
        <f t="shared" si="26"/>
        <v>14</v>
      </c>
      <c r="W34" s="53">
        <f t="shared" si="26"/>
        <v>2</v>
      </c>
      <c r="X34" s="53">
        <f t="shared" si="26"/>
        <v>1</v>
      </c>
      <c r="Y34" s="53">
        <f t="shared" si="26"/>
        <v>5</v>
      </c>
      <c r="Z34" s="53">
        <f t="shared" si="26"/>
        <v>5</v>
      </c>
      <c r="AA34" s="53">
        <f t="shared" si="26"/>
        <v>3</v>
      </c>
      <c r="AB34" s="53">
        <f t="shared" si="26"/>
        <v>0</v>
      </c>
      <c r="AC34" s="53">
        <f t="shared" si="26"/>
        <v>226</v>
      </c>
      <c r="AD34" s="53">
        <f t="shared" si="26"/>
        <v>0</v>
      </c>
      <c r="AE34" s="40">
        <f t="shared" si="26"/>
        <v>46</v>
      </c>
      <c r="AF34" s="40">
        <f t="shared" si="26"/>
        <v>259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28</v>
      </c>
      <c r="N35" s="50">
        <v>0</v>
      </c>
      <c r="O35" s="17">
        <f t="shared" si="0"/>
        <v>5</v>
      </c>
      <c r="P35" s="17">
        <f t="shared" si="1"/>
        <v>33</v>
      </c>
      <c r="R35" s="52" t="s">
        <v>91</v>
      </c>
      <c r="S35" s="53">
        <f t="shared" ref="S35:AF35" si="27">MAX(S13:S18)</f>
        <v>20</v>
      </c>
      <c r="T35" s="53">
        <f t="shared" si="27"/>
        <v>4</v>
      </c>
      <c r="U35" s="53">
        <f t="shared" si="27"/>
        <v>3</v>
      </c>
      <c r="V35" s="53">
        <f t="shared" si="27"/>
        <v>13</v>
      </c>
      <c r="W35" s="53">
        <f t="shared" si="27"/>
        <v>0</v>
      </c>
      <c r="X35" s="53">
        <f t="shared" si="27"/>
        <v>0</v>
      </c>
      <c r="Y35" s="53">
        <f t="shared" si="27"/>
        <v>11</v>
      </c>
      <c r="Z35" s="53">
        <f t="shared" si="27"/>
        <v>6</v>
      </c>
      <c r="AA35" s="53">
        <f t="shared" si="27"/>
        <v>3</v>
      </c>
      <c r="AB35" s="53">
        <f t="shared" si="27"/>
        <v>0</v>
      </c>
      <c r="AC35" s="53">
        <f t="shared" si="27"/>
        <v>159</v>
      </c>
      <c r="AD35" s="53">
        <f t="shared" si="27"/>
        <v>0</v>
      </c>
      <c r="AE35" s="40">
        <f t="shared" si="27"/>
        <v>49</v>
      </c>
      <c r="AF35" s="40">
        <f t="shared" si="27"/>
        <v>199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38</v>
      </c>
      <c r="N36" s="50">
        <v>0</v>
      </c>
      <c r="O36" s="17">
        <f t="shared" si="0"/>
        <v>8</v>
      </c>
      <c r="P36" s="17">
        <f t="shared" si="1"/>
        <v>46</v>
      </c>
      <c r="R36" s="52" t="s">
        <v>92</v>
      </c>
      <c r="S36" s="53">
        <f t="shared" ref="S36:AF36" si="28">MAX(S19:S21)</f>
        <v>22</v>
      </c>
      <c r="T36" s="53">
        <f t="shared" si="28"/>
        <v>4</v>
      </c>
      <c r="U36" s="53">
        <f t="shared" si="28"/>
        <v>4</v>
      </c>
      <c r="V36" s="53">
        <f t="shared" si="28"/>
        <v>15</v>
      </c>
      <c r="W36" s="53">
        <f t="shared" si="28"/>
        <v>1</v>
      </c>
      <c r="X36" s="53">
        <f t="shared" si="28"/>
        <v>0</v>
      </c>
      <c r="Y36" s="53">
        <f t="shared" si="28"/>
        <v>5</v>
      </c>
      <c r="Z36" s="53">
        <f t="shared" si="28"/>
        <v>4</v>
      </c>
      <c r="AA36" s="53">
        <f t="shared" si="28"/>
        <v>2</v>
      </c>
      <c r="AB36" s="53">
        <f t="shared" si="28"/>
        <v>0</v>
      </c>
      <c r="AC36" s="53">
        <f t="shared" si="28"/>
        <v>139</v>
      </c>
      <c r="AD36" s="53">
        <f t="shared" si="28"/>
        <v>0</v>
      </c>
      <c r="AE36" s="40">
        <f t="shared" si="28"/>
        <v>49</v>
      </c>
      <c r="AF36" s="40">
        <f t="shared" si="28"/>
        <v>187</v>
      </c>
    </row>
    <row r="37" spans="2:32" ht="23.1" customHeight="1" x14ac:dyDescent="0.25">
      <c r="B37" s="45" t="s">
        <v>64</v>
      </c>
      <c r="C37" s="50">
        <v>6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5</v>
      </c>
      <c r="J37" s="50">
        <v>0</v>
      </c>
      <c r="K37" s="50">
        <v>1</v>
      </c>
      <c r="L37" s="50">
        <v>0</v>
      </c>
      <c r="M37" s="50">
        <v>35</v>
      </c>
      <c r="N37" s="50">
        <v>0</v>
      </c>
      <c r="O37" s="17">
        <f t="shared" si="0"/>
        <v>15</v>
      </c>
      <c r="P37" s="17">
        <f t="shared" si="1"/>
        <v>50</v>
      </c>
      <c r="R37" s="37" t="s">
        <v>85</v>
      </c>
      <c r="S37" s="35">
        <f t="shared" ref="S37:AF37" si="29">SUM(S10:S12)</f>
        <v>41</v>
      </c>
      <c r="T37" s="16">
        <f t="shared" si="29"/>
        <v>7</v>
      </c>
      <c r="U37" s="16">
        <f t="shared" si="29"/>
        <v>3</v>
      </c>
      <c r="V37" s="16">
        <f t="shared" si="29"/>
        <v>33</v>
      </c>
      <c r="W37" s="16">
        <f t="shared" si="29"/>
        <v>4</v>
      </c>
      <c r="X37" s="16">
        <f t="shared" si="29"/>
        <v>1</v>
      </c>
      <c r="Y37" s="16">
        <f t="shared" si="29"/>
        <v>11</v>
      </c>
      <c r="Z37" s="16">
        <f t="shared" si="29"/>
        <v>11</v>
      </c>
      <c r="AA37" s="16">
        <f t="shared" si="29"/>
        <v>5</v>
      </c>
      <c r="AB37" s="16">
        <f t="shared" si="29"/>
        <v>0</v>
      </c>
      <c r="AC37" s="16">
        <f t="shared" si="29"/>
        <v>559</v>
      </c>
      <c r="AD37" s="16">
        <f t="shared" si="29"/>
        <v>0</v>
      </c>
      <c r="AE37" s="32">
        <f t="shared" si="29"/>
        <v>116</v>
      </c>
      <c r="AF37" s="32">
        <f t="shared" si="29"/>
        <v>675</v>
      </c>
    </row>
    <row r="38" spans="2:32" ht="23.1" customHeight="1" x14ac:dyDescent="0.25">
      <c r="B38" s="46" t="s">
        <v>65</v>
      </c>
      <c r="C38" s="50">
        <v>3</v>
      </c>
      <c r="D38" s="50">
        <v>1</v>
      </c>
      <c r="E38" s="50">
        <v>0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33</v>
      </c>
      <c r="N38" s="50">
        <v>0</v>
      </c>
      <c r="O38" s="17">
        <f t="shared" si="0"/>
        <v>8</v>
      </c>
      <c r="P38" s="17">
        <f t="shared" si="1"/>
        <v>41</v>
      </c>
      <c r="R38" s="28" t="s">
        <v>86</v>
      </c>
      <c r="S38" s="16">
        <f t="shared" ref="S38:AF38" si="30">SUM(S13:S18)</f>
        <v>98</v>
      </c>
      <c r="T38" s="16">
        <f t="shared" si="30"/>
        <v>16</v>
      </c>
      <c r="U38" s="16">
        <f t="shared" si="30"/>
        <v>9</v>
      </c>
      <c r="V38" s="16">
        <f t="shared" si="30"/>
        <v>48</v>
      </c>
      <c r="W38" s="16">
        <f t="shared" si="30"/>
        <v>0</v>
      </c>
      <c r="X38" s="16">
        <f t="shared" si="30"/>
        <v>0</v>
      </c>
      <c r="Y38" s="16">
        <f t="shared" si="30"/>
        <v>43</v>
      </c>
      <c r="Z38" s="16">
        <f t="shared" si="30"/>
        <v>20</v>
      </c>
      <c r="AA38" s="16">
        <f t="shared" si="30"/>
        <v>13</v>
      </c>
      <c r="AB38" s="16">
        <f t="shared" si="30"/>
        <v>0</v>
      </c>
      <c r="AC38" s="16">
        <f t="shared" si="30"/>
        <v>877</v>
      </c>
      <c r="AD38" s="16">
        <f t="shared" si="30"/>
        <v>0</v>
      </c>
      <c r="AE38" s="32">
        <f t="shared" si="30"/>
        <v>247</v>
      </c>
      <c r="AF38" s="32">
        <f t="shared" si="30"/>
        <v>1124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0</v>
      </c>
      <c r="M39" s="50">
        <v>39</v>
      </c>
      <c r="N39" s="50">
        <v>0</v>
      </c>
      <c r="O39" s="17">
        <f t="shared" si="0"/>
        <v>5</v>
      </c>
      <c r="P39" s="17">
        <f t="shared" si="1"/>
        <v>44</v>
      </c>
      <c r="R39" s="29" t="s">
        <v>87</v>
      </c>
      <c r="S39" s="16">
        <f t="shared" ref="S39:AF39" si="31">SUM(S19:S21)</f>
        <v>54</v>
      </c>
      <c r="T39" s="16">
        <f t="shared" si="31"/>
        <v>9</v>
      </c>
      <c r="U39" s="16">
        <f t="shared" si="31"/>
        <v>5</v>
      </c>
      <c r="V39" s="16">
        <f t="shared" si="31"/>
        <v>41</v>
      </c>
      <c r="W39" s="16">
        <f t="shared" si="31"/>
        <v>1</v>
      </c>
      <c r="X39" s="16">
        <f t="shared" si="31"/>
        <v>0</v>
      </c>
      <c r="Y39" s="16">
        <f t="shared" si="31"/>
        <v>15</v>
      </c>
      <c r="Z39" s="16">
        <f t="shared" si="31"/>
        <v>9</v>
      </c>
      <c r="AA39" s="16">
        <f t="shared" si="31"/>
        <v>2</v>
      </c>
      <c r="AB39" s="16">
        <f t="shared" si="31"/>
        <v>0</v>
      </c>
      <c r="AC39" s="16">
        <f t="shared" si="31"/>
        <v>347</v>
      </c>
      <c r="AD39" s="16">
        <f t="shared" si="31"/>
        <v>0</v>
      </c>
      <c r="AE39" s="32">
        <f t="shared" si="31"/>
        <v>136</v>
      </c>
      <c r="AF39" s="32">
        <f t="shared" si="31"/>
        <v>483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0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49</v>
      </c>
      <c r="N40" s="50">
        <v>0</v>
      </c>
      <c r="O40" s="17">
        <f t="shared" si="0"/>
        <v>8</v>
      </c>
      <c r="P40" s="17">
        <f t="shared" si="1"/>
        <v>57</v>
      </c>
      <c r="R40" s="5" t="s">
        <v>17</v>
      </c>
      <c r="S40" s="16">
        <f t="shared" ref="S40:AF40" si="32">SUM(S10:S21)</f>
        <v>193</v>
      </c>
      <c r="T40" s="16">
        <f t="shared" si="32"/>
        <v>32</v>
      </c>
      <c r="U40" s="16">
        <f t="shared" si="32"/>
        <v>17</v>
      </c>
      <c r="V40" s="16">
        <f t="shared" si="32"/>
        <v>122</v>
      </c>
      <c r="W40" s="16">
        <f t="shared" si="32"/>
        <v>5</v>
      </c>
      <c r="X40" s="16">
        <f t="shared" si="32"/>
        <v>1</v>
      </c>
      <c r="Y40" s="16">
        <f t="shared" si="32"/>
        <v>69</v>
      </c>
      <c r="Z40" s="16">
        <f t="shared" si="32"/>
        <v>40</v>
      </c>
      <c r="AA40" s="16">
        <f t="shared" si="32"/>
        <v>20</v>
      </c>
      <c r="AB40" s="16">
        <f t="shared" si="32"/>
        <v>0</v>
      </c>
      <c r="AC40" s="16">
        <f t="shared" si="32"/>
        <v>1783</v>
      </c>
      <c r="AD40" s="16">
        <f t="shared" si="32"/>
        <v>0</v>
      </c>
      <c r="AE40" s="32">
        <f t="shared" si="32"/>
        <v>499</v>
      </c>
      <c r="AF40" s="32">
        <f t="shared" si="32"/>
        <v>2282</v>
      </c>
    </row>
    <row r="41" spans="2:32" ht="23.1" customHeight="1" x14ac:dyDescent="0.25">
      <c r="B41" s="45" t="s">
        <v>68</v>
      </c>
      <c r="C41" s="50">
        <v>5</v>
      </c>
      <c r="D41" s="50">
        <v>3</v>
      </c>
      <c r="E41" s="50">
        <v>0</v>
      </c>
      <c r="F41" s="50">
        <v>2</v>
      </c>
      <c r="G41" s="50">
        <v>0</v>
      </c>
      <c r="H41" s="50">
        <v>0</v>
      </c>
      <c r="I41" s="50">
        <v>3</v>
      </c>
      <c r="J41" s="50">
        <v>1</v>
      </c>
      <c r="K41" s="50">
        <v>1</v>
      </c>
      <c r="L41" s="50">
        <v>0</v>
      </c>
      <c r="M41" s="50">
        <v>34</v>
      </c>
      <c r="N41" s="50">
        <v>0</v>
      </c>
      <c r="O41" s="17">
        <f t="shared" si="0"/>
        <v>15</v>
      </c>
      <c r="P41" s="17">
        <f t="shared" si="1"/>
        <v>49</v>
      </c>
      <c r="R41" s="5" t="s">
        <v>159</v>
      </c>
      <c r="S41" s="16">
        <f>SUM(S10:S33)</f>
        <v>320</v>
      </c>
      <c r="T41" s="16">
        <f t="shared" ref="T41:AF41" si="33">SUM(T10:T33)</f>
        <v>60</v>
      </c>
      <c r="U41" s="16">
        <f t="shared" si="33"/>
        <v>42</v>
      </c>
      <c r="V41" s="16">
        <f t="shared" si="33"/>
        <v>224</v>
      </c>
      <c r="W41" s="16">
        <f t="shared" si="33"/>
        <v>6</v>
      </c>
      <c r="X41" s="16">
        <f t="shared" si="33"/>
        <v>1</v>
      </c>
      <c r="Y41" s="16">
        <f t="shared" si="33"/>
        <v>125</v>
      </c>
      <c r="Z41" s="16">
        <f t="shared" si="33"/>
        <v>65</v>
      </c>
      <c r="AA41" s="16">
        <f t="shared" si="33"/>
        <v>21</v>
      </c>
      <c r="AB41" s="16">
        <f t="shared" si="33"/>
        <v>0</v>
      </c>
      <c r="AC41" s="16">
        <f t="shared" si="33"/>
        <v>3483</v>
      </c>
      <c r="AD41" s="16">
        <f t="shared" si="33"/>
        <v>0</v>
      </c>
      <c r="AE41" s="32">
        <f t="shared" si="33"/>
        <v>864</v>
      </c>
      <c r="AF41" s="32">
        <f t="shared" si="33"/>
        <v>4347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40</v>
      </c>
      <c r="N42" s="50">
        <v>0</v>
      </c>
      <c r="O42" s="17">
        <f t="shared" si="0"/>
        <v>13</v>
      </c>
      <c r="P42" s="17">
        <f t="shared" si="1"/>
        <v>53</v>
      </c>
      <c r="R42" s="5" t="s">
        <v>160</v>
      </c>
      <c r="S42" s="48">
        <f>S41/S40</f>
        <v>1.6580310880829014</v>
      </c>
      <c r="T42" s="48">
        <f t="shared" ref="T42:AF42" si="34">T41/T40</f>
        <v>1.875</v>
      </c>
      <c r="U42" s="48">
        <f t="shared" si="34"/>
        <v>2.4705882352941178</v>
      </c>
      <c r="V42" s="48">
        <f t="shared" si="34"/>
        <v>1.8360655737704918</v>
      </c>
      <c r="W42" s="48">
        <f t="shared" si="34"/>
        <v>1.2</v>
      </c>
      <c r="X42" s="48">
        <f t="shared" si="34"/>
        <v>1</v>
      </c>
      <c r="Y42" s="48">
        <f t="shared" si="34"/>
        <v>1.8115942028985508</v>
      </c>
      <c r="Z42" s="48">
        <f t="shared" si="34"/>
        <v>1.625</v>
      </c>
      <c r="AA42" s="48">
        <f t="shared" si="34"/>
        <v>1.05</v>
      </c>
      <c r="AB42" s="48" t="e">
        <f t="shared" si="34"/>
        <v>#DIV/0!</v>
      </c>
      <c r="AC42" s="48">
        <f t="shared" si="34"/>
        <v>1.9534492428491306</v>
      </c>
      <c r="AD42" s="48" t="e">
        <f t="shared" si="34"/>
        <v>#DIV/0!</v>
      </c>
      <c r="AE42" s="48">
        <f t="shared" si="34"/>
        <v>1.7314629258517034</v>
      </c>
      <c r="AF42" s="48">
        <f t="shared" si="34"/>
        <v>1.9049079754601228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3</v>
      </c>
      <c r="G43" s="50">
        <v>0</v>
      </c>
      <c r="H43" s="50">
        <v>0</v>
      </c>
      <c r="I43" s="50">
        <v>1</v>
      </c>
      <c r="J43" s="50">
        <v>1</v>
      </c>
      <c r="K43" s="50">
        <v>2</v>
      </c>
      <c r="L43" s="50">
        <v>0</v>
      </c>
      <c r="M43" s="50">
        <v>39</v>
      </c>
      <c r="N43" s="50">
        <v>0</v>
      </c>
      <c r="O43" s="17">
        <f t="shared" si="0"/>
        <v>9</v>
      </c>
      <c r="P43" s="17">
        <f t="shared" si="1"/>
        <v>48</v>
      </c>
      <c r="R43"/>
      <c r="S43" s="19"/>
      <c r="T43" s="19"/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0</v>
      </c>
      <c r="F44" s="50">
        <v>3</v>
      </c>
      <c r="G44" s="50">
        <v>0</v>
      </c>
      <c r="H44" s="50">
        <v>0</v>
      </c>
      <c r="I44" s="50">
        <v>3</v>
      </c>
      <c r="J44" s="50">
        <v>4</v>
      </c>
      <c r="K44" s="50">
        <v>0</v>
      </c>
      <c r="L44" s="50">
        <v>0</v>
      </c>
      <c r="M44" s="50">
        <v>39</v>
      </c>
      <c r="N44" s="50">
        <v>0</v>
      </c>
      <c r="O44" s="17">
        <f t="shared" si="0"/>
        <v>13</v>
      </c>
      <c r="P44" s="17">
        <f t="shared" si="1"/>
        <v>52</v>
      </c>
      <c r="R44"/>
      <c r="S44" s="19"/>
      <c r="T44" s="19"/>
    </row>
    <row r="45" spans="2:32" ht="23.1" customHeight="1" x14ac:dyDescent="0.25">
      <c r="B45" s="45" t="s">
        <v>72</v>
      </c>
      <c r="C45" s="50">
        <v>6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0</v>
      </c>
      <c r="M45" s="50">
        <v>34</v>
      </c>
      <c r="N45" s="50">
        <v>0</v>
      </c>
      <c r="O45" s="17">
        <f t="shared" si="0"/>
        <v>10</v>
      </c>
      <c r="P45" s="17">
        <f t="shared" si="1"/>
        <v>44</v>
      </c>
      <c r="R45"/>
      <c r="S45" s="19"/>
      <c r="T45" s="19"/>
    </row>
    <row r="46" spans="2:32" ht="23.1" customHeight="1" x14ac:dyDescent="0.25">
      <c r="B46" s="46" t="s">
        <v>73</v>
      </c>
      <c r="C46" s="50">
        <v>6</v>
      </c>
      <c r="D46" s="50">
        <v>0</v>
      </c>
      <c r="E46" s="50">
        <v>1</v>
      </c>
      <c r="F46" s="50">
        <v>3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0</v>
      </c>
      <c r="M46" s="50">
        <v>38</v>
      </c>
      <c r="N46" s="50">
        <v>0</v>
      </c>
      <c r="O46" s="17">
        <f t="shared" si="0"/>
        <v>13</v>
      </c>
      <c r="P46" s="17">
        <f t="shared" si="1"/>
        <v>51</v>
      </c>
      <c r="R46" s="19"/>
      <c r="S46" s="19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33</v>
      </c>
      <c r="N47" s="50">
        <v>0</v>
      </c>
      <c r="O47" s="17">
        <f t="shared" si="0"/>
        <v>7</v>
      </c>
      <c r="P47" s="17">
        <f t="shared" si="1"/>
        <v>40</v>
      </c>
      <c r="R47" s="19"/>
      <c r="S47" s="19"/>
      <c r="T47"/>
    </row>
    <row r="48" spans="2:32" ht="23.1" customHeight="1" x14ac:dyDescent="0.25">
      <c r="B48" s="46" t="s">
        <v>75</v>
      </c>
      <c r="C48" s="50">
        <v>4</v>
      </c>
      <c r="D48" s="50">
        <v>2</v>
      </c>
      <c r="E48" s="50">
        <v>0</v>
      </c>
      <c r="F48" s="50">
        <v>4</v>
      </c>
      <c r="G48" s="50">
        <v>0</v>
      </c>
      <c r="H48" s="50">
        <v>0</v>
      </c>
      <c r="I48" s="50">
        <v>2</v>
      </c>
      <c r="J48" s="50">
        <v>1</v>
      </c>
      <c r="K48" s="50">
        <v>2</v>
      </c>
      <c r="L48" s="50">
        <v>0</v>
      </c>
      <c r="M48" s="50">
        <v>30</v>
      </c>
      <c r="N48" s="50">
        <v>0</v>
      </c>
      <c r="O48" s="17">
        <f t="shared" si="0"/>
        <v>15</v>
      </c>
      <c r="P48" s="17">
        <f t="shared" si="1"/>
        <v>45</v>
      </c>
      <c r="R48" s="19"/>
      <c r="S48" s="19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2</v>
      </c>
      <c r="F49" s="50">
        <v>6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38</v>
      </c>
      <c r="N49" s="50">
        <v>0</v>
      </c>
      <c r="O49" s="17">
        <f t="shared" si="0"/>
        <v>13</v>
      </c>
      <c r="P49" s="17">
        <f t="shared" si="1"/>
        <v>51</v>
      </c>
      <c r="R49" s="19"/>
      <c r="S49" s="19"/>
      <c r="T49"/>
    </row>
    <row r="50" spans="2:20" ht="23.1" customHeight="1" x14ac:dyDescent="0.25">
      <c r="B50" s="46" t="s">
        <v>77</v>
      </c>
      <c r="C50" s="50">
        <v>3</v>
      </c>
      <c r="D50" s="50">
        <v>2</v>
      </c>
      <c r="E50" s="50">
        <v>0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7">
        <f t="shared" si="0"/>
        <v>9</v>
      </c>
      <c r="P50" s="17">
        <f t="shared" si="1"/>
        <v>49</v>
      </c>
      <c r="R50" s="19"/>
      <c r="S50" s="19"/>
      <c r="T50"/>
    </row>
    <row r="51" spans="2:20" ht="23.1" customHeight="1" x14ac:dyDescent="0.25">
      <c r="B51" s="46" t="s">
        <v>78</v>
      </c>
      <c r="C51" s="50">
        <v>7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35</v>
      </c>
      <c r="N51" s="50">
        <v>0</v>
      </c>
      <c r="O51" s="17">
        <f t="shared" si="0"/>
        <v>13</v>
      </c>
      <c r="P51" s="17">
        <f t="shared" si="1"/>
        <v>48</v>
      </c>
      <c r="R51" s="19"/>
      <c r="S51" s="19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0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22</v>
      </c>
      <c r="N52" s="50">
        <v>0</v>
      </c>
      <c r="O52" s="17">
        <f t="shared" si="0"/>
        <v>6</v>
      </c>
      <c r="P52" s="17">
        <f t="shared" si="1"/>
        <v>28</v>
      </c>
      <c r="R52" s="19"/>
      <c r="S52" s="19"/>
      <c r="T52"/>
    </row>
    <row r="53" spans="2:20" ht="23.1" customHeight="1" x14ac:dyDescent="0.25">
      <c r="B53" s="45" t="s">
        <v>80</v>
      </c>
      <c r="C53" s="50">
        <v>3</v>
      </c>
      <c r="D53" s="50">
        <v>1</v>
      </c>
      <c r="E53" s="50">
        <v>0</v>
      </c>
      <c r="F53" s="50">
        <v>5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19</v>
      </c>
      <c r="N53" s="50">
        <v>0</v>
      </c>
      <c r="O53" s="17">
        <f t="shared" si="0"/>
        <v>11</v>
      </c>
      <c r="P53" s="17">
        <f t="shared" si="1"/>
        <v>30</v>
      </c>
      <c r="R53" s="19"/>
      <c r="S53" s="19"/>
      <c r="T53"/>
    </row>
    <row r="54" spans="2:20" ht="23.1" customHeight="1" x14ac:dyDescent="0.25">
      <c r="B54" s="45" t="s">
        <v>81</v>
      </c>
      <c r="C54" s="50">
        <v>2</v>
      </c>
      <c r="D54" s="50">
        <v>1</v>
      </c>
      <c r="E54" s="50">
        <v>0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7">
        <f t="shared" si="0"/>
        <v>6</v>
      </c>
      <c r="P54" s="17">
        <f t="shared" si="1"/>
        <v>21</v>
      </c>
      <c r="R54" s="19"/>
      <c r="S54" s="19"/>
      <c r="T54"/>
    </row>
    <row r="55" spans="2:20" ht="23.1" customHeight="1" x14ac:dyDescent="0.25">
      <c r="B55" s="45" t="s">
        <v>82</v>
      </c>
      <c r="C55" s="50">
        <v>6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21</v>
      </c>
      <c r="N55" s="50">
        <v>0</v>
      </c>
      <c r="O55" s="17">
        <f t="shared" si="0"/>
        <v>13</v>
      </c>
      <c r="P55" s="17">
        <f t="shared" si="1"/>
        <v>34</v>
      </c>
      <c r="R55" s="19"/>
      <c r="S55" s="19"/>
      <c r="T55"/>
    </row>
    <row r="56" spans="2:20" ht="23.1" customHeight="1" x14ac:dyDescent="0.25">
      <c r="B56" s="45" t="s">
        <v>83</v>
      </c>
      <c r="C56" s="50">
        <v>8</v>
      </c>
      <c r="D56" s="50">
        <v>1</v>
      </c>
      <c r="E56" s="50">
        <v>1</v>
      </c>
      <c r="F56" s="50">
        <v>6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7">
        <f t="shared" si="0"/>
        <v>17</v>
      </c>
      <c r="P56" s="17">
        <f t="shared" si="1"/>
        <v>38</v>
      </c>
      <c r="R56" s="19"/>
      <c r="S56" s="19"/>
      <c r="T56"/>
    </row>
    <row r="57" spans="2:20" ht="23.1" customHeight="1" x14ac:dyDescent="0.25">
      <c r="B57" s="45" t="s">
        <v>84</v>
      </c>
      <c r="C57" s="50">
        <v>6</v>
      </c>
      <c r="D57" s="50">
        <v>2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35</v>
      </c>
      <c r="N57" s="50">
        <v>0</v>
      </c>
      <c r="O57" s="17">
        <f t="shared" si="0"/>
        <v>13</v>
      </c>
      <c r="P57" s="17">
        <f t="shared" si="1"/>
        <v>48</v>
      </c>
      <c r="R57" s="19"/>
      <c r="S57" s="19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1</v>
      </c>
      <c r="F58" s="50">
        <v>3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30</v>
      </c>
      <c r="N58" s="50">
        <v>0</v>
      </c>
      <c r="O58" s="17">
        <f t="shared" si="0"/>
        <v>8</v>
      </c>
      <c r="P58" s="17">
        <f t="shared" si="1"/>
        <v>38</v>
      </c>
      <c r="R58" s="19"/>
      <c r="S58" s="19"/>
      <c r="T58"/>
    </row>
    <row r="59" spans="2:20" ht="23.1" customHeight="1" x14ac:dyDescent="0.25">
      <c r="B59" s="45" t="s">
        <v>100</v>
      </c>
      <c r="C59" s="50">
        <v>4</v>
      </c>
      <c r="D59" s="50">
        <v>1</v>
      </c>
      <c r="E59" s="50">
        <v>2</v>
      </c>
      <c r="F59" s="50">
        <v>4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40</v>
      </c>
      <c r="N59" s="50">
        <v>0</v>
      </c>
      <c r="O59" s="17">
        <f t="shared" si="0"/>
        <v>14</v>
      </c>
      <c r="P59" s="17">
        <f t="shared" si="1"/>
        <v>54</v>
      </c>
      <c r="R59" s="19"/>
      <c r="S59" s="19"/>
      <c r="T59"/>
    </row>
    <row r="60" spans="2:20" ht="23.1" customHeight="1" x14ac:dyDescent="0.25">
      <c r="B60" s="45" t="s">
        <v>101</v>
      </c>
      <c r="C60" s="50">
        <v>6</v>
      </c>
      <c r="D60" s="50">
        <v>3</v>
      </c>
      <c r="E60" s="50">
        <v>0</v>
      </c>
      <c r="F60" s="50">
        <v>3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45</v>
      </c>
      <c r="N60" s="50">
        <v>0</v>
      </c>
      <c r="O60" s="17">
        <f t="shared" si="0"/>
        <v>12</v>
      </c>
      <c r="P60" s="17">
        <f t="shared" si="1"/>
        <v>57</v>
      </c>
      <c r="R60" s="19"/>
      <c r="S60" s="19"/>
      <c r="T60"/>
    </row>
    <row r="61" spans="2:20" ht="23.1" customHeight="1" x14ac:dyDescent="0.25">
      <c r="B61" s="45" t="s">
        <v>102</v>
      </c>
      <c r="C61" s="50">
        <v>5</v>
      </c>
      <c r="D61" s="50">
        <v>1</v>
      </c>
      <c r="E61" s="50">
        <v>4</v>
      </c>
      <c r="F61" s="50">
        <v>2</v>
      </c>
      <c r="G61" s="50">
        <v>0</v>
      </c>
      <c r="H61" s="50">
        <v>0</v>
      </c>
      <c r="I61" s="50">
        <v>0</v>
      </c>
      <c r="J61" s="50">
        <v>2</v>
      </c>
      <c r="K61" s="50">
        <v>0</v>
      </c>
      <c r="L61" s="50">
        <v>0</v>
      </c>
      <c r="M61" s="50">
        <v>55</v>
      </c>
      <c r="N61" s="50">
        <v>0</v>
      </c>
      <c r="O61" s="17">
        <f t="shared" si="0"/>
        <v>14</v>
      </c>
      <c r="P61" s="17">
        <f t="shared" si="1"/>
        <v>69</v>
      </c>
      <c r="R61" s="19"/>
      <c r="S61" s="19"/>
      <c r="T61"/>
    </row>
    <row r="62" spans="2:20" ht="23.1" customHeight="1" x14ac:dyDescent="0.25">
      <c r="B62" s="45" t="s">
        <v>107</v>
      </c>
      <c r="C62" s="50">
        <v>4</v>
      </c>
      <c r="D62" s="50">
        <v>0</v>
      </c>
      <c r="E62" s="50">
        <v>1</v>
      </c>
      <c r="F62" s="50">
        <v>2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48</v>
      </c>
      <c r="N62" s="50">
        <v>0</v>
      </c>
      <c r="O62" s="17">
        <f t="shared" si="0"/>
        <v>10</v>
      </c>
      <c r="P62" s="17">
        <f t="shared" si="1"/>
        <v>58</v>
      </c>
      <c r="R62" s="19"/>
      <c r="S62" s="19"/>
      <c r="T62"/>
    </row>
    <row r="63" spans="2:20" ht="23.1" customHeight="1" x14ac:dyDescent="0.25">
      <c r="B63" s="45" t="s">
        <v>108</v>
      </c>
      <c r="C63" s="50">
        <v>6</v>
      </c>
      <c r="D63" s="50">
        <v>4</v>
      </c>
      <c r="E63" s="50">
        <v>0</v>
      </c>
      <c r="F63" s="50">
        <v>3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52</v>
      </c>
      <c r="N63" s="50">
        <v>0</v>
      </c>
      <c r="O63" s="17">
        <f t="shared" si="0"/>
        <v>15</v>
      </c>
      <c r="P63" s="17">
        <f t="shared" si="1"/>
        <v>67</v>
      </c>
      <c r="R63" s="19"/>
      <c r="S63" s="19"/>
      <c r="T63"/>
    </row>
    <row r="64" spans="2:20" ht="23.1" customHeight="1" x14ac:dyDescent="0.25">
      <c r="B64" s="45" t="s">
        <v>109</v>
      </c>
      <c r="C64" s="50">
        <v>4</v>
      </c>
      <c r="D64" s="50">
        <v>0</v>
      </c>
      <c r="E64" s="50">
        <v>0</v>
      </c>
      <c r="F64" s="50">
        <v>4</v>
      </c>
      <c r="G64" s="50">
        <v>0</v>
      </c>
      <c r="H64" s="50">
        <v>0</v>
      </c>
      <c r="I64" s="50">
        <v>0</v>
      </c>
      <c r="J64" s="50">
        <v>2</v>
      </c>
      <c r="K64" s="50">
        <v>0</v>
      </c>
      <c r="L64" s="50">
        <v>0</v>
      </c>
      <c r="M64" s="50">
        <v>50</v>
      </c>
      <c r="N64" s="50">
        <v>0</v>
      </c>
      <c r="O64" s="17">
        <f t="shared" si="0"/>
        <v>10</v>
      </c>
      <c r="P64" s="17">
        <f t="shared" si="1"/>
        <v>60</v>
      </c>
      <c r="R64" s="19"/>
      <c r="S64" s="19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1</v>
      </c>
      <c r="F65" s="50">
        <v>3</v>
      </c>
      <c r="G65" s="50">
        <v>0</v>
      </c>
      <c r="H65" s="50">
        <v>0</v>
      </c>
      <c r="I65" s="50">
        <v>2</v>
      </c>
      <c r="J65" s="50">
        <v>1</v>
      </c>
      <c r="K65" s="50">
        <v>0</v>
      </c>
      <c r="L65" s="50">
        <v>0</v>
      </c>
      <c r="M65" s="50">
        <v>38</v>
      </c>
      <c r="N65" s="50">
        <v>0</v>
      </c>
      <c r="O65" s="17">
        <f t="shared" si="0"/>
        <v>10</v>
      </c>
      <c r="P65" s="17">
        <f t="shared" si="1"/>
        <v>48</v>
      </c>
      <c r="R65" s="19"/>
      <c r="S65" s="19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0</v>
      </c>
      <c r="F66" s="50">
        <v>2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51</v>
      </c>
      <c r="N66" s="50">
        <v>0</v>
      </c>
      <c r="O66" s="17">
        <f t="shared" si="0"/>
        <v>6</v>
      </c>
      <c r="P66" s="17">
        <f t="shared" si="1"/>
        <v>57</v>
      </c>
      <c r="R66" s="19"/>
      <c r="S66" s="19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55</v>
      </c>
      <c r="N67" s="50">
        <v>0</v>
      </c>
      <c r="O67" s="17">
        <f t="shared" si="0"/>
        <v>6</v>
      </c>
      <c r="P67" s="17">
        <f t="shared" si="1"/>
        <v>61</v>
      </c>
      <c r="R67" s="19"/>
      <c r="S67" s="19"/>
      <c r="T67"/>
    </row>
    <row r="68" spans="2:20" ht="23.1" customHeight="1" x14ac:dyDescent="0.25">
      <c r="B68" s="45" t="s">
        <v>105</v>
      </c>
      <c r="C68" s="50">
        <v>3</v>
      </c>
      <c r="D68" s="50">
        <v>1</v>
      </c>
      <c r="E68" s="50">
        <v>0</v>
      </c>
      <c r="F68" s="50">
        <v>3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48</v>
      </c>
      <c r="N68" s="50">
        <v>0</v>
      </c>
      <c r="O68" s="17">
        <f t="shared" si="0"/>
        <v>9</v>
      </c>
      <c r="P68" s="17">
        <f t="shared" si="1"/>
        <v>57</v>
      </c>
      <c r="R68" s="19"/>
      <c r="S68" s="19"/>
      <c r="T68"/>
    </row>
    <row r="69" spans="2:20" ht="23.1" customHeight="1" x14ac:dyDescent="0.25">
      <c r="B69" s="45" t="s">
        <v>106</v>
      </c>
      <c r="C69" s="50">
        <v>4</v>
      </c>
      <c r="D69" s="50">
        <v>1</v>
      </c>
      <c r="E69" s="50">
        <v>0</v>
      </c>
      <c r="F69" s="50">
        <v>4</v>
      </c>
      <c r="G69" s="50">
        <v>0</v>
      </c>
      <c r="H69" s="50">
        <v>0</v>
      </c>
      <c r="I69" s="50">
        <v>1</v>
      </c>
      <c r="J69" s="50">
        <v>1</v>
      </c>
      <c r="K69" s="50">
        <v>0</v>
      </c>
      <c r="L69" s="50">
        <v>0</v>
      </c>
      <c r="M69" s="50">
        <v>43</v>
      </c>
      <c r="N69" s="50">
        <v>0</v>
      </c>
      <c r="O69" s="17">
        <f t="shared" si="0"/>
        <v>11</v>
      </c>
      <c r="P69" s="17">
        <f t="shared" si="1"/>
        <v>54</v>
      </c>
      <c r="R69" s="19"/>
      <c r="S69" s="19"/>
      <c r="T69"/>
    </row>
    <row r="70" spans="2:20" ht="23.1" customHeight="1" x14ac:dyDescent="0.25">
      <c r="B70" s="45" t="s">
        <v>110</v>
      </c>
      <c r="C70" s="50">
        <v>6</v>
      </c>
      <c r="D70" s="50">
        <v>1</v>
      </c>
      <c r="E70" s="50">
        <v>0</v>
      </c>
      <c r="F70" s="50">
        <v>3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48</v>
      </c>
      <c r="N70" s="50">
        <v>0</v>
      </c>
      <c r="O70" s="17">
        <f t="shared" si="0"/>
        <v>12</v>
      </c>
      <c r="P70" s="17">
        <f t="shared" si="1"/>
        <v>60</v>
      </c>
      <c r="R70" s="19"/>
      <c r="S70" s="19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3</v>
      </c>
      <c r="J71" s="50">
        <v>1</v>
      </c>
      <c r="K71" s="50">
        <v>0</v>
      </c>
      <c r="L71" s="50">
        <v>0</v>
      </c>
      <c r="M71" s="50">
        <v>55</v>
      </c>
      <c r="N71" s="50">
        <v>0</v>
      </c>
      <c r="O71" s="17">
        <f t="shared" si="0"/>
        <v>8</v>
      </c>
      <c r="P71" s="17">
        <f t="shared" si="1"/>
        <v>63</v>
      </c>
      <c r="R71" s="19"/>
      <c r="S71" s="19"/>
      <c r="T71"/>
    </row>
    <row r="72" spans="2:20" ht="23.1" customHeight="1" x14ac:dyDescent="0.25">
      <c r="B72" s="45" t="s">
        <v>112</v>
      </c>
      <c r="C72" s="50">
        <v>8</v>
      </c>
      <c r="D72" s="50">
        <v>2</v>
      </c>
      <c r="E72" s="50">
        <v>0</v>
      </c>
      <c r="F72" s="50">
        <v>2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45</v>
      </c>
      <c r="N72" s="50">
        <v>0</v>
      </c>
      <c r="O72" s="17">
        <f t="shared" si="0"/>
        <v>12</v>
      </c>
      <c r="P72" s="17">
        <f t="shared" si="1"/>
        <v>57</v>
      </c>
      <c r="R72" s="19"/>
      <c r="S72" s="19"/>
      <c r="T72"/>
    </row>
    <row r="73" spans="2:20" ht="23.1" customHeight="1" x14ac:dyDescent="0.25">
      <c r="B73" s="45" t="s">
        <v>113</v>
      </c>
      <c r="C73" s="50">
        <v>6</v>
      </c>
      <c r="D73" s="50">
        <v>1</v>
      </c>
      <c r="E73" s="50">
        <v>2</v>
      </c>
      <c r="F73" s="50">
        <v>1</v>
      </c>
      <c r="G73" s="50">
        <v>0</v>
      </c>
      <c r="H73" s="50">
        <v>0</v>
      </c>
      <c r="I73" s="50">
        <v>4</v>
      </c>
      <c r="J73" s="50">
        <v>0</v>
      </c>
      <c r="K73" s="50">
        <v>0</v>
      </c>
      <c r="L73" s="50">
        <v>0</v>
      </c>
      <c r="M73" s="50">
        <v>53</v>
      </c>
      <c r="N73" s="50">
        <v>0</v>
      </c>
      <c r="O73" s="17">
        <f t="shared" si="0"/>
        <v>14</v>
      </c>
      <c r="P73" s="17">
        <f t="shared" si="1"/>
        <v>67</v>
      </c>
      <c r="R73" s="19"/>
      <c r="S73" s="19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0</v>
      </c>
      <c r="F74" s="50">
        <v>3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40</v>
      </c>
      <c r="N74" s="50">
        <v>0</v>
      </c>
      <c r="O74" s="17">
        <f t="shared" ref="O74:O105" si="35">SUM(C74:L74,N74)</f>
        <v>8</v>
      </c>
      <c r="P74" s="17">
        <f t="shared" ref="P74:P105" si="36">SUM(C74:N74)</f>
        <v>48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50</v>
      </c>
      <c r="N75" s="50">
        <v>0</v>
      </c>
      <c r="O75" s="17">
        <f t="shared" si="35"/>
        <v>7</v>
      </c>
      <c r="P75" s="17">
        <f t="shared" si="36"/>
        <v>57</v>
      </c>
      <c r="R75" s="19"/>
      <c r="S75" s="19"/>
      <c r="T75"/>
    </row>
    <row r="76" spans="2:20" ht="23.1" customHeight="1" x14ac:dyDescent="0.25">
      <c r="B76" s="45" t="s">
        <v>116</v>
      </c>
      <c r="C76" s="50">
        <v>6</v>
      </c>
      <c r="D76" s="50">
        <v>1</v>
      </c>
      <c r="E76" s="50">
        <v>0</v>
      </c>
      <c r="F76" s="50">
        <v>2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54</v>
      </c>
      <c r="N76" s="50">
        <v>0</v>
      </c>
      <c r="O76" s="17">
        <f t="shared" si="35"/>
        <v>10</v>
      </c>
      <c r="P76" s="17">
        <f t="shared" si="36"/>
        <v>64</v>
      </c>
      <c r="R76" s="19"/>
      <c r="S76" s="19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40</v>
      </c>
      <c r="N77" s="50">
        <v>0</v>
      </c>
      <c r="O77" s="17">
        <f t="shared" si="35"/>
        <v>6</v>
      </c>
      <c r="P77" s="17">
        <f t="shared" si="36"/>
        <v>46</v>
      </c>
      <c r="R77" s="19"/>
      <c r="S77" s="19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2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30</v>
      </c>
      <c r="N78" s="50">
        <v>0</v>
      </c>
      <c r="O78" s="17">
        <f t="shared" si="35"/>
        <v>4</v>
      </c>
      <c r="P78" s="17">
        <f t="shared" si="36"/>
        <v>34</v>
      </c>
      <c r="R78" s="19"/>
      <c r="S78" s="19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2</v>
      </c>
      <c r="F79" s="50">
        <v>1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40</v>
      </c>
      <c r="N79" s="50">
        <v>0</v>
      </c>
      <c r="O79" s="17">
        <f t="shared" si="35"/>
        <v>7</v>
      </c>
      <c r="P79" s="17">
        <f t="shared" si="36"/>
        <v>47</v>
      </c>
      <c r="R79" s="19"/>
      <c r="S79" s="19"/>
      <c r="T79"/>
    </row>
    <row r="80" spans="2:20" ht="23.1" customHeight="1" x14ac:dyDescent="0.25">
      <c r="B80" s="47" t="s">
        <v>120</v>
      </c>
      <c r="C80" s="50">
        <v>3</v>
      </c>
      <c r="D80" s="50">
        <v>2</v>
      </c>
      <c r="E80" s="50">
        <v>0</v>
      </c>
      <c r="F80" s="50">
        <v>3</v>
      </c>
      <c r="G80" s="50">
        <v>1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32</v>
      </c>
      <c r="N80" s="50">
        <v>0</v>
      </c>
      <c r="O80" s="17">
        <f t="shared" si="35"/>
        <v>10</v>
      </c>
      <c r="P80" s="17">
        <f t="shared" si="36"/>
        <v>42</v>
      </c>
      <c r="R80" s="19"/>
      <c r="S80" s="19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2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27</v>
      </c>
      <c r="N81" s="50">
        <v>0</v>
      </c>
      <c r="O81" s="17">
        <f t="shared" si="35"/>
        <v>5</v>
      </c>
      <c r="P81" s="17">
        <f t="shared" si="36"/>
        <v>32</v>
      </c>
      <c r="R81" s="19"/>
      <c r="S81" s="19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0</v>
      </c>
      <c r="M82" s="50">
        <v>24</v>
      </c>
      <c r="N82" s="50">
        <v>0</v>
      </c>
      <c r="O82" s="17">
        <f t="shared" si="35"/>
        <v>4</v>
      </c>
      <c r="P82" s="17">
        <f t="shared" si="36"/>
        <v>28</v>
      </c>
      <c r="R82" s="19"/>
      <c r="S82" s="19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28</v>
      </c>
      <c r="N83" s="50">
        <v>0</v>
      </c>
      <c r="O83" s="17">
        <f t="shared" si="35"/>
        <v>5</v>
      </c>
      <c r="P83" s="17">
        <f t="shared" si="36"/>
        <v>33</v>
      </c>
      <c r="R83" s="19"/>
      <c r="S83" s="19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3</v>
      </c>
      <c r="G84" s="50">
        <v>0</v>
      </c>
      <c r="H84" s="50">
        <v>0</v>
      </c>
      <c r="I84" s="50">
        <v>0</v>
      </c>
      <c r="J84" s="50">
        <v>2</v>
      </c>
      <c r="K84" s="50">
        <v>0</v>
      </c>
      <c r="L84" s="50">
        <v>0</v>
      </c>
      <c r="M84" s="50">
        <v>20</v>
      </c>
      <c r="N84" s="50">
        <v>0</v>
      </c>
      <c r="O84" s="17">
        <f t="shared" si="35"/>
        <v>6</v>
      </c>
      <c r="P84" s="17">
        <f t="shared" si="36"/>
        <v>26</v>
      </c>
      <c r="R84" s="19"/>
      <c r="S84" s="19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0</v>
      </c>
      <c r="M85" s="50">
        <v>27</v>
      </c>
      <c r="N85" s="50">
        <v>0</v>
      </c>
      <c r="O85" s="17">
        <f t="shared" si="35"/>
        <v>3</v>
      </c>
      <c r="P85" s="17">
        <f t="shared" si="36"/>
        <v>30</v>
      </c>
      <c r="R85" s="19"/>
      <c r="S85" s="19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15</v>
      </c>
      <c r="N86" s="50">
        <v>0</v>
      </c>
      <c r="O86" s="17">
        <f t="shared" si="35"/>
        <v>2</v>
      </c>
      <c r="P86" s="17">
        <f t="shared" si="36"/>
        <v>17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22</v>
      </c>
      <c r="N87" s="50">
        <v>0</v>
      </c>
      <c r="O87" s="17">
        <f t="shared" si="35"/>
        <v>1</v>
      </c>
      <c r="P87" s="17">
        <f t="shared" si="36"/>
        <v>23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14</v>
      </c>
      <c r="N88" s="50">
        <v>0</v>
      </c>
      <c r="O88" s="17">
        <f t="shared" si="35"/>
        <v>2</v>
      </c>
      <c r="P88" s="17">
        <f t="shared" si="36"/>
        <v>16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18</v>
      </c>
      <c r="N89" s="50">
        <v>0</v>
      </c>
      <c r="O89" s="17">
        <f t="shared" si="35"/>
        <v>0</v>
      </c>
      <c r="P89" s="17">
        <f t="shared" si="36"/>
        <v>18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0</v>
      </c>
      <c r="M90" s="50">
        <v>13</v>
      </c>
      <c r="N90" s="50">
        <v>0</v>
      </c>
      <c r="O90" s="17">
        <f t="shared" si="35"/>
        <v>3</v>
      </c>
      <c r="P90" s="17">
        <f t="shared" si="36"/>
        <v>16</v>
      </c>
      <c r="R90" s="19"/>
      <c r="S90" s="19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11</v>
      </c>
      <c r="N91" s="50">
        <v>0</v>
      </c>
      <c r="O91" s="17">
        <f t="shared" si="35"/>
        <v>4</v>
      </c>
      <c r="P91" s="17">
        <f t="shared" si="36"/>
        <v>15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20</v>
      </c>
      <c r="N92" s="50">
        <v>0</v>
      </c>
      <c r="O92" s="17">
        <f t="shared" si="35"/>
        <v>0</v>
      </c>
      <c r="P92" s="17">
        <f t="shared" si="36"/>
        <v>20</v>
      </c>
      <c r="R92" s="19"/>
      <c r="S92" s="19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2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22</v>
      </c>
      <c r="N93" s="50">
        <v>0</v>
      </c>
      <c r="O93" s="17">
        <f t="shared" si="35"/>
        <v>4</v>
      </c>
      <c r="P93" s="17">
        <f t="shared" si="36"/>
        <v>26</v>
      </c>
      <c r="R93" s="19"/>
      <c r="S93" s="19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27</v>
      </c>
      <c r="N94" s="50">
        <v>0</v>
      </c>
      <c r="O94" s="17">
        <f t="shared" si="35"/>
        <v>6</v>
      </c>
      <c r="P94" s="17">
        <f t="shared" si="36"/>
        <v>33</v>
      </c>
      <c r="R94" s="19"/>
      <c r="S94" s="19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23</v>
      </c>
      <c r="N95" s="50">
        <v>0</v>
      </c>
      <c r="O95" s="17">
        <f t="shared" si="35"/>
        <v>4</v>
      </c>
      <c r="P95" s="17">
        <f t="shared" si="36"/>
        <v>27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19</v>
      </c>
      <c r="N96" s="50">
        <v>0</v>
      </c>
      <c r="O96" s="17">
        <f t="shared" si="35"/>
        <v>2</v>
      </c>
      <c r="P96" s="17">
        <f t="shared" si="36"/>
        <v>21</v>
      </c>
      <c r="R96" s="19"/>
      <c r="S96" s="19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3</v>
      </c>
      <c r="G97" s="50">
        <v>0</v>
      </c>
      <c r="H97" s="50">
        <v>0</v>
      </c>
      <c r="I97" s="50">
        <v>3</v>
      </c>
      <c r="J97" s="50">
        <v>1</v>
      </c>
      <c r="K97" s="50">
        <v>0</v>
      </c>
      <c r="L97" s="50">
        <v>0</v>
      </c>
      <c r="M97" s="50">
        <v>25</v>
      </c>
      <c r="N97" s="50">
        <v>0</v>
      </c>
      <c r="O97" s="17">
        <f t="shared" si="35"/>
        <v>9</v>
      </c>
      <c r="P97" s="17">
        <f t="shared" si="36"/>
        <v>34</v>
      </c>
      <c r="R97" s="19"/>
      <c r="S97" s="19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1</v>
      </c>
      <c r="F98" s="50">
        <v>3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30</v>
      </c>
      <c r="N98" s="50">
        <v>0</v>
      </c>
      <c r="O98" s="17">
        <f t="shared" si="35"/>
        <v>7</v>
      </c>
      <c r="P98" s="17">
        <f t="shared" si="36"/>
        <v>37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0</v>
      </c>
      <c r="F99" s="50">
        <v>4</v>
      </c>
      <c r="G99" s="50">
        <v>0</v>
      </c>
      <c r="H99" s="50">
        <v>0</v>
      </c>
      <c r="I99" s="50">
        <v>0</v>
      </c>
      <c r="J99" s="50">
        <v>3</v>
      </c>
      <c r="K99" s="50">
        <v>0</v>
      </c>
      <c r="L99" s="50">
        <v>0</v>
      </c>
      <c r="M99" s="50">
        <v>28</v>
      </c>
      <c r="N99" s="50">
        <v>0</v>
      </c>
      <c r="O99" s="17">
        <f t="shared" si="35"/>
        <v>8</v>
      </c>
      <c r="P99" s="17">
        <f t="shared" si="36"/>
        <v>36</v>
      </c>
      <c r="R99" s="19"/>
      <c r="S99" s="19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1</v>
      </c>
      <c r="F100" s="50">
        <v>2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32</v>
      </c>
      <c r="N100" s="50">
        <v>0</v>
      </c>
      <c r="O100" s="17">
        <f t="shared" si="35"/>
        <v>7</v>
      </c>
      <c r="P100" s="17">
        <f t="shared" si="36"/>
        <v>39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2</v>
      </c>
      <c r="D101" s="50">
        <v>2</v>
      </c>
      <c r="E101" s="50">
        <v>1</v>
      </c>
      <c r="F101" s="50">
        <v>6</v>
      </c>
      <c r="G101" s="50">
        <v>0</v>
      </c>
      <c r="H101" s="50">
        <v>0</v>
      </c>
      <c r="I101" s="50">
        <v>3</v>
      </c>
      <c r="J101" s="50">
        <v>2</v>
      </c>
      <c r="K101" s="50">
        <v>0</v>
      </c>
      <c r="L101" s="50">
        <v>0</v>
      </c>
      <c r="M101" s="50">
        <v>37</v>
      </c>
      <c r="N101" s="50">
        <v>0</v>
      </c>
      <c r="O101" s="17">
        <f t="shared" si="35"/>
        <v>16</v>
      </c>
      <c r="P101" s="17">
        <f t="shared" si="36"/>
        <v>53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6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39</v>
      </c>
      <c r="N102" s="50">
        <v>0</v>
      </c>
      <c r="O102" s="17">
        <f t="shared" si="35"/>
        <v>9</v>
      </c>
      <c r="P102" s="17">
        <f t="shared" si="36"/>
        <v>48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5</v>
      </c>
      <c r="G103" s="50">
        <v>0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43</v>
      </c>
      <c r="N103" s="50">
        <v>0</v>
      </c>
      <c r="O103" s="17">
        <f t="shared" si="35"/>
        <v>9</v>
      </c>
      <c r="P103" s="17">
        <f t="shared" si="36"/>
        <v>52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2</v>
      </c>
      <c r="F104" s="50">
        <v>4</v>
      </c>
      <c r="G104" s="50">
        <v>0</v>
      </c>
      <c r="H104" s="50">
        <v>0</v>
      </c>
      <c r="I104" s="50">
        <v>3</v>
      </c>
      <c r="J104" s="50">
        <v>1</v>
      </c>
      <c r="K104" s="50">
        <v>0</v>
      </c>
      <c r="L104" s="50">
        <v>0</v>
      </c>
      <c r="M104" s="50">
        <v>49</v>
      </c>
      <c r="N104" s="50">
        <v>0</v>
      </c>
      <c r="O104" s="17">
        <f t="shared" si="35"/>
        <v>13</v>
      </c>
      <c r="P104" s="17">
        <f t="shared" si="36"/>
        <v>62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5</v>
      </c>
      <c r="D105" s="50">
        <v>2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2</v>
      </c>
      <c r="K105" s="50">
        <v>0</v>
      </c>
      <c r="L105" s="50">
        <v>0</v>
      </c>
      <c r="M105" s="50">
        <v>45</v>
      </c>
      <c r="N105" s="50">
        <v>0</v>
      </c>
      <c r="O105" s="17">
        <f t="shared" si="35"/>
        <v>13</v>
      </c>
      <c r="P105" s="17">
        <f t="shared" si="36"/>
        <v>58</v>
      </c>
      <c r="R105" s="19"/>
      <c r="S105" s="19"/>
      <c r="T105"/>
    </row>
    <row r="106" spans="2:20" ht="23.1" customHeight="1" x14ac:dyDescent="0.25">
      <c r="B106" s="54" t="s">
        <v>18</v>
      </c>
      <c r="C106" s="16">
        <f>SUM(C10:C105)</f>
        <v>320</v>
      </c>
      <c r="D106" s="16">
        <f t="shared" ref="D106:P106" si="37">SUM(D10:D105)</f>
        <v>60</v>
      </c>
      <c r="E106" s="16">
        <f t="shared" si="37"/>
        <v>42</v>
      </c>
      <c r="F106" s="16">
        <f t="shared" si="37"/>
        <v>224</v>
      </c>
      <c r="G106" s="16">
        <f t="shared" si="37"/>
        <v>6</v>
      </c>
      <c r="H106" s="16">
        <f t="shared" si="37"/>
        <v>1</v>
      </c>
      <c r="I106" s="16">
        <f t="shared" si="37"/>
        <v>125</v>
      </c>
      <c r="J106" s="16">
        <f t="shared" si="37"/>
        <v>65</v>
      </c>
      <c r="K106" s="16">
        <f t="shared" si="37"/>
        <v>21</v>
      </c>
      <c r="L106" s="16">
        <f t="shared" si="37"/>
        <v>0</v>
      </c>
      <c r="M106" s="16">
        <f t="shared" si="37"/>
        <v>3483</v>
      </c>
      <c r="N106" s="16">
        <f t="shared" si="37"/>
        <v>0</v>
      </c>
      <c r="O106" s="16">
        <f t="shared" si="37"/>
        <v>864</v>
      </c>
      <c r="P106" s="16">
        <f t="shared" si="37"/>
        <v>4347</v>
      </c>
      <c r="R106" s="19"/>
      <c r="S106" s="19"/>
      <c r="T106"/>
    </row>
    <row r="107" spans="2:20" ht="23.1" customHeight="1" x14ac:dyDescent="0.25">
      <c r="B107" s="54" t="s">
        <v>93</v>
      </c>
      <c r="C107" s="43">
        <f t="shared" ref="C107:N107" si="38">C106/$P$106</f>
        <v>7.3613986657464922E-2</v>
      </c>
      <c r="D107" s="43">
        <f t="shared" si="38"/>
        <v>1.3802622498274672E-2</v>
      </c>
      <c r="E107" s="43">
        <f t="shared" si="38"/>
        <v>9.6618357487922701E-3</v>
      </c>
      <c r="F107" s="43">
        <f t="shared" si="38"/>
        <v>5.1529790660225443E-2</v>
      </c>
      <c r="G107" s="43">
        <f t="shared" si="38"/>
        <v>1.3802622498274672E-3</v>
      </c>
      <c r="H107" s="43">
        <f t="shared" si="38"/>
        <v>2.3004370830457787E-4</v>
      </c>
      <c r="I107" s="43">
        <f t="shared" si="38"/>
        <v>2.8755463538072235E-2</v>
      </c>
      <c r="J107" s="43">
        <f t="shared" si="38"/>
        <v>1.4952841039797561E-2</v>
      </c>
      <c r="K107" s="43">
        <f t="shared" si="38"/>
        <v>4.830917874396135E-3</v>
      </c>
      <c r="L107" s="43">
        <f t="shared" si="38"/>
        <v>0</v>
      </c>
      <c r="M107" s="43">
        <f t="shared" si="38"/>
        <v>0.80124223602484468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5" t="s">
        <v>94</v>
      </c>
      <c r="C108" s="44">
        <f>C106/$O$106</f>
        <v>0.37037037037037035</v>
      </c>
      <c r="D108" s="44">
        <f t="shared" ref="D108:N108" si="39">D106/$O$106</f>
        <v>6.9444444444444448E-2</v>
      </c>
      <c r="E108" s="44">
        <f t="shared" si="39"/>
        <v>4.8611111111111112E-2</v>
      </c>
      <c r="F108" s="44">
        <f t="shared" si="39"/>
        <v>0.25925925925925924</v>
      </c>
      <c r="G108" s="44">
        <f t="shared" si="39"/>
        <v>6.9444444444444441E-3</v>
      </c>
      <c r="H108" s="44">
        <f t="shared" si="39"/>
        <v>1.1574074074074073E-3</v>
      </c>
      <c r="I108" s="44">
        <f t="shared" si="39"/>
        <v>0.14467592592592593</v>
      </c>
      <c r="J108" s="44">
        <f t="shared" si="39"/>
        <v>7.5231481481481483E-2</v>
      </c>
      <c r="K108" s="44">
        <f t="shared" si="39"/>
        <v>2.4305555555555556E-2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18:20" ht="23.1" customHeight="1" x14ac:dyDescent="0.25">
      <c r="R129"/>
      <c r="S129" s="19"/>
      <c r="T129" s="19"/>
    </row>
    <row r="130" spans="18:20" ht="23.1" customHeight="1" x14ac:dyDescent="0.25">
      <c r="R130"/>
      <c r="S130" s="19"/>
      <c r="T130" s="19"/>
    </row>
    <row r="131" spans="18:20" ht="23.1" customHeight="1" x14ac:dyDescent="0.25">
      <c r="R131"/>
      <c r="S131" s="19"/>
      <c r="T131" s="19"/>
    </row>
    <row r="132" spans="18:20" ht="23.1" customHeight="1" x14ac:dyDescent="0.25">
      <c r="R132"/>
      <c r="S132" s="19"/>
      <c r="T132" s="19"/>
    </row>
    <row r="133" spans="18:20" ht="23.1" customHeight="1" x14ac:dyDescent="0.25">
      <c r="R133"/>
      <c r="S133" s="19"/>
      <c r="T133" s="19"/>
    </row>
    <row r="134" spans="18:20" ht="23.1" customHeight="1" x14ac:dyDescent="0.25">
      <c r="R134"/>
      <c r="S134" s="19"/>
      <c r="T134" s="19"/>
    </row>
    <row r="135" spans="18:20" ht="23.1" customHeight="1" x14ac:dyDescent="0.25">
      <c r="R135"/>
      <c r="S135" s="19"/>
      <c r="T135" s="19"/>
    </row>
    <row r="136" spans="18:20" ht="23.1" customHeight="1" x14ac:dyDescent="0.25">
      <c r="R136"/>
      <c r="S136" s="19"/>
      <c r="T136" s="19"/>
    </row>
    <row r="137" spans="18:20" ht="23.1" customHeight="1" x14ac:dyDescent="0.25">
      <c r="R137"/>
      <c r="S137" s="19"/>
      <c r="T137" s="19"/>
    </row>
    <row r="138" spans="18:20" ht="23.1" customHeight="1" x14ac:dyDescent="0.25">
      <c r="R138"/>
      <c r="S138" s="19"/>
      <c r="T138" s="19"/>
    </row>
    <row r="139" spans="18:20" ht="23.1" customHeight="1" x14ac:dyDescent="0.25">
      <c r="R139"/>
      <c r="S139" s="19"/>
      <c r="T139" s="19"/>
    </row>
    <row r="140" spans="18:20" ht="23.1" customHeight="1" x14ac:dyDescent="0.25">
      <c r="R140"/>
      <c r="S140" s="19"/>
      <c r="T140" s="19"/>
    </row>
    <row r="141" spans="18:20" ht="23.1" customHeight="1" x14ac:dyDescent="0.25">
      <c r="R141"/>
      <c r="S141" s="19"/>
      <c r="T141" s="19"/>
    </row>
    <row r="142" spans="18:20" ht="23.1" customHeight="1" x14ac:dyDescent="0.25">
      <c r="R142"/>
      <c r="S142" s="19"/>
      <c r="T142" s="19"/>
    </row>
    <row r="143" spans="18:20" ht="23.1" customHeight="1" x14ac:dyDescent="0.25">
      <c r="R143"/>
      <c r="S143" s="19"/>
      <c r="T143" s="19"/>
    </row>
    <row r="144" spans="18:20" ht="23.1" customHeight="1" x14ac:dyDescent="0.25">
      <c r="R144"/>
      <c r="S144" s="19"/>
      <c r="T144" s="19"/>
    </row>
    <row r="145" spans="18:20" ht="23.1" customHeight="1" x14ac:dyDescent="0.25">
      <c r="R145"/>
      <c r="S145" s="19"/>
      <c r="T145" s="19"/>
    </row>
    <row r="146" spans="18:20" ht="23.1" customHeight="1" x14ac:dyDescent="0.25">
      <c r="R146"/>
      <c r="S146" s="19"/>
      <c r="T146" s="19"/>
    </row>
    <row r="147" spans="18:20" ht="23.1" customHeight="1" x14ac:dyDescent="0.25">
      <c r="R147"/>
      <c r="S147" s="19"/>
      <c r="T147" s="19"/>
    </row>
    <row r="148" spans="18:20" ht="23.1" customHeight="1" x14ac:dyDescent="0.25">
      <c r="R148"/>
      <c r="S148" s="19"/>
      <c r="T148" s="19"/>
    </row>
    <row r="149" spans="18:20" ht="23.1" customHeight="1" x14ac:dyDescent="0.25">
      <c r="R149"/>
      <c r="S149" s="19"/>
      <c r="T149" s="19"/>
    </row>
    <row r="150" spans="18:20" ht="23.1" customHeight="1" x14ac:dyDescent="0.25">
      <c r="R150"/>
      <c r="S150" s="19"/>
      <c r="T150" s="19"/>
    </row>
    <row r="151" spans="18:20" ht="23.1" customHeight="1" x14ac:dyDescent="0.25">
      <c r="R151"/>
      <c r="S151" s="19"/>
      <c r="T151" s="19"/>
    </row>
    <row r="152" spans="18:20" ht="23.1" customHeight="1" x14ac:dyDescent="0.25">
      <c r="R152"/>
      <c r="S152" s="19"/>
      <c r="T152" s="19"/>
    </row>
    <row r="153" spans="18:20" ht="23.1" customHeight="1" x14ac:dyDescent="0.25">
      <c r="R153"/>
      <c r="S153" s="19"/>
      <c r="T153" s="19"/>
    </row>
    <row r="154" spans="18:20" ht="23.1" customHeight="1" x14ac:dyDescent="0.25">
      <c r="R154"/>
      <c r="S154" s="19"/>
      <c r="T154" s="19"/>
    </row>
    <row r="155" spans="18:20" ht="23.1" customHeight="1" x14ac:dyDescent="0.25">
      <c r="R155"/>
      <c r="S155" s="19"/>
      <c r="T155" s="19"/>
    </row>
    <row r="156" spans="18:20" ht="23.1" customHeight="1" x14ac:dyDescent="0.25">
      <c r="R156"/>
      <c r="S156" s="19"/>
      <c r="T156" s="19"/>
    </row>
    <row r="157" spans="18:20" ht="23.1" customHeight="1" x14ac:dyDescent="0.25">
      <c r="R157"/>
      <c r="S157" s="19"/>
      <c r="T157" s="19"/>
    </row>
    <row r="158" spans="18:20" ht="23.1" customHeight="1" x14ac:dyDescent="0.25">
      <c r="R158"/>
      <c r="S158" s="19"/>
      <c r="T158" s="19"/>
    </row>
    <row r="159" spans="18:20" ht="23.1" customHeight="1" x14ac:dyDescent="0.25">
      <c r="R159"/>
      <c r="S159" s="19"/>
      <c r="T159" s="19"/>
    </row>
    <row r="160" spans="18:20" ht="23.1" customHeight="1" x14ac:dyDescent="0.25">
      <c r="R160"/>
      <c r="S160" s="19"/>
      <c r="T160" s="19"/>
    </row>
    <row r="161" spans="2:20" ht="23.1" customHeight="1" x14ac:dyDescent="0.25">
      <c r="R161"/>
      <c r="S161" s="19"/>
      <c r="T161" s="19"/>
    </row>
    <row r="162" spans="2:20" ht="23.1" customHeight="1" x14ac:dyDescent="0.25">
      <c r="R162"/>
      <c r="S162" s="19"/>
      <c r="T162" s="19"/>
    </row>
    <row r="163" spans="2:20" ht="23.1" customHeight="1" x14ac:dyDescent="0.25">
      <c r="R163"/>
      <c r="S163" s="19"/>
      <c r="T163" s="19"/>
    </row>
    <row r="164" spans="2:20" ht="23.1" customHeight="1" x14ac:dyDescent="0.25">
      <c r="R164"/>
      <c r="S164" s="19"/>
      <c r="T164" s="19"/>
    </row>
    <row r="165" spans="2:20" ht="23.1" customHeight="1" x14ac:dyDescent="0.25">
      <c r="R165"/>
      <c r="S165" s="19"/>
      <c r="T165" s="19"/>
    </row>
    <row r="166" spans="2:20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20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20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20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20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20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20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20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20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55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'[2]23.09.19-Kitemu-Buddo'!C3:G3</f>
        <v>MCC-C2-Kitemu -Buddo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'[2]28.09 Kitemu-Buddo-24h'!D5</f>
        <v>28.09.19</v>
      </c>
      <c r="F5" s="41" t="s">
        <v>1</v>
      </c>
      <c r="G5" s="69" t="str">
        <f>'[2]28.09 Kitemu-Buddo-24h'!G5:H5</f>
        <v>St Charles Lwanga PS</v>
      </c>
      <c r="H5" s="70"/>
      <c r="I5" s="14"/>
      <c r="J5" s="2" t="s">
        <v>5</v>
      </c>
      <c r="K5" s="69" t="s">
        <v>173</v>
      </c>
      <c r="L5" s="7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9" t="str">
        <f>'[2]23.09.19 -Buddo-Kitemu'!D6:E6</f>
        <v>BUDDO</v>
      </c>
      <c r="E6" s="70"/>
      <c r="F6" s="2" t="s">
        <v>2</v>
      </c>
      <c r="G6" s="69" t="str">
        <f>'[2]23.09.19 -Buddo-Kitemu'!G6:H6</f>
        <v>KITEMU</v>
      </c>
      <c r="H6" s="70"/>
      <c r="J6" s="2" t="s">
        <v>21</v>
      </c>
      <c r="K6" s="69" t="str">
        <f>'[2]28.09 Kitemu-Buddo-24h'!K6:L6</f>
        <v>Denis</v>
      </c>
      <c r="L6" s="7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1" t="s">
        <v>88</v>
      </c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0</v>
      </c>
      <c r="F10" s="50">
        <v>2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7">
        <f t="shared" ref="O10:O73" si="0">SUM(C10:L10,N10)</f>
        <v>8</v>
      </c>
      <c r="P10" s="17">
        <f t="shared" ref="P10:P73" si="1">SUM(C10:N10)</f>
        <v>38</v>
      </c>
      <c r="R10" s="1" t="s">
        <v>6</v>
      </c>
      <c r="S10" s="17">
        <f t="shared" ref="S10:AF10" si="2">SUM(C10:C13)</f>
        <v>23</v>
      </c>
      <c r="T10" s="17">
        <f t="shared" si="2"/>
        <v>4</v>
      </c>
      <c r="U10" s="17">
        <f t="shared" si="2"/>
        <v>1</v>
      </c>
      <c r="V10" s="17">
        <f t="shared" si="2"/>
        <v>13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200</v>
      </c>
      <c r="AD10" s="17">
        <f t="shared" si="2"/>
        <v>0</v>
      </c>
      <c r="AE10" s="31">
        <f t="shared" si="2"/>
        <v>46</v>
      </c>
      <c r="AF10" s="31">
        <f t="shared" si="2"/>
        <v>246</v>
      </c>
    </row>
    <row r="11" spans="2:32" s="6" customFormat="1" ht="23.1" customHeight="1" x14ac:dyDescent="0.25">
      <c r="B11" s="45" t="s">
        <v>38</v>
      </c>
      <c r="C11" s="50">
        <v>9</v>
      </c>
      <c r="D11" s="50">
        <v>0</v>
      </c>
      <c r="E11" s="50">
        <v>0</v>
      </c>
      <c r="F11" s="50">
        <v>7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41</v>
      </c>
      <c r="N11" s="50">
        <v>0</v>
      </c>
      <c r="O11" s="17">
        <f t="shared" si="0"/>
        <v>17</v>
      </c>
      <c r="P11" s="17">
        <f t="shared" si="1"/>
        <v>58</v>
      </c>
      <c r="R11" s="1" t="s">
        <v>7</v>
      </c>
      <c r="S11" s="17">
        <f t="shared" ref="S11:AF11" si="3">SUM(C14:C17)</f>
        <v>23</v>
      </c>
      <c r="T11" s="17">
        <f t="shared" si="3"/>
        <v>5</v>
      </c>
      <c r="U11" s="17">
        <f t="shared" si="3"/>
        <v>5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241</v>
      </c>
      <c r="AD11" s="17">
        <f t="shared" si="3"/>
        <v>0</v>
      </c>
      <c r="AE11" s="31">
        <f t="shared" si="3"/>
        <v>49</v>
      </c>
      <c r="AF11" s="31">
        <f t="shared" si="3"/>
        <v>290</v>
      </c>
    </row>
    <row r="12" spans="2:32" ht="23.1" customHeight="1" x14ac:dyDescent="0.25">
      <c r="B12" s="45" t="s">
        <v>39</v>
      </c>
      <c r="C12" s="50">
        <v>4</v>
      </c>
      <c r="D12" s="50">
        <v>2</v>
      </c>
      <c r="E12" s="50">
        <v>0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54</v>
      </c>
      <c r="N12" s="50">
        <v>0</v>
      </c>
      <c r="O12" s="17">
        <f t="shared" si="0"/>
        <v>11</v>
      </c>
      <c r="P12" s="17">
        <f t="shared" si="1"/>
        <v>65</v>
      </c>
      <c r="R12" s="1" t="s">
        <v>8</v>
      </c>
      <c r="S12" s="17">
        <f t="shared" ref="S12:AF12" si="4">SUM(C18:C21)</f>
        <v>30</v>
      </c>
      <c r="T12" s="17">
        <f t="shared" si="4"/>
        <v>4</v>
      </c>
      <c r="U12" s="17">
        <f t="shared" si="4"/>
        <v>9</v>
      </c>
      <c r="V12" s="17">
        <f t="shared" si="4"/>
        <v>11</v>
      </c>
      <c r="W12" s="17">
        <f t="shared" si="4"/>
        <v>2</v>
      </c>
      <c r="X12" s="17">
        <f t="shared" si="4"/>
        <v>0</v>
      </c>
      <c r="Y12" s="17">
        <f t="shared" si="4"/>
        <v>15</v>
      </c>
      <c r="Z12" s="17">
        <f t="shared" si="4"/>
        <v>2</v>
      </c>
      <c r="AA12" s="17">
        <f t="shared" si="4"/>
        <v>5</v>
      </c>
      <c r="AB12" s="17">
        <f t="shared" si="4"/>
        <v>0</v>
      </c>
      <c r="AC12" s="17">
        <f t="shared" si="4"/>
        <v>227</v>
      </c>
      <c r="AD12" s="17">
        <f t="shared" si="4"/>
        <v>0</v>
      </c>
      <c r="AE12" s="31">
        <f t="shared" si="4"/>
        <v>78</v>
      </c>
      <c r="AF12" s="31">
        <f t="shared" si="4"/>
        <v>305</v>
      </c>
    </row>
    <row r="13" spans="2:32" ht="23.1" customHeight="1" x14ac:dyDescent="0.25">
      <c r="B13" s="45" t="s">
        <v>40</v>
      </c>
      <c r="C13" s="50">
        <v>6</v>
      </c>
      <c r="D13" s="50">
        <v>2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75</v>
      </c>
      <c r="N13" s="50">
        <v>0</v>
      </c>
      <c r="O13" s="17">
        <f t="shared" si="0"/>
        <v>10</v>
      </c>
      <c r="P13" s="17">
        <f t="shared" si="1"/>
        <v>85</v>
      </c>
      <c r="R13" s="1" t="s">
        <v>9</v>
      </c>
      <c r="S13" s="17">
        <f t="shared" ref="S13:AF13" si="5">SUM(C22:C25)</f>
        <v>12</v>
      </c>
      <c r="T13" s="17">
        <f t="shared" si="5"/>
        <v>2</v>
      </c>
      <c r="U13" s="17">
        <f t="shared" si="5"/>
        <v>1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8</v>
      </c>
      <c r="Z13" s="17">
        <f t="shared" si="5"/>
        <v>6</v>
      </c>
      <c r="AA13" s="17">
        <f t="shared" si="5"/>
        <v>3</v>
      </c>
      <c r="AB13" s="17">
        <f t="shared" si="5"/>
        <v>0</v>
      </c>
      <c r="AC13" s="17">
        <f t="shared" si="5"/>
        <v>204</v>
      </c>
      <c r="AD13" s="17">
        <f t="shared" si="5"/>
        <v>0</v>
      </c>
      <c r="AE13" s="31">
        <f t="shared" si="5"/>
        <v>40</v>
      </c>
      <c r="AF13" s="31">
        <f t="shared" si="5"/>
        <v>244</v>
      </c>
    </row>
    <row r="14" spans="2:32" ht="23.1" customHeight="1" x14ac:dyDescent="0.25">
      <c r="B14" s="45" t="s">
        <v>41</v>
      </c>
      <c r="C14" s="50">
        <v>9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70</v>
      </c>
      <c r="N14" s="50">
        <v>0</v>
      </c>
      <c r="O14" s="17">
        <f t="shared" si="0"/>
        <v>13</v>
      </c>
      <c r="P14" s="17">
        <f t="shared" si="1"/>
        <v>83</v>
      </c>
      <c r="R14" s="1" t="s">
        <v>10</v>
      </c>
      <c r="S14" s="17">
        <f t="shared" ref="S14:AF14" si="6">SUM(C26:C29)</f>
        <v>24</v>
      </c>
      <c r="T14" s="17">
        <f t="shared" si="6"/>
        <v>5</v>
      </c>
      <c r="U14" s="17">
        <f t="shared" si="6"/>
        <v>2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4</v>
      </c>
      <c r="AA14" s="17">
        <f t="shared" si="6"/>
        <v>3</v>
      </c>
      <c r="AB14" s="17">
        <f t="shared" si="6"/>
        <v>0</v>
      </c>
      <c r="AC14" s="17">
        <f t="shared" si="6"/>
        <v>163</v>
      </c>
      <c r="AD14" s="17">
        <f t="shared" si="6"/>
        <v>0</v>
      </c>
      <c r="AE14" s="31">
        <f t="shared" si="6"/>
        <v>50</v>
      </c>
      <c r="AF14" s="31">
        <f t="shared" si="6"/>
        <v>213</v>
      </c>
    </row>
    <row r="15" spans="2:32" ht="23.1" customHeight="1" x14ac:dyDescent="0.25">
      <c r="B15" s="45" t="s">
        <v>42</v>
      </c>
      <c r="C15" s="50">
        <v>5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56</v>
      </c>
      <c r="N15" s="50">
        <v>0</v>
      </c>
      <c r="O15" s="17">
        <f t="shared" si="0"/>
        <v>10</v>
      </c>
      <c r="P15" s="17">
        <f t="shared" si="1"/>
        <v>66</v>
      </c>
      <c r="R15" s="1" t="s">
        <v>11</v>
      </c>
      <c r="S15" s="17">
        <f t="shared" ref="S15:AF15" si="7">SUM(C30:C33)</f>
        <v>16</v>
      </c>
      <c r="T15" s="17">
        <f t="shared" si="7"/>
        <v>4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158</v>
      </c>
      <c r="AD15" s="17">
        <f t="shared" si="7"/>
        <v>0</v>
      </c>
      <c r="AE15" s="31">
        <f t="shared" si="7"/>
        <v>25</v>
      </c>
      <c r="AF15" s="31">
        <f t="shared" si="7"/>
        <v>183</v>
      </c>
    </row>
    <row r="16" spans="2:32" ht="23.1" customHeight="1" x14ac:dyDescent="0.25">
      <c r="B16" s="45" t="s">
        <v>43</v>
      </c>
      <c r="C16" s="50">
        <v>8</v>
      </c>
      <c r="D16" s="50">
        <v>2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65</v>
      </c>
      <c r="N16" s="50">
        <v>0</v>
      </c>
      <c r="O16" s="17">
        <f t="shared" si="0"/>
        <v>13</v>
      </c>
      <c r="P16" s="17">
        <f t="shared" si="1"/>
        <v>78</v>
      </c>
      <c r="R16" s="1" t="s">
        <v>12</v>
      </c>
      <c r="S16" s="17">
        <f t="shared" ref="S16:AF16" si="8">SUM(C34:C37)</f>
        <v>18</v>
      </c>
      <c r="T16" s="17">
        <f t="shared" si="8"/>
        <v>2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121</v>
      </c>
      <c r="AD16" s="17">
        <f t="shared" si="8"/>
        <v>0</v>
      </c>
      <c r="AE16" s="31">
        <f t="shared" si="8"/>
        <v>37</v>
      </c>
      <c r="AF16" s="31">
        <f t="shared" si="8"/>
        <v>158</v>
      </c>
    </row>
    <row r="17" spans="2:32" ht="23.1" customHeight="1" x14ac:dyDescent="0.25">
      <c r="B17" s="45" t="s">
        <v>44</v>
      </c>
      <c r="C17" s="50">
        <v>1</v>
      </c>
      <c r="D17" s="50">
        <v>2</v>
      </c>
      <c r="E17" s="50">
        <v>3</v>
      </c>
      <c r="F17" s="50">
        <v>1</v>
      </c>
      <c r="G17" s="50">
        <v>1</v>
      </c>
      <c r="H17" s="50">
        <v>0</v>
      </c>
      <c r="I17" s="50">
        <v>4</v>
      </c>
      <c r="J17" s="50">
        <v>0</v>
      </c>
      <c r="K17" s="50">
        <v>1</v>
      </c>
      <c r="L17" s="50">
        <v>0</v>
      </c>
      <c r="M17" s="50">
        <v>50</v>
      </c>
      <c r="N17" s="50">
        <v>0</v>
      </c>
      <c r="O17" s="17">
        <f t="shared" si="0"/>
        <v>13</v>
      </c>
      <c r="P17" s="17">
        <f t="shared" si="1"/>
        <v>63</v>
      </c>
      <c r="R17" s="1" t="s">
        <v>13</v>
      </c>
      <c r="S17" s="17">
        <f t="shared" ref="S17:AF17" si="9">SUM(C38:C41)</f>
        <v>22</v>
      </c>
      <c r="T17" s="17">
        <f t="shared" si="9"/>
        <v>5</v>
      </c>
      <c r="U17" s="17">
        <f t="shared" si="9"/>
        <v>2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4</v>
      </c>
      <c r="AB17" s="17">
        <f t="shared" si="9"/>
        <v>0</v>
      </c>
      <c r="AC17" s="17">
        <f t="shared" si="9"/>
        <v>115</v>
      </c>
      <c r="AD17" s="17">
        <f t="shared" si="9"/>
        <v>0</v>
      </c>
      <c r="AE17" s="31">
        <f t="shared" si="9"/>
        <v>41</v>
      </c>
      <c r="AF17" s="31">
        <f t="shared" si="9"/>
        <v>156</v>
      </c>
    </row>
    <row r="18" spans="2:32" ht="23.1" customHeight="1" x14ac:dyDescent="0.25">
      <c r="B18" s="45" t="s">
        <v>45</v>
      </c>
      <c r="C18" s="50">
        <v>8</v>
      </c>
      <c r="D18" s="50">
        <v>1</v>
      </c>
      <c r="E18" s="50">
        <v>5</v>
      </c>
      <c r="F18" s="50">
        <v>1</v>
      </c>
      <c r="G18" s="50">
        <v>1</v>
      </c>
      <c r="H18" s="50">
        <v>0</v>
      </c>
      <c r="I18" s="50">
        <v>5</v>
      </c>
      <c r="J18" s="50">
        <v>1</v>
      </c>
      <c r="K18" s="50">
        <v>2</v>
      </c>
      <c r="L18" s="50">
        <v>0</v>
      </c>
      <c r="M18" s="50">
        <v>52</v>
      </c>
      <c r="N18" s="50">
        <v>0</v>
      </c>
      <c r="O18" s="17">
        <f t="shared" si="0"/>
        <v>24</v>
      </c>
      <c r="P18" s="17">
        <f t="shared" si="1"/>
        <v>76</v>
      </c>
      <c r="R18" s="1" t="s">
        <v>14</v>
      </c>
      <c r="S18" s="17">
        <f t="shared" ref="S18:AF18" si="10">SUM(C42:C45)</f>
        <v>11</v>
      </c>
      <c r="T18" s="17">
        <f t="shared" si="10"/>
        <v>4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4</v>
      </c>
      <c r="AB18" s="17">
        <f t="shared" si="10"/>
        <v>0</v>
      </c>
      <c r="AC18" s="17">
        <f t="shared" si="10"/>
        <v>107</v>
      </c>
      <c r="AD18" s="17">
        <f t="shared" si="10"/>
        <v>0</v>
      </c>
      <c r="AE18" s="31">
        <f t="shared" si="10"/>
        <v>27</v>
      </c>
      <c r="AF18" s="31">
        <f t="shared" si="10"/>
        <v>134</v>
      </c>
    </row>
    <row r="19" spans="2:32" ht="23.1" customHeight="1" x14ac:dyDescent="0.25">
      <c r="B19" s="45" t="s">
        <v>46</v>
      </c>
      <c r="C19" s="50">
        <v>8</v>
      </c>
      <c r="D19" s="50">
        <v>2</v>
      </c>
      <c r="E19" s="50">
        <v>2</v>
      </c>
      <c r="F19" s="50">
        <v>6</v>
      </c>
      <c r="G19" s="50">
        <v>0</v>
      </c>
      <c r="H19" s="50">
        <v>0</v>
      </c>
      <c r="I19" s="50">
        <v>4</v>
      </c>
      <c r="J19" s="50">
        <v>0</v>
      </c>
      <c r="K19" s="50">
        <v>1</v>
      </c>
      <c r="L19" s="50">
        <v>0</v>
      </c>
      <c r="M19" s="50">
        <v>55</v>
      </c>
      <c r="N19" s="50">
        <v>0</v>
      </c>
      <c r="O19" s="17">
        <f t="shared" si="0"/>
        <v>23</v>
      </c>
      <c r="P19" s="17">
        <f t="shared" si="1"/>
        <v>78</v>
      </c>
      <c r="R19" s="1" t="s">
        <v>15</v>
      </c>
      <c r="S19" s="17">
        <f t="shared" ref="S19:AF19" si="11">SUM(C46:C49)</f>
        <v>16</v>
      </c>
      <c r="T19" s="17">
        <f t="shared" si="11"/>
        <v>3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1</v>
      </c>
      <c r="AA19" s="17">
        <f t="shared" si="11"/>
        <v>2</v>
      </c>
      <c r="AB19" s="17">
        <f t="shared" si="11"/>
        <v>0</v>
      </c>
      <c r="AC19" s="17">
        <f t="shared" si="11"/>
        <v>162</v>
      </c>
      <c r="AD19" s="17">
        <f t="shared" si="11"/>
        <v>0</v>
      </c>
      <c r="AE19" s="31">
        <f t="shared" si="11"/>
        <v>35</v>
      </c>
      <c r="AF19" s="31">
        <f t="shared" si="11"/>
        <v>197</v>
      </c>
    </row>
    <row r="20" spans="2:32" ht="23.1" customHeight="1" x14ac:dyDescent="0.25">
      <c r="B20" s="45" t="s">
        <v>47</v>
      </c>
      <c r="C20" s="50">
        <v>9</v>
      </c>
      <c r="D20" s="50">
        <v>1</v>
      </c>
      <c r="E20" s="50">
        <v>0</v>
      </c>
      <c r="F20" s="50">
        <v>3</v>
      </c>
      <c r="G20" s="50">
        <v>1</v>
      </c>
      <c r="H20" s="50">
        <v>0</v>
      </c>
      <c r="I20" s="50">
        <v>4</v>
      </c>
      <c r="J20" s="50">
        <v>1</v>
      </c>
      <c r="K20" s="50">
        <v>2</v>
      </c>
      <c r="L20" s="50">
        <v>0</v>
      </c>
      <c r="M20" s="50">
        <v>62</v>
      </c>
      <c r="N20" s="50">
        <v>0</v>
      </c>
      <c r="O20" s="17">
        <f t="shared" si="0"/>
        <v>21</v>
      </c>
      <c r="P20" s="17">
        <f t="shared" si="1"/>
        <v>83</v>
      </c>
      <c r="R20" s="1" t="s">
        <v>16</v>
      </c>
      <c r="S20" s="17">
        <f t="shared" ref="S20:AF20" si="12">SUM(C50:C53)</f>
        <v>11</v>
      </c>
      <c r="T20" s="17">
        <f t="shared" si="12"/>
        <v>2</v>
      </c>
      <c r="U20" s="17">
        <f t="shared" si="12"/>
        <v>1</v>
      </c>
      <c r="V20" s="17">
        <f t="shared" si="12"/>
        <v>6</v>
      </c>
      <c r="W20" s="17">
        <f t="shared" si="12"/>
        <v>2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96</v>
      </c>
      <c r="AD20" s="17">
        <f t="shared" si="12"/>
        <v>0</v>
      </c>
      <c r="AE20" s="31">
        <f t="shared" si="12"/>
        <v>28</v>
      </c>
      <c r="AF20" s="31">
        <f t="shared" si="12"/>
        <v>124</v>
      </c>
    </row>
    <row r="21" spans="2:32" ht="23.1" customHeight="1" x14ac:dyDescent="0.25">
      <c r="B21" s="45" t="s">
        <v>48</v>
      </c>
      <c r="C21" s="50">
        <v>5</v>
      </c>
      <c r="D21" s="50">
        <v>0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58</v>
      </c>
      <c r="N21" s="50">
        <v>0</v>
      </c>
      <c r="O21" s="17">
        <f t="shared" si="0"/>
        <v>10</v>
      </c>
      <c r="P21" s="17">
        <f t="shared" si="1"/>
        <v>68</v>
      </c>
      <c r="R21" s="36" t="s">
        <v>20</v>
      </c>
      <c r="S21" s="34">
        <f t="shared" ref="S21:AF21" si="13">SUM(C54:C57)</f>
        <v>18</v>
      </c>
      <c r="T21" s="17">
        <f t="shared" si="13"/>
        <v>7</v>
      </c>
      <c r="U21" s="17">
        <f t="shared" si="13"/>
        <v>0</v>
      </c>
      <c r="V21" s="17">
        <f t="shared" si="13"/>
        <v>23</v>
      </c>
      <c r="W21" s="17">
        <f t="shared" si="13"/>
        <v>5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99</v>
      </c>
      <c r="AD21" s="17">
        <f t="shared" si="13"/>
        <v>0</v>
      </c>
      <c r="AE21" s="31">
        <f t="shared" si="13"/>
        <v>56</v>
      </c>
      <c r="AF21" s="31">
        <f t="shared" si="13"/>
        <v>155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2</v>
      </c>
      <c r="J22" s="50">
        <v>3</v>
      </c>
      <c r="K22" s="50">
        <v>0</v>
      </c>
      <c r="L22" s="50">
        <v>0</v>
      </c>
      <c r="M22" s="50">
        <v>60</v>
      </c>
      <c r="N22" s="50">
        <v>0</v>
      </c>
      <c r="O22" s="17">
        <f t="shared" si="0"/>
        <v>9</v>
      </c>
      <c r="P22" s="17">
        <f t="shared" si="1"/>
        <v>69</v>
      </c>
      <c r="R22" s="36" t="s">
        <v>146</v>
      </c>
      <c r="S22" s="34">
        <f>SUM(C58:C61)</f>
        <v>16</v>
      </c>
      <c r="T22" s="34">
        <f t="shared" ref="T22:AF22" si="14">SUM(D58:D61)</f>
        <v>2</v>
      </c>
      <c r="U22" s="34">
        <f t="shared" si="14"/>
        <v>0</v>
      </c>
      <c r="V22" s="34">
        <f t="shared" si="14"/>
        <v>7</v>
      </c>
      <c r="W22" s="34">
        <f t="shared" si="14"/>
        <v>2</v>
      </c>
      <c r="X22" s="34">
        <f t="shared" si="14"/>
        <v>0</v>
      </c>
      <c r="Y22" s="34">
        <f t="shared" si="14"/>
        <v>3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141</v>
      </c>
      <c r="AD22" s="34">
        <f t="shared" si="14"/>
        <v>0</v>
      </c>
      <c r="AE22" s="31">
        <f t="shared" si="14"/>
        <v>31</v>
      </c>
      <c r="AF22" s="31">
        <f t="shared" si="14"/>
        <v>172</v>
      </c>
    </row>
    <row r="23" spans="2:32" ht="23.1" customHeight="1" x14ac:dyDescent="0.25">
      <c r="B23" s="45" t="s">
        <v>50</v>
      </c>
      <c r="C23" s="50">
        <v>5</v>
      </c>
      <c r="D23" s="50">
        <v>0</v>
      </c>
      <c r="E23" s="50">
        <v>0</v>
      </c>
      <c r="F23" s="50">
        <v>1</v>
      </c>
      <c r="G23" s="50">
        <v>1</v>
      </c>
      <c r="H23" s="50">
        <v>0</v>
      </c>
      <c r="I23" s="50">
        <v>4</v>
      </c>
      <c r="J23" s="50">
        <v>0</v>
      </c>
      <c r="K23" s="50">
        <v>2</v>
      </c>
      <c r="L23" s="50">
        <v>0</v>
      </c>
      <c r="M23" s="50">
        <v>48</v>
      </c>
      <c r="N23" s="50">
        <v>0</v>
      </c>
      <c r="O23" s="17">
        <f t="shared" si="0"/>
        <v>13</v>
      </c>
      <c r="P23" s="17">
        <f t="shared" si="1"/>
        <v>61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141</v>
      </c>
      <c r="AD23" s="34">
        <f t="shared" si="15"/>
        <v>0</v>
      </c>
      <c r="AE23" s="31">
        <f t="shared" si="15"/>
        <v>19</v>
      </c>
      <c r="AF23" s="31">
        <f t="shared" si="15"/>
        <v>160</v>
      </c>
    </row>
    <row r="24" spans="2:32" ht="23.1" customHeight="1" x14ac:dyDescent="0.25">
      <c r="B24" s="45" t="s">
        <v>51</v>
      </c>
      <c r="C24" s="50">
        <v>2</v>
      </c>
      <c r="D24" s="50">
        <v>1</v>
      </c>
      <c r="E24" s="50">
        <v>0</v>
      </c>
      <c r="F24" s="50">
        <v>3</v>
      </c>
      <c r="G24" s="50">
        <v>0</v>
      </c>
      <c r="H24" s="50">
        <v>0</v>
      </c>
      <c r="I24" s="50">
        <v>1</v>
      </c>
      <c r="J24" s="50">
        <v>2</v>
      </c>
      <c r="K24" s="50">
        <v>1</v>
      </c>
      <c r="L24" s="50">
        <v>0</v>
      </c>
      <c r="M24" s="50">
        <v>51</v>
      </c>
      <c r="N24" s="50">
        <v>0</v>
      </c>
      <c r="O24" s="17">
        <f t="shared" si="0"/>
        <v>10</v>
      </c>
      <c r="P24" s="17">
        <f t="shared" si="1"/>
        <v>61</v>
      </c>
      <c r="R24" s="36" t="s">
        <v>148</v>
      </c>
      <c r="S24" s="34">
        <f>SUM(C66:C69)</f>
        <v>10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4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83</v>
      </c>
      <c r="AD24" s="34">
        <f t="shared" si="16"/>
        <v>0</v>
      </c>
      <c r="AE24" s="31">
        <f t="shared" si="16"/>
        <v>18</v>
      </c>
      <c r="AF24" s="31">
        <f t="shared" si="16"/>
        <v>101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45</v>
      </c>
      <c r="N25" s="50">
        <v>0</v>
      </c>
      <c r="O25" s="17">
        <f t="shared" si="0"/>
        <v>8</v>
      </c>
      <c r="P25" s="17">
        <f t="shared" si="1"/>
        <v>53</v>
      </c>
      <c r="R25" s="36" t="s">
        <v>149</v>
      </c>
      <c r="S25" s="34">
        <f>SUM(C70:C73)</f>
        <v>6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59</v>
      </c>
      <c r="AD25" s="34">
        <f t="shared" si="17"/>
        <v>0</v>
      </c>
      <c r="AE25" s="31">
        <f t="shared" si="17"/>
        <v>10</v>
      </c>
      <c r="AF25" s="31">
        <f t="shared" si="17"/>
        <v>69</v>
      </c>
    </row>
    <row r="26" spans="2:32" ht="23.1" customHeight="1" x14ac:dyDescent="0.25">
      <c r="B26" s="45" t="s">
        <v>53</v>
      </c>
      <c r="C26" s="50">
        <v>7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3</v>
      </c>
      <c r="J26" s="50">
        <v>2</v>
      </c>
      <c r="K26" s="50">
        <v>0</v>
      </c>
      <c r="L26" s="50">
        <v>0</v>
      </c>
      <c r="M26" s="50">
        <v>38</v>
      </c>
      <c r="N26" s="50">
        <v>0</v>
      </c>
      <c r="O26" s="17">
        <f t="shared" si="0"/>
        <v>14</v>
      </c>
      <c r="P26" s="17">
        <f t="shared" si="1"/>
        <v>52</v>
      </c>
      <c r="R26" s="36" t="s">
        <v>150</v>
      </c>
      <c r="S26" s="34">
        <f>SUM(C74:C77)</f>
        <v>10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110</v>
      </c>
      <c r="AD26" s="34">
        <f t="shared" si="18"/>
        <v>0</v>
      </c>
      <c r="AE26" s="31">
        <f t="shared" si="18"/>
        <v>17</v>
      </c>
      <c r="AF26" s="31">
        <f t="shared" si="18"/>
        <v>127</v>
      </c>
    </row>
    <row r="27" spans="2:32" ht="23.1" customHeight="1" x14ac:dyDescent="0.25">
      <c r="B27" s="45" t="s">
        <v>54</v>
      </c>
      <c r="C27" s="50">
        <v>6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2</v>
      </c>
      <c r="L27" s="50">
        <v>0</v>
      </c>
      <c r="M27" s="50">
        <v>38</v>
      </c>
      <c r="N27" s="50">
        <v>0</v>
      </c>
      <c r="O27" s="17">
        <f t="shared" si="0"/>
        <v>12</v>
      </c>
      <c r="P27" s="17">
        <f t="shared" si="1"/>
        <v>50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25</v>
      </c>
      <c r="AD27" s="34">
        <f t="shared" si="19"/>
        <v>0</v>
      </c>
      <c r="AE27" s="31">
        <f t="shared" si="19"/>
        <v>1</v>
      </c>
      <c r="AF27" s="31">
        <f t="shared" si="19"/>
        <v>26</v>
      </c>
    </row>
    <row r="28" spans="2:32" ht="23.1" customHeight="1" x14ac:dyDescent="0.25">
      <c r="B28" s="45" t="s">
        <v>55</v>
      </c>
      <c r="C28" s="50">
        <v>8</v>
      </c>
      <c r="D28" s="50">
        <v>3</v>
      </c>
      <c r="E28" s="50">
        <v>1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1</v>
      </c>
      <c r="L28" s="50">
        <v>0</v>
      </c>
      <c r="M28" s="50">
        <v>49</v>
      </c>
      <c r="N28" s="50">
        <v>0</v>
      </c>
      <c r="O28" s="17">
        <f t="shared" si="0"/>
        <v>18</v>
      </c>
      <c r="P28" s="17">
        <f t="shared" si="1"/>
        <v>67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12</v>
      </c>
      <c r="AD28" s="34">
        <f t="shared" si="20"/>
        <v>0</v>
      </c>
      <c r="AE28" s="31">
        <f t="shared" si="20"/>
        <v>0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38</v>
      </c>
      <c r="N29" s="50">
        <v>0</v>
      </c>
      <c r="O29" s="17">
        <f t="shared" si="0"/>
        <v>6</v>
      </c>
      <c r="P29" s="17">
        <f t="shared" si="1"/>
        <v>44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1</v>
      </c>
      <c r="AF29" s="31">
        <f t="shared" si="21"/>
        <v>5</v>
      </c>
    </row>
    <row r="30" spans="2:32" ht="23.1" customHeight="1" x14ac:dyDescent="0.25">
      <c r="B30" s="45" t="s">
        <v>57</v>
      </c>
      <c r="C30" s="50">
        <v>6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44</v>
      </c>
      <c r="N30" s="50">
        <v>0</v>
      </c>
      <c r="O30" s="17">
        <f t="shared" si="0"/>
        <v>9</v>
      </c>
      <c r="P30" s="17">
        <f t="shared" si="1"/>
        <v>53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4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1</v>
      </c>
      <c r="L31" s="50">
        <v>0</v>
      </c>
      <c r="M31" s="50">
        <v>41</v>
      </c>
      <c r="N31" s="50">
        <v>0</v>
      </c>
      <c r="O31" s="17">
        <f t="shared" si="0"/>
        <v>8</v>
      </c>
      <c r="P31" s="17">
        <f t="shared" si="1"/>
        <v>49</v>
      </c>
      <c r="R31" s="36" t="s">
        <v>155</v>
      </c>
      <c r="S31" s="34">
        <f>SUM(C94:C97)</f>
        <v>1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1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3</v>
      </c>
      <c r="AF31" s="31">
        <f t="shared" si="23"/>
        <v>9</v>
      </c>
    </row>
    <row r="32" spans="2:32" ht="23.1" customHeight="1" x14ac:dyDescent="0.25">
      <c r="B32" s="46" t="s">
        <v>59</v>
      </c>
      <c r="C32" s="50">
        <v>4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0</v>
      </c>
      <c r="M32" s="50">
        <v>49</v>
      </c>
      <c r="N32" s="50">
        <v>0</v>
      </c>
      <c r="O32" s="17">
        <f t="shared" si="0"/>
        <v>5</v>
      </c>
      <c r="P32" s="17">
        <f t="shared" si="1"/>
        <v>54</v>
      </c>
      <c r="R32" s="51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3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15</v>
      </c>
      <c r="AD32" s="34">
        <f t="shared" si="24"/>
        <v>0</v>
      </c>
      <c r="AE32" s="31">
        <f t="shared" si="24"/>
        <v>5</v>
      </c>
      <c r="AF32" s="31">
        <f t="shared" si="24"/>
        <v>20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7">
        <f t="shared" si="0"/>
        <v>3</v>
      </c>
      <c r="P33" s="17">
        <f t="shared" si="1"/>
        <v>27</v>
      </c>
      <c r="R33" s="51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14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36</v>
      </c>
      <c r="AD33" s="34">
        <f t="shared" si="25"/>
        <v>0</v>
      </c>
      <c r="AE33" s="31">
        <f t="shared" si="25"/>
        <v>21</v>
      </c>
      <c r="AF33" s="31">
        <f t="shared" si="25"/>
        <v>57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38</v>
      </c>
      <c r="N34" s="50">
        <v>0</v>
      </c>
      <c r="O34" s="17">
        <f t="shared" si="0"/>
        <v>5</v>
      </c>
      <c r="P34" s="17">
        <f t="shared" si="1"/>
        <v>43</v>
      </c>
      <c r="R34" s="52" t="s">
        <v>90</v>
      </c>
      <c r="S34" s="53">
        <f t="shared" ref="S34:AF34" si="26">MAX(S10:S12)</f>
        <v>30</v>
      </c>
      <c r="T34" s="53">
        <f t="shared" si="26"/>
        <v>5</v>
      </c>
      <c r="U34" s="53">
        <f t="shared" si="26"/>
        <v>9</v>
      </c>
      <c r="V34" s="53">
        <f t="shared" si="26"/>
        <v>13</v>
      </c>
      <c r="W34" s="53">
        <f t="shared" si="26"/>
        <v>2</v>
      </c>
      <c r="X34" s="53">
        <f t="shared" si="26"/>
        <v>0</v>
      </c>
      <c r="Y34" s="53">
        <f t="shared" si="26"/>
        <v>15</v>
      </c>
      <c r="Z34" s="53">
        <f t="shared" si="26"/>
        <v>2</v>
      </c>
      <c r="AA34" s="53">
        <f t="shared" si="26"/>
        <v>5</v>
      </c>
      <c r="AB34" s="53">
        <f t="shared" si="26"/>
        <v>0</v>
      </c>
      <c r="AC34" s="53">
        <f t="shared" si="26"/>
        <v>241</v>
      </c>
      <c r="AD34" s="53">
        <f t="shared" si="26"/>
        <v>0</v>
      </c>
      <c r="AE34" s="40">
        <f t="shared" si="26"/>
        <v>78</v>
      </c>
      <c r="AF34" s="40">
        <f t="shared" si="26"/>
        <v>305</v>
      </c>
    </row>
    <row r="35" spans="2:32" ht="23.1" customHeight="1" x14ac:dyDescent="0.25">
      <c r="B35" s="46" t="s">
        <v>62</v>
      </c>
      <c r="C35" s="50">
        <v>6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23</v>
      </c>
      <c r="N35" s="50">
        <v>0</v>
      </c>
      <c r="O35" s="17">
        <f t="shared" si="0"/>
        <v>11</v>
      </c>
      <c r="P35" s="17">
        <f t="shared" si="1"/>
        <v>34</v>
      </c>
      <c r="R35" s="52" t="s">
        <v>91</v>
      </c>
      <c r="S35" s="53">
        <f t="shared" ref="S35:AF35" si="27">MAX(S13:S18)</f>
        <v>24</v>
      </c>
      <c r="T35" s="53">
        <f t="shared" si="27"/>
        <v>5</v>
      </c>
      <c r="U35" s="53">
        <f t="shared" si="27"/>
        <v>3</v>
      </c>
      <c r="V35" s="53">
        <f t="shared" si="27"/>
        <v>7</v>
      </c>
      <c r="W35" s="53">
        <f t="shared" si="27"/>
        <v>1</v>
      </c>
      <c r="X35" s="53">
        <f t="shared" si="27"/>
        <v>0</v>
      </c>
      <c r="Y35" s="53">
        <f t="shared" si="27"/>
        <v>9</v>
      </c>
      <c r="Z35" s="53">
        <f t="shared" si="27"/>
        <v>6</v>
      </c>
      <c r="AA35" s="53">
        <f t="shared" si="27"/>
        <v>4</v>
      </c>
      <c r="AB35" s="53">
        <f t="shared" si="27"/>
        <v>0</v>
      </c>
      <c r="AC35" s="53">
        <f t="shared" si="27"/>
        <v>204</v>
      </c>
      <c r="AD35" s="53">
        <f t="shared" si="27"/>
        <v>0</v>
      </c>
      <c r="AE35" s="40">
        <f t="shared" si="27"/>
        <v>50</v>
      </c>
      <c r="AF35" s="40">
        <f t="shared" si="27"/>
        <v>244</v>
      </c>
    </row>
    <row r="36" spans="2:32" ht="23.1" customHeight="1" x14ac:dyDescent="0.25">
      <c r="B36" s="46" t="s">
        <v>63</v>
      </c>
      <c r="C36" s="50">
        <v>4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2</v>
      </c>
      <c r="J36" s="50">
        <v>1</v>
      </c>
      <c r="K36" s="50">
        <v>1</v>
      </c>
      <c r="L36" s="50">
        <v>0</v>
      </c>
      <c r="M36" s="50">
        <v>32</v>
      </c>
      <c r="N36" s="50">
        <v>0</v>
      </c>
      <c r="O36" s="17">
        <f t="shared" si="0"/>
        <v>10</v>
      </c>
      <c r="P36" s="17">
        <f t="shared" si="1"/>
        <v>42</v>
      </c>
      <c r="R36" s="52" t="s">
        <v>92</v>
      </c>
      <c r="S36" s="53">
        <f t="shared" ref="S36:AF36" si="28">MAX(S19:S21)</f>
        <v>18</v>
      </c>
      <c r="T36" s="53">
        <f t="shared" si="28"/>
        <v>7</v>
      </c>
      <c r="U36" s="53">
        <f t="shared" si="28"/>
        <v>3</v>
      </c>
      <c r="V36" s="53">
        <f t="shared" si="28"/>
        <v>23</v>
      </c>
      <c r="W36" s="53">
        <f t="shared" si="28"/>
        <v>5</v>
      </c>
      <c r="X36" s="53">
        <f t="shared" si="28"/>
        <v>0</v>
      </c>
      <c r="Y36" s="53">
        <f t="shared" si="28"/>
        <v>8</v>
      </c>
      <c r="Z36" s="53">
        <f t="shared" si="28"/>
        <v>1</v>
      </c>
      <c r="AA36" s="53">
        <f t="shared" si="28"/>
        <v>2</v>
      </c>
      <c r="AB36" s="53">
        <f t="shared" si="28"/>
        <v>0</v>
      </c>
      <c r="AC36" s="53">
        <f t="shared" si="28"/>
        <v>162</v>
      </c>
      <c r="AD36" s="53">
        <f t="shared" si="28"/>
        <v>0</v>
      </c>
      <c r="AE36" s="40">
        <f t="shared" si="28"/>
        <v>56</v>
      </c>
      <c r="AF36" s="40">
        <f t="shared" si="28"/>
        <v>197</v>
      </c>
    </row>
    <row r="37" spans="2:32" ht="23.1" customHeight="1" x14ac:dyDescent="0.25">
      <c r="B37" s="45" t="s">
        <v>64</v>
      </c>
      <c r="C37" s="50">
        <v>5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2</v>
      </c>
      <c r="K37" s="50">
        <v>1</v>
      </c>
      <c r="L37" s="50">
        <v>0</v>
      </c>
      <c r="M37" s="50">
        <v>28</v>
      </c>
      <c r="N37" s="50">
        <v>0</v>
      </c>
      <c r="O37" s="17">
        <f t="shared" si="0"/>
        <v>11</v>
      </c>
      <c r="P37" s="17">
        <f t="shared" si="1"/>
        <v>39</v>
      </c>
      <c r="R37" s="37" t="s">
        <v>85</v>
      </c>
      <c r="S37" s="35">
        <f t="shared" ref="S37:AF37" si="29">SUM(S10:S12)</f>
        <v>76</v>
      </c>
      <c r="T37" s="16">
        <f t="shared" si="29"/>
        <v>13</v>
      </c>
      <c r="U37" s="16">
        <f t="shared" si="29"/>
        <v>15</v>
      </c>
      <c r="V37" s="16">
        <f t="shared" si="29"/>
        <v>28</v>
      </c>
      <c r="W37" s="16">
        <f t="shared" si="29"/>
        <v>4</v>
      </c>
      <c r="X37" s="16">
        <f t="shared" si="29"/>
        <v>0</v>
      </c>
      <c r="Y37" s="16">
        <f t="shared" si="29"/>
        <v>28</v>
      </c>
      <c r="Z37" s="16">
        <f t="shared" si="29"/>
        <v>3</v>
      </c>
      <c r="AA37" s="16">
        <f t="shared" si="29"/>
        <v>6</v>
      </c>
      <c r="AB37" s="16">
        <f t="shared" si="29"/>
        <v>0</v>
      </c>
      <c r="AC37" s="16">
        <f t="shared" si="29"/>
        <v>668</v>
      </c>
      <c r="AD37" s="16">
        <f t="shared" si="29"/>
        <v>0</v>
      </c>
      <c r="AE37" s="32">
        <f t="shared" si="29"/>
        <v>173</v>
      </c>
      <c r="AF37" s="32">
        <f t="shared" si="29"/>
        <v>841</v>
      </c>
    </row>
    <row r="38" spans="2:32" ht="23.1" customHeight="1" x14ac:dyDescent="0.25">
      <c r="B38" s="46" t="s">
        <v>65</v>
      </c>
      <c r="C38" s="50">
        <v>7</v>
      </c>
      <c r="D38" s="50">
        <v>2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24</v>
      </c>
      <c r="N38" s="50">
        <v>0</v>
      </c>
      <c r="O38" s="17">
        <f t="shared" si="0"/>
        <v>11</v>
      </c>
      <c r="P38" s="17">
        <f t="shared" si="1"/>
        <v>35</v>
      </c>
      <c r="R38" s="28" t="s">
        <v>86</v>
      </c>
      <c r="S38" s="16">
        <f t="shared" ref="S38:AF38" si="30">SUM(S13:S18)</f>
        <v>103</v>
      </c>
      <c r="T38" s="16">
        <f t="shared" si="30"/>
        <v>22</v>
      </c>
      <c r="U38" s="16">
        <f t="shared" si="30"/>
        <v>10</v>
      </c>
      <c r="V38" s="16">
        <f t="shared" si="30"/>
        <v>15</v>
      </c>
      <c r="W38" s="16">
        <f t="shared" si="30"/>
        <v>1</v>
      </c>
      <c r="X38" s="16">
        <f t="shared" si="30"/>
        <v>0</v>
      </c>
      <c r="Y38" s="16">
        <f t="shared" si="30"/>
        <v>32</v>
      </c>
      <c r="Z38" s="16">
        <f t="shared" si="30"/>
        <v>18</v>
      </c>
      <c r="AA38" s="16">
        <f t="shared" si="30"/>
        <v>19</v>
      </c>
      <c r="AB38" s="16">
        <f t="shared" si="30"/>
        <v>0</v>
      </c>
      <c r="AC38" s="16">
        <f t="shared" si="30"/>
        <v>868</v>
      </c>
      <c r="AD38" s="16">
        <f t="shared" si="30"/>
        <v>0</v>
      </c>
      <c r="AE38" s="32">
        <f t="shared" si="30"/>
        <v>220</v>
      </c>
      <c r="AF38" s="32">
        <f t="shared" si="30"/>
        <v>1088</v>
      </c>
    </row>
    <row r="39" spans="2:32" ht="23.1" customHeight="1" x14ac:dyDescent="0.25">
      <c r="B39" s="46" t="s">
        <v>66</v>
      </c>
      <c r="C39" s="50">
        <v>5</v>
      </c>
      <c r="D39" s="50">
        <v>2</v>
      </c>
      <c r="E39" s="50">
        <v>1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0</v>
      </c>
      <c r="M39" s="50">
        <v>33</v>
      </c>
      <c r="N39" s="50">
        <v>0</v>
      </c>
      <c r="O39" s="17">
        <f t="shared" si="0"/>
        <v>11</v>
      </c>
      <c r="P39" s="17">
        <f t="shared" si="1"/>
        <v>44</v>
      </c>
      <c r="R39" s="29" t="s">
        <v>87</v>
      </c>
      <c r="S39" s="16">
        <f t="shared" ref="S39:AF39" si="31">SUM(S19:S21)</f>
        <v>45</v>
      </c>
      <c r="T39" s="16">
        <f t="shared" si="31"/>
        <v>12</v>
      </c>
      <c r="U39" s="16">
        <f t="shared" si="31"/>
        <v>4</v>
      </c>
      <c r="V39" s="16">
        <f t="shared" si="31"/>
        <v>31</v>
      </c>
      <c r="W39" s="16">
        <f t="shared" si="31"/>
        <v>7</v>
      </c>
      <c r="X39" s="16">
        <f t="shared" si="31"/>
        <v>0</v>
      </c>
      <c r="Y39" s="16">
        <f t="shared" si="31"/>
        <v>16</v>
      </c>
      <c r="Z39" s="16">
        <f t="shared" si="31"/>
        <v>1</v>
      </c>
      <c r="AA39" s="16">
        <f t="shared" si="31"/>
        <v>3</v>
      </c>
      <c r="AB39" s="16">
        <f t="shared" si="31"/>
        <v>0</v>
      </c>
      <c r="AC39" s="16">
        <f t="shared" si="31"/>
        <v>357</v>
      </c>
      <c r="AD39" s="16">
        <f t="shared" si="31"/>
        <v>0</v>
      </c>
      <c r="AE39" s="32">
        <f t="shared" si="31"/>
        <v>119</v>
      </c>
      <c r="AF39" s="32">
        <f t="shared" si="31"/>
        <v>476</v>
      </c>
    </row>
    <row r="40" spans="2:32" ht="23.1" customHeight="1" x14ac:dyDescent="0.25">
      <c r="B40" s="46" t="s">
        <v>67</v>
      </c>
      <c r="C40" s="50">
        <v>6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0</v>
      </c>
      <c r="M40" s="50">
        <v>28</v>
      </c>
      <c r="N40" s="50">
        <v>0</v>
      </c>
      <c r="O40" s="17">
        <f t="shared" si="0"/>
        <v>8</v>
      </c>
      <c r="P40" s="17">
        <f t="shared" si="1"/>
        <v>36</v>
      </c>
      <c r="R40" s="5" t="s">
        <v>17</v>
      </c>
      <c r="S40" s="16">
        <f t="shared" ref="S40:AF40" si="32">SUM(S10:S21)</f>
        <v>224</v>
      </c>
      <c r="T40" s="16">
        <f t="shared" si="32"/>
        <v>47</v>
      </c>
      <c r="U40" s="16">
        <f t="shared" si="32"/>
        <v>29</v>
      </c>
      <c r="V40" s="16">
        <f t="shared" si="32"/>
        <v>74</v>
      </c>
      <c r="W40" s="16">
        <f t="shared" si="32"/>
        <v>12</v>
      </c>
      <c r="X40" s="16">
        <f t="shared" si="32"/>
        <v>0</v>
      </c>
      <c r="Y40" s="16">
        <f t="shared" si="32"/>
        <v>76</v>
      </c>
      <c r="Z40" s="16">
        <f t="shared" si="32"/>
        <v>22</v>
      </c>
      <c r="AA40" s="16">
        <f t="shared" si="32"/>
        <v>28</v>
      </c>
      <c r="AB40" s="16">
        <f t="shared" si="32"/>
        <v>0</v>
      </c>
      <c r="AC40" s="16">
        <f t="shared" si="32"/>
        <v>1893</v>
      </c>
      <c r="AD40" s="16">
        <f t="shared" si="32"/>
        <v>0</v>
      </c>
      <c r="AE40" s="32">
        <f t="shared" si="32"/>
        <v>512</v>
      </c>
      <c r="AF40" s="32">
        <f t="shared" si="32"/>
        <v>2405</v>
      </c>
    </row>
    <row r="41" spans="2:32" ht="23.1" customHeight="1" x14ac:dyDescent="0.25">
      <c r="B41" s="45" t="s">
        <v>68</v>
      </c>
      <c r="C41" s="50">
        <v>4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3</v>
      </c>
      <c r="J41" s="50">
        <v>1</v>
      </c>
      <c r="K41" s="50">
        <v>2</v>
      </c>
      <c r="L41" s="50">
        <v>0</v>
      </c>
      <c r="M41" s="50">
        <v>30</v>
      </c>
      <c r="N41" s="50">
        <v>0</v>
      </c>
      <c r="O41" s="17">
        <f t="shared" si="0"/>
        <v>11</v>
      </c>
      <c r="P41" s="17">
        <f t="shared" si="1"/>
        <v>41</v>
      </c>
      <c r="R41" s="5" t="s">
        <v>159</v>
      </c>
      <c r="S41" s="16">
        <f>SUM(S10:S33)</f>
        <v>283</v>
      </c>
      <c r="T41" s="16">
        <f t="shared" ref="T41:AF41" si="33">SUM(T10:T33)</f>
        <v>50</v>
      </c>
      <c r="U41" s="16">
        <f t="shared" si="33"/>
        <v>32</v>
      </c>
      <c r="V41" s="16">
        <f t="shared" si="33"/>
        <v>111</v>
      </c>
      <c r="W41" s="16">
        <f t="shared" si="33"/>
        <v>16</v>
      </c>
      <c r="X41" s="16">
        <f t="shared" si="33"/>
        <v>0</v>
      </c>
      <c r="Y41" s="16">
        <f t="shared" si="33"/>
        <v>91</v>
      </c>
      <c r="Z41" s="16">
        <f t="shared" si="33"/>
        <v>27</v>
      </c>
      <c r="AA41" s="16">
        <f t="shared" si="33"/>
        <v>29</v>
      </c>
      <c r="AB41" s="16">
        <f t="shared" si="33"/>
        <v>0</v>
      </c>
      <c r="AC41" s="16">
        <f t="shared" si="33"/>
        <v>2525</v>
      </c>
      <c r="AD41" s="16">
        <f t="shared" si="33"/>
        <v>0</v>
      </c>
      <c r="AE41" s="32">
        <f t="shared" si="33"/>
        <v>639</v>
      </c>
      <c r="AF41" s="32">
        <f t="shared" si="33"/>
        <v>3164</v>
      </c>
    </row>
    <row r="42" spans="2:32" ht="23.1" customHeight="1" x14ac:dyDescent="0.25">
      <c r="B42" s="46" t="s">
        <v>69</v>
      </c>
      <c r="C42" s="50">
        <v>3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40</v>
      </c>
      <c r="N42" s="50">
        <v>0</v>
      </c>
      <c r="O42" s="17">
        <f t="shared" si="0"/>
        <v>5</v>
      </c>
      <c r="P42" s="17">
        <f t="shared" si="1"/>
        <v>45</v>
      </c>
      <c r="R42" s="5" t="s">
        <v>160</v>
      </c>
      <c r="S42" s="48">
        <f>S41/S40</f>
        <v>1.2633928571428572</v>
      </c>
      <c r="T42" s="48">
        <f t="shared" ref="T42:AF42" si="34">T41/T40</f>
        <v>1.0638297872340425</v>
      </c>
      <c r="U42" s="48">
        <f t="shared" si="34"/>
        <v>1.103448275862069</v>
      </c>
      <c r="V42" s="48">
        <f t="shared" si="34"/>
        <v>1.5</v>
      </c>
      <c r="W42" s="48">
        <f t="shared" si="34"/>
        <v>1.3333333333333333</v>
      </c>
      <c r="X42" s="48" t="e">
        <f t="shared" si="34"/>
        <v>#DIV/0!</v>
      </c>
      <c r="Y42" s="48">
        <f t="shared" si="34"/>
        <v>1.1973684210526316</v>
      </c>
      <c r="Z42" s="48">
        <f t="shared" si="34"/>
        <v>1.2272727272727273</v>
      </c>
      <c r="AA42" s="48">
        <f t="shared" si="34"/>
        <v>1.0357142857142858</v>
      </c>
      <c r="AB42" s="48" t="e">
        <f t="shared" si="34"/>
        <v>#DIV/0!</v>
      </c>
      <c r="AC42" s="48">
        <f t="shared" si="34"/>
        <v>1.3338615953512942</v>
      </c>
      <c r="AD42" s="48" t="e">
        <f t="shared" si="34"/>
        <v>#DIV/0!</v>
      </c>
      <c r="AE42" s="48">
        <f t="shared" si="34"/>
        <v>1.248046875</v>
      </c>
      <c r="AF42" s="48">
        <f t="shared" si="34"/>
        <v>1.3155925155925157</v>
      </c>
    </row>
    <row r="43" spans="2:32" ht="23.1" customHeight="1" x14ac:dyDescent="0.25">
      <c r="B43" s="45" t="s">
        <v>70</v>
      </c>
      <c r="C43" s="50">
        <v>3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2</v>
      </c>
      <c r="L43" s="50">
        <v>0</v>
      </c>
      <c r="M43" s="50">
        <v>28</v>
      </c>
      <c r="N43" s="50">
        <v>0</v>
      </c>
      <c r="O43" s="17">
        <f t="shared" si="0"/>
        <v>8</v>
      </c>
      <c r="P43" s="17">
        <f t="shared" si="1"/>
        <v>36</v>
      </c>
      <c r="R43"/>
      <c r="S43" s="19"/>
      <c r="T43" s="19"/>
    </row>
    <row r="44" spans="2:32" ht="23.1" customHeight="1" x14ac:dyDescent="0.25">
      <c r="B44" s="47" t="s">
        <v>71</v>
      </c>
      <c r="C44" s="50">
        <v>3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0</v>
      </c>
      <c r="M44" s="50">
        <v>27</v>
      </c>
      <c r="N44" s="50">
        <v>0</v>
      </c>
      <c r="O44" s="17">
        <f t="shared" si="0"/>
        <v>9</v>
      </c>
      <c r="P44" s="17">
        <f t="shared" si="1"/>
        <v>36</v>
      </c>
      <c r="R44"/>
      <c r="S44" s="19"/>
      <c r="T44" s="19"/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12</v>
      </c>
      <c r="N45" s="50">
        <v>0</v>
      </c>
      <c r="O45" s="17">
        <f t="shared" si="0"/>
        <v>5</v>
      </c>
      <c r="P45" s="17">
        <f t="shared" si="1"/>
        <v>17</v>
      </c>
      <c r="R45"/>
      <c r="S45" s="19"/>
      <c r="T45" s="19"/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3</v>
      </c>
      <c r="J46" s="50">
        <v>0</v>
      </c>
      <c r="K46" s="50">
        <v>1</v>
      </c>
      <c r="L46" s="50">
        <v>0</v>
      </c>
      <c r="M46" s="50">
        <v>35</v>
      </c>
      <c r="N46" s="50">
        <v>0</v>
      </c>
      <c r="O46" s="17">
        <f t="shared" si="0"/>
        <v>8</v>
      </c>
      <c r="P46" s="17">
        <f t="shared" si="1"/>
        <v>43</v>
      </c>
      <c r="R46" s="19"/>
      <c r="S46" s="19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52</v>
      </c>
      <c r="N47" s="50">
        <v>0</v>
      </c>
      <c r="O47" s="17">
        <f t="shared" si="0"/>
        <v>7</v>
      </c>
      <c r="P47" s="17">
        <f t="shared" si="1"/>
        <v>59</v>
      </c>
      <c r="R47" s="19"/>
      <c r="S47" s="19"/>
      <c r="T47"/>
    </row>
    <row r="48" spans="2:32" ht="23.1" customHeight="1" x14ac:dyDescent="0.25">
      <c r="B48" s="46" t="s">
        <v>75</v>
      </c>
      <c r="C48" s="50">
        <v>5</v>
      </c>
      <c r="D48" s="50">
        <v>2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1</v>
      </c>
      <c r="K48" s="50">
        <v>1</v>
      </c>
      <c r="L48" s="50">
        <v>0</v>
      </c>
      <c r="M48" s="50">
        <v>34</v>
      </c>
      <c r="N48" s="50">
        <v>0</v>
      </c>
      <c r="O48" s="17">
        <f t="shared" si="0"/>
        <v>10</v>
      </c>
      <c r="P48" s="17">
        <f t="shared" si="1"/>
        <v>44</v>
      </c>
      <c r="R48" s="19"/>
      <c r="S48" s="19"/>
      <c r="T48"/>
    </row>
    <row r="49" spans="2:20" ht="23.1" customHeight="1" x14ac:dyDescent="0.25">
      <c r="B49" s="45" t="s">
        <v>76</v>
      </c>
      <c r="C49" s="50">
        <v>5</v>
      </c>
      <c r="D49" s="50">
        <v>1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41</v>
      </c>
      <c r="N49" s="50">
        <v>0</v>
      </c>
      <c r="O49" s="17">
        <f t="shared" si="0"/>
        <v>10</v>
      </c>
      <c r="P49" s="17">
        <f t="shared" si="1"/>
        <v>51</v>
      </c>
      <c r="R49" s="19"/>
      <c r="S49" s="19"/>
      <c r="T49"/>
    </row>
    <row r="50" spans="2:20" ht="23.1" customHeight="1" x14ac:dyDescent="0.25">
      <c r="B50" s="46" t="s">
        <v>77</v>
      </c>
      <c r="C50" s="50">
        <v>1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37</v>
      </c>
      <c r="N50" s="50">
        <v>0</v>
      </c>
      <c r="O50" s="17">
        <f t="shared" si="0"/>
        <v>5</v>
      </c>
      <c r="P50" s="17">
        <f t="shared" si="1"/>
        <v>42</v>
      </c>
      <c r="R50" s="19"/>
      <c r="S50" s="19"/>
      <c r="T50"/>
    </row>
    <row r="51" spans="2:20" ht="23.1" customHeight="1" x14ac:dyDescent="0.25">
      <c r="B51" s="46" t="s">
        <v>78</v>
      </c>
      <c r="C51" s="50">
        <v>4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7">
        <f t="shared" si="0"/>
        <v>6</v>
      </c>
      <c r="P51" s="17">
        <f t="shared" si="1"/>
        <v>25</v>
      </c>
      <c r="R51" s="19"/>
      <c r="S51" s="19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2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7">
        <f t="shared" si="0"/>
        <v>4</v>
      </c>
      <c r="P52" s="17">
        <f t="shared" si="1"/>
        <v>25</v>
      </c>
      <c r="R52" s="19"/>
      <c r="S52" s="19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0</v>
      </c>
      <c r="F53" s="50">
        <v>5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19</v>
      </c>
      <c r="N53" s="50">
        <v>0</v>
      </c>
      <c r="O53" s="17">
        <f t="shared" si="0"/>
        <v>13</v>
      </c>
      <c r="P53" s="17">
        <f t="shared" si="1"/>
        <v>32</v>
      </c>
      <c r="R53" s="19"/>
      <c r="S53" s="19"/>
      <c r="T53"/>
    </row>
    <row r="54" spans="2:20" ht="23.1" customHeight="1" x14ac:dyDescent="0.25">
      <c r="B54" s="45" t="s">
        <v>81</v>
      </c>
      <c r="C54" s="50">
        <v>3</v>
      </c>
      <c r="D54" s="50">
        <v>2</v>
      </c>
      <c r="E54" s="50">
        <v>0</v>
      </c>
      <c r="F54" s="50">
        <v>4</v>
      </c>
      <c r="G54" s="50">
        <v>3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24</v>
      </c>
      <c r="N54" s="50">
        <v>0</v>
      </c>
      <c r="O54" s="17">
        <f t="shared" si="0"/>
        <v>14</v>
      </c>
      <c r="P54" s="17">
        <f t="shared" si="1"/>
        <v>38</v>
      </c>
      <c r="R54" s="19"/>
      <c r="S54" s="19"/>
      <c r="T54"/>
    </row>
    <row r="55" spans="2:20" ht="23.1" customHeight="1" x14ac:dyDescent="0.25">
      <c r="B55" s="45" t="s">
        <v>82</v>
      </c>
      <c r="C55" s="50">
        <v>5</v>
      </c>
      <c r="D55" s="50">
        <v>3</v>
      </c>
      <c r="E55" s="50">
        <v>0</v>
      </c>
      <c r="F55" s="50">
        <v>10</v>
      </c>
      <c r="G55" s="50">
        <v>1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34</v>
      </c>
      <c r="N55" s="50">
        <v>0</v>
      </c>
      <c r="O55" s="17">
        <f t="shared" si="0"/>
        <v>20</v>
      </c>
      <c r="P55" s="17">
        <f t="shared" si="1"/>
        <v>54</v>
      </c>
      <c r="R55" s="19"/>
      <c r="S55" s="19"/>
      <c r="T55"/>
    </row>
    <row r="56" spans="2:20" ht="23.1" customHeight="1" x14ac:dyDescent="0.25">
      <c r="B56" s="45" t="s">
        <v>83</v>
      </c>
      <c r="C56" s="50">
        <v>3</v>
      </c>
      <c r="D56" s="50">
        <v>1</v>
      </c>
      <c r="E56" s="50">
        <v>0</v>
      </c>
      <c r="F56" s="50">
        <v>4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24</v>
      </c>
      <c r="N56" s="50">
        <v>0</v>
      </c>
      <c r="O56" s="17">
        <f t="shared" si="0"/>
        <v>9</v>
      </c>
      <c r="P56" s="17">
        <f t="shared" si="1"/>
        <v>33</v>
      </c>
      <c r="R56" s="19"/>
      <c r="S56" s="19"/>
      <c r="T56"/>
    </row>
    <row r="57" spans="2:20" ht="23.1" customHeight="1" x14ac:dyDescent="0.25">
      <c r="B57" s="45" t="s">
        <v>84</v>
      </c>
      <c r="C57" s="50">
        <v>7</v>
      </c>
      <c r="D57" s="50">
        <v>1</v>
      </c>
      <c r="E57" s="50">
        <v>0</v>
      </c>
      <c r="F57" s="50">
        <v>5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17</v>
      </c>
      <c r="N57" s="50">
        <v>0</v>
      </c>
      <c r="O57" s="17">
        <f t="shared" si="0"/>
        <v>13</v>
      </c>
      <c r="P57" s="17">
        <f t="shared" si="1"/>
        <v>30</v>
      </c>
      <c r="R57" s="19"/>
      <c r="S57" s="19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0</v>
      </c>
      <c r="F58" s="50">
        <v>1</v>
      </c>
      <c r="G58" s="50">
        <v>1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23</v>
      </c>
      <c r="N58" s="50">
        <v>0</v>
      </c>
      <c r="O58" s="17">
        <f t="shared" si="0"/>
        <v>6</v>
      </c>
      <c r="P58" s="17">
        <f t="shared" si="1"/>
        <v>29</v>
      </c>
      <c r="R58" s="19"/>
      <c r="S58" s="19"/>
      <c r="T58"/>
    </row>
    <row r="59" spans="2:20" ht="23.1" customHeight="1" x14ac:dyDescent="0.25">
      <c r="B59" s="45" t="s">
        <v>100</v>
      </c>
      <c r="C59" s="50">
        <v>4</v>
      </c>
      <c r="D59" s="50">
        <v>1</v>
      </c>
      <c r="E59" s="50">
        <v>0</v>
      </c>
      <c r="F59" s="50">
        <v>2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43</v>
      </c>
      <c r="N59" s="50">
        <v>0</v>
      </c>
      <c r="O59" s="17">
        <f t="shared" si="0"/>
        <v>8</v>
      </c>
      <c r="P59" s="17">
        <f t="shared" si="1"/>
        <v>51</v>
      </c>
      <c r="R59" s="19"/>
      <c r="S59" s="19"/>
      <c r="T59"/>
    </row>
    <row r="60" spans="2:20" ht="23.1" customHeight="1" x14ac:dyDescent="0.25">
      <c r="B60" s="45" t="s">
        <v>101</v>
      </c>
      <c r="C60" s="50">
        <v>5</v>
      </c>
      <c r="D60" s="50">
        <v>1</v>
      </c>
      <c r="E60" s="50">
        <v>0</v>
      </c>
      <c r="F60" s="50">
        <v>2</v>
      </c>
      <c r="G60" s="50">
        <v>0</v>
      </c>
      <c r="H60" s="50">
        <v>0</v>
      </c>
      <c r="I60" s="50">
        <v>2</v>
      </c>
      <c r="J60" s="50">
        <v>0</v>
      </c>
      <c r="K60" s="50">
        <v>1</v>
      </c>
      <c r="L60" s="50">
        <v>0</v>
      </c>
      <c r="M60" s="50">
        <v>42</v>
      </c>
      <c r="N60" s="50">
        <v>0</v>
      </c>
      <c r="O60" s="17">
        <f t="shared" si="0"/>
        <v>11</v>
      </c>
      <c r="P60" s="17">
        <f t="shared" si="1"/>
        <v>53</v>
      </c>
      <c r="R60" s="19"/>
      <c r="S60" s="19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0</v>
      </c>
      <c r="F61" s="50">
        <v>2</v>
      </c>
      <c r="G61" s="50">
        <v>1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33</v>
      </c>
      <c r="N61" s="50">
        <v>0</v>
      </c>
      <c r="O61" s="17">
        <f t="shared" si="0"/>
        <v>6</v>
      </c>
      <c r="P61" s="17">
        <f t="shared" si="1"/>
        <v>39</v>
      </c>
      <c r="R61" s="19"/>
      <c r="S61" s="19"/>
      <c r="T61"/>
    </row>
    <row r="62" spans="2:20" ht="23.1" customHeight="1" x14ac:dyDescent="0.25">
      <c r="B62" s="45" t="s">
        <v>107</v>
      </c>
      <c r="C62" s="50">
        <v>7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37</v>
      </c>
      <c r="N62" s="50">
        <v>0</v>
      </c>
      <c r="O62" s="17">
        <f t="shared" si="0"/>
        <v>8</v>
      </c>
      <c r="P62" s="17">
        <f t="shared" si="1"/>
        <v>45</v>
      </c>
      <c r="R62" s="19"/>
      <c r="S62" s="19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1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33</v>
      </c>
      <c r="N63" s="50">
        <v>0</v>
      </c>
      <c r="O63" s="17">
        <f t="shared" si="0"/>
        <v>3</v>
      </c>
      <c r="P63" s="17">
        <f t="shared" si="1"/>
        <v>36</v>
      </c>
      <c r="R63" s="19"/>
      <c r="S63" s="19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2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41</v>
      </c>
      <c r="N64" s="50">
        <v>0</v>
      </c>
      <c r="O64" s="17">
        <f t="shared" si="0"/>
        <v>4</v>
      </c>
      <c r="P64" s="17">
        <f t="shared" si="1"/>
        <v>45</v>
      </c>
      <c r="R64" s="19"/>
      <c r="S64" s="19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1</v>
      </c>
      <c r="F65" s="50">
        <v>2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30</v>
      </c>
      <c r="N65" s="50">
        <v>0</v>
      </c>
      <c r="O65" s="17">
        <f t="shared" si="0"/>
        <v>4</v>
      </c>
      <c r="P65" s="17">
        <f t="shared" si="1"/>
        <v>34</v>
      </c>
      <c r="R65" s="19"/>
      <c r="S65" s="19"/>
      <c r="T65"/>
    </row>
    <row r="66" spans="2:20" ht="23.1" customHeight="1" x14ac:dyDescent="0.25">
      <c r="B66" s="45" t="s">
        <v>103</v>
      </c>
      <c r="C66" s="50">
        <v>6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30</v>
      </c>
      <c r="N66" s="50">
        <v>0</v>
      </c>
      <c r="O66" s="17">
        <f t="shared" si="0"/>
        <v>10</v>
      </c>
      <c r="P66" s="17">
        <f t="shared" si="1"/>
        <v>40</v>
      </c>
      <c r="R66" s="19"/>
      <c r="S66" s="19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10</v>
      </c>
      <c r="N67" s="50">
        <v>0</v>
      </c>
      <c r="O67" s="17">
        <f t="shared" si="0"/>
        <v>0</v>
      </c>
      <c r="P67" s="17">
        <f t="shared" si="1"/>
        <v>10</v>
      </c>
      <c r="R67" s="19"/>
      <c r="S67" s="19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1</v>
      </c>
      <c r="K68" s="50">
        <v>0</v>
      </c>
      <c r="L68" s="50">
        <v>0</v>
      </c>
      <c r="M68" s="50">
        <v>18</v>
      </c>
      <c r="N68" s="50">
        <v>0</v>
      </c>
      <c r="O68" s="17">
        <f t="shared" si="0"/>
        <v>6</v>
      </c>
      <c r="P68" s="17">
        <f t="shared" si="1"/>
        <v>24</v>
      </c>
      <c r="R68" s="19"/>
      <c r="S68" s="19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25</v>
      </c>
      <c r="N69" s="50">
        <v>0</v>
      </c>
      <c r="O69" s="17">
        <f t="shared" si="0"/>
        <v>2</v>
      </c>
      <c r="P69" s="17">
        <f t="shared" si="1"/>
        <v>27</v>
      </c>
      <c r="R69" s="19"/>
      <c r="S69" s="19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11</v>
      </c>
      <c r="N70" s="50">
        <v>0</v>
      </c>
      <c r="O70" s="17">
        <f t="shared" si="0"/>
        <v>3</v>
      </c>
      <c r="P70" s="17">
        <f t="shared" si="1"/>
        <v>14</v>
      </c>
      <c r="R70" s="19"/>
      <c r="S70" s="19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13</v>
      </c>
      <c r="N71" s="50">
        <v>0</v>
      </c>
      <c r="O71" s="17">
        <f t="shared" si="0"/>
        <v>4</v>
      </c>
      <c r="P71" s="17">
        <f t="shared" si="1"/>
        <v>17</v>
      </c>
      <c r="R71" s="19"/>
      <c r="S71" s="19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13</v>
      </c>
      <c r="N72" s="50">
        <v>0</v>
      </c>
      <c r="O72" s="17">
        <f t="shared" si="0"/>
        <v>0</v>
      </c>
      <c r="P72" s="17">
        <f t="shared" si="1"/>
        <v>13</v>
      </c>
      <c r="R72" s="19"/>
      <c r="S72" s="19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22</v>
      </c>
      <c r="N73" s="50">
        <v>0</v>
      </c>
      <c r="O73" s="17">
        <f t="shared" si="0"/>
        <v>3</v>
      </c>
      <c r="P73" s="17">
        <f t="shared" si="1"/>
        <v>25</v>
      </c>
      <c r="R73" s="19"/>
      <c r="S73" s="19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1</v>
      </c>
      <c r="K74" s="50">
        <v>0</v>
      </c>
      <c r="L74" s="50">
        <v>0</v>
      </c>
      <c r="M74" s="50">
        <v>28</v>
      </c>
      <c r="N74" s="50">
        <v>0</v>
      </c>
      <c r="O74" s="17">
        <f t="shared" ref="O74:O105" si="35">SUM(C74:L74,N74)</f>
        <v>5</v>
      </c>
      <c r="P74" s="17">
        <f t="shared" ref="P74:P105" si="36">SUM(C74:N74)</f>
        <v>33</v>
      </c>
      <c r="R74" s="19"/>
      <c r="S74" s="19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27</v>
      </c>
      <c r="N75" s="50">
        <v>0</v>
      </c>
      <c r="O75" s="17">
        <f t="shared" si="35"/>
        <v>2</v>
      </c>
      <c r="P75" s="17">
        <f t="shared" si="36"/>
        <v>29</v>
      </c>
      <c r="R75" s="19"/>
      <c r="S75" s="19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2</v>
      </c>
      <c r="K76" s="50">
        <v>0</v>
      </c>
      <c r="L76" s="50">
        <v>0</v>
      </c>
      <c r="M76" s="50">
        <v>29</v>
      </c>
      <c r="N76" s="50">
        <v>0</v>
      </c>
      <c r="O76" s="17">
        <f t="shared" si="35"/>
        <v>7</v>
      </c>
      <c r="P76" s="17">
        <f t="shared" si="36"/>
        <v>36</v>
      </c>
      <c r="R76" s="19"/>
      <c r="S76" s="19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26</v>
      </c>
      <c r="N77" s="50">
        <v>0</v>
      </c>
      <c r="O77" s="17">
        <f t="shared" si="35"/>
        <v>3</v>
      </c>
      <c r="P77" s="17">
        <f t="shared" si="36"/>
        <v>29</v>
      </c>
      <c r="R77" s="19"/>
      <c r="S77" s="19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14</v>
      </c>
      <c r="N78" s="50">
        <v>0</v>
      </c>
      <c r="O78" s="17">
        <f t="shared" si="35"/>
        <v>1</v>
      </c>
      <c r="P78" s="17">
        <f t="shared" si="36"/>
        <v>15</v>
      </c>
      <c r="R78" s="19"/>
      <c r="S78" s="19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8</v>
      </c>
      <c r="N79" s="50">
        <v>0</v>
      </c>
      <c r="O79" s="17">
        <f t="shared" si="35"/>
        <v>0</v>
      </c>
      <c r="P79" s="17">
        <f t="shared" si="36"/>
        <v>8</v>
      </c>
      <c r="R79" s="19"/>
      <c r="S79" s="19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7">
        <f t="shared" si="35"/>
        <v>0</v>
      </c>
      <c r="P80" s="17">
        <f t="shared" si="36"/>
        <v>3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7">
        <f t="shared" si="35"/>
        <v>0</v>
      </c>
      <c r="P81" s="17">
        <f t="shared" si="36"/>
        <v>0</v>
      </c>
      <c r="R81" s="19"/>
      <c r="S81" s="19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7">
        <f t="shared" si="35"/>
        <v>0</v>
      </c>
      <c r="P82" s="17">
        <f t="shared" si="36"/>
        <v>4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7">
        <f t="shared" si="35"/>
        <v>0</v>
      </c>
      <c r="P83" s="17">
        <f t="shared" si="36"/>
        <v>4</v>
      </c>
      <c r="R83" s="19"/>
      <c r="S83" s="19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7">
        <f t="shared" si="35"/>
        <v>0</v>
      </c>
      <c r="P84" s="17">
        <f t="shared" si="36"/>
        <v>3</v>
      </c>
      <c r="R84" s="19"/>
      <c r="S84" s="19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7">
        <f t="shared" si="35"/>
        <v>0</v>
      </c>
      <c r="P85" s="17">
        <f t="shared" si="36"/>
        <v>1</v>
      </c>
      <c r="R85" s="19"/>
      <c r="S85" s="19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7">
        <f t="shared" si="35"/>
        <v>0</v>
      </c>
      <c r="P86" s="17">
        <f t="shared" si="36"/>
        <v>1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7">
        <f t="shared" si="35"/>
        <v>1</v>
      </c>
      <c r="P87" s="17">
        <f t="shared" si="36"/>
        <v>4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7">
        <f t="shared" si="35"/>
        <v>0</v>
      </c>
      <c r="P88" s="17">
        <f t="shared" si="36"/>
        <v>0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0</v>
      </c>
      <c r="P89" s="17">
        <f t="shared" si="36"/>
        <v>0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1</v>
      </c>
      <c r="P90" s="17">
        <f t="shared" si="36"/>
        <v>1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0</v>
      </c>
      <c r="P91" s="17">
        <f t="shared" si="36"/>
        <v>0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0</v>
      </c>
      <c r="P92" s="17">
        <f t="shared" si="36"/>
        <v>0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7">
        <f t="shared" si="35"/>
        <v>0</v>
      </c>
      <c r="P93" s="17">
        <f t="shared" si="36"/>
        <v>0</v>
      </c>
      <c r="R93" s="19"/>
      <c r="S93" s="19"/>
      <c r="T93"/>
    </row>
    <row r="94" spans="2:20" ht="23.1" customHeight="1" x14ac:dyDescent="0.25">
      <c r="B94" s="46" t="s">
        <v>134</v>
      </c>
      <c r="C94" s="50">
        <v>1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7">
        <f t="shared" si="35"/>
        <v>2</v>
      </c>
      <c r="P94" s="17">
        <f t="shared" si="36"/>
        <v>4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7">
        <f t="shared" si="35"/>
        <v>0</v>
      </c>
      <c r="P95" s="17">
        <f t="shared" si="36"/>
        <v>0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1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1</v>
      </c>
      <c r="P96" s="17">
        <f t="shared" si="36"/>
        <v>1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7">
        <f t="shared" si="35"/>
        <v>0</v>
      </c>
      <c r="P97" s="17">
        <f t="shared" si="36"/>
        <v>4</v>
      </c>
      <c r="R97" s="19"/>
      <c r="S97" s="19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3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7">
        <f t="shared" si="35"/>
        <v>4</v>
      </c>
      <c r="P98" s="17">
        <f t="shared" si="36"/>
        <v>8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7">
        <f t="shared" si="35"/>
        <v>0</v>
      </c>
      <c r="P99" s="17">
        <f t="shared" si="36"/>
        <v>3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1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5</v>
      </c>
      <c r="N100" s="50">
        <v>0</v>
      </c>
      <c r="O100" s="17">
        <f t="shared" si="35"/>
        <v>1</v>
      </c>
      <c r="P100" s="17">
        <f t="shared" si="36"/>
        <v>6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7">
        <f t="shared" si="35"/>
        <v>0</v>
      </c>
      <c r="P101" s="17">
        <f t="shared" si="36"/>
        <v>3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7">
        <f t="shared" si="35"/>
        <v>2</v>
      </c>
      <c r="P102" s="17">
        <f t="shared" si="36"/>
        <v>7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8</v>
      </c>
      <c r="N103" s="50">
        <v>0</v>
      </c>
      <c r="O103" s="17">
        <f t="shared" si="35"/>
        <v>4</v>
      </c>
      <c r="P103" s="17">
        <f t="shared" si="36"/>
        <v>12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5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8</v>
      </c>
      <c r="N104" s="50">
        <v>0</v>
      </c>
      <c r="O104" s="17">
        <f t="shared" si="35"/>
        <v>7</v>
      </c>
      <c r="P104" s="17">
        <f t="shared" si="36"/>
        <v>15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5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15</v>
      </c>
      <c r="N105" s="50">
        <v>0</v>
      </c>
      <c r="O105" s="17">
        <f t="shared" si="35"/>
        <v>8</v>
      </c>
      <c r="P105" s="17">
        <f t="shared" si="36"/>
        <v>23</v>
      </c>
      <c r="R105" s="19"/>
      <c r="S105" s="19"/>
      <c r="T105"/>
    </row>
    <row r="106" spans="2:20" ht="23.1" customHeight="1" x14ac:dyDescent="0.25">
      <c r="B106" s="54" t="s">
        <v>18</v>
      </c>
      <c r="C106" s="16">
        <f>SUM(C10:C105)</f>
        <v>283</v>
      </c>
      <c r="D106" s="16">
        <f t="shared" ref="D106:P106" si="37">SUM(D10:D105)</f>
        <v>50</v>
      </c>
      <c r="E106" s="16">
        <f t="shared" si="37"/>
        <v>32</v>
      </c>
      <c r="F106" s="16">
        <f t="shared" si="37"/>
        <v>111</v>
      </c>
      <c r="G106" s="16">
        <f t="shared" si="37"/>
        <v>16</v>
      </c>
      <c r="H106" s="16">
        <f t="shared" si="37"/>
        <v>0</v>
      </c>
      <c r="I106" s="16">
        <f t="shared" si="37"/>
        <v>91</v>
      </c>
      <c r="J106" s="16">
        <f t="shared" si="37"/>
        <v>27</v>
      </c>
      <c r="K106" s="16">
        <f t="shared" si="37"/>
        <v>29</v>
      </c>
      <c r="L106" s="16">
        <f t="shared" si="37"/>
        <v>0</v>
      </c>
      <c r="M106" s="16">
        <f t="shared" si="37"/>
        <v>2525</v>
      </c>
      <c r="N106" s="16">
        <f t="shared" si="37"/>
        <v>0</v>
      </c>
      <c r="O106" s="16">
        <f t="shared" si="37"/>
        <v>639</v>
      </c>
      <c r="P106" s="16">
        <f t="shared" si="37"/>
        <v>3164</v>
      </c>
      <c r="R106" s="19"/>
      <c r="S106" s="19"/>
      <c r="T106"/>
    </row>
    <row r="107" spans="2:20" ht="23.1" customHeight="1" x14ac:dyDescent="0.25">
      <c r="B107" s="54" t="s">
        <v>93</v>
      </c>
      <c r="C107" s="43">
        <f t="shared" ref="C107:N107" si="38">C106/$P$106</f>
        <v>8.944374209860935E-2</v>
      </c>
      <c r="D107" s="43">
        <f t="shared" si="38"/>
        <v>1.5802781289506952E-2</v>
      </c>
      <c r="E107" s="43">
        <f t="shared" si="38"/>
        <v>1.0113780025284451E-2</v>
      </c>
      <c r="F107" s="43">
        <f t="shared" si="38"/>
        <v>3.5082174462705437E-2</v>
      </c>
      <c r="G107" s="43">
        <f t="shared" si="38"/>
        <v>5.0568900126422255E-3</v>
      </c>
      <c r="H107" s="43">
        <f t="shared" si="38"/>
        <v>0</v>
      </c>
      <c r="I107" s="43">
        <f t="shared" si="38"/>
        <v>2.8761061946902654E-2</v>
      </c>
      <c r="J107" s="43">
        <f t="shared" si="38"/>
        <v>8.5335018963337544E-3</v>
      </c>
      <c r="K107" s="43">
        <f t="shared" si="38"/>
        <v>9.165613147914033E-3</v>
      </c>
      <c r="L107" s="43">
        <f t="shared" si="38"/>
        <v>0</v>
      </c>
      <c r="M107" s="43">
        <f t="shared" si="38"/>
        <v>0.79804045512010113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5" t="s">
        <v>94</v>
      </c>
      <c r="C108" s="44">
        <f>C106/$O$106</f>
        <v>0.44287949921752739</v>
      </c>
      <c r="D108" s="44">
        <f t="shared" ref="D108:N108" si="39">D106/$O$106</f>
        <v>7.82472613458529E-2</v>
      </c>
      <c r="E108" s="44">
        <f t="shared" si="39"/>
        <v>5.0078247261345854E-2</v>
      </c>
      <c r="F108" s="44">
        <f t="shared" si="39"/>
        <v>0.17370892018779344</v>
      </c>
      <c r="G108" s="44">
        <f t="shared" si="39"/>
        <v>2.5039123630672927E-2</v>
      </c>
      <c r="H108" s="44">
        <f t="shared" si="39"/>
        <v>0</v>
      </c>
      <c r="I108" s="44">
        <f t="shared" si="39"/>
        <v>0.14241001564945227</v>
      </c>
      <c r="J108" s="44">
        <f t="shared" si="39"/>
        <v>4.2253521126760563E-2</v>
      </c>
      <c r="K108" s="44">
        <f t="shared" si="39"/>
        <v>4.5383411580594682E-2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topLeftCell="A61" zoomScale="60" workbookViewId="0">
      <selection activeCell="D13" sqref="D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'[2]23.09.19-Kitemu-Buddo'!C3:G3</f>
        <v>MCC-C2-Kitemu -Buddo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175</v>
      </c>
      <c r="F5" s="41" t="s">
        <v>1</v>
      </c>
      <c r="G5" s="69" t="str">
        <f>'[2]28.09 Buddo-Kitemu-24h'!G5:H5</f>
        <v>St Charles Lwanga PS</v>
      </c>
      <c r="H5" s="70"/>
      <c r="I5" s="14"/>
      <c r="J5" s="2" t="s">
        <v>5</v>
      </c>
      <c r="K5" s="69" t="s">
        <v>167</v>
      </c>
      <c r="L5" s="7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9" t="str">
        <f>'[2]23.09.19-Kitemu-Buddo'!D6:E6</f>
        <v>KITEMU</v>
      </c>
      <c r="E6" s="70"/>
      <c r="F6" s="2" t="s">
        <v>2</v>
      </c>
      <c r="G6" s="69" t="str">
        <f>'[2]23.09.19-Kitemu-Buddo'!G6:H6</f>
        <v>BUDDO</v>
      </c>
      <c r="H6" s="70"/>
      <c r="J6" s="2" t="s">
        <v>21</v>
      </c>
      <c r="K6" s="69" t="str">
        <f>'[2]28.09 Buddo-Kitemu-24h'!K6:L6</f>
        <v>Denis</v>
      </c>
      <c r="L6" s="7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1" t="s">
        <v>88</v>
      </c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44</v>
      </c>
      <c r="N10" s="50">
        <v>0</v>
      </c>
      <c r="O10" s="17">
        <f t="shared" ref="O10:O57" si="0">SUM(C10:L10,N10)</f>
        <v>7</v>
      </c>
      <c r="P10" s="17">
        <f t="shared" ref="P10:P57" si="1">SUM(C10:N10)</f>
        <v>51</v>
      </c>
      <c r="R10" s="1" t="s">
        <v>6</v>
      </c>
      <c r="S10" s="17">
        <f t="shared" ref="S10:AF10" si="2">SUM(C10:C13)</f>
        <v>12</v>
      </c>
      <c r="T10" s="17">
        <f t="shared" si="2"/>
        <v>2</v>
      </c>
      <c r="U10" s="17">
        <f t="shared" si="2"/>
        <v>0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195</v>
      </c>
      <c r="AD10" s="17">
        <f t="shared" si="2"/>
        <v>0</v>
      </c>
      <c r="AE10" s="31">
        <f t="shared" si="2"/>
        <v>34</v>
      </c>
      <c r="AF10" s="31">
        <f t="shared" si="2"/>
        <v>229</v>
      </c>
    </row>
    <row r="11" spans="2:32" s="6" customFormat="1" ht="23.1" customHeight="1" x14ac:dyDescent="0.25">
      <c r="B11" s="23" t="s">
        <v>38</v>
      </c>
      <c r="C11" s="50">
        <v>4</v>
      </c>
      <c r="D11" s="50">
        <v>1</v>
      </c>
      <c r="E11" s="50">
        <v>0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50</v>
      </c>
      <c r="N11" s="50">
        <v>0</v>
      </c>
      <c r="O11" s="17">
        <f t="shared" si="0"/>
        <v>9</v>
      </c>
      <c r="P11" s="17">
        <f t="shared" si="1"/>
        <v>59</v>
      </c>
      <c r="R11" s="1" t="s">
        <v>7</v>
      </c>
      <c r="S11" s="17">
        <f t="shared" ref="S11:AF11" si="3">SUM(C14:C17)</f>
        <v>18</v>
      </c>
      <c r="T11" s="17">
        <f t="shared" si="3"/>
        <v>3</v>
      </c>
      <c r="U11" s="17">
        <f t="shared" si="3"/>
        <v>0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192</v>
      </c>
      <c r="AD11" s="17">
        <f t="shared" si="3"/>
        <v>0</v>
      </c>
      <c r="AE11" s="31">
        <f t="shared" si="3"/>
        <v>37</v>
      </c>
      <c r="AF11" s="31">
        <f t="shared" si="3"/>
        <v>229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49</v>
      </c>
      <c r="N12" s="50">
        <v>0</v>
      </c>
      <c r="O12" s="17">
        <f t="shared" si="0"/>
        <v>8</v>
      </c>
      <c r="P12" s="17">
        <f t="shared" si="1"/>
        <v>57</v>
      </c>
      <c r="R12" s="1" t="s">
        <v>8</v>
      </c>
      <c r="S12" s="17">
        <f t="shared" ref="S12:AF12" si="4">SUM(C18:C21)</f>
        <v>14</v>
      </c>
      <c r="T12" s="17">
        <f t="shared" si="4"/>
        <v>3</v>
      </c>
      <c r="U12" s="17">
        <f t="shared" si="4"/>
        <v>3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201</v>
      </c>
      <c r="AD12" s="17">
        <f t="shared" si="4"/>
        <v>0</v>
      </c>
      <c r="AE12" s="31">
        <f t="shared" si="4"/>
        <v>38</v>
      </c>
      <c r="AF12" s="31">
        <f t="shared" si="4"/>
        <v>239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7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52</v>
      </c>
      <c r="N13" s="50">
        <v>0</v>
      </c>
      <c r="O13" s="17">
        <f t="shared" si="0"/>
        <v>10</v>
      </c>
      <c r="P13" s="17">
        <f t="shared" si="1"/>
        <v>62</v>
      </c>
      <c r="R13" s="1" t="s">
        <v>9</v>
      </c>
      <c r="S13" s="17">
        <f t="shared" ref="S13:AF13" si="5">SUM(C22:C25)</f>
        <v>13</v>
      </c>
      <c r="T13" s="17">
        <f t="shared" si="5"/>
        <v>3</v>
      </c>
      <c r="U13" s="17">
        <f t="shared" si="5"/>
        <v>2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199</v>
      </c>
      <c r="AD13" s="17">
        <f t="shared" si="5"/>
        <v>0</v>
      </c>
      <c r="AE13" s="31">
        <f t="shared" si="5"/>
        <v>37</v>
      </c>
      <c r="AF13" s="31">
        <f t="shared" si="5"/>
        <v>236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42</v>
      </c>
      <c r="N14" s="50">
        <v>0</v>
      </c>
      <c r="O14" s="17">
        <f t="shared" si="0"/>
        <v>5</v>
      </c>
      <c r="P14" s="17">
        <f t="shared" si="1"/>
        <v>47</v>
      </c>
      <c r="R14" s="1" t="s">
        <v>10</v>
      </c>
      <c r="S14" s="17">
        <f t="shared" ref="S14:AF14" si="6">SUM(C26:C29)</f>
        <v>16</v>
      </c>
      <c r="T14" s="17">
        <f t="shared" si="6"/>
        <v>1</v>
      </c>
      <c r="U14" s="17">
        <f t="shared" si="6"/>
        <v>3</v>
      </c>
      <c r="V14" s="17">
        <f t="shared" si="6"/>
        <v>15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223</v>
      </c>
      <c r="AD14" s="17">
        <f t="shared" si="6"/>
        <v>0</v>
      </c>
      <c r="AE14" s="31">
        <f t="shared" si="6"/>
        <v>48</v>
      </c>
      <c r="AF14" s="31">
        <f t="shared" si="6"/>
        <v>271</v>
      </c>
    </row>
    <row r="15" spans="2:32" ht="23.1" customHeight="1" x14ac:dyDescent="0.25">
      <c r="B15" s="23" t="s">
        <v>42</v>
      </c>
      <c r="C15" s="50">
        <v>4</v>
      </c>
      <c r="D15" s="50">
        <v>2</v>
      </c>
      <c r="E15" s="50">
        <v>0</v>
      </c>
      <c r="F15" s="50">
        <v>1</v>
      </c>
      <c r="G15" s="50">
        <v>1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47</v>
      </c>
      <c r="N15" s="50">
        <v>0</v>
      </c>
      <c r="O15" s="17">
        <f t="shared" si="0"/>
        <v>12</v>
      </c>
      <c r="P15" s="17">
        <f t="shared" si="1"/>
        <v>59</v>
      </c>
      <c r="R15" s="1" t="s">
        <v>11</v>
      </c>
      <c r="S15" s="17">
        <f t="shared" ref="S15:AF15" si="7">SUM(C30:C33)</f>
        <v>22</v>
      </c>
      <c r="T15" s="17">
        <f t="shared" si="7"/>
        <v>1</v>
      </c>
      <c r="U15" s="17">
        <f t="shared" si="7"/>
        <v>3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240</v>
      </c>
      <c r="AD15" s="17">
        <f t="shared" si="7"/>
        <v>0</v>
      </c>
      <c r="AE15" s="31">
        <f t="shared" si="7"/>
        <v>45</v>
      </c>
      <c r="AF15" s="31">
        <f t="shared" si="7"/>
        <v>285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43</v>
      </c>
      <c r="N16" s="50">
        <v>0</v>
      </c>
      <c r="O16" s="17">
        <f t="shared" si="0"/>
        <v>5</v>
      </c>
      <c r="P16" s="17">
        <f t="shared" si="1"/>
        <v>48</v>
      </c>
      <c r="R16" s="1" t="s">
        <v>12</v>
      </c>
      <c r="S16" s="17">
        <f t="shared" ref="S16:AF16" si="8">SUM(C34:C37)</f>
        <v>25</v>
      </c>
      <c r="T16" s="17">
        <f t="shared" si="8"/>
        <v>1</v>
      </c>
      <c r="U16" s="17">
        <f t="shared" si="8"/>
        <v>2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197</v>
      </c>
      <c r="AD16" s="17">
        <f t="shared" si="8"/>
        <v>0</v>
      </c>
      <c r="AE16" s="31">
        <f t="shared" si="8"/>
        <v>42</v>
      </c>
      <c r="AF16" s="31">
        <f t="shared" si="8"/>
        <v>239</v>
      </c>
    </row>
    <row r="17" spans="2:32" ht="23.1" customHeight="1" x14ac:dyDescent="0.25">
      <c r="B17" s="23" t="s">
        <v>44</v>
      </c>
      <c r="C17" s="50">
        <v>10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60</v>
      </c>
      <c r="N17" s="50">
        <v>0</v>
      </c>
      <c r="O17" s="17">
        <f t="shared" si="0"/>
        <v>15</v>
      </c>
      <c r="P17" s="17">
        <f t="shared" si="1"/>
        <v>75</v>
      </c>
      <c r="R17" s="1" t="s">
        <v>13</v>
      </c>
      <c r="S17" s="17">
        <f t="shared" ref="S17:AF17" si="9">SUM(C38:C41)</f>
        <v>15</v>
      </c>
      <c r="T17" s="17">
        <f t="shared" si="9"/>
        <v>2</v>
      </c>
      <c r="U17" s="17">
        <f t="shared" si="9"/>
        <v>1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188</v>
      </c>
      <c r="AD17" s="17">
        <f t="shared" si="9"/>
        <v>0</v>
      </c>
      <c r="AE17" s="31">
        <f t="shared" si="9"/>
        <v>38</v>
      </c>
      <c r="AF17" s="31">
        <f t="shared" si="9"/>
        <v>226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0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7">
        <f t="shared" si="0"/>
        <v>7</v>
      </c>
      <c r="P18" s="17">
        <f t="shared" si="1"/>
        <v>52</v>
      </c>
      <c r="R18" s="1" t="s">
        <v>14</v>
      </c>
      <c r="S18" s="17">
        <f t="shared" ref="S18:AF18" si="10">SUM(C42:C45)</f>
        <v>23</v>
      </c>
      <c r="T18" s="17">
        <f t="shared" si="10"/>
        <v>1</v>
      </c>
      <c r="U18" s="17">
        <f t="shared" si="10"/>
        <v>2</v>
      </c>
      <c r="V18" s="17">
        <f t="shared" si="10"/>
        <v>11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177</v>
      </c>
      <c r="AD18" s="17">
        <f t="shared" si="10"/>
        <v>0</v>
      </c>
      <c r="AE18" s="31">
        <f t="shared" si="10"/>
        <v>43</v>
      </c>
      <c r="AF18" s="31">
        <f t="shared" si="10"/>
        <v>220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3</v>
      </c>
      <c r="F19" s="50">
        <v>0</v>
      </c>
      <c r="G19" s="50">
        <v>0</v>
      </c>
      <c r="H19" s="50">
        <v>0</v>
      </c>
      <c r="I19" s="50">
        <v>0</v>
      </c>
      <c r="J19" s="50">
        <v>2</v>
      </c>
      <c r="K19" s="50">
        <v>0</v>
      </c>
      <c r="L19" s="50">
        <v>0</v>
      </c>
      <c r="M19" s="50">
        <v>53</v>
      </c>
      <c r="N19" s="50">
        <v>0</v>
      </c>
      <c r="O19" s="17">
        <f t="shared" si="0"/>
        <v>9</v>
      </c>
      <c r="P19" s="17">
        <f t="shared" si="1"/>
        <v>62</v>
      </c>
      <c r="R19" s="1" t="s">
        <v>15</v>
      </c>
      <c r="S19" s="17">
        <f t="shared" ref="S19:AF19" si="11">SUM(C46:C49)</f>
        <v>15</v>
      </c>
      <c r="T19" s="17">
        <f t="shared" si="11"/>
        <v>5</v>
      </c>
      <c r="U19" s="17">
        <f t="shared" si="11"/>
        <v>3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151</v>
      </c>
      <c r="AD19" s="17">
        <f t="shared" si="11"/>
        <v>0</v>
      </c>
      <c r="AE19" s="31">
        <f t="shared" si="11"/>
        <v>40</v>
      </c>
      <c r="AF19" s="31">
        <f t="shared" si="11"/>
        <v>191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0</v>
      </c>
      <c r="F20" s="50">
        <v>3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49</v>
      </c>
      <c r="N20" s="50">
        <v>0</v>
      </c>
      <c r="O20" s="17">
        <f t="shared" si="0"/>
        <v>11</v>
      </c>
      <c r="P20" s="17">
        <f t="shared" si="1"/>
        <v>60</v>
      </c>
      <c r="R20" s="1" t="s">
        <v>16</v>
      </c>
      <c r="S20" s="17">
        <f t="shared" ref="S20:AF20" si="12">SUM(C50:C53)</f>
        <v>13</v>
      </c>
      <c r="T20" s="17">
        <f t="shared" si="12"/>
        <v>7</v>
      </c>
      <c r="U20" s="17">
        <f t="shared" si="12"/>
        <v>1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154</v>
      </c>
      <c r="AD20" s="17">
        <f t="shared" si="12"/>
        <v>0</v>
      </c>
      <c r="AE20" s="31">
        <f t="shared" si="12"/>
        <v>37</v>
      </c>
      <c r="AF20" s="31">
        <f t="shared" si="12"/>
        <v>191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0</v>
      </c>
      <c r="F21" s="50">
        <v>4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54</v>
      </c>
      <c r="N21" s="50">
        <v>0</v>
      </c>
      <c r="O21" s="17">
        <f t="shared" si="0"/>
        <v>11</v>
      </c>
      <c r="P21" s="17">
        <f t="shared" si="1"/>
        <v>65</v>
      </c>
      <c r="R21" s="36" t="s">
        <v>20</v>
      </c>
      <c r="S21" s="34">
        <f t="shared" ref="S21:AF21" si="13">SUM(C54:C57)</f>
        <v>12</v>
      </c>
      <c r="T21" s="17">
        <f t="shared" si="13"/>
        <v>1</v>
      </c>
      <c r="U21" s="17">
        <f t="shared" si="13"/>
        <v>1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127</v>
      </c>
      <c r="AD21" s="17">
        <f t="shared" si="13"/>
        <v>0</v>
      </c>
      <c r="AE21" s="31">
        <f t="shared" si="13"/>
        <v>31</v>
      </c>
      <c r="AF21" s="31">
        <f t="shared" si="13"/>
        <v>158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44</v>
      </c>
      <c r="N22" s="50">
        <v>0</v>
      </c>
      <c r="O22" s="17">
        <f t="shared" si="0"/>
        <v>10</v>
      </c>
      <c r="P22" s="17">
        <f t="shared" si="1"/>
        <v>54</v>
      </c>
      <c r="R22" s="52" t="s">
        <v>90</v>
      </c>
      <c r="S22" s="53">
        <f>MAX(S10:S12)</f>
        <v>18</v>
      </c>
      <c r="T22" s="53">
        <f t="shared" ref="T22:AF22" si="14">MAX(T10:T12)</f>
        <v>3</v>
      </c>
      <c r="U22" s="53">
        <f t="shared" si="14"/>
        <v>3</v>
      </c>
      <c r="V22" s="53">
        <f t="shared" si="14"/>
        <v>15</v>
      </c>
      <c r="W22" s="53">
        <f t="shared" si="14"/>
        <v>1</v>
      </c>
      <c r="X22" s="53">
        <f t="shared" si="14"/>
        <v>0</v>
      </c>
      <c r="Y22" s="53">
        <f t="shared" si="14"/>
        <v>6</v>
      </c>
      <c r="Z22" s="53">
        <f t="shared" si="14"/>
        <v>4</v>
      </c>
      <c r="AA22" s="53">
        <f t="shared" si="14"/>
        <v>0</v>
      </c>
      <c r="AB22" s="53">
        <f t="shared" si="14"/>
        <v>0</v>
      </c>
      <c r="AC22" s="53">
        <f t="shared" si="14"/>
        <v>201</v>
      </c>
      <c r="AD22" s="53">
        <f t="shared" si="14"/>
        <v>0</v>
      </c>
      <c r="AE22" s="40">
        <f t="shared" si="14"/>
        <v>38</v>
      </c>
      <c r="AF22" s="40">
        <f t="shared" si="14"/>
        <v>239</v>
      </c>
    </row>
    <row r="23" spans="2:32" ht="23.1" customHeight="1" x14ac:dyDescent="0.25">
      <c r="B23" s="23" t="s">
        <v>50</v>
      </c>
      <c r="C23" s="50">
        <v>5</v>
      </c>
      <c r="D23" s="50">
        <v>1</v>
      </c>
      <c r="E23" s="50">
        <v>0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51</v>
      </c>
      <c r="N23" s="50">
        <v>0</v>
      </c>
      <c r="O23" s="17">
        <f t="shared" si="0"/>
        <v>9</v>
      </c>
      <c r="P23" s="17">
        <f t="shared" si="1"/>
        <v>60</v>
      </c>
      <c r="R23" s="52" t="s">
        <v>91</v>
      </c>
      <c r="S23" s="53">
        <f>MAX(S13:S18)</f>
        <v>25</v>
      </c>
      <c r="T23" s="53">
        <f t="shared" ref="T23:AF23" si="15">MAX(T13:T18)</f>
        <v>3</v>
      </c>
      <c r="U23" s="53">
        <f t="shared" si="15"/>
        <v>3</v>
      </c>
      <c r="V23" s="53">
        <f t="shared" si="15"/>
        <v>15</v>
      </c>
      <c r="W23" s="53">
        <f t="shared" si="15"/>
        <v>0</v>
      </c>
      <c r="X23" s="53">
        <f t="shared" si="15"/>
        <v>1</v>
      </c>
      <c r="Y23" s="53">
        <f t="shared" si="15"/>
        <v>7</v>
      </c>
      <c r="Z23" s="53">
        <f t="shared" si="15"/>
        <v>6</v>
      </c>
      <c r="AA23" s="53">
        <f t="shared" si="15"/>
        <v>1</v>
      </c>
      <c r="AB23" s="53">
        <f t="shared" si="15"/>
        <v>0</v>
      </c>
      <c r="AC23" s="53">
        <f t="shared" si="15"/>
        <v>240</v>
      </c>
      <c r="AD23" s="53">
        <f t="shared" si="15"/>
        <v>0</v>
      </c>
      <c r="AE23" s="40">
        <f t="shared" si="15"/>
        <v>48</v>
      </c>
      <c r="AF23" s="40">
        <f t="shared" si="15"/>
        <v>285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2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59</v>
      </c>
      <c r="N24" s="50">
        <v>0</v>
      </c>
      <c r="O24" s="17">
        <f t="shared" si="0"/>
        <v>8</v>
      </c>
      <c r="P24" s="17">
        <f t="shared" si="1"/>
        <v>67</v>
      </c>
      <c r="R24" s="52" t="s">
        <v>92</v>
      </c>
      <c r="S24" s="53">
        <f>MAX(S19:S21)</f>
        <v>15</v>
      </c>
      <c r="T24" s="53">
        <f t="shared" ref="T24:AF24" si="16">MAX(T19:T21)</f>
        <v>7</v>
      </c>
      <c r="U24" s="53">
        <f t="shared" si="16"/>
        <v>3</v>
      </c>
      <c r="V24" s="53">
        <f t="shared" si="16"/>
        <v>10</v>
      </c>
      <c r="W24" s="53">
        <f t="shared" si="16"/>
        <v>0</v>
      </c>
      <c r="X24" s="53">
        <f t="shared" si="16"/>
        <v>0</v>
      </c>
      <c r="Y24" s="53">
        <f t="shared" si="16"/>
        <v>9</v>
      </c>
      <c r="Z24" s="53">
        <f t="shared" si="16"/>
        <v>2</v>
      </c>
      <c r="AA24" s="53">
        <f t="shared" si="16"/>
        <v>0</v>
      </c>
      <c r="AB24" s="53">
        <f t="shared" si="16"/>
        <v>0</v>
      </c>
      <c r="AC24" s="53">
        <f t="shared" si="16"/>
        <v>154</v>
      </c>
      <c r="AD24" s="53">
        <f t="shared" si="16"/>
        <v>0</v>
      </c>
      <c r="AE24" s="40">
        <f t="shared" si="16"/>
        <v>40</v>
      </c>
      <c r="AF24" s="40">
        <f t="shared" si="16"/>
        <v>191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1</v>
      </c>
      <c r="F25" s="50">
        <v>4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45</v>
      </c>
      <c r="N25" s="50">
        <v>0</v>
      </c>
      <c r="O25" s="17">
        <f t="shared" si="0"/>
        <v>10</v>
      </c>
      <c r="P25" s="17">
        <f t="shared" si="1"/>
        <v>55</v>
      </c>
      <c r="R25" s="37" t="s">
        <v>85</v>
      </c>
      <c r="S25" s="35">
        <f t="shared" ref="S25:AF25" si="17">SUM(S10:S12)</f>
        <v>44</v>
      </c>
      <c r="T25" s="16">
        <f t="shared" si="17"/>
        <v>8</v>
      </c>
      <c r="U25" s="16">
        <f t="shared" si="17"/>
        <v>3</v>
      </c>
      <c r="V25" s="16">
        <f t="shared" si="17"/>
        <v>32</v>
      </c>
      <c r="W25" s="16">
        <f t="shared" si="17"/>
        <v>1</v>
      </c>
      <c r="X25" s="16">
        <f t="shared" si="17"/>
        <v>0</v>
      </c>
      <c r="Y25" s="16">
        <f t="shared" si="17"/>
        <v>13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588</v>
      </c>
      <c r="AD25" s="16">
        <f t="shared" si="17"/>
        <v>0</v>
      </c>
      <c r="AE25" s="32">
        <f t="shared" si="17"/>
        <v>109</v>
      </c>
      <c r="AF25" s="32">
        <f t="shared" si="17"/>
        <v>697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0</v>
      </c>
      <c r="F26" s="50">
        <v>3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54</v>
      </c>
      <c r="N26" s="50">
        <v>0</v>
      </c>
      <c r="O26" s="17">
        <f t="shared" si="0"/>
        <v>9</v>
      </c>
      <c r="P26" s="17">
        <f t="shared" si="1"/>
        <v>63</v>
      </c>
      <c r="R26" s="28" t="s">
        <v>86</v>
      </c>
      <c r="S26" s="16">
        <f t="shared" ref="S26:AF26" si="18">SUM(S13:S18)</f>
        <v>114</v>
      </c>
      <c r="T26" s="16">
        <f t="shared" si="18"/>
        <v>9</v>
      </c>
      <c r="U26" s="16">
        <f t="shared" si="18"/>
        <v>13</v>
      </c>
      <c r="V26" s="16">
        <f t="shared" si="18"/>
        <v>62</v>
      </c>
      <c r="W26" s="16">
        <f t="shared" si="18"/>
        <v>0</v>
      </c>
      <c r="X26" s="16">
        <f t="shared" si="18"/>
        <v>1</v>
      </c>
      <c r="Y26" s="16">
        <f t="shared" si="18"/>
        <v>31</v>
      </c>
      <c r="Z26" s="16">
        <f t="shared" si="18"/>
        <v>21</v>
      </c>
      <c r="AA26" s="16">
        <f t="shared" si="18"/>
        <v>2</v>
      </c>
      <c r="AB26" s="16">
        <f t="shared" si="18"/>
        <v>0</v>
      </c>
      <c r="AC26" s="16">
        <f t="shared" si="18"/>
        <v>1224</v>
      </c>
      <c r="AD26" s="16">
        <f t="shared" si="18"/>
        <v>0</v>
      </c>
      <c r="AE26" s="32">
        <f t="shared" si="18"/>
        <v>253</v>
      </c>
      <c r="AF26" s="32">
        <f t="shared" si="18"/>
        <v>1477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3</v>
      </c>
      <c r="F27" s="50">
        <v>6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59</v>
      </c>
      <c r="N27" s="50">
        <v>0</v>
      </c>
      <c r="O27" s="17">
        <f t="shared" si="0"/>
        <v>15</v>
      </c>
      <c r="P27" s="17">
        <f t="shared" si="1"/>
        <v>74</v>
      </c>
      <c r="R27" s="29" t="s">
        <v>87</v>
      </c>
      <c r="S27" s="16">
        <f t="shared" ref="S27:AF27" si="19">SUM(S19:S21)</f>
        <v>40</v>
      </c>
      <c r="T27" s="16">
        <f t="shared" si="19"/>
        <v>13</v>
      </c>
      <c r="U27" s="16">
        <f t="shared" si="19"/>
        <v>5</v>
      </c>
      <c r="V27" s="16">
        <f t="shared" si="19"/>
        <v>27</v>
      </c>
      <c r="W27" s="16">
        <f t="shared" si="19"/>
        <v>0</v>
      </c>
      <c r="X27" s="16">
        <f t="shared" si="19"/>
        <v>0</v>
      </c>
      <c r="Y27" s="16">
        <f t="shared" si="19"/>
        <v>20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432</v>
      </c>
      <c r="AD27" s="16">
        <f t="shared" si="19"/>
        <v>0</v>
      </c>
      <c r="AE27" s="32">
        <f t="shared" si="19"/>
        <v>108</v>
      </c>
      <c r="AF27" s="32">
        <f t="shared" si="19"/>
        <v>540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0</v>
      </c>
      <c r="F28" s="50">
        <v>4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0</v>
      </c>
      <c r="M28" s="50">
        <v>58</v>
      </c>
      <c r="N28" s="50">
        <v>0</v>
      </c>
      <c r="O28" s="17">
        <f t="shared" si="0"/>
        <v>13</v>
      </c>
      <c r="P28" s="17">
        <f t="shared" si="1"/>
        <v>71</v>
      </c>
      <c r="R28" s="5" t="s">
        <v>17</v>
      </c>
      <c r="S28" s="16">
        <f t="shared" ref="S28:AF28" si="20">SUM(S10:S21)</f>
        <v>198</v>
      </c>
      <c r="T28" s="16">
        <f t="shared" si="20"/>
        <v>30</v>
      </c>
      <c r="U28" s="16">
        <f t="shared" si="20"/>
        <v>21</v>
      </c>
      <c r="V28" s="16">
        <f t="shared" si="20"/>
        <v>121</v>
      </c>
      <c r="W28" s="16">
        <f t="shared" si="20"/>
        <v>1</v>
      </c>
      <c r="X28" s="16">
        <f t="shared" si="20"/>
        <v>1</v>
      </c>
      <c r="Y28" s="16">
        <f t="shared" si="20"/>
        <v>64</v>
      </c>
      <c r="Z28" s="16">
        <f t="shared" si="20"/>
        <v>32</v>
      </c>
      <c r="AA28" s="16">
        <f t="shared" si="20"/>
        <v>2</v>
      </c>
      <c r="AB28" s="16">
        <f t="shared" si="20"/>
        <v>0</v>
      </c>
      <c r="AC28" s="16">
        <f t="shared" si="20"/>
        <v>2244</v>
      </c>
      <c r="AD28" s="16">
        <f t="shared" si="20"/>
        <v>0</v>
      </c>
      <c r="AE28" s="32">
        <f t="shared" si="20"/>
        <v>470</v>
      </c>
      <c r="AF28" s="32">
        <f t="shared" si="20"/>
        <v>2714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0</v>
      </c>
      <c r="M29" s="50">
        <v>52</v>
      </c>
      <c r="N29" s="50">
        <v>0</v>
      </c>
      <c r="O29" s="17">
        <f t="shared" si="0"/>
        <v>11</v>
      </c>
      <c r="P29" s="17">
        <f t="shared" si="1"/>
        <v>63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53</v>
      </c>
      <c r="N30" s="50">
        <v>0</v>
      </c>
      <c r="O30" s="17">
        <f t="shared" si="0"/>
        <v>8</v>
      </c>
      <c r="P30" s="17">
        <f t="shared" si="1"/>
        <v>61</v>
      </c>
      <c r="R30"/>
      <c r="S30" s="19"/>
      <c r="T30" s="19"/>
    </row>
    <row r="31" spans="2:32" ht="23.1" customHeight="1" x14ac:dyDescent="0.25">
      <c r="B31" s="24" t="s">
        <v>58</v>
      </c>
      <c r="C31" s="50">
        <v>8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60</v>
      </c>
      <c r="N31" s="50">
        <v>0</v>
      </c>
      <c r="O31" s="17">
        <f t="shared" si="0"/>
        <v>14</v>
      </c>
      <c r="P31" s="17">
        <f t="shared" si="1"/>
        <v>74</v>
      </c>
      <c r="R31"/>
      <c r="S31" s="19"/>
      <c r="T31" s="19"/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0</v>
      </c>
      <c r="F32" s="50">
        <v>2</v>
      </c>
      <c r="G32" s="50">
        <v>0</v>
      </c>
      <c r="H32" s="50">
        <v>1</v>
      </c>
      <c r="I32" s="50">
        <v>0</v>
      </c>
      <c r="J32" s="50">
        <v>2</v>
      </c>
      <c r="K32" s="50">
        <v>0</v>
      </c>
      <c r="L32" s="50">
        <v>0</v>
      </c>
      <c r="M32" s="50">
        <v>65</v>
      </c>
      <c r="N32" s="50">
        <v>0</v>
      </c>
      <c r="O32" s="17">
        <f t="shared" si="0"/>
        <v>11</v>
      </c>
      <c r="P32" s="17">
        <f t="shared" si="1"/>
        <v>76</v>
      </c>
      <c r="R32"/>
      <c r="S32" s="19"/>
      <c r="T32" s="19"/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3</v>
      </c>
      <c r="F33" s="50">
        <v>3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62</v>
      </c>
      <c r="N33" s="50">
        <v>0</v>
      </c>
      <c r="O33" s="17">
        <f t="shared" si="0"/>
        <v>12</v>
      </c>
      <c r="P33" s="17">
        <f t="shared" si="1"/>
        <v>74</v>
      </c>
      <c r="R33"/>
      <c r="S33" s="19"/>
      <c r="T33" s="19"/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58</v>
      </c>
      <c r="N34" s="50">
        <v>0</v>
      </c>
      <c r="O34" s="17">
        <f t="shared" si="0"/>
        <v>13</v>
      </c>
      <c r="P34" s="17">
        <f t="shared" si="1"/>
        <v>71</v>
      </c>
      <c r="R34"/>
      <c r="S34" s="19"/>
      <c r="T34" s="19"/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49</v>
      </c>
      <c r="N35" s="50">
        <v>0</v>
      </c>
      <c r="O35" s="17">
        <f t="shared" si="0"/>
        <v>6</v>
      </c>
      <c r="P35" s="17">
        <f t="shared" si="1"/>
        <v>55</v>
      </c>
      <c r="R35"/>
      <c r="S35" s="19"/>
      <c r="T35" s="19"/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44</v>
      </c>
      <c r="N36" s="50">
        <v>0</v>
      </c>
      <c r="O36" s="17">
        <f t="shared" si="0"/>
        <v>10</v>
      </c>
      <c r="P36" s="17">
        <f t="shared" si="1"/>
        <v>54</v>
      </c>
      <c r="R36"/>
      <c r="S36" s="19"/>
      <c r="T36" s="19"/>
    </row>
    <row r="37" spans="2:20" ht="23.1" customHeight="1" x14ac:dyDescent="0.25">
      <c r="B37" s="23" t="s">
        <v>64</v>
      </c>
      <c r="C37" s="50">
        <v>9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46</v>
      </c>
      <c r="N37" s="50">
        <v>0</v>
      </c>
      <c r="O37" s="17">
        <f t="shared" si="0"/>
        <v>13</v>
      </c>
      <c r="P37" s="17">
        <f t="shared" si="1"/>
        <v>59</v>
      </c>
      <c r="R37"/>
      <c r="S37" s="19"/>
      <c r="T37" s="19"/>
    </row>
    <row r="38" spans="2:20" ht="23.1" customHeight="1" x14ac:dyDescent="0.25">
      <c r="B38" s="24" t="s">
        <v>65</v>
      </c>
      <c r="C38" s="50">
        <v>4</v>
      </c>
      <c r="D38" s="50">
        <v>2</v>
      </c>
      <c r="E38" s="50">
        <v>0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47</v>
      </c>
      <c r="N38" s="50">
        <v>0</v>
      </c>
      <c r="O38" s="17">
        <f t="shared" si="0"/>
        <v>12</v>
      </c>
      <c r="P38" s="17">
        <f t="shared" si="1"/>
        <v>59</v>
      </c>
      <c r="R38"/>
      <c r="S38" s="19"/>
      <c r="T38" s="19"/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50</v>
      </c>
      <c r="N39" s="50">
        <v>0</v>
      </c>
      <c r="O39" s="17">
        <f t="shared" si="0"/>
        <v>10</v>
      </c>
      <c r="P39" s="17">
        <f t="shared" si="1"/>
        <v>60</v>
      </c>
      <c r="R39"/>
      <c r="S39" s="19"/>
      <c r="T39" s="19"/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48</v>
      </c>
      <c r="N40" s="50">
        <v>0</v>
      </c>
      <c r="O40" s="17">
        <f t="shared" si="0"/>
        <v>8</v>
      </c>
      <c r="P40" s="17">
        <f t="shared" si="1"/>
        <v>56</v>
      </c>
      <c r="R40"/>
      <c r="S40" s="19"/>
      <c r="T40" s="19"/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4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43</v>
      </c>
      <c r="N41" s="50">
        <v>0</v>
      </c>
      <c r="O41" s="17">
        <f t="shared" si="0"/>
        <v>8</v>
      </c>
      <c r="P41" s="17">
        <f t="shared" si="1"/>
        <v>51</v>
      </c>
      <c r="R41"/>
      <c r="S41" s="19"/>
      <c r="T41" s="19"/>
    </row>
    <row r="42" spans="2:20" ht="23.1" customHeight="1" x14ac:dyDescent="0.25">
      <c r="B42" s="24" t="s">
        <v>69</v>
      </c>
      <c r="C42" s="50">
        <v>7</v>
      </c>
      <c r="D42" s="50">
        <v>1</v>
      </c>
      <c r="E42" s="50">
        <v>0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48</v>
      </c>
      <c r="N42" s="50">
        <v>0</v>
      </c>
      <c r="O42" s="17">
        <f t="shared" si="0"/>
        <v>12</v>
      </c>
      <c r="P42" s="17">
        <f t="shared" si="1"/>
        <v>60</v>
      </c>
      <c r="R42"/>
      <c r="S42" s="19"/>
      <c r="T42" s="19"/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42</v>
      </c>
      <c r="N43" s="50">
        <v>0</v>
      </c>
      <c r="O43" s="17">
        <f t="shared" si="0"/>
        <v>9</v>
      </c>
      <c r="P43" s="17">
        <f t="shared" si="1"/>
        <v>51</v>
      </c>
      <c r="R43"/>
      <c r="S43" s="19"/>
      <c r="T43" s="19"/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0</v>
      </c>
      <c r="F44" s="50">
        <v>3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47</v>
      </c>
      <c r="N44" s="50">
        <v>0</v>
      </c>
      <c r="O44" s="17">
        <f t="shared" si="0"/>
        <v>10</v>
      </c>
      <c r="P44" s="17">
        <f t="shared" si="1"/>
        <v>57</v>
      </c>
      <c r="R44"/>
      <c r="S44" s="19"/>
      <c r="T44" s="19"/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40</v>
      </c>
      <c r="N45" s="50">
        <v>0</v>
      </c>
      <c r="O45" s="17">
        <f t="shared" si="0"/>
        <v>12</v>
      </c>
      <c r="P45" s="17">
        <f t="shared" si="1"/>
        <v>52</v>
      </c>
      <c r="R45"/>
      <c r="S45" s="19"/>
      <c r="T45" s="19"/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35</v>
      </c>
      <c r="N46" s="50">
        <v>0</v>
      </c>
      <c r="O46" s="17">
        <f t="shared" si="0"/>
        <v>7</v>
      </c>
      <c r="P46" s="17">
        <f t="shared" si="1"/>
        <v>42</v>
      </c>
      <c r="R46" s="19"/>
      <c r="S46" s="19"/>
      <c r="T46"/>
    </row>
    <row r="47" spans="2:20" ht="23.1" customHeight="1" x14ac:dyDescent="0.25">
      <c r="B47" s="24" t="s">
        <v>74</v>
      </c>
      <c r="C47" s="50">
        <v>3</v>
      </c>
      <c r="D47" s="50">
        <v>2</v>
      </c>
      <c r="E47" s="50">
        <v>1</v>
      </c>
      <c r="F47" s="50">
        <v>5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38</v>
      </c>
      <c r="N47" s="50">
        <v>0</v>
      </c>
      <c r="O47" s="17">
        <f t="shared" si="0"/>
        <v>12</v>
      </c>
      <c r="P47" s="17">
        <f t="shared" si="1"/>
        <v>50</v>
      </c>
      <c r="R47" s="19"/>
      <c r="S47" s="19"/>
      <c r="T47"/>
    </row>
    <row r="48" spans="2:20" ht="23.1" customHeight="1" x14ac:dyDescent="0.25">
      <c r="B48" s="24" t="s">
        <v>75</v>
      </c>
      <c r="C48" s="50">
        <v>5</v>
      </c>
      <c r="D48" s="50">
        <v>1</v>
      </c>
      <c r="E48" s="50">
        <v>0</v>
      </c>
      <c r="F48" s="50">
        <v>2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45</v>
      </c>
      <c r="N48" s="50">
        <v>0</v>
      </c>
      <c r="O48" s="17">
        <f t="shared" si="0"/>
        <v>11</v>
      </c>
      <c r="P48" s="17">
        <f t="shared" si="1"/>
        <v>56</v>
      </c>
      <c r="R48" s="19"/>
      <c r="S48" s="19"/>
      <c r="T48"/>
    </row>
    <row r="49" spans="2:20" ht="23.1" customHeight="1" x14ac:dyDescent="0.25">
      <c r="B49" s="23" t="s">
        <v>76</v>
      </c>
      <c r="C49" s="50">
        <v>4</v>
      </c>
      <c r="D49" s="50">
        <v>2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33</v>
      </c>
      <c r="N49" s="50">
        <v>0</v>
      </c>
      <c r="O49" s="17">
        <f t="shared" si="0"/>
        <v>10</v>
      </c>
      <c r="P49" s="17">
        <f t="shared" si="1"/>
        <v>43</v>
      </c>
      <c r="R49" s="19"/>
      <c r="S49" s="19"/>
      <c r="T49"/>
    </row>
    <row r="50" spans="2:20" ht="23.1" customHeight="1" x14ac:dyDescent="0.25">
      <c r="B50" s="24" t="s">
        <v>77</v>
      </c>
      <c r="C50" s="50">
        <v>4</v>
      </c>
      <c r="D50" s="50">
        <v>2</v>
      </c>
      <c r="E50" s="50">
        <v>0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36</v>
      </c>
      <c r="N50" s="50">
        <v>0</v>
      </c>
      <c r="O50" s="17">
        <f t="shared" si="0"/>
        <v>9</v>
      </c>
      <c r="P50" s="17">
        <f t="shared" si="1"/>
        <v>45</v>
      </c>
      <c r="R50" s="19"/>
      <c r="S50" s="19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43</v>
      </c>
      <c r="N51" s="50">
        <v>0</v>
      </c>
      <c r="O51" s="17">
        <f t="shared" si="0"/>
        <v>3</v>
      </c>
      <c r="P51" s="17">
        <f t="shared" si="1"/>
        <v>46</v>
      </c>
      <c r="R51" s="19"/>
      <c r="S51" s="19"/>
      <c r="T51"/>
    </row>
    <row r="52" spans="2:20" ht="23.1" customHeight="1" x14ac:dyDescent="0.25">
      <c r="B52" s="24" t="s">
        <v>79</v>
      </c>
      <c r="C52" s="50">
        <v>3</v>
      </c>
      <c r="D52" s="50">
        <v>3</v>
      </c>
      <c r="E52" s="50">
        <v>0</v>
      </c>
      <c r="F52" s="50">
        <v>3</v>
      </c>
      <c r="G52" s="50">
        <v>0</v>
      </c>
      <c r="H52" s="50">
        <v>0</v>
      </c>
      <c r="I52" s="50">
        <v>5</v>
      </c>
      <c r="J52" s="50">
        <v>0</v>
      </c>
      <c r="K52" s="50">
        <v>0</v>
      </c>
      <c r="L52" s="50">
        <v>0</v>
      </c>
      <c r="M52" s="50">
        <v>40</v>
      </c>
      <c r="N52" s="50">
        <v>0</v>
      </c>
      <c r="O52" s="17">
        <f t="shared" si="0"/>
        <v>14</v>
      </c>
      <c r="P52" s="17">
        <f t="shared" si="1"/>
        <v>54</v>
      </c>
      <c r="R52" s="19"/>
      <c r="S52" s="19"/>
      <c r="T52"/>
    </row>
    <row r="53" spans="2:20" ht="23.1" customHeight="1" x14ac:dyDescent="0.25">
      <c r="B53" s="23" t="s">
        <v>80</v>
      </c>
      <c r="C53" s="50">
        <v>4</v>
      </c>
      <c r="D53" s="50">
        <v>2</v>
      </c>
      <c r="E53" s="50">
        <v>1</v>
      </c>
      <c r="F53" s="50">
        <v>2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35</v>
      </c>
      <c r="N53" s="50">
        <v>0</v>
      </c>
      <c r="O53" s="17">
        <f t="shared" si="0"/>
        <v>11</v>
      </c>
      <c r="P53" s="17">
        <f t="shared" si="1"/>
        <v>46</v>
      </c>
      <c r="R53" s="19"/>
      <c r="S53" s="19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32</v>
      </c>
      <c r="N54" s="50">
        <v>0</v>
      </c>
      <c r="O54" s="17">
        <f t="shared" si="0"/>
        <v>6</v>
      </c>
      <c r="P54" s="17">
        <f t="shared" si="1"/>
        <v>38</v>
      </c>
      <c r="R54" s="19"/>
      <c r="S54" s="19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7">
        <f t="shared" si="0"/>
        <v>4</v>
      </c>
      <c r="P55" s="17">
        <f t="shared" si="1"/>
        <v>34</v>
      </c>
      <c r="R55" s="19"/>
      <c r="S55" s="19"/>
      <c r="T55"/>
    </row>
    <row r="56" spans="2:20" ht="23.1" customHeight="1" x14ac:dyDescent="0.25">
      <c r="B56" s="23" t="s">
        <v>83</v>
      </c>
      <c r="C56" s="50">
        <v>4</v>
      </c>
      <c r="D56" s="50">
        <v>1</v>
      </c>
      <c r="E56" s="50">
        <v>0</v>
      </c>
      <c r="F56" s="50">
        <v>3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35</v>
      </c>
      <c r="N56" s="50">
        <v>0</v>
      </c>
      <c r="O56" s="17">
        <f t="shared" si="0"/>
        <v>11</v>
      </c>
      <c r="P56" s="17">
        <f t="shared" si="1"/>
        <v>46</v>
      </c>
      <c r="R56" s="19"/>
      <c r="S56" s="19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1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30</v>
      </c>
      <c r="N57" s="50">
        <v>0</v>
      </c>
      <c r="O57" s="17">
        <f t="shared" si="0"/>
        <v>10</v>
      </c>
      <c r="P57" s="17">
        <f t="shared" si="1"/>
        <v>40</v>
      </c>
      <c r="R57" s="19"/>
      <c r="S57" s="19"/>
      <c r="T57"/>
    </row>
    <row r="58" spans="2:20" ht="23.1" customHeight="1" x14ac:dyDescent="0.25">
      <c r="B58" s="54" t="s">
        <v>18</v>
      </c>
      <c r="C58" s="16">
        <f t="shared" ref="C58:P58" si="21">SUM(C10:C57)</f>
        <v>198</v>
      </c>
      <c r="D58" s="16">
        <f t="shared" si="21"/>
        <v>30</v>
      </c>
      <c r="E58" s="16">
        <f t="shared" si="21"/>
        <v>21</v>
      </c>
      <c r="F58" s="16">
        <f t="shared" si="21"/>
        <v>121</v>
      </c>
      <c r="G58" s="16">
        <f t="shared" si="21"/>
        <v>1</v>
      </c>
      <c r="H58" s="16">
        <f t="shared" si="21"/>
        <v>1</v>
      </c>
      <c r="I58" s="16">
        <f t="shared" si="21"/>
        <v>64</v>
      </c>
      <c r="J58" s="16">
        <f t="shared" si="21"/>
        <v>32</v>
      </c>
      <c r="K58" s="16">
        <f t="shared" si="21"/>
        <v>2</v>
      </c>
      <c r="L58" s="16">
        <f t="shared" si="21"/>
        <v>0</v>
      </c>
      <c r="M58" s="16">
        <f t="shared" si="21"/>
        <v>2244</v>
      </c>
      <c r="N58" s="16">
        <f t="shared" si="21"/>
        <v>0</v>
      </c>
      <c r="O58" s="16">
        <f t="shared" si="21"/>
        <v>470</v>
      </c>
      <c r="P58" s="16">
        <f t="shared" si="21"/>
        <v>2714</v>
      </c>
      <c r="R58" s="19"/>
      <c r="S58" s="19"/>
      <c r="T58"/>
    </row>
    <row r="59" spans="2:20" ht="23.1" customHeight="1" x14ac:dyDescent="0.25">
      <c r="B59" s="54" t="s">
        <v>93</v>
      </c>
      <c r="C59" s="43">
        <f t="shared" ref="C59:N59" si="22">C58/$P$58</f>
        <v>7.2955047899778927E-2</v>
      </c>
      <c r="D59" s="43">
        <f t="shared" si="22"/>
        <v>1.105379513633014E-2</v>
      </c>
      <c r="E59" s="43">
        <f t="shared" si="22"/>
        <v>7.7376565954310984E-3</v>
      </c>
      <c r="F59" s="43">
        <f t="shared" si="22"/>
        <v>4.4583640383198231E-2</v>
      </c>
      <c r="G59" s="43">
        <f t="shared" si="22"/>
        <v>3.6845983787767134E-4</v>
      </c>
      <c r="H59" s="43">
        <f t="shared" si="22"/>
        <v>3.6845983787767134E-4</v>
      </c>
      <c r="I59" s="43">
        <f t="shared" si="22"/>
        <v>2.3581429624170966E-2</v>
      </c>
      <c r="J59" s="43">
        <f t="shared" si="22"/>
        <v>1.1790714812085483E-2</v>
      </c>
      <c r="K59" s="43">
        <f t="shared" si="22"/>
        <v>7.3691967575534268E-4</v>
      </c>
      <c r="L59" s="43">
        <f t="shared" si="22"/>
        <v>0</v>
      </c>
      <c r="M59" s="43">
        <f t="shared" si="22"/>
        <v>0.82682387619749442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5" t="s">
        <v>94</v>
      </c>
      <c r="C60" s="44">
        <f>C58/$O$58</f>
        <v>0.42127659574468085</v>
      </c>
      <c r="D60" s="44">
        <f t="shared" ref="D60:N60" si="23">D58/$O$58</f>
        <v>6.3829787234042548E-2</v>
      </c>
      <c r="E60" s="44">
        <f t="shared" si="23"/>
        <v>4.4680851063829789E-2</v>
      </c>
      <c r="F60" s="44">
        <f t="shared" si="23"/>
        <v>0.25744680851063828</v>
      </c>
      <c r="G60" s="44">
        <f t="shared" si="23"/>
        <v>2.1276595744680851E-3</v>
      </c>
      <c r="H60" s="44">
        <f t="shared" si="23"/>
        <v>2.1276595744680851E-3</v>
      </c>
      <c r="I60" s="44">
        <f t="shared" si="23"/>
        <v>0.13617021276595745</v>
      </c>
      <c r="J60" s="44">
        <f t="shared" si="23"/>
        <v>6.8085106382978725E-2</v>
      </c>
      <c r="K60" s="44">
        <f t="shared" si="23"/>
        <v>4.2553191489361703E-3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A4" zoomScale="60" workbookViewId="0">
      <selection activeCell="M45" sqref="M4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'[2]23.09.19 -Buddo-Kitemu'!C3:G3</f>
        <v>MCC-C2-STNO 59A-BUDDO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'[2]29.09 Kitemu-Buddo'!D5</f>
        <v>29.09.19</v>
      </c>
      <c r="F5" s="41" t="s">
        <v>1</v>
      </c>
      <c r="G5" s="69" t="str">
        <f>'[2]29.09 Kitemu-Buddo'!G5:H5</f>
        <v>St Charles Lwanga PS</v>
      </c>
      <c r="H5" s="70"/>
      <c r="I5" s="14"/>
      <c r="J5" s="2" t="s">
        <v>5</v>
      </c>
      <c r="K5" s="69" t="s">
        <v>173</v>
      </c>
      <c r="L5" s="7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9" t="str">
        <f>'[2]23.09.19 -Buddo-Kitemu'!D6:E6</f>
        <v>BUDDO</v>
      </c>
      <c r="E6" s="70"/>
      <c r="F6" s="2" t="s">
        <v>2</v>
      </c>
      <c r="G6" s="69" t="str">
        <f>'[2]23.09.19 -Buddo-Kitemu'!G6:H6</f>
        <v>KITEMU</v>
      </c>
      <c r="H6" s="70"/>
      <c r="J6" s="2" t="s">
        <v>21</v>
      </c>
      <c r="K6" s="69" t="str">
        <f>'[2]29.09 Kitemu-Buddo'!K6:L6</f>
        <v>Denis</v>
      </c>
      <c r="L6" s="7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1" t="s">
        <v>88</v>
      </c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4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29</v>
      </c>
      <c r="N10" s="50">
        <v>0</v>
      </c>
      <c r="O10" s="17">
        <f t="shared" ref="O10:O57" si="0">SUM(C10:L10,N10)</f>
        <v>4</v>
      </c>
      <c r="P10" s="17">
        <f t="shared" ref="P10:P57" si="1">SUM(C10:N10)</f>
        <v>33</v>
      </c>
      <c r="R10" s="1" t="s">
        <v>6</v>
      </c>
      <c r="S10" s="17">
        <f t="shared" ref="S10:AF10" si="2">SUM(C10:C13)</f>
        <v>12</v>
      </c>
      <c r="T10" s="17">
        <f t="shared" si="2"/>
        <v>0</v>
      </c>
      <c r="U10" s="17">
        <f t="shared" si="2"/>
        <v>1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139</v>
      </c>
      <c r="AD10" s="17">
        <f t="shared" si="2"/>
        <v>0</v>
      </c>
      <c r="AE10" s="31">
        <f t="shared" si="2"/>
        <v>26</v>
      </c>
      <c r="AF10" s="31">
        <f t="shared" si="2"/>
        <v>165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0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7">
        <f t="shared" si="0"/>
        <v>9</v>
      </c>
      <c r="P11" s="17">
        <f t="shared" si="1"/>
        <v>44</v>
      </c>
      <c r="R11" s="1" t="s">
        <v>7</v>
      </c>
      <c r="S11" s="17">
        <f t="shared" ref="S11:AF11" si="3">SUM(C14:C17)</f>
        <v>16</v>
      </c>
      <c r="T11" s="17">
        <f t="shared" si="3"/>
        <v>2</v>
      </c>
      <c r="U11" s="17">
        <f t="shared" si="3"/>
        <v>4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157</v>
      </c>
      <c r="AD11" s="17">
        <f t="shared" si="3"/>
        <v>0</v>
      </c>
      <c r="AE11" s="31">
        <f t="shared" si="3"/>
        <v>43</v>
      </c>
      <c r="AF11" s="31">
        <f t="shared" si="3"/>
        <v>200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45</v>
      </c>
      <c r="N12" s="50">
        <v>0</v>
      </c>
      <c r="O12" s="17">
        <f t="shared" si="0"/>
        <v>6</v>
      </c>
      <c r="P12" s="17">
        <f t="shared" si="1"/>
        <v>51</v>
      </c>
      <c r="R12" s="1" t="s">
        <v>8</v>
      </c>
      <c r="S12" s="17">
        <f t="shared" ref="S12:AF12" si="4">SUM(C18:C21)</f>
        <v>22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124</v>
      </c>
      <c r="AD12" s="17">
        <f t="shared" si="4"/>
        <v>0</v>
      </c>
      <c r="AE12" s="31">
        <f t="shared" si="4"/>
        <v>35</v>
      </c>
      <c r="AF12" s="31">
        <f t="shared" si="4"/>
        <v>159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30</v>
      </c>
      <c r="N13" s="50">
        <v>0</v>
      </c>
      <c r="O13" s="17">
        <f t="shared" si="0"/>
        <v>7</v>
      </c>
      <c r="P13" s="17">
        <f t="shared" si="1"/>
        <v>37</v>
      </c>
      <c r="R13" s="1" t="s">
        <v>9</v>
      </c>
      <c r="S13" s="17">
        <f t="shared" ref="S13:AF13" si="5">SUM(C22:C25)</f>
        <v>26</v>
      </c>
      <c r="T13" s="17">
        <f t="shared" si="5"/>
        <v>2</v>
      </c>
      <c r="U13" s="17">
        <f t="shared" si="5"/>
        <v>2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210</v>
      </c>
      <c r="AD13" s="17">
        <f t="shared" si="5"/>
        <v>0</v>
      </c>
      <c r="AE13" s="31">
        <f t="shared" si="5"/>
        <v>46</v>
      </c>
      <c r="AF13" s="31">
        <f t="shared" si="5"/>
        <v>256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1</v>
      </c>
      <c r="F14" s="50">
        <v>6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34</v>
      </c>
      <c r="N14" s="50">
        <v>0</v>
      </c>
      <c r="O14" s="17">
        <f t="shared" si="0"/>
        <v>13</v>
      </c>
      <c r="P14" s="17">
        <f t="shared" si="1"/>
        <v>47</v>
      </c>
      <c r="R14" s="1" t="s">
        <v>10</v>
      </c>
      <c r="S14" s="17">
        <f t="shared" ref="S14:AF14" si="6">SUM(C26:C29)</f>
        <v>17</v>
      </c>
      <c r="T14" s="17">
        <f t="shared" si="6"/>
        <v>4</v>
      </c>
      <c r="U14" s="17">
        <f t="shared" si="6"/>
        <v>8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199</v>
      </c>
      <c r="AD14" s="17">
        <f t="shared" si="6"/>
        <v>0</v>
      </c>
      <c r="AE14" s="31">
        <f t="shared" si="6"/>
        <v>43</v>
      </c>
      <c r="AF14" s="31">
        <f t="shared" si="6"/>
        <v>242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3</v>
      </c>
      <c r="F15" s="50">
        <v>3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35</v>
      </c>
      <c r="N15" s="50">
        <v>0</v>
      </c>
      <c r="O15" s="17">
        <f t="shared" si="0"/>
        <v>12</v>
      </c>
      <c r="P15" s="17">
        <f t="shared" si="1"/>
        <v>47</v>
      </c>
      <c r="R15" s="1" t="s">
        <v>11</v>
      </c>
      <c r="S15" s="17">
        <f t="shared" ref="S15:AF15" si="7">SUM(C30:C33)</f>
        <v>18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150</v>
      </c>
      <c r="AD15" s="17">
        <f t="shared" si="7"/>
        <v>0</v>
      </c>
      <c r="AE15" s="31">
        <f t="shared" si="7"/>
        <v>29</v>
      </c>
      <c r="AF15" s="31">
        <f t="shared" si="7"/>
        <v>179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34</v>
      </c>
      <c r="N16" s="50">
        <v>0</v>
      </c>
      <c r="O16" s="17">
        <f t="shared" si="0"/>
        <v>5</v>
      </c>
      <c r="P16" s="17">
        <f t="shared" si="1"/>
        <v>39</v>
      </c>
      <c r="R16" s="1" t="s">
        <v>12</v>
      </c>
      <c r="S16" s="17">
        <f t="shared" ref="S16:AF16" si="8">SUM(C34:C37)</f>
        <v>23</v>
      </c>
      <c r="T16" s="17">
        <f t="shared" si="8"/>
        <v>1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91</v>
      </c>
      <c r="AD16" s="17">
        <f t="shared" si="8"/>
        <v>0</v>
      </c>
      <c r="AE16" s="31">
        <f t="shared" si="8"/>
        <v>36</v>
      </c>
      <c r="AF16" s="31">
        <f t="shared" si="8"/>
        <v>127</v>
      </c>
    </row>
    <row r="17" spans="2:32" ht="23.1" customHeight="1" x14ac:dyDescent="0.25">
      <c r="B17" s="23" t="s">
        <v>44</v>
      </c>
      <c r="C17" s="50">
        <v>6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5</v>
      </c>
      <c r="J17" s="50">
        <v>1</v>
      </c>
      <c r="K17" s="50">
        <v>0</v>
      </c>
      <c r="L17" s="50">
        <v>0</v>
      </c>
      <c r="M17" s="50">
        <v>54</v>
      </c>
      <c r="N17" s="50">
        <v>0</v>
      </c>
      <c r="O17" s="17">
        <f t="shared" si="0"/>
        <v>13</v>
      </c>
      <c r="P17" s="17">
        <f t="shared" si="1"/>
        <v>67</v>
      </c>
      <c r="R17" s="1" t="s">
        <v>13</v>
      </c>
      <c r="S17" s="17">
        <f t="shared" ref="S17:AF17" si="9">SUM(C38:C41)</f>
        <v>22</v>
      </c>
      <c r="T17" s="17">
        <f t="shared" si="9"/>
        <v>2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92</v>
      </c>
      <c r="AD17" s="17">
        <f t="shared" si="9"/>
        <v>0</v>
      </c>
      <c r="AE17" s="31">
        <f t="shared" si="9"/>
        <v>34</v>
      </c>
      <c r="AF17" s="31">
        <f t="shared" si="9"/>
        <v>126</v>
      </c>
    </row>
    <row r="18" spans="2:32" ht="23.1" customHeight="1" x14ac:dyDescent="0.25">
      <c r="B18" s="23" t="s">
        <v>45</v>
      </c>
      <c r="C18" s="50">
        <v>3</v>
      </c>
      <c r="D18" s="50">
        <v>3</v>
      </c>
      <c r="E18" s="50">
        <v>1</v>
      </c>
      <c r="F18" s="50">
        <v>0</v>
      </c>
      <c r="G18" s="50">
        <v>1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30</v>
      </c>
      <c r="N18" s="50">
        <v>0</v>
      </c>
      <c r="O18" s="17">
        <f t="shared" si="0"/>
        <v>8</v>
      </c>
      <c r="P18" s="17">
        <f t="shared" si="1"/>
        <v>38</v>
      </c>
      <c r="R18" s="1" t="s">
        <v>14</v>
      </c>
      <c r="S18" s="17">
        <f t="shared" ref="S18:AF18" si="10">SUM(C42:C45)</f>
        <v>15</v>
      </c>
      <c r="T18" s="17">
        <f t="shared" si="10"/>
        <v>1</v>
      </c>
      <c r="U18" s="17">
        <f t="shared" si="10"/>
        <v>4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115</v>
      </c>
      <c r="AD18" s="17">
        <f t="shared" si="10"/>
        <v>0</v>
      </c>
      <c r="AE18" s="31">
        <f t="shared" si="10"/>
        <v>34</v>
      </c>
      <c r="AF18" s="31">
        <f t="shared" si="10"/>
        <v>149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7">
        <f t="shared" si="0"/>
        <v>5</v>
      </c>
      <c r="P19" s="17">
        <f t="shared" si="1"/>
        <v>25</v>
      </c>
      <c r="R19" s="1" t="s">
        <v>15</v>
      </c>
      <c r="S19" s="17">
        <f t="shared" ref="S19:AF19" si="11">SUM(C46:C49)</f>
        <v>23</v>
      </c>
      <c r="T19" s="17">
        <f t="shared" si="11"/>
        <v>0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124</v>
      </c>
      <c r="AD19" s="17">
        <f t="shared" si="11"/>
        <v>0</v>
      </c>
      <c r="AE19" s="31">
        <f t="shared" si="11"/>
        <v>38</v>
      </c>
      <c r="AF19" s="31">
        <f t="shared" si="11"/>
        <v>162</v>
      </c>
    </row>
    <row r="20" spans="2:32" ht="23.1" customHeight="1" x14ac:dyDescent="0.25">
      <c r="B20" s="23" t="s">
        <v>47</v>
      </c>
      <c r="C20" s="50">
        <v>9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35</v>
      </c>
      <c r="N20" s="50">
        <v>0</v>
      </c>
      <c r="O20" s="17">
        <f t="shared" si="0"/>
        <v>12</v>
      </c>
      <c r="P20" s="17">
        <f t="shared" si="1"/>
        <v>47</v>
      </c>
      <c r="R20" s="1" t="s">
        <v>16</v>
      </c>
      <c r="S20" s="17">
        <f t="shared" ref="S20:AF20" si="12">SUM(C50:C53)</f>
        <v>13</v>
      </c>
      <c r="T20" s="17">
        <f t="shared" si="12"/>
        <v>6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149</v>
      </c>
      <c r="AD20" s="17">
        <f t="shared" si="12"/>
        <v>0</v>
      </c>
      <c r="AE20" s="31">
        <f t="shared" si="12"/>
        <v>31</v>
      </c>
      <c r="AF20" s="31">
        <f t="shared" si="12"/>
        <v>180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39</v>
      </c>
      <c r="N21" s="50">
        <v>0</v>
      </c>
      <c r="O21" s="17">
        <f t="shared" si="0"/>
        <v>10</v>
      </c>
      <c r="P21" s="17">
        <f t="shared" si="1"/>
        <v>49</v>
      </c>
      <c r="R21" s="36" t="s">
        <v>20</v>
      </c>
      <c r="S21" s="34">
        <f t="shared" ref="S21:AF21" si="13">SUM(C54:C57)</f>
        <v>19</v>
      </c>
      <c r="T21" s="17">
        <f t="shared" si="13"/>
        <v>2</v>
      </c>
      <c r="U21" s="17">
        <f t="shared" si="13"/>
        <v>2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189</v>
      </c>
      <c r="AD21" s="17">
        <f t="shared" si="13"/>
        <v>0</v>
      </c>
      <c r="AE21" s="31">
        <f t="shared" si="13"/>
        <v>37</v>
      </c>
      <c r="AF21" s="31">
        <f t="shared" si="13"/>
        <v>226</v>
      </c>
    </row>
    <row r="22" spans="2:32" ht="23.1" customHeight="1" x14ac:dyDescent="0.25">
      <c r="B22" s="23" t="s">
        <v>49</v>
      </c>
      <c r="C22" s="50">
        <v>7</v>
      </c>
      <c r="D22" s="50">
        <v>2</v>
      </c>
      <c r="E22" s="50">
        <v>0</v>
      </c>
      <c r="F22" s="50">
        <v>2</v>
      </c>
      <c r="G22" s="50">
        <v>1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55</v>
      </c>
      <c r="N22" s="50">
        <v>0</v>
      </c>
      <c r="O22" s="17">
        <f t="shared" si="0"/>
        <v>12</v>
      </c>
      <c r="P22" s="17">
        <f t="shared" si="1"/>
        <v>67</v>
      </c>
      <c r="R22" s="52" t="s">
        <v>90</v>
      </c>
      <c r="S22" s="53">
        <f>MAX(S10:S12)</f>
        <v>22</v>
      </c>
      <c r="T22" s="53">
        <f t="shared" ref="T22:AF22" si="14">MAX(T10:T12)</f>
        <v>3</v>
      </c>
      <c r="U22" s="53">
        <f t="shared" si="14"/>
        <v>4</v>
      </c>
      <c r="V22" s="53">
        <f t="shared" si="14"/>
        <v>11</v>
      </c>
      <c r="W22" s="53">
        <f t="shared" si="14"/>
        <v>1</v>
      </c>
      <c r="X22" s="53">
        <f t="shared" si="14"/>
        <v>0</v>
      </c>
      <c r="Y22" s="53">
        <f t="shared" si="14"/>
        <v>9</v>
      </c>
      <c r="Z22" s="53">
        <f t="shared" si="14"/>
        <v>2</v>
      </c>
      <c r="AA22" s="53">
        <f t="shared" si="14"/>
        <v>0</v>
      </c>
      <c r="AB22" s="53">
        <f t="shared" si="14"/>
        <v>0</v>
      </c>
      <c r="AC22" s="53">
        <f t="shared" si="14"/>
        <v>157</v>
      </c>
      <c r="AD22" s="53">
        <f t="shared" si="14"/>
        <v>0</v>
      </c>
      <c r="AE22" s="40">
        <f t="shared" si="14"/>
        <v>43</v>
      </c>
      <c r="AF22" s="40">
        <f t="shared" si="14"/>
        <v>200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49</v>
      </c>
      <c r="N23" s="50">
        <v>0</v>
      </c>
      <c r="O23" s="17">
        <f t="shared" si="0"/>
        <v>12</v>
      </c>
      <c r="P23" s="17">
        <f t="shared" si="1"/>
        <v>61</v>
      </c>
      <c r="R23" s="52" t="s">
        <v>91</v>
      </c>
      <c r="S23" s="53">
        <f>MAX(S13:S18)</f>
        <v>26</v>
      </c>
      <c r="T23" s="53">
        <f t="shared" ref="T23:AF23" si="15">MAX(T13:T18)</f>
        <v>4</v>
      </c>
      <c r="U23" s="53">
        <f t="shared" si="15"/>
        <v>8</v>
      </c>
      <c r="V23" s="53">
        <f t="shared" si="15"/>
        <v>4</v>
      </c>
      <c r="W23" s="53">
        <f t="shared" si="15"/>
        <v>1</v>
      </c>
      <c r="X23" s="53">
        <f t="shared" si="15"/>
        <v>0</v>
      </c>
      <c r="Y23" s="53">
        <f t="shared" si="15"/>
        <v>9</v>
      </c>
      <c r="Z23" s="53">
        <f t="shared" si="15"/>
        <v>5</v>
      </c>
      <c r="AA23" s="53">
        <f t="shared" si="15"/>
        <v>1</v>
      </c>
      <c r="AB23" s="53">
        <f t="shared" si="15"/>
        <v>0</v>
      </c>
      <c r="AC23" s="53">
        <f t="shared" si="15"/>
        <v>210</v>
      </c>
      <c r="AD23" s="53">
        <f t="shared" si="15"/>
        <v>0</v>
      </c>
      <c r="AE23" s="40">
        <f t="shared" si="15"/>
        <v>46</v>
      </c>
      <c r="AF23" s="40">
        <f t="shared" si="15"/>
        <v>256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49</v>
      </c>
      <c r="N24" s="50">
        <v>0</v>
      </c>
      <c r="O24" s="17">
        <f t="shared" si="0"/>
        <v>13</v>
      </c>
      <c r="P24" s="17">
        <f t="shared" si="1"/>
        <v>62</v>
      </c>
      <c r="R24" s="52" t="s">
        <v>92</v>
      </c>
      <c r="S24" s="53">
        <f>MAX(S19:S21)</f>
        <v>23</v>
      </c>
      <c r="T24" s="53">
        <f t="shared" ref="T24:AF24" si="16">MAX(T19:T21)</f>
        <v>6</v>
      </c>
      <c r="U24" s="53">
        <f t="shared" si="16"/>
        <v>3</v>
      </c>
      <c r="V24" s="53">
        <f t="shared" si="16"/>
        <v>2</v>
      </c>
      <c r="W24" s="53">
        <f t="shared" si="16"/>
        <v>0</v>
      </c>
      <c r="X24" s="53">
        <f t="shared" si="16"/>
        <v>0</v>
      </c>
      <c r="Y24" s="53">
        <f t="shared" si="16"/>
        <v>10</v>
      </c>
      <c r="Z24" s="53">
        <f t="shared" si="16"/>
        <v>6</v>
      </c>
      <c r="AA24" s="53">
        <f t="shared" si="16"/>
        <v>1</v>
      </c>
      <c r="AB24" s="53">
        <f t="shared" si="16"/>
        <v>0</v>
      </c>
      <c r="AC24" s="53">
        <f t="shared" si="16"/>
        <v>189</v>
      </c>
      <c r="AD24" s="53">
        <f t="shared" si="16"/>
        <v>0</v>
      </c>
      <c r="AE24" s="40">
        <f t="shared" si="16"/>
        <v>38</v>
      </c>
      <c r="AF24" s="40">
        <f t="shared" si="16"/>
        <v>226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57</v>
      </c>
      <c r="N25" s="50">
        <v>0</v>
      </c>
      <c r="O25" s="17">
        <f t="shared" si="0"/>
        <v>9</v>
      </c>
      <c r="P25" s="17">
        <f t="shared" si="1"/>
        <v>66</v>
      </c>
      <c r="R25" s="37" t="s">
        <v>85</v>
      </c>
      <c r="S25" s="35">
        <f t="shared" ref="S25:AF25" si="17">SUM(S10:S12)</f>
        <v>50</v>
      </c>
      <c r="T25" s="16">
        <f t="shared" si="17"/>
        <v>5</v>
      </c>
      <c r="U25" s="16">
        <f t="shared" si="17"/>
        <v>8</v>
      </c>
      <c r="V25" s="16">
        <f t="shared" si="17"/>
        <v>21</v>
      </c>
      <c r="W25" s="16">
        <f t="shared" si="17"/>
        <v>1</v>
      </c>
      <c r="X25" s="16">
        <f t="shared" si="17"/>
        <v>0</v>
      </c>
      <c r="Y25" s="16">
        <f t="shared" si="17"/>
        <v>17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420</v>
      </c>
      <c r="AD25" s="16">
        <f t="shared" si="17"/>
        <v>0</v>
      </c>
      <c r="AE25" s="32">
        <f t="shared" si="17"/>
        <v>104</v>
      </c>
      <c r="AF25" s="32">
        <f t="shared" si="17"/>
        <v>524</v>
      </c>
    </row>
    <row r="26" spans="2:32" ht="23.1" customHeight="1" x14ac:dyDescent="0.25">
      <c r="B26" s="23" t="s">
        <v>53</v>
      </c>
      <c r="C26" s="50">
        <v>4</v>
      </c>
      <c r="D26" s="50">
        <v>2</v>
      </c>
      <c r="E26" s="50">
        <v>2</v>
      </c>
      <c r="F26" s="50">
        <v>3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56</v>
      </c>
      <c r="N26" s="50">
        <v>0</v>
      </c>
      <c r="O26" s="17">
        <f t="shared" si="0"/>
        <v>13</v>
      </c>
      <c r="P26" s="17">
        <f t="shared" si="1"/>
        <v>69</v>
      </c>
      <c r="R26" s="28" t="s">
        <v>86</v>
      </c>
      <c r="S26" s="16">
        <f t="shared" ref="S26:AF26" si="18">SUM(S13:S18)</f>
        <v>121</v>
      </c>
      <c r="T26" s="16">
        <f t="shared" si="18"/>
        <v>10</v>
      </c>
      <c r="U26" s="16">
        <f t="shared" si="18"/>
        <v>21</v>
      </c>
      <c r="V26" s="16">
        <f t="shared" si="18"/>
        <v>15</v>
      </c>
      <c r="W26" s="16">
        <f t="shared" si="18"/>
        <v>1</v>
      </c>
      <c r="X26" s="16">
        <f t="shared" si="18"/>
        <v>0</v>
      </c>
      <c r="Y26" s="16">
        <f t="shared" si="18"/>
        <v>39</v>
      </c>
      <c r="Z26" s="16">
        <f t="shared" si="18"/>
        <v>12</v>
      </c>
      <c r="AA26" s="16">
        <f t="shared" si="18"/>
        <v>3</v>
      </c>
      <c r="AB26" s="16">
        <f t="shared" si="18"/>
        <v>0</v>
      </c>
      <c r="AC26" s="16">
        <f t="shared" si="18"/>
        <v>857</v>
      </c>
      <c r="AD26" s="16">
        <f t="shared" si="18"/>
        <v>0</v>
      </c>
      <c r="AE26" s="32">
        <f t="shared" si="18"/>
        <v>222</v>
      </c>
      <c r="AF26" s="32">
        <f t="shared" si="18"/>
        <v>1079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3</v>
      </c>
      <c r="J27" s="50">
        <v>1</v>
      </c>
      <c r="K27" s="50">
        <v>0</v>
      </c>
      <c r="L27" s="50">
        <v>0</v>
      </c>
      <c r="M27" s="50">
        <v>51</v>
      </c>
      <c r="N27" s="50">
        <v>0</v>
      </c>
      <c r="O27" s="17">
        <f t="shared" si="0"/>
        <v>10</v>
      </c>
      <c r="P27" s="17">
        <f t="shared" si="1"/>
        <v>61</v>
      </c>
      <c r="R27" s="29" t="s">
        <v>87</v>
      </c>
      <c r="S27" s="16">
        <f t="shared" ref="S27:AF27" si="19">SUM(S19:S21)</f>
        <v>55</v>
      </c>
      <c r="T27" s="16">
        <f t="shared" si="19"/>
        <v>8</v>
      </c>
      <c r="U27" s="16">
        <f t="shared" si="19"/>
        <v>7</v>
      </c>
      <c r="V27" s="16">
        <f t="shared" si="19"/>
        <v>5</v>
      </c>
      <c r="W27" s="16">
        <f t="shared" si="19"/>
        <v>0</v>
      </c>
      <c r="X27" s="16">
        <f t="shared" si="19"/>
        <v>0</v>
      </c>
      <c r="Y27" s="16">
        <f t="shared" si="19"/>
        <v>23</v>
      </c>
      <c r="Z27" s="16">
        <f t="shared" si="19"/>
        <v>7</v>
      </c>
      <c r="AA27" s="16">
        <f t="shared" si="19"/>
        <v>1</v>
      </c>
      <c r="AB27" s="16">
        <f t="shared" si="19"/>
        <v>0</v>
      </c>
      <c r="AC27" s="16">
        <f t="shared" si="19"/>
        <v>462</v>
      </c>
      <c r="AD27" s="16">
        <f t="shared" si="19"/>
        <v>0</v>
      </c>
      <c r="AE27" s="32">
        <f t="shared" si="19"/>
        <v>106</v>
      </c>
      <c r="AF27" s="32">
        <f t="shared" si="19"/>
        <v>568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4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39</v>
      </c>
      <c r="N28" s="50">
        <v>0</v>
      </c>
      <c r="O28" s="17">
        <f t="shared" si="0"/>
        <v>11</v>
      </c>
      <c r="P28" s="17">
        <f t="shared" si="1"/>
        <v>50</v>
      </c>
      <c r="R28" s="5" t="s">
        <v>17</v>
      </c>
      <c r="S28" s="16">
        <f t="shared" ref="S28:AF28" si="20">SUM(S10:S21)</f>
        <v>226</v>
      </c>
      <c r="T28" s="16">
        <f t="shared" si="20"/>
        <v>23</v>
      </c>
      <c r="U28" s="16">
        <f t="shared" si="20"/>
        <v>36</v>
      </c>
      <c r="V28" s="16">
        <f t="shared" si="20"/>
        <v>41</v>
      </c>
      <c r="W28" s="16">
        <f t="shared" si="20"/>
        <v>2</v>
      </c>
      <c r="X28" s="16">
        <f t="shared" si="20"/>
        <v>0</v>
      </c>
      <c r="Y28" s="16">
        <f t="shared" si="20"/>
        <v>79</v>
      </c>
      <c r="Z28" s="16">
        <f t="shared" si="20"/>
        <v>21</v>
      </c>
      <c r="AA28" s="16">
        <f t="shared" si="20"/>
        <v>4</v>
      </c>
      <c r="AB28" s="16">
        <f t="shared" si="20"/>
        <v>0</v>
      </c>
      <c r="AC28" s="16">
        <f t="shared" si="20"/>
        <v>1739</v>
      </c>
      <c r="AD28" s="16">
        <f t="shared" si="20"/>
        <v>0</v>
      </c>
      <c r="AE28" s="32">
        <f t="shared" si="20"/>
        <v>432</v>
      </c>
      <c r="AF28" s="32">
        <f t="shared" si="20"/>
        <v>2171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53</v>
      </c>
      <c r="N29" s="50">
        <v>0</v>
      </c>
      <c r="O29" s="17">
        <f t="shared" si="0"/>
        <v>9</v>
      </c>
      <c r="P29" s="17">
        <f t="shared" si="1"/>
        <v>62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44</v>
      </c>
      <c r="N30" s="50">
        <v>0</v>
      </c>
      <c r="O30" s="17">
        <f t="shared" si="0"/>
        <v>7</v>
      </c>
      <c r="P30" s="17">
        <f t="shared" si="1"/>
        <v>51</v>
      </c>
      <c r="R30"/>
      <c r="S30" s="19"/>
      <c r="T30" s="19"/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37</v>
      </c>
      <c r="N31" s="50">
        <v>0</v>
      </c>
      <c r="O31" s="17">
        <f t="shared" si="0"/>
        <v>3</v>
      </c>
      <c r="P31" s="17">
        <f t="shared" si="1"/>
        <v>40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1</v>
      </c>
      <c r="L32" s="50">
        <v>0</v>
      </c>
      <c r="M32" s="50">
        <v>30</v>
      </c>
      <c r="N32" s="50">
        <v>0</v>
      </c>
      <c r="O32" s="17">
        <f t="shared" si="0"/>
        <v>5</v>
      </c>
      <c r="P32" s="17">
        <f t="shared" si="1"/>
        <v>35</v>
      </c>
      <c r="R32"/>
      <c r="S32" s="19"/>
      <c r="T32" s="19"/>
    </row>
    <row r="33" spans="2:20" ht="23.1" customHeight="1" x14ac:dyDescent="0.25">
      <c r="B33" s="23" t="s">
        <v>60</v>
      </c>
      <c r="C33" s="50">
        <v>10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39</v>
      </c>
      <c r="N33" s="50">
        <v>0</v>
      </c>
      <c r="O33" s="17">
        <f t="shared" si="0"/>
        <v>14</v>
      </c>
      <c r="P33" s="17">
        <f t="shared" si="1"/>
        <v>53</v>
      </c>
      <c r="R33"/>
      <c r="S33" s="19"/>
      <c r="T33" s="19"/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3</v>
      </c>
      <c r="K34" s="50">
        <v>0</v>
      </c>
      <c r="L34" s="50">
        <v>0</v>
      </c>
      <c r="M34" s="50">
        <v>24</v>
      </c>
      <c r="N34" s="50">
        <v>0</v>
      </c>
      <c r="O34" s="17">
        <f t="shared" si="0"/>
        <v>8</v>
      </c>
      <c r="P34" s="17">
        <f t="shared" si="1"/>
        <v>32</v>
      </c>
      <c r="R34"/>
      <c r="S34" s="19"/>
      <c r="T34" s="19"/>
    </row>
    <row r="35" spans="2:20" ht="23.1" customHeight="1" x14ac:dyDescent="0.25">
      <c r="B35" s="24" t="s">
        <v>62</v>
      </c>
      <c r="C35" s="50">
        <v>6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27</v>
      </c>
      <c r="N35" s="50">
        <v>0</v>
      </c>
      <c r="O35" s="17">
        <f t="shared" si="0"/>
        <v>9</v>
      </c>
      <c r="P35" s="17">
        <f t="shared" si="1"/>
        <v>36</v>
      </c>
      <c r="R35"/>
      <c r="S35" s="19"/>
      <c r="T35" s="19"/>
    </row>
    <row r="36" spans="2:20" ht="23.1" customHeight="1" x14ac:dyDescent="0.25">
      <c r="B36" s="24" t="s">
        <v>63</v>
      </c>
      <c r="C36" s="50">
        <v>10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22</v>
      </c>
      <c r="N36" s="50">
        <v>0</v>
      </c>
      <c r="O36" s="17">
        <f t="shared" si="0"/>
        <v>15</v>
      </c>
      <c r="P36" s="17">
        <f t="shared" si="1"/>
        <v>37</v>
      </c>
      <c r="R36"/>
      <c r="S36" s="19"/>
      <c r="T36" s="19"/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18</v>
      </c>
      <c r="N37" s="50">
        <v>0</v>
      </c>
      <c r="O37" s="17">
        <f t="shared" si="0"/>
        <v>4</v>
      </c>
      <c r="P37" s="17">
        <f t="shared" si="1"/>
        <v>22</v>
      </c>
      <c r="R37"/>
      <c r="S37" s="19"/>
      <c r="T37" s="19"/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7">
        <f t="shared" si="0"/>
        <v>5</v>
      </c>
      <c r="P38" s="17">
        <f t="shared" si="1"/>
        <v>25</v>
      </c>
      <c r="R38"/>
      <c r="S38" s="19"/>
      <c r="T38" s="19"/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7">
        <f t="shared" si="0"/>
        <v>9</v>
      </c>
      <c r="P39" s="17">
        <f t="shared" si="1"/>
        <v>29</v>
      </c>
      <c r="R39"/>
      <c r="S39" s="19"/>
      <c r="T39" s="19"/>
    </row>
    <row r="40" spans="2:20" ht="23.1" customHeight="1" x14ac:dyDescent="0.25">
      <c r="B40" s="24" t="s">
        <v>67</v>
      </c>
      <c r="C40" s="50">
        <v>10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22</v>
      </c>
      <c r="N40" s="50">
        <v>0</v>
      </c>
      <c r="O40" s="17">
        <f t="shared" si="0"/>
        <v>12</v>
      </c>
      <c r="P40" s="17">
        <f t="shared" si="1"/>
        <v>34</v>
      </c>
      <c r="R40"/>
      <c r="S40" s="19"/>
      <c r="T40" s="19"/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7">
        <f t="shared" si="0"/>
        <v>8</v>
      </c>
      <c r="P41" s="17">
        <f t="shared" si="1"/>
        <v>38</v>
      </c>
      <c r="R41"/>
      <c r="S41" s="19"/>
      <c r="T41" s="19"/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23</v>
      </c>
      <c r="N42" s="50">
        <v>0</v>
      </c>
      <c r="O42" s="17">
        <f t="shared" si="0"/>
        <v>9</v>
      </c>
      <c r="P42" s="17">
        <f t="shared" si="1"/>
        <v>32</v>
      </c>
      <c r="R42"/>
      <c r="S42" s="19"/>
      <c r="T42" s="19"/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7">
        <f t="shared" si="0"/>
        <v>3</v>
      </c>
      <c r="P43" s="17">
        <f t="shared" si="1"/>
        <v>29</v>
      </c>
      <c r="R43"/>
      <c r="S43" s="19"/>
      <c r="T43" s="19"/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32</v>
      </c>
      <c r="N44" s="50">
        <v>0</v>
      </c>
      <c r="O44" s="17">
        <f t="shared" si="0"/>
        <v>12</v>
      </c>
      <c r="P44" s="17">
        <f t="shared" si="1"/>
        <v>44</v>
      </c>
      <c r="R44"/>
      <c r="S44" s="19"/>
      <c r="T44" s="19"/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0</v>
      </c>
      <c r="M45" s="50">
        <v>34</v>
      </c>
      <c r="N45" s="50">
        <v>0</v>
      </c>
      <c r="O45" s="17">
        <f t="shared" si="0"/>
        <v>10</v>
      </c>
      <c r="P45" s="17">
        <f t="shared" si="1"/>
        <v>44</v>
      </c>
      <c r="R45"/>
      <c r="S45" s="19"/>
      <c r="T45" s="19"/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30</v>
      </c>
      <c r="N46" s="50">
        <v>0</v>
      </c>
      <c r="O46" s="17">
        <f t="shared" si="0"/>
        <v>19</v>
      </c>
      <c r="P46" s="17">
        <f t="shared" si="1"/>
        <v>49</v>
      </c>
      <c r="R46" s="19"/>
      <c r="S46" s="19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7">
        <f t="shared" si="0"/>
        <v>4</v>
      </c>
      <c r="P47" s="17">
        <f t="shared" si="1"/>
        <v>31</v>
      </c>
      <c r="R47" s="19"/>
      <c r="S47" s="19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35</v>
      </c>
      <c r="N48" s="50">
        <v>0</v>
      </c>
      <c r="O48" s="17">
        <f t="shared" si="0"/>
        <v>9</v>
      </c>
      <c r="P48" s="17">
        <f t="shared" si="1"/>
        <v>44</v>
      </c>
      <c r="R48" s="19"/>
      <c r="S48" s="19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32</v>
      </c>
      <c r="N49" s="50">
        <v>0</v>
      </c>
      <c r="O49" s="17">
        <f t="shared" si="0"/>
        <v>6</v>
      </c>
      <c r="P49" s="17">
        <f t="shared" si="1"/>
        <v>38</v>
      </c>
      <c r="R49" s="19"/>
      <c r="S49" s="19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31</v>
      </c>
      <c r="N50" s="50">
        <v>0</v>
      </c>
      <c r="O50" s="17">
        <f t="shared" si="0"/>
        <v>6</v>
      </c>
      <c r="P50" s="17">
        <f t="shared" si="1"/>
        <v>37</v>
      </c>
      <c r="R50" s="19"/>
      <c r="S50" s="19"/>
      <c r="T50"/>
    </row>
    <row r="51" spans="2:20" ht="23.1" customHeight="1" x14ac:dyDescent="0.25">
      <c r="B51" s="24" t="s">
        <v>78</v>
      </c>
      <c r="C51" s="50">
        <v>7</v>
      </c>
      <c r="D51" s="50">
        <v>2</v>
      </c>
      <c r="E51" s="50">
        <v>0</v>
      </c>
      <c r="F51" s="50">
        <v>0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0</v>
      </c>
      <c r="M51" s="50">
        <v>44</v>
      </c>
      <c r="N51" s="50">
        <v>0</v>
      </c>
      <c r="O51" s="17">
        <f t="shared" si="0"/>
        <v>14</v>
      </c>
      <c r="P51" s="17">
        <f t="shared" si="1"/>
        <v>58</v>
      </c>
      <c r="R51" s="19"/>
      <c r="S51" s="19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35</v>
      </c>
      <c r="N52" s="50">
        <v>0</v>
      </c>
      <c r="O52" s="17">
        <f t="shared" si="0"/>
        <v>5</v>
      </c>
      <c r="P52" s="17">
        <f t="shared" si="1"/>
        <v>40</v>
      </c>
      <c r="R52" s="19"/>
      <c r="S52" s="19"/>
      <c r="T52"/>
    </row>
    <row r="53" spans="2:20" ht="23.1" customHeight="1" x14ac:dyDescent="0.25">
      <c r="B53" s="23" t="s">
        <v>80</v>
      </c>
      <c r="C53" s="50">
        <v>3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39</v>
      </c>
      <c r="N53" s="50">
        <v>0</v>
      </c>
      <c r="O53" s="17">
        <f t="shared" si="0"/>
        <v>6</v>
      </c>
      <c r="P53" s="17">
        <f t="shared" si="1"/>
        <v>45</v>
      </c>
      <c r="R53" s="19"/>
      <c r="S53" s="19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40</v>
      </c>
      <c r="N54" s="50">
        <v>0</v>
      </c>
      <c r="O54" s="17">
        <f t="shared" si="0"/>
        <v>4</v>
      </c>
      <c r="P54" s="17">
        <f t="shared" si="1"/>
        <v>44</v>
      </c>
      <c r="R54" s="19"/>
      <c r="S54" s="19"/>
      <c r="T54"/>
    </row>
    <row r="55" spans="2:20" ht="23.1" customHeight="1" x14ac:dyDescent="0.25">
      <c r="B55" s="23" t="s">
        <v>82</v>
      </c>
      <c r="C55" s="50">
        <v>5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49</v>
      </c>
      <c r="N55" s="50">
        <v>0</v>
      </c>
      <c r="O55" s="17">
        <f t="shared" si="0"/>
        <v>10</v>
      </c>
      <c r="P55" s="17">
        <f t="shared" si="1"/>
        <v>59</v>
      </c>
      <c r="R55" s="19"/>
      <c r="S55" s="19"/>
      <c r="T55"/>
    </row>
    <row r="56" spans="2:20" ht="23.1" customHeight="1" x14ac:dyDescent="0.25">
      <c r="B56" s="23" t="s">
        <v>83</v>
      </c>
      <c r="C56" s="50">
        <v>8</v>
      </c>
      <c r="D56" s="50">
        <v>1</v>
      </c>
      <c r="E56" s="50">
        <v>0</v>
      </c>
      <c r="F56" s="50">
        <v>1</v>
      </c>
      <c r="G56" s="50">
        <v>0</v>
      </c>
      <c r="H56" s="50">
        <v>0</v>
      </c>
      <c r="I56" s="50">
        <v>3</v>
      </c>
      <c r="J56" s="50">
        <v>0</v>
      </c>
      <c r="K56" s="50">
        <v>1</v>
      </c>
      <c r="L56" s="50">
        <v>0</v>
      </c>
      <c r="M56" s="50">
        <v>56</v>
      </c>
      <c r="N56" s="50">
        <v>0</v>
      </c>
      <c r="O56" s="17">
        <f t="shared" si="0"/>
        <v>14</v>
      </c>
      <c r="P56" s="17">
        <f t="shared" si="1"/>
        <v>70</v>
      </c>
      <c r="R56" s="19"/>
      <c r="S56" s="19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4</v>
      </c>
      <c r="K57" s="50">
        <v>0</v>
      </c>
      <c r="L57" s="50">
        <v>0</v>
      </c>
      <c r="M57" s="50">
        <v>44</v>
      </c>
      <c r="N57" s="50">
        <v>0</v>
      </c>
      <c r="O57" s="17">
        <f t="shared" si="0"/>
        <v>9</v>
      </c>
      <c r="P57" s="17">
        <f t="shared" si="1"/>
        <v>53</v>
      </c>
      <c r="R57" s="19"/>
      <c r="S57" s="19"/>
      <c r="T57"/>
    </row>
    <row r="58" spans="2:20" ht="23.1" customHeight="1" x14ac:dyDescent="0.25">
      <c r="B58" s="54" t="s">
        <v>18</v>
      </c>
      <c r="C58" s="16">
        <f t="shared" ref="C58:P58" si="21">SUM(C10:C57)</f>
        <v>226</v>
      </c>
      <c r="D58" s="16">
        <f t="shared" si="21"/>
        <v>23</v>
      </c>
      <c r="E58" s="16">
        <f t="shared" si="21"/>
        <v>36</v>
      </c>
      <c r="F58" s="16">
        <f t="shared" si="21"/>
        <v>41</v>
      </c>
      <c r="G58" s="16">
        <f t="shared" si="21"/>
        <v>2</v>
      </c>
      <c r="H58" s="16">
        <f t="shared" si="21"/>
        <v>0</v>
      </c>
      <c r="I58" s="16">
        <f t="shared" si="21"/>
        <v>79</v>
      </c>
      <c r="J58" s="16">
        <f t="shared" si="21"/>
        <v>21</v>
      </c>
      <c r="K58" s="16">
        <f t="shared" si="21"/>
        <v>4</v>
      </c>
      <c r="L58" s="16">
        <f t="shared" si="21"/>
        <v>0</v>
      </c>
      <c r="M58" s="16">
        <f t="shared" si="21"/>
        <v>1739</v>
      </c>
      <c r="N58" s="16">
        <f t="shared" si="21"/>
        <v>0</v>
      </c>
      <c r="O58" s="16">
        <f t="shared" si="21"/>
        <v>432</v>
      </c>
      <c r="P58" s="16">
        <f t="shared" si="21"/>
        <v>2171</v>
      </c>
      <c r="R58" s="19"/>
      <c r="S58" s="19"/>
      <c r="T58"/>
    </row>
    <row r="59" spans="2:20" ht="23.1" customHeight="1" x14ac:dyDescent="0.25">
      <c r="B59" s="54" t="s">
        <v>93</v>
      </c>
      <c r="C59" s="43">
        <f t="shared" ref="C59:N59" si="22">C58/$P$58</f>
        <v>0.1040994933210502</v>
      </c>
      <c r="D59" s="43">
        <f t="shared" si="22"/>
        <v>1.0594196222938737E-2</v>
      </c>
      <c r="E59" s="43">
        <f t="shared" si="22"/>
        <v>1.6582220175034548E-2</v>
      </c>
      <c r="F59" s="43">
        <f t="shared" si="22"/>
        <v>1.8885306310456013E-2</v>
      </c>
      <c r="G59" s="43">
        <f t="shared" si="22"/>
        <v>9.2123445416858593E-4</v>
      </c>
      <c r="H59" s="43">
        <f t="shared" si="22"/>
        <v>0</v>
      </c>
      <c r="I59" s="43">
        <f t="shared" si="22"/>
        <v>3.6388760939659141E-2</v>
      </c>
      <c r="J59" s="43">
        <f t="shared" si="22"/>
        <v>9.6729617687701525E-3</v>
      </c>
      <c r="K59" s="43">
        <f t="shared" si="22"/>
        <v>1.8424689083371719E-3</v>
      </c>
      <c r="L59" s="43">
        <f t="shared" si="22"/>
        <v>0</v>
      </c>
      <c r="M59" s="43">
        <f t="shared" si="22"/>
        <v>0.8010133578995855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5" t="s">
        <v>94</v>
      </c>
      <c r="C60" s="44">
        <f>C58/$O$58</f>
        <v>0.52314814814814814</v>
      </c>
      <c r="D60" s="44">
        <f t="shared" ref="D60:N60" si="23">D58/$O$58</f>
        <v>5.3240740740740741E-2</v>
      </c>
      <c r="E60" s="44">
        <f t="shared" si="23"/>
        <v>8.3333333333333329E-2</v>
      </c>
      <c r="F60" s="44">
        <f t="shared" si="23"/>
        <v>9.4907407407407413E-2</v>
      </c>
      <c r="G60" s="44">
        <f t="shared" si="23"/>
        <v>4.6296296296296294E-3</v>
      </c>
      <c r="H60" s="44">
        <f t="shared" si="23"/>
        <v>0</v>
      </c>
      <c r="I60" s="44">
        <f t="shared" si="23"/>
        <v>0.18287037037037038</v>
      </c>
      <c r="J60" s="44">
        <f t="shared" si="23"/>
        <v>4.8611111111111112E-2</v>
      </c>
      <c r="K60" s="44">
        <f t="shared" si="23"/>
        <v>9.2592592592592587E-3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R81"/>
      <c r="S81" s="19"/>
      <c r="T81" s="19"/>
    </row>
    <row r="82" spans="2:20" ht="20.100000000000001" customHeight="1" x14ac:dyDescent="0.25">
      <c r="R82"/>
      <c r="S82" s="19"/>
      <c r="T82" s="19"/>
    </row>
    <row r="83" spans="2:20" ht="20.100000000000001" customHeight="1" x14ac:dyDescent="0.25">
      <c r="R83"/>
      <c r="S83" s="19"/>
      <c r="T83" s="19"/>
    </row>
    <row r="84" spans="2:20" ht="20.100000000000001" customHeight="1" x14ac:dyDescent="0.25">
      <c r="R84"/>
      <c r="S84" s="19"/>
      <c r="T84" s="19"/>
    </row>
    <row r="85" spans="2:20" ht="20.100000000000001" customHeight="1" x14ac:dyDescent="0.25">
      <c r="R85"/>
      <c r="S85" s="19"/>
      <c r="T85" s="19"/>
    </row>
    <row r="86" spans="2:20" ht="20.100000000000001" customHeight="1" x14ac:dyDescent="0.25">
      <c r="R86"/>
      <c r="S86" s="19"/>
      <c r="T86" s="19"/>
    </row>
    <row r="87" spans="2:20" ht="20.100000000000001" customHeight="1" x14ac:dyDescent="0.25">
      <c r="R87"/>
      <c r="S87" s="19"/>
      <c r="T87" s="19"/>
    </row>
    <row r="88" spans="2:20" ht="20.100000000000001" customHeight="1" x14ac:dyDescent="0.25">
      <c r="R88"/>
      <c r="S88" s="19"/>
      <c r="T88" s="19"/>
    </row>
    <row r="89" spans="2:20" ht="20.100000000000001" customHeight="1" x14ac:dyDescent="0.25">
      <c r="R89"/>
      <c r="S89" s="19"/>
      <c r="T89" s="19"/>
    </row>
    <row r="90" spans="2:20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20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20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20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20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20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20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S64" zoomScale="60" workbookViewId="0">
      <selection activeCell="AI31" sqref="AI3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69" t="str">
        <f>'29.0 Kitemu-Buddo'!G5:H5</f>
        <v>St Charles Lwanga PS</v>
      </c>
      <c r="H5" s="70"/>
      <c r="I5" s="14"/>
      <c r="J5" s="2" t="s">
        <v>5</v>
      </c>
      <c r="K5" s="69" t="str">
        <f>'29.0 Kitemu-Buddo'!K5:L5</f>
        <v>Salimah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'29.0 Kitemu-Buddo'!D6:E6</f>
        <v>KITEMU</v>
      </c>
      <c r="E6" s="70"/>
      <c r="F6" s="2" t="s">
        <v>2</v>
      </c>
      <c r="G6" s="69" t="str">
        <f>'29.0 Kitemu-Buddo'!G6:H6</f>
        <v>BUDDO</v>
      </c>
      <c r="H6" s="70"/>
      <c r="J6" s="2" t="s">
        <v>21</v>
      </c>
      <c r="K6" s="69" t="str">
        <f>'29.0 Kitemu-Buddo'!K6:L6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AVERAGE('23.09.19-Kitemu-Buddo'!C10,'24.09 Kitemu-Buddo'!C10,'25.09 Kitemu-Buddo'!C10,'27.09 Kitemu-Buddo'!C10,'26.09 Kitemu-Buddo-24 HRS'!C10,'28.09 Kitemu-Buddo-24HRS'!C10,'29.0 Kitemu-Buddo'!C10)</f>
        <v>2</v>
      </c>
      <c r="D10" s="49">
        <f>AVERAGE('23.09.19-Kitemu-Buddo'!D10,'24.09 Kitemu-Buddo'!D10,'25.09 Kitemu-Buddo'!D10,'27.09 Kitemu-Buddo'!D10,'26.09 Kitemu-Buddo-24 HRS'!D10,'28.09 Kitemu-Buddo-24HRS'!D10,'29.0 Kitemu-Buddo'!D10)</f>
        <v>0.14285714285714285</v>
      </c>
      <c r="E10" s="49">
        <f>AVERAGE('23.09.19-Kitemu-Buddo'!E10,'24.09 Kitemu-Buddo'!E10,'25.09 Kitemu-Buddo'!E10,'27.09 Kitemu-Buddo'!E10,'26.09 Kitemu-Buddo-24 HRS'!E10,'28.09 Kitemu-Buddo-24HRS'!E10,'29.0 Kitemu-Buddo'!E10)</f>
        <v>0</v>
      </c>
      <c r="F10" s="49">
        <f>AVERAGE('23.09.19-Kitemu-Buddo'!F10,'24.09 Kitemu-Buddo'!F10,'25.09 Kitemu-Buddo'!F10,'27.09 Kitemu-Buddo'!F10,'26.09 Kitemu-Buddo-24 HRS'!F10,'28.09 Kitemu-Buddo-24HRS'!F10,'29.0 Kitemu-Buddo'!F10)</f>
        <v>3.8571428571428572</v>
      </c>
      <c r="G10" s="49">
        <f>AVERAGE('23.09.19-Kitemu-Buddo'!G10,'24.09 Kitemu-Buddo'!G10,'25.09 Kitemu-Buddo'!G10,'27.09 Kitemu-Buddo'!G10,'26.09 Kitemu-Buddo-24 HRS'!G10,'28.09 Kitemu-Buddo-24HRS'!G10,'29.0 Kitemu-Buddo'!G10)</f>
        <v>0.42857142857142855</v>
      </c>
      <c r="H10" s="49">
        <f>AVERAGE('23.09.19-Kitemu-Buddo'!H10,'24.09 Kitemu-Buddo'!H10,'25.09 Kitemu-Buddo'!H10,'27.09 Kitemu-Buddo'!H10,'26.09 Kitemu-Buddo-24 HRS'!H10,'28.09 Kitemu-Buddo-24HRS'!H10,'29.0 Kitemu-Buddo'!H10)</f>
        <v>0</v>
      </c>
      <c r="I10" s="49">
        <f>AVERAGE('23.09.19-Kitemu-Buddo'!I10,'24.09 Kitemu-Buddo'!I10,'25.09 Kitemu-Buddo'!I10,'27.09 Kitemu-Buddo'!I10,'26.09 Kitemu-Buddo-24 HRS'!I10,'28.09 Kitemu-Buddo-24HRS'!I10,'29.0 Kitemu-Buddo'!I10)</f>
        <v>1.5714285714285714</v>
      </c>
      <c r="J10" s="49">
        <f>AVERAGE('23.09.19-Kitemu-Buddo'!J10,'24.09 Kitemu-Buddo'!J10,'25.09 Kitemu-Buddo'!J10,'27.09 Kitemu-Buddo'!J10,'26.09 Kitemu-Buddo-24 HRS'!J10,'28.09 Kitemu-Buddo-24HRS'!J10,'29.0 Kitemu-Buddo'!J10)</f>
        <v>0.5714285714285714</v>
      </c>
      <c r="K10" s="49">
        <f>AVERAGE('23.09.19-Kitemu-Buddo'!K10,'24.09 Kitemu-Buddo'!K10,'25.09 Kitemu-Buddo'!K10,'27.09 Kitemu-Buddo'!K10,'26.09 Kitemu-Buddo-24 HRS'!K10,'28.09 Kitemu-Buddo-24HRS'!K10,'29.0 Kitemu-Buddo'!K10)</f>
        <v>0</v>
      </c>
      <c r="L10" s="49">
        <f>AVERAGE('23.09.19-Kitemu-Buddo'!L10,'24.09 Kitemu-Buddo'!L10,'25.09 Kitemu-Buddo'!L10,'27.09 Kitemu-Buddo'!L10,'26.09 Kitemu-Buddo-24 HRS'!L10,'28.09 Kitemu-Buddo-24HRS'!L10,'29.0 Kitemu-Buddo'!L10)</f>
        <v>0</v>
      </c>
      <c r="M10" s="49">
        <f>AVERAGE('23.09.19-Kitemu-Buddo'!M10,'24.09 Kitemu-Buddo'!M10,'25.09 Kitemu-Buddo'!M10,'27.09 Kitemu-Buddo'!M10,'26.09 Kitemu-Buddo-24 HRS'!M10,'28.09 Kitemu-Buddo-24HRS'!M10,'29.0 Kitemu-Buddo'!M10)</f>
        <v>26.428571428571427</v>
      </c>
      <c r="N10" s="49">
        <f>AVERAGE('23.09.19-Kitemu-Buddo'!N10,'24.09 Kitemu-Buddo'!N10,'25.09 Kitemu-Buddo'!N10,'27.09 Kitemu-Buddo'!N10,'26.09 Kitemu-Buddo-24 HRS'!N10,'28.09 Kitemu-Buddo-24HRS'!N10,'29.0 Kitemu-Buddo'!N10)</f>
        <v>0</v>
      </c>
      <c r="O10" s="15">
        <f t="shared" ref="O10:O73" si="0">SUM(C10:L10,N10)</f>
        <v>8.5714285714285712</v>
      </c>
      <c r="P10" s="15">
        <f t="shared" ref="P10:P73" si="1">SUM(C10:N10)</f>
        <v>35</v>
      </c>
      <c r="R10" s="1" t="s">
        <v>6</v>
      </c>
      <c r="S10" s="17">
        <f t="shared" ref="S10:AF10" si="2">SUM(C10:C13)</f>
        <v>10</v>
      </c>
      <c r="T10" s="17">
        <f t="shared" si="2"/>
        <v>1.5714285714285714</v>
      </c>
      <c r="U10" s="17">
        <f t="shared" si="2"/>
        <v>1.4285714285714286</v>
      </c>
      <c r="V10" s="17">
        <f t="shared" si="2"/>
        <v>11.714285714285714</v>
      </c>
      <c r="W10" s="17">
        <f t="shared" si="2"/>
        <v>1</v>
      </c>
      <c r="X10" s="17">
        <f t="shared" si="2"/>
        <v>0</v>
      </c>
      <c r="Y10" s="17">
        <f t="shared" si="2"/>
        <v>4.4285714285714288</v>
      </c>
      <c r="Z10" s="17">
        <f t="shared" si="2"/>
        <v>2.8571428571428572</v>
      </c>
      <c r="AA10" s="17">
        <f t="shared" si="2"/>
        <v>0.5714285714285714</v>
      </c>
      <c r="AB10" s="17">
        <f t="shared" si="2"/>
        <v>0</v>
      </c>
      <c r="AC10" s="17">
        <f t="shared" si="2"/>
        <v>168.71428571428572</v>
      </c>
      <c r="AD10" s="17">
        <f t="shared" si="2"/>
        <v>0</v>
      </c>
      <c r="AE10" s="31">
        <f t="shared" si="2"/>
        <v>33.571428571428569</v>
      </c>
      <c r="AF10" s="31">
        <f t="shared" si="2"/>
        <v>202.28571428571428</v>
      </c>
    </row>
    <row r="11" spans="2:32" s="6" customFormat="1" ht="23.1" customHeight="1" x14ac:dyDescent="0.25">
      <c r="B11" s="23" t="s">
        <v>38</v>
      </c>
      <c r="C11" s="49">
        <f>AVERAGE('23.09.19-Kitemu-Buddo'!C11,'24.09 Kitemu-Buddo'!C11,'25.09 Kitemu-Buddo'!C11,'27.09 Kitemu-Buddo'!C11,'26.09 Kitemu-Buddo-24 HRS'!C11,'28.09 Kitemu-Buddo-24HRS'!C11,'29.0 Kitemu-Buddo'!C11)</f>
        <v>1.7142857142857142</v>
      </c>
      <c r="D11" s="49">
        <f>AVERAGE('23.09.19-Kitemu-Buddo'!D11,'24.09 Kitemu-Buddo'!D11,'25.09 Kitemu-Buddo'!D11,'27.09 Kitemu-Buddo'!D11,'26.09 Kitemu-Buddo-24 HRS'!D11,'28.09 Kitemu-Buddo-24HRS'!D11,'29.0 Kitemu-Buddo'!D11)</f>
        <v>0.2857142857142857</v>
      </c>
      <c r="E11" s="49">
        <f>AVERAGE('23.09.19-Kitemu-Buddo'!E11,'24.09 Kitemu-Buddo'!E11,'25.09 Kitemu-Buddo'!E11,'27.09 Kitemu-Buddo'!E11,'26.09 Kitemu-Buddo-24 HRS'!E11,'28.09 Kitemu-Buddo-24HRS'!E11,'29.0 Kitemu-Buddo'!E11)</f>
        <v>0.14285714285714285</v>
      </c>
      <c r="F11" s="49">
        <f>AVERAGE('23.09.19-Kitemu-Buddo'!F11,'24.09 Kitemu-Buddo'!F11,'25.09 Kitemu-Buddo'!F11,'27.09 Kitemu-Buddo'!F11,'26.09 Kitemu-Buddo-24 HRS'!F11,'28.09 Kitemu-Buddo-24HRS'!F11,'29.0 Kitemu-Buddo'!F11)</f>
        <v>2.7142857142857144</v>
      </c>
      <c r="G11" s="49">
        <f>AVERAGE('23.09.19-Kitemu-Buddo'!G11,'24.09 Kitemu-Buddo'!G11,'25.09 Kitemu-Buddo'!G11,'27.09 Kitemu-Buddo'!G11,'26.09 Kitemu-Buddo-24 HRS'!G11,'28.09 Kitemu-Buddo-24HRS'!G11,'29.0 Kitemu-Buddo'!G11)</f>
        <v>0.5714285714285714</v>
      </c>
      <c r="H11" s="49">
        <f>AVERAGE('23.09.19-Kitemu-Buddo'!H11,'24.09 Kitemu-Buddo'!H11,'25.09 Kitemu-Buddo'!H11,'27.09 Kitemu-Buddo'!H11,'26.09 Kitemu-Buddo-24 HRS'!H11,'28.09 Kitemu-Buddo-24HRS'!H11,'29.0 Kitemu-Buddo'!H11)</f>
        <v>0</v>
      </c>
      <c r="I11" s="49">
        <f>AVERAGE('23.09.19-Kitemu-Buddo'!I11,'24.09 Kitemu-Buddo'!I11,'25.09 Kitemu-Buddo'!I11,'27.09 Kitemu-Buddo'!I11,'26.09 Kitemu-Buddo-24 HRS'!I11,'28.09 Kitemu-Buddo-24HRS'!I11,'29.0 Kitemu-Buddo'!I11)</f>
        <v>1.1428571428571428</v>
      </c>
      <c r="J11" s="49">
        <f>AVERAGE('23.09.19-Kitemu-Buddo'!J11,'24.09 Kitemu-Buddo'!J11,'25.09 Kitemu-Buddo'!J11,'27.09 Kitemu-Buddo'!J11,'26.09 Kitemu-Buddo-24 HRS'!J11,'28.09 Kitemu-Buddo-24HRS'!J11,'29.0 Kitemu-Buddo'!J11)</f>
        <v>0.42857142857142855</v>
      </c>
      <c r="K11" s="49">
        <f>AVERAGE('23.09.19-Kitemu-Buddo'!K11,'24.09 Kitemu-Buddo'!K11,'25.09 Kitemu-Buddo'!K11,'27.09 Kitemu-Buddo'!K11,'26.09 Kitemu-Buddo-24 HRS'!K11,'28.09 Kitemu-Buddo-24HRS'!K11,'29.0 Kitemu-Buddo'!K11)</f>
        <v>0</v>
      </c>
      <c r="L11" s="49">
        <f>AVERAGE('23.09.19-Kitemu-Buddo'!L11,'24.09 Kitemu-Buddo'!L11,'25.09 Kitemu-Buddo'!L11,'27.09 Kitemu-Buddo'!L11,'26.09 Kitemu-Buddo-24 HRS'!L11,'28.09 Kitemu-Buddo-24HRS'!L11,'29.0 Kitemu-Buddo'!L11)</f>
        <v>0</v>
      </c>
      <c r="M11" s="49">
        <f>AVERAGE('23.09.19-Kitemu-Buddo'!M11,'24.09 Kitemu-Buddo'!M11,'25.09 Kitemu-Buddo'!M11,'27.09 Kitemu-Buddo'!M11,'26.09 Kitemu-Buddo-24 HRS'!M11,'28.09 Kitemu-Buddo-24HRS'!M11,'29.0 Kitemu-Buddo'!M11)</f>
        <v>39</v>
      </c>
      <c r="N11" s="49">
        <f>AVERAGE('23.09.19-Kitemu-Buddo'!N11,'24.09 Kitemu-Buddo'!N11,'25.09 Kitemu-Buddo'!N11,'27.09 Kitemu-Buddo'!N11,'26.09 Kitemu-Buddo-24 HRS'!N11,'28.09 Kitemu-Buddo-24HRS'!N11,'29.0 Kitemu-Buddo'!N11)</f>
        <v>0</v>
      </c>
      <c r="O11" s="15">
        <f t="shared" si="0"/>
        <v>7</v>
      </c>
      <c r="P11" s="15">
        <f t="shared" si="1"/>
        <v>46</v>
      </c>
      <c r="R11" s="1" t="s">
        <v>7</v>
      </c>
      <c r="S11" s="17">
        <f t="shared" ref="S11:AF11" si="3">SUM(C14:C17)</f>
        <v>10.285714285714285</v>
      </c>
      <c r="T11" s="17">
        <f t="shared" si="3"/>
        <v>2.714285714285714</v>
      </c>
      <c r="U11" s="17">
        <f t="shared" si="3"/>
        <v>1.2857142857142856</v>
      </c>
      <c r="V11" s="17">
        <f t="shared" si="3"/>
        <v>5</v>
      </c>
      <c r="W11" s="17">
        <f t="shared" si="3"/>
        <v>0.5714285714285714</v>
      </c>
      <c r="X11" s="17">
        <f t="shared" si="3"/>
        <v>0.14285714285714285</v>
      </c>
      <c r="Y11" s="17">
        <f t="shared" si="3"/>
        <v>3.1428571428571428</v>
      </c>
      <c r="Z11" s="17">
        <f t="shared" si="3"/>
        <v>2.1428571428571428</v>
      </c>
      <c r="AA11" s="17">
        <f t="shared" si="3"/>
        <v>0.42857142857142855</v>
      </c>
      <c r="AB11" s="17">
        <f t="shared" si="3"/>
        <v>0</v>
      </c>
      <c r="AC11" s="17">
        <f t="shared" si="3"/>
        <v>184.14285714285714</v>
      </c>
      <c r="AD11" s="17">
        <f t="shared" si="3"/>
        <v>0</v>
      </c>
      <c r="AE11" s="31">
        <f t="shared" si="3"/>
        <v>25.714285714285712</v>
      </c>
      <c r="AF11" s="31">
        <f t="shared" si="3"/>
        <v>209.85714285714289</v>
      </c>
    </row>
    <row r="12" spans="2:32" ht="23.1" customHeight="1" x14ac:dyDescent="0.25">
      <c r="B12" s="23" t="s">
        <v>39</v>
      </c>
      <c r="C12" s="49">
        <f>AVERAGE('23.09.19-Kitemu-Buddo'!C12,'24.09 Kitemu-Buddo'!C12,'25.09 Kitemu-Buddo'!C12,'27.09 Kitemu-Buddo'!C12,'26.09 Kitemu-Buddo-24 HRS'!C12,'28.09 Kitemu-Buddo-24HRS'!C12,'29.0 Kitemu-Buddo'!C12)</f>
        <v>3.2857142857142856</v>
      </c>
      <c r="D12" s="49">
        <f>AVERAGE('23.09.19-Kitemu-Buddo'!D12,'24.09 Kitemu-Buddo'!D12,'25.09 Kitemu-Buddo'!D12,'27.09 Kitemu-Buddo'!D12,'26.09 Kitemu-Buddo-24 HRS'!D12,'28.09 Kitemu-Buddo-24HRS'!D12,'29.0 Kitemu-Buddo'!D12)</f>
        <v>0.5714285714285714</v>
      </c>
      <c r="E12" s="49">
        <f>AVERAGE('23.09.19-Kitemu-Buddo'!E12,'24.09 Kitemu-Buddo'!E12,'25.09 Kitemu-Buddo'!E12,'27.09 Kitemu-Buddo'!E12,'26.09 Kitemu-Buddo-24 HRS'!E12,'28.09 Kitemu-Buddo-24HRS'!E12,'29.0 Kitemu-Buddo'!E12)</f>
        <v>0.7142857142857143</v>
      </c>
      <c r="F12" s="49">
        <f>AVERAGE('23.09.19-Kitemu-Buddo'!F12,'24.09 Kitemu-Buddo'!F12,'25.09 Kitemu-Buddo'!F12,'27.09 Kitemu-Buddo'!F12,'26.09 Kitemu-Buddo-24 HRS'!F12,'28.09 Kitemu-Buddo-24HRS'!F12,'29.0 Kitemu-Buddo'!F12)</f>
        <v>2.5714285714285716</v>
      </c>
      <c r="G12" s="49">
        <f>AVERAGE('23.09.19-Kitemu-Buddo'!G12,'24.09 Kitemu-Buddo'!G12,'25.09 Kitemu-Buddo'!G12,'27.09 Kitemu-Buddo'!G12,'26.09 Kitemu-Buddo-24 HRS'!G12,'28.09 Kitemu-Buddo-24HRS'!G12,'29.0 Kitemu-Buddo'!G12)</f>
        <v>0</v>
      </c>
      <c r="H12" s="49">
        <f>AVERAGE('23.09.19-Kitemu-Buddo'!H12,'24.09 Kitemu-Buddo'!H12,'25.09 Kitemu-Buddo'!H12,'27.09 Kitemu-Buddo'!H12,'26.09 Kitemu-Buddo-24 HRS'!H12,'28.09 Kitemu-Buddo-24HRS'!H12,'29.0 Kitemu-Buddo'!H12)</f>
        <v>0</v>
      </c>
      <c r="I12" s="49">
        <f>AVERAGE('23.09.19-Kitemu-Buddo'!I12,'24.09 Kitemu-Buddo'!I12,'25.09 Kitemu-Buddo'!I12,'27.09 Kitemu-Buddo'!I12,'26.09 Kitemu-Buddo-24 HRS'!I12,'28.09 Kitemu-Buddo-24HRS'!I12,'29.0 Kitemu-Buddo'!I12)</f>
        <v>1</v>
      </c>
      <c r="J12" s="49">
        <f>AVERAGE('23.09.19-Kitemu-Buddo'!J12,'24.09 Kitemu-Buddo'!J12,'25.09 Kitemu-Buddo'!J12,'27.09 Kitemu-Buddo'!J12,'26.09 Kitemu-Buddo-24 HRS'!J12,'28.09 Kitemu-Buddo-24HRS'!J12,'29.0 Kitemu-Buddo'!J12)</f>
        <v>0.8571428571428571</v>
      </c>
      <c r="K12" s="49">
        <f>AVERAGE('23.09.19-Kitemu-Buddo'!K12,'24.09 Kitemu-Buddo'!K12,'25.09 Kitemu-Buddo'!K12,'27.09 Kitemu-Buddo'!K12,'26.09 Kitemu-Buddo-24 HRS'!K12,'28.09 Kitemu-Buddo-24HRS'!K12,'29.0 Kitemu-Buddo'!K12)</f>
        <v>0.2857142857142857</v>
      </c>
      <c r="L12" s="49">
        <f>AVERAGE('23.09.19-Kitemu-Buddo'!L12,'24.09 Kitemu-Buddo'!L12,'25.09 Kitemu-Buddo'!L12,'27.09 Kitemu-Buddo'!L12,'26.09 Kitemu-Buddo-24 HRS'!L12,'28.09 Kitemu-Buddo-24HRS'!L12,'29.0 Kitemu-Buddo'!L12)</f>
        <v>0</v>
      </c>
      <c r="M12" s="49">
        <f>AVERAGE('23.09.19-Kitemu-Buddo'!M12,'24.09 Kitemu-Buddo'!M12,'25.09 Kitemu-Buddo'!M12,'27.09 Kitemu-Buddo'!M12,'26.09 Kitemu-Buddo-24 HRS'!M12,'28.09 Kitemu-Buddo-24HRS'!M12,'29.0 Kitemu-Buddo'!M12)</f>
        <v>48</v>
      </c>
      <c r="N12" s="49">
        <f>AVERAGE('23.09.19-Kitemu-Buddo'!N12,'24.09 Kitemu-Buddo'!N12,'25.09 Kitemu-Buddo'!N12,'27.09 Kitemu-Buddo'!N12,'26.09 Kitemu-Buddo-24 HRS'!N12,'28.09 Kitemu-Buddo-24HRS'!N12,'29.0 Kitemu-Buddo'!N12)</f>
        <v>0</v>
      </c>
      <c r="O12" s="15">
        <f t="shared" si="0"/>
        <v>9.2857142857142865</v>
      </c>
      <c r="P12" s="15">
        <f t="shared" si="1"/>
        <v>57.285714285714285</v>
      </c>
      <c r="R12" s="1" t="s">
        <v>8</v>
      </c>
      <c r="S12" s="17">
        <f t="shared" ref="S12:AF12" si="4">SUM(C18:C21)</f>
        <v>10.285714285714286</v>
      </c>
      <c r="T12" s="17">
        <f t="shared" si="4"/>
        <v>1.5714285714285714</v>
      </c>
      <c r="U12" s="17">
        <f t="shared" si="4"/>
        <v>1.2857142857142856</v>
      </c>
      <c r="V12" s="17">
        <f t="shared" si="4"/>
        <v>5.8571428571428577</v>
      </c>
      <c r="W12" s="17">
        <f t="shared" si="4"/>
        <v>0.14285714285714285</v>
      </c>
      <c r="X12" s="17">
        <f t="shared" si="4"/>
        <v>0.2857142857142857</v>
      </c>
      <c r="Y12" s="17">
        <f t="shared" si="4"/>
        <v>4.2857142857142856</v>
      </c>
      <c r="Z12" s="17">
        <f t="shared" si="4"/>
        <v>2.1428571428571428</v>
      </c>
      <c r="AA12" s="17">
        <f t="shared" si="4"/>
        <v>0.71428571428571419</v>
      </c>
      <c r="AB12" s="17">
        <f t="shared" si="4"/>
        <v>0</v>
      </c>
      <c r="AC12" s="17">
        <f t="shared" si="4"/>
        <v>172.14285714285714</v>
      </c>
      <c r="AD12" s="17">
        <f t="shared" si="4"/>
        <v>0</v>
      </c>
      <c r="AE12" s="31">
        <f t="shared" si="4"/>
        <v>26.571428571428573</v>
      </c>
      <c r="AF12" s="31">
        <f t="shared" si="4"/>
        <v>198.71428571428572</v>
      </c>
    </row>
    <row r="13" spans="2:32" ht="23.1" customHeight="1" x14ac:dyDescent="0.25">
      <c r="B13" s="23" t="s">
        <v>40</v>
      </c>
      <c r="C13" s="49">
        <f>AVERAGE('23.09.19-Kitemu-Buddo'!C13,'24.09 Kitemu-Buddo'!C13,'25.09 Kitemu-Buddo'!C13,'27.09 Kitemu-Buddo'!C13,'26.09 Kitemu-Buddo-24 HRS'!C13,'28.09 Kitemu-Buddo-24HRS'!C13,'29.0 Kitemu-Buddo'!C13)</f>
        <v>3</v>
      </c>
      <c r="D13" s="49">
        <f>AVERAGE('23.09.19-Kitemu-Buddo'!D13,'24.09 Kitemu-Buddo'!D13,'25.09 Kitemu-Buddo'!D13,'27.09 Kitemu-Buddo'!D13,'26.09 Kitemu-Buddo-24 HRS'!D13,'28.09 Kitemu-Buddo-24HRS'!D13,'29.0 Kitemu-Buddo'!D13)</f>
        <v>0.5714285714285714</v>
      </c>
      <c r="E13" s="49">
        <f>AVERAGE('23.09.19-Kitemu-Buddo'!E13,'24.09 Kitemu-Buddo'!E13,'25.09 Kitemu-Buddo'!E13,'27.09 Kitemu-Buddo'!E13,'26.09 Kitemu-Buddo-24 HRS'!E13,'28.09 Kitemu-Buddo-24HRS'!E13,'29.0 Kitemu-Buddo'!E13)</f>
        <v>0.5714285714285714</v>
      </c>
      <c r="F13" s="49">
        <f>AVERAGE('23.09.19-Kitemu-Buddo'!F13,'24.09 Kitemu-Buddo'!F13,'25.09 Kitemu-Buddo'!F13,'27.09 Kitemu-Buddo'!F13,'26.09 Kitemu-Buddo-24 HRS'!F13,'28.09 Kitemu-Buddo-24HRS'!F13,'29.0 Kitemu-Buddo'!F13)</f>
        <v>2.5714285714285716</v>
      </c>
      <c r="G13" s="49">
        <f>AVERAGE('23.09.19-Kitemu-Buddo'!G13,'24.09 Kitemu-Buddo'!G13,'25.09 Kitemu-Buddo'!G13,'27.09 Kitemu-Buddo'!G13,'26.09 Kitemu-Buddo-24 HRS'!G13,'28.09 Kitemu-Buddo-24HRS'!G13,'29.0 Kitemu-Buddo'!G13)</f>
        <v>0</v>
      </c>
      <c r="H13" s="49">
        <f>AVERAGE('23.09.19-Kitemu-Buddo'!H13,'24.09 Kitemu-Buddo'!H13,'25.09 Kitemu-Buddo'!H13,'27.09 Kitemu-Buddo'!H13,'26.09 Kitemu-Buddo-24 HRS'!H13,'28.09 Kitemu-Buddo-24HRS'!H13,'29.0 Kitemu-Buddo'!H13)</f>
        <v>0</v>
      </c>
      <c r="I13" s="49">
        <f>AVERAGE('23.09.19-Kitemu-Buddo'!I13,'24.09 Kitemu-Buddo'!I13,'25.09 Kitemu-Buddo'!I13,'27.09 Kitemu-Buddo'!I13,'26.09 Kitemu-Buddo-24 HRS'!I13,'28.09 Kitemu-Buddo-24HRS'!I13,'29.0 Kitemu-Buddo'!I13)</f>
        <v>0.7142857142857143</v>
      </c>
      <c r="J13" s="49">
        <f>AVERAGE('23.09.19-Kitemu-Buddo'!J13,'24.09 Kitemu-Buddo'!J13,'25.09 Kitemu-Buddo'!J13,'27.09 Kitemu-Buddo'!J13,'26.09 Kitemu-Buddo-24 HRS'!J13,'28.09 Kitemu-Buddo-24HRS'!J13,'29.0 Kitemu-Buddo'!J13)</f>
        <v>1</v>
      </c>
      <c r="K13" s="49">
        <f>AVERAGE('23.09.19-Kitemu-Buddo'!K13,'24.09 Kitemu-Buddo'!K13,'25.09 Kitemu-Buddo'!K13,'27.09 Kitemu-Buddo'!K13,'26.09 Kitemu-Buddo-24 HRS'!K13,'28.09 Kitemu-Buddo-24HRS'!K13,'29.0 Kitemu-Buddo'!K13)</f>
        <v>0.2857142857142857</v>
      </c>
      <c r="L13" s="49">
        <f>AVERAGE('23.09.19-Kitemu-Buddo'!L13,'24.09 Kitemu-Buddo'!L13,'25.09 Kitemu-Buddo'!L13,'27.09 Kitemu-Buddo'!L13,'26.09 Kitemu-Buddo-24 HRS'!L13,'28.09 Kitemu-Buddo-24HRS'!L13,'29.0 Kitemu-Buddo'!L13)</f>
        <v>0</v>
      </c>
      <c r="M13" s="49">
        <f>AVERAGE('23.09.19-Kitemu-Buddo'!M13,'24.09 Kitemu-Buddo'!M13,'25.09 Kitemu-Buddo'!M13,'27.09 Kitemu-Buddo'!M13,'26.09 Kitemu-Buddo-24 HRS'!M13,'28.09 Kitemu-Buddo-24HRS'!M13,'29.0 Kitemu-Buddo'!M13)</f>
        <v>55.285714285714285</v>
      </c>
      <c r="N13" s="49">
        <f>AVERAGE('23.09.19-Kitemu-Buddo'!N13,'24.09 Kitemu-Buddo'!N13,'25.09 Kitemu-Buddo'!N13,'27.09 Kitemu-Buddo'!N13,'26.09 Kitemu-Buddo-24 HRS'!N13,'28.09 Kitemu-Buddo-24HRS'!N13,'29.0 Kitemu-Buddo'!N13)</f>
        <v>0</v>
      </c>
      <c r="O13" s="15">
        <f t="shared" si="0"/>
        <v>8.7142857142857135</v>
      </c>
      <c r="P13" s="15">
        <f t="shared" si="1"/>
        <v>64</v>
      </c>
      <c r="R13" s="1" t="s">
        <v>9</v>
      </c>
      <c r="S13" s="17">
        <f t="shared" ref="S13:AF13" si="5">SUM(C22:C25)</f>
        <v>11.714285714285714</v>
      </c>
      <c r="T13" s="17">
        <f t="shared" si="5"/>
        <v>2</v>
      </c>
      <c r="U13" s="17">
        <f t="shared" si="5"/>
        <v>1.4285714285714284</v>
      </c>
      <c r="V13" s="17">
        <f t="shared" si="5"/>
        <v>6.4285714285714279</v>
      </c>
      <c r="W13" s="17">
        <f t="shared" si="5"/>
        <v>0.2857142857142857</v>
      </c>
      <c r="X13" s="17">
        <f t="shared" si="5"/>
        <v>0</v>
      </c>
      <c r="Y13" s="17">
        <f t="shared" si="5"/>
        <v>5</v>
      </c>
      <c r="Z13" s="17">
        <f t="shared" si="5"/>
        <v>2</v>
      </c>
      <c r="AA13" s="17">
        <f t="shared" si="5"/>
        <v>1.1428571428571428</v>
      </c>
      <c r="AB13" s="17">
        <f t="shared" si="5"/>
        <v>0</v>
      </c>
      <c r="AC13" s="17">
        <f t="shared" si="5"/>
        <v>158.71428571428572</v>
      </c>
      <c r="AD13" s="17">
        <f t="shared" si="5"/>
        <v>0</v>
      </c>
      <c r="AE13" s="31">
        <f t="shared" si="5"/>
        <v>30.000000000000004</v>
      </c>
      <c r="AF13" s="31">
        <f t="shared" si="5"/>
        <v>188.71428571428569</v>
      </c>
    </row>
    <row r="14" spans="2:32" ht="23.1" customHeight="1" x14ac:dyDescent="0.25">
      <c r="B14" s="23" t="s">
        <v>41</v>
      </c>
      <c r="C14" s="49">
        <f>AVERAGE('23.09.19-Kitemu-Buddo'!C14,'24.09 Kitemu-Buddo'!C14,'25.09 Kitemu-Buddo'!C14,'27.09 Kitemu-Buddo'!C14,'26.09 Kitemu-Buddo-24 HRS'!C14,'28.09 Kitemu-Buddo-24HRS'!C14,'29.0 Kitemu-Buddo'!C14)</f>
        <v>2.8571428571428572</v>
      </c>
      <c r="D14" s="49">
        <f>AVERAGE('23.09.19-Kitemu-Buddo'!D14,'24.09 Kitemu-Buddo'!D14,'25.09 Kitemu-Buddo'!D14,'27.09 Kitemu-Buddo'!D14,'26.09 Kitemu-Buddo-24 HRS'!D14,'28.09 Kitemu-Buddo-24HRS'!D14,'29.0 Kitemu-Buddo'!D14)</f>
        <v>0.7142857142857143</v>
      </c>
      <c r="E14" s="49">
        <f>AVERAGE('23.09.19-Kitemu-Buddo'!E14,'24.09 Kitemu-Buddo'!E14,'25.09 Kitemu-Buddo'!E14,'27.09 Kitemu-Buddo'!E14,'26.09 Kitemu-Buddo-24 HRS'!E14,'28.09 Kitemu-Buddo-24HRS'!E14,'29.0 Kitemu-Buddo'!E14)</f>
        <v>0</v>
      </c>
      <c r="F14" s="49">
        <f>AVERAGE('23.09.19-Kitemu-Buddo'!F14,'24.09 Kitemu-Buddo'!F14,'25.09 Kitemu-Buddo'!F14,'27.09 Kitemu-Buddo'!F14,'26.09 Kitemu-Buddo-24 HRS'!F14,'28.09 Kitemu-Buddo-24HRS'!F14,'29.0 Kitemu-Buddo'!F14)</f>
        <v>1</v>
      </c>
      <c r="G14" s="49">
        <f>AVERAGE('23.09.19-Kitemu-Buddo'!G14,'24.09 Kitemu-Buddo'!G14,'25.09 Kitemu-Buddo'!G14,'27.09 Kitemu-Buddo'!G14,'26.09 Kitemu-Buddo-24 HRS'!G14,'28.09 Kitemu-Buddo-24HRS'!G14,'29.0 Kitemu-Buddo'!G14)</f>
        <v>0.14285714285714285</v>
      </c>
      <c r="H14" s="49">
        <f>AVERAGE('23.09.19-Kitemu-Buddo'!H14,'24.09 Kitemu-Buddo'!H14,'25.09 Kitemu-Buddo'!H14,'27.09 Kitemu-Buddo'!H14,'26.09 Kitemu-Buddo-24 HRS'!H14,'28.09 Kitemu-Buddo-24HRS'!H14,'29.0 Kitemu-Buddo'!H14)</f>
        <v>0</v>
      </c>
      <c r="I14" s="49">
        <f>AVERAGE('23.09.19-Kitemu-Buddo'!I14,'24.09 Kitemu-Buddo'!I14,'25.09 Kitemu-Buddo'!I14,'27.09 Kitemu-Buddo'!I14,'26.09 Kitemu-Buddo-24 HRS'!I14,'28.09 Kitemu-Buddo-24HRS'!I14,'29.0 Kitemu-Buddo'!I14)</f>
        <v>0.42857142857142855</v>
      </c>
      <c r="J14" s="49">
        <f>AVERAGE('23.09.19-Kitemu-Buddo'!J14,'24.09 Kitemu-Buddo'!J14,'25.09 Kitemu-Buddo'!J14,'27.09 Kitemu-Buddo'!J14,'26.09 Kitemu-Buddo-24 HRS'!J14,'28.09 Kitemu-Buddo-24HRS'!J14,'29.0 Kitemu-Buddo'!J14)</f>
        <v>0.2857142857142857</v>
      </c>
      <c r="K14" s="49">
        <f>AVERAGE('23.09.19-Kitemu-Buddo'!K14,'24.09 Kitemu-Buddo'!K14,'25.09 Kitemu-Buddo'!K14,'27.09 Kitemu-Buddo'!K14,'26.09 Kitemu-Buddo-24 HRS'!K14,'28.09 Kitemu-Buddo-24HRS'!K14,'29.0 Kitemu-Buddo'!K14)</f>
        <v>0.2857142857142857</v>
      </c>
      <c r="L14" s="49">
        <f>AVERAGE('23.09.19-Kitemu-Buddo'!L14,'24.09 Kitemu-Buddo'!L14,'25.09 Kitemu-Buddo'!L14,'27.09 Kitemu-Buddo'!L14,'26.09 Kitemu-Buddo-24 HRS'!L14,'28.09 Kitemu-Buddo-24HRS'!L14,'29.0 Kitemu-Buddo'!L14)</f>
        <v>0</v>
      </c>
      <c r="M14" s="49">
        <f>AVERAGE('23.09.19-Kitemu-Buddo'!M14,'24.09 Kitemu-Buddo'!M14,'25.09 Kitemu-Buddo'!M14,'27.09 Kitemu-Buddo'!M14,'26.09 Kitemu-Buddo-24 HRS'!M14,'28.09 Kitemu-Buddo-24HRS'!M14,'29.0 Kitemu-Buddo'!M14)</f>
        <v>45.714285714285715</v>
      </c>
      <c r="N14" s="49">
        <f>AVERAGE('23.09.19-Kitemu-Buddo'!N14,'24.09 Kitemu-Buddo'!N14,'25.09 Kitemu-Buddo'!N14,'27.09 Kitemu-Buddo'!N14,'26.09 Kitemu-Buddo-24 HRS'!N14,'28.09 Kitemu-Buddo-24HRS'!N14,'29.0 Kitemu-Buddo'!N14)</f>
        <v>0</v>
      </c>
      <c r="O14" s="15">
        <f t="shared" si="0"/>
        <v>5.7142857142857144</v>
      </c>
      <c r="P14" s="15">
        <f t="shared" si="1"/>
        <v>51.428571428571431</v>
      </c>
      <c r="R14" s="1" t="s">
        <v>10</v>
      </c>
      <c r="S14" s="17">
        <f t="shared" ref="S14:AF14" si="6">SUM(C26:C29)</f>
        <v>12</v>
      </c>
      <c r="T14" s="17">
        <f t="shared" si="6"/>
        <v>1.8571428571428572</v>
      </c>
      <c r="U14" s="17">
        <f t="shared" si="6"/>
        <v>1.857142857142857</v>
      </c>
      <c r="V14" s="17">
        <f t="shared" si="6"/>
        <v>6.2857142857142856</v>
      </c>
      <c r="W14" s="17">
        <f t="shared" si="6"/>
        <v>0</v>
      </c>
      <c r="X14" s="17">
        <f t="shared" si="6"/>
        <v>0</v>
      </c>
      <c r="Y14" s="17">
        <f t="shared" si="6"/>
        <v>6.4285714285714279</v>
      </c>
      <c r="Z14" s="17">
        <f t="shared" si="6"/>
        <v>2.8571428571428572</v>
      </c>
      <c r="AA14" s="17">
        <f t="shared" si="6"/>
        <v>0.71428571428571419</v>
      </c>
      <c r="AB14" s="17">
        <f t="shared" si="6"/>
        <v>0</v>
      </c>
      <c r="AC14" s="17">
        <f t="shared" si="6"/>
        <v>139.28571428571428</v>
      </c>
      <c r="AD14" s="17">
        <f t="shared" si="6"/>
        <v>0</v>
      </c>
      <c r="AE14" s="31">
        <f t="shared" si="6"/>
        <v>32</v>
      </c>
      <c r="AF14" s="31">
        <f t="shared" si="6"/>
        <v>171.28571428571428</v>
      </c>
    </row>
    <row r="15" spans="2:32" ht="23.1" customHeight="1" x14ac:dyDescent="0.25">
      <c r="B15" s="23" t="s">
        <v>42</v>
      </c>
      <c r="C15" s="49">
        <f>AVERAGE('23.09.19-Kitemu-Buddo'!C15,'24.09 Kitemu-Buddo'!C15,'25.09 Kitemu-Buddo'!C15,'27.09 Kitemu-Buddo'!C15,'26.09 Kitemu-Buddo-24 HRS'!C15,'28.09 Kitemu-Buddo-24HRS'!C15,'29.0 Kitemu-Buddo'!C15)</f>
        <v>2.1428571428571428</v>
      </c>
      <c r="D15" s="49">
        <f>AVERAGE('23.09.19-Kitemu-Buddo'!D15,'24.09 Kitemu-Buddo'!D15,'25.09 Kitemu-Buddo'!D15,'27.09 Kitemu-Buddo'!D15,'26.09 Kitemu-Buddo-24 HRS'!D15,'28.09 Kitemu-Buddo-24HRS'!D15,'29.0 Kitemu-Buddo'!D15)</f>
        <v>1.1428571428571428</v>
      </c>
      <c r="E15" s="49">
        <f>AVERAGE('23.09.19-Kitemu-Buddo'!E15,'24.09 Kitemu-Buddo'!E15,'25.09 Kitemu-Buddo'!E15,'27.09 Kitemu-Buddo'!E15,'26.09 Kitemu-Buddo-24 HRS'!E15,'28.09 Kitemu-Buddo-24HRS'!E15,'29.0 Kitemu-Buddo'!E15)</f>
        <v>0.42857142857142855</v>
      </c>
      <c r="F15" s="49">
        <f>AVERAGE('23.09.19-Kitemu-Buddo'!F15,'24.09 Kitemu-Buddo'!F15,'25.09 Kitemu-Buddo'!F15,'27.09 Kitemu-Buddo'!F15,'26.09 Kitemu-Buddo-24 HRS'!F15,'28.09 Kitemu-Buddo-24HRS'!F15,'29.0 Kitemu-Buddo'!F15)</f>
        <v>1</v>
      </c>
      <c r="G15" s="49">
        <f>AVERAGE('23.09.19-Kitemu-Buddo'!G15,'24.09 Kitemu-Buddo'!G15,'25.09 Kitemu-Buddo'!G15,'27.09 Kitemu-Buddo'!G15,'26.09 Kitemu-Buddo-24 HRS'!G15,'28.09 Kitemu-Buddo-24HRS'!G15,'29.0 Kitemu-Buddo'!G15)</f>
        <v>0.2857142857142857</v>
      </c>
      <c r="H15" s="49">
        <f>AVERAGE('23.09.19-Kitemu-Buddo'!H15,'24.09 Kitemu-Buddo'!H15,'25.09 Kitemu-Buddo'!H15,'27.09 Kitemu-Buddo'!H15,'26.09 Kitemu-Buddo-24 HRS'!H15,'28.09 Kitemu-Buddo-24HRS'!H15,'29.0 Kitemu-Buddo'!H15)</f>
        <v>0</v>
      </c>
      <c r="I15" s="49">
        <f>AVERAGE('23.09.19-Kitemu-Buddo'!I15,'24.09 Kitemu-Buddo'!I15,'25.09 Kitemu-Buddo'!I15,'27.09 Kitemu-Buddo'!I15,'26.09 Kitemu-Buddo-24 HRS'!I15,'28.09 Kitemu-Buddo-24HRS'!I15,'29.0 Kitemu-Buddo'!I15)</f>
        <v>0.8571428571428571</v>
      </c>
      <c r="J15" s="49">
        <f>AVERAGE('23.09.19-Kitemu-Buddo'!J15,'24.09 Kitemu-Buddo'!J15,'25.09 Kitemu-Buddo'!J15,'27.09 Kitemu-Buddo'!J15,'26.09 Kitemu-Buddo-24 HRS'!J15,'28.09 Kitemu-Buddo-24HRS'!J15,'29.0 Kitemu-Buddo'!J15)</f>
        <v>0.7142857142857143</v>
      </c>
      <c r="K15" s="49">
        <f>AVERAGE('23.09.19-Kitemu-Buddo'!K15,'24.09 Kitemu-Buddo'!K15,'25.09 Kitemu-Buddo'!K15,'27.09 Kitemu-Buddo'!K15,'26.09 Kitemu-Buddo-24 HRS'!K15,'28.09 Kitemu-Buddo-24HRS'!K15,'29.0 Kitemu-Buddo'!K15)</f>
        <v>0.14285714285714285</v>
      </c>
      <c r="L15" s="49">
        <f>AVERAGE('23.09.19-Kitemu-Buddo'!L15,'24.09 Kitemu-Buddo'!L15,'25.09 Kitemu-Buddo'!L15,'27.09 Kitemu-Buddo'!L15,'26.09 Kitemu-Buddo-24 HRS'!L15,'28.09 Kitemu-Buddo-24HRS'!L15,'29.0 Kitemu-Buddo'!L15)</f>
        <v>0</v>
      </c>
      <c r="M15" s="49">
        <f>AVERAGE('23.09.19-Kitemu-Buddo'!M15,'24.09 Kitemu-Buddo'!M15,'25.09 Kitemu-Buddo'!M15,'27.09 Kitemu-Buddo'!M15,'26.09 Kitemu-Buddo-24 HRS'!M15,'28.09 Kitemu-Buddo-24HRS'!M15,'29.0 Kitemu-Buddo'!M15)</f>
        <v>49.142857142857146</v>
      </c>
      <c r="N15" s="49">
        <f>AVERAGE('23.09.19-Kitemu-Buddo'!N15,'24.09 Kitemu-Buddo'!N15,'25.09 Kitemu-Buddo'!N15,'27.09 Kitemu-Buddo'!N15,'26.09 Kitemu-Buddo-24 HRS'!N15,'28.09 Kitemu-Buddo-24HRS'!N15,'29.0 Kitemu-Buddo'!N15)</f>
        <v>0</v>
      </c>
      <c r="O15" s="15">
        <f t="shared" si="0"/>
        <v>6.7142857142857135</v>
      </c>
      <c r="P15" s="15">
        <f t="shared" si="1"/>
        <v>55.857142857142861</v>
      </c>
      <c r="R15" s="1" t="s">
        <v>11</v>
      </c>
      <c r="S15" s="17">
        <f t="shared" ref="S15:AF15" si="7">SUM(C30:C33)</f>
        <v>13.571428571428571</v>
      </c>
      <c r="T15" s="17">
        <f t="shared" si="7"/>
        <v>1.857142857142857</v>
      </c>
      <c r="U15" s="17">
        <f t="shared" si="7"/>
        <v>1.4285714285714284</v>
      </c>
      <c r="V15" s="17">
        <f t="shared" si="7"/>
        <v>8.1428571428571423</v>
      </c>
      <c r="W15" s="17">
        <f t="shared" si="7"/>
        <v>0.42857142857142855</v>
      </c>
      <c r="X15" s="17">
        <f t="shared" si="7"/>
        <v>0.14285714285714285</v>
      </c>
      <c r="Y15" s="17">
        <f t="shared" si="7"/>
        <v>5.2857142857142856</v>
      </c>
      <c r="Z15" s="17">
        <f t="shared" si="7"/>
        <v>1.7142857142857142</v>
      </c>
      <c r="AA15" s="17">
        <f t="shared" si="7"/>
        <v>0.5714285714285714</v>
      </c>
      <c r="AB15" s="17">
        <f t="shared" si="7"/>
        <v>0</v>
      </c>
      <c r="AC15" s="17">
        <f t="shared" si="7"/>
        <v>136.85714285714283</v>
      </c>
      <c r="AD15" s="17">
        <f t="shared" si="7"/>
        <v>0</v>
      </c>
      <c r="AE15" s="31">
        <f t="shared" si="7"/>
        <v>33.142857142857139</v>
      </c>
      <c r="AF15" s="31">
        <f t="shared" si="7"/>
        <v>170</v>
      </c>
    </row>
    <row r="16" spans="2:32" ht="23.1" customHeight="1" x14ac:dyDescent="0.25">
      <c r="B16" s="23" t="s">
        <v>43</v>
      </c>
      <c r="C16" s="49">
        <f>AVERAGE('23.09.19-Kitemu-Buddo'!C16,'24.09 Kitemu-Buddo'!C16,'25.09 Kitemu-Buddo'!C16,'27.09 Kitemu-Buddo'!C16,'26.09 Kitemu-Buddo-24 HRS'!C16,'28.09 Kitemu-Buddo-24HRS'!C16,'29.0 Kitemu-Buddo'!C16)</f>
        <v>2.1428571428571428</v>
      </c>
      <c r="D16" s="49">
        <f>AVERAGE('23.09.19-Kitemu-Buddo'!D16,'24.09 Kitemu-Buddo'!D16,'25.09 Kitemu-Buddo'!D16,'27.09 Kitemu-Buddo'!D16,'26.09 Kitemu-Buddo-24 HRS'!D16,'28.09 Kitemu-Buddo-24HRS'!D16,'29.0 Kitemu-Buddo'!D16)</f>
        <v>0.42857142857142855</v>
      </c>
      <c r="E16" s="49">
        <f>AVERAGE('23.09.19-Kitemu-Buddo'!E16,'24.09 Kitemu-Buddo'!E16,'25.09 Kitemu-Buddo'!E16,'27.09 Kitemu-Buddo'!E16,'26.09 Kitemu-Buddo-24 HRS'!E16,'28.09 Kitemu-Buddo-24HRS'!E16,'29.0 Kitemu-Buddo'!E16)</f>
        <v>0.2857142857142857</v>
      </c>
      <c r="F16" s="49">
        <f>AVERAGE('23.09.19-Kitemu-Buddo'!F16,'24.09 Kitemu-Buddo'!F16,'25.09 Kitemu-Buddo'!F16,'27.09 Kitemu-Buddo'!F16,'26.09 Kitemu-Buddo-24 HRS'!F16,'28.09 Kitemu-Buddo-24HRS'!F16,'29.0 Kitemu-Buddo'!F16)</f>
        <v>1.2857142857142858</v>
      </c>
      <c r="G16" s="49">
        <f>AVERAGE('23.09.19-Kitemu-Buddo'!G16,'24.09 Kitemu-Buddo'!G16,'25.09 Kitemu-Buddo'!G16,'27.09 Kitemu-Buddo'!G16,'26.09 Kitemu-Buddo-24 HRS'!G16,'28.09 Kitemu-Buddo-24HRS'!G16,'29.0 Kitemu-Buddo'!G16)</f>
        <v>0</v>
      </c>
      <c r="H16" s="49">
        <f>AVERAGE('23.09.19-Kitemu-Buddo'!H16,'24.09 Kitemu-Buddo'!H16,'25.09 Kitemu-Buddo'!H16,'27.09 Kitemu-Buddo'!H16,'26.09 Kitemu-Buddo-24 HRS'!H16,'28.09 Kitemu-Buddo-24HRS'!H16,'29.0 Kitemu-Buddo'!H16)</f>
        <v>0</v>
      </c>
      <c r="I16" s="49">
        <f>AVERAGE('23.09.19-Kitemu-Buddo'!I16,'24.09 Kitemu-Buddo'!I16,'25.09 Kitemu-Buddo'!I16,'27.09 Kitemu-Buddo'!I16,'26.09 Kitemu-Buddo-24 HRS'!I16,'28.09 Kitemu-Buddo-24HRS'!I16,'29.0 Kitemu-Buddo'!I16)</f>
        <v>0.8571428571428571</v>
      </c>
      <c r="J16" s="49">
        <f>AVERAGE('23.09.19-Kitemu-Buddo'!J16,'24.09 Kitemu-Buddo'!J16,'25.09 Kitemu-Buddo'!J16,'27.09 Kitemu-Buddo'!J16,'26.09 Kitemu-Buddo-24 HRS'!J16,'28.09 Kitemu-Buddo-24HRS'!J16,'29.0 Kitemu-Buddo'!J16)</f>
        <v>0.42857142857142855</v>
      </c>
      <c r="K16" s="49">
        <f>AVERAGE('23.09.19-Kitemu-Buddo'!K16,'24.09 Kitemu-Buddo'!K16,'25.09 Kitemu-Buddo'!K16,'27.09 Kitemu-Buddo'!K16,'26.09 Kitemu-Buddo-24 HRS'!K16,'28.09 Kitemu-Buddo-24HRS'!K16,'29.0 Kitemu-Buddo'!K16)</f>
        <v>0</v>
      </c>
      <c r="L16" s="49">
        <f>AVERAGE('23.09.19-Kitemu-Buddo'!L16,'24.09 Kitemu-Buddo'!L16,'25.09 Kitemu-Buddo'!L16,'27.09 Kitemu-Buddo'!L16,'26.09 Kitemu-Buddo-24 HRS'!L16,'28.09 Kitemu-Buddo-24HRS'!L16,'29.0 Kitemu-Buddo'!L16)</f>
        <v>0</v>
      </c>
      <c r="M16" s="49">
        <f>AVERAGE('23.09.19-Kitemu-Buddo'!M16,'24.09 Kitemu-Buddo'!M16,'25.09 Kitemu-Buddo'!M16,'27.09 Kitemu-Buddo'!M16,'26.09 Kitemu-Buddo-24 HRS'!M16,'28.09 Kitemu-Buddo-24HRS'!M16,'29.0 Kitemu-Buddo'!M16)</f>
        <v>44.428571428571431</v>
      </c>
      <c r="N16" s="49">
        <f>AVERAGE('23.09.19-Kitemu-Buddo'!N16,'24.09 Kitemu-Buddo'!N16,'25.09 Kitemu-Buddo'!N16,'27.09 Kitemu-Buddo'!N16,'26.09 Kitemu-Buddo-24 HRS'!N16,'28.09 Kitemu-Buddo-24HRS'!N16,'29.0 Kitemu-Buddo'!N16)</f>
        <v>0</v>
      </c>
      <c r="O16" s="15">
        <f t="shared" si="0"/>
        <v>5.4285714285714279</v>
      </c>
      <c r="P16" s="15">
        <f t="shared" si="1"/>
        <v>49.857142857142861</v>
      </c>
      <c r="R16" s="1" t="s">
        <v>12</v>
      </c>
      <c r="S16" s="17">
        <f t="shared" ref="S16:AF16" si="8">SUM(C34:C37)</f>
        <v>15.571428571428573</v>
      </c>
      <c r="T16" s="17">
        <f t="shared" si="8"/>
        <v>2</v>
      </c>
      <c r="U16" s="17">
        <f t="shared" si="8"/>
        <v>1.7142857142857144</v>
      </c>
      <c r="V16" s="17">
        <f t="shared" si="8"/>
        <v>6.5714285714285712</v>
      </c>
      <c r="W16" s="17">
        <f t="shared" si="8"/>
        <v>0.2857142857142857</v>
      </c>
      <c r="X16" s="17">
        <f t="shared" si="8"/>
        <v>0</v>
      </c>
      <c r="Y16" s="17">
        <f t="shared" si="8"/>
        <v>4.7142857142857144</v>
      </c>
      <c r="Z16" s="17">
        <f t="shared" si="8"/>
        <v>1.7142857142857144</v>
      </c>
      <c r="AA16" s="17">
        <f t="shared" si="8"/>
        <v>0.99999999999999978</v>
      </c>
      <c r="AB16" s="17">
        <f t="shared" si="8"/>
        <v>0</v>
      </c>
      <c r="AC16" s="17">
        <f t="shared" si="8"/>
        <v>137.14285714285714</v>
      </c>
      <c r="AD16" s="17">
        <f t="shared" si="8"/>
        <v>0</v>
      </c>
      <c r="AE16" s="31">
        <f t="shared" si="8"/>
        <v>33.571428571428569</v>
      </c>
      <c r="AF16" s="31">
        <f t="shared" si="8"/>
        <v>170.71428571428572</v>
      </c>
    </row>
    <row r="17" spans="2:32" ht="23.1" customHeight="1" x14ac:dyDescent="0.25">
      <c r="B17" s="23" t="s">
        <v>44</v>
      </c>
      <c r="C17" s="49">
        <f>AVERAGE('23.09.19-Kitemu-Buddo'!C17,'24.09 Kitemu-Buddo'!C17,'25.09 Kitemu-Buddo'!C17,'27.09 Kitemu-Buddo'!C17,'26.09 Kitemu-Buddo-24 HRS'!C17,'28.09 Kitemu-Buddo-24HRS'!C17,'29.0 Kitemu-Buddo'!C17)</f>
        <v>3.1428571428571428</v>
      </c>
      <c r="D17" s="49">
        <f>AVERAGE('23.09.19-Kitemu-Buddo'!D17,'24.09 Kitemu-Buddo'!D17,'25.09 Kitemu-Buddo'!D17,'27.09 Kitemu-Buddo'!D17,'26.09 Kitemu-Buddo-24 HRS'!D17,'28.09 Kitemu-Buddo-24HRS'!D17,'29.0 Kitemu-Buddo'!D17)</f>
        <v>0.42857142857142855</v>
      </c>
      <c r="E17" s="49">
        <f>AVERAGE('23.09.19-Kitemu-Buddo'!E17,'24.09 Kitemu-Buddo'!E17,'25.09 Kitemu-Buddo'!E17,'27.09 Kitemu-Buddo'!E17,'26.09 Kitemu-Buddo-24 HRS'!E17,'28.09 Kitemu-Buddo-24HRS'!E17,'29.0 Kitemu-Buddo'!E17)</f>
        <v>0.5714285714285714</v>
      </c>
      <c r="F17" s="49">
        <f>AVERAGE('23.09.19-Kitemu-Buddo'!F17,'24.09 Kitemu-Buddo'!F17,'25.09 Kitemu-Buddo'!F17,'27.09 Kitemu-Buddo'!F17,'26.09 Kitemu-Buddo-24 HRS'!F17,'28.09 Kitemu-Buddo-24HRS'!F17,'29.0 Kitemu-Buddo'!F17)</f>
        <v>1.7142857142857142</v>
      </c>
      <c r="G17" s="49">
        <f>AVERAGE('23.09.19-Kitemu-Buddo'!G17,'24.09 Kitemu-Buddo'!G17,'25.09 Kitemu-Buddo'!G17,'27.09 Kitemu-Buddo'!G17,'26.09 Kitemu-Buddo-24 HRS'!G17,'28.09 Kitemu-Buddo-24HRS'!G17,'29.0 Kitemu-Buddo'!G17)</f>
        <v>0.14285714285714285</v>
      </c>
      <c r="H17" s="49">
        <f>AVERAGE('23.09.19-Kitemu-Buddo'!H17,'24.09 Kitemu-Buddo'!H17,'25.09 Kitemu-Buddo'!H17,'27.09 Kitemu-Buddo'!H17,'26.09 Kitemu-Buddo-24 HRS'!H17,'28.09 Kitemu-Buddo-24HRS'!H17,'29.0 Kitemu-Buddo'!H17)</f>
        <v>0.14285714285714285</v>
      </c>
      <c r="I17" s="49">
        <f>AVERAGE('23.09.19-Kitemu-Buddo'!I17,'24.09 Kitemu-Buddo'!I17,'25.09 Kitemu-Buddo'!I17,'27.09 Kitemu-Buddo'!I17,'26.09 Kitemu-Buddo-24 HRS'!I17,'28.09 Kitemu-Buddo-24HRS'!I17,'29.0 Kitemu-Buddo'!I17)</f>
        <v>1</v>
      </c>
      <c r="J17" s="49">
        <f>AVERAGE('23.09.19-Kitemu-Buddo'!J17,'24.09 Kitemu-Buddo'!J17,'25.09 Kitemu-Buddo'!J17,'27.09 Kitemu-Buddo'!J17,'26.09 Kitemu-Buddo-24 HRS'!J17,'28.09 Kitemu-Buddo-24HRS'!J17,'29.0 Kitemu-Buddo'!J17)</f>
        <v>0.7142857142857143</v>
      </c>
      <c r="K17" s="49">
        <f>AVERAGE('23.09.19-Kitemu-Buddo'!K17,'24.09 Kitemu-Buddo'!K17,'25.09 Kitemu-Buddo'!K17,'27.09 Kitemu-Buddo'!K17,'26.09 Kitemu-Buddo-24 HRS'!K17,'28.09 Kitemu-Buddo-24HRS'!K17,'29.0 Kitemu-Buddo'!K17)</f>
        <v>0</v>
      </c>
      <c r="L17" s="49">
        <f>AVERAGE('23.09.19-Kitemu-Buddo'!L17,'24.09 Kitemu-Buddo'!L17,'25.09 Kitemu-Buddo'!L17,'27.09 Kitemu-Buddo'!L17,'26.09 Kitemu-Buddo-24 HRS'!L17,'28.09 Kitemu-Buddo-24HRS'!L17,'29.0 Kitemu-Buddo'!L17)</f>
        <v>0</v>
      </c>
      <c r="M17" s="49">
        <f>AVERAGE('23.09.19-Kitemu-Buddo'!M17,'24.09 Kitemu-Buddo'!M17,'25.09 Kitemu-Buddo'!M17,'27.09 Kitemu-Buddo'!M17,'26.09 Kitemu-Buddo-24 HRS'!M17,'28.09 Kitemu-Buddo-24HRS'!M17,'29.0 Kitemu-Buddo'!M17)</f>
        <v>44.857142857142854</v>
      </c>
      <c r="N17" s="49">
        <f>AVERAGE('23.09.19-Kitemu-Buddo'!N17,'24.09 Kitemu-Buddo'!N17,'25.09 Kitemu-Buddo'!N17,'27.09 Kitemu-Buddo'!N17,'26.09 Kitemu-Buddo-24 HRS'!N17,'28.09 Kitemu-Buddo-24HRS'!N17,'29.0 Kitemu-Buddo'!N17)</f>
        <v>0</v>
      </c>
      <c r="O17" s="15">
        <f t="shared" si="0"/>
        <v>7.8571428571428577</v>
      </c>
      <c r="P17" s="15">
        <f t="shared" si="1"/>
        <v>52.714285714285708</v>
      </c>
      <c r="R17" s="1" t="s">
        <v>13</v>
      </c>
      <c r="S17" s="17">
        <f t="shared" ref="S17:AF17" si="9">SUM(C38:C41)</f>
        <v>11.857142857142858</v>
      </c>
      <c r="T17" s="17">
        <f t="shared" si="9"/>
        <v>1.1428571428571428</v>
      </c>
      <c r="U17" s="17">
        <f t="shared" si="9"/>
        <v>1</v>
      </c>
      <c r="V17" s="17">
        <f t="shared" si="9"/>
        <v>8.4285714285714288</v>
      </c>
      <c r="W17" s="17">
        <f t="shared" si="9"/>
        <v>0</v>
      </c>
      <c r="X17" s="17">
        <f t="shared" si="9"/>
        <v>0</v>
      </c>
      <c r="Y17" s="17">
        <f t="shared" si="9"/>
        <v>4.7142857142857144</v>
      </c>
      <c r="Z17" s="17">
        <f t="shared" si="9"/>
        <v>1.5714285714285712</v>
      </c>
      <c r="AA17" s="17">
        <f t="shared" si="9"/>
        <v>1.1428571428571428</v>
      </c>
      <c r="AB17" s="17">
        <f t="shared" si="9"/>
        <v>0</v>
      </c>
      <c r="AC17" s="17">
        <f t="shared" si="9"/>
        <v>132.71428571428572</v>
      </c>
      <c r="AD17" s="17">
        <f t="shared" si="9"/>
        <v>0</v>
      </c>
      <c r="AE17" s="31">
        <f t="shared" si="9"/>
        <v>29.857142857142854</v>
      </c>
      <c r="AF17" s="31">
        <f t="shared" si="9"/>
        <v>162.57142857142856</v>
      </c>
    </row>
    <row r="18" spans="2:32" ht="23.1" customHeight="1" x14ac:dyDescent="0.25">
      <c r="B18" s="23" t="s">
        <v>45</v>
      </c>
      <c r="C18" s="49">
        <f>AVERAGE('23.09.19-Kitemu-Buddo'!C18,'24.09 Kitemu-Buddo'!C18,'25.09 Kitemu-Buddo'!C18,'27.09 Kitemu-Buddo'!C18,'26.09 Kitemu-Buddo-24 HRS'!C18,'28.09 Kitemu-Buddo-24HRS'!C18,'29.0 Kitemu-Buddo'!C18)</f>
        <v>2.1428571428571428</v>
      </c>
      <c r="D18" s="49">
        <f>AVERAGE('23.09.19-Kitemu-Buddo'!D18,'24.09 Kitemu-Buddo'!D18,'25.09 Kitemu-Buddo'!D18,'27.09 Kitemu-Buddo'!D18,'26.09 Kitemu-Buddo-24 HRS'!D18,'28.09 Kitemu-Buddo-24HRS'!D18,'29.0 Kitemu-Buddo'!D18)</f>
        <v>0.42857142857142855</v>
      </c>
      <c r="E18" s="49">
        <f>AVERAGE('23.09.19-Kitemu-Buddo'!E18,'24.09 Kitemu-Buddo'!E18,'25.09 Kitemu-Buddo'!E18,'27.09 Kitemu-Buddo'!E18,'26.09 Kitemu-Buddo-24 HRS'!E18,'28.09 Kitemu-Buddo-24HRS'!E18,'29.0 Kitemu-Buddo'!E18)</f>
        <v>0</v>
      </c>
      <c r="F18" s="49">
        <f>AVERAGE('23.09.19-Kitemu-Buddo'!F18,'24.09 Kitemu-Buddo'!F18,'25.09 Kitemu-Buddo'!F18,'27.09 Kitemu-Buddo'!F18,'26.09 Kitemu-Buddo-24 HRS'!F18,'28.09 Kitemu-Buddo-24HRS'!F18,'29.0 Kitemu-Buddo'!F18)</f>
        <v>1.8571428571428572</v>
      </c>
      <c r="G18" s="49">
        <f>AVERAGE('23.09.19-Kitemu-Buddo'!G18,'24.09 Kitemu-Buddo'!G18,'25.09 Kitemu-Buddo'!G18,'27.09 Kitemu-Buddo'!G18,'26.09 Kitemu-Buddo-24 HRS'!G18,'28.09 Kitemu-Buddo-24HRS'!G18,'29.0 Kitemu-Buddo'!G18)</f>
        <v>0</v>
      </c>
      <c r="H18" s="49">
        <f>AVERAGE('23.09.19-Kitemu-Buddo'!H18,'24.09 Kitemu-Buddo'!H18,'25.09 Kitemu-Buddo'!H18,'27.09 Kitemu-Buddo'!H18,'26.09 Kitemu-Buddo-24 HRS'!H18,'28.09 Kitemu-Buddo-24HRS'!H18,'29.0 Kitemu-Buddo'!H18)</f>
        <v>0</v>
      </c>
      <c r="I18" s="49">
        <f>AVERAGE('23.09.19-Kitemu-Buddo'!I18,'24.09 Kitemu-Buddo'!I18,'25.09 Kitemu-Buddo'!I18,'27.09 Kitemu-Buddo'!I18,'26.09 Kitemu-Buddo-24 HRS'!I18,'28.09 Kitemu-Buddo-24HRS'!I18,'29.0 Kitemu-Buddo'!I18)</f>
        <v>1</v>
      </c>
      <c r="J18" s="49">
        <f>AVERAGE('23.09.19-Kitemu-Buddo'!J18,'24.09 Kitemu-Buddo'!J18,'25.09 Kitemu-Buddo'!J18,'27.09 Kitemu-Buddo'!J18,'26.09 Kitemu-Buddo-24 HRS'!J18,'28.09 Kitemu-Buddo-24HRS'!J18,'29.0 Kitemu-Buddo'!J18)</f>
        <v>0.14285714285714285</v>
      </c>
      <c r="K18" s="49">
        <f>AVERAGE('23.09.19-Kitemu-Buddo'!K18,'24.09 Kitemu-Buddo'!K18,'25.09 Kitemu-Buddo'!K18,'27.09 Kitemu-Buddo'!K18,'26.09 Kitemu-Buddo-24 HRS'!K18,'28.09 Kitemu-Buddo-24HRS'!K18,'29.0 Kitemu-Buddo'!K18)</f>
        <v>0.14285714285714285</v>
      </c>
      <c r="L18" s="49">
        <f>AVERAGE('23.09.19-Kitemu-Buddo'!L18,'24.09 Kitemu-Buddo'!L18,'25.09 Kitemu-Buddo'!L18,'27.09 Kitemu-Buddo'!L18,'26.09 Kitemu-Buddo-24 HRS'!L18,'28.09 Kitemu-Buddo-24HRS'!L18,'29.0 Kitemu-Buddo'!L18)</f>
        <v>0</v>
      </c>
      <c r="M18" s="49">
        <f>AVERAGE('23.09.19-Kitemu-Buddo'!M18,'24.09 Kitemu-Buddo'!M18,'25.09 Kitemu-Buddo'!M18,'27.09 Kitemu-Buddo'!M18,'26.09 Kitemu-Buddo-24 HRS'!M18,'28.09 Kitemu-Buddo-24HRS'!M18,'29.0 Kitemu-Buddo'!M18)</f>
        <v>39.857142857142854</v>
      </c>
      <c r="N18" s="49">
        <f>AVERAGE('23.09.19-Kitemu-Buddo'!N18,'24.09 Kitemu-Buddo'!N18,'25.09 Kitemu-Buddo'!N18,'27.09 Kitemu-Buddo'!N18,'26.09 Kitemu-Buddo-24 HRS'!N18,'28.09 Kitemu-Buddo-24HRS'!N18,'29.0 Kitemu-Buddo'!N18)</f>
        <v>0</v>
      </c>
      <c r="O18" s="15">
        <f t="shared" si="0"/>
        <v>5.7142857142857153</v>
      </c>
      <c r="P18" s="15">
        <f t="shared" si="1"/>
        <v>45.571428571428569</v>
      </c>
      <c r="R18" s="1" t="s">
        <v>14</v>
      </c>
      <c r="S18" s="17">
        <f t="shared" ref="S18:AF18" si="10">SUM(C42:C45)</f>
        <v>12.714285714285715</v>
      </c>
      <c r="T18" s="17">
        <f t="shared" si="10"/>
        <v>0.8571428571428571</v>
      </c>
      <c r="U18" s="17">
        <f t="shared" si="10"/>
        <v>1.7142857142857142</v>
      </c>
      <c r="V18" s="17">
        <f t="shared" si="10"/>
        <v>7.2857142857142856</v>
      </c>
      <c r="W18" s="17">
        <f t="shared" si="10"/>
        <v>0.5714285714285714</v>
      </c>
      <c r="X18" s="17">
        <f t="shared" si="10"/>
        <v>0.2857142857142857</v>
      </c>
      <c r="Y18" s="17">
        <f t="shared" si="10"/>
        <v>4.5714285714285712</v>
      </c>
      <c r="Z18" s="17">
        <f t="shared" si="10"/>
        <v>2.8571428571428568</v>
      </c>
      <c r="AA18" s="17">
        <f t="shared" si="10"/>
        <v>1.2857142857142856</v>
      </c>
      <c r="AB18" s="17">
        <f t="shared" si="10"/>
        <v>0</v>
      </c>
      <c r="AC18" s="17">
        <f t="shared" si="10"/>
        <v>126.28571428571431</v>
      </c>
      <c r="AD18" s="17">
        <f t="shared" si="10"/>
        <v>0</v>
      </c>
      <c r="AE18" s="31">
        <f t="shared" si="10"/>
        <v>32.142857142857146</v>
      </c>
      <c r="AF18" s="31">
        <f t="shared" si="10"/>
        <v>158.42857142857144</v>
      </c>
    </row>
    <row r="19" spans="2:32" ht="23.1" customHeight="1" x14ac:dyDescent="0.25">
      <c r="B19" s="23" t="s">
        <v>46</v>
      </c>
      <c r="C19" s="49">
        <f>AVERAGE('23.09.19-Kitemu-Buddo'!C19,'24.09 Kitemu-Buddo'!C19,'25.09 Kitemu-Buddo'!C19,'27.09 Kitemu-Buddo'!C19,'26.09 Kitemu-Buddo-24 HRS'!C19,'28.09 Kitemu-Buddo-24HRS'!C19,'29.0 Kitemu-Buddo'!C19)</f>
        <v>3.2857142857142856</v>
      </c>
      <c r="D19" s="49">
        <f>AVERAGE('23.09.19-Kitemu-Buddo'!D19,'24.09 Kitemu-Buddo'!D19,'25.09 Kitemu-Buddo'!D19,'27.09 Kitemu-Buddo'!D19,'26.09 Kitemu-Buddo-24 HRS'!D19,'28.09 Kitemu-Buddo-24HRS'!D19,'29.0 Kitemu-Buddo'!D19)</f>
        <v>0.42857142857142855</v>
      </c>
      <c r="E19" s="49">
        <f>AVERAGE('23.09.19-Kitemu-Buddo'!E19,'24.09 Kitemu-Buddo'!E19,'25.09 Kitemu-Buddo'!E19,'27.09 Kitemu-Buddo'!E19,'26.09 Kitemu-Buddo-24 HRS'!E19,'28.09 Kitemu-Buddo-24HRS'!E19,'29.0 Kitemu-Buddo'!E19)</f>
        <v>0.7142857142857143</v>
      </c>
      <c r="F19" s="49">
        <f>AVERAGE('23.09.19-Kitemu-Buddo'!F19,'24.09 Kitemu-Buddo'!F19,'25.09 Kitemu-Buddo'!F19,'27.09 Kitemu-Buddo'!F19,'26.09 Kitemu-Buddo-24 HRS'!F19,'28.09 Kitemu-Buddo-24HRS'!F19,'29.0 Kitemu-Buddo'!F19)</f>
        <v>1</v>
      </c>
      <c r="G19" s="49">
        <f>AVERAGE('23.09.19-Kitemu-Buddo'!G19,'24.09 Kitemu-Buddo'!G19,'25.09 Kitemu-Buddo'!G19,'27.09 Kitemu-Buddo'!G19,'26.09 Kitemu-Buddo-24 HRS'!G19,'28.09 Kitemu-Buddo-24HRS'!G19,'29.0 Kitemu-Buddo'!G19)</f>
        <v>0.14285714285714285</v>
      </c>
      <c r="H19" s="49">
        <f>AVERAGE('23.09.19-Kitemu-Buddo'!H19,'24.09 Kitemu-Buddo'!H19,'25.09 Kitemu-Buddo'!H19,'27.09 Kitemu-Buddo'!H19,'26.09 Kitemu-Buddo-24 HRS'!H19,'28.09 Kitemu-Buddo-24HRS'!H19,'29.0 Kitemu-Buddo'!H19)</f>
        <v>0.14285714285714285</v>
      </c>
      <c r="I19" s="49">
        <f>AVERAGE('23.09.19-Kitemu-Buddo'!I19,'24.09 Kitemu-Buddo'!I19,'25.09 Kitemu-Buddo'!I19,'27.09 Kitemu-Buddo'!I19,'26.09 Kitemu-Buddo-24 HRS'!I19,'28.09 Kitemu-Buddo-24HRS'!I19,'29.0 Kitemu-Buddo'!I19)</f>
        <v>0.5714285714285714</v>
      </c>
      <c r="J19" s="49">
        <f>AVERAGE('23.09.19-Kitemu-Buddo'!J19,'24.09 Kitemu-Buddo'!J19,'25.09 Kitemu-Buddo'!J19,'27.09 Kitemu-Buddo'!J19,'26.09 Kitemu-Buddo-24 HRS'!J19,'28.09 Kitemu-Buddo-24HRS'!J19,'29.0 Kitemu-Buddo'!J19)</f>
        <v>0.5714285714285714</v>
      </c>
      <c r="K19" s="49">
        <f>AVERAGE('23.09.19-Kitemu-Buddo'!K19,'24.09 Kitemu-Buddo'!K19,'25.09 Kitemu-Buddo'!K19,'27.09 Kitemu-Buddo'!K19,'26.09 Kitemu-Buddo-24 HRS'!K19,'28.09 Kitemu-Buddo-24HRS'!K19,'29.0 Kitemu-Buddo'!K19)</f>
        <v>0.14285714285714285</v>
      </c>
      <c r="L19" s="49">
        <f>AVERAGE('23.09.19-Kitemu-Buddo'!L19,'24.09 Kitemu-Buddo'!L19,'25.09 Kitemu-Buddo'!L19,'27.09 Kitemu-Buddo'!L19,'26.09 Kitemu-Buddo-24 HRS'!L19,'28.09 Kitemu-Buddo-24HRS'!L19,'29.0 Kitemu-Buddo'!L19)</f>
        <v>0</v>
      </c>
      <c r="M19" s="49">
        <f>AVERAGE('23.09.19-Kitemu-Buddo'!M19,'24.09 Kitemu-Buddo'!M19,'25.09 Kitemu-Buddo'!M19,'27.09 Kitemu-Buddo'!M19,'26.09 Kitemu-Buddo-24 HRS'!M19,'28.09 Kitemu-Buddo-24HRS'!M19,'29.0 Kitemu-Buddo'!M19)</f>
        <v>43.142857142857146</v>
      </c>
      <c r="N19" s="49">
        <f>AVERAGE('23.09.19-Kitemu-Buddo'!N19,'24.09 Kitemu-Buddo'!N19,'25.09 Kitemu-Buddo'!N19,'27.09 Kitemu-Buddo'!N19,'26.09 Kitemu-Buddo-24 HRS'!N19,'28.09 Kitemu-Buddo-24HRS'!N19,'29.0 Kitemu-Buddo'!N19)</f>
        <v>0</v>
      </c>
      <c r="O19" s="15">
        <f t="shared" si="0"/>
        <v>7</v>
      </c>
      <c r="P19" s="15">
        <f t="shared" si="1"/>
        <v>50.142857142857146</v>
      </c>
      <c r="R19" s="1" t="s">
        <v>15</v>
      </c>
      <c r="S19" s="17">
        <f t="shared" ref="S19:AF19" si="11">SUM(C46:C49)</f>
        <v>14.285714285714286</v>
      </c>
      <c r="T19" s="17">
        <f t="shared" si="11"/>
        <v>2.4285714285714284</v>
      </c>
      <c r="U19" s="17">
        <f t="shared" si="11"/>
        <v>2</v>
      </c>
      <c r="V19" s="17">
        <f t="shared" si="11"/>
        <v>10.142857142857142</v>
      </c>
      <c r="W19" s="17">
        <f t="shared" si="11"/>
        <v>1.4285714285714284</v>
      </c>
      <c r="X19" s="17">
        <f t="shared" si="11"/>
        <v>0</v>
      </c>
      <c r="Y19" s="17">
        <f t="shared" si="11"/>
        <v>4.2857142857142856</v>
      </c>
      <c r="Z19" s="17">
        <f t="shared" si="11"/>
        <v>1</v>
      </c>
      <c r="AA19" s="17">
        <f t="shared" si="11"/>
        <v>0.8571428571428571</v>
      </c>
      <c r="AB19" s="17">
        <f t="shared" si="11"/>
        <v>0</v>
      </c>
      <c r="AC19" s="17">
        <f t="shared" si="11"/>
        <v>127.85714285714286</v>
      </c>
      <c r="AD19" s="17">
        <f t="shared" si="11"/>
        <v>0</v>
      </c>
      <c r="AE19" s="31">
        <f t="shared" si="11"/>
        <v>36.428571428571431</v>
      </c>
      <c r="AF19" s="31">
        <f t="shared" si="11"/>
        <v>164.28571428571431</v>
      </c>
    </row>
    <row r="20" spans="2:32" ht="23.1" customHeight="1" x14ac:dyDescent="0.25">
      <c r="B20" s="23" t="s">
        <v>47</v>
      </c>
      <c r="C20" s="49">
        <f>AVERAGE('23.09.19-Kitemu-Buddo'!C20,'24.09 Kitemu-Buddo'!C20,'25.09 Kitemu-Buddo'!C20,'27.09 Kitemu-Buddo'!C20,'26.09 Kitemu-Buddo-24 HRS'!C20,'28.09 Kitemu-Buddo-24HRS'!C20,'29.0 Kitemu-Buddo'!C20)</f>
        <v>2.4285714285714284</v>
      </c>
      <c r="D20" s="49">
        <f>AVERAGE('23.09.19-Kitemu-Buddo'!D20,'24.09 Kitemu-Buddo'!D20,'25.09 Kitemu-Buddo'!D20,'27.09 Kitemu-Buddo'!D20,'26.09 Kitemu-Buddo-24 HRS'!D20,'28.09 Kitemu-Buddo-24HRS'!D20,'29.0 Kitemu-Buddo'!D20)</f>
        <v>0.2857142857142857</v>
      </c>
      <c r="E20" s="49">
        <f>AVERAGE('23.09.19-Kitemu-Buddo'!E20,'24.09 Kitemu-Buddo'!E20,'25.09 Kitemu-Buddo'!E20,'27.09 Kitemu-Buddo'!E20,'26.09 Kitemu-Buddo-24 HRS'!E20,'28.09 Kitemu-Buddo-24HRS'!E20,'29.0 Kitemu-Buddo'!E20)</f>
        <v>0.2857142857142857</v>
      </c>
      <c r="F20" s="49">
        <f>AVERAGE('23.09.19-Kitemu-Buddo'!F20,'24.09 Kitemu-Buddo'!F20,'25.09 Kitemu-Buddo'!F20,'27.09 Kitemu-Buddo'!F20,'26.09 Kitemu-Buddo-24 HRS'!F20,'28.09 Kitemu-Buddo-24HRS'!F20,'29.0 Kitemu-Buddo'!F20)</f>
        <v>1.2857142857142858</v>
      </c>
      <c r="G20" s="49">
        <f>AVERAGE('23.09.19-Kitemu-Buddo'!G20,'24.09 Kitemu-Buddo'!G20,'25.09 Kitemu-Buddo'!G20,'27.09 Kitemu-Buddo'!G20,'26.09 Kitemu-Buddo-24 HRS'!G20,'28.09 Kitemu-Buddo-24HRS'!G20,'29.0 Kitemu-Buddo'!G20)</f>
        <v>0</v>
      </c>
      <c r="H20" s="49">
        <f>AVERAGE('23.09.19-Kitemu-Buddo'!H20,'24.09 Kitemu-Buddo'!H20,'25.09 Kitemu-Buddo'!H20,'27.09 Kitemu-Buddo'!H20,'26.09 Kitemu-Buddo-24 HRS'!H20,'28.09 Kitemu-Buddo-24HRS'!H20,'29.0 Kitemu-Buddo'!H20)</f>
        <v>0.14285714285714285</v>
      </c>
      <c r="I20" s="49">
        <f>AVERAGE('23.09.19-Kitemu-Buddo'!I20,'24.09 Kitemu-Buddo'!I20,'25.09 Kitemu-Buddo'!I20,'27.09 Kitemu-Buddo'!I20,'26.09 Kitemu-Buddo-24 HRS'!I20,'28.09 Kitemu-Buddo-24HRS'!I20,'29.0 Kitemu-Buddo'!I20)</f>
        <v>1.5714285714285714</v>
      </c>
      <c r="J20" s="49">
        <f>AVERAGE('23.09.19-Kitemu-Buddo'!J20,'24.09 Kitemu-Buddo'!J20,'25.09 Kitemu-Buddo'!J20,'27.09 Kitemu-Buddo'!J20,'26.09 Kitemu-Buddo-24 HRS'!J20,'28.09 Kitemu-Buddo-24HRS'!J20,'29.0 Kitemu-Buddo'!J20)</f>
        <v>1</v>
      </c>
      <c r="K20" s="49">
        <f>AVERAGE('23.09.19-Kitemu-Buddo'!K20,'24.09 Kitemu-Buddo'!K20,'25.09 Kitemu-Buddo'!K20,'27.09 Kitemu-Buddo'!K20,'26.09 Kitemu-Buddo-24 HRS'!K20,'28.09 Kitemu-Buddo-24HRS'!K20,'29.0 Kitemu-Buddo'!K20)</f>
        <v>0.14285714285714285</v>
      </c>
      <c r="L20" s="49">
        <f>AVERAGE('23.09.19-Kitemu-Buddo'!L20,'24.09 Kitemu-Buddo'!L20,'25.09 Kitemu-Buddo'!L20,'27.09 Kitemu-Buddo'!L20,'26.09 Kitemu-Buddo-24 HRS'!L20,'28.09 Kitemu-Buddo-24HRS'!L20,'29.0 Kitemu-Buddo'!L20)</f>
        <v>0</v>
      </c>
      <c r="M20" s="49">
        <f>AVERAGE('23.09.19-Kitemu-Buddo'!M20,'24.09 Kitemu-Buddo'!M20,'25.09 Kitemu-Buddo'!M20,'27.09 Kitemu-Buddo'!M20,'26.09 Kitemu-Buddo-24 HRS'!M20,'28.09 Kitemu-Buddo-24HRS'!M20,'29.0 Kitemu-Buddo'!M20)</f>
        <v>44.428571428571431</v>
      </c>
      <c r="N20" s="49">
        <f>AVERAGE('23.09.19-Kitemu-Buddo'!N20,'24.09 Kitemu-Buddo'!N20,'25.09 Kitemu-Buddo'!N20,'27.09 Kitemu-Buddo'!N20,'26.09 Kitemu-Buddo-24 HRS'!N20,'28.09 Kitemu-Buddo-24HRS'!N20,'29.0 Kitemu-Buddo'!N20)</f>
        <v>0</v>
      </c>
      <c r="O20" s="15">
        <f t="shared" si="0"/>
        <v>7.1428571428571432</v>
      </c>
      <c r="P20" s="15">
        <f t="shared" si="1"/>
        <v>51.571428571428577</v>
      </c>
      <c r="R20" s="1" t="s">
        <v>16</v>
      </c>
      <c r="S20" s="17">
        <f t="shared" ref="S20:AF20" si="12">SUM(C50:C53)</f>
        <v>15.428571428571429</v>
      </c>
      <c r="T20" s="17">
        <f t="shared" si="12"/>
        <v>3.1428571428571428</v>
      </c>
      <c r="U20" s="17">
        <f t="shared" si="12"/>
        <v>0.71428571428571419</v>
      </c>
      <c r="V20" s="17">
        <f t="shared" si="12"/>
        <v>12</v>
      </c>
      <c r="W20" s="17">
        <f t="shared" si="12"/>
        <v>1.8571428571428572</v>
      </c>
      <c r="X20" s="17">
        <f t="shared" si="12"/>
        <v>0</v>
      </c>
      <c r="Y20" s="17">
        <f t="shared" si="12"/>
        <v>6.5714285714285712</v>
      </c>
      <c r="Z20" s="17">
        <f t="shared" si="12"/>
        <v>1.7142857142857142</v>
      </c>
      <c r="AA20" s="17">
        <f t="shared" si="12"/>
        <v>0.42857142857142855</v>
      </c>
      <c r="AB20" s="17">
        <f t="shared" si="12"/>
        <v>0</v>
      </c>
      <c r="AC20" s="17">
        <f t="shared" si="12"/>
        <v>147.42857142857144</v>
      </c>
      <c r="AD20" s="17">
        <f t="shared" si="12"/>
        <v>0</v>
      </c>
      <c r="AE20" s="31">
        <f t="shared" si="12"/>
        <v>41.857142857142861</v>
      </c>
      <c r="AF20" s="31">
        <f t="shared" si="12"/>
        <v>189.28571428571428</v>
      </c>
    </row>
    <row r="21" spans="2:32" ht="23.1" customHeight="1" x14ac:dyDescent="0.25">
      <c r="B21" s="23" t="s">
        <v>48</v>
      </c>
      <c r="C21" s="49">
        <f>AVERAGE('23.09.19-Kitemu-Buddo'!C21,'24.09 Kitemu-Buddo'!C21,'25.09 Kitemu-Buddo'!C21,'27.09 Kitemu-Buddo'!C21,'26.09 Kitemu-Buddo-24 HRS'!C21,'28.09 Kitemu-Buddo-24HRS'!C21,'29.0 Kitemu-Buddo'!C21)</f>
        <v>2.4285714285714284</v>
      </c>
      <c r="D21" s="49">
        <f>AVERAGE('23.09.19-Kitemu-Buddo'!D21,'24.09 Kitemu-Buddo'!D21,'25.09 Kitemu-Buddo'!D21,'27.09 Kitemu-Buddo'!D21,'26.09 Kitemu-Buddo-24 HRS'!D21,'28.09 Kitemu-Buddo-24HRS'!D21,'29.0 Kitemu-Buddo'!D21)</f>
        <v>0.42857142857142855</v>
      </c>
      <c r="E21" s="49">
        <f>AVERAGE('23.09.19-Kitemu-Buddo'!E21,'24.09 Kitemu-Buddo'!E21,'25.09 Kitemu-Buddo'!E21,'27.09 Kitemu-Buddo'!E21,'26.09 Kitemu-Buddo-24 HRS'!E21,'28.09 Kitemu-Buddo-24HRS'!E21,'29.0 Kitemu-Buddo'!E21)</f>
        <v>0.2857142857142857</v>
      </c>
      <c r="F21" s="49">
        <f>AVERAGE('23.09.19-Kitemu-Buddo'!F21,'24.09 Kitemu-Buddo'!F21,'25.09 Kitemu-Buddo'!F21,'27.09 Kitemu-Buddo'!F21,'26.09 Kitemu-Buddo-24 HRS'!F21,'28.09 Kitemu-Buddo-24HRS'!F21,'29.0 Kitemu-Buddo'!F21)</f>
        <v>1.7142857142857142</v>
      </c>
      <c r="G21" s="49">
        <f>AVERAGE('23.09.19-Kitemu-Buddo'!G21,'24.09 Kitemu-Buddo'!G21,'25.09 Kitemu-Buddo'!G21,'27.09 Kitemu-Buddo'!G21,'26.09 Kitemu-Buddo-24 HRS'!G21,'28.09 Kitemu-Buddo-24HRS'!G21,'29.0 Kitemu-Buddo'!G21)</f>
        <v>0</v>
      </c>
      <c r="H21" s="49">
        <f>AVERAGE('23.09.19-Kitemu-Buddo'!H21,'24.09 Kitemu-Buddo'!H21,'25.09 Kitemu-Buddo'!H21,'27.09 Kitemu-Buddo'!H21,'26.09 Kitemu-Buddo-24 HRS'!H21,'28.09 Kitemu-Buddo-24HRS'!H21,'29.0 Kitemu-Buddo'!H21)</f>
        <v>0</v>
      </c>
      <c r="I21" s="49">
        <f>AVERAGE('23.09.19-Kitemu-Buddo'!I21,'24.09 Kitemu-Buddo'!I21,'25.09 Kitemu-Buddo'!I21,'27.09 Kitemu-Buddo'!I21,'26.09 Kitemu-Buddo-24 HRS'!I21,'28.09 Kitemu-Buddo-24HRS'!I21,'29.0 Kitemu-Buddo'!I21)</f>
        <v>1.1428571428571428</v>
      </c>
      <c r="J21" s="49">
        <f>AVERAGE('23.09.19-Kitemu-Buddo'!J21,'24.09 Kitemu-Buddo'!J21,'25.09 Kitemu-Buddo'!J21,'27.09 Kitemu-Buddo'!J21,'26.09 Kitemu-Buddo-24 HRS'!J21,'28.09 Kitemu-Buddo-24HRS'!J21,'29.0 Kitemu-Buddo'!J21)</f>
        <v>0.42857142857142855</v>
      </c>
      <c r="K21" s="49">
        <f>AVERAGE('23.09.19-Kitemu-Buddo'!K21,'24.09 Kitemu-Buddo'!K21,'25.09 Kitemu-Buddo'!K21,'27.09 Kitemu-Buddo'!K21,'26.09 Kitemu-Buddo-24 HRS'!K21,'28.09 Kitemu-Buddo-24HRS'!K21,'29.0 Kitemu-Buddo'!K21)</f>
        <v>0.2857142857142857</v>
      </c>
      <c r="L21" s="49">
        <f>AVERAGE('23.09.19-Kitemu-Buddo'!L21,'24.09 Kitemu-Buddo'!L21,'25.09 Kitemu-Buddo'!L21,'27.09 Kitemu-Buddo'!L21,'26.09 Kitemu-Buddo-24 HRS'!L21,'28.09 Kitemu-Buddo-24HRS'!L21,'29.0 Kitemu-Buddo'!L21)</f>
        <v>0</v>
      </c>
      <c r="M21" s="49">
        <f>AVERAGE('23.09.19-Kitemu-Buddo'!M21,'24.09 Kitemu-Buddo'!M21,'25.09 Kitemu-Buddo'!M21,'27.09 Kitemu-Buddo'!M21,'26.09 Kitemu-Buddo-24 HRS'!M21,'28.09 Kitemu-Buddo-24HRS'!M21,'29.0 Kitemu-Buddo'!M21)</f>
        <v>44.714285714285715</v>
      </c>
      <c r="N21" s="49">
        <f>AVERAGE('23.09.19-Kitemu-Buddo'!N21,'24.09 Kitemu-Buddo'!N21,'25.09 Kitemu-Buddo'!N21,'27.09 Kitemu-Buddo'!N21,'26.09 Kitemu-Buddo-24 HRS'!N21,'28.09 Kitemu-Buddo-24HRS'!N21,'29.0 Kitemu-Buddo'!N21)</f>
        <v>0</v>
      </c>
      <c r="O21" s="15">
        <f t="shared" si="0"/>
        <v>6.7142857142857144</v>
      </c>
      <c r="P21" s="15">
        <f t="shared" si="1"/>
        <v>51.428571428571431</v>
      </c>
      <c r="R21" s="36" t="s">
        <v>20</v>
      </c>
      <c r="S21" s="34">
        <f t="shared" ref="S21:AF21" si="13">SUM(C54:C57)</f>
        <v>14.857142857142858</v>
      </c>
      <c r="T21" s="17">
        <f t="shared" si="13"/>
        <v>2.5714285714285712</v>
      </c>
      <c r="U21" s="17">
        <f t="shared" si="13"/>
        <v>2.5714285714285716</v>
      </c>
      <c r="V21" s="17">
        <f t="shared" si="13"/>
        <v>8.7142857142857153</v>
      </c>
      <c r="W21" s="17">
        <f t="shared" si="13"/>
        <v>1.1428571428571428</v>
      </c>
      <c r="X21" s="17">
        <f t="shared" si="13"/>
        <v>0.14285714285714285</v>
      </c>
      <c r="Y21" s="17">
        <f t="shared" si="13"/>
        <v>5.4285714285714288</v>
      </c>
      <c r="Z21" s="17">
        <f t="shared" si="13"/>
        <v>1.714285714285714</v>
      </c>
      <c r="AA21" s="17">
        <f t="shared" si="13"/>
        <v>0.42857142857142855</v>
      </c>
      <c r="AB21" s="17">
        <f t="shared" si="13"/>
        <v>0</v>
      </c>
      <c r="AC21" s="17">
        <f t="shared" si="13"/>
        <v>137.71428571428572</v>
      </c>
      <c r="AD21" s="17">
        <f t="shared" si="13"/>
        <v>0</v>
      </c>
      <c r="AE21" s="31">
        <f t="shared" si="13"/>
        <v>37.571428571428569</v>
      </c>
      <c r="AF21" s="31">
        <f t="shared" si="13"/>
        <v>175.28571428571428</v>
      </c>
    </row>
    <row r="22" spans="2:32" ht="23.1" customHeight="1" x14ac:dyDescent="0.25">
      <c r="B22" s="23" t="s">
        <v>49</v>
      </c>
      <c r="C22" s="49">
        <f>AVERAGE('23.09.19-Kitemu-Buddo'!C22,'24.09 Kitemu-Buddo'!C22,'25.09 Kitemu-Buddo'!C22,'27.09 Kitemu-Buddo'!C22,'26.09 Kitemu-Buddo-24 HRS'!C22,'28.09 Kitemu-Buddo-24HRS'!C22,'29.0 Kitemu-Buddo'!C22)</f>
        <v>2.7142857142857144</v>
      </c>
      <c r="D22" s="49">
        <f>AVERAGE('23.09.19-Kitemu-Buddo'!D22,'24.09 Kitemu-Buddo'!D22,'25.09 Kitemu-Buddo'!D22,'27.09 Kitemu-Buddo'!D22,'26.09 Kitemu-Buddo-24 HRS'!D22,'28.09 Kitemu-Buddo-24HRS'!D22,'29.0 Kitemu-Buddo'!D22)</f>
        <v>0.2857142857142857</v>
      </c>
      <c r="E22" s="49">
        <f>AVERAGE('23.09.19-Kitemu-Buddo'!E22,'24.09 Kitemu-Buddo'!E22,'25.09 Kitemu-Buddo'!E22,'27.09 Kitemu-Buddo'!E22,'26.09 Kitemu-Buddo-24 HRS'!E22,'28.09 Kitemu-Buddo-24HRS'!E22,'29.0 Kitemu-Buddo'!E22)</f>
        <v>0.42857142857142855</v>
      </c>
      <c r="F22" s="49">
        <f>AVERAGE('23.09.19-Kitemu-Buddo'!F22,'24.09 Kitemu-Buddo'!F22,'25.09 Kitemu-Buddo'!F22,'27.09 Kitemu-Buddo'!F22,'26.09 Kitemu-Buddo-24 HRS'!F22,'28.09 Kitemu-Buddo-24HRS'!F22,'29.0 Kitemu-Buddo'!F22)</f>
        <v>2.1428571428571428</v>
      </c>
      <c r="G22" s="49">
        <f>AVERAGE('23.09.19-Kitemu-Buddo'!G22,'24.09 Kitemu-Buddo'!G22,'25.09 Kitemu-Buddo'!G22,'27.09 Kitemu-Buddo'!G22,'26.09 Kitemu-Buddo-24 HRS'!G22,'28.09 Kitemu-Buddo-24HRS'!G22,'29.0 Kitemu-Buddo'!G22)</f>
        <v>0</v>
      </c>
      <c r="H22" s="49">
        <f>AVERAGE('23.09.19-Kitemu-Buddo'!H22,'24.09 Kitemu-Buddo'!H22,'25.09 Kitemu-Buddo'!H22,'27.09 Kitemu-Buddo'!H22,'26.09 Kitemu-Buddo-24 HRS'!H22,'28.09 Kitemu-Buddo-24HRS'!H22,'29.0 Kitemu-Buddo'!H22)</f>
        <v>0</v>
      </c>
      <c r="I22" s="49">
        <f>AVERAGE('23.09.19-Kitemu-Buddo'!I22,'24.09 Kitemu-Buddo'!I22,'25.09 Kitemu-Buddo'!I22,'27.09 Kitemu-Buddo'!I22,'26.09 Kitemu-Buddo-24 HRS'!I22,'28.09 Kitemu-Buddo-24HRS'!I22,'29.0 Kitemu-Buddo'!I22)</f>
        <v>1.2857142857142858</v>
      </c>
      <c r="J22" s="49">
        <f>AVERAGE('23.09.19-Kitemu-Buddo'!J22,'24.09 Kitemu-Buddo'!J22,'25.09 Kitemu-Buddo'!J22,'27.09 Kitemu-Buddo'!J22,'26.09 Kitemu-Buddo-24 HRS'!J22,'28.09 Kitemu-Buddo-24HRS'!J22,'29.0 Kitemu-Buddo'!J22)</f>
        <v>0.7142857142857143</v>
      </c>
      <c r="K22" s="49">
        <f>AVERAGE('23.09.19-Kitemu-Buddo'!K22,'24.09 Kitemu-Buddo'!K22,'25.09 Kitemu-Buddo'!K22,'27.09 Kitemu-Buddo'!K22,'26.09 Kitemu-Buddo-24 HRS'!K22,'28.09 Kitemu-Buddo-24HRS'!K22,'29.0 Kitemu-Buddo'!K22)</f>
        <v>0.14285714285714285</v>
      </c>
      <c r="L22" s="49">
        <f>AVERAGE('23.09.19-Kitemu-Buddo'!L22,'24.09 Kitemu-Buddo'!L22,'25.09 Kitemu-Buddo'!L22,'27.09 Kitemu-Buddo'!L22,'26.09 Kitemu-Buddo-24 HRS'!L22,'28.09 Kitemu-Buddo-24HRS'!L22,'29.0 Kitemu-Buddo'!L22)</f>
        <v>0</v>
      </c>
      <c r="M22" s="49">
        <f>AVERAGE('23.09.19-Kitemu-Buddo'!M22,'24.09 Kitemu-Buddo'!M22,'25.09 Kitemu-Buddo'!M22,'27.09 Kitemu-Buddo'!M22,'26.09 Kitemu-Buddo-24 HRS'!M22,'28.09 Kitemu-Buddo-24HRS'!M22,'29.0 Kitemu-Buddo'!M22)</f>
        <v>40.571428571428569</v>
      </c>
      <c r="N22" s="49">
        <f>AVERAGE('23.09.19-Kitemu-Buddo'!N22,'24.09 Kitemu-Buddo'!N22,'25.09 Kitemu-Buddo'!N22,'27.09 Kitemu-Buddo'!N22,'26.09 Kitemu-Buddo-24 HRS'!N22,'28.09 Kitemu-Buddo-24HRS'!N22,'29.0 Kitemu-Buddo'!N22)</f>
        <v>0</v>
      </c>
      <c r="O22" s="15">
        <f t="shared" si="0"/>
        <v>7.7142857142857144</v>
      </c>
      <c r="P22" s="15">
        <f t="shared" si="1"/>
        <v>48.285714285714285</v>
      </c>
      <c r="R22" s="1" t="s">
        <v>146</v>
      </c>
      <c r="S22" s="34">
        <f>SUM(C58:C61)</f>
        <v>18</v>
      </c>
      <c r="T22" s="34">
        <f t="shared" ref="T22:AF22" si="14">SUM(D58:D61)</f>
        <v>4.5</v>
      </c>
      <c r="U22" s="34">
        <f t="shared" si="14"/>
        <v>7</v>
      </c>
      <c r="V22" s="34">
        <f t="shared" si="14"/>
        <v>10.5</v>
      </c>
      <c r="W22" s="34">
        <f t="shared" si="14"/>
        <v>0</v>
      </c>
      <c r="X22" s="34">
        <f t="shared" si="14"/>
        <v>0</v>
      </c>
      <c r="Y22" s="34">
        <f t="shared" si="14"/>
        <v>5.5</v>
      </c>
      <c r="Z22" s="34">
        <f t="shared" si="14"/>
        <v>2</v>
      </c>
      <c r="AA22" s="34">
        <f t="shared" si="14"/>
        <v>0.5</v>
      </c>
      <c r="AB22" s="34">
        <f t="shared" si="14"/>
        <v>0</v>
      </c>
      <c r="AC22" s="34">
        <f t="shared" si="14"/>
        <v>176.5</v>
      </c>
      <c r="AD22" s="34">
        <f t="shared" si="14"/>
        <v>0</v>
      </c>
      <c r="AE22" s="31">
        <f t="shared" si="14"/>
        <v>48</v>
      </c>
      <c r="AF22" s="31">
        <f t="shared" si="14"/>
        <v>224.5</v>
      </c>
    </row>
    <row r="23" spans="2:32" ht="23.1" customHeight="1" x14ac:dyDescent="0.25">
      <c r="B23" s="23" t="s">
        <v>50</v>
      </c>
      <c r="C23" s="49">
        <f>AVERAGE('23.09.19-Kitemu-Buddo'!C23,'24.09 Kitemu-Buddo'!C23,'25.09 Kitemu-Buddo'!C23,'27.09 Kitemu-Buddo'!C23,'26.09 Kitemu-Buddo-24 HRS'!C23,'28.09 Kitemu-Buddo-24HRS'!C23,'29.0 Kitemu-Buddo'!C23)</f>
        <v>3.4285714285714284</v>
      </c>
      <c r="D23" s="49">
        <f>AVERAGE('23.09.19-Kitemu-Buddo'!D23,'24.09 Kitemu-Buddo'!D23,'25.09 Kitemu-Buddo'!D23,'27.09 Kitemu-Buddo'!D23,'26.09 Kitemu-Buddo-24 HRS'!D23,'28.09 Kitemu-Buddo-24HRS'!D23,'29.0 Kitemu-Buddo'!D23)</f>
        <v>0.42857142857142855</v>
      </c>
      <c r="E23" s="49">
        <f>AVERAGE('23.09.19-Kitemu-Buddo'!E23,'24.09 Kitemu-Buddo'!E23,'25.09 Kitemu-Buddo'!E23,'27.09 Kitemu-Buddo'!E23,'26.09 Kitemu-Buddo-24 HRS'!E23,'28.09 Kitemu-Buddo-24HRS'!E23,'29.0 Kitemu-Buddo'!E23)</f>
        <v>0.2857142857142857</v>
      </c>
      <c r="F23" s="49">
        <f>AVERAGE('23.09.19-Kitemu-Buddo'!F23,'24.09 Kitemu-Buddo'!F23,'25.09 Kitemu-Buddo'!F23,'27.09 Kitemu-Buddo'!F23,'26.09 Kitemu-Buddo-24 HRS'!F23,'28.09 Kitemu-Buddo-24HRS'!F23,'29.0 Kitemu-Buddo'!F23)</f>
        <v>1.4285714285714286</v>
      </c>
      <c r="G23" s="49">
        <f>AVERAGE('23.09.19-Kitemu-Buddo'!G23,'24.09 Kitemu-Buddo'!G23,'25.09 Kitemu-Buddo'!G23,'27.09 Kitemu-Buddo'!G23,'26.09 Kitemu-Buddo-24 HRS'!G23,'28.09 Kitemu-Buddo-24HRS'!G23,'29.0 Kitemu-Buddo'!G23)</f>
        <v>0.14285714285714285</v>
      </c>
      <c r="H23" s="49">
        <f>AVERAGE('23.09.19-Kitemu-Buddo'!H23,'24.09 Kitemu-Buddo'!H23,'25.09 Kitemu-Buddo'!H23,'27.09 Kitemu-Buddo'!H23,'26.09 Kitemu-Buddo-24 HRS'!H23,'28.09 Kitemu-Buddo-24HRS'!H23,'29.0 Kitemu-Buddo'!H23)</f>
        <v>0</v>
      </c>
      <c r="I23" s="49">
        <f>AVERAGE('23.09.19-Kitemu-Buddo'!I23,'24.09 Kitemu-Buddo'!I23,'25.09 Kitemu-Buddo'!I23,'27.09 Kitemu-Buddo'!I23,'26.09 Kitemu-Buddo-24 HRS'!I23,'28.09 Kitemu-Buddo-24HRS'!I23,'29.0 Kitemu-Buddo'!I23)</f>
        <v>0.7142857142857143</v>
      </c>
      <c r="J23" s="49">
        <f>AVERAGE('23.09.19-Kitemu-Buddo'!J23,'24.09 Kitemu-Buddo'!J23,'25.09 Kitemu-Buddo'!J23,'27.09 Kitemu-Buddo'!J23,'26.09 Kitemu-Buddo-24 HRS'!J23,'28.09 Kitemu-Buddo-24HRS'!J23,'29.0 Kitemu-Buddo'!J23)</f>
        <v>0.2857142857142857</v>
      </c>
      <c r="K23" s="49">
        <f>AVERAGE('23.09.19-Kitemu-Buddo'!K23,'24.09 Kitemu-Buddo'!K23,'25.09 Kitemu-Buddo'!K23,'27.09 Kitemu-Buddo'!K23,'26.09 Kitemu-Buddo-24 HRS'!K23,'28.09 Kitemu-Buddo-24HRS'!K23,'29.0 Kitemu-Buddo'!K23)</f>
        <v>0.42857142857142855</v>
      </c>
      <c r="L23" s="49">
        <f>AVERAGE('23.09.19-Kitemu-Buddo'!L23,'24.09 Kitemu-Buddo'!L23,'25.09 Kitemu-Buddo'!L23,'27.09 Kitemu-Buddo'!L23,'26.09 Kitemu-Buddo-24 HRS'!L23,'28.09 Kitemu-Buddo-24HRS'!L23,'29.0 Kitemu-Buddo'!L23)</f>
        <v>0</v>
      </c>
      <c r="M23" s="49">
        <f>AVERAGE('23.09.19-Kitemu-Buddo'!M23,'24.09 Kitemu-Buddo'!M23,'25.09 Kitemu-Buddo'!M23,'27.09 Kitemu-Buddo'!M23,'26.09 Kitemu-Buddo-24 HRS'!M23,'28.09 Kitemu-Buddo-24HRS'!M23,'29.0 Kitemu-Buddo'!M23)</f>
        <v>40.571428571428569</v>
      </c>
      <c r="N23" s="49">
        <f>AVERAGE('23.09.19-Kitemu-Buddo'!N23,'24.09 Kitemu-Buddo'!N23,'25.09 Kitemu-Buddo'!N23,'27.09 Kitemu-Buddo'!N23,'26.09 Kitemu-Buddo-24 HRS'!N23,'28.09 Kitemu-Buddo-24HRS'!N23,'29.0 Kitemu-Buddo'!N23)</f>
        <v>0</v>
      </c>
      <c r="O23" s="15">
        <f t="shared" si="0"/>
        <v>7.1428571428571432</v>
      </c>
      <c r="P23" s="15">
        <f t="shared" si="1"/>
        <v>47.714285714285715</v>
      </c>
      <c r="R23" s="1" t="s">
        <v>147</v>
      </c>
      <c r="S23" s="34">
        <f>SUM(C62:C65)</f>
        <v>14.5</v>
      </c>
      <c r="T23" s="34">
        <f t="shared" ref="T23:AF23" si="15">SUM(D62:D65)</f>
        <v>3</v>
      </c>
      <c r="U23" s="34">
        <f t="shared" si="15"/>
        <v>3.5</v>
      </c>
      <c r="V23" s="34">
        <f t="shared" si="15"/>
        <v>12</v>
      </c>
      <c r="W23" s="34">
        <f t="shared" si="15"/>
        <v>0.5</v>
      </c>
      <c r="X23" s="34">
        <f t="shared" si="15"/>
        <v>0</v>
      </c>
      <c r="Y23" s="34">
        <f t="shared" si="15"/>
        <v>6</v>
      </c>
      <c r="Z23" s="34">
        <f t="shared" si="15"/>
        <v>4</v>
      </c>
      <c r="AA23" s="34">
        <f t="shared" si="15"/>
        <v>1</v>
      </c>
      <c r="AB23" s="34">
        <f t="shared" si="15"/>
        <v>0</v>
      </c>
      <c r="AC23" s="34">
        <f t="shared" si="15"/>
        <v>179.5</v>
      </c>
      <c r="AD23" s="34">
        <f t="shared" si="15"/>
        <v>0</v>
      </c>
      <c r="AE23" s="31">
        <f t="shared" si="15"/>
        <v>44.5</v>
      </c>
      <c r="AF23" s="31">
        <f t="shared" si="15"/>
        <v>224</v>
      </c>
    </row>
    <row r="24" spans="2:32" ht="23.1" customHeight="1" x14ac:dyDescent="0.25">
      <c r="B24" s="23" t="s">
        <v>51</v>
      </c>
      <c r="C24" s="49">
        <f>AVERAGE('23.09.19-Kitemu-Buddo'!C24,'24.09 Kitemu-Buddo'!C24,'25.09 Kitemu-Buddo'!C24,'27.09 Kitemu-Buddo'!C24,'26.09 Kitemu-Buddo-24 HRS'!C24,'28.09 Kitemu-Buddo-24HRS'!C24,'29.0 Kitemu-Buddo'!C24)</f>
        <v>3.1428571428571428</v>
      </c>
      <c r="D24" s="49">
        <f>AVERAGE('23.09.19-Kitemu-Buddo'!D24,'24.09 Kitemu-Buddo'!D24,'25.09 Kitemu-Buddo'!D24,'27.09 Kitemu-Buddo'!D24,'26.09 Kitemu-Buddo-24 HRS'!D24,'28.09 Kitemu-Buddo-24HRS'!D24,'29.0 Kitemu-Buddo'!D24)</f>
        <v>0.2857142857142857</v>
      </c>
      <c r="E24" s="49">
        <f>AVERAGE('23.09.19-Kitemu-Buddo'!E24,'24.09 Kitemu-Buddo'!E24,'25.09 Kitemu-Buddo'!E24,'27.09 Kitemu-Buddo'!E24,'26.09 Kitemu-Buddo-24 HRS'!E24,'28.09 Kitemu-Buddo-24HRS'!E24,'29.0 Kitemu-Buddo'!E24)</f>
        <v>0.14285714285714285</v>
      </c>
      <c r="F24" s="49">
        <f>AVERAGE('23.09.19-Kitemu-Buddo'!F24,'24.09 Kitemu-Buddo'!F24,'25.09 Kitemu-Buddo'!F24,'27.09 Kitemu-Buddo'!F24,'26.09 Kitemu-Buddo-24 HRS'!F24,'28.09 Kitemu-Buddo-24HRS'!F24,'29.0 Kitemu-Buddo'!F24)</f>
        <v>1.5714285714285714</v>
      </c>
      <c r="G24" s="49">
        <f>AVERAGE('23.09.19-Kitemu-Buddo'!G24,'24.09 Kitemu-Buddo'!G24,'25.09 Kitemu-Buddo'!G24,'27.09 Kitemu-Buddo'!G24,'26.09 Kitemu-Buddo-24 HRS'!G24,'28.09 Kitemu-Buddo-24HRS'!G24,'29.0 Kitemu-Buddo'!G24)</f>
        <v>0</v>
      </c>
      <c r="H24" s="49">
        <f>AVERAGE('23.09.19-Kitemu-Buddo'!H24,'24.09 Kitemu-Buddo'!H24,'25.09 Kitemu-Buddo'!H24,'27.09 Kitemu-Buddo'!H24,'26.09 Kitemu-Buddo-24 HRS'!H24,'28.09 Kitemu-Buddo-24HRS'!H24,'29.0 Kitemu-Buddo'!H24)</f>
        <v>0</v>
      </c>
      <c r="I24" s="49">
        <f>AVERAGE('23.09.19-Kitemu-Buddo'!I24,'24.09 Kitemu-Buddo'!I24,'25.09 Kitemu-Buddo'!I24,'27.09 Kitemu-Buddo'!I24,'26.09 Kitemu-Buddo-24 HRS'!I24,'28.09 Kitemu-Buddo-24HRS'!I24,'29.0 Kitemu-Buddo'!I24)</f>
        <v>1.7142857142857142</v>
      </c>
      <c r="J24" s="49">
        <f>AVERAGE('23.09.19-Kitemu-Buddo'!J24,'24.09 Kitemu-Buddo'!J24,'25.09 Kitemu-Buddo'!J24,'27.09 Kitemu-Buddo'!J24,'26.09 Kitemu-Buddo-24 HRS'!J24,'28.09 Kitemu-Buddo-24HRS'!J24,'29.0 Kitemu-Buddo'!J24)</f>
        <v>0.5714285714285714</v>
      </c>
      <c r="K24" s="49">
        <f>AVERAGE('23.09.19-Kitemu-Buddo'!K24,'24.09 Kitemu-Buddo'!K24,'25.09 Kitemu-Buddo'!K24,'27.09 Kitemu-Buddo'!K24,'26.09 Kitemu-Buddo-24 HRS'!K24,'28.09 Kitemu-Buddo-24HRS'!K24,'29.0 Kitemu-Buddo'!K24)</f>
        <v>0.14285714285714285</v>
      </c>
      <c r="L24" s="49">
        <f>AVERAGE('23.09.19-Kitemu-Buddo'!L24,'24.09 Kitemu-Buddo'!L24,'25.09 Kitemu-Buddo'!L24,'27.09 Kitemu-Buddo'!L24,'26.09 Kitemu-Buddo-24 HRS'!L24,'28.09 Kitemu-Buddo-24HRS'!L24,'29.0 Kitemu-Buddo'!L24)</f>
        <v>0</v>
      </c>
      <c r="M24" s="49">
        <f>AVERAGE('23.09.19-Kitemu-Buddo'!M24,'24.09 Kitemu-Buddo'!M24,'25.09 Kitemu-Buddo'!M24,'27.09 Kitemu-Buddo'!M24,'26.09 Kitemu-Buddo-24 HRS'!M24,'28.09 Kitemu-Buddo-24HRS'!M24,'29.0 Kitemu-Buddo'!M24)</f>
        <v>41.857142857142854</v>
      </c>
      <c r="N24" s="49">
        <f>AVERAGE('23.09.19-Kitemu-Buddo'!N24,'24.09 Kitemu-Buddo'!N24,'25.09 Kitemu-Buddo'!N24,'27.09 Kitemu-Buddo'!N24,'26.09 Kitemu-Buddo-24 HRS'!N24,'28.09 Kitemu-Buddo-24HRS'!N24,'29.0 Kitemu-Buddo'!N24)</f>
        <v>0</v>
      </c>
      <c r="O24" s="15">
        <f t="shared" si="0"/>
        <v>7.5714285714285712</v>
      </c>
      <c r="P24" s="15">
        <f t="shared" si="1"/>
        <v>49.428571428571423</v>
      </c>
      <c r="R24" s="1" t="s">
        <v>148</v>
      </c>
      <c r="S24" s="34">
        <f>SUM(C66:C69)</f>
        <v>15</v>
      </c>
      <c r="T24" s="34">
        <f t="shared" ref="T24:AF24" si="16">SUM(D66:D69)</f>
        <v>5</v>
      </c>
      <c r="U24" s="34">
        <f t="shared" si="16"/>
        <v>2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218.5</v>
      </c>
      <c r="AD24" s="34">
        <f t="shared" si="16"/>
        <v>0</v>
      </c>
      <c r="AE24" s="31">
        <f t="shared" si="16"/>
        <v>36.5</v>
      </c>
      <c r="AF24" s="31">
        <f t="shared" si="16"/>
        <v>255</v>
      </c>
    </row>
    <row r="25" spans="2:32" ht="23.1" customHeight="1" x14ac:dyDescent="0.25">
      <c r="B25" s="23" t="s">
        <v>52</v>
      </c>
      <c r="C25" s="49">
        <f>AVERAGE('23.09.19-Kitemu-Buddo'!C25,'24.09 Kitemu-Buddo'!C25,'25.09 Kitemu-Buddo'!C25,'27.09 Kitemu-Buddo'!C25,'26.09 Kitemu-Buddo-24 HRS'!C25,'28.09 Kitemu-Buddo-24HRS'!C25,'29.0 Kitemu-Buddo'!C25)</f>
        <v>2.4285714285714284</v>
      </c>
      <c r="D25" s="49">
        <f>AVERAGE('23.09.19-Kitemu-Buddo'!D25,'24.09 Kitemu-Buddo'!D25,'25.09 Kitemu-Buddo'!D25,'27.09 Kitemu-Buddo'!D25,'26.09 Kitemu-Buddo-24 HRS'!D25,'28.09 Kitemu-Buddo-24HRS'!D25,'29.0 Kitemu-Buddo'!D25)</f>
        <v>1</v>
      </c>
      <c r="E25" s="49">
        <f>AVERAGE('23.09.19-Kitemu-Buddo'!E25,'24.09 Kitemu-Buddo'!E25,'25.09 Kitemu-Buddo'!E25,'27.09 Kitemu-Buddo'!E25,'26.09 Kitemu-Buddo-24 HRS'!E25,'28.09 Kitemu-Buddo-24HRS'!E25,'29.0 Kitemu-Buddo'!E25)</f>
        <v>0.5714285714285714</v>
      </c>
      <c r="F25" s="49">
        <f>AVERAGE('23.09.19-Kitemu-Buddo'!F25,'24.09 Kitemu-Buddo'!F25,'25.09 Kitemu-Buddo'!F25,'27.09 Kitemu-Buddo'!F25,'26.09 Kitemu-Buddo-24 HRS'!F25,'28.09 Kitemu-Buddo-24HRS'!F25,'29.0 Kitemu-Buddo'!F25)</f>
        <v>1.2857142857142858</v>
      </c>
      <c r="G25" s="49">
        <f>AVERAGE('23.09.19-Kitemu-Buddo'!G25,'24.09 Kitemu-Buddo'!G25,'25.09 Kitemu-Buddo'!G25,'27.09 Kitemu-Buddo'!G25,'26.09 Kitemu-Buddo-24 HRS'!G25,'28.09 Kitemu-Buddo-24HRS'!G25,'29.0 Kitemu-Buddo'!G25)</f>
        <v>0.14285714285714285</v>
      </c>
      <c r="H25" s="49">
        <f>AVERAGE('23.09.19-Kitemu-Buddo'!H25,'24.09 Kitemu-Buddo'!H25,'25.09 Kitemu-Buddo'!H25,'27.09 Kitemu-Buddo'!H25,'26.09 Kitemu-Buddo-24 HRS'!H25,'28.09 Kitemu-Buddo-24HRS'!H25,'29.0 Kitemu-Buddo'!H25)</f>
        <v>0</v>
      </c>
      <c r="I25" s="49">
        <f>AVERAGE('23.09.19-Kitemu-Buddo'!I25,'24.09 Kitemu-Buddo'!I25,'25.09 Kitemu-Buddo'!I25,'27.09 Kitemu-Buddo'!I25,'26.09 Kitemu-Buddo-24 HRS'!I25,'28.09 Kitemu-Buddo-24HRS'!I25,'29.0 Kitemu-Buddo'!I25)</f>
        <v>1.2857142857142858</v>
      </c>
      <c r="J25" s="49">
        <f>AVERAGE('23.09.19-Kitemu-Buddo'!J25,'24.09 Kitemu-Buddo'!J25,'25.09 Kitemu-Buddo'!J25,'27.09 Kitemu-Buddo'!J25,'26.09 Kitemu-Buddo-24 HRS'!J25,'28.09 Kitemu-Buddo-24HRS'!J25,'29.0 Kitemu-Buddo'!J25)</f>
        <v>0.42857142857142855</v>
      </c>
      <c r="K25" s="49">
        <f>AVERAGE('23.09.19-Kitemu-Buddo'!K25,'24.09 Kitemu-Buddo'!K25,'25.09 Kitemu-Buddo'!K25,'27.09 Kitemu-Buddo'!K25,'26.09 Kitemu-Buddo-24 HRS'!K25,'28.09 Kitemu-Buddo-24HRS'!K25,'29.0 Kitemu-Buddo'!K25)</f>
        <v>0.42857142857142855</v>
      </c>
      <c r="L25" s="49">
        <f>AVERAGE('23.09.19-Kitemu-Buddo'!L25,'24.09 Kitemu-Buddo'!L25,'25.09 Kitemu-Buddo'!L25,'27.09 Kitemu-Buddo'!L25,'26.09 Kitemu-Buddo-24 HRS'!L25,'28.09 Kitemu-Buddo-24HRS'!L25,'29.0 Kitemu-Buddo'!L25)</f>
        <v>0</v>
      </c>
      <c r="M25" s="49">
        <f>AVERAGE('23.09.19-Kitemu-Buddo'!M25,'24.09 Kitemu-Buddo'!M25,'25.09 Kitemu-Buddo'!M25,'27.09 Kitemu-Buddo'!M25,'26.09 Kitemu-Buddo-24 HRS'!M25,'28.09 Kitemu-Buddo-24HRS'!M25,'29.0 Kitemu-Buddo'!M25)</f>
        <v>35.714285714285715</v>
      </c>
      <c r="N25" s="49">
        <f>AVERAGE('23.09.19-Kitemu-Buddo'!N25,'24.09 Kitemu-Buddo'!N25,'25.09 Kitemu-Buddo'!N25,'27.09 Kitemu-Buddo'!N25,'26.09 Kitemu-Buddo-24 HRS'!N25,'28.09 Kitemu-Buddo-24HRS'!N25,'29.0 Kitemu-Buddo'!N25)</f>
        <v>0</v>
      </c>
      <c r="O25" s="15">
        <f t="shared" si="0"/>
        <v>7.5714285714285721</v>
      </c>
      <c r="P25" s="15">
        <f t="shared" si="1"/>
        <v>43.285714285714285</v>
      </c>
      <c r="R25" s="1" t="s">
        <v>149</v>
      </c>
      <c r="S25" s="34">
        <f>SUM(C70:C73)</f>
        <v>20.5</v>
      </c>
      <c r="T25" s="34">
        <f t="shared" ref="T25:AF25" si="17">SUM(D70:D73)</f>
        <v>3</v>
      </c>
      <c r="U25" s="34">
        <f t="shared" si="17"/>
        <v>1.5</v>
      </c>
      <c r="V25" s="34">
        <f t="shared" si="17"/>
        <v>8.5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208</v>
      </c>
      <c r="AD25" s="34">
        <f t="shared" si="17"/>
        <v>0</v>
      </c>
      <c r="AE25" s="31">
        <f t="shared" si="17"/>
        <v>39.5</v>
      </c>
      <c r="AF25" s="31">
        <f t="shared" si="17"/>
        <v>247.5</v>
      </c>
    </row>
    <row r="26" spans="2:32" ht="23.1" customHeight="1" x14ac:dyDescent="0.25">
      <c r="B26" s="23" t="s">
        <v>53</v>
      </c>
      <c r="C26" s="49">
        <f>AVERAGE('23.09.19-Kitemu-Buddo'!C26,'24.09 Kitemu-Buddo'!C26,'25.09 Kitemu-Buddo'!C26,'27.09 Kitemu-Buddo'!C26,'26.09 Kitemu-Buddo-24 HRS'!C26,'28.09 Kitemu-Buddo-24HRS'!C26,'29.0 Kitemu-Buddo'!C26)</f>
        <v>2.8571428571428572</v>
      </c>
      <c r="D26" s="49">
        <f>AVERAGE('23.09.19-Kitemu-Buddo'!D26,'24.09 Kitemu-Buddo'!D26,'25.09 Kitemu-Buddo'!D26,'27.09 Kitemu-Buddo'!D26,'26.09 Kitemu-Buddo-24 HRS'!D26,'28.09 Kitemu-Buddo-24HRS'!D26,'29.0 Kitemu-Buddo'!D26)</f>
        <v>0.7142857142857143</v>
      </c>
      <c r="E26" s="49">
        <f>AVERAGE('23.09.19-Kitemu-Buddo'!E26,'24.09 Kitemu-Buddo'!E26,'25.09 Kitemu-Buddo'!E26,'27.09 Kitemu-Buddo'!E26,'26.09 Kitemu-Buddo-24 HRS'!E26,'28.09 Kitemu-Buddo-24HRS'!E26,'29.0 Kitemu-Buddo'!E26)</f>
        <v>0.42857142857142855</v>
      </c>
      <c r="F26" s="49">
        <f>AVERAGE('23.09.19-Kitemu-Buddo'!F26,'24.09 Kitemu-Buddo'!F26,'25.09 Kitemu-Buddo'!F26,'27.09 Kitemu-Buddo'!F26,'26.09 Kitemu-Buddo-24 HRS'!F26,'28.09 Kitemu-Buddo-24HRS'!F26,'29.0 Kitemu-Buddo'!F26)</f>
        <v>1.4285714285714286</v>
      </c>
      <c r="G26" s="49">
        <f>AVERAGE('23.09.19-Kitemu-Buddo'!G26,'24.09 Kitemu-Buddo'!G26,'25.09 Kitemu-Buddo'!G26,'27.09 Kitemu-Buddo'!G26,'26.09 Kitemu-Buddo-24 HRS'!G26,'28.09 Kitemu-Buddo-24HRS'!G26,'29.0 Kitemu-Buddo'!G26)</f>
        <v>0</v>
      </c>
      <c r="H26" s="49">
        <f>AVERAGE('23.09.19-Kitemu-Buddo'!H26,'24.09 Kitemu-Buddo'!H26,'25.09 Kitemu-Buddo'!H26,'27.09 Kitemu-Buddo'!H26,'26.09 Kitemu-Buddo-24 HRS'!H26,'28.09 Kitemu-Buddo-24HRS'!H26,'29.0 Kitemu-Buddo'!H26)</f>
        <v>0</v>
      </c>
      <c r="I26" s="49">
        <f>AVERAGE('23.09.19-Kitemu-Buddo'!I26,'24.09 Kitemu-Buddo'!I26,'25.09 Kitemu-Buddo'!I26,'27.09 Kitemu-Buddo'!I26,'26.09 Kitemu-Buddo-24 HRS'!I26,'28.09 Kitemu-Buddo-24HRS'!I26,'29.0 Kitemu-Buddo'!I26)</f>
        <v>1.8571428571428572</v>
      </c>
      <c r="J26" s="49">
        <f>AVERAGE('23.09.19-Kitemu-Buddo'!J26,'24.09 Kitemu-Buddo'!J26,'25.09 Kitemu-Buddo'!J26,'27.09 Kitemu-Buddo'!J26,'26.09 Kitemu-Buddo-24 HRS'!J26,'28.09 Kitemu-Buddo-24HRS'!J26,'29.0 Kitemu-Buddo'!J26)</f>
        <v>0.42857142857142855</v>
      </c>
      <c r="K26" s="49">
        <f>AVERAGE('23.09.19-Kitemu-Buddo'!K26,'24.09 Kitemu-Buddo'!K26,'25.09 Kitemu-Buddo'!K26,'27.09 Kitemu-Buddo'!K26,'26.09 Kitemu-Buddo-24 HRS'!K26,'28.09 Kitemu-Buddo-24HRS'!K26,'29.0 Kitemu-Buddo'!K26)</f>
        <v>0.2857142857142857</v>
      </c>
      <c r="L26" s="49">
        <f>AVERAGE('23.09.19-Kitemu-Buddo'!L26,'24.09 Kitemu-Buddo'!L26,'25.09 Kitemu-Buddo'!L26,'27.09 Kitemu-Buddo'!L26,'26.09 Kitemu-Buddo-24 HRS'!L26,'28.09 Kitemu-Buddo-24HRS'!L26,'29.0 Kitemu-Buddo'!L26)</f>
        <v>0</v>
      </c>
      <c r="M26" s="49">
        <f>AVERAGE('23.09.19-Kitemu-Buddo'!M26,'24.09 Kitemu-Buddo'!M26,'25.09 Kitemu-Buddo'!M26,'27.09 Kitemu-Buddo'!M26,'26.09 Kitemu-Buddo-24 HRS'!M26,'28.09 Kitemu-Buddo-24HRS'!M26,'29.0 Kitemu-Buddo'!M26)</f>
        <v>34.142857142857146</v>
      </c>
      <c r="N26" s="49">
        <f>AVERAGE('23.09.19-Kitemu-Buddo'!N26,'24.09 Kitemu-Buddo'!N26,'25.09 Kitemu-Buddo'!N26,'27.09 Kitemu-Buddo'!N26,'26.09 Kitemu-Buddo-24 HRS'!N26,'28.09 Kitemu-Buddo-24HRS'!N26,'29.0 Kitemu-Buddo'!N26)</f>
        <v>0</v>
      </c>
      <c r="O26" s="15">
        <f t="shared" si="0"/>
        <v>8.0000000000000018</v>
      </c>
      <c r="P26" s="15">
        <f t="shared" si="1"/>
        <v>42.142857142857146</v>
      </c>
      <c r="R26" s="1" t="s">
        <v>150</v>
      </c>
      <c r="S26" s="34">
        <f>SUM(C74:C77)</f>
        <v>17.5</v>
      </c>
      <c r="T26" s="34">
        <f t="shared" ref="T26:AF26" si="18">SUM(D74:D77)</f>
        <v>1</v>
      </c>
      <c r="U26" s="34">
        <f t="shared" si="18"/>
        <v>0.5</v>
      </c>
      <c r="V26" s="34">
        <f t="shared" si="18"/>
        <v>7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0.5</v>
      </c>
      <c r="AB26" s="34">
        <f t="shared" si="18"/>
        <v>0.5</v>
      </c>
      <c r="AC26" s="34">
        <f t="shared" si="18"/>
        <v>181.5</v>
      </c>
      <c r="AD26" s="34">
        <f t="shared" si="18"/>
        <v>0</v>
      </c>
      <c r="AE26" s="31">
        <f t="shared" si="18"/>
        <v>33</v>
      </c>
      <c r="AF26" s="31">
        <f t="shared" si="18"/>
        <v>214.5</v>
      </c>
    </row>
    <row r="27" spans="2:32" ht="23.1" customHeight="1" x14ac:dyDescent="0.25">
      <c r="B27" s="23" t="s">
        <v>54</v>
      </c>
      <c r="C27" s="49">
        <f>AVERAGE('23.09.19-Kitemu-Buddo'!C27,'24.09 Kitemu-Buddo'!C27,'25.09 Kitemu-Buddo'!C27,'27.09 Kitemu-Buddo'!C27,'26.09 Kitemu-Buddo-24 HRS'!C27,'28.09 Kitemu-Buddo-24HRS'!C27,'29.0 Kitemu-Buddo'!C27)</f>
        <v>3.2857142857142856</v>
      </c>
      <c r="D27" s="49">
        <f>AVERAGE('23.09.19-Kitemu-Buddo'!D27,'24.09 Kitemu-Buddo'!D27,'25.09 Kitemu-Buddo'!D27,'27.09 Kitemu-Buddo'!D27,'26.09 Kitemu-Buddo-24 HRS'!D27,'28.09 Kitemu-Buddo-24HRS'!D27,'29.0 Kitemu-Buddo'!D27)</f>
        <v>0.2857142857142857</v>
      </c>
      <c r="E27" s="49">
        <f>AVERAGE('23.09.19-Kitemu-Buddo'!E27,'24.09 Kitemu-Buddo'!E27,'25.09 Kitemu-Buddo'!E27,'27.09 Kitemu-Buddo'!E27,'26.09 Kitemu-Buddo-24 HRS'!E27,'28.09 Kitemu-Buddo-24HRS'!E27,'29.0 Kitemu-Buddo'!E27)</f>
        <v>0.8571428571428571</v>
      </c>
      <c r="F27" s="49">
        <f>AVERAGE('23.09.19-Kitemu-Buddo'!F27,'24.09 Kitemu-Buddo'!F27,'25.09 Kitemu-Buddo'!F27,'27.09 Kitemu-Buddo'!F27,'26.09 Kitemu-Buddo-24 HRS'!F27,'28.09 Kitemu-Buddo-24HRS'!F27,'29.0 Kitemu-Buddo'!F27)</f>
        <v>1.8571428571428572</v>
      </c>
      <c r="G27" s="49">
        <f>AVERAGE('23.09.19-Kitemu-Buddo'!G27,'24.09 Kitemu-Buddo'!G27,'25.09 Kitemu-Buddo'!G27,'27.09 Kitemu-Buddo'!G27,'26.09 Kitemu-Buddo-24 HRS'!G27,'28.09 Kitemu-Buddo-24HRS'!G27,'29.0 Kitemu-Buddo'!G27)</f>
        <v>0</v>
      </c>
      <c r="H27" s="49">
        <f>AVERAGE('23.09.19-Kitemu-Buddo'!H27,'24.09 Kitemu-Buddo'!H27,'25.09 Kitemu-Buddo'!H27,'27.09 Kitemu-Buddo'!H27,'26.09 Kitemu-Buddo-24 HRS'!H27,'28.09 Kitemu-Buddo-24HRS'!H27,'29.0 Kitemu-Buddo'!H27)</f>
        <v>0</v>
      </c>
      <c r="I27" s="49">
        <f>AVERAGE('23.09.19-Kitemu-Buddo'!I27,'24.09 Kitemu-Buddo'!I27,'25.09 Kitemu-Buddo'!I27,'27.09 Kitemu-Buddo'!I27,'26.09 Kitemu-Buddo-24 HRS'!I27,'28.09 Kitemu-Buddo-24HRS'!I27,'29.0 Kitemu-Buddo'!I27)</f>
        <v>1.7142857142857142</v>
      </c>
      <c r="J27" s="49">
        <f>AVERAGE('23.09.19-Kitemu-Buddo'!J27,'24.09 Kitemu-Buddo'!J27,'25.09 Kitemu-Buddo'!J27,'27.09 Kitemu-Buddo'!J27,'26.09 Kitemu-Buddo-24 HRS'!J27,'28.09 Kitemu-Buddo-24HRS'!J27,'29.0 Kitemu-Buddo'!J27)</f>
        <v>0.42857142857142855</v>
      </c>
      <c r="K27" s="49">
        <f>AVERAGE('23.09.19-Kitemu-Buddo'!K27,'24.09 Kitemu-Buddo'!K27,'25.09 Kitemu-Buddo'!K27,'27.09 Kitemu-Buddo'!K27,'26.09 Kitemu-Buddo-24 HRS'!K27,'28.09 Kitemu-Buddo-24HRS'!K27,'29.0 Kitemu-Buddo'!K27)</f>
        <v>0.14285714285714285</v>
      </c>
      <c r="L27" s="49">
        <f>AVERAGE('23.09.19-Kitemu-Buddo'!L27,'24.09 Kitemu-Buddo'!L27,'25.09 Kitemu-Buddo'!L27,'27.09 Kitemu-Buddo'!L27,'26.09 Kitemu-Buddo-24 HRS'!L27,'28.09 Kitemu-Buddo-24HRS'!L27,'29.0 Kitemu-Buddo'!L27)</f>
        <v>0</v>
      </c>
      <c r="M27" s="49">
        <f>AVERAGE('23.09.19-Kitemu-Buddo'!M27,'24.09 Kitemu-Buddo'!M27,'25.09 Kitemu-Buddo'!M27,'27.09 Kitemu-Buddo'!M27,'26.09 Kitemu-Buddo-24 HRS'!M27,'28.09 Kitemu-Buddo-24HRS'!M27,'29.0 Kitemu-Buddo'!M27)</f>
        <v>37.142857142857146</v>
      </c>
      <c r="N27" s="49">
        <f>AVERAGE('23.09.19-Kitemu-Buddo'!N27,'24.09 Kitemu-Buddo'!N27,'25.09 Kitemu-Buddo'!N27,'27.09 Kitemu-Buddo'!N27,'26.09 Kitemu-Buddo-24 HRS'!N27,'28.09 Kitemu-Buddo-24HRS'!N27,'29.0 Kitemu-Buddo'!N27)</f>
        <v>0</v>
      </c>
      <c r="O27" s="15">
        <f t="shared" si="0"/>
        <v>8.5714285714285694</v>
      </c>
      <c r="P27" s="15">
        <f t="shared" si="1"/>
        <v>45.714285714285715</v>
      </c>
      <c r="R27" s="1" t="s">
        <v>151</v>
      </c>
      <c r="S27" s="34">
        <f>SUM(C78:C81)</f>
        <v>11.5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4.5</v>
      </c>
      <c r="W27" s="34">
        <f t="shared" si="19"/>
        <v>0.5</v>
      </c>
      <c r="X27" s="34">
        <f t="shared" si="19"/>
        <v>0</v>
      </c>
      <c r="Y27" s="34">
        <f t="shared" si="19"/>
        <v>1.5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122</v>
      </c>
      <c r="AD27" s="34">
        <f t="shared" si="19"/>
        <v>0</v>
      </c>
      <c r="AE27" s="31">
        <f t="shared" si="19"/>
        <v>20.5</v>
      </c>
      <c r="AF27" s="31">
        <f t="shared" si="19"/>
        <v>142.5</v>
      </c>
    </row>
    <row r="28" spans="2:32" ht="23.1" customHeight="1" x14ac:dyDescent="0.25">
      <c r="B28" s="23" t="s">
        <v>55</v>
      </c>
      <c r="C28" s="49">
        <f>AVERAGE('23.09.19-Kitemu-Buddo'!C28,'24.09 Kitemu-Buddo'!C28,'25.09 Kitemu-Buddo'!C28,'27.09 Kitemu-Buddo'!C28,'26.09 Kitemu-Buddo-24 HRS'!C28,'28.09 Kitemu-Buddo-24HRS'!C28,'29.0 Kitemu-Buddo'!C28)</f>
        <v>2.7142857142857144</v>
      </c>
      <c r="D28" s="49">
        <f>AVERAGE('23.09.19-Kitemu-Buddo'!D28,'24.09 Kitemu-Buddo'!D28,'25.09 Kitemu-Buddo'!D28,'27.09 Kitemu-Buddo'!D28,'26.09 Kitemu-Buddo-24 HRS'!D28,'28.09 Kitemu-Buddo-24HRS'!D28,'29.0 Kitemu-Buddo'!D28)</f>
        <v>0.5714285714285714</v>
      </c>
      <c r="E28" s="49">
        <f>AVERAGE('23.09.19-Kitemu-Buddo'!E28,'24.09 Kitemu-Buddo'!E28,'25.09 Kitemu-Buddo'!E28,'27.09 Kitemu-Buddo'!E28,'26.09 Kitemu-Buddo-24 HRS'!E28,'28.09 Kitemu-Buddo-24HRS'!E28,'29.0 Kitemu-Buddo'!E28)</f>
        <v>0.14285714285714285</v>
      </c>
      <c r="F28" s="49">
        <f>AVERAGE('23.09.19-Kitemu-Buddo'!F28,'24.09 Kitemu-Buddo'!F28,'25.09 Kitemu-Buddo'!F28,'27.09 Kitemu-Buddo'!F28,'26.09 Kitemu-Buddo-24 HRS'!F28,'28.09 Kitemu-Buddo-24HRS'!F28,'29.0 Kitemu-Buddo'!F28)</f>
        <v>1.7142857142857142</v>
      </c>
      <c r="G28" s="49">
        <f>AVERAGE('23.09.19-Kitemu-Buddo'!G28,'24.09 Kitemu-Buddo'!G28,'25.09 Kitemu-Buddo'!G28,'27.09 Kitemu-Buddo'!G28,'26.09 Kitemu-Buddo-24 HRS'!G28,'28.09 Kitemu-Buddo-24HRS'!G28,'29.0 Kitemu-Buddo'!G28)</f>
        <v>0</v>
      </c>
      <c r="H28" s="49">
        <f>AVERAGE('23.09.19-Kitemu-Buddo'!H28,'24.09 Kitemu-Buddo'!H28,'25.09 Kitemu-Buddo'!H28,'27.09 Kitemu-Buddo'!H28,'26.09 Kitemu-Buddo-24 HRS'!H28,'28.09 Kitemu-Buddo-24HRS'!H28,'29.0 Kitemu-Buddo'!H28)</f>
        <v>0</v>
      </c>
      <c r="I28" s="49">
        <f>AVERAGE('23.09.19-Kitemu-Buddo'!I28,'24.09 Kitemu-Buddo'!I28,'25.09 Kitemu-Buddo'!I28,'27.09 Kitemu-Buddo'!I28,'26.09 Kitemu-Buddo-24 HRS'!I28,'28.09 Kitemu-Buddo-24HRS'!I28,'29.0 Kitemu-Buddo'!I28)</f>
        <v>1.5714285714285714</v>
      </c>
      <c r="J28" s="49">
        <f>AVERAGE('23.09.19-Kitemu-Buddo'!J28,'24.09 Kitemu-Buddo'!J28,'25.09 Kitemu-Buddo'!J28,'27.09 Kitemu-Buddo'!J28,'26.09 Kitemu-Buddo-24 HRS'!J28,'28.09 Kitemu-Buddo-24HRS'!J28,'29.0 Kitemu-Buddo'!J28)</f>
        <v>1</v>
      </c>
      <c r="K28" s="49">
        <f>AVERAGE('23.09.19-Kitemu-Buddo'!K28,'24.09 Kitemu-Buddo'!K28,'25.09 Kitemu-Buddo'!K28,'27.09 Kitemu-Buddo'!K28,'26.09 Kitemu-Buddo-24 HRS'!K28,'28.09 Kitemu-Buddo-24HRS'!K28,'29.0 Kitemu-Buddo'!K28)</f>
        <v>0.14285714285714285</v>
      </c>
      <c r="L28" s="49">
        <f>AVERAGE('23.09.19-Kitemu-Buddo'!L28,'24.09 Kitemu-Buddo'!L28,'25.09 Kitemu-Buddo'!L28,'27.09 Kitemu-Buddo'!L28,'26.09 Kitemu-Buddo-24 HRS'!L28,'28.09 Kitemu-Buddo-24HRS'!L28,'29.0 Kitemu-Buddo'!L28)</f>
        <v>0</v>
      </c>
      <c r="M28" s="49">
        <f>AVERAGE('23.09.19-Kitemu-Buddo'!M28,'24.09 Kitemu-Buddo'!M28,'25.09 Kitemu-Buddo'!M28,'27.09 Kitemu-Buddo'!M28,'26.09 Kitemu-Buddo-24 HRS'!M28,'28.09 Kitemu-Buddo-24HRS'!M28,'29.0 Kitemu-Buddo'!M28)</f>
        <v>33.428571428571431</v>
      </c>
      <c r="N28" s="49">
        <f>AVERAGE('23.09.19-Kitemu-Buddo'!N28,'24.09 Kitemu-Buddo'!N28,'25.09 Kitemu-Buddo'!N28,'27.09 Kitemu-Buddo'!N28,'26.09 Kitemu-Buddo-24 HRS'!N28,'28.09 Kitemu-Buddo-24HRS'!N28,'29.0 Kitemu-Buddo'!N28)</f>
        <v>0</v>
      </c>
      <c r="O28" s="15">
        <f t="shared" si="0"/>
        <v>7.8571428571428568</v>
      </c>
      <c r="P28" s="15">
        <f t="shared" si="1"/>
        <v>41.285714285714285</v>
      </c>
      <c r="R28" s="1" t="s">
        <v>152</v>
      </c>
      <c r="S28" s="34">
        <f>SUM(C82:C85)</f>
        <v>6.5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1.5</v>
      </c>
      <c r="AA28" s="34">
        <f t="shared" si="20"/>
        <v>0.5</v>
      </c>
      <c r="AB28" s="34">
        <f t="shared" si="20"/>
        <v>0</v>
      </c>
      <c r="AC28" s="34">
        <f t="shared" si="20"/>
        <v>63.5</v>
      </c>
      <c r="AD28" s="34">
        <f t="shared" si="20"/>
        <v>0</v>
      </c>
      <c r="AE28" s="31">
        <f t="shared" si="20"/>
        <v>13.5</v>
      </c>
      <c r="AF28" s="31">
        <f t="shared" si="20"/>
        <v>77</v>
      </c>
    </row>
    <row r="29" spans="2:32" ht="23.1" customHeight="1" x14ac:dyDescent="0.25">
      <c r="B29" s="23" t="s">
        <v>56</v>
      </c>
      <c r="C29" s="49">
        <f>AVERAGE('23.09.19-Kitemu-Buddo'!C29,'24.09 Kitemu-Buddo'!C29,'25.09 Kitemu-Buddo'!C29,'27.09 Kitemu-Buddo'!C29,'26.09 Kitemu-Buddo-24 HRS'!C29,'28.09 Kitemu-Buddo-24HRS'!C29,'29.0 Kitemu-Buddo'!C29)</f>
        <v>3.1428571428571428</v>
      </c>
      <c r="D29" s="49">
        <f>AVERAGE('23.09.19-Kitemu-Buddo'!D29,'24.09 Kitemu-Buddo'!D29,'25.09 Kitemu-Buddo'!D29,'27.09 Kitemu-Buddo'!D29,'26.09 Kitemu-Buddo-24 HRS'!D29,'28.09 Kitemu-Buddo-24HRS'!D29,'29.0 Kitemu-Buddo'!D29)</f>
        <v>0.2857142857142857</v>
      </c>
      <c r="E29" s="49">
        <f>AVERAGE('23.09.19-Kitemu-Buddo'!E29,'24.09 Kitemu-Buddo'!E29,'25.09 Kitemu-Buddo'!E29,'27.09 Kitemu-Buddo'!E29,'26.09 Kitemu-Buddo-24 HRS'!E29,'28.09 Kitemu-Buddo-24HRS'!E29,'29.0 Kitemu-Buddo'!E29)</f>
        <v>0.42857142857142855</v>
      </c>
      <c r="F29" s="49">
        <f>AVERAGE('23.09.19-Kitemu-Buddo'!F29,'24.09 Kitemu-Buddo'!F29,'25.09 Kitemu-Buddo'!F29,'27.09 Kitemu-Buddo'!F29,'26.09 Kitemu-Buddo-24 HRS'!F29,'28.09 Kitemu-Buddo-24HRS'!F29,'29.0 Kitemu-Buddo'!F29)</f>
        <v>1.2857142857142858</v>
      </c>
      <c r="G29" s="49">
        <f>AVERAGE('23.09.19-Kitemu-Buddo'!G29,'24.09 Kitemu-Buddo'!G29,'25.09 Kitemu-Buddo'!G29,'27.09 Kitemu-Buddo'!G29,'26.09 Kitemu-Buddo-24 HRS'!G29,'28.09 Kitemu-Buddo-24HRS'!G29,'29.0 Kitemu-Buddo'!G29)</f>
        <v>0</v>
      </c>
      <c r="H29" s="49">
        <f>AVERAGE('23.09.19-Kitemu-Buddo'!H29,'24.09 Kitemu-Buddo'!H29,'25.09 Kitemu-Buddo'!H29,'27.09 Kitemu-Buddo'!H29,'26.09 Kitemu-Buddo-24 HRS'!H29,'28.09 Kitemu-Buddo-24HRS'!H29,'29.0 Kitemu-Buddo'!H29)</f>
        <v>0</v>
      </c>
      <c r="I29" s="49">
        <f>AVERAGE('23.09.19-Kitemu-Buddo'!I29,'24.09 Kitemu-Buddo'!I29,'25.09 Kitemu-Buddo'!I29,'27.09 Kitemu-Buddo'!I29,'26.09 Kitemu-Buddo-24 HRS'!I29,'28.09 Kitemu-Buddo-24HRS'!I29,'29.0 Kitemu-Buddo'!I29)</f>
        <v>1.2857142857142858</v>
      </c>
      <c r="J29" s="49">
        <f>AVERAGE('23.09.19-Kitemu-Buddo'!J29,'24.09 Kitemu-Buddo'!J29,'25.09 Kitemu-Buddo'!J29,'27.09 Kitemu-Buddo'!J29,'26.09 Kitemu-Buddo-24 HRS'!J29,'28.09 Kitemu-Buddo-24HRS'!J29,'29.0 Kitemu-Buddo'!J29)</f>
        <v>1</v>
      </c>
      <c r="K29" s="49">
        <f>AVERAGE('23.09.19-Kitemu-Buddo'!K29,'24.09 Kitemu-Buddo'!K29,'25.09 Kitemu-Buddo'!K29,'27.09 Kitemu-Buddo'!K29,'26.09 Kitemu-Buddo-24 HRS'!K29,'28.09 Kitemu-Buddo-24HRS'!K29,'29.0 Kitemu-Buddo'!K29)</f>
        <v>0.14285714285714285</v>
      </c>
      <c r="L29" s="49">
        <f>AVERAGE('23.09.19-Kitemu-Buddo'!L29,'24.09 Kitemu-Buddo'!L29,'25.09 Kitemu-Buddo'!L29,'27.09 Kitemu-Buddo'!L29,'26.09 Kitemu-Buddo-24 HRS'!L29,'28.09 Kitemu-Buddo-24HRS'!L29,'29.0 Kitemu-Buddo'!L29)</f>
        <v>0</v>
      </c>
      <c r="M29" s="49">
        <f>AVERAGE('23.09.19-Kitemu-Buddo'!M29,'24.09 Kitemu-Buddo'!M29,'25.09 Kitemu-Buddo'!M29,'27.09 Kitemu-Buddo'!M29,'26.09 Kitemu-Buddo-24 HRS'!M29,'28.09 Kitemu-Buddo-24HRS'!M29,'29.0 Kitemu-Buddo'!M29)</f>
        <v>34.571428571428569</v>
      </c>
      <c r="N29" s="49">
        <f>AVERAGE('23.09.19-Kitemu-Buddo'!N29,'24.09 Kitemu-Buddo'!N29,'25.09 Kitemu-Buddo'!N29,'27.09 Kitemu-Buddo'!N29,'26.09 Kitemu-Buddo-24 HRS'!N29,'28.09 Kitemu-Buddo-24HRS'!N29,'29.0 Kitemu-Buddo'!N29)</f>
        <v>0</v>
      </c>
      <c r="O29" s="15">
        <f t="shared" si="0"/>
        <v>7.5714285714285712</v>
      </c>
      <c r="P29" s="15">
        <f t="shared" si="1"/>
        <v>42.142857142857139</v>
      </c>
      <c r="R29" s="1" t="s">
        <v>153</v>
      </c>
      <c r="S29" s="34">
        <f>SUM(C86:C89)</f>
        <v>2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45</v>
      </c>
      <c r="AD29" s="34">
        <f t="shared" si="21"/>
        <v>0</v>
      </c>
      <c r="AE29" s="31">
        <f t="shared" si="21"/>
        <v>5.5</v>
      </c>
      <c r="AF29" s="31">
        <f t="shared" si="21"/>
        <v>50.5</v>
      </c>
    </row>
    <row r="30" spans="2:32" ht="23.1" customHeight="1" x14ac:dyDescent="0.25">
      <c r="B30" s="23" t="s">
        <v>57</v>
      </c>
      <c r="C30" s="49">
        <f>AVERAGE('23.09.19-Kitemu-Buddo'!C30,'24.09 Kitemu-Buddo'!C30,'25.09 Kitemu-Buddo'!C30,'27.09 Kitemu-Buddo'!C30,'26.09 Kitemu-Buddo-24 HRS'!C30,'28.09 Kitemu-Buddo-24HRS'!C30,'29.0 Kitemu-Buddo'!C30)</f>
        <v>1.8571428571428572</v>
      </c>
      <c r="D30" s="49">
        <f>AVERAGE('23.09.19-Kitemu-Buddo'!D30,'24.09 Kitemu-Buddo'!D30,'25.09 Kitemu-Buddo'!D30,'27.09 Kitemu-Buddo'!D30,'26.09 Kitemu-Buddo-24 HRS'!D30,'28.09 Kitemu-Buddo-24HRS'!D30,'29.0 Kitemu-Buddo'!D30)</f>
        <v>0.14285714285714285</v>
      </c>
      <c r="E30" s="49">
        <f>AVERAGE('23.09.19-Kitemu-Buddo'!E30,'24.09 Kitemu-Buddo'!E30,'25.09 Kitemu-Buddo'!E30,'27.09 Kitemu-Buddo'!E30,'26.09 Kitemu-Buddo-24 HRS'!E30,'28.09 Kitemu-Buddo-24HRS'!E30,'29.0 Kitemu-Buddo'!E30)</f>
        <v>0</v>
      </c>
      <c r="F30" s="49">
        <f>AVERAGE('23.09.19-Kitemu-Buddo'!F30,'24.09 Kitemu-Buddo'!F30,'25.09 Kitemu-Buddo'!F30,'27.09 Kitemu-Buddo'!F30,'26.09 Kitemu-Buddo-24 HRS'!F30,'28.09 Kitemu-Buddo-24HRS'!F30,'29.0 Kitemu-Buddo'!F30)</f>
        <v>2.1428571428571428</v>
      </c>
      <c r="G30" s="49">
        <f>AVERAGE('23.09.19-Kitemu-Buddo'!G30,'24.09 Kitemu-Buddo'!G30,'25.09 Kitemu-Buddo'!G30,'27.09 Kitemu-Buddo'!G30,'26.09 Kitemu-Buddo-24 HRS'!G30,'28.09 Kitemu-Buddo-24HRS'!G30,'29.0 Kitemu-Buddo'!G30)</f>
        <v>0</v>
      </c>
      <c r="H30" s="49">
        <f>AVERAGE('23.09.19-Kitemu-Buddo'!H30,'24.09 Kitemu-Buddo'!H30,'25.09 Kitemu-Buddo'!H30,'27.09 Kitemu-Buddo'!H30,'26.09 Kitemu-Buddo-24 HRS'!H30,'28.09 Kitemu-Buddo-24HRS'!H30,'29.0 Kitemu-Buddo'!H30)</f>
        <v>0</v>
      </c>
      <c r="I30" s="49">
        <f>AVERAGE('23.09.19-Kitemu-Buddo'!I30,'24.09 Kitemu-Buddo'!I30,'25.09 Kitemu-Buddo'!I30,'27.09 Kitemu-Buddo'!I30,'26.09 Kitemu-Buddo-24 HRS'!I30,'28.09 Kitemu-Buddo-24HRS'!I30,'29.0 Kitemu-Buddo'!I30)</f>
        <v>1.2857142857142858</v>
      </c>
      <c r="J30" s="49">
        <f>AVERAGE('23.09.19-Kitemu-Buddo'!J30,'24.09 Kitemu-Buddo'!J30,'25.09 Kitemu-Buddo'!J30,'27.09 Kitemu-Buddo'!J30,'26.09 Kitemu-Buddo-24 HRS'!J30,'28.09 Kitemu-Buddo-24HRS'!J30,'29.0 Kitemu-Buddo'!J30)</f>
        <v>0.2857142857142857</v>
      </c>
      <c r="K30" s="49">
        <f>AVERAGE('23.09.19-Kitemu-Buddo'!K30,'24.09 Kitemu-Buddo'!K30,'25.09 Kitemu-Buddo'!K30,'27.09 Kitemu-Buddo'!K30,'26.09 Kitemu-Buddo-24 HRS'!K30,'28.09 Kitemu-Buddo-24HRS'!K30,'29.0 Kitemu-Buddo'!K30)</f>
        <v>0.42857142857142855</v>
      </c>
      <c r="L30" s="49">
        <f>AVERAGE('23.09.19-Kitemu-Buddo'!L30,'24.09 Kitemu-Buddo'!L30,'25.09 Kitemu-Buddo'!L30,'27.09 Kitemu-Buddo'!L30,'26.09 Kitemu-Buddo-24 HRS'!L30,'28.09 Kitemu-Buddo-24HRS'!L30,'29.0 Kitemu-Buddo'!L30)</f>
        <v>0</v>
      </c>
      <c r="M30" s="49">
        <f>AVERAGE('23.09.19-Kitemu-Buddo'!M30,'24.09 Kitemu-Buddo'!M30,'25.09 Kitemu-Buddo'!M30,'27.09 Kitemu-Buddo'!M30,'26.09 Kitemu-Buddo-24 HRS'!M30,'28.09 Kitemu-Buddo-24HRS'!M30,'29.0 Kitemu-Buddo'!M30)</f>
        <v>30.714285714285715</v>
      </c>
      <c r="N30" s="49">
        <f>AVERAGE('23.09.19-Kitemu-Buddo'!N30,'24.09 Kitemu-Buddo'!N30,'25.09 Kitemu-Buddo'!N30,'27.09 Kitemu-Buddo'!N30,'26.09 Kitemu-Buddo-24 HRS'!N30,'28.09 Kitemu-Buddo-24HRS'!N30,'29.0 Kitemu-Buddo'!N30)</f>
        <v>0</v>
      </c>
      <c r="O30" s="15">
        <f t="shared" si="0"/>
        <v>6.1428571428571423</v>
      </c>
      <c r="P30" s="15">
        <f t="shared" si="1"/>
        <v>36.857142857142861</v>
      </c>
      <c r="R30" s="1" t="s">
        <v>154</v>
      </c>
      <c r="S30" s="34">
        <f>SUM(C90:C93)</f>
        <v>2.5</v>
      </c>
      <c r="T30" s="34">
        <f t="shared" ref="T30:AF30" si="22">SUM(D90:D93)</f>
        <v>0.5</v>
      </c>
      <c r="U30" s="34">
        <f t="shared" si="22"/>
        <v>1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36.5</v>
      </c>
      <c r="AD30" s="34">
        <f t="shared" si="22"/>
        <v>0</v>
      </c>
      <c r="AE30" s="31">
        <f t="shared" si="22"/>
        <v>7.5</v>
      </c>
      <c r="AF30" s="31">
        <f t="shared" si="22"/>
        <v>44</v>
      </c>
    </row>
    <row r="31" spans="2:32" ht="23.1" customHeight="1" x14ac:dyDescent="0.25">
      <c r="B31" s="24" t="s">
        <v>58</v>
      </c>
      <c r="C31" s="49">
        <f>AVERAGE('23.09.19-Kitemu-Buddo'!C31,'24.09 Kitemu-Buddo'!C31,'25.09 Kitemu-Buddo'!C31,'27.09 Kitemu-Buddo'!C31,'26.09 Kitemu-Buddo-24 HRS'!C31,'28.09 Kitemu-Buddo-24HRS'!C31,'29.0 Kitemu-Buddo'!C31)</f>
        <v>4.4285714285714288</v>
      </c>
      <c r="D31" s="49">
        <f>AVERAGE('23.09.19-Kitemu-Buddo'!D31,'24.09 Kitemu-Buddo'!D31,'25.09 Kitemu-Buddo'!D31,'27.09 Kitemu-Buddo'!D31,'26.09 Kitemu-Buddo-24 HRS'!D31,'28.09 Kitemu-Buddo-24HRS'!D31,'29.0 Kitemu-Buddo'!D31)</f>
        <v>0.42857142857142855</v>
      </c>
      <c r="E31" s="49">
        <f>AVERAGE('23.09.19-Kitemu-Buddo'!E31,'24.09 Kitemu-Buddo'!E31,'25.09 Kitemu-Buddo'!E31,'27.09 Kitemu-Buddo'!E31,'26.09 Kitemu-Buddo-24 HRS'!E31,'28.09 Kitemu-Buddo-24HRS'!E31,'29.0 Kitemu-Buddo'!E31)</f>
        <v>0.2857142857142857</v>
      </c>
      <c r="F31" s="49">
        <f>AVERAGE('23.09.19-Kitemu-Buddo'!F31,'24.09 Kitemu-Buddo'!F31,'25.09 Kitemu-Buddo'!F31,'27.09 Kitemu-Buddo'!F31,'26.09 Kitemu-Buddo-24 HRS'!F31,'28.09 Kitemu-Buddo-24HRS'!F31,'29.0 Kitemu-Buddo'!F31)</f>
        <v>2</v>
      </c>
      <c r="G31" s="49">
        <f>AVERAGE('23.09.19-Kitemu-Buddo'!G31,'24.09 Kitemu-Buddo'!G31,'25.09 Kitemu-Buddo'!G31,'27.09 Kitemu-Buddo'!G31,'26.09 Kitemu-Buddo-24 HRS'!G31,'28.09 Kitemu-Buddo-24HRS'!G31,'29.0 Kitemu-Buddo'!G31)</f>
        <v>0.14285714285714285</v>
      </c>
      <c r="H31" s="49">
        <f>AVERAGE('23.09.19-Kitemu-Buddo'!H31,'24.09 Kitemu-Buddo'!H31,'25.09 Kitemu-Buddo'!H31,'27.09 Kitemu-Buddo'!H31,'26.09 Kitemu-Buddo-24 HRS'!H31,'28.09 Kitemu-Buddo-24HRS'!H31,'29.0 Kitemu-Buddo'!H31)</f>
        <v>0</v>
      </c>
      <c r="I31" s="49">
        <f>AVERAGE('23.09.19-Kitemu-Buddo'!I31,'24.09 Kitemu-Buddo'!I31,'25.09 Kitemu-Buddo'!I31,'27.09 Kitemu-Buddo'!I31,'26.09 Kitemu-Buddo-24 HRS'!I31,'28.09 Kitemu-Buddo-24HRS'!I31,'29.0 Kitemu-Buddo'!I31)</f>
        <v>2.1428571428571428</v>
      </c>
      <c r="J31" s="49">
        <f>AVERAGE('23.09.19-Kitemu-Buddo'!J31,'24.09 Kitemu-Buddo'!J31,'25.09 Kitemu-Buddo'!J31,'27.09 Kitemu-Buddo'!J31,'26.09 Kitemu-Buddo-24 HRS'!J31,'28.09 Kitemu-Buddo-24HRS'!J31,'29.0 Kitemu-Buddo'!J31)</f>
        <v>0.42857142857142855</v>
      </c>
      <c r="K31" s="49">
        <f>AVERAGE('23.09.19-Kitemu-Buddo'!K31,'24.09 Kitemu-Buddo'!K31,'25.09 Kitemu-Buddo'!K31,'27.09 Kitemu-Buddo'!K31,'26.09 Kitemu-Buddo-24 HRS'!K31,'28.09 Kitemu-Buddo-24HRS'!K31,'29.0 Kitemu-Buddo'!K31)</f>
        <v>0</v>
      </c>
      <c r="L31" s="49">
        <f>AVERAGE('23.09.19-Kitemu-Buddo'!L31,'24.09 Kitemu-Buddo'!L31,'25.09 Kitemu-Buddo'!L31,'27.09 Kitemu-Buddo'!L31,'26.09 Kitemu-Buddo-24 HRS'!L31,'28.09 Kitemu-Buddo-24HRS'!L31,'29.0 Kitemu-Buddo'!L31)</f>
        <v>0</v>
      </c>
      <c r="M31" s="49">
        <f>AVERAGE('23.09.19-Kitemu-Buddo'!M31,'24.09 Kitemu-Buddo'!M31,'25.09 Kitemu-Buddo'!M31,'27.09 Kitemu-Buddo'!M31,'26.09 Kitemu-Buddo-24 HRS'!M31,'28.09 Kitemu-Buddo-24HRS'!M31,'29.0 Kitemu-Buddo'!M31)</f>
        <v>33.285714285714285</v>
      </c>
      <c r="N31" s="49">
        <f>AVERAGE('23.09.19-Kitemu-Buddo'!N31,'24.09 Kitemu-Buddo'!N31,'25.09 Kitemu-Buddo'!N31,'27.09 Kitemu-Buddo'!N31,'26.09 Kitemu-Buddo-24 HRS'!N31,'28.09 Kitemu-Buddo-24HRS'!N31,'29.0 Kitemu-Buddo'!N31)</f>
        <v>0</v>
      </c>
      <c r="O31" s="15">
        <f t="shared" si="0"/>
        <v>9.8571428571428577</v>
      </c>
      <c r="P31" s="15">
        <f t="shared" si="1"/>
        <v>43.142857142857139</v>
      </c>
      <c r="R31" s="1" t="s">
        <v>155</v>
      </c>
      <c r="S31" s="34">
        <f>SUM(C94:C97)</f>
        <v>4.5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4.5</v>
      </c>
      <c r="W31" s="34">
        <f t="shared" si="23"/>
        <v>0</v>
      </c>
      <c r="X31" s="34">
        <f t="shared" si="23"/>
        <v>0</v>
      </c>
      <c r="Y31" s="34">
        <f t="shared" si="23"/>
        <v>4.5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55.5</v>
      </c>
      <c r="AD31" s="34">
        <f t="shared" si="23"/>
        <v>0</v>
      </c>
      <c r="AE31" s="31">
        <f t="shared" si="23"/>
        <v>16</v>
      </c>
      <c r="AF31" s="31">
        <f t="shared" si="23"/>
        <v>71.5</v>
      </c>
    </row>
    <row r="32" spans="2:32" ht="23.1" customHeight="1" x14ac:dyDescent="0.25">
      <c r="B32" s="24" t="s">
        <v>59</v>
      </c>
      <c r="C32" s="49">
        <f>AVERAGE('23.09.19-Kitemu-Buddo'!C32,'24.09 Kitemu-Buddo'!C32,'25.09 Kitemu-Buddo'!C32,'27.09 Kitemu-Buddo'!C32,'26.09 Kitemu-Buddo-24 HRS'!C32,'28.09 Kitemu-Buddo-24HRS'!C32,'29.0 Kitemu-Buddo'!C32)</f>
        <v>3.7142857142857144</v>
      </c>
      <c r="D32" s="49">
        <f>AVERAGE('23.09.19-Kitemu-Buddo'!D32,'24.09 Kitemu-Buddo'!D32,'25.09 Kitemu-Buddo'!D32,'27.09 Kitemu-Buddo'!D32,'26.09 Kitemu-Buddo-24 HRS'!D32,'28.09 Kitemu-Buddo-24HRS'!D32,'29.0 Kitemu-Buddo'!D32)</f>
        <v>0.8571428571428571</v>
      </c>
      <c r="E32" s="49">
        <f>AVERAGE('23.09.19-Kitemu-Buddo'!E32,'24.09 Kitemu-Buddo'!E32,'25.09 Kitemu-Buddo'!E32,'27.09 Kitemu-Buddo'!E32,'26.09 Kitemu-Buddo-24 HRS'!E32,'28.09 Kitemu-Buddo-24HRS'!E32,'29.0 Kitemu-Buddo'!E32)</f>
        <v>0.42857142857142855</v>
      </c>
      <c r="F32" s="49">
        <f>AVERAGE('23.09.19-Kitemu-Buddo'!F32,'24.09 Kitemu-Buddo'!F32,'25.09 Kitemu-Buddo'!F32,'27.09 Kitemu-Buddo'!F32,'26.09 Kitemu-Buddo-24 HRS'!F32,'28.09 Kitemu-Buddo-24HRS'!F32,'29.0 Kitemu-Buddo'!F32)</f>
        <v>1.7142857142857142</v>
      </c>
      <c r="G32" s="49">
        <f>AVERAGE('23.09.19-Kitemu-Buddo'!G32,'24.09 Kitemu-Buddo'!G32,'25.09 Kitemu-Buddo'!G32,'27.09 Kitemu-Buddo'!G32,'26.09 Kitemu-Buddo-24 HRS'!G32,'28.09 Kitemu-Buddo-24HRS'!G32,'29.0 Kitemu-Buddo'!G32)</f>
        <v>0</v>
      </c>
      <c r="H32" s="49">
        <f>AVERAGE('23.09.19-Kitemu-Buddo'!H32,'24.09 Kitemu-Buddo'!H32,'25.09 Kitemu-Buddo'!H32,'27.09 Kitemu-Buddo'!H32,'26.09 Kitemu-Buddo-24 HRS'!H32,'28.09 Kitemu-Buddo-24HRS'!H32,'29.0 Kitemu-Buddo'!H32)</f>
        <v>0.14285714285714285</v>
      </c>
      <c r="I32" s="49">
        <f>AVERAGE('23.09.19-Kitemu-Buddo'!I32,'24.09 Kitemu-Buddo'!I32,'25.09 Kitemu-Buddo'!I32,'27.09 Kitemu-Buddo'!I32,'26.09 Kitemu-Buddo-24 HRS'!I32,'28.09 Kitemu-Buddo-24HRS'!I32,'29.0 Kitemu-Buddo'!I32)</f>
        <v>0.5714285714285714</v>
      </c>
      <c r="J32" s="49">
        <f>AVERAGE('23.09.19-Kitemu-Buddo'!J32,'24.09 Kitemu-Buddo'!J32,'25.09 Kitemu-Buddo'!J32,'27.09 Kitemu-Buddo'!J32,'26.09 Kitemu-Buddo-24 HRS'!J32,'28.09 Kitemu-Buddo-24HRS'!J32,'29.0 Kitemu-Buddo'!J32)</f>
        <v>0.42857142857142855</v>
      </c>
      <c r="K32" s="49">
        <f>AVERAGE('23.09.19-Kitemu-Buddo'!K32,'24.09 Kitemu-Buddo'!K32,'25.09 Kitemu-Buddo'!K32,'27.09 Kitemu-Buddo'!K32,'26.09 Kitemu-Buddo-24 HRS'!K32,'28.09 Kitemu-Buddo-24HRS'!K32,'29.0 Kitemu-Buddo'!K32)</f>
        <v>0</v>
      </c>
      <c r="L32" s="49">
        <f>AVERAGE('23.09.19-Kitemu-Buddo'!L32,'24.09 Kitemu-Buddo'!L32,'25.09 Kitemu-Buddo'!L32,'27.09 Kitemu-Buddo'!L32,'26.09 Kitemu-Buddo-24 HRS'!L32,'28.09 Kitemu-Buddo-24HRS'!L32,'29.0 Kitemu-Buddo'!L32)</f>
        <v>0</v>
      </c>
      <c r="M32" s="49">
        <f>AVERAGE('23.09.19-Kitemu-Buddo'!M32,'24.09 Kitemu-Buddo'!M32,'25.09 Kitemu-Buddo'!M32,'27.09 Kitemu-Buddo'!M32,'26.09 Kitemu-Buddo-24 HRS'!M32,'28.09 Kitemu-Buddo-24HRS'!M32,'29.0 Kitemu-Buddo'!M32)</f>
        <v>38.285714285714285</v>
      </c>
      <c r="N32" s="49">
        <f>AVERAGE('23.09.19-Kitemu-Buddo'!N32,'24.09 Kitemu-Buddo'!N32,'25.09 Kitemu-Buddo'!N32,'27.09 Kitemu-Buddo'!N32,'26.09 Kitemu-Buddo-24 HRS'!N32,'28.09 Kitemu-Buddo-24HRS'!N32,'29.0 Kitemu-Buddo'!N32)</f>
        <v>0</v>
      </c>
      <c r="O32" s="15">
        <f t="shared" si="0"/>
        <v>7.8571428571428577</v>
      </c>
      <c r="P32" s="15">
        <f t="shared" si="1"/>
        <v>46.142857142857139</v>
      </c>
      <c r="R32" s="1" t="s">
        <v>156</v>
      </c>
      <c r="S32" s="34">
        <f>SUM(C98:C101)</f>
        <v>6.5</v>
      </c>
      <c r="T32" s="34">
        <f t="shared" ref="T32:AF32" si="24">SUM(D98:D101)</f>
        <v>2</v>
      </c>
      <c r="U32" s="34">
        <f t="shared" si="24"/>
        <v>1.5</v>
      </c>
      <c r="V32" s="34">
        <f t="shared" si="24"/>
        <v>20.5</v>
      </c>
      <c r="W32" s="34">
        <f t="shared" si="24"/>
        <v>0.5</v>
      </c>
      <c r="X32" s="34">
        <f t="shared" si="24"/>
        <v>0</v>
      </c>
      <c r="Y32" s="34">
        <f t="shared" si="24"/>
        <v>3</v>
      </c>
      <c r="Z32" s="34">
        <f t="shared" si="24"/>
        <v>2.5</v>
      </c>
      <c r="AA32" s="34">
        <f t="shared" si="24"/>
        <v>0</v>
      </c>
      <c r="AB32" s="34">
        <f t="shared" si="24"/>
        <v>0</v>
      </c>
      <c r="AC32" s="34">
        <f t="shared" si="24"/>
        <v>71.5</v>
      </c>
      <c r="AD32" s="34">
        <f t="shared" si="24"/>
        <v>0</v>
      </c>
      <c r="AE32" s="31">
        <f t="shared" si="24"/>
        <v>36.5</v>
      </c>
      <c r="AF32" s="31">
        <f t="shared" si="24"/>
        <v>108</v>
      </c>
    </row>
    <row r="33" spans="2:32" ht="23.1" customHeight="1" x14ac:dyDescent="0.25">
      <c r="B33" s="23" t="s">
        <v>60</v>
      </c>
      <c r="C33" s="49">
        <f>AVERAGE('23.09.19-Kitemu-Buddo'!C33,'24.09 Kitemu-Buddo'!C33,'25.09 Kitemu-Buddo'!C33,'27.09 Kitemu-Buddo'!C33,'26.09 Kitemu-Buddo-24 HRS'!C33,'28.09 Kitemu-Buddo-24HRS'!C33,'29.0 Kitemu-Buddo'!C33)</f>
        <v>3.5714285714285716</v>
      </c>
      <c r="D33" s="49">
        <f>AVERAGE('23.09.19-Kitemu-Buddo'!D33,'24.09 Kitemu-Buddo'!D33,'25.09 Kitemu-Buddo'!D33,'27.09 Kitemu-Buddo'!D33,'26.09 Kitemu-Buddo-24 HRS'!D33,'28.09 Kitemu-Buddo-24HRS'!D33,'29.0 Kitemu-Buddo'!D33)</f>
        <v>0.42857142857142855</v>
      </c>
      <c r="E33" s="49">
        <f>AVERAGE('23.09.19-Kitemu-Buddo'!E33,'24.09 Kitemu-Buddo'!E33,'25.09 Kitemu-Buddo'!E33,'27.09 Kitemu-Buddo'!E33,'26.09 Kitemu-Buddo-24 HRS'!E33,'28.09 Kitemu-Buddo-24HRS'!E33,'29.0 Kitemu-Buddo'!E33)</f>
        <v>0.7142857142857143</v>
      </c>
      <c r="F33" s="49">
        <f>AVERAGE('23.09.19-Kitemu-Buddo'!F33,'24.09 Kitemu-Buddo'!F33,'25.09 Kitemu-Buddo'!F33,'27.09 Kitemu-Buddo'!F33,'26.09 Kitemu-Buddo-24 HRS'!F33,'28.09 Kitemu-Buddo-24HRS'!F33,'29.0 Kitemu-Buddo'!F33)</f>
        <v>2.2857142857142856</v>
      </c>
      <c r="G33" s="49">
        <f>AVERAGE('23.09.19-Kitemu-Buddo'!G33,'24.09 Kitemu-Buddo'!G33,'25.09 Kitemu-Buddo'!G33,'27.09 Kitemu-Buddo'!G33,'26.09 Kitemu-Buddo-24 HRS'!G33,'28.09 Kitemu-Buddo-24HRS'!G33,'29.0 Kitemu-Buddo'!G33)</f>
        <v>0.2857142857142857</v>
      </c>
      <c r="H33" s="49">
        <f>AVERAGE('23.09.19-Kitemu-Buddo'!H33,'24.09 Kitemu-Buddo'!H33,'25.09 Kitemu-Buddo'!H33,'27.09 Kitemu-Buddo'!H33,'26.09 Kitemu-Buddo-24 HRS'!H33,'28.09 Kitemu-Buddo-24HRS'!H33,'29.0 Kitemu-Buddo'!H33)</f>
        <v>0</v>
      </c>
      <c r="I33" s="49">
        <f>AVERAGE('23.09.19-Kitemu-Buddo'!I33,'24.09 Kitemu-Buddo'!I33,'25.09 Kitemu-Buddo'!I33,'27.09 Kitemu-Buddo'!I33,'26.09 Kitemu-Buddo-24 HRS'!I33,'28.09 Kitemu-Buddo-24HRS'!I33,'29.0 Kitemu-Buddo'!I33)</f>
        <v>1.2857142857142858</v>
      </c>
      <c r="J33" s="49">
        <f>AVERAGE('23.09.19-Kitemu-Buddo'!J33,'24.09 Kitemu-Buddo'!J33,'25.09 Kitemu-Buddo'!J33,'27.09 Kitemu-Buddo'!J33,'26.09 Kitemu-Buddo-24 HRS'!J33,'28.09 Kitemu-Buddo-24HRS'!J33,'29.0 Kitemu-Buddo'!J33)</f>
        <v>0.5714285714285714</v>
      </c>
      <c r="K33" s="49">
        <f>AVERAGE('23.09.19-Kitemu-Buddo'!K33,'24.09 Kitemu-Buddo'!K33,'25.09 Kitemu-Buddo'!K33,'27.09 Kitemu-Buddo'!K33,'26.09 Kitemu-Buddo-24 HRS'!K33,'28.09 Kitemu-Buddo-24HRS'!K33,'29.0 Kitemu-Buddo'!K33)</f>
        <v>0.14285714285714285</v>
      </c>
      <c r="L33" s="49">
        <f>AVERAGE('23.09.19-Kitemu-Buddo'!L33,'24.09 Kitemu-Buddo'!L33,'25.09 Kitemu-Buddo'!L33,'27.09 Kitemu-Buddo'!L33,'26.09 Kitemu-Buddo-24 HRS'!L33,'28.09 Kitemu-Buddo-24HRS'!L33,'29.0 Kitemu-Buddo'!L33)</f>
        <v>0</v>
      </c>
      <c r="M33" s="49">
        <f>AVERAGE('23.09.19-Kitemu-Buddo'!M33,'24.09 Kitemu-Buddo'!M33,'25.09 Kitemu-Buddo'!M33,'27.09 Kitemu-Buddo'!M33,'26.09 Kitemu-Buddo-24 HRS'!M33,'28.09 Kitemu-Buddo-24HRS'!M33,'29.0 Kitemu-Buddo'!M33)</f>
        <v>34.571428571428569</v>
      </c>
      <c r="N33" s="49">
        <f>AVERAGE('23.09.19-Kitemu-Buddo'!N33,'24.09 Kitemu-Buddo'!N33,'25.09 Kitemu-Buddo'!N33,'27.09 Kitemu-Buddo'!N33,'26.09 Kitemu-Buddo-24 HRS'!N33,'28.09 Kitemu-Buddo-24HRS'!N33,'29.0 Kitemu-Buddo'!N33)</f>
        <v>0</v>
      </c>
      <c r="O33" s="15">
        <f t="shared" si="0"/>
        <v>9.2857142857142847</v>
      </c>
      <c r="P33" s="15">
        <f t="shared" si="1"/>
        <v>43.857142857142854</v>
      </c>
      <c r="R33" s="1" t="s">
        <v>157</v>
      </c>
      <c r="S33" s="34">
        <f>SUM(C102:C105)</f>
        <v>10.5</v>
      </c>
      <c r="T33" s="34">
        <f t="shared" ref="T33:AF33" si="25">SUM(D102:D105)</f>
        <v>1</v>
      </c>
      <c r="U33" s="34">
        <f t="shared" si="25"/>
        <v>1.5</v>
      </c>
      <c r="V33" s="34">
        <f t="shared" si="25"/>
        <v>19.5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3</v>
      </c>
      <c r="AA33" s="34">
        <f t="shared" si="25"/>
        <v>0</v>
      </c>
      <c r="AB33" s="34">
        <f t="shared" si="25"/>
        <v>0</v>
      </c>
      <c r="AC33" s="34">
        <f t="shared" si="25"/>
        <v>125.5</v>
      </c>
      <c r="AD33" s="34">
        <f t="shared" si="25"/>
        <v>0</v>
      </c>
      <c r="AE33" s="31">
        <f t="shared" si="25"/>
        <v>39.5</v>
      </c>
      <c r="AF33" s="31">
        <f t="shared" si="25"/>
        <v>165</v>
      </c>
    </row>
    <row r="34" spans="2:32" ht="23.1" customHeight="1" x14ac:dyDescent="0.25">
      <c r="B34" s="24" t="s">
        <v>61</v>
      </c>
      <c r="C34" s="49">
        <f>AVERAGE('23.09.19-Kitemu-Buddo'!C34,'24.09 Kitemu-Buddo'!C34,'25.09 Kitemu-Buddo'!C34,'27.09 Kitemu-Buddo'!C34,'26.09 Kitemu-Buddo-24 HRS'!C34,'28.09 Kitemu-Buddo-24HRS'!C34,'29.0 Kitemu-Buddo'!C34)</f>
        <v>2.8571428571428572</v>
      </c>
      <c r="D34" s="49">
        <f>AVERAGE('23.09.19-Kitemu-Buddo'!D34,'24.09 Kitemu-Buddo'!D34,'25.09 Kitemu-Buddo'!D34,'27.09 Kitemu-Buddo'!D34,'26.09 Kitemu-Buddo-24 HRS'!D34,'28.09 Kitemu-Buddo-24HRS'!D34,'29.0 Kitemu-Buddo'!D34)</f>
        <v>0.14285714285714285</v>
      </c>
      <c r="E34" s="49">
        <f>AVERAGE('23.09.19-Kitemu-Buddo'!E34,'24.09 Kitemu-Buddo'!E34,'25.09 Kitemu-Buddo'!E34,'27.09 Kitemu-Buddo'!E34,'26.09 Kitemu-Buddo-24 HRS'!E34,'28.09 Kitemu-Buddo-24HRS'!E34,'29.0 Kitemu-Buddo'!E34)</f>
        <v>0.42857142857142855</v>
      </c>
      <c r="F34" s="49">
        <f>AVERAGE('23.09.19-Kitemu-Buddo'!F34,'24.09 Kitemu-Buddo'!F34,'25.09 Kitemu-Buddo'!F34,'27.09 Kitemu-Buddo'!F34,'26.09 Kitemu-Buddo-24 HRS'!F34,'28.09 Kitemu-Buddo-24HRS'!F34,'29.0 Kitemu-Buddo'!F34)</f>
        <v>1.5714285714285714</v>
      </c>
      <c r="G34" s="49">
        <f>AVERAGE('23.09.19-Kitemu-Buddo'!G34,'24.09 Kitemu-Buddo'!G34,'25.09 Kitemu-Buddo'!G34,'27.09 Kitemu-Buddo'!G34,'26.09 Kitemu-Buddo-24 HRS'!G34,'28.09 Kitemu-Buddo-24HRS'!G34,'29.0 Kitemu-Buddo'!G34)</f>
        <v>0</v>
      </c>
      <c r="H34" s="49">
        <f>AVERAGE('23.09.19-Kitemu-Buddo'!H34,'24.09 Kitemu-Buddo'!H34,'25.09 Kitemu-Buddo'!H34,'27.09 Kitemu-Buddo'!H34,'26.09 Kitemu-Buddo-24 HRS'!H34,'28.09 Kitemu-Buddo-24HRS'!H34,'29.0 Kitemu-Buddo'!H34)</f>
        <v>0</v>
      </c>
      <c r="I34" s="49">
        <f>AVERAGE('23.09.19-Kitemu-Buddo'!I34,'24.09 Kitemu-Buddo'!I34,'25.09 Kitemu-Buddo'!I34,'27.09 Kitemu-Buddo'!I34,'26.09 Kitemu-Buddo-24 HRS'!I34,'28.09 Kitemu-Buddo-24HRS'!I34,'29.0 Kitemu-Buddo'!I34)</f>
        <v>1</v>
      </c>
      <c r="J34" s="49">
        <f>AVERAGE('23.09.19-Kitemu-Buddo'!J34,'24.09 Kitemu-Buddo'!J34,'25.09 Kitemu-Buddo'!J34,'27.09 Kitemu-Buddo'!J34,'26.09 Kitemu-Buddo-24 HRS'!J34,'28.09 Kitemu-Buddo-24HRS'!J34,'29.0 Kitemu-Buddo'!J34)</f>
        <v>0.5714285714285714</v>
      </c>
      <c r="K34" s="49">
        <f>AVERAGE('23.09.19-Kitemu-Buddo'!K34,'24.09 Kitemu-Buddo'!K34,'25.09 Kitemu-Buddo'!K34,'27.09 Kitemu-Buddo'!K34,'26.09 Kitemu-Buddo-24 HRS'!K34,'28.09 Kitemu-Buddo-24HRS'!K34,'29.0 Kitemu-Buddo'!K34)</f>
        <v>0.5714285714285714</v>
      </c>
      <c r="L34" s="49">
        <f>AVERAGE('23.09.19-Kitemu-Buddo'!L34,'24.09 Kitemu-Buddo'!L34,'25.09 Kitemu-Buddo'!L34,'27.09 Kitemu-Buddo'!L34,'26.09 Kitemu-Buddo-24 HRS'!L34,'28.09 Kitemu-Buddo-24HRS'!L34,'29.0 Kitemu-Buddo'!L34)</f>
        <v>0</v>
      </c>
      <c r="M34" s="49">
        <f>AVERAGE('23.09.19-Kitemu-Buddo'!M34,'24.09 Kitemu-Buddo'!M34,'25.09 Kitemu-Buddo'!M34,'27.09 Kitemu-Buddo'!M34,'26.09 Kitemu-Buddo-24 HRS'!M34,'28.09 Kitemu-Buddo-24HRS'!M34,'29.0 Kitemu-Buddo'!M34)</f>
        <v>31.714285714285715</v>
      </c>
      <c r="N34" s="49">
        <f>AVERAGE('23.09.19-Kitemu-Buddo'!N34,'24.09 Kitemu-Buddo'!N34,'25.09 Kitemu-Buddo'!N34,'27.09 Kitemu-Buddo'!N34,'26.09 Kitemu-Buddo-24 HRS'!N34,'28.09 Kitemu-Buddo-24HRS'!N34,'29.0 Kitemu-Buddo'!N34)</f>
        <v>0</v>
      </c>
      <c r="O34" s="15">
        <f t="shared" si="0"/>
        <v>7.1428571428571423</v>
      </c>
      <c r="P34" s="15">
        <f t="shared" si="1"/>
        <v>38.857142857142861</v>
      </c>
      <c r="R34" s="52" t="s">
        <v>90</v>
      </c>
      <c r="S34" s="53">
        <f t="shared" ref="S34:AF34" si="26">MAX(S10:S12)</f>
        <v>10.285714285714286</v>
      </c>
      <c r="T34" s="53">
        <f t="shared" si="26"/>
        <v>2.714285714285714</v>
      </c>
      <c r="U34" s="53">
        <f t="shared" si="26"/>
        <v>1.4285714285714286</v>
      </c>
      <c r="V34" s="53">
        <f t="shared" si="26"/>
        <v>11.714285714285714</v>
      </c>
      <c r="W34" s="53">
        <f t="shared" si="26"/>
        <v>1</v>
      </c>
      <c r="X34" s="53">
        <f t="shared" si="26"/>
        <v>0.2857142857142857</v>
      </c>
      <c r="Y34" s="53">
        <f t="shared" si="26"/>
        <v>4.4285714285714288</v>
      </c>
      <c r="Z34" s="53">
        <f t="shared" si="26"/>
        <v>2.8571428571428572</v>
      </c>
      <c r="AA34" s="53">
        <f t="shared" si="26"/>
        <v>0.71428571428571419</v>
      </c>
      <c r="AB34" s="53">
        <f t="shared" si="26"/>
        <v>0</v>
      </c>
      <c r="AC34" s="53">
        <f t="shared" si="26"/>
        <v>184.14285714285714</v>
      </c>
      <c r="AD34" s="53">
        <f t="shared" si="26"/>
        <v>0</v>
      </c>
      <c r="AE34" s="40">
        <f t="shared" si="26"/>
        <v>33.571428571428569</v>
      </c>
      <c r="AF34" s="40">
        <f t="shared" si="26"/>
        <v>209.85714285714289</v>
      </c>
    </row>
    <row r="35" spans="2:32" ht="23.1" customHeight="1" x14ac:dyDescent="0.25">
      <c r="B35" s="24" t="s">
        <v>62</v>
      </c>
      <c r="C35" s="49">
        <f>AVERAGE('23.09.19-Kitemu-Buddo'!C35,'24.09 Kitemu-Buddo'!C35,'25.09 Kitemu-Buddo'!C35,'27.09 Kitemu-Buddo'!C35,'26.09 Kitemu-Buddo-24 HRS'!C35,'28.09 Kitemu-Buddo-24HRS'!C35,'29.0 Kitemu-Buddo'!C35)</f>
        <v>3.1428571428571428</v>
      </c>
      <c r="D35" s="49">
        <f>AVERAGE('23.09.19-Kitemu-Buddo'!D35,'24.09 Kitemu-Buddo'!D35,'25.09 Kitemu-Buddo'!D35,'27.09 Kitemu-Buddo'!D35,'26.09 Kitemu-Buddo-24 HRS'!D35,'28.09 Kitemu-Buddo-24HRS'!D35,'29.0 Kitemu-Buddo'!D35)</f>
        <v>0.42857142857142855</v>
      </c>
      <c r="E35" s="49">
        <f>AVERAGE('23.09.19-Kitemu-Buddo'!E35,'24.09 Kitemu-Buddo'!E35,'25.09 Kitemu-Buddo'!E35,'27.09 Kitemu-Buddo'!E35,'26.09 Kitemu-Buddo-24 HRS'!E35,'28.09 Kitemu-Buddo-24HRS'!E35,'29.0 Kitemu-Buddo'!E35)</f>
        <v>0.42857142857142855</v>
      </c>
      <c r="F35" s="49">
        <f>AVERAGE('23.09.19-Kitemu-Buddo'!F35,'24.09 Kitemu-Buddo'!F35,'25.09 Kitemu-Buddo'!F35,'27.09 Kitemu-Buddo'!F35,'26.09 Kitemu-Buddo-24 HRS'!F35,'28.09 Kitemu-Buddo-24HRS'!F35,'29.0 Kitemu-Buddo'!F35)</f>
        <v>1.5714285714285714</v>
      </c>
      <c r="G35" s="49">
        <f>AVERAGE('23.09.19-Kitemu-Buddo'!G35,'24.09 Kitemu-Buddo'!G35,'25.09 Kitemu-Buddo'!G35,'27.09 Kitemu-Buddo'!G35,'26.09 Kitemu-Buddo-24 HRS'!G35,'28.09 Kitemu-Buddo-24HRS'!G35,'29.0 Kitemu-Buddo'!G35)</f>
        <v>0.2857142857142857</v>
      </c>
      <c r="H35" s="49">
        <f>AVERAGE('23.09.19-Kitemu-Buddo'!H35,'24.09 Kitemu-Buddo'!H35,'25.09 Kitemu-Buddo'!H35,'27.09 Kitemu-Buddo'!H35,'26.09 Kitemu-Buddo-24 HRS'!H35,'28.09 Kitemu-Buddo-24HRS'!H35,'29.0 Kitemu-Buddo'!H35)</f>
        <v>0</v>
      </c>
      <c r="I35" s="49">
        <f>AVERAGE('23.09.19-Kitemu-Buddo'!I35,'24.09 Kitemu-Buddo'!I35,'25.09 Kitemu-Buddo'!I35,'27.09 Kitemu-Buddo'!I35,'26.09 Kitemu-Buddo-24 HRS'!I35,'28.09 Kitemu-Buddo-24HRS'!I35,'29.0 Kitemu-Buddo'!I35)</f>
        <v>0.5714285714285714</v>
      </c>
      <c r="J35" s="49">
        <f>AVERAGE('23.09.19-Kitemu-Buddo'!J35,'24.09 Kitemu-Buddo'!J35,'25.09 Kitemu-Buddo'!J35,'27.09 Kitemu-Buddo'!J35,'26.09 Kitemu-Buddo-24 HRS'!J35,'28.09 Kitemu-Buddo-24HRS'!J35,'29.0 Kitemu-Buddo'!J35)</f>
        <v>0.42857142857142855</v>
      </c>
      <c r="K35" s="49">
        <f>AVERAGE('23.09.19-Kitemu-Buddo'!K35,'24.09 Kitemu-Buddo'!K35,'25.09 Kitemu-Buddo'!K35,'27.09 Kitemu-Buddo'!K35,'26.09 Kitemu-Buddo-24 HRS'!K35,'28.09 Kitemu-Buddo-24HRS'!K35,'29.0 Kitemu-Buddo'!K35)</f>
        <v>0.14285714285714285</v>
      </c>
      <c r="L35" s="49">
        <f>AVERAGE('23.09.19-Kitemu-Buddo'!L35,'24.09 Kitemu-Buddo'!L35,'25.09 Kitemu-Buddo'!L35,'27.09 Kitemu-Buddo'!L35,'26.09 Kitemu-Buddo-24 HRS'!L35,'28.09 Kitemu-Buddo-24HRS'!L35,'29.0 Kitemu-Buddo'!L35)</f>
        <v>0</v>
      </c>
      <c r="M35" s="49">
        <f>AVERAGE('23.09.19-Kitemu-Buddo'!M35,'24.09 Kitemu-Buddo'!M35,'25.09 Kitemu-Buddo'!M35,'27.09 Kitemu-Buddo'!M35,'26.09 Kitemu-Buddo-24 HRS'!M35,'28.09 Kitemu-Buddo-24HRS'!M35,'29.0 Kitemu-Buddo'!M35)</f>
        <v>33.285714285714285</v>
      </c>
      <c r="N35" s="49">
        <f>AVERAGE('23.09.19-Kitemu-Buddo'!N35,'24.09 Kitemu-Buddo'!N35,'25.09 Kitemu-Buddo'!N35,'27.09 Kitemu-Buddo'!N35,'26.09 Kitemu-Buddo-24 HRS'!N35,'28.09 Kitemu-Buddo-24HRS'!N35,'29.0 Kitemu-Buddo'!N35)</f>
        <v>0</v>
      </c>
      <c r="O35" s="15">
        <f t="shared" si="0"/>
        <v>7</v>
      </c>
      <c r="P35" s="15">
        <f t="shared" si="1"/>
        <v>40.285714285714285</v>
      </c>
      <c r="R35" s="52" t="s">
        <v>91</v>
      </c>
      <c r="S35" s="53">
        <f t="shared" ref="S35:AF35" si="27">MAX(S13:S18)</f>
        <v>15.571428571428573</v>
      </c>
      <c r="T35" s="53">
        <f t="shared" si="27"/>
        <v>2</v>
      </c>
      <c r="U35" s="53">
        <f t="shared" si="27"/>
        <v>1.857142857142857</v>
      </c>
      <c r="V35" s="53">
        <f t="shared" si="27"/>
        <v>8.4285714285714288</v>
      </c>
      <c r="W35" s="53">
        <f t="shared" si="27"/>
        <v>0.5714285714285714</v>
      </c>
      <c r="X35" s="53">
        <f t="shared" si="27"/>
        <v>0.2857142857142857</v>
      </c>
      <c r="Y35" s="53">
        <f t="shared" si="27"/>
        <v>6.4285714285714279</v>
      </c>
      <c r="Z35" s="53">
        <f t="shared" si="27"/>
        <v>2.8571428571428572</v>
      </c>
      <c r="AA35" s="53">
        <f t="shared" si="27"/>
        <v>1.2857142857142856</v>
      </c>
      <c r="AB35" s="53">
        <f t="shared" si="27"/>
        <v>0</v>
      </c>
      <c r="AC35" s="53">
        <f t="shared" si="27"/>
        <v>158.71428571428572</v>
      </c>
      <c r="AD35" s="53">
        <f t="shared" si="27"/>
        <v>0</v>
      </c>
      <c r="AE35" s="40">
        <f t="shared" si="27"/>
        <v>33.571428571428569</v>
      </c>
      <c r="AF35" s="40">
        <f t="shared" si="27"/>
        <v>188.71428571428569</v>
      </c>
    </row>
    <row r="36" spans="2:32" ht="23.1" customHeight="1" x14ac:dyDescent="0.25">
      <c r="B36" s="24" t="s">
        <v>63</v>
      </c>
      <c r="C36" s="49">
        <f>AVERAGE('23.09.19-Kitemu-Buddo'!C36,'24.09 Kitemu-Buddo'!C36,'25.09 Kitemu-Buddo'!C36,'27.09 Kitemu-Buddo'!C36,'26.09 Kitemu-Buddo-24 HRS'!C36,'28.09 Kitemu-Buddo-24HRS'!C36,'29.0 Kitemu-Buddo'!C36)</f>
        <v>4.4285714285714288</v>
      </c>
      <c r="D36" s="49">
        <f>AVERAGE('23.09.19-Kitemu-Buddo'!D36,'24.09 Kitemu-Buddo'!D36,'25.09 Kitemu-Buddo'!D36,'27.09 Kitemu-Buddo'!D36,'26.09 Kitemu-Buddo-24 HRS'!D36,'28.09 Kitemu-Buddo-24HRS'!D36,'29.0 Kitemu-Buddo'!D36)</f>
        <v>0.5714285714285714</v>
      </c>
      <c r="E36" s="49">
        <f>AVERAGE('23.09.19-Kitemu-Buddo'!E36,'24.09 Kitemu-Buddo'!E36,'25.09 Kitemu-Buddo'!E36,'27.09 Kitemu-Buddo'!E36,'26.09 Kitemu-Buddo-24 HRS'!E36,'28.09 Kitemu-Buddo-24HRS'!E36,'29.0 Kitemu-Buddo'!E36)</f>
        <v>0.14285714285714285</v>
      </c>
      <c r="F36" s="49">
        <f>AVERAGE('23.09.19-Kitemu-Buddo'!F36,'24.09 Kitemu-Buddo'!F36,'25.09 Kitemu-Buddo'!F36,'27.09 Kitemu-Buddo'!F36,'26.09 Kitemu-Buddo-24 HRS'!F36,'28.09 Kitemu-Buddo-24HRS'!F36,'29.0 Kitemu-Buddo'!F36)</f>
        <v>2.1428571428571428</v>
      </c>
      <c r="G36" s="49">
        <f>AVERAGE('23.09.19-Kitemu-Buddo'!G36,'24.09 Kitemu-Buddo'!G36,'25.09 Kitemu-Buddo'!G36,'27.09 Kitemu-Buddo'!G36,'26.09 Kitemu-Buddo-24 HRS'!G36,'28.09 Kitemu-Buddo-24HRS'!G36,'29.0 Kitemu-Buddo'!G36)</f>
        <v>0</v>
      </c>
      <c r="H36" s="49">
        <f>AVERAGE('23.09.19-Kitemu-Buddo'!H36,'24.09 Kitemu-Buddo'!H36,'25.09 Kitemu-Buddo'!H36,'27.09 Kitemu-Buddo'!H36,'26.09 Kitemu-Buddo-24 HRS'!H36,'28.09 Kitemu-Buddo-24HRS'!H36,'29.0 Kitemu-Buddo'!H36)</f>
        <v>0</v>
      </c>
      <c r="I36" s="49">
        <f>AVERAGE('23.09.19-Kitemu-Buddo'!I36,'24.09 Kitemu-Buddo'!I36,'25.09 Kitemu-Buddo'!I36,'27.09 Kitemu-Buddo'!I36,'26.09 Kitemu-Buddo-24 HRS'!I36,'28.09 Kitemu-Buddo-24HRS'!I36,'29.0 Kitemu-Buddo'!I36)</f>
        <v>1.8571428571428572</v>
      </c>
      <c r="J36" s="49">
        <f>AVERAGE('23.09.19-Kitemu-Buddo'!J36,'24.09 Kitemu-Buddo'!J36,'25.09 Kitemu-Buddo'!J36,'27.09 Kitemu-Buddo'!J36,'26.09 Kitemu-Buddo-24 HRS'!J36,'28.09 Kitemu-Buddo-24HRS'!J36,'29.0 Kitemu-Buddo'!J36)</f>
        <v>0.42857142857142855</v>
      </c>
      <c r="K36" s="49">
        <f>AVERAGE('23.09.19-Kitemu-Buddo'!K36,'24.09 Kitemu-Buddo'!K36,'25.09 Kitemu-Buddo'!K36,'27.09 Kitemu-Buddo'!K36,'26.09 Kitemu-Buddo-24 HRS'!K36,'28.09 Kitemu-Buddo-24HRS'!K36,'29.0 Kitemu-Buddo'!K36)</f>
        <v>0.14285714285714285</v>
      </c>
      <c r="L36" s="49">
        <f>AVERAGE('23.09.19-Kitemu-Buddo'!L36,'24.09 Kitemu-Buddo'!L36,'25.09 Kitemu-Buddo'!L36,'27.09 Kitemu-Buddo'!L36,'26.09 Kitemu-Buddo-24 HRS'!L36,'28.09 Kitemu-Buddo-24HRS'!L36,'29.0 Kitemu-Buddo'!L36)</f>
        <v>0</v>
      </c>
      <c r="M36" s="49">
        <f>AVERAGE('23.09.19-Kitemu-Buddo'!M36,'24.09 Kitemu-Buddo'!M36,'25.09 Kitemu-Buddo'!M36,'27.09 Kitemu-Buddo'!M36,'26.09 Kitemu-Buddo-24 HRS'!M36,'28.09 Kitemu-Buddo-24HRS'!M36,'29.0 Kitemu-Buddo'!M36)</f>
        <v>36</v>
      </c>
      <c r="N36" s="49">
        <f>AVERAGE('23.09.19-Kitemu-Buddo'!N36,'24.09 Kitemu-Buddo'!N36,'25.09 Kitemu-Buddo'!N36,'27.09 Kitemu-Buddo'!N36,'26.09 Kitemu-Buddo-24 HRS'!N36,'28.09 Kitemu-Buddo-24HRS'!N36,'29.0 Kitemu-Buddo'!N36)</f>
        <v>0</v>
      </c>
      <c r="O36" s="15">
        <f t="shared" si="0"/>
        <v>9.7142857142857153</v>
      </c>
      <c r="P36" s="15">
        <f t="shared" si="1"/>
        <v>45.714285714285715</v>
      </c>
      <c r="R36" s="52" t="s">
        <v>92</v>
      </c>
      <c r="S36" s="53">
        <f t="shared" ref="S36:AF36" si="28">MAX(S19:S21)</f>
        <v>15.428571428571429</v>
      </c>
      <c r="T36" s="53">
        <f t="shared" si="28"/>
        <v>3.1428571428571428</v>
      </c>
      <c r="U36" s="53">
        <f t="shared" si="28"/>
        <v>2.5714285714285716</v>
      </c>
      <c r="V36" s="53">
        <f t="shared" si="28"/>
        <v>12</v>
      </c>
      <c r="W36" s="53">
        <f t="shared" si="28"/>
        <v>1.8571428571428572</v>
      </c>
      <c r="X36" s="53">
        <f t="shared" si="28"/>
        <v>0.14285714285714285</v>
      </c>
      <c r="Y36" s="53">
        <f t="shared" si="28"/>
        <v>6.5714285714285712</v>
      </c>
      <c r="Z36" s="53">
        <f t="shared" si="28"/>
        <v>1.7142857142857142</v>
      </c>
      <c r="AA36" s="53">
        <f t="shared" si="28"/>
        <v>0.8571428571428571</v>
      </c>
      <c r="AB36" s="53">
        <f t="shared" si="28"/>
        <v>0</v>
      </c>
      <c r="AC36" s="53">
        <f t="shared" si="28"/>
        <v>147.42857142857144</v>
      </c>
      <c r="AD36" s="53">
        <f t="shared" si="28"/>
        <v>0</v>
      </c>
      <c r="AE36" s="40">
        <f t="shared" si="28"/>
        <v>41.857142857142861</v>
      </c>
      <c r="AF36" s="40">
        <f t="shared" si="28"/>
        <v>189.28571428571428</v>
      </c>
    </row>
    <row r="37" spans="2:32" ht="23.1" customHeight="1" x14ac:dyDescent="0.25">
      <c r="B37" s="23" t="s">
        <v>64</v>
      </c>
      <c r="C37" s="49">
        <f>AVERAGE('23.09.19-Kitemu-Buddo'!C37,'24.09 Kitemu-Buddo'!C37,'25.09 Kitemu-Buddo'!C37,'27.09 Kitemu-Buddo'!C37,'26.09 Kitemu-Buddo-24 HRS'!C37,'28.09 Kitemu-Buddo-24HRS'!C37,'29.0 Kitemu-Buddo'!C37)</f>
        <v>5.1428571428571432</v>
      </c>
      <c r="D37" s="49">
        <f>AVERAGE('23.09.19-Kitemu-Buddo'!D37,'24.09 Kitemu-Buddo'!D37,'25.09 Kitemu-Buddo'!D37,'27.09 Kitemu-Buddo'!D37,'26.09 Kitemu-Buddo-24 HRS'!D37,'28.09 Kitemu-Buddo-24HRS'!D37,'29.0 Kitemu-Buddo'!D37)</f>
        <v>0.8571428571428571</v>
      </c>
      <c r="E37" s="49">
        <f>AVERAGE('23.09.19-Kitemu-Buddo'!E37,'24.09 Kitemu-Buddo'!E37,'25.09 Kitemu-Buddo'!E37,'27.09 Kitemu-Buddo'!E37,'26.09 Kitemu-Buddo-24 HRS'!E37,'28.09 Kitemu-Buddo-24HRS'!E37,'29.0 Kitemu-Buddo'!E37)</f>
        <v>0.7142857142857143</v>
      </c>
      <c r="F37" s="49">
        <f>AVERAGE('23.09.19-Kitemu-Buddo'!F37,'24.09 Kitemu-Buddo'!F37,'25.09 Kitemu-Buddo'!F37,'27.09 Kitemu-Buddo'!F37,'26.09 Kitemu-Buddo-24 HRS'!F37,'28.09 Kitemu-Buddo-24HRS'!F37,'29.0 Kitemu-Buddo'!F37)</f>
        <v>1.2857142857142858</v>
      </c>
      <c r="G37" s="49">
        <f>AVERAGE('23.09.19-Kitemu-Buddo'!G37,'24.09 Kitemu-Buddo'!G37,'25.09 Kitemu-Buddo'!G37,'27.09 Kitemu-Buddo'!G37,'26.09 Kitemu-Buddo-24 HRS'!G37,'28.09 Kitemu-Buddo-24HRS'!G37,'29.0 Kitemu-Buddo'!G37)</f>
        <v>0</v>
      </c>
      <c r="H37" s="49">
        <f>AVERAGE('23.09.19-Kitemu-Buddo'!H37,'24.09 Kitemu-Buddo'!H37,'25.09 Kitemu-Buddo'!H37,'27.09 Kitemu-Buddo'!H37,'26.09 Kitemu-Buddo-24 HRS'!H37,'28.09 Kitemu-Buddo-24HRS'!H37,'29.0 Kitemu-Buddo'!H37)</f>
        <v>0</v>
      </c>
      <c r="I37" s="49">
        <f>AVERAGE('23.09.19-Kitemu-Buddo'!I37,'24.09 Kitemu-Buddo'!I37,'25.09 Kitemu-Buddo'!I37,'27.09 Kitemu-Buddo'!I37,'26.09 Kitemu-Buddo-24 HRS'!I37,'28.09 Kitemu-Buddo-24HRS'!I37,'29.0 Kitemu-Buddo'!I37)</f>
        <v>1.2857142857142858</v>
      </c>
      <c r="J37" s="49">
        <f>AVERAGE('23.09.19-Kitemu-Buddo'!J37,'24.09 Kitemu-Buddo'!J37,'25.09 Kitemu-Buddo'!J37,'27.09 Kitemu-Buddo'!J37,'26.09 Kitemu-Buddo-24 HRS'!J37,'28.09 Kitemu-Buddo-24HRS'!J37,'29.0 Kitemu-Buddo'!J37)</f>
        <v>0.2857142857142857</v>
      </c>
      <c r="K37" s="49">
        <f>AVERAGE('23.09.19-Kitemu-Buddo'!K37,'24.09 Kitemu-Buddo'!K37,'25.09 Kitemu-Buddo'!K37,'27.09 Kitemu-Buddo'!K37,'26.09 Kitemu-Buddo-24 HRS'!K37,'28.09 Kitemu-Buddo-24HRS'!K37,'29.0 Kitemu-Buddo'!K37)</f>
        <v>0.14285714285714285</v>
      </c>
      <c r="L37" s="49">
        <f>AVERAGE('23.09.19-Kitemu-Buddo'!L37,'24.09 Kitemu-Buddo'!L37,'25.09 Kitemu-Buddo'!L37,'27.09 Kitemu-Buddo'!L37,'26.09 Kitemu-Buddo-24 HRS'!L37,'28.09 Kitemu-Buddo-24HRS'!L37,'29.0 Kitemu-Buddo'!L37)</f>
        <v>0</v>
      </c>
      <c r="M37" s="49">
        <f>AVERAGE('23.09.19-Kitemu-Buddo'!M37,'24.09 Kitemu-Buddo'!M37,'25.09 Kitemu-Buddo'!M37,'27.09 Kitemu-Buddo'!M37,'26.09 Kitemu-Buddo-24 HRS'!M37,'28.09 Kitemu-Buddo-24HRS'!M37,'29.0 Kitemu-Buddo'!M37)</f>
        <v>36.142857142857146</v>
      </c>
      <c r="N37" s="49">
        <f>AVERAGE('23.09.19-Kitemu-Buddo'!N37,'24.09 Kitemu-Buddo'!N37,'25.09 Kitemu-Buddo'!N37,'27.09 Kitemu-Buddo'!N37,'26.09 Kitemu-Buddo-24 HRS'!N37,'28.09 Kitemu-Buddo-24HRS'!N37,'29.0 Kitemu-Buddo'!N37)</f>
        <v>0</v>
      </c>
      <c r="O37" s="15">
        <f t="shared" si="0"/>
        <v>9.7142857142857153</v>
      </c>
      <c r="P37" s="15">
        <f t="shared" si="1"/>
        <v>45.857142857142861</v>
      </c>
      <c r="R37" s="37" t="s">
        <v>85</v>
      </c>
      <c r="S37" s="56">
        <f t="shared" ref="S37:AF37" si="29">SUM(S10:S12)</f>
        <v>30.571428571428569</v>
      </c>
      <c r="T37" s="57">
        <f t="shared" si="29"/>
        <v>5.8571428571428568</v>
      </c>
      <c r="U37" s="57">
        <f t="shared" si="29"/>
        <v>4</v>
      </c>
      <c r="V37" s="57">
        <f t="shared" si="29"/>
        <v>22.571428571428573</v>
      </c>
      <c r="W37" s="57">
        <f t="shared" si="29"/>
        <v>1.7142857142857142</v>
      </c>
      <c r="X37" s="57">
        <f t="shared" si="29"/>
        <v>0.42857142857142855</v>
      </c>
      <c r="Y37" s="57">
        <f t="shared" si="29"/>
        <v>11.857142857142858</v>
      </c>
      <c r="Z37" s="57">
        <f t="shared" si="29"/>
        <v>7.1428571428571423</v>
      </c>
      <c r="AA37" s="57">
        <f t="shared" si="29"/>
        <v>1.7142857142857142</v>
      </c>
      <c r="AB37" s="57">
        <f t="shared" si="29"/>
        <v>0</v>
      </c>
      <c r="AC37" s="57">
        <f t="shared" si="29"/>
        <v>525</v>
      </c>
      <c r="AD37" s="57">
        <f t="shared" si="29"/>
        <v>0</v>
      </c>
      <c r="AE37" s="58">
        <f t="shared" si="29"/>
        <v>85.857142857142847</v>
      </c>
      <c r="AF37" s="58">
        <f t="shared" si="29"/>
        <v>610.85714285714289</v>
      </c>
    </row>
    <row r="38" spans="2:32" ht="23.1" customHeight="1" x14ac:dyDescent="0.25">
      <c r="B38" s="24" t="s">
        <v>65</v>
      </c>
      <c r="C38" s="49">
        <f>AVERAGE('23.09.19-Kitemu-Buddo'!C38,'24.09 Kitemu-Buddo'!C38,'25.09 Kitemu-Buddo'!C38,'27.09 Kitemu-Buddo'!C38,'26.09 Kitemu-Buddo-24 HRS'!C38,'28.09 Kitemu-Buddo-24HRS'!C38,'29.0 Kitemu-Buddo'!C38)</f>
        <v>2.8571428571428572</v>
      </c>
      <c r="D38" s="49">
        <f>AVERAGE('23.09.19-Kitemu-Buddo'!D38,'24.09 Kitemu-Buddo'!D38,'25.09 Kitemu-Buddo'!D38,'27.09 Kitemu-Buddo'!D38,'26.09 Kitemu-Buddo-24 HRS'!D38,'28.09 Kitemu-Buddo-24HRS'!D38,'29.0 Kitemu-Buddo'!D38)</f>
        <v>0.42857142857142855</v>
      </c>
      <c r="E38" s="49">
        <f>AVERAGE('23.09.19-Kitemu-Buddo'!E38,'24.09 Kitemu-Buddo'!E38,'25.09 Kitemu-Buddo'!E38,'27.09 Kitemu-Buddo'!E38,'26.09 Kitemu-Buddo-24 HRS'!E38,'28.09 Kitemu-Buddo-24HRS'!E38,'29.0 Kitemu-Buddo'!E38)</f>
        <v>0.14285714285714285</v>
      </c>
      <c r="F38" s="49">
        <f>AVERAGE('23.09.19-Kitemu-Buddo'!F38,'24.09 Kitemu-Buddo'!F38,'25.09 Kitemu-Buddo'!F38,'27.09 Kitemu-Buddo'!F38,'26.09 Kitemu-Buddo-24 HRS'!F38,'28.09 Kitemu-Buddo-24HRS'!F38,'29.0 Kitemu-Buddo'!F38)</f>
        <v>2</v>
      </c>
      <c r="G38" s="49">
        <f>AVERAGE('23.09.19-Kitemu-Buddo'!G38,'24.09 Kitemu-Buddo'!G38,'25.09 Kitemu-Buddo'!G38,'27.09 Kitemu-Buddo'!G38,'26.09 Kitemu-Buddo-24 HRS'!G38,'28.09 Kitemu-Buddo-24HRS'!G38,'29.0 Kitemu-Buddo'!G38)</f>
        <v>0</v>
      </c>
      <c r="H38" s="49">
        <f>AVERAGE('23.09.19-Kitemu-Buddo'!H38,'24.09 Kitemu-Buddo'!H38,'25.09 Kitemu-Buddo'!H38,'27.09 Kitemu-Buddo'!H38,'26.09 Kitemu-Buddo-24 HRS'!H38,'28.09 Kitemu-Buddo-24HRS'!H38,'29.0 Kitemu-Buddo'!H38)</f>
        <v>0</v>
      </c>
      <c r="I38" s="49">
        <f>AVERAGE('23.09.19-Kitemu-Buddo'!I38,'24.09 Kitemu-Buddo'!I38,'25.09 Kitemu-Buddo'!I38,'27.09 Kitemu-Buddo'!I38,'26.09 Kitemu-Buddo-24 HRS'!I38,'28.09 Kitemu-Buddo-24HRS'!I38,'29.0 Kitemu-Buddo'!I38)</f>
        <v>1.2857142857142858</v>
      </c>
      <c r="J38" s="49">
        <f>AVERAGE('23.09.19-Kitemu-Buddo'!J38,'24.09 Kitemu-Buddo'!J38,'25.09 Kitemu-Buddo'!J38,'27.09 Kitemu-Buddo'!J38,'26.09 Kitemu-Buddo-24 HRS'!J38,'28.09 Kitemu-Buddo-24HRS'!J38,'29.0 Kitemu-Buddo'!J38)</f>
        <v>0.14285714285714285</v>
      </c>
      <c r="K38" s="49">
        <f>AVERAGE('23.09.19-Kitemu-Buddo'!K38,'24.09 Kitemu-Buddo'!K38,'25.09 Kitemu-Buddo'!K38,'27.09 Kitemu-Buddo'!K38,'26.09 Kitemu-Buddo-24 HRS'!K38,'28.09 Kitemu-Buddo-24HRS'!K38,'29.0 Kitemu-Buddo'!K38)</f>
        <v>0.42857142857142855</v>
      </c>
      <c r="L38" s="49">
        <f>AVERAGE('23.09.19-Kitemu-Buddo'!L38,'24.09 Kitemu-Buddo'!L38,'25.09 Kitemu-Buddo'!L38,'27.09 Kitemu-Buddo'!L38,'26.09 Kitemu-Buddo-24 HRS'!L38,'28.09 Kitemu-Buddo-24HRS'!L38,'29.0 Kitemu-Buddo'!L38)</f>
        <v>0</v>
      </c>
      <c r="M38" s="49">
        <f>AVERAGE('23.09.19-Kitemu-Buddo'!M38,'24.09 Kitemu-Buddo'!M38,'25.09 Kitemu-Buddo'!M38,'27.09 Kitemu-Buddo'!M38,'26.09 Kitemu-Buddo-24 HRS'!M38,'28.09 Kitemu-Buddo-24HRS'!M38,'29.0 Kitemu-Buddo'!M38)</f>
        <v>32.714285714285715</v>
      </c>
      <c r="N38" s="49">
        <f>AVERAGE('23.09.19-Kitemu-Buddo'!N38,'24.09 Kitemu-Buddo'!N38,'25.09 Kitemu-Buddo'!N38,'27.09 Kitemu-Buddo'!N38,'26.09 Kitemu-Buddo-24 HRS'!N38,'28.09 Kitemu-Buddo-24HRS'!N38,'29.0 Kitemu-Buddo'!N38)</f>
        <v>0</v>
      </c>
      <c r="O38" s="15">
        <f t="shared" si="0"/>
        <v>7.2857142857142865</v>
      </c>
      <c r="P38" s="15">
        <f t="shared" si="1"/>
        <v>40</v>
      </c>
      <c r="R38" s="28" t="s">
        <v>86</v>
      </c>
      <c r="S38" s="57">
        <f t="shared" ref="S38:AF38" si="30">SUM(S13:S18)</f>
        <v>77.428571428571445</v>
      </c>
      <c r="T38" s="57">
        <f t="shared" si="30"/>
        <v>9.7142857142857153</v>
      </c>
      <c r="U38" s="57">
        <f t="shared" si="30"/>
        <v>9.1428571428571423</v>
      </c>
      <c r="V38" s="57">
        <f t="shared" si="30"/>
        <v>43.142857142857139</v>
      </c>
      <c r="W38" s="57">
        <f t="shared" si="30"/>
        <v>1.5714285714285712</v>
      </c>
      <c r="X38" s="57">
        <f t="shared" si="30"/>
        <v>0.42857142857142855</v>
      </c>
      <c r="Y38" s="57">
        <f t="shared" si="30"/>
        <v>30.714285714285715</v>
      </c>
      <c r="Z38" s="57">
        <f t="shared" si="30"/>
        <v>12.714285714285715</v>
      </c>
      <c r="AA38" s="57">
        <f t="shared" si="30"/>
        <v>5.8571428571428568</v>
      </c>
      <c r="AB38" s="57">
        <f t="shared" si="30"/>
        <v>0</v>
      </c>
      <c r="AC38" s="57">
        <f t="shared" si="30"/>
        <v>831.00000000000011</v>
      </c>
      <c r="AD38" s="57">
        <f t="shared" si="30"/>
        <v>0</v>
      </c>
      <c r="AE38" s="58">
        <f t="shared" si="30"/>
        <v>190.71428571428572</v>
      </c>
      <c r="AF38" s="58">
        <f t="shared" si="30"/>
        <v>1021.7142857142858</v>
      </c>
    </row>
    <row r="39" spans="2:32" ht="23.1" customHeight="1" x14ac:dyDescent="0.25">
      <c r="B39" s="24" t="s">
        <v>66</v>
      </c>
      <c r="C39" s="49">
        <f>AVERAGE('23.09.19-Kitemu-Buddo'!C39,'24.09 Kitemu-Buddo'!C39,'25.09 Kitemu-Buddo'!C39,'27.09 Kitemu-Buddo'!C39,'26.09 Kitemu-Buddo-24 HRS'!C39,'28.09 Kitemu-Buddo-24HRS'!C39,'29.0 Kitemu-Buddo'!C39)</f>
        <v>2.5714285714285716</v>
      </c>
      <c r="D39" s="49">
        <f>AVERAGE('23.09.19-Kitemu-Buddo'!D39,'24.09 Kitemu-Buddo'!D39,'25.09 Kitemu-Buddo'!D39,'27.09 Kitemu-Buddo'!D39,'26.09 Kitemu-Buddo-24 HRS'!D39,'28.09 Kitemu-Buddo-24HRS'!D39,'29.0 Kitemu-Buddo'!D39)</f>
        <v>0.2857142857142857</v>
      </c>
      <c r="E39" s="49">
        <f>AVERAGE('23.09.19-Kitemu-Buddo'!E39,'24.09 Kitemu-Buddo'!E39,'25.09 Kitemu-Buddo'!E39,'27.09 Kitemu-Buddo'!E39,'26.09 Kitemu-Buddo-24 HRS'!E39,'28.09 Kitemu-Buddo-24HRS'!E39,'29.0 Kitemu-Buddo'!E39)</f>
        <v>0.42857142857142855</v>
      </c>
      <c r="F39" s="49">
        <f>AVERAGE('23.09.19-Kitemu-Buddo'!F39,'24.09 Kitemu-Buddo'!F39,'25.09 Kitemu-Buddo'!F39,'27.09 Kitemu-Buddo'!F39,'26.09 Kitemu-Buddo-24 HRS'!F39,'28.09 Kitemu-Buddo-24HRS'!F39,'29.0 Kitemu-Buddo'!F39)</f>
        <v>2.8571428571428572</v>
      </c>
      <c r="G39" s="49">
        <f>AVERAGE('23.09.19-Kitemu-Buddo'!G39,'24.09 Kitemu-Buddo'!G39,'25.09 Kitemu-Buddo'!G39,'27.09 Kitemu-Buddo'!G39,'26.09 Kitemu-Buddo-24 HRS'!G39,'28.09 Kitemu-Buddo-24HRS'!G39,'29.0 Kitemu-Buddo'!G39)</f>
        <v>0</v>
      </c>
      <c r="H39" s="49">
        <f>AVERAGE('23.09.19-Kitemu-Buddo'!H39,'24.09 Kitemu-Buddo'!H39,'25.09 Kitemu-Buddo'!H39,'27.09 Kitemu-Buddo'!H39,'26.09 Kitemu-Buddo-24 HRS'!H39,'28.09 Kitemu-Buddo-24HRS'!H39,'29.0 Kitemu-Buddo'!H39)</f>
        <v>0</v>
      </c>
      <c r="I39" s="49">
        <f>AVERAGE('23.09.19-Kitemu-Buddo'!I39,'24.09 Kitemu-Buddo'!I39,'25.09 Kitemu-Buddo'!I39,'27.09 Kitemu-Buddo'!I39,'26.09 Kitemu-Buddo-24 HRS'!I39,'28.09 Kitemu-Buddo-24HRS'!I39,'29.0 Kitemu-Buddo'!I39)</f>
        <v>0.8571428571428571</v>
      </c>
      <c r="J39" s="49">
        <f>AVERAGE('23.09.19-Kitemu-Buddo'!J39,'24.09 Kitemu-Buddo'!J39,'25.09 Kitemu-Buddo'!J39,'27.09 Kitemu-Buddo'!J39,'26.09 Kitemu-Buddo-24 HRS'!J39,'28.09 Kitemu-Buddo-24HRS'!J39,'29.0 Kitemu-Buddo'!J39)</f>
        <v>0.5714285714285714</v>
      </c>
      <c r="K39" s="49">
        <f>AVERAGE('23.09.19-Kitemu-Buddo'!K39,'24.09 Kitemu-Buddo'!K39,'25.09 Kitemu-Buddo'!K39,'27.09 Kitemu-Buddo'!K39,'26.09 Kitemu-Buddo-24 HRS'!K39,'28.09 Kitemu-Buddo-24HRS'!K39,'29.0 Kitemu-Buddo'!K39)</f>
        <v>0.14285714285714285</v>
      </c>
      <c r="L39" s="49">
        <f>AVERAGE('23.09.19-Kitemu-Buddo'!L39,'24.09 Kitemu-Buddo'!L39,'25.09 Kitemu-Buddo'!L39,'27.09 Kitemu-Buddo'!L39,'26.09 Kitemu-Buddo-24 HRS'!L39,'28.09 Kitemu-Buddo-24HRS'!L39,'29.0 Kitemu-Buddo'!L39)</f>
        <v>0</v>
      </c>
      <c r="M39" s="49">
        <f>AVERAGE('23.09.19-Kitemu-Buddo'!M39,'24.09 Kitemu-Buddo'!M39,'25.09 Kitemu-Buddo'!M39,'27.09 Kitemu-Buddo'!M39,'26.09 Kitemu-Buddo-24 HRS'!M39,'28.09 Kitemu-Buddo-24HRS'!M39,'29.0 Kitemu-Buddo'!M39)</f>
        <v>34.571428571428569</v>
      </c>
      <c r="N39" s="49">
        <f>AVERAGE('23.09.19-Kitemu-Buddo'!N39,'24.09 Kitemu-Buddo'!N39,'25.09 Kitemu-Buddo'!N39,'27.09 Kitemu-Buddo'!N39,'26.09 Kitemu-Buddo-24 HRS'!N39,'28.09 Kitemu-Buddo-24HRS'!N39,'29.0 Kitemu-Buddo'!N39)</f>
        <v>0</v>
      </c>
      <c r="O39" s="15">
        <f t="shared" si="0"/>
        <v>7.7142857142857135</v>
      </c>
      <c r="P39" s="15">
        <f t="shared" si="1"/>
        <v>42.285714285714285</v>
      </c>
      <c r="R39" s="29" t="s">
        <v>87</v>
      </c>
      <c r="S39" s="57">
        <f t="shared" ref="S39:AF39" si="31">SUM(S19:S21)</f>
        <v>44.571428571428569</v>
      </c>
      <c r="T39" s="57">
        <f t="shared" si="31"/>
        <v>8.1428571428571423</v>
      </c>
      <c r="U39" s="57">
        <f t="shared" si="31"/>
        <v>5.2857142857142865</v>
      </c>
      <c r="V39" s="57">
        <f t="shared" si="31"/>
        <v>30.857142857142858</v>
      </c>
      <c r="W39" s="57">
        <f t="shared" si="31"/>
        <v>4.4285714285714288</v>
      </c>
      <c r="X39" s="57">
        <f t="shared" si="31"/>
        <v>0.14285714285714285</v>
      </c>
      <c r="Y39" s="57">
        <f t="shared" si="31"/>
        <v>16.285714285714285</v>
      </c>
      <c r="Z39" s="57">
        <f t="shared" si="31"/>
        <v>4.4285714285714288</v>
      </c>
      <c r="AA39" s="57">
        <f t="shared" si="31"/>
        <v>1.7142857142857142</v>
      </c>
      <c r="AB39" s="57">
        <f t="shared" si="31"/>
        <v>0</v>
      </c>
      <c r="AC39" s="57">
        <f t="shared" si="31"/>
        <v>413.00000000000006</v>
      </c>
      <c r="AD39" s="57">
        <f t="shared" si="31"/>
        <v>0</v>
      </c>
      <c r="AE39" s="58">
        <f t="shared" si="31"/>
        <v>115.85714285714286</v>
      </c>
      <c r="AF39" s="58">
        <f t="shared" si="31"/>
        <v>528.85714285714289</v>
      </c>
    </row>
    <row r="40" spans="2:32" ht="23.1" customHeight="1" x14ac:dyDescent="0.25">
      <c r="B40" s="24" t="s">
        <v>67</v>
      </c>
      <c r="C40" s="49">
        <f>AVERAGE('23.09.19-Kitemu-Buddo'!C40,'24.09 Kitemu-Buddo'!C40,'25.09 Kitemu-Buddo'!C40,'27.09 Kitemu-Buddo'!C40,'26.09 Kitemu-Buddo-24 HRS'!C40,'28.09 Kitemu-Buddo-24HRS'!C40,'29.0 Kitemu-Buddo'!C40)</f>
        <v>3.4285714285714284</v>
      </c>
      <c r="D40" s="49">
        <f>AVERAGE('23.09.19-Kitemu-Buddo'!D40,'24.09 Kitemu-Buddo'!D40,'25.09 Kitemu-Buddo'!D40,'27.09 Kitemu-Buddo'!D40,'26.09 Kitemu-Buddo-24 HRS'!D40,'28.09 Kitemu-Buddo-24HRS'!D40,'29.0 Kitemu-Buddo'!D40)</f>
        <v>0</v>
      </c>
      <c r="E40" s="49">
        <f>AVERAGE('23.09.19-Kitemu-Buddo'!E40,'24.09 Kitemu-Buddo'!E40,'25.09 Kitemu-Buddo'!E40,'27.09 Kitemu-Buddo'!E40,'26.09 Kitemu-Buddo-24 HRS'!E40,'28.09 Kitemu-Buddo-24HRS'!E40,'29.0 Kitemu-Buddo'!E40)</f>
        <v>0.2857142857142857</v>
      </c>
      <c r="F40" s="49">
        <f>AVERAGE('23.09.19-Kitemu-Buddo'!F40,'24.09 Kitemu-Buddo'!F40,'25.09 Kitemu-Buddo'!F40,'27.09 Kitemu-Buddo'!F40,'26.09 Kitemu-Buddo-24 HRS'!F40,'28.09 Kitemu-Buddo-24HRS'!F40,'29.0 Kitemu-Buddo'!F40)</f>
        <v>1.4285714285714286</v>
      </c>
      <c r="G40" s="49">
        <f>AVERAGE('23.09.19-Kitemu-Buddo'!G40,'24.09 Kitemu-Buddo'!G40,'25.09 Kitemu-Buddo'!G40,'27.09 Kitemu-Buddo'!G40,'26.09 Kitemu-Buddo-24 HRS'!G40,'28.09 Kitemu-Buddo-24HRS'!G40,'29.0 Kitemu-Buddo'!G40)</f>
        <v>0</v>
      </c>
      <c r="H40" s="49">
        <f>AVERAGE('23.09.19-Kitemu-Buddo'!H40,'24.09 Kitemu-Buddo'!H40,'25.09 Kitemu-Buddo'!H40,'27.09 Kitemu-Buddo'!H40,'26.09 Kitemu-Buddo-24 HRS'!H40,'28.09 Kitemu-Buddo-24HRS'!H40,'29.0 Kitemu-Buddo'!H40)</f>
        <v>0</v>
      </c>
      <c r="I40" s="49">
        <f>AVERAGE('23.09.19-Kitemu-Buddo'!I40,'24.09 Kitemu-Buddo'!I40,'25.09 Kitemu-Buddo'!I40,'27.09 Kitemu-Buddo'!I40,'26.09 Kitemu-Buddo-24 HRS'!I40,'28.09 Kitemu-Buddo-24HRS'!I40,'29.0 Kitemu-Buddo'!I40)</f>
        <v>1</v>
      </c>
      <c r="J40" s="49">
        <f>AVERAGE('23.09.19-Kitemu-Buddo'!J40,'24.09 Kitemu-Buddo'!J40,'25.09 Kitemu-Buddo'!J40,'27.09 Kitemu-Buddo'!J40,'26.09 Kitemu-Buddo-24 HRS'!J40,'28.09 Kitemu-Buddo-24HRS'!J40,'29.0 Kitemu-Buddo'!J40)</f>
        <v>0.14285714285714285</v>
      </c>
      <c r="K40" s="49">
        <f>AVERAGE('23.09.19-Kitemu-Buddo'!K40,'24.09 Kitemu-Buddo'!K40,'25.09 Kitemu-Buddo'!K40,'27.09 Kitemu-Buddo'!K40,'26.09 Kitemu-Buddo-24 HRS'!K40,'28.09 Kitemu-Buddo-24HRS'!K40,'29.0 Kitemu-Buddo'!K40)</f>
        <v>0</v>
      </c>
      <c r="L40" s="49">
        <f>AVERAGE('23.09.19-Kitemu-Buddo'!L40,'24.09 Kitemu-Buddo'!L40,'25.09 Kitemu-Buddo'!L40,'27.09 Kitemu-Buddo'!L40,'26.09 Kitemu-Buddo-24 HRS'!L40,'28.09 Kitemu-Buddo-24HRS'!L40,'29.0 Kitemu-Buddo'!L40)</f>
        <v>0</v>
      </c>
      <c r="M40" s="49">
        <f>AVERAGE('23.09.19-Kitemu-Buddo'!M40,'24.09 Kitemu-Buddo'!M40,'25.09 Kitemu-Buddo'!M40,'27.09 Kitemu-Buddo'!M40,'26.09 Kitemu-Buddo-24 HRS'!M40,'28.09 Kitemu-Buddo-24HRS'!M40,'29.0 Kitemu-Buddo'!M40)</f>
        <v>34.714285714285715</v>
      </c>
      <c r="N40" s="49">
        <f>AVERAGE('23.09.19-Kitemu-Buddo'!N40,'24.09 Kitemu-Buddo'!N40,'25.09 Kitemu-Buddo'!N40,'27.09 Kitemu-Buddo'!N40,'26.09 Kitemu-Buddo-24 HRS'!N40,'28.09 Kitemu-Buddo-24HRS'!N40,'29.0 Kitemu-Buddo'!N40)</f>
        <v>0</v>
      </c>
      <c r="O40" s="15">
        <f t="shared" si="0"/>
        <v>6.2857142857142856</v>
      </c>
      <c r="P40" s="15">
        <f t="shared" si="1"/>
        <v>41</v>
      </c>
      <c r="R40" s="5" t="s">
        <v>17</v>
      </c>
      <c r="S40" s="57">
        <f t="shared" ref="S40:AF40" si="32">SUM(S10:S21)</f>
        <v>152.57142857142858</v>
      </c>
      <c r="T40" s="57">
        <f t="shared" si="32"/>
        <v>23.714285714285715</v>
      </c>
      <c r="U40" s="57">
        <f t="shared" si="32"/>
        <v>18.428571428571427</v>
      </c>
      <c r="V40" s="57">
        <f t="shared" si="32"/>
        <v>96.571428571428584</v>
      </c>
      <c r="W40" s="57">
        <f t="shared" si="32"/>
        <v>7.7142857142857135</v>
      </c>
      <c r="X40" s="57">
        <f t="shared" si="32"/>
        <v>1</v>
      </c>
      <c r="Y40" s="57">
        <f t="shared" si="32"/>
        <v>58.857142857142854</v>
      </c>
      <c r="Z40" s="57">
        <f t="shared" si="32"/>
        <v>24.285714285714288</v>
      </c>
      <c r="AA40" s="57">
        <f t="shared" si="32"/>
        <v>9.2857142857142847</v>
      </c>
      <c r="AB40" s="57">
        <f t="shared" si="32"/>
        <v>0</v>
      </c>
      <c r="AC40" s="57">
        <f t="shared" si="32"/>
        <v>1769</v>
      </c>
      <c r="AD40" s="57">
        <f t="shared" si="32"/>
        <v>0</v>
      </c>
      <c r="AE40" s="58">
        <f t="shared" si="32"/>
        <v>392.42857142857144</v>
      </c>
      <c r="AF40" s="58">
        <f t="shared" si="32"/>
        <v>2161.4285714285716</v>
      </c>
    </row>
    <row r="41" spans="2:32" ht="23.1" customHeight="1" x14ac:dyDescent="0.25">
      <c r="B41" s="23" t="s">
        <v>68</v>
      </c>
      <c r="C41" s="49">
        <f>AVERAGE('23.09.19-Kitemu-Buddo'!C41,'24.09 Kitemu-Buddo'!C41,'25.09 Kitemu-Buddo'!C41,'27.09 Kitemu-Buddo'!C41,'26.09 Kitemu-Buddo-24 HRS'!C41,'28.09 Kitemu-Buddo-24HRS'!C41,'29.0 Kitemu-Buddo'!C41)</f>
        <v>3</v>
      </c>
      <c r="D41" s="49">
        <f>AVERAGE('23.09.19-Kitemu-Buddo'!D41,'24.09 Kitemu-Buddo'!D41,'25.09 Kitemu-Buddo'!D41,'27.09 Kitemu-Buddo'!D41,'26.09 Kitemu-Buddo-24 HRS'!D41,'28.09 Kitemu-Buddo-24HRS'!D41,'29.0 Kitemu-Buddo'!D41)</f>
        <v>0.42857142857142855</v>
      </c>
      <c r="E41" s="49">
        <f>AVERAGE('23.09.19-Kitemu-Buddo'!E41,'24.09 Kitemu-Buddo'!E41,'25.09 Kitemu-Buddo'!E41,'27.09 Kitemu-Buddo'!E41,'26.09 Kitemu-Buddo-24 HRS'!E41,'28.09 Kitemu-Buddo-24HRS'!E41,'29.0 Kitemu-Buddo'!E41)</f>
        <v>0.14285714285714285</v>
      </c>
      <c r="F41" s="49">
        <f>AVERAGE('23.09.19-Kitemu-Buddo'!F41,'24.09 Kitemu-Buddo'!F41,'25.09 Kitemu-Buddo'!F41,'27.09 Kitemu-Buddo'!F41,'26.09 Kitemu-Buddo-24 HRS'!F41,'28.09 Kitemu-Buddo-24HRS'!F41,'29.0 Kitemu-Buddo'!F41)</f>
        <v>2.1428571428571428</v>
      </c>
      <c r="G41" s="49">
        <f>AVERAGE('23.09.19-Kitemu-Buddo'!G41,'24.09 Kitemu-Buddo'!G41,'25.09 Kitemu-Buddo'!G41,'27.09 Kitemu-Buddo'!G41,'26.09 Kitemu-Buddo-24 HRS'!G41,'28.09 Kitemu-Buddo-24HRS'!G41,'29.0 Kitemu-Buddo'!G41)</f>
        <v>0</v>
      </c>
      <c r="H41" s="49">
        <f>AVERAGE('23.09.19-Kitemu-Buddo'!H41,'24.09 Kitemu-Buddo'!H41,'25.09 Kitemu-Buddo'!H41,'27.09 Kitemu-Buddo'!H41,'26.09 Kitemu-Buddo-24 HRS'!H41,'28.09 Kitemu-Buddo-24HRS'!H41,'29.0 Kitemu-Buddo'!H41)</f>
        <v>0</v>
      </c>
      <c r="I41" s="49">
        <f>AVERAGE('23.09.19-Kitemu-Buddo'!I41,'24.09 Kitemu-Buddo'!I41,'25.09 Kitemu-Buddo'!I41,'27.09 Kitemu-Buddo'!I41,'26.09 Kitemu-Buddo-24 HRS'!I41,'28.09 Kitemu-Buddo-24HRS'!I41,'29.0 Kitemu-Buddo'!I41)</f>
        <v>1.5714285714285714</v>
      </c>
      <c r="J41" s="49">
        <f>AVERAGE('23.09.19-Kitemu-Buddo'!J41,'24.09 Kitemu-Buddo'!J41,'25.09 Kitemu-Buddo'!J41,'27.09 Kitemu-Buddo'!J41,'26.09 Kitemu-Buddo-24 HRS'!J41,'28.09 Kitemu-Buddo-24HRS'!J41,'29.0 Kitemu-Buddo'!J41)</f>
        <v>0.7142857142857143</v>
      </c>
      <c r="K41" s="49">
        <f>AVERAGE('23.09.19-Kitemu-Buddo'!K41,'24.09 Kitemu-Buddo'!K41,'25.09 Kitemu-Buddo'!K41,'27.09 Kitemu-Buddo'!K41,'26.09 Kitemu-Buddo-24 HRS'!K41,'28.09 Kitemu-Buddo-24HRS'!K41,'29.0 Kitemu-Buddo'!K41)</f>
        <v>0.5714285714285714</v>
      </c>
      <c r="L41" s="49">
        <f>AVERAGE('23.09.19-Kitemu-Buddo'!L41,'24.09 Kitemu-Buddo'!L41,'25.09 Kitemu-Buddo'!L41,'27.09 Kitemu-Buddo'!L41,'26.09 Kitemu-Buddo-24 HRS'!L41,'28.09 Kitemu-Buddo-24HRS'!L41,'29.0 Kitemu-Buddo'!L41)</f>
        <v>0</v>
      </c>
      <c r="M41" s="49">
        <f>AVERAGE('23.09.19-Kitemu-Buddo'!M41,'24.09 Kitemu-Buddo'!M41,'25.09 Kitemu-Buddo'!M41,'27.09 Kitemu-Buddo'!M41,'26.09 Kitemu-Buddo-24 HRS'!M41,'28.09 Kitemu-Buddo-24HRS'!M41,'29.0 Kitemu-Buddo'!M41)</f>
        <v>30.714285714285715</v>
      </c>
      <c r="N41" s="49">
        <f>AVERAGE('23.09.19-Kitemu-Buddo'!N41,'24.09 Kitemu-Buddo'!N41,'25.09 Kitemu-Buddo'!N41,'27.09 Kitemu-Buddo'!N41,'26.09 Kitemu-Buddo-24 HRS'!N41,'28.09 Kitemu-Buddo-24HRS'!N41,'29.0 Kitemu-Buddo'!N41)</f>
        <v>0</v>
      </c>
      <c r="O41" s="15">
        <f t="shared" si="0"/>
        <v>8.5714285714285712</v>
      </c>
      <c r="P41" s="15">
        <f t="shared" si="1"/>
        <v>39.285714285714285</v>
      </c>
      <c r="R41" s="5" t="s">
        <v>178</v>
      </c>
      <c r="S41" s="57">
        <f>SUM(S10:S33)</f>
        <v>282.07142857142856</v>
      </c>
      <c r="T41" s="57">
        <f t="shared" ref="T41:AD41" si="33">SUM(T10:T33)</f>
        <v>46.714285714285715</v>
      </c>
      <c r="U41" s="57">
        <f t="shared" si="33"/>
        <v>39.928571428571431</v>
      </c>
      <c r="V41" s="57">
        <f t="shared" si="33"/>
        <v>198.07142857142858</v>
      </c>
      <c r="W41" s="57">
        <f t="shared" si="33"/>
        <v>9.2142857142857135</v>
      </c>
      <c r="X41" s="57">
        <f t="shared" si="33"/>
        <v>1</v>
      </c>
      <c r="Y41" s="57">
        <f t="shared" si="33"/>
        <v>98.357142857142861</v>
      </c>
      <c r="Z41" s="57">
        <f t="shared" si="33"/>
        <v>44.285714285714292</v>
      </c>
      <c r="AA41" s="57">
        <f t="shared" si="33"/>
        <v>12.785714285714285</v>
      </c>
      <c r="AB41" s="57">
        <f t="shared" si="33"/>
        <v>0.5</v>
      </c>
      <c r="AC41" s="57">
        <f t="shared" si="33"/>
        <v>3252.5</v>
      </c>
      <c r="AD41" s="57">
        <f t="shared" si="33"/>
        <v>0</v>
      </c>
      <c r="AE41" s="58">
        <f>SUM(AE10:AE33)</f>
        <v>732.92857142857144</v>
      </c>
      <c r="AF41" s="58">
        <f>SUM(AF10:AF33)</f>
        <v>3985.4285714285716</v>
      </c>
    </row>
    <row r="42" spans="2:32" ht="23.1" customHeight="1" x14ac:dyDescent="0.25">
      <c r="B42" s="24" t="s">
        <v>69</v>
      </c>
      <c r="C42" s="49">
        <f>AVERAGE('23.09.19-Kitemu-Buddo'!C42,'24.09 Kitemu-Buddo'!C42,'25.09 Kitemu-Buddo'!C42,'27.09 Kitemu-Buddo'!C42,'26.09 Kitemu-Buddo-24 HRS'!C42,'28.09 Kitemu-Buddo-24HRS'!C42,'29.0 Kitemu-Buddo'!C42)</f>
        <v>3.4285714285714284</v>
      </c>
      <c r="D42" s="49">
        <f>AVERAGE('23.09.19-Kitemu-Buddo'!D42,'24.09 Kitemu-Buddo'!D42,'25.09 Kitemu-Buddo'!D42,'27.09 Kitemu-Buddo'!D42,'26.09 Kitemu-Buddo-24 HRS'!D42,'28.09 Kitemu-Buddo-24HRS'!D42,'29.0 Kitemu-Buddo'!D42)</f>
        <v>0.14285714285714285</v>
      </c>
      <c r="E42" s="49">
        <f>AVERAGE('23.09.19-Kitemu-Buddo'!E42,'24.09 Kitemu-Buddo'!E42,'25.09 Kitemu-Buddo'!E42,'27.09 Kitemu-Buddo'!E42,'26.09 Kitemu-Buddo-24 HRS'!E42,'28.09 Kitemu-Buddo-24HRS'!E42,'29.0 Kitemu-Buddo'!E42)</f>
        <v>0.42857142857142855</v>
      </c>
      <c r="F42" s="49">
        <f>AVERAGE('23.09.19-Kitemu-Buddo'!F42,'24.09 Kitemu-Buddo'!F42,'25.09 Kitemu-Buddo'!F42,'27.09 Kitemu-Buddo'!F42,'26.09 Kitemu-Buddo-24 HRS'!F42,'28.09 Kitemu-Buddo-24HRS'!F42,'29.0 Kitemu-Buddo'!F42)</f>
        <v>2</v>
      </c>
      <c r="G42" s="49">
        <f>AVERAGE('23.09.19-Kitemu-Buddo'!G42,'24.09 Kitemu-Buddo'!G42,'25.09 Kitemu-Buddo'!G42,'27.09 Kitemu-Buddo'!G42,'26.09 Kitemu-Buddo-24 HRS'!G42,'28.09 Kitemu-Buddo-24HRS'!G42,'29.0 Kitemu-Buddo'!G42)</f>
        <v>0</v>
      </c>
      <c r="H42" s="49">
        <f>AVERAGE('23.09.19-Kitemu-Buddo'!H42,'24.09 Kitemu-Buddo'!H42,'25.09 Kitemu-Buddo'!H42,'27.09 Kitemu-Buddo'!H42,'26.09 Kitemu-Buddo-24 HRS'!H42,'28.09 Kitemu-Buddo-24HRS'!H42,'29.0 Kitemu-Buddo'!H42)</f>
        <v>0</v>
      </c>
      <c r="I42" s="49">
        <f>AVERAGE('23.09.19-Kitemu-Buddo'!I42,'24.09 Kitemu-Buddo'!I42,'25.09 Kitemu-Buddo'!I42,'27.09 Kitemu-Buddo'!I42,'26.09 Kitemu-Buddo-24 HRS'!I42,'28.09 Kitemu-Buddo-24HRS'!I42,'29.0 Kitemu-Buddo'!I42)</f>
        <v>1</v>
      </c>
      <c r="J42" s="49">
        <f>AVERAGE('23.09.19-Kitemu-Buddo'!J42,'24.09 Kitemu-Buddo'!J42,'25.09 Kitemu-Buddo'!J42,'27.09 Kitemu-Buddo'!J42,'26.09 Kitemu-Buddo-24 HRS'!J42,'28.09 Kitemu-Buddo-24HRS'!J42,'29.0 Kitemu-Buddo'!J42)</f>
        <v>0.42857142857142855</v>
      </c>
      <c r="K42" s="49">
        <f>AVERAGE('23.09.19-Kitemu-Buddo'!K42,'24.09 Kitemu-Buddo'!K42,'25.09 Kitemu-Buddo'!K42,'27.09 Kitemu-Buddo'!K42,'26.09 Kitemu-Buddo-24 HRS'!K42,'28.09 Kitemu-Buddo-24HRS'!K42,'29.0 Kitemu-Buddo'!K42)</f>
        <v>0.2857142857142857</v>
      </c>
      <c r="L42" s="49">
        <f>AVERAGE('23.09.19-Kitemu-Buddo'!L42,'24.09 Kitemu-Buddo'!L42,'25.09 Kitemu-Buddo'!L42,'27.09 Kitemu-Buddo'!L42,'26.09 Kitemu-Buddo-24 HRS'!L42,'28.09 Kitemu-Buddo-24HRS'!L42,'29.0 Kitemu-Buddo'!L42)</f>
        <v>0</v>
      </c>
      <c r="M42" s="49">
        <f>AVERAGE('23.09.19-Kitemu-Buddo'!M42,'24.09 Kitemu-Buddo'!M42,'25.09 Kitemu-Buddo'!M42,'27.09 Kitemu-Buddo'!M42,'26.09 Kitemu-Buddo-24 HRS'!M42,'28.09 Kitemu-Buddo-24HRS'!M42,'29.0 Kitemu-Buddo'!M42)</f>
        <v>33.857142857142854</v>
      </c>
      <c r="N42" s="49">
        <f>AVERAGE('23.09.19-Kitemu-Buddo'!N42,'24.09 Kitemu-Buddo'!N42,'25.09 Kitemu-Buddo'!N42,'27.09 Kitemu-Buddo'!N42,'26.09 Kitemu-Buddo-24 HRS'!N42,'28.09 Kitemu-Buddo-24HRS'!N42,'29.0 Kitemu-Buddo'!N42)</f>
        <v>0</v>
      </c>
      <c r="O42" s="15">
        <f t="shared" si="0"/>
        <v>7.7142857142857144</v>
      </c>
      <c r="P42" s="15">
        <f t="shared" si="1"/>
        <v>41.571428571428569</v>
      </c>
      <c r="R42" s="5" t="s">
        <v>160</v>
      </c>
      <c r="S42" s="48">
        <f>S41/S40</f>
        <v>1.8487827715355802</v>
      </c>
      <c r="T42" s="48">
        <f t="shared" ref="T42:AF42" si="34">T41/T40</f>
        <v>1.9698795180722892</v>
      </c>
      <c r="U42" s="48">
        <f t="shared" si="34"/>
        <v>2.166666666666667</v>
      </c>
      <c r="V42" s="48">
        <f t="shared" si="34"/>
        <v>2.0510355029585798</v>
      </c>
      <c r="W42" s="48">
        <f t="shared" si="34"/>
        <v>1.1944444444444444</v>
      </c>
      <c r="X42" s="48">
        <f t="shared" si="34"/>
        <v>1</v>
      </c>
      <c r="Y42" s="48">
        <f t="shared" si="34"/>
        <v>1.671116504854369</v>
      </c>
      <c r="Z42" s="48">
        <f t="shared" si="34"/>
        <v>1.8235294117647058</v>
      </c>
      <c r="AA42" s="48">
        <f t="shared" si="34"/>
        <v>1.3769230769230769</v>
      </c>
      <c r="AB42" s="48" t="e">
        <f t="shared" si="34"/>
        <v>#DIV/0!</v>
      </c>
      <c r="AC42" s="48">
        <f t="shared" si="34"/>
        <v>1.8386093838326738</v>
      </c>
      <c r="AD42" s="48" t="e">
        <f t="shared" si="34"/>
        <v>#DIV/0!</v>
      </c>
      <c r="AE42" s="59">
        <f t="shared" si="34"/>
        <v>1.8676738259919912</v>
      </c>
      <c r="AF42" s="59">
        <f t="shared" si="34"/>
        <v>1.8438863185723726</v>
      </c>
    </row>
    <row r="43" spans="2:32" ht="23.1" customHeight="1" x14ac:dyDescent="0.25">
      <c r="B43" s="23" t="s">
        <v>70</v>
      </c>
      <c r="C43" s="49">
        <f>AVERAGE('23.09.19-Kitemu-Buddo'!C43,'24.09 Kitemu-Buddo'!C43,'25.09 Kitemu-Buddo'!C43,'27.09 Kitemu-Buddo'!C43,'26.09 Kitemu-Buddo-24 HRS'!C43,'28.09 Kitemu-Buddo-24HRS'!C43,'29.0 Kitemu-Buddo'!C43)</f>
        <v>2.4285714285714284</v>
      </c>
      <c r="D43" s="49">
        <f>AVERAGE('23.09.19-Kitemu-Buddo'!D43,'24.09 Kitemu-Buddo'!D43,'25.09 Kitemu-Buddo'!D43,'27.09 Kitemu-Buddo'!D43,'26.09 Kitemu-Buddo-24 HRS'!D43,'28.09 Kitemu-Buddo-24HRS'!D43,'29.0 Kitemu-Buddo'!D43)</f>
        <v>0.2857142857142857</v>
      </c>
      <c r="E43" s="49">
        <f>AVERAGE('23.09.19-Kitemu-Buddo'!E43,'24.09 Kitemu-Buddo'!E43,'25.09 Kitemu-Buddo'!E43,'27.09 Kitemu-Buddo'!E43,'26.09 Kitemu-Buddo-24 HRS'!E43,'28.09 Kitemu-Buddo-24HRS'!E43,'29.0 Kitemu-Buddo'!E43)</f>
        <v>0.2857142857142857</v>
      </c>
      <c r="F43" s="49">
        <f>AVERAGE('23.09.19-Kitemu-Buddo'!F43,'24.09 Kitemu-Buddo'!F43,'25.09 Kitemu-Buddo'!F43,'27.09 Kitemu-Buddo'!F43,'26.09 Kitemu-Buddo-24 HRS'!F43,'28.09 Kitemu-Buddo-24HRS'!F43,'29.0 Kitemu-Buddo'!F43)</f>
        <v>1.5714285714285714</v>
      </c>
      <c r="G43" s="49">
        <f>AVERAGE('23.09.19-Kitemu-Buddo'!G43,'24.09 Kitemu-Buddo'!G43,'25.09 Kitemu-Buddo'!G43,'27.09 Kitemu-Buddo'!G43,'26.09 Kitemu-Buddo-24 HRS'!G43,'28.09 Kitemu-Buddo-24HRS'!G43,'29.0 Kitemu-Buddo'!G43)</f>
        <v>0</v>
      </c>
      <c r="H43" s="49">
        <f>AVERAGE('23.09.19-Kitemu-Buddo'!H43,'24.09 Kitemu-Buddo'!H43,'25.09 Kitemu-Buddo'!H43,'27.09 Kitemu-Buddo'!H43,'26.09 Kitemu-Buddo-24 HRS'!H43,'28.09 Kitemu-Buddo-24HRS'!H43,'29.0 Kitemu-Buddo'!H43)</f>
        <v>0.14285714285714285</v>
      </c>
      <c r="I43" s="49">
        <f>AVERAGE('23.09.19-Kitemu-Buddo'!I43,'24.09 Kitemu-Buddo'!I43,'25.09 Kitemu-Buddo'!I43,'27.09 Kitemu-Buddo'!I43,'26.09 Kitemu-Buddo-24 HRS'!I43,'28.09 Kitemu-Buddo-24HRS'!I43,'29.0 Kitemu-Buddo'!I43)</f>
        <v>0.8571428571428571</v>
      </c>
      <c r="J43" s="49">
        <f>AVERAGE('23.09.19-Kitemu-Buddo'!J43,'24.09 Kitemu-Buddo'!J43,'25.09 Kitemu-Buddo'!J43,'27.09 Kitemu-Buddo'!J43,'26.09 Kitemu-Buddo-24 HRS'!J43,'28.09 Kitemu-Buddo-24HRS'!J43,'29.0 Kitemu-Buddo'!J43)</f>
        <v>0.7142857142857143</v>
      </c>
      <c r="K43" s="49">
        <f>AVERAGE('23.09.19-Kitemu-Buddo'!K43,'24.09 Kitemu-Buddo'!K43,'25.09 Kitemu-Buddo'!K43,'27.09 Kitemu-Buddo'!K43,'26.09 Kitemu-Buddo-24 HRS'!K43,'28.09 Kitemu-Buddo-24HRS'!K43,'29.0 Kitemu-Buddo'!K43)</f>
        <v>0.42857142857142855</v>
      </c>
      <c r="L43" s="49">
        <f>AVERAGE('23.09.19-Kitemu-Buddo'!L43,'24.09 Kitemu-Buddo'!L43,'25.09 Kitemu-Buddo'!L43,'27.09 Kitemu-Buddo'!L43,'26.09 Kitemu-Buddo-24 HRS'!L43,'28.09 Kitemu-Buddo-24HRS'!L43,'29.0 Kitemu-Buddo'!L43)</f>
        <v>0</v>
      </c>
      <c r="M43" s="49">
        <f>AVERAGE('23.09.19-Kitemu-Buddo'!M43,'24.09 Kitemu-Buddo'!M43,'25.09 Kitemu-Buddo'!M43,'27.09 Kitemu-Buddo'!M43,'26.09 Kitemu-Buddo-24 HRS'!M43,'28.09 Kitemu-Buddo-24HRS'!M43,'29.0 Kitemu-Buddo'!M43)</f>
        <v>31</v>
      </c>
      <c r="N43" s="49">
        <f>AVERAGE('23.09.19-Kitemu-Buddo'!N43,'24.09 Kitemu-Buddo'!N43,'25.09 Kitemu-Buddo'!N43,'27.09 Kitemu-Buddo'!N43,'26.09 Kitemu-Buddo-24 HRS'!N43,'28.09 Kitemu-Buddo-24HRS'!N43,'29.0 Kitemu-Buddo'!N43)</f>
        <v>0</v>
      </c>
      <c r="O43" s="15">
        <f t="shared" si="0"/>
        <v>6.7142857142857144</v>
      </c>
      <c r="P43" s="15">
        <f t="shared" si="1"/>
        <v>37.714285714285715</v>
      </c>
    </row>
    <row r="44" spans="2:32" ht="23.1" customHeight="1" x14ac:dyDescent="0.25">
      <c r="B44" s="25" t="s">
        <v>71</v>
      </c>
      <c r="C44" s="49">
        <f>AVERAGE('23.09.19-Kitemu-Buddo'!C44,'24.09 Kitemu-Buddo'!C44,'25.09 Kitemu-Buddo'!C44,'27.09 Kitemu-Buddo'!C44,'26.09 Kitemu-Buddo-24 HRS'!C44,'28.09 Kitemu-Buddo-24HRS'!C44,'29.0 Kitemu-Buddo'!C44)</f>
        <v>3.1428571428571428</v>
      </c>
      <c r="D44" s="49">
        <f>AVERAGE('23.09.19-Kitemu-Buddo'!D44,'24.09 Kitemu-Buddo'!D44,'25.09 Kitemu-Buddo'!D44,'27.09 Kitemu-Buddo'!D44,'26.09 Kitemu-Buddo-24 HRS'!D44,'28.09 Kitemu-Buddo-24HRS'!D44,'29.0 Kitemu-Buddo'!D44)</f>
        <v>0.14285714285714285</v>
      </c>
      <c r="E44" s="49">
        <f>AVERAGE('23.09.19-Kitemu-Buddo'!E44,'24.09 Kitemu-Buddo'!E44,'25.09 Kitemu-Buddo'!E44,'27.09 Kitemu-Buddo'!E44,'26.09 Kitemu-Buddo-24 HRS'!E44,'28.09 Kitemu-Buddo-24HRS'!E44,'29.0 Kitemu-Buddo'!E44)</f>
        <v>0.2857142857142857</v>
      </c>
      <c r="F44" s="49">
        <f>AVERAGE('23.09.19-Kitemu-Buddo'!F44,'24.09 Kitemu-Buddo'!F44,'25.09 Kitemu-Buddo'!F44,'27.09 Kitemu-Buddo'!F44,'26.09 Kitemu-Buddo-24 HRS'!F44,'28.09 Kitemu-Buddo-24HRS'!F44,'29.0 Kitemu-Buddo'!F44)</f>
        <v>1.4285714285714286</v>
      </c>
      <c r="G44" s="49">
        <f>AVERAGE('23.09.19-Kitemu-Buddo'!G44,'24.09 Kitemu-Buddo'!G44,'25.09 Kitemu-Buddo'!G44,'27.09 Kitemu-Buddo'!G44,'26.09 Kitemu-Buddo-24 HRS'!G44,'28.09 Kitemu-Buddo-24HRS'!G44,'29.0 Kitemu-Buddo'!G44)</f>
        <v>0.42857142857142855</v>
      </c>
      <c r="H44" s="49">
        <f>AVERAGE('23.09.19-Kitemu-Buddo'!H44,'24.09 Kitemu-Buddo'!H44,'25.09 Kitemu-Buddo'!H44,'27.09 Kitemu-Buddo'!H44,'26.09 Kitemu-Buddo-24 HRS'!H44,'28.09 Kitemu-Buddo-24HRS'!H44,'29.0 Kitemu-Buddo'!H44)</f>
        <v>0.14285714285714285</v>
      </c>
      <c r="I44" s="49">
        <f>AVERAGE('23.09.19-Kitemu-Buddo'!I44,'24.09 Kitemu-Buddo'!I44,'25.09 Kitemu-Buddo'!I44,'27.09 Kitemu-Buddo'!I44,'26.09 Kitemu-Buddo-24 HRS'!I44,'28.09 Kitemu-Buddo-24HRS'!I44,'29.0 Kitemu-Buddo'!I44)</f>
        <v>1</v>
      </c>
      <c r="J44" s="49">
        <f>AVERAGE('23.09.19-Kitemu-Buddo'!J44,'24.09 Kitemu-Buddo'!J44,'25.09 Kitemu-Buddo'!J44,'27.09 Kitemu-Buddo'!J44,'26.09 Kitemu-Buddo-24 HRS'!J44,'28.09 Kitemu-Buddo-24HRS'!J44,'29.0 Kitemu-Buddo'!J44)</f>
        <v>1.1428571428571428</v>
      </c>
      <c r="K44" s="49">
        <f>AVERAGE('23.09.19-Kitemu-Buddo'!K44,'24.09 Kitemu-Buddo'!K44,'25.09 Kitemu-Buddo'!K44,'27.09 Kitemu-Buddo'!K44,'26.09 Kitemu-Buddo-24 HRS'!K44,'28.09 Kitemu-Buddo-24HRS'!K44,'29.0 Kitemu-Buddo'!K44)</f>
        <v>0.14285714285714285</v>
      </c>
      <c r="L44" s="49">
        <f>AVERAGE('23.09.19-Kitemu-Buddo'!L44,'24.09 Kitemu-Buddo'!L44,'25.09 Kitemu-Buddo'!L44,'27.09 Kitemu-Buddo'!L44,'26.09 Kitemu-Buddo-24 HRS'!L44,'28.09 Kitemu-Buddo-24HRS'!L44,'29.0 Kitemu-Buddo'!L44)</f>
        <v>0</v>
      </c>
      <c r="M44" s="49">
        <f>AVERAGE('23.09.19-Kitemu-Buddo'!M44,'24.09 Kitemu-Buddo'!M44,'25.09 Kitemu-Buddo'!M44,'27.09 Kitemu-Buddo'!M44,'26.09 Kitemu-Buddo-24 HRS'!M44,'28.09 Kitemu-Buddo-24HRS'!M44,'29.0 Kitemu-Buddo'!M44)</f>
        <v>30.714285714285715</v>
      </c>
      <c r="N44" s="49">
        <f>AVERAGE('23.09.19-Kitemu-Buddo'!N44,'24.09 Kitemu-Buddo'!N44,'25.09 Kitemu-Buddo'!N44,'27.09 Kitemu-Buddo'!N44,'26.09 Kitemu-Buddo-24 HRS'!N44,'28.09 Kitemu-Buddo-24HRS'!N44,'29.0 Kitemu-Buddo'!N44)</f>
        <v>0</v>
      </c>
      <c r="O44" s="15">
        <f t="shared" si="0"/>
        <v>7.8571428571428585</v>
      </c>
      <c r="P44" s="15">
        <f t="shared" si="1"/>
        <v>38.571428571428577</v>
      </c>
    </row>
    <row r="45" spans="2:32" ht="23.1" customHeight="1" x14ac:dyDescent="0.25">
      <c r="B45" s="23" t="s">
        <v>72</v>
      </c>
      <c r="C45" s="49">
        <f>AVERAGE('23.09.19-Kitemu-Buddo'!C45,'24.09 Kitemu-Buddo'!C45,'25.09 Kitemu-Buddo'!C45,'27.09 Kitemu-Buddo'!C45,'26.09 Kitemu-Buddo-24 HRS'!C45,'28.09 Kitemu-Buddo-24HRS'!C45,'29.0 Kitemu-Buddo'!C45)</f>
        <v>3.7142857142857144</v>
      </c>
      <c r="D45" s="49">
        <f>AVERAGE('23.09.19-Kitemu-Buddo'!D45,'24.09 Kitemu-Buddo'!D45,'25.09 Kitemu-Buddo'!D45,'27.09 Kitemu-Buddo'!D45,'26.09 Kitemu-Buddo-24 HRS'!D45,'28.09 Kitemu-Buddo-24HRS'!D45,'29.0 Kitemu-Buddo'!D45)</f>
        <v>0.2857142857142857</v>
      </c>
      <c r="E45" s="49">
        <f>AVERAGE('23.09.19-Kitemu-Buddo'!E45,'24.09 Kitemu-Buddo'!E45,'25.09 Kitemu-Buddo'!E45,'27.09 Kitemu-Buddo'!E45,'26.09 Kitemu-Buddo-24 HRS'!E45,'28.09 Kitemu-Buddo-24HRS'!E45,'29.0 Kitemu-Buddo'!E45)</f>
        <v>0.7142857142857143</v>
      </c>
      <c r="F45" s="49">
        <f>AVERAGE('23.09.19-Kitemu-Buddo'!F45,'24.09 Kitemu-Buddo'!F45,'25.09 Kitemu-Buddo'!F45,'27.09 Kitemu-Buddo'!F45,'26.09 Kitemu-Buddo-24 HRS'!F45,'28.09 Kitemu-Buddo-24HRS'!F45,'29.0 Kitemu-Buddo'!F45)</f>
        <v>2.2857142857142856</v>
      </c>
      <c r="G45" s="49">
        <f>AVERAGE('23.09.19-Kitemu-Buddo'!G45,'24.09 Kitemu-Buddo'!G45,'25.09 Kitemu-Buddo'!G45,'27.09 Kitemu-Buddo'!G45,'26.09 Kitemu-Buddo-24 HRS'!G45,'28.09 Kitemu-Buddo-24HRS'!G45,'29.0 Kitemu-Buddo'!G45)</f>
        <v>0.14285714285714285</v>
      </c>
      <c r="H45" s="49">
        <f>AVERAGE('23.09.19-Kitemu-Buddo'!H45,'24.09 Kitemu-Buddo'!H45,'25.09 Kitemu-Buddo'!H45,'27.09 Kitemu-Buddo'!H45,'26.09 Kitemu-Buddo-24 HRS'!H45,'28.09 Kitemu-Buddo-24HRS'!H45,'29.0 Kitemu-Buddo'!H45)</f>
        <v>0</v>
      </c>
      <c r="I45" s="49">
        <f>AVERAGE('23.09.19-Kitemu-Buddo'!I45,'24.09 Kitemu-Buddo'!I45,'25.09 Kitemu-Buddo'!I45,'27.09 Kitemu-Buddo'!I45,'26.09 Kitemu-Buddo-24 HRS'!I45,'28.09 Kitemu-Buddo-24HRS'!I45,'29.0 Kitemu-Buddo'!I45)</f>
        <v>1.7142857142857142</v>
      </c>
      <c r="J45" s="49">
        <f>AVERAGE('23.09.19-Kitemu-Buddo'!J45,'24.09 Kitemu-Buddo'!J45,'25.09 Kitemu-Buddo'!J45,'27.09 Kitemu-Buddo'!J45,'26.09 Kitemu-Buddo-24 HRS'!J45,'28.09 Kitemu-Buddo-24HRS'!J45,'29.0 Kitemu-Buddo'!J45)</f>
        <v>0.5714285714285714</v>
      </c>
      <c r="K45" s="49">
        <f>AVERAGE('23.09.19-Kitemu-Buddo'!K45,'24.09 Kitemu-Buddo'!K45,'25.09 Kitemu-Buddo'!K45,'27.09 Kitemu-Buddo'!K45,'26.09 Kitemu-Buddo-24 HRS'!K45,'28.09 Kitemu-Buddo-24HRS'!K45,'29.0 Kitemu-Buddo'!K45)</f>
        <v>0.42857142857142855</v>
      </c>
      <c r="L45" s="49">
        <f>AVERAGE('23.09.19-Kitemu-Buddo'!L45,'24.09 Kitemu-Buddo'!L45,'25.09 Kitemu-Buddo'!L45,'27.09 Kitemu-Buddo'!L45,'26.09 Kitemu-Buddo-24 HRS'!L45,'28.09 Kitemu-Buddo-24HRS'!L45,'29.0 Kitemu-Buddo'!L45)</f>
        <v>0</v>
      </c>
      <c r="M45" s="49">
        <f>AVERAGE('23.09.19-Kitemu-Buddo'!M45,'24.09 Kitemu-Buddo'!M45,'25.09 Kitemu-Buddo'!M45,'27.09 Kitemu-Buddo'!M45,'26.09 Kitemu-Buddo-24 HRS'!M45,'28.09 Kitemu-Buddo-24HRS'!M45,'29.0 Kitemu-Buddo'!M45)</f>
        <v>30.714285714285715</v>
      </c>
      <c r="N45" s="49">
        <f>AVERAGE('23.09.19-Kitemu-Buddo'!N45,'24.09 Kitemu-Buddo'!N45,'25.09 Kitemu-Buddo'!N45,'27.09 Kitemu-Buddo'!N45,'26.09 Kitemu-Buddo-24 HRS'!N45,'28.09 Kitemu-Buddo-24HRS'!N45,'29.0 Kitemu-Buddo'!N45)</f>
        <v>0</v>
      </c>
      <c r="O45" s="15">
        <f t="shared" si="0"/>
        <v>9.8571428571428577</v>
      </c>
      <c r="P45" s="15">
        <f t="shared" si="1"/>
        <v>40.571428571428569</v>
      </c>
    </row>
    <row r="46" spans="2:32" ht="23.1" customHeight="1" x14ac:dyDescent="0.25">
      <c r="B46" s="24" t="s">
        <v>73</v>
      </c>
      <c r="C46" s="49">
        <f>AVERAGE('23.09.19-Kitemu-Buddo'!C46,'24.09 Kitemu-Buddo'!C46,'25.09 Kitemu-Buddo'!C46,'27.09 Kitemu-Buddo'!C46,'26.09 Kitemu-Buddo-24 HRS'!C46,'28.09 Kitemu-Buddo-24HRS'!C46,'29.0 Kitemu-Buddo'!C46)</f>
        <v>4.1428571428571432</v>
      </c>
      <c r="D46" s="49">
        <f>AVERAGE('23.09.19-Kitemu-Buddo'!D46,'24.09 Kitemu-Buddo'!D46,'25.09 Kitemu-Buddo'!D46,'27.09 Kitemu-Buddo'!D46,'26.09 Kitemu-Buddo-24 HRS'!D46,'28.09 Kitemu-Buddo-24HRS'!D46,'29.0 Kitemu-Buddo'!D46)</f>
        <v>0.2857142857142857</v>
      </c>
      <c r="E46" s="49">
        <f>AVERAGE('23.09.19-Kitemu-Buddo'!E46,'24.09 Kitemu-Buddo'!E46,'25.09 Kitemu-Buddo'!E46,'27.09 Kitemu-Buddo'!E46,'26.09 Kitemu-Buddo-24 HRS'!E46,'28.09 Kitemu-Buddo-24HRS'!E46,'29.0 Kitemu-Buddo'!E46)</f>
        <v>0.2857142857142857</v>
      </c>
      <c r="F46" s="49">
        <f>AVERAGE('23.09.19-Kitemu-Buddo'!F46,'24.09 Kitemu-Buddo'!F46,'25.09 Kitemu-Buddo'!F46,'27.09 Kitemu-Buddo'!F46,'26.09 Kitemu-Buddo-24 HRS'!F46,'28.09 Kitemu-Buddo-24HRS'!F46,'29.0 Kitemu-Buddo'!F46)</f>
        <v>2.7142857142857144</v>
      </c>
      <c r="G46" s="49">
        <f>AVERAGE('23.09.19-Kitemu-Buddo'!G46,'24.09 Kitemu-Buddo'!G46,'25.09 Kitemu-Buddo'!G46,'27.09 Kitemu-Buddo'!G46,'26.09 Kitemu-Buddo-24 HRS'!G46,'28.09 Kitemu-Buddo-24HRS'!G46,'29.0 Kitemu-Buddo'!G46)</f>
        <v>0.14285714285714285</v>
      </c>
      <c r="H46" s="49">
        <f>AVERAGE('23.09.19-Kitemu-Buddo'!H46,'24.09 Kitemu-Buddo'!H46,'25.09 Kitemu-Buddo'!H46,'27.09 Kitemu-Buddo'!H46,'26.09 Kitemu-Buddo-24 HRS'!H46,'28.09 Kitemu-Buddo-24HRS'!H46,'29.0 Kitemu-Buddo'!H46)</f>
        <v>0</v>
      </c>
      <c r="I46" s="49">
        <f>AVERAGE('23.09.19-Kitemu-Buddo'!I46,'24.09 Kitemu-Buddo'!I46,'25.09 Kitemu-Buddo'!I46,'27.09 Kitemu-Buddo'!I46,'26.09 Kitemu-Buddo-24 HRS'!I46,'28.09 Kitemu-Buddo-24HRS'!I46,'29.0 Kitemu-Buddo'!I46)</f>
        <v>1</v>
      </c>
      <c r="J46" s="49">
        <f>AVERAGE('23.09.19-Kitemu-Buddo'!J46,'24.09 Kitemu-Buddo'!J46,'25.09 Kitemu-Buddo'!J46,'27.09 Kitemu-Buddo'!J46,'26.09 Kitemu-Buddo-24 HRS'!J46,'28.09 Kitemu-Buddo-24HRS'!J46,'29.0 Kitemu-Buddo'!J46)</f>
        <v>0.2857142857142857</v>
      </c>
      <c r="K46" s="49">
        <f>AVERAGE('23.09.19-Kitemu-Buddo'!K46,'24.09 Kitemu-Buddo'!K46,'25.09 Kitemu-Buddo'!K46,'27.09 Kitemu-Buddo'!K46,'26.09 Kitemu-Buddo-24 HRS'!K46,'28.09 Kitemu-Buddo-24HRS'!K46,'29.0 Kitemu-Buddo'!K46)</f>
        <v>0.14285714285714285</v>
      </c>
      <c r="L46" s="49">
        <f>AVERAGE('23.09.19-Kitemu-Buddo'!L46,'24.09 Kitemu-Buddo'!L46,'25.09 Kitemu-Buddo'!L46,'27.09 Kitemu-Buddo'!L46,'26.09 Kitemu-Buddo-24 HRS'!L46,'28.09 Kitemu-Buddo-24HRS'!L46,'29.0 Kitemu-Buddo'!L46)</f>
        <v>0</v>
      </c>
      <c r="M46" s="49">
        <f>AVERAGE('23.09.19-Kitemu-Buddo'!M46,'24.09 Kitemu-Buddo'!M46,'25.09 Kitemu-Buddo'!M46,'27.09 Kitemu-Buddo'!M46,'26.09 Kitemu-Buddo-24 HRS'!M46,'28.09 Kitemu-Buddo-24HRS'!M46,'29.0 Kitemu-Buddo'!M46)</f>
        <v>32.714285714285715</v>
      </c>
      <c r="N46" s="49">
        <f>AVERAGE('23.09.19-Kitemu-Buddo'!N46,'24.09 Kitemu-Buddo'!N46,'25.09 Kitemu-Buddo'!N46,'27.09 Kitemu-Buddo'!N46,'26.09 Kitemu-Buddo-24 HRS'!N46,'28.09 Kitemu-Buddo-24HRS'!N46,'29.0 Kitemu-Buddo'!N46)</f>
        <v>0</v>
      </c>
      <c r="O46" s="15">
        <f t="shared" si="0"/>
        <v>9.0000000000000018</v>
      </c>
      <c r="P46" s="15">
        <f t="shared" si="1"/>
        <v>41.714285714285715</v>
      </c>
      <c r="R46" s="8"/>
      <c r="T46"/>
    </row>
    <row r="47" spans="2:32" ht="23.1" customHeight="1" x14ac:dyDescent="0.25">
      <c r="B47" s="24" t="s">
        <v>74</v>
      </c>
      <c r="C47" s="49">
        <f>AVERAGE('23.09.19-Kitemu-Buddo'!C47,'24.09 Kitemu-Buddo'!C47,'25.09 Kitemu-Buddo'!C47,'27.09 Kitemu-Buddo'!C47,'26.09 Kitemu-Buddo-24 HRS'!C47,'28.09 Kitemu-Buddo-24HRS'!C47,'29.0 Kitemu-Buddo'!C47)</f>
        <v>3.1428571428571428</v>
      </c>
      <c r="D47" s="49">
        <f>AVERAGE('23.09.19-Kitemu-Buddo'!D47,'24.09 Kitemu-Buddo'!D47,'25.09 Kitemu-Buddo'!D47,'27.09 Kitemu-Buddo'!D47,'26.09 Kitemu-Buddo-24 HRS'!D47,'28.09 Kitemu-Buddo-24HRS'!D47,'29.0 Kitemu-Buddo'!D47)</f>
        <v>1.1428571428571428</v>
      </c>
      <c r="E47" s="49">
        <f>AVERAGE('23.09.19-Kitemu-Buddo'!E47,'24.09 Kitemu-Buddo'!E47,'25.09 Kitemu-Buddo'!E47,'27.09 Kitemu-Buddo'!E47,'26.09 Kitemu-Buddo-24 HRS'!E47,'28.09 Kitemu-Buddo-24HRS'!E47,'29.0 Kitemu-Buddo'!E47)</f>
        <v>0.2857142857142857</v>
      </c>
      <c r="F47" s="49">
        <f>AVERAGE('23.09.19-Kitemu-Buddo'!F47,'24.09 Kitemu-Buddo'!F47,'25.09 Kitemu-Buddo'!F47,'27.09 Kitemu-Buddo'!F47,'26.09 Kitemu-Buddo-24 HRS'!F47,'28.09 Kitemu-Buddo-24HRS'!F47,'29.0 Kitemu-Buddo'!F47)</f>
        <v>2.1428571428571428</v>
      </c>
      <c r="G47" s="49">
        <f>AVERAGE('23.09.19-Kitemu-Buddo'!G47,'24.09 Kitemu-Buddo'!G47,'25.09 Kitemu-Buddo'!G47,'27.09 Kitemu-Buddo'!G47,'26.09 Kitemu-Buddo-24 HRS'!G47,'28.09 Kitemu-Buddo-24HRS'!G47,'29.0 Kitemu-Buddo'!G47)</f>
        <v>0.42857142857142855</v>
      </c>
      <c r="H47" s="49">
        <f>AVERAGE('23.09.19-Kitemu-Buddo'!H47,'24.09 Kitemu-Buddo'!H47,'25.09 Kitemu-Buddo'!H47,'27.09 Kitemu-Buddo'!H47,'26.09 Kitemu-Buddo-24 HRS'!H47,'28.09 Kitemu-Buddo-24HRS'!H47,'29.0 Kitemu-Buddo'!H47)</f>
        <v>0</v>
      </c>
      <c r="I47" s="49">
        <f>AVERAGE('23.09.19-Kitemu-Buddo'!I47,'24.09 Kitemu-Buddo'!I47,'25.09 Kitemu-Buddo'!I47,'27.09 Kitemu-Buddo'!I47,'26.09 Kitemu-Buddo-24 HRS'!I47,'28.09 Kitemu-Buddo-24HRS'!I47,'29.0 Kitemu-Buddo'!I47)</f>
        <v>0.5714285714285714</v>
      </c>
      <c r="J47" s="49">
        <f>AVERAGE('23.09.19-Kitemu-Buddo'!J47,'24.09 Kitemu-Buddo'!J47,'25.09 Kitemu-Buddo'!J47,'27.09 Kitemu-Buddo'!J47,'26.09 Kitemu-Buddo-24 HRS'!J47,'28.09 Kitemu-Buddo-24HRS'!J47,'29.0 Kitemu-Buddo'!J47)</f>
        <v>0.14285714285714285</v>
      </c>
      <c r="K47" s="49">
        <f>AVERAGE('23.09.19-Kitemu-Buddo'!K47,'24.09 Kitemu-Buddo'!K47,'25.09 Kitemu-Buddo'!K47,'27.09 Kitemu-Buddo'!K47,'26.09 Kitemu-Buddo-24 HRS'!K47,'28.09 Kitemu-Buddo-24HRS'!K47,'29.0 Kitemu-Buddo'!K47)</f>
        <v>0.42857142857142855</v>
      </c>
      <c r="L47" s="49">
        <f>AVERAGE('23.09.19-Kitemu-Buddo'!L47,'24.09 Kitemu-Buddo'!L47,'25.09 Kitemu-Buddo'!L47,'27.09 Kitemu-Buddo'!L47,'26.09 Kitemu-Buddo-24 HRS'!L47,'28.09 Kitemu-Buddo-24HRS'!L47,'29.0 Kitemu-Buddo'!L47)</f>
        <v>0</v>
      </c>
      <c r="M47" s="49">
        <f>AVERAGE('23.09.19-Kitemu-Buddo'!M47,'24.09 Kitemu-Buddo'!M47,'25.09 Kitemu-Buddo'!M47,'27.09 Kitemu-Buddo'!M47,'26.09 Kitemu-Buddo-24 HRS'!M47,'28.09 Kitemu-Buddo-24HRS'!M47,'29.0 Kitemu-Buddo'!M47)</f>
        <v>30.571428571428573</v>
      </c>
      <c r="N47" s="49">
        <f>AVERAGE('23.09.19-Kitemu-Buddo'!N47,'24.09 Kitemu-Buddo'!N47,'25.09 Kitemu-Buddo'!N47,'27.09 Kitemu-Buddo'!N47,'26.09 Kitemu-Buddo-24 HRS'!N47,'28.09 Kitemu-Buddo-24HRS'!N47,'29.0 Kitemu-Buddo'!N47)</f>
        <v>0</v>
      </c>
      <c r="O47" s="15">
        <f t="shared" si="0"/>
        <v>8.2857142857142847</v>
      </c>
      <c r="P47" s="15">
        <f t="shared" si="1"/>
        <v>38.857142857142861</v>
      </c>
      <c r="R47" s="8"/>
      <c r="T47"/>
    </row>
    <row r="48" spans="2:32" ht="23.1" customHeight="1" x14ac:dyDescent="0.25">
      <c r="B48" s="24" t="s">
        <v>75</v>
      </c>
      <c r="C48" s="49">
        <f>AVERAGE('23.09.19-Kitemu-Buddo'!C48,'24.09 Kitemu-Buddo'!C48,'25.09 Kitemu-Buddo'!C48,'27.09 Kitemu-Buddo'!C48,'26.09 Kitemu-Buddo-24 HRS'!C48,'28.09 Kitemu-Buddo-24HRS'!C48,'29.0 Kitemu-Buddo'!C48)</f>
        <v>3.1428571428571428</v>
      </c>
      <c r="D48" s="49">
        <f>AVERAGE('23.09.19-Kitemu-Buddo'!D48,'24.09 Kitemu-Buddo'!D48,'25.09 Kitemu-Buddo'!D48,'27.09 Kitemu-Buddo'!D48,'26.09 Kitemu-Buddo-24 HRS'!D48,'28.09 Kitemu-Buddo-24HRS'!D48,'29.0 Kitemu-Buddo'!D48)</f>
        <v>0.42857142857142855</v>
      </c>
      <c r="E48" s="49">
        <f>AVERAGE('23.09.19-Kitemu-Buddo'!E48,'24.09 Kitemu-Buddo'!E48,'25.09 Kitemu-Buddo'!E48,'27.09 Kitemu-Buddo'!E48,'26.09 Kitemu-Buddo-24 HRS'!E48,'28.09 Kitemu-Buddo-24HRS'!E48,'29.0 Kitemu-Buddo'!E48)</f>
        <v>0.2857142857142857</v>
      </c>
      <c r="F48" s="49">
        <f>AVERAGE('23.09.19-Kitemu-Buddo'!F48,'24.09 Kitemu-Buddo'!F48,'25.09 Kitemu-Buddo'!F48,'27.09 Kitemu-Buddo'!F48,'26.09 Kitemu-Buddo-24 HRS'!F48,'28.09 Kitemu-Buddo-24HRS'!F48,'29.0 Kitemu-Buddo'!F48)</f>
        <v>3</v>
      </c>
      <c r="G48" s="49">
        <f>AVERAGE('23.09.19-Kitemu-Buddo'!G48,'24.09 Kitemu-Buddo'!G48,'25.09 Kitemu-Buddo'!G48,'27.09 Kitemu-Buddo'!G48,'26.09 Kitemu-Buddo-24 HRS'!G48,'28.09 Kitemu-Buddo-24HRS'!G48,'29.0 Kitemu-Buddo'!G48)</f>
        <v>0</v>
      </c>
      <c r="H48" s="49">
        <f>AVERAGE('23.09.19-Kitemu-Buddo'!H48,'24.09 Kitemu-Buddo'!H48,'25.09 Kitemu-Buddo'!H48,'27.09 Kitemu-Buddo'!H48,'26.09 Kitemu-Buddo-24 HRS'!H48,'28.09 Kitemu-Buddo-24HRS'!H48,'29.0 Kitemu-Buddo'!H48)</f>
        <v>0</v>
      </c>
      <c r="I48" s="49">
        <f>AVERAGE('23.09.19-Kitemu-Buddo'!I48,'24.09 Kitemu-Buddo'!I48,'25.09 Kitemu-Buddo'!I48,'27.09 Kitemu-Buddo'!I48,'26.09 Kitemu-Buddo-24 HRS'!I48,'28.09 Kitemu-Buddo-24HRS'!I48,'29.0 Kitemu-Buddo'!I48)</f>
        <v>1</v>
      </c>
      <c r="J48" s="49">
        <f>AVERAGE('23.09.19-Kitemu-Buddo'!J48,'24.09 Kitemu-Buddo'!J48,'25.09 Kitemu-Buddo'!J48,'27.09 Kitemu-Buddo'!J48,'26.09 Kitemu-Buddo-24 HRS'!J48,'28.09 Kitemu-Buddo-24HRS'!J48,'29.0 Kitemu-Buddo'!J48)</f>
        <v>0.5714285714285714</v>
      </c>
      <c r="K48" s="49">
        <f>AVERAGE('23.09.19-Kitemu-Buddo'!K48,'24.09 Kitemu-Buddo'!K48,'25.09 Kitemu-Buddo'!K48,'27.09 Kitemu-Buddo'!K48,'26.09 Kitemu-Buddo-24 HRS'!K48,'28.09 Kitemu-Buddo-24HRS'!K48,'29.0 Kitemu-Buddo'!K48)</f>
        <v>0.2857142857142857</v>
      </c>
      <c r="L48" s="49">
        <f>AVERAGE('23.09.19-Kitemu-Buddo'!L48,'24.09 Kitemu-Buddo'!L48,'25.09 Kitemu-Buddo'!L48,'27.09 Kitemu-Buddo'!L48,'26.09 Kitemu-Buddo-24 HRS'!L48,'28.09 Kitemu-Buddo-24HRS'!L48,'29.0 Kitemu-Buddo'!L48)</f>
        <v>0</v>
      </c>
      <c r="M48" s="49">
        <f>AVERAGE('23.09.19-Kitemu-Buddo'!M48,'24.09 Kitemu-Buddo'!M48,'25.09 Kitemu-Buddo'!M48,'27.09 Kitemu-Buddo'!M48,'26.09 Kitemu-Buddo-24 HRS'!M48,'28.09 Kitemu-Buddo-24HRS'!M48,'29.0 Kitemu-Buddo'!M48)</f>
        <v>31.571428571428573</v>
      </c>
      <c r="N48" s="49">
        <f>AVERAGE('23.09.19-Kitemu-Buddo'!N48,'24.09 Kitemu-Buddo'!N48,'25.09 Kitemu-Buddo'!N48,'27.09 Kitemu-Buddo'!N48,'26.09 Kitemu-Buddo-24 HRS'!N48,'28.09 Kitemu-Buddo-24HRS'!N48,'29.0 Kitemu-Buddo'!N48)</f>
        <v>0</v>
      </c>
      <c r="O48" s="15">
        <f t="shared" si="0"/>
        <v>8.7142857142857153</v>
      </c>
      <c r="P48" s="15">
        <f t="shared" si="1"/>
        <v>40.285714285714292</v>
      </c>
      <c r="R48" s="8"/>
      <c r="T48"/>
    </row>
    <row r="49" spans="2:20" ht="23.1" customHeight="1" x14ac:dyDescent="0.25">
      <c r="B49" s="23" t="s">
        <v>76</v>
      </c>
      <c r="C49" s="49">
        <f>AVERAGE('23.09.19-Kitemu-Buddo'!C49,'24.09 Kitemu-Buddo'!C49,'25.09 Kitemu-Buddo'!C49,'27.09 Kitemu-Buddo'!C49,'26.09 Kitemu-Buddo-24 HRS'!C49,'28.09 Kitemu-Buddo-24HRS'!C49,'29.0 Kitemu-Buddo'!C49)</f>
        <v>3.8571428571428572</v>
      </c>
      <c r="D49" s="49">
        <f>AVERAGE('23.09.19-Kitemu-Buddo'!D49,'24.09 Kitemu-Buddo'!D49,'25.09 Kitemu-Buddo'!D49,'27.09 Kitemu-Buddo'!D49,'26.09 Kitemu-Buddo-24 HRS'!D49,'28.09 Kitemu-Buddo-24HRS'!D49,'29.0 Kitemu-Buddo'!D49)</f>
        <v>0.5714285714285714</v>
      </c>
      <c r="E49" s="49">
        <f>AVERAGE('23.09.19-Kitemu-Buddo'!E49,'24.09 Kitemu-Buddo'!E49,'25.09 Kitemu-Buddo'!E49,'27.09 Kitemu-Buddo'!E49,'26.09 Kitemu-Buddo-24 HRS'!E49,'28.09 Kitemu-Buddo-24HRS'!E49,'29.0 Kitemu-Buddo'!E49)</f>
        <v>1.1428571428571428</v>
      </c>
      <c r="F49" s="49">
        <f>AVERAGE('23.09.19-Kitemu-Buddo'!F49,'24.09 Kitemu-Buddo'!F49,'25.09 Kitemu-Buddo'!F49,'27.09 Kitemu-Buddo'!F49,'26.09 Kitemu-Buddo-24 HRS'!F49,'28.09 Kitemu-Buddo-24HRS'!F49,'29.0 Kitemu-Buddo'!F49)</f>
        <v>2.2857142857142856</v>
      </c>
      <c r="G49" s="49">
        <f>AVERAGE('23.09.19-Kitemu-Buddo'!G49,'24.09 Kitemu-Buddo'!G49,'25.09 Kitemu-Buddo'!G49,'27.09 Kitemu-Buddo'!G49,'26.09 Kitemu-Buddo-24 HRS'!G49,'28.09 Kitemu-Buddo-24HRS'!G49,'29.0 Kitemu-Buddo'!G49)</f>
        <v>0.8571428571428571</v>
      </c>
      <c r="H49" s="49">
        <f>AVERAGE('23.09.19-Kitemu-Buddo'!H49,'24.09 Kitemu-Buddo'!H49,'25.09 Kitemu-Buddo'!H49,'27.09 Kitemu-Buddo'!H49,'26.09 Kitemu-Buddo-24 HRS'!H49,'28.09 Kitemu-Buddo-24HRS'!H49,'29.0 Kitemu-Buddo'!H49)</f>
        <v>0</v>
      </c>
      <c r="I49" s="49">
        <f>AVERAGE('23.09.19-Kitemu-Buddo'!I49,'24.09 Kitemu-Buddo'!I49,'25.09 Kitemu-Buddo'!I49,'27.09 Kitemu-Buddo'!I49,'26.09 Kitemu-Buddo-24 HRS'!I49,'28.09 Kitemu-Buddo-24HRS'!I49,'29.0 Kitemu-Buddo'!I49)</f>
        <v>1.7142857142857142</v>
      </c>
      <c r="J49" s="49">
        <f>AVERAGE('23.09.19-Kitemu-Buddo'!J49,'24.09 Kitemu-Buddo'!J49,'25.09 Kitemu-Buddo'!J49,'27.09 Kitemu-Buddo'!J49,'26.09 Kitemu-Buddo-24 HRS'!J49,'28.09 Kitemu-Buddo-24HRS'!J49,'29.0 Kitemu-Buddo'!J49)</f>
        <v>0</v>
      </c>
      <c r="K49" s="49">
        <f>AVERAGE('23.09.19-Kitemu-Buddo'!K49,'24.09 Kitemu-Buddo'!K49,'25.09 Kitemu-Buddo'!K49,'27.09 Kitemu-Buddo'!K49,'26.09 Kitemu-Buddo-24 HRS'!K49,'28.09 Kitemu-Buddo-24HRS'!K49,'29.0 Kitemu-Buddo'!K49)</f>
        <v>0</v>
      </c>
      <c r="L49" s="49">
        <f>AVERAGE('23.09.19-Kitemu-Buddo'!L49,'24.09 Kitemu-Buddo'!L49,'25.09 Kitemu-Buddo'!L49,'27.09 Kitemu-Buddo'!L49,'26.09 Kitemu-Buddo-24 HRS'!L49,'28.09 Kitemu-Buddo-24HRS'!L49,'29.0 Kitemu-Buddo'!L49)</f>
        <v>0</v>
      </c>
      <c r="M49" s="49">
        <f>AVERAGE('23.09.19-Kitemu-Buddo'!M49,'24.09 Kitemu-Buddo'!M49,'25.09 Kitemu-Buddo'!M49,'27.09 Kitemu-Buddo'!M49,'26.09 Kitemu-Buddo-24 HRS'!M49,'28.09 Kitemu-Buddo-24HRS'!M49,'29.0 Kitemu-Buddo'!M49)</f>
        <v>33</v>
      </c>
      <c r="N49" s="49">
        <f>AVERAGE('23.09.19-Kitemu-Buddo'!N49,'24.09 Kitemu-Buddo'!N49,'25.09 Kitemu-Buddo'!N49,'27.09 Kitemu-Buddo'!N49,'26.09 Kitemu-Buddo-24 HRS'!N49,'28.09 Kitemu-Buddo-24HRS'!N49,'29.0 Kitemu-Buddo'!N49)</f>
        <v>0</v>
      </c>
      <c r="O49" s="15">
        <f t="shared" si="0"/>
        <v>10.428571428571427</v>
      </c>
      <c r="P49" s="15">
        <f t="shared" si="1"/>
        <v>43.428571428571431</v>
      </c>
      <c r="R49" s="8"/>
      <c r="T49"/>
    </row>
    <row r="50" spans="2:20" ht="23.1" customHeight="1" x14ac:dyDescent="0.25">
      <c r="B50" s="24" t="s">
        <v>77</v>
      </c>
      <c r="C50" s="49">
        <f>AVERAGE('23.09.19-Kitemu-Buddo'!C50,'24.09 Kitemu-Buddo'!C50,'25.09 Kitemu-Buddo'!C50,'27.09 Kitemu-Buddo'!C50,'26.09 Kitemu-Buddo-24 HRS'!C50,'28.09 Kitemu-Buddo-24HRS'!C50,'29.0 Kitemu-Buddo'!C50)</f>
        <v>3.2857142857142856</v>
      </c>
      <c r="D50" s="49">
        <f>AVERAGE('23.09.19-Kitemu-Buddo'!D50,'24.09 Kitemu-Buddo'!D50,'25.09 Kitemu-Buddo'!D50,'27.09 Kitemu-Buddo'!D50,'26.09 Kitemu-Buddo-24 HRS'!D50,'28.09 Kitemu-Buddo-24HRS'!D50,'29.0 Kitemu-Buddo'!D50)</f>
        <v>0.5714285714285714</v>
      </c>
      <c r="E50" s="49">
        <f>AVERAGE('23.09.19-Kitemu-Buddo'!E50,'24.09 Kitemu-Buddo'!E50,'25.09 Kitemu-Buddo'!E50,'27.09 Kitemu-Buddo'!E50,'26.09 Kitemu-Buddo-24 HRS'!E50,'28.09 Kitemu-Buddo-24HRS'!E50,'29.0 Kitemu-Buddo'!E50)</f>
        <v>0.2857142857142857</v>
      </c>
      <c r="F50" s="49">
        <f>AVERAGE('23.09.19-Kitemu-Buddo'!F50,'24.09 Kitemu-Buddo'!F50,'25.09 Kitemu-Buddo'!F50,'27.09 Kitemu-Buddo'!F50,'26.09 Kitemu-Buddo-24 HRS'!F50,'28.09 Kitemu-Buddo-24HRS'!F50,'29.0 Kitemu-Buddo'!F50)</f>
        <v>2.5714285714285716</v>
      </c>
      <c r="G50" s="49">
        <f>AVERAGE('23.09.19-Kitemu-Buddo'!G50,'24.09 Kitemu-Buddo'!G50,'25.09 Kitemu-Buddo'!G50,'27.09 Kitemu-Buddo'!G50,'26.09 Kitemu-Buddo-24 HRS'!G50,'28.09 Kitemu-Buddo-24HRS'!G50,'29.0 Kitemu-Buddo'!G50)</f>
        <v>1.5714285714285714</v>
      </c>
      <c r="H50" s="49">
        <f>AVERAGE('23.09.19-Kitemu-Buddo'!H50,'24.09 Kitemu-Buddo'!H50,'25.09 Kitemu-Buddo'!H50,'27.09 Kitemu-Buddo'!H50,'26.09 Kitemu-Buddo-24 HRS'!H50,'28.09 Kitemu-Buddo-24HRS'!H50,'29.0 Kitemu-Buddo'!H50)</f>
        <v>0</v>
      </c>
      <c r="I50" s="49">
        <f>AVERAGE('23.09.19-Kitemu-Buddo'!I50,'24.09 Kitemu-Buddo'!I50,'25.09 Kitemu-Buddo'!I50,'27.09 Kitemu-Buddo'!I50,'26.09 Kitemu-Buddo-24 HRS'!I50,'28.09 Kitemu-Buddo-24HRS'!I50,'29.0 Kitemu-Buddo'!I50)</f>
        <v>1.7142857142857142</v>
      </c>
      <c r="J50" s="49">
        <f>AVERAGE('23.09.19-Kitemu-Buddo'!J50,'24.09 Kitemu-Buddo'!J50,'25.09 Kitemu-Buddo'!J50,'27.09 Kitemu-Buddo'!J50,'26.09 Kitemu-Buddo-24 HRS'!J50,'28.09 Kitemu-Buddo-24HRS'!J50,'29.0 Kitemu-Buddo'!J50)</f>
        <v>0.42857142857142855</v>
      </c>
      <c r="K50" s="49">
        <f>AVERAGE('23.09.19-Kitemu-Buddo'!K50,'24.09 Kitemu-Buddo'!K50,'25.09 Kitemu-Buddo'!K50,'27.09 Kitemu-Buddo'!K50,'26.09 Kitemu-Buddo-24 HRS'!K50,'28.09 Kitemu-Buddo-24HRS'!K50,'29.0 Kitemu-Buddo'!K50)</f>
        <v>0.2857142857142857</v>
      </c>
      <c r="L50" s="49">
        <f>AVERAGE('23.09.19-Kitemu-Buddo'!L50,'24.09 Kitemu-Buddo'!L50,'25.09 Kitemu-Buddo'!L50,'27.09 Kitemu-Buddo'!L50,'26.09 Kitemu-Buddo-24 HRS'!L50,'28.09 Kitemu-Buddo-24HRS'!L50,'29.0 Kitemu-Buddo'!L50)</f>
        <v>0</v>
      </c>
      <c r="M50" s="49">
        <f>AVERAGE('23.09.19-Kitemu-Buddo'!M50,'24.09 Kitemu-Buddo'!M50,'25.09 Kitemu-Buddo'!M50,'27.09 Kitemu-Buddo'!M50,'26.09 Kitemu-Buddo-24 HRS'!M50,'28.09 Kitemu-Buddo-24HRS'!M50,'29.0 Kitemu-Buddo'!M50)</f>
        <v>37.285714285714285</v>
      </c>
      <c r="N50" s="49">
        <f>AVERAGE('23.09.19-Kitemu-Buddo'!N50,'24.09 Kitemu-Buddo'!N50,'25.09 Kitemu-Buddo'!N50,'27.09 Kitemu-Buddo'!N50,'26.09 Kitemu-Buddo-24 HRS'!N50,'28.09 Kitemu-Buddo-24HRS'!N50,'29.0 Kitemu-Buddo'!N50)</f>
        <v>0</v>
      </c>
      <c r="O50" s="15">
        <f t="shared" si="0"/>
        <v>10.714285714285714</v>
      </c>
      <c r="P50" s="15">
        <f t="shared" si="1"/>
        <v>48</v>
      </c>
      <c r="R50" s="8"/>
      <c r="T50"/>
    </row>
    <row r="51" spans="2:20" ht="23.1" customHeight="1" x14ac:dyDescent="0.25">
      <c r="B51" s="24" t="s">
        <v>78</v>
      </c>
      <c r="C51" s="49">
        <f>AVERAGE('23.09.19-Kitemu-Buddo'!C51,'24.09 Kitemu-Buddo'!C51,'25.09 Kitemu-Buddo'!C51,'27.09 Kitemu-Buddo'!C51,'26.09 Kitemu-Buddo-24 HRS'!C51,'28.09 Kitemu-Buddo-24HRS'!C51,'29.0 Kitemu-Buddo'!C51)</f>
        <v>3.4285714285714284</v>
      </c>
      <c r="D51" s="49">
        <f>AVERAGE('23.09.19-Kitemu-Buddo'!D51,'24.09 Kitemu-Buddo'!D51,'25.09 Kitemu-Buddo'!D51,'27.09 Kitemu-Buddo'!D51,'26.09 Kitemu-Buddo-24 HRS'!D51,'28.09 Kitemu-Buddo-24HRS'!D51,'29.0 Kitemu-Buddo'!D51)</f>
        <v>0.5714285714285714</v>
      </c>
      <c r="E51" s="49">
        <f>AVERAGE('23.09.19-Kitemu-Buddo'!E51,'24.09 Kitemu-Buddo'!E51,'25.09 Kitemu-Buddo'!E51,'27.09 Kitemu-Buddo'!E51,'26.09 Kitemu-Buddo-24 HRS'!E51,'28.09 Kitemu-Buddo-24HRS'!E51,'29.0 Kitemu-Buddo'!E51)</f>
        <v>0.2857142857142857</v>
      </c>
      <c r="F51" s="49">
        <f>AVERAGE('23.09.19-Kitemu-Buddo'!F51,'24.09 Kitemu-Buddo'!F51,'25.09 Kitemu-Buddo'!F51,'27.09 Kitemu-Buddo'!F51,'26.09 Kitemu-Buddo-24 HRS'!F51,'28.09 Kitemu-Buddo-24HRS'!F51,'29.0 Kitemu-Buddo'!F51)</f>
        <v>3.7142857142857144</v>
      </c>
      <c r="G51" s="49">
        <f>AVERAGE('23.09.19-Kitemu-Buddo'!G51,'24.09 Kitemu-Buddo'!G51,'25.09 Kitemu-Buddo'!G51,'27.09 Kitemu-Buddo'!G51,'26.09 Kitemu-Buddo-24 HRS'!G51,'28.09 Kitemu-Buddo-24HRS'!G51,'29.0 Kitemu-Buddo'!G51)</f>
        <v>0</v>
      </c>
      <c r="H51" s="49">
        <f>AVERAGE('23.09.19-Kitemu-Buddo'!H51,'24.09 Kitemu-Buddo'!H51,'25.09 Kitemu-Buddo'!H51,'27.09 Kitemu-Buddo'!H51,'26.09 Kitemu-Buddo-24 HRS'!H51,'28.09 Kitemu-Buddo-24HRS'!H51,'29.0 Kitemu-Buddo'!H51)</f>
        <v>0</v>
      </c>
      <c r="I51" s="49">
        <f>AVERAGE('23.09.19-Kitemu-Buddo'!I51,'24.09 Kitemu-Buddo'!I51,'25.09 Kitemu-Buddo'!I51,'27.09 Kitemu-Buddo'!I51,'26.09 Kitemu-Buddo-24 HRS'!I51,'28.09 Kitemu-Buddo-24HRS'!I51,'29.0 Kitemu-Buddo'!I51)</f>
        <v>1.5714285714285714</v>
      </c>
      <c r="J51" s="49">
        <f>AVERAGE('23.09.19-Kitemu-Buddo'!J51,'24.09 Kitemu-Buddo'!J51,'25.09 Kitemu-Buddo'!J51,'27.09 Kitemu-Buddo'!J51,'26.09 Kitemu-Buddo-24 HRS'!J51,'28.09 Kitemu-Buddo-24HRS'!J51,'29.0 Kitemu-Buddo'!J51)</f>
        <v>0.7142857142857143</v>
      </c>
      <c r="K51" s="49">
        <f>AVERAGE('23.09.19-Kitemu-Buddo'!K51,'24.09 Kitemu-Buddo'!K51,'25.09 Kitemu-Buddo'!K51,'27.09 Kitemu-Buddo'!K51,'26.09 Kitemu-Buddo-24 HRS'!K51,'28.09 Kitemu-Buddo-24HRS'!K51,'29.0 Kitemu-Buddo'!K51)</f>
        <v>0</v>
      </c>
      <c r="L51" s="49">
        <f>AVERAGE('23.09.19-Kitemu-Buddo'!L51,'24.09 Kitemu-Buddo'!L51,'25.09 Kitemu-Buddo'!L51,'27.09 Kitemu-Buddo'!L51,'26.09 Kitemu-Buddo-24 HRS'!L51,'28.09 Kitemu-Buddo-24HRS'!L51,'29.0 Kitemu-Buddo'!L51)</f>
        <v>0</v>
      </c>
      <c r="M51" s="49">
        <f>AVERAGE('23.09.19-Kitemu-Buddo'!M51,'24.09 Kitemu-Buddo'!M51,'25.09 Kitemu-Buddo'!M51,'27.09 Kitemu-Buddo'!M51,'26.09 Kitemu-Buddo-24 HRS'!M51,'28.09 Kitemu-Buddo-24HRS'!M51,'29.0 Kitemu-Buddo'!M51)</f>
        <v>36.571428571428569</v>
      </c>
      <c r="N51" s="49">
        <f>AVERAGE('23.09.19-Kitemu-Buddo'!N51,'24.09 Kitemu-Buddo'!N51,'25.09 Kitemu-Buddo'!N51,'27.09 Kitemu-Buddo'!N51,'26.09 Kitemu-Buddo-24 HRS'!N51,'28.09 Kitemu-Buddo-24HRS'!N51,'29.0 Kitemu-Buddo'!N51)</f>
        <v>0</v>
      </c>
      <c r="O51" s="15">
        <f t="shared" si="0"/>
        <v>10.285714285714285</v>
      </c>
      <c r="P51" s="15">
        <f t="shared" si="1"/>
        <v>46.857142857142854</v>
      </c>
      <c r="R51" s="8"/>
      <c r="T51"/>
    </row>
    <row r="52" spans="2:20" ht="23.1" customHeight="1" x14ac:dyDescent="0.25">
      <c r="B52" s="24" t="s">
        <v>79</v>
      </c>
      <c r="C52" s="49">
        <f>AVERAGE('23.09.19-Kitemu-Buddo'!C52,'24.09 Kitemu-Buddo'!C52,'25.09 Kitemu-Buddo'!C52,'27.09 Kitemu-Buddo'!C52,'26.09 Kitemu-Buddo-24 HRS'!C52,'28.09 Kitemu-Buddo-24HRS'!C52,'29.0 Kitemu-Buddo'!C52)</f>
        <v>4.1428571428571432</v>
      </c>
      <c r="D52" s="49">
        <f>AVERAGE('23.09.19-Kitemu-Buddo'!D52,'24.09 Kitemu-Buddo'!D52,'25.09 Kitemu-Buddo'!D52,'27.09 Kitemu-Buddo'!D52,'26.09 Kitemu-Buddo-24 HRS'!D52,'28.09 Kitemu-Buddo-24HRS'!D52,'29.0 Kitemu-Buddo'!D52)</f>
        <v>1</v>
      </c>
      <c r="E52" s="49">
        <f>AVERAGE('23.09.19-Kitemu-Buddo'!E52,'24.09 Kitemu-Buddo'!E52,'25.09 Kitemu-Buddo'!E52,'27.09 Kitemu-Buddo'!E52,'26.09 Kitemu-Buddo-24 HRS'!E52,'28.09 Kitemu-Buddo-24HRS'!E52,'29.0 Kitemu-Buddo'!E52)</f>
        <v>0</v>
      </c>
      <c r="F52" s="49">
        <f>AVERAGE('23.09.19-Kitemu-Buddo'!F52,'24.09 Kitemu-Buddo'!F52,'25.09 Kitemu-Buddo'!F52,'27.09 Kitemu-Buddo'!F52,'26.09 Kitemu-Buddo-24 HRS'!F52,'28.09 Kitemu-Buddo-24HRS'!F52,'29.0 Kitemu-Buddo'!F52)</f>
        <v>2.5714285714285716</v>
      </c>
      <c r="G52" s="49">
        <f>AVERAGE('23.09.19-Kitemu-Buddo'!G52,'24.09 Kitemu-Buddo'!G52,'25.09 Kitemu-Buddo'!G52,'27.09 Kitemu-Buddo'!G52,'26.09 Kitemu-Buddo-24 HRS'!G52,'28.09 Kitemu-Buddo-24HRS'!G52,'29.0 Kitemu-Buddo'!G52)</f>
        <v>0.2857142857142857</v>
      </c>
      <c r="H52" s="49">
        <f>AVERAGE('23.09.19-Kitemu-Buddo'!H52,'24.09 Kitemu-Buddo'!H52,'25.09 Kitemu-Buddo'!H52,'27.09 Kitemu-Buddo'!H52,'26.09 Kitemu-Buddo-24 HRS'!H52,'28.09 Kitemu-Buddo-24HRS'!H52,'29.0 Kitemu-Buddo'!H52)</f>
        <v>0</v>
      </c>
      <c r="I52" s="49">
        <f>AVERAGE('23.09.19-Kitemu-Buddo'!I52,'24.09 Kitemu-Buddo'!I52,'25.09 Kitemu-Buddo'!I52,'27.09 Kitemu-Buddo'!I52,'26.09 Kitemu-Buddo-24 HRS'!I52,'28.09 Kitemu-Buddo-24HRS'!I52,'29.0 Kitemu-Buddo'!I52)</f>
        <v>2.1428571428571428</v>
      </c>
      <c r="J52" s="49">
        <f>AVERAGE('23.09.19-Kitemu-Buddo'!J52,'24.09 Kitemu-Buddo'!J52,'25.09 Kitemu-Buddo'!J52,'27.09 Kitemu-Buddo'!J52,'26.09 Kitemu-Buddo-24 HRS'!J52,'28.09 Kitemu-Buddo-24HRS'!J52,'29.0 Kitemu-Buddo'!J52)</f>
        <v>0.14285714285714285</v>
      </c>
      <c r="K52" s="49">
        <f>AVERAGE('23.09.19-Kitemu-Buddo'!K52,'24.09 Kitemu-Buddo'!K52,'25.09 Kitemu-Buddo'!K52,'27.09 Kitemu-Buddo'!K52,'26.09 Kitemu-Buddo-24 HRS'!K52,'28.09 Kitemu-Buddo-24HRS'!K52,'29.0 Kitemu-Buddo'!K52)</f>
        <v>0.14285714285714285</v>
      </c>
      <c r="L52" s="49">
        <f>AVERAGE('23.09.19-Kitemu-Buddo'!L52,'24.09 Kitemu-Buddo'!L52,'25.09 Kitemu-Buddo'!L52,'27.09 Kitemu-Buddo'!L52,'26.09 Kitemu-Buddo-24 HRS'!L52,'28.09 Kitemu-Buddo-24HRS'!L52,'29.0 Kitemu-Buddo'!L52)</f>
        <v>0</v>
      </c>
      <c r="M52" s="49">
        <f>AVERAGE('23.09.19-Kitemu-Buddo'!M52,'24.09 Kitemu-Buddo'!M52,'25.09 Kitemu-Buddo'!M52,'27.09 Kitemu-Buddo'!M52,'26.09 Kitemu-Buddo-24 HRS'!M52,'28.09 Kitemu-Buddo-24HRS'!M52,'29.0 Kitemu-Buddo'!M52)</f>
        <v>35.857142857142854</v>
      </c>
      <c r="N52" s="49">
        <f>AVERAGE('23.09.19-Kitemu-Buddo'!N52,'24.09 Kitemu-Buddo'!N52,'25.09 Kitemu-Buddo'!N52,'27.09 Kitemu-Buddo'!N52,'26.09 Kitemu-Buddo-24 HRS'!N52,'28.09 Kitemu-Buddo-24HRS'!N52,'29.0 Kitemu-Buddo'!N52)</f>
        <v>0</v>
      </c>
      <c r="O52" s="15">
        <f t="shared" si="0"/>
        <v>10.428571428571429</v>
      </c>
      <c r="P52" s="15">
        <f t="shared" si="1"/>
        <v>46.285714285714285</v>
      </c>
      <c r="R52" s="8"/>
      <c r="T52"/>
    </row>
    <row r="53" spans="2:20" ht="23.1" customHeight="1" x14ac:dyDescent="0.25">
      <c r="B53" s="23" t="s">
        <v>80</v>
      </c>
      <c r="C53" s="49">
        <f>AVERAGE('23.09.19-Kitemu-Buddo'!C53,'24.09 Kitemu-Buddo'!C53,'25.09 Kitemu-Buddo'!C53,'27.09 Kitemu-Buddo'!C53,'26.09 Kitemu-Buddo-24 HRS'!C53,'28.09 Kitemu-Buddo-24HRS'!C53,'29.0 Kitemu-Buddo'!C53)</f>
        <v>4.5714285714285712</v>
      </c>
      <c r="D53" s="49">
        <f>AVERAGE('23.09.19-Kitemu-Buddo'!D53,'24.09 Kitemu-Buddo'!D53,'25.09 Kitemu-Buddo'!D53,'27.09 Kitemu-Buddo'!D53,'26.09 Kitemu-Buddo-24 HRS'!D53,'28.09 Kitemu-Buddo-24HRS'!D53,'29.0 Kitemu-Buddo'!D53)</f>
        <v>1</v>
      </c>
      <c r="E53" s="49">
        <f>AVERAGE('23.09.19-Kitemu-Buddo'!E53,'24.09 Kitemu-Buddo'!E53,'25.09 Kitemu-Buddo'!E53,'27.09 Kitemu-Buddo'!E53,'26.09 Kitemu-Buddo-24 HRS'!E53,'28.09 Kitemu-Buddo-24HRS'!E53,'29.0 Kitemu-Buddo'!E53)</f>
        <v>0.14285714285714285</v>
      </c>
      <c r="F53" s="49">
        <f>AVERAGE('23.09.19-Kitemu-Buddo'!F53,'24.09 Kitemu-Buddo'!F53,'25.09 Kitemu-Buddo'!F53,'27.09 Kitemu-Buddo'!F53,'26.09 Kitemu-Buddo-24 HRS'!F53,'28.09 Kitemu-Buddo-24HRS'!F53,'29.0 Kitemu-Buddo'!F53)</f>
        <v>3.1428571428571428</v>
      </c>
      <c r="G53" s="49">
        <f>AVERAGE('23.09.19-Kitemu-Buddo'!G53,'24.09 Kitemu-Buddo'!G53,'25.09 Kitemu-Buddo'!G53,'27.09 Kitemu-Buddo'!G53,'26.09 Kitemu-Buddo-24 HRS'!G53,'28.09 Kitemu-Buddo-24HRS'!G53,'29.0 Kitemu-Buddo'!G53)</f>
        <v>0</v>
      </c>
      <c r="H53" s="49">
        <f>AVERAGE('23.09.19-Kitemu-Buddo'!H53,'24.09 Kitemu-Buddo'!H53,'25.09 Kitemu-Buddo'!H53,'27.09 Kitemu-Buddo'!H53,'26.09 Kitemu-Buddo-24 HRS'!H53,'28.09 Kitemu-Buddo-24HRS'!H53,'29.0 Kitemu-Buddo'!H53)</f>
        <v>0</v>
      </c>
      <c r="I53" s="49">
        <f>AVERAGE('23.09.19-Kitemu-Buddo'!I53,'24.09 Kitemu-Buddo'!I53,'25.09 Kitemu-Buddo'!I53,'27.09 Kitemu-Buddo'!I53,'26.09 Kitemu-Buddo-24 HRS'!I53,'28.09 Kitemu-Buddo-24HRS'!I53,'29.0 Kitemu-Buddo'!I53)</f>
        <v>1.1428571428571428</v>
      </c>
      <c r="J53" s="49">
        <f>AVERAGE('23.09.19-Kitemu-Buddo'!J53,'24.09 Kitemu-Buddo'!J53,'25.09 Kitemu-Buddo'!J53,'27.09 Kitemu-Buddo'!J53,'26.09 Kitemu-Buddo-24 HRS'!J53,'28.09 Kitemu-Buddo-24HRS'!J53,'29.0 Kitemu-Buddo'!J53)</f>
        <v>0.42857142857142855</v>
      </c>
      <c r="K53" s="49">
        <f>AVERAGE('23.09.19-Kitemu-Buddo'!K53,'24.09 Kitemu-Buddo'!K53,'25.09 Kitemu-Buddo'!K53,'27.09 Kitemu-Buddo'!K53,'26.09 Kitemu-Buddo-24 HRS'!K53,'28.09 Kitemu-Buddo-24HRS'!K53,'29.0 Kitemu-Buddo'!K53)</f>
        <v>0</v>
      </c>
      <c r="L53" s="49">
        <f>AVERAGE('23.09.19-Kitemu-Buddo'!L53,'24.09 Kitemu-Buddo'!L53,'25.09 Kitemu-Buddo'!L53,'27.09 Kitemu-Buddo'!L53,'26.09 Kitemu-Buddo-24 HRS'!L53,'28.09 Kitemu-Buddo-24HRS'!L53,'29.0 Kitemu-Buddo'!L53)</f>
        <v>0</v>
      </c>
      <c r="M53" s="49">
        <f>AVERAGE('23.09.19-Kitemu-Buddo'!M53,'24.09 Kitemu-Buddo'!M53,'25.09 Kitemu-Buddo'!M53,'27.09 Kitemu-Buddo'!M53,'26.09 Kitemu-Buddo-24 HRS'!M53,'28.09 Kitemu-Buddo-24HRS'!M53,'29.0 Kitemu-Buddo'!M53)</f>
        <v>37.714285714285715</v>
      </c>
      <c r="N53" s="49">
        <f>AVERAGE('23.09.19-Kitemu-Buddo'!N53,'24.09 Kitemu-Buddo'!N53,'25.09 Kitemu-Buddo'!N53,'27.09 Kitemu-Buddo'!N53,'26.09 Kitemu-Buddo-24 HRS'!N53,'28.09 Kitemu-Buddo-24HRS'!N53,'29.0 Kitemu-Buddo'!N53)</f>
        <v>0</v>
      </c>
      <c r="O53" s="15">
        <f t="shared" si="0"/>
        <v>10.428571428571429</v>
      </c>
      <c r="P53" s="15">
        <f t="shared" si="1"/>
        <v>48.142857142857146</v>
      </c>
      <c r="R53" s="8"/>
      <c r="T53"/>
    </row>
    <row r="54" spans="2:20" ht="23.1" customHeight="1" x14ac:dyDescent="0.25">
      <c r="B54" s="23" t="s">
        <v>81</v>
      </c>
      <c r="C54" s="49">
        <f>AVERAGE('23.09.19-Kitemu-Buddo'!C54,'24.09 Kitemu-Buddo'!C54,'25.09 Kitemu-Buddo'!C54,'27.09 Kitemu-Buddo'!C54,'26.09 Kitemu-Buddo-24 HRS'!C54,'28.09 Kitemu-Buddo-24HRS'!C54,'29.0 Kitemu-Buddo'!C54)</f>
        <v>2.1428571428571428</v>
      </c>
      <c r="D54" s="49">
        <f>AVERAGE('23.09.19-Kitemu-Buddo'!D54,'24.09 Kitemu-Buddo'!D54,'25.09 Kitemu-Buddo'!D54,'27.09 Kitemu-Buddo'!D54,'26.09 Kitemu-Buddo-24 HRS'!D54,'28.09 Kitemu-Buddo-24HRS'!D54,'29.0 Kitemu-Buddo'!D54)</f>
        <v>0.42857142857142855</v>
      </c>
      <c r="E54" s="49">
        <f>AVERAGE('23.09.19-Kitemu-Buddo'!E54,'24.09 Kitemu-Buddo'!E54,'25.09 Kitemu-Buddo'!E54,'27.09 Kitemu-Buddo'!E54,'26.09 Kitemu-Buddo-24 HRS'!E54,'28.09 Kitemu-Buddo-24HRS'!E54,'29.0 Kitemu-Buddo'!E54)</f>
        <v>0.7142857142857143</v>
      </c>
      <c r="F54" s="49">
        <f>AVERAGE('23.09.19-Kitemu-Buddo'!F54,'24.09 Kitemu-Buddo'!F54,'25.09 Kitemu-Buddo'!F54,'27.09 Kitemu-Buddo'!F54,'26.09 Kitemu-Buddo-24 HRS'!F54,'28.09 Kitemu-Buddo-24HRS'!F54,'29.0 Kitemu-Buddo'!F54)</f>
        <v>2.4285714285714284</v>
      </c>
      <c r="G54" s="49">
        <f>AVERAGE('23.09.19-Kitemu-Buddo'!G54,'24.09 Kitemu-Buddo'!G54,'25.09 Kitemu-Buddo'!G54,'27.09 Kitemu-Buddo'!G54,'26.09 Kitemu-Buddo-24 HRS'!G54,'28.09 Kitemu-Buddo-24HRS'!G54,'29.0 Kitemu-Buddo'!G54)</f>
        <v>0</v>
      </c>
      <c r="H54" s="49">
        <f>AVERAGE('23.09.19-Kitemu-Buddo'!H54,'24.09 Kitemu-Buddo'!H54,'25.09 Kitemu-Buddo'!H54,'27.09 Kitemu-Buddo'!H54,'26.09 Kitemu-Buddo-24 HRS'!H54,'28.09 Kitemu-Buddo-24HRS'!H54,'29.0 Kitemu-Buddo'!H54)</f>
        <v>0</v>
      </c>
      <c r="I54" s="49">
        <f>AVERAGE('23.09.19-Kitemu-Buddo'!I54,'24.09 Kitemu-Buddo'!I54,'25.09 Kitemu-Buddo'!I54,'27.09 Kitemu-Buddo'!I54,'26.09 Kitemu-Buddo-24 HRS'!I54,'28.09 Kitemu-Buddo-24HRS'!I54,'29.0 Kitemu-Buddo'!I54)</f>
        <v>1.7142857142857142</v>
      </c>
      <c r="J54" s="49">
        <f>AVERAGE('23.09.19-Kitemu-Buddo'!J54,'24.09 Kitemu-Buddo'!J54,'25.09 Kitemu-Buddo'!J54,'27.09 Kitemu-Buddo'!J54,'26.09 Kitemu-Buddo-24 HRS'!J54,'28.09 Kitemu-Buddo-24HRS'!J54,'29.0 Kitemu-Buddo'!J54)</f>
        <v>0.42857142857142855</v>
      </c>
      <c r="K54" s="49">
        <f>AVERAGE('23.09.19-Kitemu-Buddo'!K54,'24.09 Kitemu-Buddo'!K54,'25.09 Kitemu-Buddo'!K54,'27.09 Kitemu-Buddo'!K54,'26.09 Kitemu-Buddo-24 HRS'!K54,'28.09 Kitemu-Buddo-24HRS'!K54,'29.0 Kitemu-Buddo'!K54)</f>
        <v>0</v>
      </c>
      <c r="L54" s="49">
        <f>AVERAGE('23.09.19-Kitemu-Buddo'!L54,'24.09 Kitemu-Buddo'!L54,'25.09 Kitemu-Buddo'!L54,'27.09 Kitemu-Buddo'!L54,'26.09 Kitemu-Buddo-24 HRS'!L54,'28.09 Kitemu-Buddo-24HRS'!L54,'29.0 Kitemu-Buddo'!L54)</f>
        <v>0</v>
      </c>
      <c r="M54" s="49">
        <f>AVERAGE('23.09.19-Kitemu-Buddo'!M54,'24.09 Kitemu-Buddo'!M54,'25.09 Kitemu-Buddo'!M54,'27.09 Kitemu-Buddo'!M54,'26.09 Kitemu-Buddo-24 HRS'!M54,'28.09 Kitemu-Buddo-24HRS'!M54,'29.0 Kitemu-Buddo'!M54)</f>
        <v>32.142857142857146</v>
      </c>
      <c r="N54" s="49">
        <f>AVERAGE('23.09.19-Kitemu-Buddo'!N54,'24.09 Kitemu-Buddo'!N54,'25.09 Kitemu-Buddo'!N54,'27.09 Kitemu-Buddo'!N54,'26.09 Kitemu-Buddo-24 HRS'!N54,'28.09 Kitemu-Buddo-24HRS'!N54,'29.0 Kitemu-Buddo'!N54)</f>
        <v>0</v>
      </c>
      <c r="O54" s="15">
        <f t="shared" si="0"/>
        <v>7.8571428571428568</v>
      </c>
      <c r="P54" s="15">
        <f t="shared" si="1"/>
        <v>40</v>
      </c>
      <c r="R54" s="8"/>
      <c r="T54"/>
    </row>
    <row r="55" spans="2:20" ht="23.1" customHeight="1" x14ac:dyDescent="0.25">
      <c r="B55" s="23" t="s">
        <v>82</v>
      </c>
      <c r="C55" s="49">
        <f>AVERAGE('23.09.19-Kitemu-Buddo'!C55,'24.09 Kitemu-Buddo'!C55,'25.09 Kitemu-Buddo'!C55,'27.09 Kitemu-Buddo'!C55,'26.09 Kitemu-Buddo-24 HRS'!C55,'28.09 Kitemu-Buddo-24HRS'!C55,'29.0 Kitemu-Buddo'!C55)</f>
        <v>3.5714285714285716</v>
      </c>
      <c r="D55" s="49">
        <f>AVERAGE('23.09.19-Kitemu-Buddo'!D55,'24.09 Kitemu-Buddo'!D55,'25.09 Kitemu-Buddo'!D55,'27.09 Kitemu-Buddo'!D55,'26.09 Kitemu-Buddo-24 HRS'!D55,'28.09 Kitemu-Buddo-24HRS'!D55,'29.0 Kitemu-Buddo'!D55)</f>
        <v>0.2857142857142857</v>
      </c>
      <c r="E55" s="49">
        <f>AVERAGE('23.09.19-Kitemu-Buddo'!E55,'24.09 Kitemu-Buddo'!E55,'25.09 Kitemu-Buddo'!E55,'27.09 Kitemu-Buddo'!E55,'26.09 Kitemu-Buddo-24 HRS'!E55,'28.09 Kitemu-Buddo-24HRS'!E55,'29.0 Kitemu-Buddo'!E55)</f>
        <v>0.7142857142857143</v>
      </c>
      <c r="F55" s="49">
        <f>AVERAGE('23.09.19-Kitemu-Buddo'!F55,'24.09 Kitemu-Buddo'!F55,'25.09 Kitemu-Buddo'!F55,'27.09 Kitemu-Buddo'!F55,'26.09 Kitemu-Buddo-24 HRS'!F55,'28.09 Kitemu-Buddo-24HRS'!F55,'29.0 Kitemu-Buddo'!F55)</f>
        <v>1.8571428571428572</v>
      </c>
      <c r="G55" s="49">
        <f>AVERAGE('23.09.19-Kitemu-Buddo'!G55,'24.09 Kitemu-Buddo'!G55,'25.09 Kitemu-Buddo'!G55,'27.09 Kitemu-Buddo'!G55,'26.09 Kitemu-Buddo-24 HRS'!G55,'28.09 Kitemu-Buddo-24HRS'!G55,'29.0 Kitemu-Buddo'!G55)</f>
        <v>0.2857142857142857</v>
      </c>
      <c r="H55" s="49">
        <f>AVERAGE('23.09.19-Kitemu-Buddo'!H55,'24.09 Kitemu-Buddo'!H55,'25.09 Kitemu-Buddo'!H55,'27.09 Kitemu-Buddo'!H55,'26.09 Kitemu-Buddo-24 HRS'!H55,'28.09 Kitemu-Buddo-24HRS'!H55,'29.0 Kitemu-Buddo'!H55)</f>
        <v>0.14285714285714285</v>
      </c>
      <c r="I55" s="49">
        <f>AVERAGE('23.09.19-Kitemu-Buddo'!I55,'24.09 Kitemu-Buddo'!I55,'25.09 Kitemu-Buddo'!I55,'27.09 Kitemu-Buddo'!I55,'26.09 Kitemu-Buddo-24 HRS'!I55,'28.09 Kitemu-Buddo-24HRS'!I55,'29.0 Kitemu-Buddo'!I55)</f>
        <v>0.8571428571428571</v>
      </c>
      <c r="J55" s="49">
        <f>AVERAGE('23.09.19-Kitemu-Buddo'!J55,'24.09 Kitemu-Buddo'!J55,'25.09 Kitemu-Buddo'!J55,'27.09 Kitemu-Buddo'!J55,'26.09 Kitemu-Buddo-24 HRS'!J55,'28.09 Kitemu-Buddo-24HRS'!J55,'29.0 Kitemu-Buddo'!J55)</f>
        <v>0.42857142857142855</v>
      </c>
      <c r="K55" s="49">
        <f>AVERAGE('23.09.19-Kitemu-Buddo'!K55,'24.09 Kitemu-Buddo'!K55,'25.09 Kitemu-Buddo'!K55,'27.09 Kitemu-Buddo'!K55,'26.09 Kitemu-Buddo-24 HRS'!K55,'28.09 Kitemu-Buddo-24HRS'!K55,'29.0 Kitemu-Buddo'!K55)</f>
        <v>0.14285714285714285</v>
      </c>
      <c r="L55" s="49">
        <f>AVERAGE('23.09.19-Kitemu-Buddo'!L55,'24.09 Kitemu-Buddo'!L55,'25.09 Kitemu-Buddo'!L55,'27.09 Kitemu-Buddo'!L55,'26.09 Kitemu-Buddo-24 HRS'!L55,'28.09 Kitemu-Buddo-24HRS'!L55,'29.0 Kitemu-Buddo'!L55)</f>
        <v>0</v>
      </c>
      <c r="M55" s="49">
        <f>AVERAGE('23.09.19-Kitemu-Buddo'!M55,'24.09 Kitemu-Buddo'!M55,'25.09 Kitemu-Buddo'!M55,'27.09 Kitemu-Buddo'!M55,'26.09 Kitemu-Buddo-24 HRS'!M55,'28.09 Kitemu-Buddo-24HRS'!M55,'29.0 Kitemu-Buddo'!M55)</f>
        <v>32.714285714285715</v>
      </c>
      <c r="N55" s="49">
        <f>AVERAGE('23.09.19-Kitemu-Buddo'!N55,'24.09 Kitemu-Buddo'!N55,'25.09 Kitemu-Buddo'!N55,'27.09 Kitemu-Buddo'!N55,'26.09 Kitemu-Buddo-24 HRS'!N55,'28.09 Kitemu-Buddo-24HRS'!N55,'29.0 Kitemu-Buddo'!N55)</f>
        <v>0</v>
      </c>
      <c r="O55" s="15">
        <f t="shared" si="0"/>
        <v>8.2857142857142847</v>
      </c>
      <c r="P55" s="15">
        <f t="shared" si="1"/>
        <v>41</v>
      </c>
      <c r="R55" s="8"/>
      <c r="T55"/>
    </row>
    <row r="56" spans="2:20" ht="23.1" customHeight="1" x14ac:dyDescent="0.25">
      <c r="B56" s="23" t="s">
        <v>83</v>
      </c>
      <c r="C56" s="49">
        <f>AVERAGE('23.09.19-Kitemu-Buddo'!C56,'24.09 Kitemu-Buddo'!C56,'25.09 Kitemu-Buddo'!C56,'27.09 Kitemu-Buddo'!C56,'26.09 Kitemu-Buddo-24 HRS'!C56,'28.09 Kitemu-Buddo-24HRS'!C56,'29.0 Kitemu-Buddo'!C56)</f>
        <v>5.2857142857142856</v>
      </c>
      <c r="D56" s="49">
        <f>AVERAGE('23.09.19-Kitemu-Buddo'!D56,'24.09 Kitemu-Buddo'!D56,'25.09 Kitemu-Buddo'!D56,'27.09 Kitemu-Buddo'!D56,'26.09 Kitemu-Buddo-24 HRS'!D56,'28.09 Kitemu-Buddo-24HRS'!D56,'29.0 Kitemu-Buddo'!D56)</f>
        <v>0.8571428571428571</v>
      </c>
      <c r="E56" s="49">
        <f>AVERAGE('23.09.19-Kitemu-Buddo'!E56,'24.09 Kitemu-Buddo'!E56,'25.09 Kitemu-Buddo'!E56,'27.09 Kitemu-Buddo'!E56,'26.09 Kitemu-Buddo-24 HRS'!E56,'28.09 Kitemu-Buddo-24HRS'!E56,'29.0 Kitemu-Buddo'!E56)</f>
        <v>0.2857142857142857</v>
      </c>
      <c r="F56" s="49">
        <f>AVERAGE('23.09.19-Kitemu-Buddo'!F56,'24.09 Kitemu-Buddo'!F56,'25.09 Kitemu-Buddo'!F56,'27.09 Kitemu-Buddo'!F56,'26.09 Kitemu-Buddo-24 HRS'!F56,'28.09 Kitemu-Buddo-24HRS'!F56,'29.0 Kitemu-Buddo'!F56)</f>
        <v>2.1428571428571428</v>
      </c>
      <c r="G56" s="49">
        <f>AVERAGE('23.09.19-Kitemu-Buddo'!G56,'24.09 Kitemu-Buddo'!G56,'25.09 Kitemu-Buddo'!G56,'27.09 Kitemu-Buddo'!G56,'26.09 Kitemu-Buddo-24 HRS'!G56,'28.09 Kitemu-Buddo-24HRS'!G56,'29.0 Kitemu-Buddo'!G56)</f>
        <v>0.2857142857142857</v>
      </c>
      <c r="H56" s="49">
        <f>AVERAGE('23.09.19-Kitemu-Buddo'!H56,'24.09 Kitemu-Buddo'!H56,'25.09 Kitemu-Buddo'!H56,'27.09 Kitemu-Buddo'!H56,'26.09 Kitemu-Buddo-24 HRS'!H56,'28.09 Kitemu-Buddo-24HRS'!H56,'29.0 Kitemu-Buddo'!H56)</f>
        <v>0</v>
      </c>
      <c r="I56" s="49">
        <f>AVERAGE('23.09.19-Kitemu-Buddo'!I56,'24.09 Kitemu-Buddo'!I56,'25.09 Kitemu-Buddo'!I56,'27.09 Kitemu-Buddo'!I56,'26.09 Kitemu-Buddo-24 HRS'!I56,'28.09 Kitemu-Buddo-24HRS'!I56,'29.0 Kitemu-Buddo'!I56)</f>
        <v>1.4285714285714286</v>
      </c>
      <c r="J56" s="49">
        <f>AVERAGE('23.09.19-Kitemu-Buddo'!J56,'24.09 Kitemu-Buddo'!J56,'25.09 Kitemu-Buddo'!J56,'27.09 Kitemu-Buddo'!J56,'26.09 Kitemu-Buddo-24 HRS'!J56,'28.09 Kitemu-Buddo-24HRS'!J56,'29.0 Kitemu-Buddo'!J56)</f>
        <v>0.5714285714285714</v>
      </c>
      <c r="K56" s="49">
        <f>AVERAGE('23.09.19-Kitemu-Buddo'!K56,'24.09 Kitemu-Buddo'!K56,'25.09 Kitemu-Buddo'!K56,'27.09 Kitemu-Buddo'!K56,'26.09 Kitemu-Buddo-24 HRS'!K56,'28.09 Kitemu-Buddo-24HRS'!K56,'29.0 Kitemu-Buddo'!K56)</f>
        <v>0</v>
      </c>
      <c r="L56" s="49">
        <f>AVERAGE('23.09.19-Kitemu-Buddo'!L56,'24.09 Kitemu-Buddo'!L56,'25.09 Kitemu-Buddo'!L56,'27.09 Kitemu-Buddo'!L56,'26.09 Kitemu-Buddo-24 HRS'!L56,'28.09 Kitemu-Buddo-24HRS'!L56,'29.0 Kitemu-Buddo'!L56)</f>
        <v>0</v>
      </c>
      <c r="M56" s="49">
        <f>AVERAGE('23.09.19-Kitemu-Buddo'!M56,'24.09 Kitemu-Buddo'!M56,'25.09 Kitemu-Buddo'!M56,'27.09 Kitemu-Buddo'!M56,'26.09 Kitemu-Buddo-24 HRS'!M56,'28.09 Kitemu-Buddo-24HRS'!M56,'29.0 Kitemu-Buddo'!M56)</f>
        <v>35.142857142857146</v>
      </c>
      <c r="N56" s="49">
        <f>AVERAGE('23.09.19-Kitemu-Buddo'!N56,'24.09 Kitemu-Buddo'!N56,'25.09 Kitemu-Buddo'!N56,'27.09 Kitemu-Buddo'!N56,'26.09 Kitemu-Buddo-24 HRS'!N56,'28.09 Kitemu-Buddo-24HRS'!N56,'29.0 Kitemu-Buddo'!N56)</f>
        <v>0</v>
      </c>
      <c r="O56" s="15">
        <f t="shared" si="0"/>
        <v>10.857142857142858</v>
      </c>
      <c r="P56" s="15">
        <f t="shared" si="1"/>
        <v>46</v>
      </c>
      <c r="R56" s="8"/>
      <c r="T56"/>
    </row>
    <row r="57" spans="2:20" ht="23.1" customHeight="1" x14ac:dyDescent="0.25">
      <c r="B57" s="23" t="s">
        <v>84</v>
      </c>
      <c r="C57" s="49">
        <f>AVERAGE('23.09.19-Kitemu-Buddo'!C57,'24.09 Kitemu-Buddo'!C57,'25.09 Kitemu-Buddo'!C57,'27.09 Kitemu-Buddo'!C57,'26.09 Kitemu-Buddo-24 HRS'!C57,'28.09 Kitemu-Buddo-24HRS'!C57,'29.0 Kitemu-Buddo'!C57)</f>
        <v>3.8571428571428572</v>
      </c>
      <c r="D57" s="49">
        <f>AVERAGE('23.09.19-Kitemu-Buddo'!D57,'24.09 Kitemu-Buddo'!D57,'25.09 Kitemu-Buddo'!D57,'27.09 Kitemu-Buddo'!D57,'26.09 Kitemu-Buddo-24 HRS'!D57,'28.09 Kitemu-Buddo-24HRS'!D57,'29.0 Kitemu-Buddo'!D57)</f>
        <v>1</v>
      </c>
      <c r="E57" s="49">
        <f>AVERAGE('23.09.19-Kitemu-Buddo'!E57,'24.09 Kitemu-Buddo'!E57,'25.09 Kitemu-Buddo'!E57,'27.09 Kitemu-Buddo'!E57,'26.09 Kitemu-Buddo-24 HRS'!E57,'28.09 Kitemu-Buddo-24HRS'!E57,'29.0 Kitemu-Buddo'!E57)</f>
        <v>0.8571428571428571</v>
      </c>
      <c r="F57" s="49">
        <f>AVERAGE('23.09.19-Kitemu-Buddo'!F57,'24.09 Kitemu-Buddo'!F57,'25.09 Kitemu-Buddo'!F57,'27.09 Kitemu-Buddo'!F57,'26.09 Kitemu-Buddo-24 HRS'!F57,'28.09 Kitemu-Buddo-24HRS'!F57,'29.0 Kitemu-Buddo'!F57)</f>
        <v>2.2857142857142856</v>
      </c>
      <c r="G57" s="49">
        <f>AVERAGE('23.09.19-Kitemu-Buddo'!G57,'24.09 Kitemu-Buddo'!G57,'25.09 Kitemu-Buddo'!G57,'27.09 Kitemu-Buddo'!G57,'26.09 Kitemu-Buddo-24 HRS'!G57,'28.09 Kitemu-Buddo-24HRS'!G57,'29.0 Kitemu-Buddo'!G57)</f>
        <v>0.5714285714285714</v>
      </c>
      <c r="H57" s="49">
        <f>AVERAGE('23.09.19-Kitemu-Buddo'!H57,'24.09 Kitemu-Buddo'!H57,'25.09 Kitemu-Buddo'!H57,'27.09 Kitemu-Buddo'!H57,'26.09 Kitemu-Buddo-24 HRS'!H57,'28.09 Kitemu-Buddo-24HRS'!H57,'29.0 Kitemu-Buddo'!H57)</f>
        <v>0</v>
      </c>
      <c r="I57" s="49">
        <f>AVERAGE('23.09.19-Kitemu-Buddo'!I57,'24.09 Kitemu-Buddo'!I57,'25.09 Kitemu-Buddo'!I57,'27.09 Kitemu-Buddo'!I57,'26.09 Kitemu-Buddo-24 HRS'!I57,'28.09 Kitemu-Buddo-24HRS'!I57,'29.0 Kitemu-Buddo'!I57)</f>
        <v>1.4285714285714286</v>
      </c>
      <c r="J57" s="49">
        <f>AVERAGE('23.09.19-Kitemu-Buddo'!J57,'24.09 Kitemu-Buddo'!J57,'25.09 Kitemu-Buddo'!J57,'27.09 Kitemu-Buddo'!J57,'26.09 Kitemu-Buddo-24 HRS'!J57,'28.09 Kitemu-Buddo-24HRS'!J57,'29.0 Kitemu-Buddo'!J57)</f>
        <v>0.2857142857142857</v>
      </c>
      <c r="K57" s="49">
        <f>AVERAGE('23.09.19-Kitemu-Buddo'!K57,'24.09 Kitemu-Buddo'!K57,'25.09 Kitemu-Buddo'!K57,'27.09 Kitemu-Buddo'!K57,'26.09 Kitemu-Buddo-24 HRS'!K57,'28.09 Kitemu-Buddo-24HRS'!K57,'29.0 Kitemu-Buddo'!K57)</f>
        <v>0.2857142857142857</v>
      </c>
      <c r="L57" s="49">
        <f>AVERAGE('23.09.19-Kitemu-Buddo'!L57,'24.09 Kitemu-Buddo'!L57,'25.09 Kitemu-Buddo'!L57,'27.09 Kitemu-Buddo'!L57,'26.09 Kitemu-Buddo-24 HRS'!L57,'28.09 Kitemu-Buddo-24HRS'!L57,'29.0 Kitemu-Buddo'!L57)</f>
        <v>0</v>
      </c>
      <c r="M57" s="49">
        <f>AVERAGE('23.09.19-Kitemu-Buddo'!M57,'24.09 Kitemu-Buddo'!M57,'25.09 Kitemu-Buddo'!M57,'27.09 Kitemu-Buddo'!M57,'26.09 Kitemu-Buddo-24 HRS'!M57,'28.09 Kitemu-Buddo-24HRS'!M57,'29.0 Kitemu-Buddo'!M57)</f>
        <v>37.714285714285715</v>
      </c>
      <c r="N57" s="49">
        <f>AVERAGE('23.09.19-Kitemu-Buddo'!N57,'24.09 Kitemu-Buddo'!N57,'25.09 Kitemu-Buddo'!N57,'27.09 Kitemu-Buddo'!N57,'26.09 Kitemu-Buddo-24 HRS'!N57,'28.09 Kitemu-Buddo-24HRS'!N57,'29.0 Kitemu-Buddo'!N57)</f>
        <v>0</v>
      </c>
      <c r="O57" s="15">
        <f t="shared" si="0"/>
        <v>10.571428571428573</v>
      </c>
      <c r="P57" s="15">
        <f t="shared" si="1"/>
        <v>48.285714285714292</v>
      </c>
      <c r="R57" s="8"/>
      <c r="T57"/>
    </row>
    <row r="58" spans="2:20" ht="23.1" customHeight="1" x14ac:dyDescent="0.25">
      <c r="B58" s="23" t="s">
        <v>99</v>
      </c>
      <c r="C58" s="49">
        <f>AVERAGE('26.09 Kitemu-Buddo-24 HRS'!C58,'28.09 Kitemu-Buddo-24HRS'!C58)</f>
        <v>5</v>
      </c>
      <c r="D58" s="49">
        <f>AVERAGE('26.09 Kitemu-Buddo-24 HRS'!D58,'28.09 Kitemu-Buddo-24HRS'!D58)</f>
        <v>0.5</v>
      </c>
      <c r="E58" s="49">
        <f>AVERAGE('26.09 Kitemu-Buddo-24 HRS'!E58,'28.09 Kitemu-Buddo-24HRS'!E58)</f>
        <v>1</v>
      </c>
      <c r="F58" s="49">
        <f>AVERAGE('26.09 Kitemu-Buddo-24 HRS'!F58,'28.09 Kitemu-Buddo-24HRS'!F58)</f>
        <v>2.5</v>
      </c>
      <c r="G58" s="49">
        <f>AVERAGE('26.09 Kitemu-Buddo-24 HRS'!G58,'28.09 Kitemu-Buddo-24HRS'!G58)</f>
        <v>0</v>
      </c>
      <c r="H58" s="49">
        <f>AVERAGE('26.09 Kitemu-Buddo-24 HRS'!H58,'28.09 Kitemu-Buddo-24HRS'!H58)</f>
        <v>0</v>
      </c>
      <c r="I58" s="49">
        <f>AVERAGE('26.09 Kitemu-Buddo-24 HRS'!I58,'28.09 Kitemu-Buddo-24HRS'!I58)</f>
        <v>2</v>
      </c>
      <c r="J58" s="49">
        <f>AVERAGE('26.09 Kitemu-Buddo-24 HRS'!J58,'28.09 Kitemu-Buddo-24HRS'!J58)</f>
        <v>0</v>
      </c>
      <c r="K58" s="49">
        <f>AVERAGE('26.09 Kitemu-Buddo-24 HRS'!K58,'28.09 Kitemu-Buddo-24HRS'!K58)</f>
        <v>0.5</v>
      </c>
      <c r="L58" s="49">
        <f>AVERAGE('26.09 Kitemu-Buddo-24 HRS'!L58,'28.09 Kitemu-Buddo-24HRS'!L58)</f>
        <v>0</v>
      </c>
      <c r="M58" s="49">
        <f>AVERAGE('26.09 Kitemu-Buddo-24 HRS'!M58,'28.09 Kitemu-Buddo-24HRS'!M58)</f>
        <v>35</v>
      </c>
      <c r="N58" s="49">
        <f>AVERAGE('26.09 Kitemu-Buddo-24 HRS'!N58,'28.09 Kitemu-Buddo-24HRS'!N58)</f>
        <v>0</v>
      </c>
      <c r="O58" s="15">
        <f t="shared" si="0"/>
        <v>11.5</v>
      </c>
      <c r="P58" s="15">
        <f t="shared" si="1"/>
        <v>46.5</v>
      </c>
      <c r="R58" s="8"/>
      <c r="T58"/>
    </row>
    <row r="59" spans="2:20" ht="23.1" customHeight="1" x14ac:dyDescent="0.25">
      <c r="B59" s="23" t="s">
        <v>100</v>
      </c>
      <c r="C59" s="49">
        <f>AVERAGE('26.09 Kitemu-Buddo-24 HRS'!C59,'28.09 Kitemu-Buddo-24HRS'!C59)</f>
        <v>5</v>
      </c>
      <c r="D59" s="49">
        <f>AVERAGE('26.09 Kitemu-Buddo-24 HRS'!D59,'28.09 Kitemu-Buddo-24HRS'!D59)</f>
        <v>0.5</v>
      </c>
      <c r="E59" s="49">
        <f>AVERAGE('26.09 Kitemu-Buddo-24 HRS'!E59,'28.09 Kitemu-Buddo-24HRS'!E59)</f>
        <v>2.5</v>
      </c>
      <c r="F59" s="49">
        <f>AVERAGE('26.09 Kitemu-Buddo-24 HRS'!F59,'28.09 Kitemu-Buddo-24HRS'!F59)</f>
        <v>3</v>
      </c>
      <c r="G59" s="49">
        <f>AVERAGE('26.09 Kitemu-Buddo-24 HRS'!G59,'28.09 Kitemu-Buddo-24HRS'!G59)</f>
        <v>0</v>
      </c>
      <c r="H59" s="49">
        <f>AVERAGE('26.09 Kitemu-Buddo-24 HRS'!H59,'28.09 Kitemu-Buddo-24HRS'!H59)</f>
        <v>0</v>
      </c>
      <c r="I59" s="49">
        <f>AVERAGE('26.09 Kitemu-Buddo-24 HRS'!I59,'28.09 Kitemu-Buddo-24HRS'!I59)</f>
        <v>2</v>
      </c>
      <c r="J59" s="49">
        <f>AVERAGE('26.09 Kitemu-Buddo-24 HRS'!J59,'28.09 Kitemu-Buddo-24HRS'!J59)</f>
        <v>0.5</v>
      </c>
      <c r="K59" s="49">
        <f>AVERAGE('26.09 Kitemu-Buddo-24 HRS'!K59,'28.09 Kitemu-Buddo-24HRS'!K59)</f>
        <v>0</v>
      </c>
      <c r="L59" s="49">
        <f>AVERAGE('26.09 Kitemu-Buddo-24 HRS'!L59,'28.09 Kitemu-Buddo-24HRS'!L59)</f>
        <v>0</v>
      </c>
      <c r="M59" s="49">
        <f>AVERAGE('26.09 Kitemu-Buddo-24 HRS'!M59,'28.09 Kitemu-Buddo-24HRS'!M59)</f>
        <v>44</v>
      </c>
      <c r="N59" s="49">
        <f>AVERAGE('26.09 Kitemu-Buddo-24 HRS'!N59,'28.09 Kitemu-Buddo-24HRS'!N59)</f>
        <v>0</v>
      </c>
      <c r="O59" s="15">
        <f t="shared" si="0"/>
        <v>13.5</v>
      </c>
      <c r="P59" s="15">
        <f t="shared" si="1"/>
        <v>57.5</v>
      </c>
      <c r="R59" s="8"/>
      <c r="T59"/>
    </row>
    <row r="60" spans="2:20" ht="23.1" customHeight="1" x14ac:dyDescent="0.25">
      <c r="B60" s="23" t="s">
        <v>101</v>
      </c>
      <c r="C60" s="49">
        <f>AVERAGE('26.09 Kitemu-Buddo-24 HRS'!C60,'28.09 Kitemu-Buddo-24HRS'!C60)</f>
        <v>4</v>
      </c>
      <c r="D60" s="49">
        <f>AVERAGE('26.09 Kitemu-Buddo-24 HRS'!D60,'28.09 Kitemu-Buddo-24HRS'!D60)</f>
        <v>3</v>
      </c>
      <c r="E60" s="49">
        <f>AVERAGE('26.09 Kitemu-Buddo-24 HRS'!E60,'28.09 Kitemu-Buddo-24HRS'!E60)</f>
        <v>1</v>
      </c>
      <c r="F60" s="49">
        <f>AVERAGE('26.09 Kitemu-Buddo-24 HRS'!F60,'28.09 Kitemu-Buddo-24HRS'!F60)</f>
        <v>3</v>
      </c>
      <c r="G60" s="49">
        <f>AVERAGE('26.09 Kitemu-Buddo-24 HRS'!G60,'28.09 Kitemu-Buddo-24HRS'!G60)</f>
        <v>0</v>
      </c>
      <c r="H60" s="49">
        <f>AVERAGE('26.09 Kitemu-Buddo-24 HRS'!H60,'28.09 Kitemu-Buddo-24HRS'!H60)</f>
        <v>0</v>
      </c>
      <c r="I60" s="49">
        <f>AVERAGE('26.09 Kitemu-Buddo-24 HRS'!I60,'28.09 Kitemu-Buddo-24HRS'!I60)</f>
        <v>1</v>
      </c>
      <c r="J60" s="49">
        <f>AVERAGE('26.09 Kitemu-Buddo-24 HRS'!J60,'28.09 Kitemu-Buddo-24HRS'!J60)</f>
        <v>0</v>
      </c>
      <c r="K60" s="49">
        <f>AVERAGE('26.09 Kitemu-Buddo-24 HRS'!K60,'28.09 Kitemu-Buddo-24HRS'!K60)</f>
        <v>0</v>
      </c>
      <c r="L60" s="49">
        <f>AVERAGE('26.09 Kitemu-Buddo-24 HRS'!L60,'28.09 Kitemu-Buddo-24HRS'!L60)</f>
        <v>0</v>
      </c>
      <c r="M60" s="49">
        <f>AVERAGE('26.09 Kitemu-Buddo-24 HRS'!M60,'28.09 Kitemu-Buddo-24HRS'!M60)</f>
        <v>45</v>
      </c>
      <c r="N60" s="49">
        <f>AVERAGE('26.09 Kitemu-Buddo-24 HRS'!N60,'28.09 Kitemu-Buddo-24HRS'!N60)</f>
        <v>0</v>
      </c>
      <c r="O60" s="15">
        <f t="shared" si="0"/>
        <v>12</v>
      </c>
      <c r="P60" s="15">
        <f t="shared" si="1"/>
        <v>57</v>
      </c>
      <c r="R60" s="8"/>
      <c r="T60"/>
    </row>
    <row r="61" spans="2:20" ht="23.1" customHeight="1" x14ac:dyDescent="0.25">
      <c r="B61" s="23" t="s">
        <v>102</v>
      </c>
      <c r="C61" s="49">
        <f>AVERAGE('26.09 Kitemu-Buddo-24 HRS'!C61,'28.09 Kitemu-Buddo-24HRS'!C61)</f>
        <v>4</v>
      </c>
      <c r="D61" s="49">
        <f>AVERAGE('26.09 Kitemu-Buddo-24 HRS'!D61,'28.09 Kitemu-Buddo-24HRS'!D61)</f>
        <v>0.5</v>
      </c>
      <c r="E61" s="49">
        <f>AVERAGE('26.09 Kitemu-Buddo-24 HRS'!E61,'28.09 Kitemu-Buddo-24HRS'!E61)</f>
        <v>2.5</v>
      </c>
      <c r="F61" s="49">
        <f>AVERAGE('26.09 Kitemu-Buddo-24 HRS'!F61,'28.09 Kitemu-Buddo-24HRS'!F61)</f>
        <v>2</v>
      </c>
      <c r="G61" s="49">
        <f>AVERAGE('26.09 Kitemu-Buddo-24 HRS'!G61,'28.09 Kitemu-Buddo-24HRS'!G61)</f>
        <v>0</v>
      </c>
      <c r="H61" s="49">
        <f>AVERAGE('26.09 Kitemu-Buddo-24 HRS'!H61,'28.09 Kitemu-Buddo-24HRS'!H61)</f>
        <v>0</v>
      </c>
      <c r="I61" s="49">
        <f>AVERAGE('26.09 Kitemu-Buddo-24 HRS'!I61,'28.09 Kitemu-Buddo-24HRS'!I61)</f>
        <v>0.5</v>
      </c>
      <c r="J61" s="49">
        <f>AVERAGE('26.09 Kitemu-Buddo-24 HRS'!J61,'28.09 Kitemu-Buddo-24HRS'!J61)</f>
        <v>1.5</v>
      </c>
      <c r="K61" s="49">
        <f>AVERAGE('26.09 Kitemu-Buddo-24 HRS'!K61,'28.09 Kitemu-Buddo-24HRS'!K61)</f>
        <v>0</v>
      </c>
      <c r="L61" s="49">
        <f>AVERAGE('26.09 Kitemu-Buddo-24 HRS'!L61,'28.09 Kitemu-Buddo-24HRS'!L61)</f>
        <v>0</v>
      </c>
      <c r="M61" s="49">
        <f>AVERAGE('26.09 Kitemu-Buddo-24 HRS'!M61,'28.09 Kitemu-Buddo-24HRS'!M61)</f>
        <v>52.5</v>
      </c>
      <c r="N61" s="49">
        <f>AVERAGE('26.09 Kitemu-Buddo-24 HRS'!N61,'28.09 Kitemu-Buddo-24HRS'!N61)</f>
        <v>0</v>
      </c>
      <c r="O61" s="15">
        <f t="shared" si="0"/>
        <v>11</v>
      </c>
      <c r="P61" s="15">
        <f t="shared" si="1"/>
        <v>63.5</v>
      </c>
      <c r="R61" s="8"/>
      <c r="T61"/>
    </row>
    <row r="62" spans="2:20" ht="23.1" customHeight="1" x14ac:dyDescent="0.25">
      <c r="B62" s="23" t="s">
        <v>107</v>
      </c>
      <c r="C62" s="49">
        <f>AVERAGE('26.09 Kitemu-Buddo-24 HRS'!C62,'28.09 Kitemu-Buddo-24HRS'!C62)</f>
        <v>3.5</v>
      </c>
      <c r="D62" s="49">
        <f>AVERAGE('26.09 Kitemu-Buddo-24 HRS'!D62,'28.09 Kitemu-Buddo-24HRS'!D62)</f>
        <v>0</v>
      </c>
      <c r="E62" s="49">
        <f>AVERAGE('26.09 Kitemu-Buddo-24 HRS'!E62,'28.09 Kitemu-Buddo-24HRS'!E62)</f>
        <v>1.5</v>
      </c>
      <c r="F62" s="49">
        <f>AVERAGE('26.09 Kitemu-Buddo-24 HRS'!F62,'28.09 Kitemu-Buddo-24HRS'!F62)</f>
        <v>2.5</v>
      </c>
      <c r="G62" s="49">
        <f>AVERAGE('26.09 Kitemu-Buddo-24 HRS'!G62,'28.09 Kitemu-Buddo-24HRS'!G62)</f>
        <v>0</v>
      </c>
      <c r="H62" s="49">
        <f>AVERAGE('26.09 Kitemu-Buddo-24 HRS'!H62,'28.09 Kitemu-Buddo-24HRS'!H62)</f>
        <v>0</v>
      </c>
      <c r="I62" s="49">
        <f>AVERAGE('26.09 Kitemu-Buddo-24 HRS'!I62,'28.09 Kitemu-Buddo-24HRS'!I62)</f>
        <v>2.5</v>
      </c>
      <c r="J62" s="49">
        <f>AVERAGE('26.09 Kitemu-Buddo-24 HRS'!J62,'28.09 Kitemu-Buddo-24HRS'!J62)</f>
        <v>0.5</v>
      </c>
      <c r="K62" s="49">
        <f>AVERAGE('26.09 Kitemu-Buddo-24 HRS'!K62,'28.09 Kitemu-Buddo-24HRS'!K62)</f>
        <v>0</v>
      </c>
      <c r="L62" s="49">
        <f>AVERAGE('26.09 Kitemu-Buddo-24 HRS'!L62,'28.09 Kitemu-Buddo-24HRS'!L62)</f>
        <v>0</v>
      </c>
      <c r="M62" s="49">
        <f>AVERAGE('26.09 Kitemu-Buddo-24 HRS'!M62,'28.09 Kitemu-Buddo-24HRS'!M62)</f>
        <v>46</v>
      </c>
      <c r="N62" s="49">
        <f>AVERAGE('26.09 Kitemu-Buddo-24 HRS'!N62,'28.09 Kitemu-Buddo-24HRS'!N62)</f>
        <v>0</v>
      </c>
      <c r="O62" s="15">
        <f t="shared" si="0"/>
        <v>10.5</v>
      </c>
      <c r="P62" s="15">
        <f t="shared" si="1"/>
        <v>56.5</v>
      </c>
      <c r="R62" s="8"/>
      <c r="T62"/>
    </row>
    <row r="63" spans="2:20" ht="23.1" customHeight="1" x14ac:dyDescent="0.25">
      <c r="B63" s="23" t="s">
        <v>108</v>
      </c>
      <c r="C63" s="49">
        <f>AVERAGE('26.09 Kitemu-Buddo-24 HRS'!C63,'28.09 Kitemu-Buddo-24HRS'!C63)</f>
        <v>4</v>
      </c>
      <c r="D63" s="49">
        <f>AVERAGE('26.09 Kitemu-Buddo-24 HRS'!D63,'28.09 Kitemu-Buddo-24HRS'!D63)</f>
        <v>2</v>
      </c>
      <c r="E63" s="49">
        <f>AVERAGE('26.09 Kitemu-Buddo-24 HRS'!E63,'28.09 Kitemu-Buddo-24HRS'!E63)</f>
        <v>0</v>
      </c>
      <c r="F63" s="49">
        <f>AVERAGE('26.09 Kitemu-Buddo-24 HRS'!F63,'28.09 Kitemu-Buddo-24HRS'!F63)</f>
        <v>3.5</v>
      </c>
      <c r="G63" s="49">
        <f>AVERAGE('26.09 Kitemu-Buddo-24 HRS'!G63,'28.09 Kitemu-Buddo-24HRS'!G63)</f>
        <v>0</v>
      </c>
      <c r="H63" s="49">
        <f>AVERAGE('26.09 Kitemu-Buddo-24 HRS'!H63,'28.09 Kitemu-Buddo-24HRS'!H63)</f>
        <v>0</v>
      </c>
      <c r="I63" s="49">
        <f>AVERAGE('26.09 Kitemu-Buddo-24 HRS'!I63,'28.09 Kitemu-Buddo-24HRS'!I63)</f>
        <v>1</v>
      </c>
      <c r="J63" s="49">
        <f>AVERAGE('26.09 Kitemu-Buddo-24 HRS'!J63,'28.09 Kitemu-Buddo-24HRS'!J63)</f>
        <v>2</v>
      </c>
      <c r="K63" s="49">
        <f>AVERAGE('26.09 Kitemu-Buddo-24 HRS'!K63,'28.09 Kitemu-Buddo-24HRS'!K63)</f>
        <v>0.5</v>
      </c>
      <c r="L63" s="49">
        <f>AVERAGE('26.09 Kitemu-Buddo-24 HRS'!L63,'28.09 Kitemu-Buddo-24HRS'!L63)</f>
        <v>0</v>
      </c>
      <c r="M63" s="49">
        <f>AVERAGE('26.09 Kitemu-Buddo-24 HRS'!M63,'28.09 Kitemu-Buddo-24HRS'!M63)</f>
        <v>45.5</v>
      </c>
      <c r="N63" s="49">
        <f>AVERAGE('26.09 Kitemu-Buddo-24 HRS'!N63,'28.09 Kitemu-Buddo-24HRS'!N63)</f>
        <v>0</v>
      </c>
      <c r="O63" s="15">
        <f t="shared" si="0"/>
        <v>13</v>
      </c>
      <c r="P63" s="15">
        <f t="shared" si="1"/>
        <v>58.5</v>
      </c>
      <c r="R63" s="8"/>
      <c r="T63"/>
    </row>
    <row r="64" spans="2:20" ht="23.1" customHeight="1" x14ac:dyDescent="0.25">
      <c r="B64" s="23" t="s">
        <v>109</v>
      </c>
      <c r="C64" s="49">
        <f>AVERAGE('26.09 Kitemu-Buddo-24 HRS'!C64,'28.09 Kitemu-Buddo-24HRS'!C64)</f>
        <v>3.5</v>
      </c>
      <c r="D64" s="49">
        <f>AVERAGE('26.09 Kitemu-Buddo-24 HRS'!D64,'28.09 Kitemu-Buddo-24HRS'!D64)</f>
        <v>1</v>
      </c>
      <c r="E64" s="49">
        <f>AVERAGE('26.09 Kitemu-Buddo-24 HRS'!E64,'28.09 Kitemu-Buddo-24HRS'!E64)</f>
        <v>1</v>
      </c>
      <c r="F64" s="49">
        <f>AVERAGE('26.09 Kitemu-Buddo-24 HRS'!F64,'28.09 Kitemu-Buddo-24HRS'!F64)</f>
        <v>3.5</v>
      </c>
      <c r="G64" s="49">
        <f>AVERAGE('26.09 Kitemu-Buddo-24 HRS'!G64,'28.09 Kitemu-Buddo-24HRS'!G64)</f>
        <v>0</v>
      </c>
      <c r="H64" s="49">
        <f>AVERAGE('26.09 Kitemu-Buddo-24 HRS'!H64,'28.09 Kitemu-Buddo-24HRS'!H64)</f>
        <v>0</v>
      </c>
      <c r="I64" s="49">
        <f>AVERAGE('26.09 Kitemu-Buddo-24 HRS'!I64,'28.09 Kitemu-Buddo-24HRS'!I64)</f>
        <v>1</v>
      </c>
      <c r="J64" s="49">
        <f>AVERAGE('26.09 Kitemu-Buddo-24 HRS'!J64,'28.09 Kitemu-Buddo-24HRS'!J64)</f>
        <v>1</v>
      </c>
      <c r="K64" s="49">
        <f>AVERAGE('26.09 Kitemu-Buddo-24 HRS'!K64,'28.09 Kitemu-Buddo-24HRS'!K64)</f>
        <v>0.5</v>
      </c>
      <c r="L64" s="49">
        <f>AVERAGE('26.09 Kitemu-Buddo-24 HRS'!L64,'28.09 Kitemu-Buddo-24HRS'!L64)</f>
        <v>0</v>
      </c>
      <c r="M64" s="49">
        <f>AVERAGE('26.09 Kitemu-Buddo-24 HRS'!M64,'28.09 Kitemu-Buddo-24HRS'!M64)</f>
        <v>46</v>
      </c>
      <c r="N64" s="49">
        <f>AVERAGE('26.09 Kitemu-Buddo-24 HRS'!N64,'28.09 Kitemu-Buddo-24HRS'!N64)</f>
        <v>0</v>
      </c>
      <c r="O64" s="15">
        <f t="shared" si="0"/>
        <v>11.5</v>
      </c>
      <c r="P64" s="15">
        <f t="shared" si="1"/>
        <v>57.5</v>
      </c>
      <c r="R64" s="8"/>
      <c r="T64"/>
    </row>
    <row r="65" spans="2:20" ht="23.1" customHeight="1" x14ac:dyDescent="0.25">
      <c r="B65" s="23" t="s">
        <v>158</v>
      </c>
      <c r="C65" s="49">
        <f>AVERAGE('26.09 Kitemu-Buddo-24 HRS'!C65,'28.09 Kitemu-Buddo-24HRS'!C65)</f>
        <v>3.5</v>
      </c>
      <c r="D65" s="49">
        <f>AVERAGE('26.09 Kitemu-Buddo-24 HRS'!D65,'28.09 Kitemu-Buddo-24HRS'!D65)</f>
        <v>0</v>
      </c>
      <c r="E65" s="49">
        <f>AVERAGE('26.09 Kitemu-Buddo-24 HRS'!E65,'28.09 Kitemu-Buddo-24HRS'!E65)</f>
        <v>1</v>
      </c>
      <c r="F65" s="49">
        <f>AVERAGE('26.09 Kitemu-Buddo-24 HRS'!F65,'28.09 Kitemu-Buddo-24HRS'!F65)</f>
        <v>2.5</v>
      </c>
      <c r="G65" s="49">
        <f>AVERAGE('26.09 Kitemu-Buddo-24 HRS'!G65,'28.09 Kitemu-Buddo-24HRS'!G65)</f>
        <v>0.5</v>
      </c>
      <c r="H65" s="49">
        <f>AVERAGE('26.09 Kitemu-Buddo-24 HRS'!H65,'28.09 Kitemu-Buddo-24HRS'!H65)</f>
        <v>0</v>
      </c>
      <c r="I65" s="49">
        <f>AVERAGE('26.09 Kitemu-Buddo-24 HRS'!I65,'28.09 Kitemu-Buddo-24HRS'!I65)</f>
        <v>1.5</v>
      </c>
      <c r="J65" s="49">
        <f>AVERAGE('26.09 Kitemu-Buddo-24 HRS'!J65,'28.09 Kitemu-Buddo-24HRS'!J65)</f>
        <v>0.5</v>
      </c>
      <c r="K65" s="49">
        <f>AVERAGE('26.09 Kitemu-Buddo-24 HRS'!K65,'28.09 Kitemu-Buddo-24HRS'!K65)</f>
        <v>0</v>
      </c>
      <c r="L65" s="49">
        <f>AVERAGE('26.09 Kitemu-Buddo-24 HRS'!L65,'28.09 Kitemu-Buddo-24HRS'!L65)</f>
        <v>0</v>
      </c>
      <c r="M65" s="49">
        <f>AVERAGE('26.09 Kitemu-Buddo-24 HRS'!M65,'28.09 Kitemu-Buddo-24HRS'!M65)</f>
        <v>42</v>
      </c>
      <c r="N65" s="49">
        <f>AVERAGE('26.09 Kitemu-Buddo-24 HRS'!N65,'28.09 Kitemu-Buddo-24HRS'!N65)</f>
        <v>0</v>
      </c>
      <c r="O65" s="15">
        <f t="shared" si="0"/>
        <v>9.5</v>
      </c>
      <c r="P65" s="15">
        <f t="shared" si="1"/>
        <v>51.5</v>
      </c>
      <c r="R65" s="8"/>
      <c r="T65"/>
    </row>
    <row r="66" spans="2:20" ht="23.1" customHeight="1" x14ac:dyDescent="0.25">
      <c r="B66" s="23" t="s">
        <v>103</v>
      </c>
      <c r="C66" s="49">
        <f>AVERAGE('26.09 Kitemu-Buddo-24 HRS'!C66,'28.09 Kitemu-Buddo-24HRS'!C66)</f>
        <v>3</v>
      </c>
      <c r="D66" s="49">
        <f>AVERAGE('26.09 Kitemu-Buddo-24 HRS'!D66,'28.09 Kitemu-Buddo-24HRS'!D66)</f>
        <v>0.5</v>
      </c>
      <c r="E66" s="49">
        <f>AVERAGE('26.09 Kitemu-Buddo-24 HRS'!E66,'28.09 Kitemu-Buddo-24HRS'!E66)</f>
        <v>1.5</v>
      </c>
      <c r="F66" s="49">
        <f>AVERAGE('26.09 Kitemu-Buddo-24 HRS'!F66,'28.09 Kitemu-Buddo-24HRS'!F66)</f>
        <v>2</v>
      </c>
      <c r="G66" s="49">
        <f>AVERAGE('26.09 Kitemu-Buddo-24 HRS'!G66,'28.09 Kitemu-Buddo-24HRS'!G66)</f>
        <v>0</v>
      </c>
      <c r="H66" s="49">
        <f>AVERAGE('26.09 Kitemu-Buddo-24 HRS'!H66,'28.09 Kitemu-Buddo-24HRS'!H66)</f>
        <v>0</v>
      </c>
      <c r="I66" s="49">
        <f>AVERAGE('26.09 Kitemu-Buddo-24 HRS'!I66,'28.09 Kitemu-Buddo-24HRS'!I66)</f>
        <v>0</v>
      </c>
      <c r="J66" s="49">
        <f>AVERAGE('26.09 Kitemu-Buddo-24 HRS'!J66,'28.09 Kitemu-Buddo-24HRS'!J66)</f>
        <v>0.5</v>
      </c>
      <c r="K66" s="49">
        <f>AVERAGE('26.09 Kitemu-Buddo-24 HRS'!K66,'28.09 Kitemu-Buddo-24HRS'!K66)</f>
        <v>0</v>
      </c>
      <c r="L66" s="49">
        <f>AVERAGE('26.09 Kitemu-Buddo-24 HRS'!L66,'28.09 Kitemu-Buddo-24HRS'!L66)</f>
        <v>0</v>
      </c>
      <c r="M66" s="49">
        <f>AVERAGE('26.09 Kitemu-Buddo-24 HRS'!M66,'28.09 Kitemu-Buddo-24HRS'!M66)</f>
        <v>59</v>
      </c>
      <c r="N66" s="49">
        <f>AVERAGE('26.09 Kitemu-Buddo-24 HRS'!N66,'28.09 Kitemu-Buddo-24HRS'!N66)</f>
        <v>0</v>
      </c>
      <c r="O66" s="15">
        <f t="shared" si="0"/>
        <v>7.5</v>
      </c>
      <c r="P66" s="15">
        <f t="shared" si="1"/>
        <v>66.5</v>
      </c>
      <c r="R66" s="8"/>
      <c r="T66"/>
    </row>
    <row r="67" spans="2:20" ht="23.1" customHeight="1" x14ac:dyDescent="0.25">
      <c r="B67" s="23" t="s">
        <v>104</v>
      </c>
      <c r="C67" s="49">
        <f>AVERAGE('26.09 Kitemu-Buddo-24 HRS'!C67,'28.09 Kitemu-Buddo-24HRS'!C67)</f>
        <v>4.5</v>
      </c>
      <c r="D67" s="49">
        <f>AVERAGE('26.09 Kitemu-Buddo-24 HRS'!D67,'28.09 Kitemu-Buddo-24HRS'!D67)</f>
        <v>0.5</v>
      </c>
      <c r="E67" s="49">
        <f>AVERAGE('26.09 Kitemu-Buddo-24 HRS'!E67,'28.09 Kitemu-Buddo-24HRS'!E67)</f>
        <v>0</v>
      </c>
      <c r="F67" s="49">
        <f>AVERAGE('26.09 Kitemu-Buddo-24 HRS'!F67,'28.09 Kitemu-Buddo-24HRS'!F67)</f>
        <v>3</v>
      </c>
      <c r="G67" s="49">
        <f>AVERAGE('26.09 Kitemu-Buddo-24 HRS'!G67,'28.09 Kitemu-Buddo-24HRS'!G67)</f>
        <v>0</v>
      </c>
      <c r="H67" s="49">
        <f>AVERAGE('26.09 Kitemu-Buddo-24 HRS'!H67,'28.09 Kitemu-Buddo-24HRS'!H67)</f>
        <v>0</v>
      </c>
      <c r="I67" s="49">
        <f>AVERAGE('26.09 Kitemu-Buddo-24 HRS'!I67,'28.09 Kitemu-Buddo-24HRS'!I67)</f>
        <v>0</v>
      </c>
      <c r="J67" s="49">
        <f>AVERAGE('26.09 Kitemu-Buddo-24 HRS'!J67,'28.09 Kitemu-Buddo-24HRS'!J67)</f>
        <v>0</v>
      </c>
      <c r="K67" s="49">
        <f>AVERAGE('26.09 Kitemu-Buddo-24 HRS'!K67,'28.09 Kitemu-Buddo-24HRS'!K67)</f>
        <v>1</v>
      </c>
      <c r="L67" s="49">
        <f>AVERAGE('26.09 Kitemu-Buddo-24 HRS'!L67,'28.09 Kitemu-Buddo-24HRS'!L67)</f>
        <v>0</v>
      </c>
      <c r="M67" s="49">
        <f>AVERAGE('26.09 Kitemu-Buddo-24 HRS'!M67,'28.09 Kitemu-Buddo-24HRS'!M67)</f>
        <v>54.5</v>
      </c>
      <c r="N67" s="49">
        <f>AVERAGE('26.09 Kitemu-Buddo-24 HRS'!N67,'28.09 Kitemu-Buddo-24HRS'!N67)</f>
        <v>0</v>
      </c>
      <c r="O67" s="15">
        <f t="shared" si="0"/>
        <v>9</v>
      </c>
      <c r="P67" s="15">
        <f t="shared" si="1"/>
        <v>63.5</v>
      </c>
      <c r="R67" s="8"/>
      <c r="T67"/>
    </row>
    <row r="68" spans="2:20" ht="23.1" customHeight="1" x14ac:dyDescent="0.25">
      <c r="B68" s="23" t="s">
        <v>105</v>
      </c>
      <c r="C68" s="49">
        <f>AVERAGE('26.09 Kitemu-Buddo-24 HRS'!C68,'28.09 Kitemu-Buddo-24HRS'!C68)</f>
        <v>4</v>
      </c>
      <c r="D68" s="49">
        <f>AVERAGE('26.09 Kitemu-Buddo-24 HRS'!D68,'28.09 Kitemu-Buddo-24HRS'!D68)</f>
        <v>2.5</v>
      </c>
      <c r="E68" s="49">
        <f>AVERAGE('26.09 Kitemu-Buddo-24 HRS'!E68,'28.09 Kitemu-Buddo-24HRS'!E68)</f>
        <v>0.5</v>
      </c>
      <c r="F68" s="49">
        <f>AVERAGE('26.09 Kitemu-Buddo-24 HRS'!F68,'28.09 Kitemu-Buddo-24HRS'!F68)</f>
        <v>3</v>
      </c>
      <c r="G68" s="49">
        <f>AVERAGE('26.09 Kitemu-Buddo-24 HRS'!G68,'28.09 Kitemu-Buddo-24HRS'!G68)</f>
        <v>0</v>
      </c>
      <c r="H68" s="49">
        <f>AVERAGE('26.09 Kitemu-Buddo-24 HRS'!H68,'28.09 Kitemu-Buddo-24HRS'!H68)</f>
        <v>0</v>
      </c>
      <c r="I68" s="49">
        <f>AVERAGE('26.09 Kitemu-Buddo-24 HRS'!I68,'28.09 Kitemu-Buddo-24HRS'!I68)</f>
        <v>1</v>
      </c>
      <c r="J68" s="49">
        <f>AVERAGE('26.09 Kitemu-Buddo-24 HRS'!J68,'28.09 Kitemu-Buddo-24HRS'!J68)</f>
        <v>0</v>
      </c>
      <c r="K68" s="49">
        <f>AVERAGE('26.09 Kitemu-Buddo-24 HRS'!K68,'28.09 Kitemu-Buddo-24HRS'!K68)</f>
        <v>0</v>
      </c>
      <c r="L68" s="49">
        <f>AVERAGE('26.09 Kitemu-Buddo-24 HRS'!L68,'28.09 Kitemu-Buddo-24HRS'!L68)</f>
        <v>0</v>
      </c>
      <c r="M68" s="49">
        <f>AVERAGE('26.09 Kitemu-Buddo-24 HRS'!M68,'28.09 Kitemu-Buddo-24HRS'!M68)</f>
        <v>53.5</v>
      </c>
      <c r="N68" s="49">
        <f>AVERAGE('26.09 Kitemu-Buddo-24 HRS'!N68,'28.09 Kitemu-Buddo-24HRS'!N68)</f>
        <v>0</v>
      </c>
      <c r="O68" s="15">
        <f t="shared" si="0"/>
        <v>11</v>
      </c>
      <c r="P68" s="15">
        <f t="shared" si="1"/>
        <v>64.5</v>
      </c>
      <c r="R68" s="8"/>
      <c r="T68"/>
    </row>
    <row r="69" spans="2:20" ht="23.1" customHeight="1" x14ac:dyDescent="0.25">
      <c r="B69" s="23" t="s">
        <v>106</v>
      </c>
      <c r="C69" s="49">
        <f>AVERAGE('26.09 Kitemu-Buddo-24 HRS'!C69,'28.09 Kitemu-Buddo-24HRS'!C69)</f>
        <v>3.5</v>
      </c>
      <c r="D69" s="49">
        <f>AVERAGE('26.09 Kitemu-Buddo-24 HRS'!D69,'28.09 Kitemu-Buddo-24HRS'!D69)</f>
        <v>1.5</v>
      </c>
      <c r="E69" s="49">
        <f>AVERAGE('26.09 Kitemu-Buddo-24 HRS'!E69,'28.09 Kitemu-Buddo-24HRS'!E69)</f>
        <v>0</v>
      </c>
      <c r="F69" s="49">
        <f>AVERAGE('26.09 Kitemu-Buddo-24 HRS'!F69,'28.09 Kitemu-Buddo-24HRS'!F69)</f>
        <v>3</v>
      </c>
      <c r="G69" s="49">
        <f>AVERAGE('26.09 Kitemu-Buddo-24 HRS'!G69,'28.09 Kitemu-Buddo-24HRS'!G69)</f>
        <v>0</v>
      </c>
      <c r="H69" s="49">
        <f>AVERAGE('26.09 Kitemu-Buddo-24 HRS'!H69,'28.09 Kitemu-Buddo-24HRS'!H69)</f>
        <v>0</v>
      </c>
      <c r="I69" s="49">
        <f>AVERAGE('26.09 Kitemu-Buddo-24 HRS'!I69,'28.09 Kitemu-Buddo-24HRS'!I69)</f>
        <v>0.5</v>
      </c>
      <c r="J69" s="49">
        <f>AVERAGE('26.09 Kitemu-Buddo-24 HRS'!J69,'28.09 Kitemu-Buddo-24HRS'!J69)</f>
        <v>0.5</v>
      </c>
      <c r="K69" s="49">
        <f>AVERAGE('26.09 Kitemu-Buddo-24 HRS'!K69,'28.09 Kitemu-Buddo-24HRS'!K69)</f>
        <v>0</v>
      </c>
      <c r="L69" s="49">
        <f>AVERAGE('26.09 Kitemu-Buddo-24 HRS'!L69,'28.09 Kitemu-Buddo-24HRS'!L69)</f>
        <v>0</v>
      </c>
      <c r="M69" s="49">
        <f>AVERAGE('26.09 Kitemu-Buddo-24 HRS'!M69,'28.09 Kitemu-Buddo-24HRS'!M69)</f>
        <v>51.5</v>
      </c>
      <c r="N69" s="49">
        <f>AVERAGE('26.09 Kitemu-Buddo-24 HRS'!N69,'28.09 Kitemu-Buddo-24HRS'!N69)</f>
        <v>0</v>
      </c>
      <c r="O69" s="15">
        <f t="shared" si="0"/>
        <v>9</v>
      </c>
      <c r="P69" s="15">
        <f t="shared" si="1"/>
        <v>60.5</v>
      </c>
      <c r="R69" s="8"/>
      <c r="T69"/>
    </row>
    <row r="70" spans="2:20" ht="23.1" customHeight="1" x14ac:dyDescent="0.25">
      <c r="B70" s="23" t="s">
        <v>110</v>
      </c>
      <c r="C70" s="49">
        <f>AVERAGE('26.09 Kitemu-Buddo-24 HRS'!C70,'28.09 Kitemu-Buddo-24HRS'!C70)</f>
        <v>3.5</v>
      </c>
      <c r="D70" s="49">
        <f>AVERAGE('26.09 Kitemu-Buddo-24 HRS'!D70,'28.09 Kitemu-Buddo-24HRS'!D70)</f>
        <v>0.5</v>
      </c>
      <c r="E70" s="49">
        <f>AVERAGE('26.09 Kitemu-Buddo-24 HRS'!E70,'28.09 Kitemu-Buddo-24HRS'!E70)</f>
        <v>0</v>
      </c>
      <c r="F70" s="49">
        <f>AVERAGE('26.09 Kitemu-Buddo-24 HRS'!F70,'28.09 Kitemu-Buddo-24HRS'!F70)</f>
        <v>3</v>
      </c>
      <c r="G70" s="49">
        <f>AVERAGE('26.09 Kitemu-Buddo-24 HRS'!G70,'28.09 Kitemu-Buddo-24HRS'!G70)</f>
        <v>0</v>
      </c>
      <c r="H70" s="49">
        <f>AVERAGE('26.09 Kitemu-Buddo-24 HRS'!H70,'28.09 Kitemu-Buddo-24HRS'!H70)</f>
        <v>0</v>
      </c>
      <c r="I70" s="49">
        <f>AVERAGE('26.09 Kitemu-Buddo-24 HRS'!I70,'28.09 Kitemu-Buddo-24HRS'!I70)</f>
        <v>1</v>
      </c>
      <c r="J70" s="49">
        <f>AVERAGE('26.09 Kitemu-Buddo-24 HRS'!J70,'28.09 Kitemu-Buddo-24HRS'!J70)</f>
        <v>0</v>
      </c>
      <c r="K70" s="49">
        <f>AVERAGE('26.09 Kitemu-Buddo-24 HRS'!K70,'28.09 Kitemu-Buddo-24HRS'!K70)</f>
        <v>0</v>
      </c>
      <c r="L70" s="49">
        <f>AVERAGE('26.09 Kitemu-Buddo-24 HRS'!L70,'28.09 Kitemu-Buddo-24HRS'!L70)</f>
        <v>0</v>
      </c>
      <c r="M70" s="49">
        <f>AVERAGE('26.09 Kitemu-Buddo-24 HRS'!M70,'28.09 Kitemu-Buddo-24HRS'!M70)</f>
        <v>49.5</v>
      </c>
      <c r="N70" s="49">
        <f>AVERAGE('26.09 Kitemu-Buddo-24 HRS'!N70,'28.09 Kitemu-Buddo-24HRS'!N70)</f>
        <v>0</v>
      </c>
      <c r="O70" s="15">
        <f t="shared" si="0"/>
        <v>8</v>
      </c>
      <c r="P70" s="15">
        <f t="shared" si="1"/>
        <v>57.5</v>
      </c>
      <c r="R70" s="8"/>
      <c r="T70"/>
    </row>
    <row r="71" spans="2:20" ht="23.1" customHeight="1" x14ac:dyDescent="0.25">
      <c r="B71" s="23" t="s">
        <v>111</v>
      </c>
      <c r="C71" s="49">
        <f>AVERAGE('26.09 Kitemu-Buddo-24 HRS'!C71,'28.09 Kitemu-Buddo-24HRS'!C71)</f>
        <v>2.5</v>
      </c>
      <c r="D71" s="49">
        <f>AVERAGE('26.09 Kitemu-Buddo-24 HRS'!D71,'28.09 Kitemu-Buddo-24HRS'!D71)</f>
        <v>0</v>
      </c>
      <c r="E71" s="49">
        <f>AVERAGE('26.09 Kitemu-Buddo-24 HRS'!E71,'28.09 Kitemu-Buddo-24HRS'!E71)</f>
        <v>0</v>
      </c>
      <c r="F71" s="49">
        <f>AVERAGE('26.09 Kitemu-Buddo-24 HRS'!F71,'28.09 Kitemu-Buddo-24HRS'!F71)</f>
        <v>1</v>
      </c>
      <c r="G71" s="49">
        <f>AVERAGE('26.09 Kitemu-Buddo-24 HRS'!G71,'28.09 Kitemu-Buddo-24HRS'!G71)</f>
        <v>0</v>
      </c>
      <c r="H71" s="49">
        <f>AVERAGE('26.09 Kitemu-Buddo-24 HRS'!H71,'28.09 Kitemu-Buddo-24HRS'!H71)</f>
        <v>0</v>
      </c>
      <c r="I71" s="49">
        <f>AVERAGE('26.09 Kitemu-Buddo-24 HRS'!I71,'28.09 Kitemu-Buddo-24HRS'!I71)</f>
        <v>2</v>
      </c>
      <c r="J71" s="49">
        <f>AVERAGE('26.09 Kitemu-Buddo-24 HRS'!J71,'28.09 Kitemu-Buddo-24HRS'!J71)</f>
        <v>0.5</v>
      </c>
      <c r="K71" s="49">
        <f>AVERAGE('26.09 Kitemu-Buddo-24 HRS'!K71,'28.09 Kitemu-Buddo-24HRS'!K71)</f>
        <v>0</v>
      </c>
      <c r="L71" s="49">
        <f>AVERAGE('26.09 Kitemu-Buddo-24 HRS'!L71,'28.09 Kitemu-Buddo-24HRS'!L71)</f>
        <v>0</v>
      </c>
      <c r="M71" s="49">
        <f>AVERAGE('26.09 Kitemu-Buddo-24 HRS'!M71,'28.09 Kitemu-Buddo-24HRS'!M71)</f>
        <v>47</v>
      </c>
      <c r="N71" s="49">
        <f>AVERAGE('26.09 Kitemu-Buddo-24 HRS'!N71,'28.09 Kitemu-Buddo-24HRS'!N71)</f>
        <v>0</v>
      </c>
      <c r="O71" s="15">
        <f t="shared" si="0"/>
        <v>6</v>
      </c>
      <c r="P71" s="15">
        <f t="shared" si="1"/>
        <v>53</v>
      </c>
      <c r="R71" s="8"/>
      <c r="T71"/>
    </row>
    <row r="72" spans="2:20" ht="23.1" customHeight="1" x14ac:dyDescent="0.25">
      <c r="B72" s="23" t="s">
        <v>112</v>
      </c>
      <c r="C72" s="49">
        <f>AVERAGE('26.09 Kitemu-Buddo-24 HRS'!C72,'28.09 Kitemu-Buddo-24HRS'!C72)</f>
        <v>7.5</v>
      </c>
      <c r="D72" s="49">
        <f>AVERAGE('26.09 Kitemu-Buddo-24 HRS'!D72,'28.09 Kitemu-Buddo-24HRS'!D72)</f>
        <v>1</v>
      </c>
      <c r="E72" s="49">
        <f>AVERAGE('26.09 Kitemu-Buddo-24 HRS'!E72,'28.09 Kitemu-Buddo-24HRS'!E72)</f>
        <v>0.5</v>
      </c>
      <c r="F72" s="49">
        <f>AVERAGE('26.09 Kitemu-Buddo-24 HRS'!F72,'28.09 Kitemu-Buddo-24HRS'!F72)</f>
        <v>2</v>
      </c>
      <c r="G72" s="49">
        <f>AVERAGE('26.09 Kitemu-Buddo-24 HRS'!G72,'28.09 Kitemu-Buddo-24HRS'!G72)</f>
        <v>0</v>
      </c>
      <c r="H72" s="49">
        <f>AVERAGE('26.09 Kitemu-Buddo-24 HRS'!H72,'28.09 Kitemu-Buddo-24HRS'!H72)</f>
        <v>0</v>
      </c>
      <c r="I72" s="49">
        <f>AVERAGE('26.09 Kitemu-Buddo-24 HRS'!I72,'28.09 Kitemu-Buddo-24HRS'!I72)</f>
        <v>0</v>
      </c>
      <c r="J72" s="49">
        <f>AVERAGE('26.09 Kitemu-Buddo-24 HRS'!J72,'28.09 Kitemu-Buddo-24HRS'!J72)</f>
        <v>0</v>
      </c>
      <c r="K72" s="49">
        <f>AVERAGE('26.09 Kitemu-Buddo-24 HRS'!K72,'28.09 Kitemu-Buddo-24HRS'!K72)</f>
        <v>0</v>
      </c>
      <c r="L72" s="49">
        <f>AVERAGE('26.09 Kitemu-Buddo-24 HRS'!L72,'28.09 Kitemu-Buddo-24HRS'!L72)</f>
        <v>0</v>
      </c>
      <c r="M72" s="49">
        <f>AVERAGE('26.09 Kitemu-Buddo-24 HRS'!M72,'28.09 Kitemu-Buddo-24HRS'!M72)</f>
        <v>50</v>
      </c>
      <c r="N72" s="49">
        <f>AVERAGE('26.09 Kitemu-Buddo-24 HRS'!N72,'28.09 Kitemu-Buddo-24HRS'!N72)</f>
        <v>0</v>
      </c>
      <c r="O72" s="15">
        <f t="shared" si="0"/>
        <v>11</v>
      </c>
      <c r="P72" s="15">
        <f t="shared" si="1"/>
        <v>61</v>
      </c>
      <c r="R72" s="8"/>
      <c r="T72"/>
    </row>
    <row r="73" spans="2:20" ht="23.1" customHeight="1" x14ac:dyDescent="0.25">
      <c r="B73" s="23" t="s">
        <v>113</v>
      </c>
      <c r="C73" s="49">
        <f>AVERAGE('26.09 Kitemu-Buddo-24 HRS'!C73,'28.09 Kitemu-Buddo-24HRS'!C73)</f>
        <v>7</v>
      </c>
      <c r="D73" s="49">
        <f>AVERAGE('26.09 Kitemu-Buddo-24 HRS'!D73,'28.09 Kitemu-Buddo-24HRS'!D73)</f>
        <v>1.5</v>
      </c>
      <c r="E73" s="49">
        <f>AVERAGE('26.09 Kitemu-Buddo-24 HRS'!E73,'28.09 Kitemu-Buddo-24HRS'!E73)</f>
        <v>1</v>
      </c>
      <c r="F73" s="49">
        <f>AVERAGE('26.09 Kitemu-Buddo-24 HRS'!F73,'28.09 Kitemu-Buddo-24HRS'!F73)</f>
        <v>2.5</v>
      </c>
      <c r="G73" s="49">
        <f>AVERAGE('26.09 Kitemu-Buddo-24 HRS'!G73,'28.09 Kitemu-Buddo-24HRS'!G73)</f>
        <v>0</v>
      </c>
      <c r="H73" s="49">
        <f>AVERAGE('26.09 Kitemu-Buddo-24 HRS'!H73,'28.09 Kitemu-Buddo-24HRS'!H73)</f>
        <v>0</v>
      </c>
      <c r="I73" s="49">
        <f>AVERAGE('26.09 Kitemu-Buddo-24 HRS'!I73,'28.09 Kitemu-Buddo-24HRS'!I73)</f>
        <v>2</v>
      </c>
      <c r="J73" s="49">
        <f>AVERAGE('26.09 Kitemu-Buddo-24 HRS'!J73,'28.09 Kitemu-Buddo-24HRS'!J73)</f>
        <v>0.5</v>
      </c>
      <c r="K73" s="49">
        <f>AVERAGE('26.09 Kitemu-Buddo-24 HRS'!K73,'28.09 Kitemu-Buddo-24HRS'!K73)</f>
        <v>0</v>
      </c>
      <c r="L73" s="49">
        <f>AVERAGE('26.09 Kitemu-Buddo-24 HRS'!L73,'28.09 Kitemu-Buddo-24HRS'!L73)</f>
        <v>0</v>
      </c>
      <c r="M73" s="49">
        <f>AVERAGE('26.09 Kitemu-Buddo-24 HRS'!M73,'28.09 Kitemu-Buddo-24HRS'!M73)</f>
        <v>61.5</v>
      </c>
      <c r="N73" s="49">
        <f>AVERAGE('26.09 Kitemu-Buddo-24 HRS'!N73,'28.09 Kitemu-Buddo-24HRS'!N73)</f>
        <v>0</v>
      </c>
      <c r="O73" s="15">
        <f t="shared" si="0"/>
        <v>14.5</v>
      </c>
      <c r="P73" s="15">
        <f t="shared" si="1"/>
        <v>76</v>
      </c>
      <c r="R73" s="8"/>
      <c r="T73"/>
    </row>
    <row r="74" spans="2:20" ht="23.1" customHeight="1" x14ac:dyDescent="0.25">
      <c r="B74" s="23" t="s">
        <v>114</v>
      </c>
      <c r="C74" s="49">
        <f>AVERAGE('26.09 Kitemu-Buddo-24 HRS'!C74,'28.09 Kitemu-Buddo-24HRS'!C74)</f>
        <v>3.5</v>
      </c>
      <c r="D74" s="49">
        <f>AVERAGE('26.09 Kitemu-Buddo-24 HRS'!D74,'28.09 Kitemu-Buddo-24HRS'!D74)</f>
        <v>0.5</v>
      </c>
      <c r="E74" s="49">
        <f>AVERAGE('26.09 Kitemu-Buddo-24 HRS'!E74,'28.09 Kitemu-Buddo-24HRS'!E74)</f>
        <v>0</v>
      </c>
      <c r="F74" s="49">
        <f>AVERAGE('26.09 Kitemu-Buddo-24 HRS'!F74,'28.09 Kitemu-Buddo-24HRS'!F74)</f>
        <v>2</v>
      </c>
      <c r="G74" s="49">
        <f>AVERAGE('26.09 Kitemu-Buddo-24 HRS'!G74,'28.09 Kitemu-Buddo-24HRS'!G74)</f>
        <v>0</v>
      </c>
      <c r="H74" s="49">
        <f>AVERAGE('26.09 Kitemu-Buddo-24 HRS'!H74,'28.09 Kitemu-Buddo-24HRS'!H74)</f>
        <v>0</v>
      </c>
      <c r="I74" s="49">
        <f>AVERAGE('26.09 Kitemu-Buddo-24 HRS'!I74,'28.09 Kitemu-Buddo-24HRS'!I74)</f>
        <v>0.5</v>
      </c>
      <c r="J74" s="49">
        <f>AVERAGE('26.09 Kitemu-Buddo-24 HRS'!J74,'28.09 Kitemu-Buddo-24HRS'!J74)</f>
        <v>0.5</v>
      </c>
      <c r="K74" s="49">
        <f>AVERAGE('26.09 Kitemu-Buddo-24 HRS'!K74,'28.09 Kitemu-Buddo-24HRS'!K74)</f>
        <v>0.5</v>
      </c>
      <c r="L74" s="49">
        <f>AVERAGE('26.09 Kitemu-Buddo-24 HRS'!L74,'28.09 Kitemu-Buddo-24HRS'!L74)</f>
        <v>0</v>
      </c>
      <c r="M74" s="49">
        <f>AVERAGE('26.09 Kitemu-Buddo-24 HRS'!M74,'28.09 Kitemu-Buddo-24HRS'!M74)</f>
        <v>47.5</v>
      </c>
      <c r="N74" s="49">
        <f>AVERAGE('26.09 Kitemu-Buddo-24 HRS'!N74,'28.09 Kitemu-Buddo-24HRS'!N74)</f>
        <v>0</v>
      </c>
      <c r="O74" s="15">
        <f t="shared" ref="O74:O105" si="35">SUM(C74:L74,N74)</f>
        <v>7.5</v>
      </c>
      <c r="P74" s="15">
        <f t="shared" ref="P74:P105" si="36">SUM(C74:N74)</f>
        <v>55</v>
      </c>
      <c r="R74" s="8"/>
      <c r="T74"/>
    </row>
    <row r="75" spans="2:20" ht="23.1" customHeight="1" x14ac:dyDescent="0.25">
      <c r="B75" s="23" t="s">
        <v>115</v>
      </c>
      <c r="C75" s="49">
        <f>AVERAGE('26.09 Kitemu-Buddo-24 HRS'!C75,'28.09 Kitemu-Buddo-24HRS'!C75)</f>
        <v>3</v>
      </c>
      <c r="D75" s="49">
        <f>AVERAGE('26.09 Kitemu-Buddo-24 HRS'!D75,'28.09 Kitemu-Buddo-24HRS'!D75)</f>
        <v>0</v>
      </c>
      <c r="E75" s="49">
        <f>AVERAGE('26.09 Kitemu-Buddo-24 HRS'!E75,'28.09 Kitemu-Buddo-24HRS'!E75)</f>
        <v>0</v>
      </c>
      <c r="F75" s="49">
        <f>AVERAGE('26.09 Kitemu-Buddo-24 HRS'!F75,'28.09 Kitemu-Buddo-24HRS'!F75)</f>
        <v>2.5</v>
      </c>
      <c r="G75" s="49">
        <f>AVERAGE('26.09 Kitemu-Buddo-24 HRS'!G75,'28.09 Kitemu-Buddo-24HRS'!G75)</f>
        <v>0</v>
      </c>
      <c r="H75" s="49">
        <f>AVERAGE('26.09 Kitemu-Buddo-24 HRS'!H75,'28.09 Kitemu-Buddo-24HRS'!H75)</f>
        <v>0</v>
      </c>
      <c r="I75" s="49">
        <f>AVERAGE('26.09 Kitemu-Buddo-24 HRS'!I75,'28.09 Kitemu-Buddo-24HRS'!I75)</f>
        <v>1.5</v>
      </c>
      <c r="J75" s="49">
        <f>AVERAGE('26.09 Kitemu-Buddo-24 HRS'!J75,'28.09 Kitemu-Buddo-24HRS'!J75)</f>
        <v>1.5</v>
      </c>
      <c r="K75" s="49">
        <f>AVERAGE('26.09 Kitemu-Buddo-24 HRS'!K75,'28.09 Kitemu-Buddo-24HRS'!K75)</f>
        <v>0</v>
      </c>
      <c r="L75" s="49">
        <f>AVERAGE('26.09 Kitemu-Buddo-24 HRS'!L75,'28.09 Kitemu-Buddo-24HRS'!L75)</f>
        <v>0</v>
      </c>
      <c r="M75" s="49">
        <f>AVERAGE('26.09 Kitemu-Buddo-24 HRS'!M75,'28.09 Kitemu-Buddo-24HRS'!M75)</f>
        <v>50</v>
      </c>
      <c r="N75" s="49">
        <f>AVERAGE('26.09 Kitemu-Buddo-24 HRS'!N75,'28.09 Kitemu-Buddo-24HRS'!N75)</f>
        <v>0</v>
      </c>
      <c r="O75" s="15">
        <f t="shared" si="35"/>
        <v>8.5</v>
      </c>
      <c r="P75" s="15">
        <f t="shared" si="36"/>
        <v>58.5</v>
      </c>
      <c r="R75" s="8"/>
      <c r="T75"/>
    </row>
    <row r="76" spans="2:20" ht="23.1" customHeight="1" x14ac:dyDescent="0.25">
      <c r="B76" s="23" t="s">
        <v>116</v>
      </c>
      <c r="C76" s="49">
        <f>AVERAGE('26.09 Kitemu-Buddo-24 HRS'!C76,'28.09 Kitemu-Buddo-24HRS'!C76)</f>
        <v>6</v>
      </c>
      <c r="D76" s="49">
        <f>AVERAGE('26.09 Kitemu-Buddo-24 HRS'!D76,'28.09 Kitemu-Buddo-24HRS'!D76)</f>
        <v>0.5</v>
      </c>
      <c r="E76" s="49">
        <f>AVERAGE('26.09 Kitemu-Buddo-24 HRS'!E76,'28.09 Kitemu-Buddo-24HRS'!E76)</f>
        <v>0</v>
      </c>
      <c r="F76" s="49">
        <f>AVERAGE('26.09 Kitemu-Buddo-24 HRS'!F76,'28.09 Kitemu-Buddo-24HRS'!F76)</f>
        <v>1.5</v>
      </c>
      <c r="G76" s="49">
        <f>AVERAGE('26.09 Kitemu-Buddo-24 HRS'!G76,'28.09 Kitemu-Buddo-24HRS'!G76)</f>
        <v>0</v>
      </c>
      <c r="H76" s="49">
        <f>AVERAGE('26.09 Kitemu-Buddo-24 HRS'!H76,'28.09 Kitemu-Buddo-24HRS'!H76)</f>
        <v>0</v>
      </c>
      <c r="I76" s="49">
        <f>AVERAGE('26.09 Kitemu-Buddo-24 HRS'!I76,'28.09 Kitemu-Buddo-24HRS'!I76)</f>
        <v>1</v>
      </c>
      <c r="J76" s="49">
        <f>AVERAGE('26.09 Kitemu-Buddo-24 HRS'!J76,'28.09 Kitemu-Buddo-24HRS'!J76)</f>
        <v>0</v>
      </c>
      <c r="K76" s="49">
        <f>AVERAGE('26.09 Kitemu-Buddo-24 HRS'!K76,'28.09 Kitemu-Buddo-24HRS'!K76)</f>
        <v>0</v>
      </c>
      <c r="L76" s="49">
        <f>AVERAGE('26.09 Kitemu-Buddo-24 HRS'!L76,'28.09 Kitemu-Buddo-24HRS'!L76)</f>
        <v>0.5</v>
      </c>
      <c r="M76" s="49">
        <f>AVERAGE('26.09 Kitemu-Buddo-24 HRS'!M76,'28.09 Kitemu-Buddo-24HRS'!M76)</f>
        <v>44.5</v>
      </c>
      <c r="N76" s="49">
        <f>AVERAGE('26.09 Kitemu-Buddo-24 HRS'!N76,'28.09 Kitemu-Buddo-24HRS'!N76)</f>
        <v>0</v>
      </c>
      <c r="O76" s="15">
        <f t="shared" si="35"/>
        <v>9.5</v>
      </c>
      <c r="P76" s="15">
        <f t="shared" si="36"/>
        <v>54</v>
      </c>
      <c r="R76" s="8"/>
      <c r="T76"/>
    </row>
    <row r="77" spans="2:20" ht="23.1" customHeight="1" x14ac:dyDescent="0.25">
      <c r="B77" s="23" t="s">
        <v>117</v>
      </c>
      <c r="C77" s="49">
        <f>AVERAGE('26.09 Kitemu-Buddo-24 HRS'!C77,'28.09 Kitemu-Buddo-24HRS'!C77)</f>
        <v>5</v>
      </c>
      <c r="D77" s="49">
        <f>AVERAGE('26.09 Kitemu-Buddo-24 HRS'!D77,'28.09 Kitemu-Buddo-24HRS'!D77)</f>
        <v>0</v>
      </c>
      <c r="E77" s="49">
        <f>AVERAGE('26.09 Kitemu-Buddo-24 HRS'!E77,'28.09 Kitemu-Buddo-24HRS'!E77)</f>
        <v>0.5</v>
      </c>
      <c r="F77" s="49">
        <f>AVERAGE('26.09 Kitemu-Buddo-24 HRS'!F77,'28.09 Kitemu-Buddo-24HRS'!F77)</f>
        <v>1</v>
      </c>
      <c r="G77" s="49">
        <f>AVERAGE('26.09 Kitemu-Buddo-24 HRS'!G77,'28.09 Kitemu-Buddo-24HRS'!G77)</f>
        <v>0</v>
      </c>
      <c r="H77" s="49">
        <f>AVERAGE('26.09 Kitemu-Buddo-24 HRS'!H77,'28.09 Kitemu-Buddo-24HRS'!H77)</f>
        <v>0</v>
      </c>
      <c r="I77" s="49">
        <f>AVERAGE('26.09 Kitemu-Buddo-24 HRS'!I77,'28.09 Kitemu-Buddo-24HRS'!I77)</f>
        <v>1</v>
      </c>
      <c r="J77" s="49">
        <f>AVERAGE('26.09 Kitemu-Buddo-24 HRS'!J77,'28.09 Kitemu-Buddo-24HRS'!J77)</f>
        <v>0</v>
      </c>
      <c r="K77" s="49">
        <f>AVERAGE('26.09 Kitemu-Buddo-24 HRS'!K77,'28.09 Kitemu-Buddo-24HRS'!K77)</f>
        <v>0</v>
      </c>
      <c r="L77" s="49">
        <f>AVERAGE('26.09 Kitemu-Buddo-24 HRS'!L77,'28.09 Kitemu-Buddo-24HRS'!L77)</f>
        <v>0</v>
      </c>
      <c r="M77" s="49">
        <f>AVERAGE('26.09 Kitemu-Buddo-24 HRS'!M77,'28.09 Kitemu-Buddo-24HRS'!M77)</f>
        <v>39.5</v>
      </c>
      <c r="N77" s="49">
        <f>AVERAGE('26.09 Kitemu-Buddo-24 HRS'!N77,'28.09 Kitemu-Buddo-24HRS'!N77)</f>
        <v>0</v>
      </c>
      <c r="O77" s="15">
        <f t="shared" si="35"/>
        <v>7.5</v>
      </c>
      <c r="P77" s="15">
        <f t="shared" si="36"/>
        <v>47</v>
      </c>
      <c r="R77" s="8"/>
      <c r="T77"/>
    </row>
    <row r="78" spans="2:20" ht="23.1" customHeight="1" x14ac:dyDescent="0.25">
      <c r="B78" s="24" t="s">
        <v>118</v>
      </c>
      <c r="C78" s="49">
        <f>AVERAGE('26.09 Kitemu-Buddo-24 HRS'!C78,'28.09 Kitemu-Buddo-24HRS'!C78)</f>
        <v>4</v>
      </c>
      <c r="D78" s="49">
        <f>AVERAGE('26.09 Kitemu-Buddo-24 HRS'!D78,'28.09 Kitemu-Buddo-24HRS'!D78)</f>
        <v>0</v>
      </c>
      <c r="E78" s="49">
        <f>AVERAGE('26.09 Kitemu-Buddo-24 HRS'!E78,'28.09 Kitemu-Buddo-24HRS'!E78)</f>
        <v>0</v>
      </c>
      <c r="F78" s="49">
        <f>AVERAGE('26.09 Kitemu-Buddo-24 HRS'!F78,'28.09 Kitemu-Buddo-24HRS'!F78)</f>
        <v>1</v>
      </c>
      <c r="G78" s="49">
        <f>AVERAGE('26.09 Kitemu-Buddo-24 HRS'!G78,'28.09 Kitemu-Buddo-24HRS'!G78)</f>
        <v>0</v>
      </c>
      <c r="H78" s="49">
        <f>AVERAGE('26.09 Kitemu-Buddo-24 HRS'!H78,'28.09 Kitemu-Buddo-24HRS'!H78)</f>
        <v>0</v>
      </c>
      <c r="I78" s="49">
        <f>AVERAGE('26.09 Kitemu-Buddo-24 HRS'!I78,'28.09 Kitemu-Buddo-24HRS'!I78)</f>
        <v>0</v>
      </c>
      <c r="J78" s="49">
        <f>AVERAGE('26.09 Kitemu-Buddo-24 HRS'!J78,'28.09 Kitemu-Buddo-24HRS'!J78)</f>
        <v>0</v>
      </c>
      <c r="K78" s="49">
        <f>AVERAGE('26.09 Kitemu-Buddo-24 HRS'!K78,'28.09 Kitemu-Buddo-24HRS'!K78)</f>
        <v>0</v>
      </c>
      <c r="L78" s="49">
        <f>AVERAGE('26.09 Kitemu-Buddo-24 HRS'!L78,'28.09 Kitemu-Buddo-24HRS'!L78)</f>
        <v>0</v>
      </c>
      <c r="M78" s="49">
        <f>AVERAGE('26.09 Kitemu-Buddo-24 HRS'!M78,'28.09 Kitemu-Buddo-24HRS'!M78)</f>
        <v>37.5</v>
      </c>
      <c r="N78" s="49">
        <f>AVERAGE('26.09 Kitemu-Buddo-24 HRS'!N78,'28.09 Kitemu-Buddo-24HRS'!N78)</f>
        <v>0</v>
      </c>
      <c r="O78" s="15">
        <f t="shared" si="35"/>
        <v>5</v>
      </c>
      <c r="P78" s="15">
        <f t="shared" si="36"/>
        <v>42.5</v>
      </c>
      <c r="R78" s="8"/>
      <c r="T78"/>
    </row>
    <row r="79" spans="2:20" ht="23.1" customHeight="1" x14ac:dyDescent="0.25">
      <c r="B79" s="23" t="s">
        <v>119</v>
      </c>
      <c r="C79" s="49">
        <f>AVERAGE('26.09 Kitemu-Buddo-24 HRS'!C79,'28.09 Kitemu-Buddo-24HRS'!C79)</f>
        <v>3</v>
      </c>
      <c r="D79" s="49">
        <f>AVERAGE('26.09 Kitemu-Buddo-24 HRS'!D79,'28.09 Kitemu-Buddo-24HRS'!D79)</f>
        <v>0</v>
      </c>
      <c r="E79" s="49">
        <f>AVERAGE('26.09 Kitemu-Buddo-24 HRS'!E79,'28.09 Kitemu-Buddo-24HRS'!E79)</f>
        <v>1</v>
      </c>
      <c r="F79" s="49">
        <f>AVERAGE('26.09 Kitemu-Buddo-24 HRS'!F79,'28.09 Kitemu-Buddo-24HRS'!F79)</f>
        <v>1</v>
      </c>
      <c r="G79" s="49">
        <f>AVERAGE('26.09 Kitemu-Buddo-24 HRS'!G79,'28.09 Kitemu-Buddo-24HRS'!G79)</f>
        <v>0</v>
      </c>
      <c r="H79" s="49">
        <f>AVERAGE('26.09 Kitemu-Buddo-24 HRS'!H79,'28.09 Kitemu-Buddo-24HRS'!H79)</f>
        <v>0</v>
      </c>
      <c r="I79" s="49">
        <f>AVERAGE('26.09 Kitemu-Buddo-24 HRS'!I79,'28.09 Kitemu-Buddo-24HRS'!I79)</f>
        <v>1</v>
      </c>
      <c r="J79" s="49">
        <f>AVERAGE('26.09 Kitemu-Buddo-24 HRS'!J79,'28.09 Kitemu-Buddo-24HRS'!J79)</f>
        <v>0</v>
      </c>
      <c r="K79" s="49">
        <f>AVERAGE('26.09 Kitemu-Buddo-24 HRS'!K79,'28.09 Kitemu-Buddo-24HRS'!K79)</f>
        <v>0</v>
      </c>
      <c r="L79" s="49">
        <f>AVERAGE('26.09 Kitemu-Buddo-24 HRS'!L79,'28.09 Kitemu-Buddo-24HRS'!L79)</f>
        <v>0</v>
      </c>
      <c r="M79" s="49">
        <f>AVERAGE('26.09 Kitemu-Buddo-24 HRS'!M79,'28.09 Kitemu-Buddo-24HRS'!M79)</f>
        <v>37.5</v>
      </c>
      <c r="N79" s="49">
        <f>AVERAGE('26.09 Kitemu-Buddo-24 HRS'!N79,'28.09 Kitemu-Buddo-24HRS'!N79)</f>
        <v>0</v>
      </c>
      <c r="O79" s="15">
        <f t="shared" si="35"/>
        <v>6</v>
      </c>
      <c r="P79" s="15">
        <f t="shared" si="36"/>
        <v>43.5</v>
      </c>
      <c r="R79" s="8"/>
      <c r="T79"/>
    </row>
    <row r="80" spans="2:20" ht="23.1" customHeight="1" x14ac:dyDescent="0.25">
      <c r="B80" s="25" t="s">
        <v>120</v>
      </c>
      <c r="C80" s="49">
        <f>AVERAGE('26.09 Kitemu-Buddo-24 HRS'!C80,'28.09 Kitemu-Buddo-24HRS'!C80)</f>
        <v>2.5</v>
      </c>
      <c r="D80" s="49">
        <f>AVERAGE('26.09 Kitemu-Buddo-24 HRS'!D80,'28.09 Kitemu-Buddo-24HRS'!D80)</f>
        <v>1</v>
      </c>
      <c r="E80" s="49">
        <f>AVERAGE('26.09 Kitemu-Buddo-24 HRS'!E80,'28.09 Kitemu-Buddo-24HRS'!E80)</f>
        <v>0</v>
      </c>
      <c r="F80" s="49">
        <f>AVERAGE('26.09 Kitemu-Buddo-24 HRS'!F80,'28.09 Kitemu-Buddo-24HRS'!F80)</f>
        <v>1.5</v>
      </c>
      <c r="G80" s="49">
        <f>AVERAGE('26.09 Kitemu-Buddo-24 HRS'!G80,'28.09 Kitemu-Buddo-24HRS'!G80)</f>
        <v>0.5</v>
      </c>
      <c r="H80" s="49">
        <f>AVERAGE('26.09 Kitemu-Buddo-24 HRS'!H80,'28.09 Kitemu-Buddo-24HRS'!H80)</f>
        <v>0</v>
      </c>
      <c r="I80" s="49">
        <f>AVERAGE('26.09 Kitemu-Buddo-24 HRS'!I80,'28.09 Kitemu-Buddo-24HRS'!I80)</f>
        <v>0</v>
      </c>
      <c r="J80" s="49">
        <f>AVERAGE('26.09 Kitemu-Buddo-24 HRS'!J80,'28.09 Kitemu-Buddo-24HRS'!J80)</f>
        <v>0.5</v>
      </c>
      <c r="K80" s="49">
        <f>AVERAGE('26.09 Kitemu-Buddo-24 HRS'!K80,'28.09 Kitemu-Buddo-24HRS'!K80)</f>
        <v>0</v>
      </c>
      <c r="L80" s="49">
        <f>AVERAGE('26.09 Kitemu-Buddo-24 HRS'!L80,'28.09 Kitemu-Buddo-24HRS'!L80)</f>
        <v>0</v>
      </c>
      <c r="M80" s="49">
        <f>AVERAGE('26.09 Kitemu-Buddo-24 HRS'!M80,'28.09 Kitemu-Buddo-24HRS'!M80)</f>
        <v>27.5</v>
      </c>
      <c r="N80" s="49">
        <f>AVERAGE('26.09 Kitemu-Buddo-24 HRS'!N80,'28.09 Kitemu-Buddo-24HRS'!N80)</f>
        <v>0</v>
      </c>
      <c r="O80" s="15">
        <f t="shared" si="35"/>
        <v>6</v>
      </c>
      <c r="P80" s="15">
        <f t="shared" si="36"/>
        <v>33.5</v>
      </c>
      <c r="R80" s="8"/>
      <c r="T80"/>
    </row>
    <row r="81" spans="2:20" ht="23.1" customHeight="1" x14ac:dyDescent="0.25">
      <c r="B81" s="23" t="s">
        <v>121</v>
      </c>
      <c r="C81" s="49">
        <f>AVERAGE('26.09 Kitemu-Buddo-24 HRS'!C81,'28.09 Kitemu-Buddo-24HRS'!C81)</f>
        <v>2</v>
      </c>
      <c r="D81" s="49">
        <f>AVERAGE('26.09 Kitemu-Buddo-24 HRS'!D81,'28.09 Kitemu-Buddo-24HRS'!D81)</f>
        <v>0</v>
      </c>
      <c r="E81" s="49">
        <f>AVERAGE('26.09 Kitemu-Buddo-24 HRS'!E81,'28.09 Kitemu-Buddo-24HRS'!E81)</f>
        <v>0</v>
      </c>
      <c r="F81" s="49">
        <f>AVERAGE('26.09 Kitemu-Buddo-24 HRS'!F81,'28.09 Kitemu-Buddo-24HRS'!F81)</f>
        <v>1</v>
      </c>
      <c r="G81" s="49">
        <f>AVERAGE('26.09 Kitemu-Buddo-24 HRS'!G81,'28.09 Kitemu-Buddo-24HRS'!G81)</f>
        <v>0</v>
      </c>
      <c r="H81" s="49">
        <f>AVERAGE('26.09 Kitemu-Buddo-24 HRS'!H81,'28.09 Kitemu-Buddo-24HRS'!H81)</f>
        <v>0</v>
      </c>
      <c r="I81" s="49">
        <f>AVERAGE('26.09 Kitemu-Buddo-24 HRS'!I81,'28.09 Kitemu-Buddo-24HRS'!I81)</f>
        <v>0.5</v>
      </c>
      <c r="J81" s="49">
        <f>AVERAGE('26.09 Kitemu-Buddo-24 HRS'!J81,'28.09 Kitemu-Buddo-24HRS'!J81)</f>
        <v>0</v>
      </c>
      <c r="K81" s="49">
        <f>AVERAGE('26.09 Kitemu-Buddo-24 HRS'!K81,'28.09 Kitemu-Buddo-24HRS'!K81)</f>
        <v>0</v>
      </c>
      <c r="L81" s="49">
        <f>AVERAGE('26.09 Kitemu-Buddo-24 HRS'!L81,'28.09 Kitemu-Buddo-24HRS'!L81)</f>
        <v>0</v>
      </c>
      <c r="M81" s="49">
        <f>AVERAGE('26.09 Kitemu-Buddo-24 HRS'!M81,'28.09 Kitemu-Buddo-24HRS'!M81)</f>
        <v>19.5</v>
      </c>
      <c r="N81" s="49">
        <f>AVERAGE('26.09 Kitemu-Buddo-24 HRS'!N81,'28.09 Kitemu-Buddo-24HRS'!N81)</f>
        <v>0</v>
      </c>
      <c r="O81" s="15">
        <f t="shared" si="35"/>
        <v>3.5</v>
      </c>
      <c r="P81" s="15">
        <f t="shared" si="36"/>
        <v>23</v>
      </c>
      <c r="R81" s="8"/>
      <c r="T81"/>
    </row>
    <row r="82" spans="2:20" ht="23.1" customHeight="1" x14ac:dyDescent="0.25">
      <c r="B82" s="24" t="s">
        <v>122</v>
      </c>
      <c r="C82" s="49">
        <f>AVERAGE('26.09 Kitemu-Buddo-24 HRS'!C82,'28.09 Kitemu-Buddo-24HRS'!C82)</f>
        <v>2</v>
      </c>
      <c r="D82" s="49">
        <f>AVERAGE('26.09 Kitemu-Buddo-24 HRS'!D82,'28.09 Kitemu-Buddo-24HRS'!D82)</f>
        <v>0</v>
      </c>
      <c r="E82" s="49">
        <f>AVERAGE('26.09 Kitemu-Buddo-24 HRS'!E82,'28.09 Kitemu-Buddo-24HRS'!E82)</f>
        <v>0</v>
      </c>
      <c r="F82" s="49">
        <f>AVERAGE('26.09 Kitemu-Buddo-24 HRS'!F82,'28.09 Kitemu-Buddo-24HRS'!F82)</f>
        <v>0.5</v>
      </c>
      <c r="G82" s="49">
        <f>AVERAGE('26.09 Kitemu-Buddo-24 HRS'!G82,'28.09 Kitemu-Buddo-24HRS'!G82)</f>
        <v>0</v>
      </c>
      <c r="H82" s="49">
        <f>AVERAGE('26.09 Kitemu-Buddo-24 HRS'!H82,'28.09 Kitemu-Buddo-24HRS'!H82)</f>
        <v>0</v>
      </c>
      <c r="I82" s="49">
        <f>AVERAGE('26.09 Kitemu-Buddo-24 HRS'!I82,'28.09 Kitemu-Buddo-24HRS'!I82)</f>
        <v>0.5</v>
      </c>
      <c r="J82" s="49">
        <f>AVERAGE('26.09 Kitemu-Buddo-24 HRS'!J82,'28.09 Kitemu-Buddo-24HRS'!J82)</f>
        <v>0.5</v>
      </c>
      <c r="K82" s="49">
        <f>AVERAGE('26.09 Kitemu-Buddo-24 HRS'!K82,'28.09 Kitemu-Buddo-24HRS'!K82)</f>
        <v>0</v>
      </c>
      <c r="L82" s="49">
        <f>AVERAGE('26.09 Kitemu-Buddo-24 HRS'!L82,'28.09 Kitemu-Buddo-24HRS'!L82)</f>
        <v>0</v>
      </c>
      <c r="M82" s="49">
        <f>AVERAGE('26.09 Kitemu-Buddo-24 HRS'!M82,'28.09 Kitemu-Buddo-24HRS'!M82)</f>
        <v>17</v>
      </c>
      <c r="N82" s="49">
        <f>AVERAGE('26.09 Kitemu-Buddo-24 HRS'!N82,'28.09 Kitemu-Buddo-24HRS'!N82)</f>
        <v>0</v>
      </c>
      <c r="O82" s="15">
        <f t="shared" si="35"/>
        <v>3.5</v>
      </c>
      <c r="P82" s="15">
        <f t="shared" si="36"/>
        <v>20.5</v>
      </c>
      <c r="R82" s="8"/>
      <c r="T82"/>
    </row>
    <row r="83" spans="2:20" ht="23.1" customHeight="1" x14ac:dyDescent="0.25">
      <c r="B83" s="23" t="s">
        <v>123</v>
      </c>
      <c r="C83" s="49">
        <f>AVERAGE('26.09 Kitemu-Buddo-24 HRS'!C83,'28.09 Kitemu-Buddo-24HRS'!C83)</f>
        <v>2.5</v>
      </c>
      <c r="D83" s="49">
        <f>AVERAGE('26.09 Kitemu-Buddo-24 HRS'!D83,'28.09 Kitemu-Buddo-24HRS'!D83)</f>
        <v>0</v>
      </c>
      <c r="E83" s="49">
        <f>AVERAGE('26.09 Kitemu-Buddo-24 HRS'!E83,'28.09 Kitemu-Buddo-24HRS'!E83)</f>
        <v>0.5</v>
      </c>
      <c r="F83" s="49">
        <f>AVERAGE('26.09 Kitemu-Buddo-24 HRS'!F83,'28.09 Kitemu-Buddo-24HRS'!F83)</f>
        <v>0.5</v>
      </c>
      <c r="G83" s="49">
        <f>AVERAGE('26.09 Kitemu-Buddo-24 HRS'!G83,'28.09 Kitemu-Buddo-24HRS'!G83)</f>
        <v>0</v>
      </c>
      <c r="H83" s="49">
        <f>AVERAGE('26.09 Kitemu-Buddo-24 HRS'!H83,'28.09 Kitemu-Buddo-24HRS'!H83)</f>
        <v>0</v>
      </c>
      <c r="I83" s="49">
        <f>AVERAGE('26.09 Kitemu-Buddo-24 HRS'!I83,'28.09 Kitemu-Buddo-24HRS'!I83)</f>
        <v>0.5</v>
      </c>
      <c r="J83" s="49">
        <f>AVERAGE('26.09 Kitemu-Buddo-24 HRS'!J83,'28.09 Kitemu-Buddo-24HRS'!J83)</f>
        <v>0</v>
      </c>
      <c r="K83" s="49">
        <f>AVERAGE('26.09 Kitemu-Buddo-24 HRS'!K83,'28.09 Kitemu-Buddo-24HRS'!K83)</f>
        <v>0</v>
      </c>
      <c r="L83" s="49">
        <f>AVERAGE('26.09 Kitemu-Buddo-24 HRS'!L83,'28.09 Kitemu-Buddo-24HRS'!L83)</f>
        <v>0</v>
      </c>
      <c r="M83" s="49">
        <f>AVERAGE('26.09 Kitemu-Buddo-24 HRS'!M83,'28.09 Kitemu-Buddo-24HRS'!M83)</f>
        <v>18</v>
      </c>
      <c r="N83" s="49">
        <f>AVERAGE('26.09 Kitemu-Buddo-24 HRS'!N83,'28.09 Kitemu-Buddo-24HRS'!N83)</f>
        <v>0</v>
      </c>
      <c r="O83" s="15">
        <f t="shared" si="35"/>
        <v>4</v>
      </c>
      <c r="P83" s="15">
        <f t="shared" si="36"/>
        <v>22</v>
      </c>
      <c r="R83" s="8"/>
      <c r="T83"/>
    </row>
    <row r="84" spans="2:20" ht="23.1" customHeight="1" x14ac:dyDescent="0.25">
      <c r="B84" s="25" t="s">
        <v>124</v>
      </c>
      <c r="C84" s="49">
        <f>AVERAGE('26.09 Kitemu-Buddo-24 HRS'!C84,'28.09 Kitemu-Buddo-24HRS'!C84)</f>
        <v>0</v>
      </c>
      <c r="D84" s="49">
        <f>AVERAGE('26.09 Kitemu-Buddo-24 HRS'!D84,'28.09 Kitemu-Buddo-24HRS'!D84)</f>
        <v>0.5</v>
      </c>
      <c r="E84" s="49">
        <f>AVERAGE('26.09 Kitemu-Buddo-24 HRS'!E84,'28.09 Kitemu-Buddo-24HRS'!E84)</f>
        <v>0</v>
      </c>
      <c r="F84" s="49">
        <f>AVERAGE('26.09 Kitemu-Buddo-24 HRS'!F84,'28.09 Kitemu-Buddo-24HRS'!F84)</f>
        <v>2</v>
      </c>
      <c r="G84" s="49">
        <f>AVERAGE('26.09 Kitemu-Buddo-24 HRS'!G84,'28.09 Kitemu-Buddo-24HRS'!G84)</f>
        <v>0</v>
      </c>
      <c r="H84" s="49">
        <f>AVERAGE('26.09 Kitemu-Buddo-24 HRS'!H84,'28.09 Kitemu-Buddo-24HRS'!H84)</f>
        <v>0</v>
      </c>
      <c r="I84" s="49">
        <f>AVERAGE('26.09 Kitemu-Buddo-24 HRS'!I84,'28.09 Kitemu-Buddo-24HRS'!I84)</f>
        <v>0</v>
      </c>
      <c r="J84" s="49">
        <f>AVERAGE('26.09 Kitemu-Buddo-24 HRS'!J84,'28.09 Kitemu-Buddo-24HRS'!J84)</f>
        <v>1</v>
      </c>
      <c r="K84" s="49">
        <f>AVERAGE('26.09 Kitemu-Buddo-24 HRS'!K84,'28.09 Kitemu-Buddo-24HRS'!K84)</f>
        <v>0</v>
      </c>
      <c r="L84" s="49">
        <f>AVERAGE('26.09 Kitemu-Buddo-24 HRS'!L84,'28.09 Kitemu-Buddo-24HRS'!L84)</f>
        <v>0</v>
      </c>
      <c r="M84" s="49">
        <f>AVERAGE('26.09 Kitemu-Buddo-24 HRS'!M84,'28.09 Kitemu-Buddo-24HRS'!M84)</f>
        <v>13</v>
      </c>
      <c r="N84" s="49">
        <f>AVERAGE('26.09 Kitemu-Buddo-24 HRS'!N84,'28.09 Kitemu-Buddo-24HRS'!N84)</f>
        <v>0</v>
      </c>
      <c r="O84" s="15">
        <f t="shared" si="35"/>
        <v>3.5</v>
      </c>
      <c r="P84" s="15">
        <f t="shared" si="36"/>
        <v>16.5</v>
      </c>
      <c r="R84" s="8"/>
      <c r="T84"/>
    </row>
    <row r="85" spans="2:20" ht="23.1" customHeight="1" x14ac:dyDescent="0.25">
      <c r="B85" s="23" t="s">
        <v>125</v>
      </c>
      <c r="C85" s="49">
        <f>AVERAGE('26.09 Kitemu-Buddo-24 HRS'!C85,'28.09 Kitemu-Buddo-24HRS'!C85)</f>
        <v>2</v>
      </c>
      <c r="D85" s="49">
        <f>AVERAGE('26.09 Kitemu-Buddo-24 HRS'!D85,'28.09 Kitemu-Buddo-24HRS'!D85)</f>
        <v>0</v>
      </c>
      <c r="E85" s="49">
        <f>AVERAGE('26.09 Kitemu-Buddo-24 HRS'!E85,'28.09 Kitemu-Buddo-24HRS'!E85)</f>
        <v>0</v>
      </c>
      <c r="F85" s="49">
        <f>AVERAGE('26.09 Kitemu-Buddo-24 HRS'!F85,'28.09 Kitemu-Buddo-24HRS'!F85)</f>
        <v>0</v>
      </c>
      <c r="G85" s="49">
        <f>AVERAGE('26.09 Kitemu-Buddo-24 HRS'!G85,'28.09 Kitemu-Buddo-24HRS'!G85)</f>
        <v>0</v>
      </c>
      <c r="H85" s="49">
        <f>AVERAGE('26.09 Kitemu-Buddo-24 HRS'!H85,'28.09 Kitemu-Buddo-24HRS'!H85)</f>
        <v>0</v>
      </c>
      <c r="I85" s="49">
        <f>AVERAGE('26.09 Kitemu-Buddo-24 HRS'!I85,'28.09 Kitemu-Buddo-24HRS'!I85)</f>
        <v>0</v>
      </c>
      <c r="J85" s="49">
        <f>AVERAGE('26.09 Kitemu-Buddo-24 HRS'!J85,'28.09 Kitemu-Buddo-24HRS'!J85)</f>
        <v>0</v>
      </c>
      <c r="K85" s="49">
        <f>AVERAGE('26.09 Kitemu-Buddo-24 HRS'!K85,'28.09 Kitemu-Buddo-24HRS'!K85)</f>
        <v>0.5</v>
      </c>
      <c r="L85" s="49">
        <f>AVERAGE('26.09 Kitemu-Buddo-24 HRS'!L85,'28.09 Kitemu-Buddo-24HRS'!L85)</f>
        <v>0</v>
      </c>
      <c r="M85" s="49">
        <f>AVERAGE('26.09 Kitemu-Buddo-24 HRS'!M85,'28.09 Kitemu-Buddo-24HRS'!M85)</f>
        <v>15.5</v>
      </c>
      <c r="N85" s="49">
        <f>AVERAGE('26.09 Kitemu-Buddo-24 HRS'!N85,'28.09 Kitemu-Buddo-24HRS'!N85)</f>
        <v>0</v>
      </c>
      <c r="O85" s="15">
        <f t="shared" si="35"/>
        <v>2.5</v>
      </c>
      <c r="P85" s="15">
        <f t="shared" si="36"/>
        <v>18</v>
      </c>
      <c r="R85" s="8"/>
      <c r="T85"/>
    </row>
    <row r="86" spans="2:20" ht="23.1" customHeight="1" x14ac:dyDescent="0.25">
      <c r="B86" s="24" t="s">
        <v>126</v>
      </c>
      <c r="C86" s="49">
        <f>AVERAGE('26.09 Kitemu-Buddo-24 HRS'!C86,'28.09 Kitemu-Buddo-24HRS'!C86)</f>
        <v>1</v>
      </c>
      <c r="D86" s="49">
        <f>AVERAGE('26.09 Kitemu-Buddo-24 HRS'!D86,'28.09 Kitemu-Buddo-24HRS'!D86)</f>
        <v>0.5</v>
      </c>
      <c r="E86" s="49">
        <f>AVERAGE('26.09 Kitemu-Buddo-24 HRS'!E86,'28.09 Kitemu-Buddo-24HRS'!E86)</f>
        <v>0</v>
      </c>
      <c r="F86" s="49">
        <f>AVERAGE('26.09 Kitemu-Buddo-24 HRS'!F86,'28.09 Kitemu-Buddo-24HRS'!F86)</f>
        <v>0</v>
      </c>
      <c r="G86" s="49">
        <f>AVERAGE('26.09 Kitemu-Buddo-24 HRS'!G86,'28.09 Kitemu-Buddo-24HRS'!G86)</f>
        <v>0</v>
      </c>
      <c r="H86" s="49">
        <f>AVERAGE('26.09 Kitemu-Buddo-24 HRS'!H86,'28.09 Kitemu-Buddo-24HRS'!H86)</f>
        <v>0</v>
      </c>
      <c r="I86" s="49">
        <f>AVERAGE('26.09 Kitemu-Buddo-24 HRS'!I86,'28.09 Kitemu-Buddo-24HRS'!I86)</f>
        <v>1</v>
      </c>
      <c r="J86" s="49">
        <f>AVERAGE('26.09 Kitemu-Buddo-24 HRS'!J86,'28.09 Kitemu-Buddo-24HRS'!J86)</f>
        <v>0</v>
      </c>
      <c r="K86" s="49">
        <f>AVERAGE('26.09 Kitemu-Buddo-24 HRS'!K86,'28.09 Kitemu-Buddo-24HRS'!K86)</f>
        <v>0</v>
      </c>
      <c r="L86" s="49">
        <f>AVERAGE('26.09 Kitemu-Buddo-24 HRS'!L86,'28.09 Kitemu-Buddo-24HRS'!L86)</f>
        <v>0</v>
      </c>
      <c r="M86" s="49">
        <f>AVERAGE('26.09 Kitemu-Buddo-24 HRS'!M86,'28.09 Kitemu-Buddo-24HRS'!M86)</f>
        <v>10.5</v>
      </c>
      <c r="N86" s="49">
        <f>AVERAGE('26.09 Kitemu-Buddo-24 HRS'!N86,'28.09 Kitemu-Buddo-24HRS'!N86)</f>
        <v>0</v>
      </c>
      <c r="O86" s="15">
        <f t="shared" si="35"/>
        <v>2.5</v>
      </c>
      <c r="P86" s="15">
        <f t="shared" si="36"/>
        <v>13</v>
      </c>
      <c r="R86" s="8"/>
      <c r="T86"/>
    </row>
    <row r="87" spans="2:20" ht="23.1" customHeight="1" x14ac:dyDescent="0.25">
      <c r="B87" s="23" t="s">
        <v>127</v>
      </c>
      <c r="C87" s="49">
        <f>AVERAGE('26.09 Kitemu-Buddo-24 HRS'!C87,'28.09 Kitemu-Buddo-24HRS'!C87)</f>
        <v>0.5</v>
      </c>
      <c r="D87" s="49">
        <f>AVERAGE('26.09 Kitemu-Buddo-24 HRS'!D87,'28.09 Kitemu-Buddo-24HRS'!D87)</f>
        <v>0</v>
      </c>
      <c r="E87" s="49">
        <f>AVERAGE('26.09 Kitemu-Buddo-24 HRS'!E87,'28.09 Kitemu-Buddo-24HRS'!E87)</f>
        <v>0.5</v>
      </c>
      <c r="F87" s="49">
        <f>AVERAGE('26.09 Kitemu-Buddo-24 HRS'!F87,'28.09 Kitemu-Buddo-24HRS'!F87)</f>
        <v>0</v>
      </c>
      <c r="G87" s="49">
        <f>AVERAGE('26.09 Kitemu-Buddo-24 HRS'!G87,'28.09 Kitemu-Buddo-24HRS'!G87)</f>
        <v>0</v>
      </c>
      <c r="H87" s="49">
        <f>AVERAGE('26.09 Kitemu-Buddo-24 HRS'!H87,'28.09 Kitemu-Buddo-24HRS'!H87)</f>
        <v>0</v>
      </c>
      <c r="I87" s="49">
        <f>AVERAGE('26.09 Kitemu-Buddo-24 HRS'!I87,'28.09 Kitemu-Buddo-24HRS'!I87)</f>
        <v>0</v>
      </c>
      <c r="J87" s="49">
        <f>AVERAGE('26.09 Kitemu-Buddo-24 HRS'!J87,'28.09 Kitemu-Buddo-24HRS'!J87)</f>
        <v>0</v>
      </c>
      <c r="K87" s="49">
        <f>AVERAGE('26.09 Kitemu-Buddo-24 HRS'!K87,'28.09 Kitemu-Buddo-24HRS'!K87)</f>
        <v>0</v>
      </c>
      <c r="L87" s="49">
        <f>AVERAGE('26.09 Kitemu-Buddo-24 HRS'!L87,'28.09 Kitemu-Buddo-24HRS'!L87)</f>
        <v>0</v>
      </c>
      <c r="M87" s="49">
        <f>AVERAGE('26.09 Kitemu-Buddo-24 HRS'!M87,'28.09 Kitemu-Buddo-24HRS'!M87)</f>
        <v>14</v>
      </c>
      <c r="N87" s="49">
        <f>AVERAGE('26.09 Kitemu-Buddo-24 HRS'!N87,'28.09 Kitemu-Buddo-24HRS'!N87)</f>
        <v>0</v>
      </c>
      <c r="O87" s="15">
        <f t="shared" si="35"/>
        <v>1</v>
      </c>
      <c r="P87" s="15">
        <f t="shared" si="36"/>
        <v>15</v>
      </c>
      <c r="R87" s="8"/>
      <c r="T87"/>
    </row>
    <row r="88" spans="2:20" ht="23.1" customHeight="1" x14ac:dyDescent="0.25">
      <c r="B88" s="25" t="s">
        <v>128</v>
      </c>
      <c r="C88" s="49">
        <f>AVERAGE('26.09 Kitemu-Buddo-24 HRS'!C88,'28.09 Kitemu-Buddo-24HRS'!C88)</f>
        <v>0.5</v>
      </c>
      <c r="D88" s="49">
        <f>AVERAGE('26.09 Kitemu-Buddo-24 HRS'!D88,'28.09 Kitemu-Buddo-24HRS'!D88)</f>
        <v>0</v>
      </c>
      <c r="E88" s="49">
        <f>AVERAGE('26.09 Kitemu-Buddo-24 HRS'!E88,'28.09 Kitemu-Buddo-24HRS'!E88)</f>
        <v>0</v>
      </c>
      <c r="F88" s="49">
        <f>AVERAGE('26.09 Kitemu-Buddo-24 HRS'!F88,'28.09 Kitemu-Buddo-24HRS'!F88)</f>
        <v>0</v>
      </c>
      <c r="G88" s="49">
        <f>AVERAGE('26.09 Kitemu-Buddo-24 HRS'!G88,'28.09 Kitemu-Buddo-24HRS'!G88)</f>
        <v>0</v>
      </c>
      <c r="H88" s="49">
        <f>AVERAGE('26.09 Kitemu-Buddo-24 HRS'!H88,'28.09 Kitemu-Buddo-24HRS'!H88)</f>
        <v>0</v>
      </c>
      <c r="I88" s="49">
        <f>AVERAGE('26.09 Kitemu-Buddo-24 HRS'!I88,'28.09 Kitemu-Buddo-24HRS'!I88)</f>
        <v>0.5</v>
      </c>
      <c r="J88" s="49">
        <f>AVERAGE('26.09 Kitemu-Buddo-24 HRS'!J88,'28.09 Kitemu-Buddo-24HRS'!J88)</f>
        <v>0.5</v>
      </c>
      <c r="K88" s="49">
        <f>AVERAGE('26.09 Kitemu-Buddo-24 HRS'!K88,'28.09 Kitemu-Buddo-24HRS'!K88)</f>
        <v>0</v>
      </c>
      <c r="L88" s="49">
        <f>AVERAGE('26.09 Kitemu-Buddo-24 HRS'!L88,'28.09 Kitemu-Buddo-24HRS'!L88)</f>
        <v>0</v>
      </c>
      <c r="M88" s="49">
        <f>AVERAGE('26.09 Kitemu-Buddo-24 HRS'!M88,'28.09 Kitemu-Buddo-24HRS'!M88)</f>
        <v>9</v>
      </c>
      <c r="N88" s="49">
        <f>AVERAGE('26.09 Kitemu-Buddo-24 HRS'!N88,'28.09 Kitemu-Buddo-24HRS'!N88)</f>
        <v>0</v>
      </c>
      <c r="O88" s="15">
        <f t="shared" si="35"/>
        <v>1.5</v>
      </c>
      <c r="P88" s="15">
        <f t="shared" si="36"/>
        <v>10.5</v>
      </c>
      <c r="R88" s="8"/>
      <c r="T88"/>
    </row>
    <row r="89" spans="2:20" ht="23.1" customHeight="1" x14ac:dyDescent="0.25">
      <c r="B89" s="23" t="s">
        <v>129</v>
      </c>
      <c r="C89" s="49">
        <f>AVERAGE('26.09 Kitemu-Buddo-24 HRS'!C89,'28.09 Kitemu-Buddo-24HRS'!C89)</f>
        <v>0</v>
      </c>
      <c r="D89" s="49">
        <f>AVERAGE('26.09 Kitemu-Buddo-24 HRS'!D89,'28.09 Kitemu-Buddo-24HRS'!D89)</f>
        <v>0</v>
      </c>
      <c r="E89" s="49">
        <f>AVERAGE('26.09 Kitemu-Buddo-24 HRS'!E89,'28.09 Kitemu-Buddo-24HRS'!E89)</f>
        <v>0</v>
      </c>
      <c r="F89" s="49">
        <f>AVERAGE('26.09 Kitemu-Buddo-24 HRS'!F89,'28.09 Kitemu-Buddo-24HRS'!F89)</f>
        <v>0</v>
      </c>
      <c r="G89" s="49">
        <f>AVERAGE('26.09 Kitemu-Buddo-24 HRS'!G89,'28.09 Kitemu-Buddo-24HRS'!G89)</f>
        <v>0</v>
      </c>
      <c r="H89" s="49">
        <f>AVERAGE('26.09 Kitemu-Buddo-24 HRS'!H89,'28.09 Kitemu-Buddo-24HRS'!H89)</f>
        <v>0</v>
      </c>
      <c r="I89" s="49">
        <f>AVERAGE('26.09 Kitemu-Buddo-24 HRS'!I89,'28.09 Kitemu-Buddo-24HRS'!I89)</f>
        <v>0</v>
      </c>
      <c r="J89" s="49">
        <f>AVERAGE('26.09 Kitemu-Buddo-24 HRS'!J89,'28.09 Kitemu-Buddo-24HRS'!J89)</f>
        <v>0.5</v>
      </c>
      <c r="K89" s="49">
        <f>AVERAGE('26.09 Kitemu-Buddo-24 HRS'!K89,'28.09 Kitemu-Buddo-24HRS'!K89)</f>
        <v>0</v>
      </c>
      <c r="L89" s="49">
        <f>AVERAGE('26.09 Kitemu-Buddo-24 HRS'!L89,'28.09 Kitemu-Buddo-24HRS'!L89)</f>
        <v>0</v>
      </c>
      <c r="M89" s="49">
        <f>AVERAGE('26.09 Kitemu-Buddo-24 HRS'!M89,'28.09 Kitemu-Buddo-24HRS'!M89)</f>
        <v>11.5</v>
      </c>
      <c r="N89" s="49">
        <f>AVERAGE('26.09 Kitemu-Buddo-24 HRS'!N89,'28.09 Kitemu-Buddo-24HRS'!N89)</f>
        <v>0</v>
      </c>
      <c r="O89" s="15">
        <f t="shared" si="35"/>
        <v>0.5</v>
      </c>
      <c r="P89" s="15">
        <f t="shared" si="36"/>
        <v>12</v>
      </c>
      <c r="R89" s="8"/>
      <c r="T89"/>
    </row>
    <row r="90" spans="2:20" ht="23.1" customHeight="1" x14ac:dyDescent="0.25">
      <c r="B90" s="24" t="s">
        <v>130</v>
      </c>
      <c r="C90" s="49">
        <f>AVERAGE('26.09 Kitemu-Buddo-24 HRS'!C90,'28.09 Kitemu-Buddo-24HRS'!C90)</f>
        <v>1</v>
      </c>
      <c r="D90" s="49">
        <f>AVERAGE('26.09 Kitemu-Buddo-24 HRS'!D90,'28.09 Kitemu-Buddo-24HRS'!D90)</f>
        <v>0.5</v>
      </c>
      <c r="E90" s="49">
        <f>AVERAGE('26.09 Kitemu-Buddo-24 HRS'!E90,'28.09 Kitemu-Buddo-24HRS'!E90)</f>
        <v>0</v>
      </c>
      <c r="F90" s="49">
        <f>AVERAGE('26.09 Kitemu-Buddo-24 HRS'!F90,'28.09 Kitemu-Buddo-24HRS'!F90)</f>
        <v>0</v>
      </c>
      <c r="G90" s="49">
        <f>AVERAGE('26.09 Kitemu-Buddo-24 HRS'!G90,'28.09 Kitemu-Buddo-24HRS'!G90)</f>
        <v>0</v>
      </c>
      <c r="H90" s="49">
        <f>AVERAGE('26.09 Kitemu-Buddo-24 HRS'!H90,'28.09 Kitemu-Buddo-24HRS'!H90)</f>
        <v>0</v>
      </c>
      <c r="I90" s="49">
        <f>AVERAGE('26.09 Kitemu-Buddo-24 HRS'!I90,'28.09 Kitemu-Buddo-24HRS'!I90)</f>
        <v>0.5</v>
      </c>
      <c r="J90" s="49">
        <f>AVERAGE('26.09 Kitemu-Buddo-24 HRS'!J90,'28.09 Kitemu-Buddo-24HRS'!J90)</f>
        <v>1</v>
      </c>
      <c r="K90" s="49">
        <f>AVERAGE('26.09 Kitemu-Buddo-24 HRS'!K90,'28.09 Kitemu-Buddo-24HRS'!K90)</f>
        <v>0</v>
      </c>
      <c r="L90" s="49">
        <f>AVERAGE('26.09 Kitemu-Buddo-24 HRS'!L90,'28.09 Kitemu-Buddo-24HRS'!L90)</f>
        <v>0</v>
      </c>
      <c r="M90" s="49">
        <f>AVERAGE('26.09 Kitemu-Buddo-24 HRS'!M90,'28.09 Kitemu-Buddo-24HRS'!M90)</f>
        <v>8</v>
      </c>
      <c r="N90" s="49">
        <f>AVERAGE('26.09 Kitemu-Buddo-24 HRS'!N90,'28.09 Kitemu-Buddo-24HRS'!N90)</f>
        <v>0</v>
      </c>
      <c r="O90" s="15">
        <f t="shared" si="35"/>
        <v>3</v>
      </c>
      <c r="P90" s="15">
        <f t="shared" si="36"/>
        <v>11</v>
      </c>
      <c r="R90" s="8"/>
      <c r="T90"/>
    </row>
    <row r="91" spans="2:20" ht="23.1" customHeight="1" x14ac:dyDescent="0.25">
      <c r="B91" s="23" t="s">
        <v>131</v>
      </c>
      <c r="C91" s="49">
        <f>AVERAGE('26.09 Kitemu-Buddo-24 HRS'!C91,'28.09 Kitemu-Buddo-24HRS'!C91)</f>
        <v>0.5</v>
      </c>
      <c r="D91" s="49">
        <f>AVERAGE('26.09 Kitemu-Buddo-24 HRS'!D91,'28.09 Kitemu-Buddo-24HRS'!D91)</f>
        <v>0</v>
      </c>
      <c r="E91" s="49">
        <f>AVERAGE('26.09 Kitemu-Buddo-24 HRS'!E91,'28.09 Kitemu-Buddo-24HRS'!E91)</f>
        <v>0</v>
      </c>
      <c r="F91" s="49">
        <f>AVERAGE('26.09 Kitemu-Buddo-24 HRS'!F91,'28.09 Kitemu-Buddo-24HRS'!F91)</f>
        <v>0.5</v>
      </c>
      <c r="G91" s="49">
        <f>AVERAGE('26.09 Kitemu-Buddo-24 HRS'!G91,'28.09 Kitemu-Buddo-24HRS'!G91)</f>
        <v>0</v>
      </c>
      <c r="H91" s="49">
        <f>AVERAGE('26.09 Kitemu-Buddo-24 HRS'!H91,'28.09 Kitemu-Buddo-24HRS'!H91)</f>
        <v>0</v>
      </c>
      <c r="I91" s="49">
        <f>AVERAGE('26.09 Kitemu-Buddo-24 HRS'!I91,'28.09 Kitemu-Buddo-24HRS'!I91)</f>
        <v>1</v>
      </c>
      <c r="J91" s="49">
        <f>AVERAGE('26.09 Kitemu-Buddo-24 HRS'!J91,'28.09 Kitemu-Buddo-24HRS'!J91)</f>
        <v>0</v>
      </c>
      <c r="K91" s="49">
        <f>AVERAGE('26.09 Kitemu-Buddo-24 HRS'!K91,'28.09 Kitemu-Buddo-24HRS'!K91)</f>
        <v>0</v>
      </c>
      <c r="L91" s="49">
        <f>AVERAGE('26.09 Kitemu-Buddo-24 HRS'!L91,'28.09 Kitemu-Buddo-24HRS'!L91)</f>
        <v>0</v>
      </c>
      <c r="M91" s="49">
        <f>AVERAGE('26.09 Kitemu-Buddo-24 HRS'!M91,'28.09 Kitemu-Buddo-24HRS'!M91)</f>
        <v>6.5</v>
      </c>
      <c r="N91" s="49">
        <f>AVERAGE('26.09 Kitemu-Buddo-24 HRS'!N91,'28.09 Kitemu-Buddo-24HRS'!N91)</f>
        <v>0</v>
      </c>
      <c r="O91" s="15">
        <f t="shared" si="35"/>
        <v>2</v>
      </c>
      <c r="P91" s="15">
        <f t="shared" si="36"/>
        <v>8.5</v>
      </c>
      <c r="R91" s="8"/>
      <c r="T91"/>
    </row>
    <row r="92" spans="2:20" ht="23.1" customHeight="1" x14ac:dyDescent="0.25">
      <c r="B92" s="25" t="s">
        <v>132</v>
      </c>
      <c r="C92" s="49">
        <f>AVERAGE('26.09 Kitemu-Buddo-24 HRS'!C92,'28.09 Kitemu-Buddo-24HRS'!C92)</f>
        <v>0.5</v>
      </c>
      <c r="D92" s="49">
        <f>AVERAGE('26.09 Kitemu-Buddo-24 HRS'!D92,'28.09 Kitemu-Buddo-24HRS'!D92)</f>
        <v>0</v>
      </c>
      <c r="E92" s="49">
        <f>AVERAGE('26.09 Kitemu-Buddo-24 HRS'!E92,'28.09 Kitemu-Buddo-24HRS'!E92)</f>
        <v>0</v>
      </c>
      <c r="F92" s="49">
        <f>AVERAGE('26.09 Kitemu-Buddo-24 HRS'!F92,'28.09 Kitemu-Buddo-24HRS'!F92)</f>
        <v>0</v>
      </c>
      <c r="G92" s="49">
        <f>AVERAGE('26.09 Kitemu-Buddo-24 HRS'!G92,'28.09 Kitemu-Buddo-24HRS'!G92)</f>
        <v>0</v>
      </c>
      <c r="H92" s="49">
        <f>AVERAGE('26.09 Kitemu-Buddo-24 HRS'!H92,'28.09 Kitemu-Buddo-24HRS'!H92)</f>
        <v>0</v>
      </c>
      <c r="I92" s="49">
        <f>AVERAGE('26.09 Kitemu-Buddo-24 HRS'!I92,'28.09 Kitemu-Buddo-24HRS'!I92)</f>
        <v>0</v>
      </c>
      <c r="J92" s="49">
        <f>AVERAGE('26.09 Kitemu-Buddo-24 HRS'!J92,'28.09 Kitemu-Buddo-24HRS'!J92)</f>
        <v>0</v>
      </c>
      <c r="K92" s="49">
        <f>AVERAGE('26.09 Kitemu-Buddo-24 HRS'!K92,'28.09 Kitemu-Buddo-24HRS'!K92)</f>
        <v>0</v>
      </c>
      <c r="L92" s="49">
        <f>AVERAGE('26.09 Kitemu-Buddo-24 HRS'!L92,'28.09 Kitemu-Buddo-24HRS'!L92)</f>
        <v>0</v>
      </c>
      <c r="M92" s="49">
        <f>AVERAGE('26.09 Kitemu-Buddo-24 HRS'!M92,'28.09 Kitemu-Buddo-24HRS'!M92)</f>
        <v>10</v>
      </c>
      <c r="N92" s="49">
        <f>AVERAGE('26.09 Kitemu-Buddo-24 HRS'!N92,'28.09 Kitemu-Buddo-24HRS'!N92)</f>
        <v>0</v>
      </c>
      <c r="O92" s="15">
        <f t="shared" si="35"/>
        <v>0.5</v>
      </c>
      <c r="P92" s="15">
        <f t="shared" si="36"/>
        <v>10.5</v>
      </c>
      <c r="R92" s="8"/>
      <c r="T92"/>
    </row>
    <row r="93" spans="2:20" ht="23.1" customHeight="1" x14ac:dyDescent="0.25">
      <c r="B93" s="23" t="s">
        <v>133</v>
      </c>
      <c r="C93" s="49">
        <f>AVERAGE('26.09 Kitemu-Buddo-24 HRS'!C93,'28.09 Kitemu-Buddo-24HRS'!C93)</f>
        <v>0.5</v>
      </c>
      <c r="D93" s="49">
        <f>AVERAGE('26.09 Kitemu-Buddo-24 HRS'!D93,'28.09 Kitemu-Buddo-24HRS'!D93)</f>
        <v>0</v>
      </c>
      <c r="E93" s="49">
        <f>AVERAGE('26.09 Kitemu-Buddo-24 HRS'!E93,'28.09 Kitemu-Buddo-24HRS'!E93)</f>
        <v>1</v>
      </c>
      <c r="F93" s="49">
        <f>AVERAGE('26.09 Kitemu-Buddo-24 HRS'!F93,'28.09 Kitemu-Buddo-24HRS'!F93)</f>
        <v>0</v>
      </c>
      <c r="G93" s="49">
        <f>AVERAGE('26.09 Kitemu-Buddo-24 HRS'!G93,'28.09 Kitemu-Buddo-24HRS'!G93)</f>
        <v>0</v>
      </c>
      <c r="H93" s="49">
        <f>AVERAGE('26.09 Kitemu-Buddo-24 HRS'!H93,'28.09 Kitemu-Buddo-24HRS'!H93)</f>
        <v>0</v>
      </c>
      <c r="I93" s="49">
        <f>AVERAGE('26.09 Kitemu-Buddo-24 HRS'!I93,'28.09 Kitemu-Buddo-24HRS'!I93)</f>
        <v>0.5</v>
      </c>
      <c r="J93" s="49">
        <f>AVERAGE('26.09 Kitemu-Buddo-24 HRS'!J93,'28.09 Kitemu-Buddo-24HRS'!J93)</f>
        <v>0</v>
      </c>
      <c r="K93" s="49">
        <f>AVERAGE('26.09 Kitemu-Buddo-24 HRS'!K93,'28.09 Kitemu-Buddo-24HRS'!K93)</f>
        <v>0</v>
      </c>
      <c r="L93" s="49">
        <f>AVERAGE('26.09 Kitemu-Buddo-24 HRS'!L93,'28.09 Kitemu-Buddo-24HRS'!L93)</f>
        <v>0</v>
      </c>
      <c r="M93" s="49">
        <f>AVERAGE('26.09 Kitemu-Buddo-24 HRS'!M93,'28.09 Kitemu-Buddo-24HRS'!M93)</f>
        <v>12</v>
      </c>
      <c r="N93" s="49">
        <f>AVERAGE('26.09 Kitemu-Buddo-24 HRS'!N93,'28.09 Kitemu-Buddo-24HRS'!N93)</f>
        <v>0</v>
      </c>
      <c r="O93" s="15">
        <f t="shared" si="35"/>
        <v>2</v>
      </c>
      <c r="P93" s="15">
        <f t="shared" si="36"/>
        <v>14</v>
      </c>
      <c r="R93" s="8"/>
      <c r="T93"/>
    </row>
    <row r="94" spans="2:20" ht="23.1" customHeight="1" x14ac:dyDescent="0.25">
      <c r="B94" s="24" t="s">
        <v>134</v>
      </c>
      <c r="C94" s="49">
        <f>AVERAGE('26.09 Kitemu-Buddo-24 HRS'!C94,'28.09 Kitemu-Buddo-24HRS'!C94)</f>
        <v>1.5</v>
      </c>
      <c r="D94" s="49">
        <f>AVERAGE('26.09 Kitemu-Buddo-24 HRS'!D94,'28.09 Kitemu-Buddo-24HRS'!D94)</f>
        <v>0.5</v>
      </c>
      <c r="E94" s="49">
        <f>AVERAGE('26.09 Kitemu-Buddo-24 HRS'!E94,'28.09 Kitemu-Buddo-24HRS'!E94)</f>
        <v>0.5</v>
      </c>
      <c r="F94" s="49">
        <f>AVERAGE('26.09 Kitemu-Buddo-24 HRS'!F94,'28.09 Kitemu-Buddo-24HRS'!F94)</f>
        <v>0</v>
      </c>
      <c r="G94" s="49">
        <f>AVERAGE('26.09 Kitemu-Buddo-24 HRS'!G94,'28.09 Kitemu-Buddo-24HRS'!G94)</f>
        <v>0</v>
      </c>
      <c r="H94" s="49">
        <f>AVERAGE('26.09 Kitemu-Buddo-24 HRS'!H94,'28.09 Kitemu-Buddo-24HRS'!H94)</f>
        <v>0</v>
      </c>
      <c r="I94" s="49">
        <f>AVERAGE('26.09 Kitemu-Buddo-24 HRS'!I94,'28.09 Kitemu-Buddo-24HRS'!I94)</f>
        <v>1</v>
      </c>
      <c r="J94" s="49">
        <f>AVERAGE('26.09 Kitemu-Buddo-24 HRS'!J94,'28.09 Kitemu-Buddo-24HRS'!J94)</f>
        <v>0</v>
      </c>
      <c r="K94" s="49">
        <f>AVERAGE('26.09 Kitemu-Buddo-24 HRS'!K94,'28.09 Kitemu-Buddo-24HRS'!K94)</f>
        <v>0</v>
      </c>
      <c r="L94" s="49">
        <f>AVERAGE('26.09 Kitemu-Buddo-24 HRS'!L94,'28.09 Kitemu-Buddo-24HRS'!L94)</f>
        <v>0</v>
      </c>
      <c r="M94" s="49">
        <f>AVERAGE('26.09 Kitemu-Buddo-24 HRS'!M94,'28.09 Kitemu-Buddo-24HRS'!M94)</f>
        <v>14</v>
      </c>
      <c r="N94" s="49">
        <f>AVERAGE('26.09 Kitemu-Buddo-24 HRS'!N94,'28.09 Kitemu-Buddo-24HRS'!N94)</f>
        <v>0</v>
      </c>
      <c r="O94" s="15">
        <f t="shared" si="35"/>
        <v>3.5</v>
      </c>
      <c r="P94" s="15">
        <f t="shared" si="36"/>
        <v>17.5</v>
      </c>
      <c r="R94" s="8"/>
      <c r="T94"/>
    </row>
    <row r="95" spans="2:20" ht="23.1" customHeight="1" x14ac:dyDescent="0.25">
      <c r="B95" s="23" t="s">
        <v>135</v>
      </c>
      <c r="C95" s="49">
        <f>AVERAGE('26.09 Kitemu-Buddo-24 HRS'!C95,'28.09 Kitemu-Buddo-24HRS'!C95)</f>
        <v>0.5</v>
      </c>
      <c r="D95" s="49">
        <f>AVERAGE('26.09 Kitemu-Buddo-24 HRS'!D95,'28.09 Kitemu-Buddo-24HRS'!D95)</f>
        <v>0.5</v>
      </c>
      <c r="E95" s="49">
        <f>AVERAGE('26.09 Kitemu-Buddo-24 HRS'!E95,'28.09 Kitemu-Buddo-24HRS'!E95)</f>
        <v>0</v>
      </c>
      <c r="F95" s="49">
        <f>AVERAGE('26.09 Kitemu-Buddo-24 HRS'!F95,'28.09 Kitemu-Buddo-24HRS'!F95)</f>
        <v>1</v>
      </c>
      <c r="G95" s="49">
        <f>AVERAGE('26.09 Kitemu-Buddo-24 HRS'!G95,'28.09 Kitemu-Buddo-24HRS'!G95)</f>
        <v>0</v>
      </c>
      <c r="H95" s="49">
        <f>AVERAGE('26.09 Kitemu-Buddo-24 HRS'!H95,'28.09 Kitemu-Buddo-24HRS'!H95)</f>
        <v>0</v>
      </c>
      <c r="I95" s="49">
        <f>AVERAGE('26.09 Kitemu-Buddo-24 HRS'!I95,'28.09 Kitemu-Buddo-24HRS'!I95)</f>
        <v>0.5</v>
      </c>
      <c r="J95" s="49">
        <f>AVERAGE('26.09 Kitemu-Buddo-24 HRS'!J95,'28.09 Kitemu-Buddo-24HRS'!J95)</f>
        <v>0</v>
      </c>
      <c r="K95" s="49">
        <f>AVERAGE('26.09 Kitemu-Buddo-24 HRS'!K95,'28.09 Kitemu-Buddo-24HRS'!K95)</f>
        <v>0</v>
      </c>
      <c r="L95" s="49">
        <f>AVERAGE('26.09 Kitemu-Buddo-24 HRS'!L95,'28.09 Kitemu-Buddo-24HRS'!L95)</f>
        <v>0</v>
      </c>
      <c r="M95" s="49">
        <f>AVERAGE('26.09 Kitemu-Buddo-24 HRS'!M95,'28.09 Kitemu-Buddo-24HRS'!M95)</f>
        <v>12.5</v>
      </c>
      <c r="N95" s="49">
        <f>AVERAGE('26.09 Kitemu-Buddo-24 HRS'!N95,'28.09 Kitemu-Buddo-24HRS'!N95)</f>
        <v>0</v>
      </c>
      <c r="O95" s="15">
        <f t="shared" si="35"/>
        <v>2.5</v>
      </c>
      <c r="P95" s="15">
        <f t="shared" si="36"/>
        <v>15</v>
      </c>
      <c r="R95" s="8"/>
      <c r="T95"/>
    </row>
    <row r="96" spans="2:20" ht="23.1" customHeight="1" x14ac:dyDescent="0.25">
      <c r="B96" s="25" t="s">
        <v>136</v>
      </c>
      <c r="C96" s="49">
        <f>AVERAGE('26.09 Kitemu-Buddo-24 HRS'!C96,'28.09 Kitemu-Buddo-24HRS'!C96)</f>
        <v>0.5</v>
      </c>
      <c r="D96" s="49">
        <f>AVERAGE('26.09 Kitemu-Buddo-24 HRS'!D96,'28.09 Kitemu-Buddo-24HRS'!D96)</f>
        <v>0</v>
      </c>
      <c r="E96" s="49">
        <f>AVERAGE('26.09 Kitemu-Buddo-24 HRS'!E96,'28.09 Kitemu-Buddo-24HRS'!E96)</f>
        <v>0.5</v>
      </c>
      <c r="F96" s="49">
        <f>AVERAGE('26.09 Kitemu-Buddo-24 HRS'!F96,'28.09 Kitemu-Buddo-24HRS'!F96)</f>
        <v>1</v>
      </c>
      <c r="G96" s="49">
        <f>AVERAGE('26.09 Kitemu-Buddo-24 HRS'!G96,'28.09 Kitemu-Buddo-24HRS'!G96)</f>
        <v>0</v>
      </c>
      <c r="H96" s="49">
        <f>AVERAGE('26.09 Kitemu-Buddo-24 HRS'!H96,'28.09 Kitemu-Buddo-24HRS'!H96)</f>
        <v>0</v>
      </c>
      <c r="I96" s="49">
        <f>AVERAGE('26.09 Kitemu-Buddo-24 HRS'!I96,'28.09 Kitemu-Buddo-24HRS'!I96)</f>
        <v>0.5</v>
      </c>
      <c r="J96" s="49">
        <f>AVERAGE('26.09 Kitemu-Buddo-24 HRS'!J96,'28.09 Kitemu-Buddo-24HRS'!J96)</f>
        <v>0</v>
      </c>
      <c r="K96" s="49">
        <f>AVERAGE('26.09 Kitemu-Buddo-24 HRS'!K96,'28.09 Kitemu-Buddo-24HRS'!K96)</f>
        <v>0</v>
      </c>
      <c r="L96" s="49">
        <f>AVERAGE('26.09 Kitemu-Buddo-24 HRS'!L96,'28.09 Kitemu-Buddo-24HRS'!L96)</f>
        <v>0</v>
      </c>
      <c r="M96" s="49">
        <f>AVERAGE('26.09 Kitemu-Buddo-24 HRS'!M96,'28.09 Kitemu-Buddo-24HRS'!M96)</f>
        <v>12.5</v>
      </c>
      <c r="N96" s="49">
        <f>AVERAGE('26.09 Kitemu-Buddo-24 HRS'!N96,'28.09 Kitemu-Buddo-24HRS'!N96)</f>
        <v>0</v>
      </c>
      <c r="O96" s="15">
        <f t="shared" si="35"/>
        <v>2.5</v>
      </c>
      <c r="P96" s="15">
        <f t="shared" si="36"/>
        <v>15</v>
      </c>
      <c r="R96" s="8"/>
      <c r="T96"/>
    </row>
    <row r="97" spans="2:20" ht="23.1" customHeight="1" x14ac:dyDescent="0.25">
      <c r="B97" s="23" t="s">
        <v>137</v>
      </c>
      <c r="C97" s="49">
        <f>AVERAGE('26.09 Kitemu-Buddo-24 HRS'!C97,'28.09 Kitemu-Buddo-24HRS'!C97)</f>
        <v>2</v>
      </c>
      <c r="D97" s="49">
        <f>AVERAGE('26.09 Kitemu-Buddo-24 HRS'!D97,'28.09 Kitemu-Buddo-24HRS'!D97)</f>
        <v>0</v>
      </c>
      <c r="E97" s="49">
        <f>AVERAGE('26.09 Kitemu-Buddo-24 HRS'!E97,'28.09 Kitemu-Buddo-24HRS'!E97)</f>
        <v>0</v>
      </c>
      <c r="F97" s="49">
        <f>AVERAGE('26.09 Kitemu-Buddo-24 HRS'!F97,'28.09 Kitemu-Buddo-24HRS'!F97)</f>
        <v>2.5</v>
      </c>
      <c r="G97" s="49">
        <f>AVERAGE('26.09 Kitemu-Buddo-24 HRS'!G97,'28.09 Kitemu-Buddo-24HRS'!G97)</f>
        <v>0</v>
      </c>
      <c r="H97" s="49">
        <f>AVERAGE('26.09 Kitemu-Buddo-24 HRS'!H97,'28.09 Kitemu-Buddo-24HRS'!H97)</f>
        <v>0</v>
      </c>
      <c r="I97" s="49">
        <f>AVERAGE('26.09 Kitemu-Buddo-24 HRS'!I97,'28.09 Kitemu-Buddo-24HRS'!I97)</f>
        <v>2.5</v>
      </c>
      <c r="J97" s="49">
        <f>AVERAGE('26.09 Kitemu-Buddo-24 HRS'!J97,'28.09 Kitemu-Buddo-24HRS'!J97)</f>
        <v>0.5</v>
      </c>
      <c r="K97" s="49">
        <f>AVERAGE('26.09 Kitemu-Buddo-24 HRS'!K97,'28.09 Kitemu-Buddo-24HRS'!K97)</f>
        <v>0</v>
      </c>
      <c r="L97" s="49">
        <f>AVERAGE('26.09 Kitemu-Buddo-24 HRS'!L97,'28.09 Kitemu-Buddo-24HRS'!L97)</f>
        <v>0</v>
      </c>
      <c r="M97" s="49">
        <f>AVERAGE('26.09 Kitemu-Buddo-24 HRS'!M97,'28.09 Kitemu-Buddo-24HRS'!M97)</f>
        <v>16.5</v>
      </c>
      <c r="N97" s="49">
        <f>AVERAGE('26.09 Kitemu-Buddo-24 HRS'!N97,'28.09 Kitemu-Buddo-24HRS'!N97)</f>
        <v>0</v>
      </c>
      <c r="O97" s="15">
        <f t="shared" si="35"/>
        <v>7.5</v>
      </c>
      <c r="P97" s="15">
        <f t="shared" si="36"/>
        <v>24</v>
      </c>
      <c r="R97" s="8"/>
      <c r="T97"/>
    </row>
    <row r="98" spans="2:20" ht="23.1" customHeight="1" x14ac:dyDescent="0.25">
      <c r="B98" s="24" t="s">
        <v>138</v>
      </c>
      <c r="C98" s="49">
        <f>AVERAGE('26.09 Kitemu-Buddo-24 HRS'!C98,'28.09 Kitemu-Buddo-24HRS'!C98)</f>
        <v>1.5</v>
      </c>
      <c r="D98" s="49">
        <f>AVERAGE('26.09 Kitemu-Buddo-24 HRS'!D98,'28.09 Kitemu-Buddo-24HRS'!D98)</f>
        <v>0.5</v>
      </c>
      <c r="E98" s="49">
        <f>AVERAGE('26.09 Kitemu-Buddo-24 HRS'!E98,'28.09 Kitemu-Buddo-24HRS'!E98)</f>
        <v>0.5</v>
      </c>
      <c r="F98" s="49">
        <f>AVERAGE('26.09 Kitemu-Buddo-24 HRS'!F98,'28.09 Kitemu-Buddo-24HRS'!F98)</f>
        <v>5</v>
      </c>
      <c r="G98" s="49">
        <f>AVERAGE('26.09 Kitemu-Buddo-24 HRS'!G98,'28.09 Kitemu-Buddo-24HRS'!G98)</f>
        <v>0</v>
      </c>
      <c r="H98" s="49">
        <f>AVERAGE('26.09 Kitemu-Buddo-24 HRS'!H98,'28.09 Kitemu-Buddo-24HRS'!H98)</f>
        <v>0</v>
      </c>
      <c r="I98" s="49">
        <f>AVERAGE('26.09 Kitemu-Buddo-24 HRS'!I98,'28.09 Kitemu-Buddo-24HRS'!I98)</f>
        <v>1</v>
      </c>
      <c r="J98" s="49">
        <f>AVERAGE('26.09 Kitemu-Buddo-24 HRS'!J98,'28.09 Kitemu-Buddo-24HRS'!J98)</f>
        <v>0</v>
      </c>
      <c r="K98" s="49">
        <f>AVERAGE('26.09 Kitemu-Buddo-24 HRS'!K98,'28.09 Kitemu-Buddo-24HRS'!K98)</f>
        <v>0</v>
      </c>
      <c r="L98" s="49">
        <f>AVERAGE('26.09 Kitemu-Buddo-24 HRS'!L98,'28.09 Kitemu-Buddo-24HRS'!L98)</f>
        <v>0</v>
      </c>
      <c r="M98" s="49">
        <f>AVERAGE('26.09 Kitemu-Buddo-24 HRS'!M98,'28.09 Kitemu-Buddo-24HRS'!M98)</f>
        <v>15.5</v>
      </c>
      <c r="N98" s="49">
        <f>AVERAGE('26.09 Kitemu-Buddo-24 HRS'!N98,'28.09 Kitemu-Buddo-24HRS'!N98)</f>
        <v>0</v>
      </c>
      <c r="O98" s="15">
        <f t="shared" si="35"/>
        <v>8.5</v>
      </c>
      <c r="P98" s="15">
        <f t="shared" si="36"/>
        <v>24</v>
      </c>
      <c r="R98" s="8"/>
      <c r="T98"/>
    </row>
    <row r="99" spans="2:20" ht="23.1" customHeight="1" x14ac:dyDescent="0.25">
      <c r="B99" s="23" t="s">
        <v>139</v>
      </c>
      <c r="C99" s="49">
        <f>AVERAGE('26.09 Kitemu-Buddo-24 HRS'!C99,'28.09 Kitemu-Buddo-24HRS'!C99)</f>
        <v>1</v>
      </c>
      <c r="D99" s="49">
        <f>AVERAGE('26.09 Kitemu-Buddo-24 HRS'!D99,'28.09 Kitemu-Buddo-24HRS'!D99)</f>
        <v>0.5</v>
      </c>
      <c r="E99" s="49">
        <f>AVERAGE('26.09 Kitemu-Buddo-24 HRS'!E99,'28.09 Kitemu-Buddo-24HRS'!E99)</f>
        <v>0</v>
      </c>
      <c r="F99" s="49">
        <f>AVERAGE('26.09 Kitemu-Buddo-24 HRS'!F99,'28.09 Kitemu-Buddo-24HRS'!F99)</f>
        <v>6</v>
      </c>
      <c r="G99" s="49">
        <f>AVERAGE('26.09 Kitemu-Buddo-24 HRS'!G99,'28.09 Kitemu-Buddo-24HRS'!G99)</f>
        <v>0</v>
      </c>
      <c r="H99" s="49">
        <f>AVERAGE('26.09 Kitemu-Buddo-24 HRS'!H99,'28.09 Kitemu-Buddo-24HRS'!H99)</f>
        <v>0</v>
      </c>
      <c r="I99" s="49">
        <f>AVERAGE('26.09 Kitemu-Buddo-24 HRS'!I99,'28.09 Kitemu-Buddo-24HRS'!I99)</f>
        <v>0</v>
      </c>
      <c r="J99" s="49">
        <f>AVERAGE('26.09 Kitemu-Buddo-24 HRS'!J99,'28.09 Kitemu-Buddo-24HRS'!J99)</f>
        <v>1.5</v>
      </c>
      <c r="K99" s="49">
        <f>AVERAGE('26.09 Kitemu-Buddo-24 HRS'!K99,'28.09 Kitemu-Buddo-24HRS'!K99)</f>
        <v>0</v>
      </c>
      <c r="L99" s="49">
        <f>AVERAGE('26.09 Kitemu-Buddo-24 HRS'!L99,'28.09 Kitemu-Buddo-24HRS'!L99)</f>
        <v>0</v>
      </c>
      <c r="M99" s="49">
        <f>AVERAGE('26.09 Kitemu-Buddo-24 HRS'!M99,'28.09 Kitemu-Buddo-24HRS'!M99)</f>
        <v>17</v>
      </c>
      <c r="N99" s="49">
        <f>AVERAGE('26.09 Kitemu-Buddo-24 HRS'!N99,'28.09 Kitemu-Buddo-24HRS'!N99)</f>
        <v>0</v>
      </c>
      <c r="O99" s="15">
        <f t="shared" si="35"/>
        <v>9</v>
      </c>
      <c r="P99" s="15">
        <f t="shared" si="36"/>
        <v>26</v>
      </c>
      <c r="R99" s="8"/>
      <c r="T99"/>
    </row>
    <row r="100" spans="2:20" ht="23.1" customHeight="1" x14ac:dyDescent="0.25">
      <c r="B100" s="25" t="s">
        <v>140</v>
      </c>
      <c r="C100" s="49">
        <f>AVERAGE('26.09 Kitemu-Buddo-24 HRS'!C100,'28.09 Kitemu-Buddo-24HRS'!C100)</f>
        <v>1.5</v>
      </c>
      <c r="D100" s="49">
        <f>AVERAGE('26.09 Kitemu-Buddo-24 HRS'!D100,'28.09 Kitemu-Buddo-24HRS'!D100)</f>
        <v>0</v>
      </c>
      <c r="E100" s="49">
        <f>AVERAGE('26.09 Kitemu-Buddo-24 HRS'!E100,'28.09 Kitemu-Buddo-24HRS'!E100)</f>
        <v>0.5</v>
      </c>
      <c r="F100" s="49">
        <f>AVERAGE('26.09 Kitemu-Buddo-24 HRS'!F100,'28.09 Kitemu-Buddo-24HRS'!F100)</f>
        <v>4.5</v>
      </c>
      <c r="G100" s="49">
        <f>AVERAGE('26.09 Kitemu-Buddo-24 HRS'!G100,'28.09 Kitemu-Buddo-24HRS'!G100)</f>
        <v>0</v>
      </c>
      <c r="H100" s="49">
        <f>AVERAGE('26.09 Kitemu-Buddo-24 HRS'!H100,'28.09 Kitemu-Buddo-24HRS'!H100)</f>
        <v>0</v>
      </c>
      <c r="I100" s="49">
        <f>AVERAGE('26.09 Kitemu-Buddo-24 HRS'!I100,'28.09 Kitemu-Buddo-24HRS'!I100)</f>
        <v>0.5</v>
      </c>
      <c r="J100" s="49">
        <f>AVERAGE('26.09 Kitemu-Buddo-24 HRS'!J100,'28.09 Kitemu-Buddo-24HRS'!J100)</f>
        <v>0</v>
      </c>
      <c r="K100" s="49">
        <f>AVERAGE('26.09 Kitemu-Buddo-24 HRS'!K100,'28.09 Kitemu-Buddo-24HRS'!K100)</f>
        <v>0</v>
      </c>
      <c r="L100" s="49">
        <f>AVERAGE('26.09 Kitemu-Buddo-24 HRS'!L100,'28.09 Kitemu-Buddo-24HRS'!L100)</f>
        <v>0</v>
      </c>
      <c r="M100" s="49">
        <f>AVERAGE('26.09 Kitemu-Buddo-24 HRS'!M100,'28.09 Kitemu-Buddo-24HRS'!M100)</f>
        <v>18.5</v>
      </c>
      <c r="N100" s="49">
        <f>AVERAGE('26.09 Kitemu-Buddo-24 HRS'!N100,'28.09 Kitemu-Buddo-24HRS'!N100)</f>
        <v>0</v>
      </c>
      <c r="O100" s="15">
        <f t="shared" si="35"/>
        <v>7</v>
      </c>
      <c r="P100" s="15">
        <f t="shared" si="36"/>
        <v>25.5</v>
      </c>
      <c r="R100" s="8"/>
      <c r="T100"/>
    </row>
    <row r="101" spans="2:20" ht="23.1" customHeight="1" x14ac:dyDescent="0.25">
      <c r="B101" s="23" t="s">
        <v>141</v>
      </c>
      <c r="C101" s="49">
        <f>AVERAGE('26.09 Kitemu-Buddo-24 HRS'!C101,'28.09 Kitemu-Buddo-24HRS'!C101)</f>
        <v>2.5</v>
      </c>
      <c r="D101" s="49">
        <f>AVERAGE('26.09 Kitemu-Buddo-24 HRS'!D101,'28.09 Kitemu-Buddo-24HRS'!D101)</f>
        <v>1</v>
      </c>
      <c r="E101" s="49">
        <f>AVERAGE('26.09 Kitemu-Buddo-24 HRS'!E101,'28.09 Kitemu-Buddo-24HRS'!E101)</f>
        <v>0.5</v>
      </c>
      <c r="F101" s="49">
        <f>AVERAGE('26.09 Kitemu-Buddo-24 HRS'!F101,'28.09 Kitemu-Buddo-24HRS'!F101)</f>
        <v>5</v>
      </c>
      <c r="G101" s="49">
        <f>AVERAGE('26.09 Kitemu-Buddo-24 HRS'!G101,'28.09 Kitemu-Buddo-24HRS'!G101)</f>
        <v>0.5</v>
      </c>
      <c r="H101" s="49">
        <f>AVERAGE('26.09 Kitemu-Buddo-24 HRS'!H101,'28.09 Kitemu-Buddo-24HRS'!H101)</f>
        <v>0</v>
      </c>
      <c r="I101" s="49">
        <f>AVERAGE('26.09 Kitemu-Buddo-24 HRS'!I101,'28.09 Kitemu-Buddo-24HRS'!I101)</f>
        <v>1.5</v>
      </c>
      <c r="J101" s="49">
        <f>AVERAGE('26.09 Kitemu-Buddo-24 HRS'!J101,'28.09 Kitemu-Buddo-24HRS'!J101)</f>
        <v>1</v>
      </c>
      <c r="K101" s="49">
        <f>AVERAGE('26.09 Kitemu-Buddo-24 HRS'!K101,'28.09 Kitemu-Buddo-24HRS'!K101)</f>
        <v>0</v>
      </c>
      <c r="L101" s="49">
        <f>AVERAGE('26.09 Kitemu-Buddo-24 HRS'!L101,'28.09 Kitemu-Buddo-24HRS'!L101)</f>
        <v>0</v>
      </c>
      <c r="M101" s="49">
        <f>AVERAGE('26.09 Kitemu-Buddo-24 HRS'!M101,'28.09 Kitemu-Buddo-24HRS'!M101)</f>
        <v>20.5</v>
      </c>
      <c r="N101" s="49">
        <f>AVERAGE('26.09 Kitemu-Buddo-24 HRS'!N101,'28.09 Kitemu-Buddo-24HRS'!N101)</f>
        <v>0</v>
      </c>
      <c r="O101" s="15">
        <f t="shared" si="35"/>
        <v>12</v>
      </c>
      <c r="P101" s="15">
        <f t="shared" si="36"/>
        <v>32.5</v>
      </c>
      <c r="R101" s="8"/>
      <c r="T101"/>
    </row>
    <row r="102" spans="2:20" ht="23.1" customHeight="1" x14ac:dyDescent="0.25">
      <c r="B102" s="24" t="s">
        <v>142</v>
      </c>
      <c r="C102" s="49">
        <f>AVERAGE('26.09 Kitemu-Buddo-24 HRS'!C102,'28.09 Kitemu-Buddo-24HRS'!C102)</f>
        <v>2.5</v>
      </c>
      <c r="D102" s="49">
        <f>AVERAGE('26.09 Kitemu-Buddo-24 HRS'!D102,'28.09 Kitemu-Buddo-24HRS'!D102)</f>
        <v>0</v>
      </c>
      <c r="E102" s="49">
        <f>AVERAGE('26.09 Kitemu-Buddo-24 HRS'!E102,'28.09 Kitemu-Buddo-24HRS'!E102)</f>
        <v>0</v>
      </c>
      <c r="F102" s="49">
        <f>AVERAGE('26.09 Kitemu-Buddo-24 HRS'!F102,'28.09 Kitemu-Buddo-24HRS'!F102)</f>
        <v>6</v>
      </c>
      <c r="G102" s="49">
        <f>AVERAGE('26.09 Kitemu-Buddo-24 HRS'!G102,'28.09 Kitemu-Buddo-24HRS'!G102)</f>
        <v>0</v>
      </c>
      <c r="H102" s="49">
        <f>AVERAGE('26.09 Kitemu-Buddo-24 HRS'!H102,'28.09 Kitemu-Buddo-24HRS'!H102)</f>
        <v>0</v>
      </c>
      <c r="I102" s="49">
        <f>AVERAGE('26.09 Kitemu-Buddo-24 HRS'!I102,'28.09 Kitemu-Buddo-24HRS'!I102)</f>
        <v>0.5</v>
      </c>
      <c r="J102" s="49">
        <f>AVERAGE('26.09 Kitemu-Buddo-24 HRS'!J102,'28.09 Kitemu-Buddo-24HRS'!J102)</f>
        <v>0.5</v>
      </c>
      <c r="K102" s="49">
        <f>AVERAGE('26.09 Kitemu-Buddo-24 HRS'!K102,'28.09 Kitemu-Buddo-24HRS'!K102)</f>
        <v>0</v>
      </c>
      <c r="L102" s="49">
        <f>AVERAGE('26.09 Kitemu-Buddo-24 HRS'!L102,'28.09 Kitemu-Buddo-24HRS'!L102)</f>
        <v>0</v>
      </c>
      <c r="M102" s="49">
        <f>AVERAGE('26.09 Kitemu-Buddo-24 HRS'!M102,'28.09 Kitemu-Buddo-24HRS'!M102)</f>
        <v>24</v>
      </c>
      <c r="N102" s="49">
        <f>AVERAGE('26.09 Kitemu-Buddo-24 HRS'!N102,'28.09 Kitemu-Buddo-24HRS'!N102)</f>
        <v>0</v>
      </c>
      <c r="O102" s="15">
        <f t="shared" si="35"/>
        <v>9.5</v>
      </c>
      <c r="P102" s="15">
        <f t="shared" si="36"/>
        <v>33.5</v>
      </c>
      <c r="R102" s="8"/>
      <c r="T102"/>
    </row>
    <row r="103" spans="2:20" ht="23.1" customHeight="1" x14ac:dyDescent="0.25">
      <c r="B103" s="23" t="s">
        <v>143</v>
      </c>
      <c r="C103" s="49">
        <f>AVERAGE('26.09 Kitemu-Buddo-24 HRS'!C103,'28.09 Kitemu-Buddo-24HRS'!C103)</f>
        <v>1.5</v>
      </c>
      <c r="D103" s="49">
        <f>AVERAGE('26.09 Kitemu-Buddo-24 HRS'!D103,'28.09 Kitemu-Buddo-24HRS'!D103)</f>
        <v>0</v>
      </c>
      <c r="E103" s="49">
        <f>AVERAGE('26.09 Kitemu-Buddo-24 HRS'!E103,'28.09 Kitemu-Buddo-24HRS'!E103)</f>
        <v>0</v>
      </c>
      <c r="F103" s="49">
        <f>AVERAGE('26.09 Kitemu-Buddo-24 HRS'!F103,'28.09 Kitemu-Buddo-24HRS'!F103)</f>
        <v>6.5</v>
      </c>
      <c r="G103" s="49">
        <f>AVERAGE('26.09 Kitemu-Buddo-24 HRS'!G103,'28.09 Kitemu-Buddo-24HRS'!G103)</f>
        <v>0</v>
      </c>
      <c r="H103" s="49">
        <f>AVERAGE('26.09 Kitemu-Buddo-24 HRS'!H103,'28.09 Kitemu-Buddo-24HRS'!H103)</f>
        <v>0</v>
      </c>
      <c r="I103" s="49">
        <f>AVERAGE('26.09 Kitemu-Buddo-24 HRS'!I103,'28.09 Kitemu-Buddo-24HRS'!I103)</f>
        <v>1.5</v>
      </c>
      <c r="J103" s="49">
        <f>AVERAGE('26.09 Kitemu-Buddo-24 HRS'!J103,'28.09 Kitemu-Buddo-24HRS'!J103)</f>
        <v>0.5</v>
      </c>
      <c r="K103" s="49">
        <f>AVERAGE('26.09 Kitemu-Buddo-24 HRS'!K103,'28.09 Kitemu-Buddo-24HRS'!K103)</f>
        <v>0</v>
      </c>
      <c r="L103" s="49">
        <f>AVERAGE('26.09 Kitemu-Buddo-24 HRS'!L103,'28.09 Kitemu-Buddo-24HRS'!L103)</f>
        <v>0</v>
      </c>
      <c r="M103" s="49">
        <f>AVERAGE('26.09 Kitemu-Buddo-24 HRS'!M103,'28.09 Kitemu-Buddo-24HRS'!M103)</f>
        <v>27</v>
      </c>
      <c r="N103" s="49">
        <f>AVERAGE('26.09 Kitemu-Buddo-24 HRS'!N103,'28.09 Kitemu-Buddo-24HRS'!N103)</f>
        <v>0</v>
      </c>
      <c r="O103" s="15">
        <f t="shared" si="35"/>
        <v>10</v>
      </c>
      <c r="P103" s="15">
        <f t="shared" si="36"/>
        <v>37</v>
      </c>
      <c r="R103" s="8"/>
      <c r="T103"/>
    </row>
    <row r="104" spans="2:20" ht="23.1" customHeight="1" x14ac:dyDescent="0.25">
      <c r="B104" s="25" t="s">
        <v>144</v>
      </c>
      <c r="C104" s="49">
        <f>AVERAGE('26.09 Kitemu-Buddo-24 HRS'!C104,'28.09 Kitemu-Buddo-24HRS'!C104)</f>
        <v>2</v>
      </c>
      <c r="D104" s="49">
        <f>AVERAGE('26.09 Kitemu-Buddo-24 HRS'!D104,'28.09 Kitemu-Buddo-24HRS'!D104)</f>
        <v>0</v>
      </c>
      <c r="E104" s="49">
        <f>AVERAGE('26.09 Kitemu-Buddo-24 HRS'!E104,'28.09 Kitemu-Buddo-24HRS'!E104)</f>
        <v>1</v>
      </c>
      <c r="F104" s="49">
        <f>AVERAGE('26.09 Kitemu-Buddo-24 HRS'!F104,'28.09 Kitemu-Buddo-24HRS'!F104)</f>
        <v>2</v>
      </c>
      <c r="G104" s="49">
        <f>AVERAGE('26.09 Kitemu-Buddo-24 HRS'!G104,'28.09 Kitemu-Buddo-24HRS'!G104)</f>
        <v>0</v>
      </c>
      <c r="H104" s="49">
        <f>AVERAGE('26.09 Kitemu-Buddo-24 HRS'!H104,'28.09 Kitemu-Buddo-24HRS'!H104)</f>
        <v>0</v>
      </c>
      <c r="I104" s="49">
        <f>AVERAGE('26.09 Kitemu-Buddo-24 HRS'!I104,'28.09 Kitemu-Buddo-24HRS'!I104)</f>
        <v>2</v>
      </c>
      <c r="J104" s="49">
        <f>AVERAGE('26.09 Kitemu-Buddo-24 HRS'!J104,'28.09 Kitemu-Buddo-24HRS'!J104)</f>
        <v>0.5</v>
      </c>
      <c r="K104" s="49">
        <f>AVERAGE('26.09 Kitemu-Buddo-24 HRS'!K104,'28.09 Kitemu-Buddo-24HRS'!K104)</f>
        <v>0</v>
      </c>
      <c r="L104" s="49">
        <f>AVERAGE('26.09 Kitemu-Buddo-24 HRS'!L104,'28.09 Kitemu-Buddo-24HRS'!L104)</f>
        <v>0</v>
      </c>
      <c r="M104" s="49">
        <f>AVERAGE('26.09 Kitemu-Buddo-24 HRS'!M104,'28.09 Kitemu-Buddo-24HRS'!M104)</f>
        <v>35</v>
      </c>
      <c r="N104" s="49">
        <f>AVERAGE('26.09 Kitemu-Buddo-24 HRS'!N104,'28.09 Kitemu-Buddo-24HRS'!N104)</f>
        <v>0</v>
      </c>
      <c r="O104" s="15">
        <f t="shared" si="35"/>
        <v>7.5</v>
      </c>
      <c r="P104" s="15">
        <f t="shared" si="36"/>
        <v>42.5</v>
      </c>
      <c r="R104" s="8"/>
      <c r="T104"/>
    </row>
    <row r="105" spans="2:20" ht="23.1" customHeight="1" x14ac:dyDescent="0.25">
      <c r="B105" s="23" t="s">
        <v>145</v>
      </c>
      <c r="C105" s="49">
        <f>AVERAGE('26.09 Kitemu-Buddo-24 HRS'!C105,'28.09 Kitemu-Buddo-24HRS'!C105)</f>
        <v>4.5</v>
      </c>
      <c r="D105" s="49">
        <f>AVERAGE('26.09 Kitemu-Buddo-24 HRS'!D105,'28.09 Kitemu-Buddo-24HRS'!D105)</f>
        <v>1</v>
      </c>
      <c r="E105" s="49">
        <f>AVERAGE('26.09 Kitemu-Buddo-24 HRS'!E105,'28.09 Kitemu-Buddo-24HRS'!E105)</f>
        <v>0.5</v>
      </c>
      <c r="F105" s="49">
        <f>AVERAGE('26.09 Kitemu-Buddo-24 HRS'!F105,'28.09 Kitemu-Buddo-24HRS'!F105)</f>
        <v>5</v>
      </c>
      <c r="G105" s="49">
        <f>AVERAGE('26.09 Kitemu-Buddo-24 HRS'!G105,'28.09 Kitemu-Buddo-24HRS'!G105)</f>
        <v>0</v>
      </c>
      <c r="H105" s="49">
        <f>AVERAGE('26.09 Kitemu-Buddo-24 HRS'!H105,'28.09 Kitemu-Buddo-24HRS'!H105)</f>
        <v>0</v>
      </c>
      <c r="I105" s="49">
        <f>AVERAGE('26.09 Kitemu-Buddo-24 HRS'!I105,'28.09 Kitemu-Buddo-24HRS'!I105)</f>
        <v>0</v>
      </c>
      <c r="J105" s="49">
        <f>AVERAGE('26.09 Kitemu-Buddo-24 HRS'!J105,'28.09 Kitemu-Buddo-24HRS'!J105)</f>
        <v>1.5</v>
      </c>
      <c r="K105" s="49">
        <f>AVERAGE('26.09 Kitemu-Buddo-24 HRS'!K105,'28.09 Kitemu-Buddo-24HRS'!K105)</f>
        <v>0</v>
      </c>
      <c r="L105" s="49">
        <f>AVERAGE('26.09 Kitemu-Buddo-24 HRS'!L105,'28.09 Kitemu-Buddo-24HRS'!L105)</f>
        <v>0</v>
      </c>
      <c r="M105" s="49">
        <f>AVERAGE('26.09 Kitemu-Buddo-24 HRS'!M105,'28.09 Kitemu-Buddo-24HRS'!M105)</f>
        <v>39.5</v>
      </c>
      <c r="N105" s="49">
        <f>AVERAGE('26.09 Kitemu-Buddo-24 HRS'!N105,'28.09 Kitemu-Buddo-24HRS'!N105)</f>
        <v>0</v>
      </c>
      <c r="O105" s="15">
        <f t="shared" si="35"/>
        <v>12.5</v>
      </c>
      <c r="P105" s="15">
        <f t="shared" si="36"/>
        <v>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282.07142857142856</v>
      </c>
      <c r="D106" s="16">
        <f t="shared" ref="D106:P106" si="37">SUM(D10:D105)</f>
        <v>46.714285714285722</v>
      </c>
      <c r="E106" s="16">
        <f t="shared" si="37"/>
        <v>39.928571428571431</v>
      </c>
      <c r="F106" s="16">
        <f t="shared" si="37"/>
        <v>198.07142857142856</v>
      </c>
      <c r="G106" s="16">
        <f t="shared" si="37"/>
        <v>9.2142857142857117</v>
      </c>
      <c r="H106" s="16">
        <f t="shared" si="37"/>
        <v>0.99999999999999978</v>
      </c>
      <c r="I106" s="16">
        <f t="shared" si="37"/>
        <v>98.357142857142861</v>
      </c>
      <c r="J106" s="16">
        <f t="shared" si="37"/>
        <v>44.285714285714285</v>
      </c>
      <c r="K106" s="16">
        <f t="shared" si="37"/>
        <v>12.785714285714288</v>
      </c>
      <c r="L106" s="16">
        <f t="shared" si="37"/>
        <v>0.5</v>
      </c>
      <c r="M106" s="16">
        <f t="shared" si="37"/>
        <v>3252.5000000000009</v>
      </c>
      <c r="N106" s="16">
        <f t="shared" si="37"/>
        <v>0</v>
      </c>
      <c r="O106" s="16">
        <f t="shared" si="37"/>
        <v>732.92857142857133</v>
      </c>
      <c r="P106" s="16">
        <f t="shared" si="37"/>
        <v>3985.4285714285716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7.0775682844648358E-2</v>
      </c>
      <c r="D107" s="43">
        <f t="shared" si="38"/>
        <v>1.1721270341959999E-2</v>
      </c>
      <c r="E107" s="43">
        <f t="shared" si="38"/>
        <v>1.0018639328984157E-2</v>
      </c>
      <c r="F107" s="43">
        <f t="shared" si="38"/>
        <v>4.9698903147179001E-2</v>
      </c>
      <c r="G107" s="43">
        <f t="shared" si="38"/>
        <v>2.3119936913040353E-3</v>
      </c>
      <c r="H107" s="43">
        <f t="shared" si="38"/>
        <v>2.5091404401749221E-4</v>
      </c>
      <c r="I107" s="43">
        <f t="shared" si="38"/>
        <v>2.4679188472291922E-2</v>
      </c>
      <c r="J107" s="43">
        <f t="shared" si="38"/>
        <v>1.1111907663631801E-2</v>
      </c>
      <c r="K107" s="43">
        <f t="shared" si="38"/>
        <v>3.208115277080795E-3</v>
      </c>
      <c r="L107" s="43">
        <f t="shared" si="38"/>
        <v>1.2545702200874613E-4</v>
      </c>
      <c r="M107" s="43">
        <f t="shared" si="38"/>
        <v>0.81609792816689386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0.38485527726342467</v>
      </c>
      <c r="D108" s="44">
        <f t="shared" ref="D108:N108" si="39">D106/$O$106</f>
        <v>6.3736477926128077E-2</v>
      </c>
      <c r="E108" s="44">
        <f t="shared" si="39"/>
        <v>5.4478121040834236E-2</v>
      </c>
      <c r="F108" s="44">
        <f t="shared" si="39"/>
        <v>0.27024656466231362</v>
      </c>
      <c r="G108" s="44">
        <f t="shared" si="39"/>
        <v>1.2571874086346357E-2</v>
      </c>
      <c r="H108" s="44">
        <f t="shared" si="39"/>
        <v>1.3643894357275117E-3</v>
      </c>
      <c r="I108" s="44">
        <f t="shared" si="39"/>
        <v>0.13419744664262745</v>
      </c>
      <c r="J108" s="44">
        <f t="shared" si="39"/>
        <v>6.0422960725075532E-2</v>
      </c>
      <c r="K108" s="44">
        <f t="shared" si="39"/>
        <v>1.7444693499658909E-2</v>
      </c>
      <c r="L108" s="44">
        <f t="shared" si="39"/>
        <v>6.8219471786375608E-4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H40" zoomScale="60" workbookViewId="0">
      <selection activeCell="Y85" sqref="Y8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69" t="str">
        <f>'29.09 Buddo-Kitemu'!G5:H5</f>
        <v>St Charles Lwanga PS</v>
      </c>
      <c r="H5" s="70"/>
      <c r="I5" s="14"/>
      <c r="J5" s="2" t="s">
        <v>5</v>
      </c>
      <c r="K5" s="69" t="str">
        <f>'29.09 Buddo-Kitemu'!K5:L5</f>
        <v>Moreen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'29.09 Buddo-Kitemu'!D6:E6</f>
        <v>BUDDO</v>
      </c>
      <c r="E6" s="70"/>
      <c r="F6" s="2" t="s">
        <v>2</v>
      </c>
      <c r="G6" s="69" t="str">
        <f>'29.09 Buddo-Kitemu'!G6:H6</f>
        <v>KITEMU</v>
      </c>
      <c r="H6" s="70"/>
      <c r="J6" s="2" t="s">
        <v>21</v>
      </c>
      <c r="K6" s="69" t="str">
        <f>'29.09 Buddo-Kitemu'!K6:L6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AVERAGE('23.09.19 -Buddo-Kitemu'!C10,'24.09 Buddo-Kitemu'!C10,'25.09 Buddo-Kitemu'!C10,'27.09 Buddo-Kitemu'!C10,'26.09 Buddo-Kitemu-24HRS'!C10,'28.09 Buddo-Kitemu-24h'!C10,'29.09 Buddo-Kitemu'!C10)</f>
        <v>5.5714285714285712</v>
      </c>
      <c r="D10" s="49">
        <f>AVERAGE('23.09.19 -Buddo-Kitemu'!D10,'24.09 Buddo-Kitemu'!D10,'25.09 Buddo-Kitemu'!D10,'27.09 Buddo-Kitemu'!D10,'26.09 Buddo-Kitemu-24HRS'!D10,'28.09 Buddo-Kitemu-24h'!D10,'29.09 Buddo-Kitemu'!D10)</f>
        <v>0.5714285714285714</v>
      </c>
      <c r="E10" s="49">
        <f>AVERAGE('23.09.19 -Buddo-Kitemu'!E10,'24.09 Buddo-Kitemu'!E10,'25.09 Buddo-Kitemu'!E10,'27.09 Buddo-Kitemu'!E10,'26.09 Buddo-Kitemu-24HRS'!E10,'28.09 Buddo-Kitemu-24h'!E10,'29.09 Buddo-Kitemu'!E10)</f>
        <v>0.14285714285714285</v>
      </c>
      <c r="F10" s="49">
        <f>AVERAGE('23.09.19 -Buddo-Kitemu'!F10,'24.09 Buddo-Kitemu'!F10,'25.09 Buddo-Kitemu'!F10,'27.09 Buddo-Kitemu'!F10,'26.09 Buddo-Kitemu-24HRS'!F10,'28.09 Buddo-Kitemu-24h'!F10,'29.09 Buddo-Kitemu'!F10)</f>
        <v>3.2857142857142856</v>
      </c>
      <c r="G10" s="49">
        <f>AVERAGE('23.09.19 -Buddo-Kitemu'!G10,'24.09 Buddo-Kitemu'!G10,'25.09 Buddo-Kitemu'!G10,'27.09 Buddo-Kitemu'!G10,'26.09 Buddo-Kitemu-24HRS'!G10,'28.09 Buddo-Kitemu-24h'!G10,'29.09 Buddo-Kitemu'!G10)</f>
        <v>0.42857142857142855</v>
      </c>
      <c r="H10" s="49">
        <f>AVERAGE('23.09.19 -Buddo-Kitemu'!H10,'24.09 Buddo-Kitemu'!H10,'25.09 Buddo-Kitemu'!H10,'27.09 Buddo-Kitemu'!H10,'26.09 Buddo-Kitemu-24HRS'!H10,'28.09 Buddo-Kitemu-24h'!H10,'29.09 Buddo-Kitemu'!H10)</f>
        <v>0</v>
      </c>
      <c r="I10" s="49">
        <f>AVERAGE('23.09.19 -Buddo-Kitemu'!I10,'24.09 Buddo-Kitemu'!I10,'25.09 Buddo-Kitemu'!I10,'27.09 Buddo-Kitemu'!I10,'26.09 Buddo-Kitemu-24HRS'!I10,'28.09 Buddo-Kitemu-24h'!I10,'29.09 Buddo-Kitemu'!I10)</f>
        <v>1.2857142857142858</v>
      </c>
      <c r="J10" s="49">
        <f>AVERAGE('23.09.19 -Buddo-Kitemu'!J10,'24.09 Buddo-Kitemu'!J10,'25.09 Buddo-Kitemu'!J10,'27.09 Buddo-Kitemu'!J10,'26.09 Buddo-Kitemu-24HRS'!J10,'28.09 Buddo-Kitemu-24h'!J10,'29.09 Buddo-Kitemu'!J10)</f>
        <v>0</v>
      </c>
      <c r="K10" s="49">
        <f>AVERAGE('23.09.19 -Buddo-Kitemu'!K10,'24.09 Buddo-Kitemu'!K10,'25.09 Buddo-Kitemu'!K10,'27.09 Buddo-Kitemu'!K10,'26.09 Buddo-Kitemu-24HRS'!K10,'28.09 Buddo-Kitemu-24h'!K10,'29.09 Buddo-Kitemu'!K10)</f>
        <v>0</v>
      </c>
      <c r="L10" s="49">
        <f>AVERAGE('23.09.19 -Buddo-Kitemu'!L10,'24.09 Buddo-Kitemu'!L10,'25.09 Buddo-Kitemu'!L10,'27.09 Buddo-Kitemu'!L10,'26.09 Buddo-Kitemu-24HRS'!L10,'28.09 Buddo-Kitemu-24h'!L10,'29.09 Buddo-Kitemu'!L10)</f>
        <v>0</v>
      </c>
      <c r="M10" s="49">
        <f>AVERAGE('23.09.19 -Buddo-Kitemu'!M10,'24.09 Buddo-Kitemu'!M10,'25.09 Buddo-Kitemu'!M10,'27.09 Buddo-Kitemu'!M10,'26.09 Buddo-Kitemu-24HRS'!M10,'28.09 Buddo-Kitemu-24h'!M10,'29.09 Buddo-Kitemu'!M10)</f>
        <v>49.142857142857146</v>
      </c>
      <c r="N10" s="49">
        <f>AVERAGE('23.09.19 -Buddo-Kitemu'!N10,'24.09 Buddo-Kitemu'!N10,'25.09 Buddo-Kitemu'!N10,'27.09 Buddo-Kitemu'!N10,'26.09 Buddo-Kitemu-24HRS'!N10,'28.09 Buddo-Kitemu-24h'!N10,'29.09 Buddo-Kitemu'!N10)</f>
        <v>0</v>
      </c>
      <c r="O10" s="15">
        <f t="shared" ref="O10:O73" si="0">SUM(C10:L10,N10)</f>
        <v>11.285714285714286</v>
      </c>
      <c r="P10" s="15">
        <f t="shared" ref="P10:P73" si="1">SUM(C10:N10)</f>
        <v>60.428571428571431</v>
      </c>
      <c r="R10" s="1" t="s">
        <v>6</v>
      </c>
      <c r="S10" s="17">
        <f t="shared" ref="S10:AF10" si="2">SUM(C10:C13)</f>
        <v>21.714285714285715</v>
      </c>
      <c r="T10" s="17">
        <f t="shared" si="2"/>
        <v>2.714285714285714</v>
      </c>
      <c r="U10" s="17">
        <f t="shared" si="2"/>
        <v>1.857142857142857</v>
      </c>
      <c r="V10" s="17">
        <f t="shared" si="2"/>
        <v>12.285714285714286</v>
      </c>
      <c r="W10" s="17">
        <f t="shared" si="2"/>
        <v>1.8571428571428572</v>
      </c>
      <c r="X10" s="17">
        <f t="shared" si="2"/>
        <v>0</v>
      </c>
      <c r="Y10" s="17">
        <f t="shared" si="2"/>
        <v>6</v>
      </c>
      <c r="Z10" s="17">
        <f t="shared" si="2"/>
        <v>1.2857142857142856</v>
      </c>
      <c r="AA10" s="17">
        <f t="shared" si="2"/>
        <v>0</v>
      </c>
      <c r="AB10" s="17">
        <f t="shared" si="2"/>
        <v>0</v>
      </c>
      <c r="AC10" s="17">
        <f t="shared" si="2"/>
        <v>240</v>
      </c>
      <c r="AD10" s="17">
        <f t="shared" si="2"/>
        <v>0</v>
      </c>
      <c r="AE10" s="31">
        <f t="shared" si="2"/>
        <v>47.714285714285715</v>
      </c>
      <c r="AF10" s="31">
        <f t="shared" si="2"/>
        <v>287.71428571428567</v>
      </c>
    </row>
    <row r="11" spans="2:32" s="6" customFormat="1" ht="23.1" customHeight="1" x14ac:dyDescent="0.25">
      <c r="B11" s="23" t="s">
        <v>38</v>
      </c>
      <c r="C11" s="49">
        <f>AVERAGE('23.09.19 -Buddo-Kitemu'!C11,'24.09 Buddo-Kitemu'!C11,'25.09 Buddo-Kitemu'!C11,'27.09 Buddo-Kitemu'!C11,'26.09 Buddo-Kitemu-24HRS'!C11,'28.09 Buddo-Kitemu-24h'!C11,'29.09 Buddo-Kitemu'!C11)</f>
        <v>6.1428571428571432</v>
      </c>
      <c r="D11" s="49">
        <f>AVERAGE('23.09.19 -Buddo-Kitemu'!D11,'24.09 Buddo-Kitemu'!D11,'25.09 Buddo-Kitemu'!D11,'27.09 Buddo-Kitemu'!D11,'26.09 Buddo-Kitemu-24HRS'!D11,'28.09 Buddo-Kitemu-24h'!D11,'29.09 Buddo-Kitemu'!D11)</f>
        <v>0.8571428571428571</v>
      </c>
      <c r="E11" s="49">
        <f>AVERAGE('23.09.19 -Buddo-Kitemu'!E11,'24.09 Buddo-Kitemu'!E11,'25.09 Buddo-Kitemu'!E11,'27.09 Buddo-Kitemu'!E11,'26.09 Buddo-Kitemu-24HRS'!E11,'28.09 Buddo-Kitemu-24h'!E11,'29.09 Buddo-Kitemu'!E11)</f>
        <v>0.5714285714285714</v>
      </c>
      <c r="F11" s="49">
        <f>AVERAGE('23.09.19 -Buddo-Kitemu'!F11,'24.09 Buddo-Kitemu'!F11,'25.09 Buddo-Kitemu'!F11,'27.09 Buddo-Kitemu'!F11,'26.09 Buddo-Kitemu-24HRS'!F11,'28.09 Buddo-Kitemu-24h'!F11,'29.09 Buddo-Kitemu'!F11)</f>
        <v>3.1428571428571428</v>
      </c>
      <c r="G11" s="49">
        <f>AVERAGE('23.09.19 -Buddo-Kitemu'!G11,'24.09 Buddo-Kitemu'!G11,'25.09 Buddo-Kitemu'!G11,'27.09 Buddo-Kitemu'!G11,'26.09 Buddo-Kitemu-24HRS'!G11,'28.09 Buddo-Kitemu-24h'!G11,'29.09 Buddo-Kitemu'!G11)</f>
        <v>1</v>
      </c>
      <c r="H11" s="49">
        <f>AVERAGE('23.09.19 -Buddo-Kitemu'!H11,'24.09 Buddo-Kitemu'!H11,'25.09 Buddo-Kitemu'!H11,'27.09 Buddo-Kitemu'!H11,'26.09 Buddo-Kitemu-24HRS'!H11,'28.09 Buddo-Kitemu-24h'!H11,'29.09 Buddo-Kitemu'!H11)</f>
        <v>0</v>
      </c>
      <c r="I11" s="49">
        <f>AVERAGE('23.09.19 -Buddo-Kitemu'!I11,'24.09 Buddo-Kitemu'!I11,'25.09 Buddo-Kitemu'!I11,'27.09 Buddo-Kitemu'!I11,'26.09 Buddo-Kitemu-24HRS'!I11,'28.09 Buddo-Kitemu-24h'!I11,'29.09 Buddo-Kitemu'!I11)</f>
        <v>0.7142857142857143</v>
      </c>
      <c r="J11" s="49">
        <f>AVERAGE('23.09.19 -Buddo-Kitemu'!J11,'24.09 Buddo-Kitemu'!J11,'25.09 Buddo-Kitemu'!J11,'27.09 Buddo-Kitemu'!J11,'26.09 Buddo-Kitemu-24HRS'!J11,'28.09 Buddo-Kitemu-24h'!J11,'29.09 Buddo-Kitemu'!J11)</f>
        <v>0</v>
      </c>
      <c r="K11" s="49">
        <f>AVERAGE('23.09.19 -Buddo-Kitemu'!K11,'24.09 Buddo-Kitemu'!K11,'25.09 Buddo-Kitemu'!K11,'27.09 Buddo-Kitemu'!K11,'26.09 Buddo-Kitemu-24HRS'!K11,'28.09 Buddo-Kitemu-24h'!K11,'29.09 Buddo-Kitemu'!K11)</f>
        <v>0</v>
      </c>
      <c r="L11" s="49">
        <f>AVERAGE('23.09.19 -Buddo-Kitemu'!L11,'24.09 Buddo-Kitemu'!L11,'25.09 Buddo-Kitemu'!L11,'27.09 Buddo-Kitemu'!L11,'26.09 Buddo-Kitemu-24HRS'!L11,'28.09 Buddo-Kitemu-24h'!L11,'29.09 Buddo-Kitemu'!L11)</f>
        <v>0</v>
      </c>
      <c r="M11" s="49">
        <f>AVERAGE('23.09.19 -Buddo-Kitemu'!M11,'24.09 Buddo-Kitemu'!M11,'25.09 Buddo-Kitemu'!M11,'27.09 Buddo-Kitemu'!M11,'26.09 Buddo-Kitemu-24HRS'!M11,'28.09 Buddo-Kitemu-24h'!M11,'29.09 Buddo-Kitemu'!M11)</f>
        <v>59.714285714285715</v>
      </c>
      <c r="N11" s="49">
        <f>AVERAGE('23.09.19 -Buddo-Kitemu'!N11,'24.09 Buddo-Kitemu'!N11,'25.09 Buddo-Kitemu'!N11,'27.09 Buddo-Kitemu'!N11,'26.09 Buddo-Kitemu-24HRS'!N11,'28.09 Buddo-Kitemu-24h'!N11,'29.09 Buddo-Kitemu'!N11)</f>
        <v>0</v>
      </c>
      <c r="O11" s="15">
        <f t="shared" si="0"/>
        <v>12.428571428571427</v>
      </c>
      <c r="P11" s="15">
        <f t="shared" si="1"/>
        <v>72.142857142857139</v>
      </c>
      <c r="R11" s="1" t="s">
        <v>7</v>
      </c>
      <c r="S11" s="17">
        <f t="shared" ref="S11:AF11" si="3">SUM(C14:C17)</f>
        <v>26.285714285714288</v>
      </c>
      <c r="T11" s="17">
        <f t="shared" si="3"/>
        <v>2</v>
      </c>
      <c r="U11" s="17">
        <f t="shared" si="3"/>
        <v>3.4285714285714284</v>
      </c>
      <c r="V11" s="17">
        <f t="shared" si="3"/>
        <v>2.8571428571428572</v>
      </c>
      <c r="W11" s="17">
        <f t="shared" si="3"/>
        <v>0.14285714285714285</v>
      </c>
      <c r="X11" s="17">
        <f t="shared" si="3"/>
        <v>0</v>
      </c>
      <c r="Y11" s="17">
        <f t="shared" si="3"/>
        <v>7</v>
      </c>
      <c r="Z11" s="17">
        <f t="shared" si="3"/>
        <v>1.4285714285714284</v>
      </c>
      <c r="AA11" s="17">
        <f t="shared" si="3"/>
        <v>0.2857142857142857</v>
      </c>
      <c r="AB11" s="17">
        <f t="shared" si="3"/>
        <v>0</v>
      </c>
      <c r="AC11" s="17">
        <f t="shared" si="3"/>
        <v>228.28571428571428</v>
      </c>
      <c r="AD11" s="17">
        <f t="shared" si="3"/>
        <v>0</v>
      </c>
      <c r="AE11" s="31">
        <f t="shared" si="3"/>
        <v>43.428571428571431</v>
      </c>
      <c r="AF11" s="31">
        <f t="shared" si="3"/>
        <v>271.71428571428572</v>
      </c>
    </row>
    <row r="12" spans="2:32" ht="23.1" customHeight="1" x14ac:dyDescent="0.25">
      <c r="B12" s="23" t="s">
        <v>39</v>
      </c>
      <c r="C12" s="49">
        <f>AVERAGE('23.09.19 -Buddo-Kitemu'!C12,'24.09 Buddo-Kitemu'!C12,'25.09 Buddo-Kitemu'!C12,'27.09 Buddo-Kitemu'!C12,'26.09 Buddo-Kitemu-24HRS'!C12,'28.09 Buddo-Kitemu-24h'!C12,'29.09 Buddo-Kitemu'!C12)</f>
        <v>4.8571428571428568</v>
      </c>
      <c r="D12" s="49">
        <f>AVERAGE('23.09.19 -Buddo-Kitemu'!D12,'24.09 Buddo-Kitemu'!D12,'25.09 Buddo-Kitemu'!D12,'27.09 Buddo-Kitemu'!D12,'26.09 Buddo-Kitemu-24HRS'!D12,'28.09 Buddo-Kitemu-24h'!D12,'29.09 Buddo-Kitemu'!D12)</f>
        <v>0.5714285714285714</v>
      </c>
      <c r="E12" s="49">
        <f>AVERAGE('23.09.19 -Buddo-Kitemu'!E12,'24.09 Buddo-Kitemu'!E12,'25.09 Buddo-Kitemu'!E12,'27.09 Buddo-Kitemu'!E12,'26.09 Buddo-Kitemu-24HRS'!E12,'28.09 Buddo-Kitemu-24h'!E12,'29.09 Buddo-Kitemu'!E12)</f>
        <v>0.5714285714285714</v>
      </c>
      <c r="F12" s="49">
        <f>AVERAGE('23.09.19 -Buddo-Kitemu'!F12,'24.09 Buddo-Kitemu'!F12,'25.09 Buddo-Kitemu'!F12,'27.09 Buddo-Kitemu'!F12,'26.09 Buddo-Kitemu-24HRS'!F12,'28.09 Buddo-Kitemu-24h'!F12,'29.09 Buddo-Kitemu'!F12)</f>
        <v>3</v>
      </c>
      <c r="G12" s="49">
        <f>AVERAGE('23.09.19 -Buddo-Kitemu'!G12,'24.09 Buddo-Kitemu'!G12,'25.09 Buddo-Kitemu'!G12,'27.09 Buddo-Kitemu'!G12,'26.09 Buddo-Kitemu-24HRS'!G12,'28.09 Buddo-Kitemu-24h'!G12,'29.09 Buddo-Kitemu'!G12)</f>
        <v>0.42857142857142855</v>
      </c>
      <c r="H12" s="49">
        <f>AVERAGE('23.09.19 -Buddo-Kitemu'!H12,'24.09 Buddo-Kitemu'!H12,'25.09 Buddo-Kitemu'!H12,'27.09 Buddo-Kitemu'!H12,'26.09 Buddo-Kitemu-24HRS'!H12,'28.09 Buddo-Kitemu-24h'!H12,'29.09 Buddo-Kitemu'!H12)</f>
        <v>0</v>
      </c>
      <c r="I12" s="49">
        <f>AVERAGE('23.09.19 -Buddo-Kitemu'!I12,'24.09 Buddo-Kitemu'!I12,'25.09 Buddo-Kitemu'!I12,'27.09 Buddo-Kitemu'!I12,'26.09 Buddo-Kitemu-24HRS'!I12,'28.09 Buddo-Kitemu-24h'!I12,'29.09 Buddo-Kitemu'!I12)</f>
        <v>2.4285714285714284</v>
      </c>
      <c r="J12" s="49">
        <f>AVERAGE('23.09.19 -Buddo-Kitemu'!J12,'24.09 Buddo-Kitemu'!J12,'25.09 Buddo-Kitemu'!J12,'27.09 Buddo-Kitemu'!J12,'26.09 Buddo-Kitemu-24HRS'!J12,'28.09 Buddo-Kitemu-24h'!J12,'29.09 Buddo-Kitemu'!J12)</f>
        <v>0.42857142857142855</v>
      </c>
      <c r="K12" s="49">
        <f>AVERAGE('23.09.19 -Buddo-Kitemu'!K12,'24.09 Buddo-Kitemu'!K12,'25.09 Buddo-Kitemu'!K12,'27.09 Buddo-Kitemu'!K12,'26.09 Buddo-Kitemu-24HRS'!K12,'28.09 Buddo-Kitemu-24h'!K12,'29.09 Buddo-Kitemu'!K12)</f>
        <v>0</v>
      </c>
      <c r="L12" s="49">
        <f>AVERAGE('23.09.19 -Buddo-Kitemu'!L12,'24.09 Buddo-Kitemu'!L12,'25.09 Buddo-Kitemu'!L12,'27.09 Buddo-Kitemu'!L12,'26.09 Buddo-Kitemu-24HRS'!L12,'28.09 Buddo-Kitemu-24h'!L12,'29.09 Buddo-Kitemu'!L12)</f>
        <v>0</v>
      </c>
      <c r="M12" s="49">
        <f>AVERAGE('23.09.19 -Buddo-Kitemu'!M12,'24.09 Buddo-Kitemu'!M12,'25.09 Buddo-Kitemu'!M12,'27.09 Buddo-Kitemu'!M12,'26.09 Buddo-Kitemu-24HRS'!M12,'28.09 Buddo-Kitemu-24h'!M12,'29.09 Buddo-Kitemu'!M12)</f>
        <v>61.285714285714285</v>
      </c>
      <c r="N12" s="49">
        <f>AVERAGE('23.09.19 -Buddo-Kitemu'!N12,'24.09 Buddo-Kitemu'!N12,'25.09 Buddo-Kitemu'!N12,'27.09 Buddo-Kitemu'!N12,'26.09 Buddo-Kitemu-24HRS'!N12,'28.09 Buddo-Kitemu-24h'!N12,'29.09 Buddo-Kitemu'!N12)</f>
        <v>0</v>
      </c>
      <c r="O12" s="15">
        <f t="shared" si="0"/>
        <v>12.285714285714286</v>
      </c>
      <c r="P12" s="15">
        <f t="shared" si="1"/>
        <v>73.571428571428569</v>
      </c>
      <c r="R12" s="1" t="s">
        <v>8</v>
      </c>
      <c r="S12" s="17">
        <f t="shared" ref="S12:AF12" si="4">SUM(C18:C21)</f>
        <v>20.428571428571431</v>
      </c>
      <c r="T12" s="17">
        <f t="shared" si="4"/>
        <v>2</v>
      </c>
      <c r="U12" s="17">
        <f t="shared" si="4"/>
        <v>4.2857142857142847</v>
      </c>
      <c r="V12" s="17">
        <f t="shared" si="4"/>
        <v>2.714285714285714</v>
      </c>
      <c r="W12" s="17">
        <f t="shared" si="4"/>
        <v>0.5714285714285714</v>
      </c>
      <c r="X12" s="17">
        <f t="shared" si="4"/>
        <v>0</v>
      </c>
      <c r="Y12" s="17">
        <f t="shared" si="4"/>
        <v>8.8571428571428577</v>
      </c>
      <c r="Z12" s="17">
        <f t="shared" si="4"/>
        <v>1.4285714285714284</v>
      </c>
      <c r="AA12" s="17">
        <f t="shared" si="4"/>
        <v>1</v>
      </c>
      <c r="AB12" s="17">
        <f t="shared" si="4"/>
        <v>0</v>
      </c>
      <c r="AC12" s="17">
        <f t="shared" si="4"/>
        <v>188.85714285714286</v>
      </c>
      <c r="AD12" s="17">
        <f t="shared" si="4"/>
        <v>0</v>
      </c>
      <c r="AE12" s="31">
        <f t="shared" si="4"/>
        <v>41.285714285714292</v>
      </c>
      <c r="AF12" s="31">
        <f t="shared" si="4"/>
        <v>230.14285714285717</v>
      </c>
    </row>
    <row r="13" spans="2:32" ht="23.1" customHeight="1" x14ac:dyDescent="0.25">
      <c r="B13" s="23" t="s">
        <v>40</v>
      </c>
      <c r="C13" s="49">
        <f>AVERAGE('23.09.19 -Buddo-Kitemu'!C13,'24.09 Buddo-Kitemu'!C13,'25.09 Buddo-Kitemu'!C13,'27.09 Buddo-Kitemu'!C13,'26.09 Buddo-Kitemu-24HRS'!C13,'28.09 Buddo-Kitemu-24h'!C13,'29.09 Buddo-Kitemu'!C13)</f>
        <v>5.1428571428571432</v>
      </c>
      <c r="D13" s="49">
        <f>AVERAGE('23.09.19 -Buddo-Kitemu'!D13,'24.09 Buddo-Kitemu'!D13,'25.09 Buddo-Kitemu'!D13,'27.09 Buddo-Kitemu'!D13,'26.09 Buddo-Kitemu-24HRS'!D13,'28.09 Buddo-Kitemu-24h'!D13,'29.09 Buddo-Kitemu'!D13)</f>
        <v>0.7142857142857143</v>
      </c>
      <c r="E13" s="49">
        <f>AVERAGE('23.09.19 -Buddo-Kitemu'!E13,'24.09 Buddo-Kitemu'!E13,'25.09 Buddo-Kitemu'!E13,'27.09 Buddo-Kitemu'!E13,'26.09 Buddo-Kitemu-24HRS'!E13,'28.09 Buddo-Kitemu-24h'!E13,'29.09 Buddo-Kitemu'!E13)</f>
        <v>0.5714285714285714</v>
      </c>
      <c r="F13" s="49">
        <f>AVERAGE('23.09.19 -Buddo-Kitemu'!F13,'24.09 Buddo-Kitemu'!F13,'25.09 Buddo-Kitemu'!F13,'27.09 Buddo-Kitemu'!F13,'26.09 Buddo-Kitemu-24HRS'!F13,'28.09 Buddo-Kitemu-24h'!F13,'29.09 Buddo-Kitemu'!F13)</f>
        <v>2.8571428571428572</v>
      </c>
      <c r="G13" s="49">
        <f>AVERAGE('23.09.19 -Buddo-Kitemu'!G13,'24.09 Buddo-Kitemu'!G13,'25.09 Buddo-Kitemu'!G13,'27.09 Buddo-Kitemu'!G13,'26.09 Buddo-Kitemu-24HRS'!G13,'28.09 Buddo-Kitemu-24h'!G13,'29.09 Buddo-Kitemu'!G13)</f>
        <v>0</v>
      </c>
      <c r="H13" s="49">
        <f>AVERAGE('23.09.19 -Buddo-Kitemu'!H13,'24.09 Buddo-Kitemu'!H13,'25.09 Buddo-Kitemu'!H13,'27.09 Buddo-Kitemu'!H13,'26.09 Buddo-Kitemu-24HRS'!H13,'28.09 Buddo-Kitemu-24h'!H13,'29.09 Buddo-Kitemu'!H13)</f>
        <v>0</v>
      </c>
      <c r="I13" s="49">
        <f>AVERAGE('23.09.19 -Buddo-Kitemu'!I13,'24.09 Buddo-Kitemu'!I13,'25.09 Buddo-Kitemu'!I13,'27.09 Buddo-Kitemu'!I13,'26.09 Buddo-Kitemu-24HRS'!I13,'28.09 Buddo-Kitemu-24h'!I13,'29.09 Buddo-Kitemu'!I13)</f>
        <v>1.5714285714285714</v>
      </c>
      <c r="J13" s="49">
        <f>AVERAGE('23.09.19 -Buddo-Kitemu'!J13,'24.09 Buddo-Kitemu'!J13,'25.09 Buddo-Kitemu'!J13,'27.09 Buddo-Kitemu'!J13,'26.09 Buddo-Kitemu-24HRS'!J13,'28.09 Buddo-Kitemu-24h'!J13,'29.09 Buddo-Kitemu'!J13)</f>
        <v>0.8571428571428571</v>
      </c>
      <c r="K13" s="49">
        <f>AVERAGE('23.09.19 -Buddo-Kitemu'!K13,'24.09 Buddo-Kitemu'!K13,'25.09 Buddo-Kitemu'!K13,'27.09 Buddo-Kitemu'!K13,'26.09 Buddo-Kitemu-24HRS'!K13,'28.09 Buddo-Kitemu-24h'!K13,'29.09 Buddo-Kitemu'!K13)</f>
        <v>0</v>
      </c>
      <c r="L13" s="49">
        <f>AVERAGE('23.09.19 -Buddo-Kitemu'!L13,'24.09 Buddo-Kitemu'!L13,'25.09 Buddo-Kitemu'!L13,'27.09 Buddo-Kitemu'!L13,'26.09 Buddo-Kitemu-24HRS'!L13,'28.09 Buddo-Kitemu-24h'!L13,'29.09 Buddo-Kitemu'!L13)</f>
        <v>0</v>
      </c>
      <c r="M13" s="49">
        <f>AVERAGE('23.09.19 -Buddo-Kitemu'!M13,'24.09 Buddo-Kitemu'!M13,'25.09 Buddo-Kitemu'!M13,'27.09 Buddo-Kitemu'!M13,'26.09 Buddo-Kitemu-24HRS'!M13,'28.09 Buddo-Kitemu-24h'!M13,'29.09 Buddo-Kitemu'!M13)</f>
        <v>69.857142857142861</v>
      </c>
      <c r="N13" s="49">
        <f>AVERAGE('23.09.19 -Buddo-Kitemu'!N13,'24.09 Buddo-Kitemu'!N13,'25.09 Buddo-Kitemu'!N13,'27.09 Buddo-Kitemu'!N13,'26.09 Buddo-Kitemu-24HRS'!N13,'28.09 Buddo-Kitemu-24h'!N13,'29.09 Buddo-Kitemu'!N13)</f>
        <v>0</v>
      </c>
      <c r="O13" s="15">
        <f t="shared" si="0"/>
        <v>11.714285714285715</v>
      </c>
      <c r="P13" s="15">
        <f t="shared" si="1"/>
        <v>81.571428571428584</v>
      </c>
      <c r="R13" s="1" t="s">
        <v>9</v>
      </c>
      <c r="S13" s="17">
        <f t="shared" ref="S13:AF13" si="5">SUM(C22:C25)</f>
        <v>18.714285714285715</v>
      </c>
      <c r="T13" s="17">
        <f t="shared" si="5"/>
        <v>2</v>
      </c>
      <c r="U13" s="17">
        <f t="shared" si="5"/>
        <v>1.4285714285714284</v>
      </c>
      <c r="V13" s="17">
        <f t="shared" si="5"/>
        <v>3.2857142857142856</v>
      </c>
      <c r="W13" s="17">
        <f t="shared" si="5"/>
        <v>0.71428571428571419</v>
      </c>
      <c r="X13" s="17">
        <f t="shared" si="5"/>
        <v>0</v>
      </c>
      <c r="Y13" s="17">
        <f t="shared" si="5"/>
        <v>8.8571428571428577</v>
      </c>
      <c r="Z13" s="17">
        <f t="shared" si="5"/>
        <v>1.714285714285714</v>
      </c>
      <c r="AA13" s="17">
        <f t="shared" si="5"/>
        <v>0.5714285714285714</v>
      </c>
      <c r="AB13" s="17">
        <f t="shared" si="5"/>
        <v>0</v>
      </c>
      <c r="AC13" s="17">
        <f t="shared" si="5"/>
        <v>201.71428571428572</v>
      </c>
      <c r="AD13" s="17">
        <f t="shared" si="5"/>
        <v>8.7142857142857135</v>
      </c>
      <c r="AE13" s="31">
        <f t="shared" si="5"/>
        <v>46</v>
      </c>
      <c r="AF13" s="31">
        <f t="shared" si="5"/>
        <v>247.71428571428572</v>
      </c>
    </row>
    <row r="14" spans="2:32" ht="23.1" customHeight="1" x14ac:dyDescent="0.25">
      <c r="B14" s="23" t="s">
        <v>41</v>
      </c>
      <c r="C14" s="49">
        <f>AVERAGE('23.09.19 -Buddo-Kitemu'!C14,'24.09 Buddo-Kitemu'!C14,'25.09 Buddo-Kitemu'!C14,'27.09 Buddo-Kitemu'!C14,'26.09 Buddo-Kitemu-24HRS'!C14,'28.09 Buddo-Kitemu-24h'!C14,'29.09 Buddo-Kitemu'!C14)</f>
        <v>7.1428571428571432</v>
      </c>
      <c r="D14" s="49">
        <f>AVERAGE('23.09.19 -Buddo-Kitemu'!D14,'24.09 Buddo-Kitemu'!D14,'25.09 Buddo-Kitemu'!D14,'27.09 Buddo-Kitemu'!D14,'26.09 Buddo-Kitemu-24HRS'!D14,'28.09 Buddo-Kitemu-24h'!D14,'29.09 Buddo-Kitemu'!D14)</f>
        <v>0.42857142857142855</v>
      </c>
      <c r="E14" s="49">
        <f>AVERAGE('23.09.19 -Buddo-Kitemu'!E14,'24.09 Buddo-Kitemu'!E14,'25.09 Buddo-Kitemu'!E14,'27.09 Buddo-Kitemu'!E14,'26.09 Buddo-Kitemu-24HRS'!E14,'28.09 Buddo-Kitemu-24h'!E14,'29.09 Buddo-Kitemu'!E14)</f>
        <v>1.2857142857142858</v>
      </c>
      <c r="F14" s="49">
        <f>AVERAGE('23.09.19 -Buddo-Kitemu'!F14,'24.09 Buddo-Kitemu'!F14,'25.09 Buddo-Kitemu'!F14,'27.09 Buddo-Kitemu'!F14,'26.09 Buddo-Kitemu-24HRS'!F14,'28.09 Buddo-Kitemu-24h'!F14,'29.09 Buddo-Kitemu'!F14)</f>
        <v>1.1428571428571428</v>
      </c>
      <c r="G14" s="49">
        <f>AVERAGE('23.09.19 -Buddo-Kitemu'!G14,'24.09 Buddo-Kitemu'!G14,'25.09 Buddo-Kitemu'!G14,'27.09 Buddo-Kitemu'!G14,'26.09 Buddo-Kitemu-24HRS'!G14,'28.09 Buddo-Kitemu-24h'!G14,'29.09 Buddo-Kitemu'!G14)</f>
        <v>0</v>
      </c>
      <c r="H14" s="49">
        <f>AVERAGE('23.09.19 -Buddo-Kitemu'!H14,'24.09 Buddo-Kitemu'!H14,'25.09 Buddo-Kitemu'!H14,'27.09 Buddo-Kitemu'!H14,'26.09 Buddo-Kitemu-24HRS'!H14,'28.09 Buddo-Kitemu-24h'!H14,'29.09 Buddo-Kitemu'!H14)</f>
        <v>0</v>
      </c>
      <c r="I14" s="49">
        <f>AVERAGE('23.09.19 -Buddo-Kitemu'!I14,'24.09 Buddo-Kitemu'!I14,'25.09 Buddo-Kitemu'!I14,'27.09 Buddo-Kitemu'!I14,'26.09 Buddo-Kitemu-24HRS'!I14,'28.09 Buddo-Kitemu-24h'!I14,'29.09 Buddo-Kitemu'!I14)</f>
        <v>1.7142857142857142</v>
      </c>
      <c r="J14" s="49">
        <f>AVERAGE('23.09.19 -Buddo-Kitemu'!J14,'24.09 Buddo-Kitemu'!J14,'25.09 Buddo-Kitemu'!J14,'27.09 Buddo-Kitemu'!J14,'26.09 Buddo-Kitemu-24HRS'!J14,'28.09 Buddo-Kitemu-24h'!J14,'29.09 Buddo-Kitemu'!J14)</f>
        <v>0.14285714285714285</v>
      </c>
      <c r="K14" s="49">
        <f>AVERAGE('23.09.19 -Buddo-Kitemu'!K14,'24.09 Buddo-Kitemu'!K14,'25.09 Buddo-Kitemu'!K14,'27.09 Buddo-Kitemu'!K14,'26.09 Buddo-Kitemu-24HRS'!K14,'28.09 Buddo-Kitemu-24h'!K14,'29.09 Buddo-Kitemu'!K14)</f>
        <v>0</v>
      </c>
      <c r="L14" s="49">
        <f>AVERAGE('23.09.19 -Buddo-Kitemu'!L14,'24.09 Buddo-Kitemu'!L14,'25.09 Buddo-Kitemu'!L14,'27.09 Buddo-Kitemu'!L14,'26.09 Buddo-Kitemu-24HRS'!L14,'28.09 Buddo-Kitemu-24h'!L14,'29.09 Buddo-Kitemu'!L14)</f>
        <v>0</v>
      </c>
      <c r="M14" s="49">
        <f>AVERAGE('23.09.19 -Buddo-Kitemu'!M14,'24.09 Buddo-Kitemu'!M14,'25.09 Buddo-Kitemu'!M14,'27.09 Buddo-Kitemu'!M14,'26.09 Buddo-Kitemu-24HRS'!M14,'28.09 Buddo-Kitemu-24h'!M14,'29.09 Buddo-Kitemu'!M14)</f>
        <v>59</v>
      </c>
      <c r="N14" s="49">
        <f>AVERAGE('23.09.19 -Buddo-Kitemu'!N14,'24.09 Buddo-Kitemu'!N14,'25.09 Buddo-Kitemu'!N14,'27.09 Buddo-Kitemu'!N14,'26.09 Buddo-Kitemu-24HRS'!N14,'28.09 Buddo-Kitemu-24h'!N14,'29.09 Buddo-Kitemu'!N14)</f>
        <v>0</v>
      </c>
      <c r="O14" s="15">
        <f t="shared" si="0"/>
        <v>11.857142857142856</v>
      </c>
      <c r="P14" s="15">
        <f t="shared" si="1"/>
        <v>70.857142857142861</v>
      </c>
      <c r="R14" s="1" t="s">
        <v>10</v>
      </c>
      <c r="S14" s="17">
        <f t="shared" ref="S14:AF14" si="6">SUM(C26:C29)</f>
        <v>16.142857142857142</v>
      </c>
      <c r="T14" s="17">
        <f t="shared" si="6"/>
        <v>2</v>
      </c>
      <c r="U14" s="17">
        <f t="shared" si="6"/>
        <v>2.8571428571428572</v>
      </c>
      <c r="V14" s="17">
        <f t="shared" si="6"/>
        <v>2.1428571428571428</v>
      </c>
      <c r="W14" s="17">
        <f t="shared" si="6"/>
        <v>0.14285714285714285</v>
      </c>
      <c r="X14" s="17">
        <f t="shared" si="6"/>
        <v>0</v>
      </c>
      <c r="Y14" s="17">
        <f t="shared" si="6"/>
        <v>8</v>
      </c>
      <c r="Z14" s="17">
        <f t="shared" si="6"/>
        <v>2.2857142857142856</v>
      </c>
      <c r="AA14" s="17">
        <f t="shared" si="6"/>
        <v>0.5714285714285714</v>
      </c>
      <c r="AB14" s="17">
        <f t="shared" si="6"/>
        <v>0</v>
      </c>
      <c r="AC14" s="17">
        <f t="shared" si="6"/>
        <v>168.14285714285714</v>
      </c>
      <c r="AD14" s="17">
        <f t="shared" si="6"/>
        <v>0</v>
      </c>
      <c r="AE14" s="31">
        <f t="shared" si="6"/>
        <v>34.142857142857146</v>
      </c>
      <c r="AF14" s="31">
        <f t="shared" si="6"/>
        <v>202.28571428571431</v>
      </c>
    </row>
    <row r="15" spans="2:32" ht="23.1" customHeight="1" x14ac:dyDescent="0.25">
      <c r="B15" s="23" t="s">
        <v>42</v>
      </c>
      <c r="C15" s="49">
        <f>AVERAGE('23.09.19 -Buddo-Kitemu'!C15,'24.09 Buddo-Kitemu'!C15,'25.09 Buddo-Kitemu'!C15,'27.09 Buddo-Kitemu'!C15,'26.09 Buddo-Kitemu-24HRS'!C15,'28.09 Buddo-Kitemu-24h'!C15,'29.09 Buddo-Kitemu'!C15)</f>
        <v>6.8571428571428568</v>
      </c>
      <c r="D15" s="49">
        <f>AVERAGE('23.09.19 -Buddo-Kitemu'!D15,'24.09 Buddo-Kitemu'!D15,'25.09 Buddo-Kitemu'!D15,'27.09 Buddo-Kitemu'!D15,'26.09 Buddo-Kitemu-24HRS'!D15,'28.09 Buddo-Kitemu-24h'!D15,'29.09 Buddo-Kitemu'!D15)</f>
        <v>0</v>
      </c>
      <c r="E15" s="49">
        <f>AVERAGE('23.09.19 -Buddo-Kitemu'!E15,'24.09 Buddo-Kitemu'!E15,'25.09 Buddo-Kitemu'!E15,'27.09 Buddo-Kitemu'!E15,'26.09 Buddo-Kitemu-24HRS'!E15,'28.09 Buddo-Kitemu-24h'!E15,'29.09 Buddo-Kitemu'!E15)</f>
        <v>0.7142857142857143</v>
      </c>
      <c r="F15" s="49">
        <f>AVERAGE('23.09.19 -Buddo-Kitemu'!F15,'24.09 Buddo-Kitemu'!F15,'25.09 Buddo-Kitemu'!F15,'27.09 Buddo-Kitemu'!F15,'26.09 Buddo-Kitemu-24HRS'!F15,'28.09 Buddo-Kitemu-24h'!F15,'29.09 Buddo-Kitemu'!F15)</f>
        <v>0.7142857142857143</v>
      </c>
      <c r="G15" s="49">
        <f>AVERAGE('23.09.19 -Buddo-Kitemu'!G15,'24.09 Buddo-Kitemu'!G15,'25.09 Buddo-Kitemu'!G15,'27.09 Buddo-Kitemu'!G15,'26.09 Buddo-Kitemu-24HRS'!G15,'28.09 Buddo-Kitemu-24h'!G15,'29.09 Buddo-Kitemu'!G15)</f>
        <v>0</v>
      </c>
      <c r="H15" s="49">
        <f>AVERAGE('23.09.19 -Buddo-Kitemu'!H15,'24.09 Buddo-Kitemu'!H15,'25.09 Buddo-Kitemu'!H15,'27.09 Buddo-Kitemu'!H15,'26.09 Buddo-Kitemu-24HRS'!H15,'28.09 Buddo-Kitemu-24h'!H15,'29.09 Buddo-Kitemu'!H15)</f>
        <v>0</v>
      </c>
      <c r="I15" s="49">
        <f>AVERAGE('23.09.19 -Buddo-Kitemu'!I15,'24.09 Buddo-Kitemu'!I15,'25.09 Buddo-Kitemu'!I15,'27.09 Buddo-Kitemu'!I15,'26.09 Buddo-Kitemu-24HRS'!I15,'28.09 Buddo-Kitemu-24h'!I15,'29.09 Buddo-Kitemu'!I15)</f>
        <v>1.8571428571428572</v>
      </c>
      <c r="J15" s="49">
        <f>AVERAGE('23.09.19 -Buddo-Kitemu'!J15,'24.09 Buddo-Kitemu'!J15,'25.09 Buddo-Kitemu'!J15,'27.09 Buddo-Kitemu'!J15,'26.09 Buddo-Kitemu-24HRS'!J15,'28.09 Buddo-Kitemu-24h'!J15,'29.09 Buddo-Kitemu'!J15)</f>
        <v>0.7142857142857143</v>
      </c>
      <c r="K15" s="49">
        <f>AVERAGE('23.09.19 -Buddo-Kitemu'!K15,'24.09 Buddo-Kitemu'!K15,'25.09 Buddo-Kitemu'!K15,'27.09 Buddo-Kitemu'!K15,'26.09 Buddo-Kitemu-24HRS'!K15,'28.09 Buddo-Kitemu-24h'!K15,'29.09 Buddo-Kitemu'!K15)</f>
        <v>0</v>
      </c>
      <c r="L15" s="49">
        <f>AVERAGE('23.09.19 -Buddo-Kitemu'!L15,'24.09 Buddo-Kitemu'!L15,'25.09 Buddo-Kitemu'!L15,'27.09 Buddo-Kitemu'!L15,'26.09 Buddo-Kitemu-24HRS'!L15,'28.09 Buddo-Kitemu-24h'!L15,'29.09 Buddo-Kitemu'!L15)</f>
        <v>0</v>
      </c>
      <c r="M15" s="49">
        <f>AVERAGE('23.09.19 -Buddo-Kitemu'!M15,'24.09 Buddo-Kitemu'!M15,'25.09 Buddo-Kitemu'!M15,'27.09 Buddo-Kitemu'!M15,'26.09 Buddo-Kitemu-24HRS'!M15,'28.09 Buddo-Kitemu-24h'!M15,'29.09 Buddo-Kitemu'!M15)</f>
        <v>59</v>
      </c>
      <c r="N15" s="49">
        <f>AVERAGE('23.09.19 -Buddo-Kitemu'!N15,'24.09 Buddo-Kitemu'!N15,'25.09 Buddo-Kitemu'!N15,'27.09 Buddo-Kitemu'!N15,'26.09 Buddo-Kitemu-24HRS'!N15,'28.09 Buddo-Kitemu-24h'!N15,'29.09 Buddo-Kitemu'!N15)</f>
        <v>0</v>
      </c>
      <c r="O15" s="15">
        <f t="shared" si="0"/>
        <v>10.857142857142856</v>
      </c>
      <c r="P15" s="15">
        <f t="shared" si="1"/>
        <v>69.857142857142861</v>
      </c>
      <c r="R15" s="1" t="s">
        <v>11</v>
      </c>
      <c r="S15" s="17">
        <f t="shared" ref="S15:AF15" si="7">SUM(C30:C33)</f>
        <v>13</v>
      </c>
      <c r="T15" s="17">
        <f t="shared" si="7"/>
        <v>0.99999999999999989</v>
      </c>
      <c r="U15" s="17">
        <f t="shared" si="7"/>
        <v>2.4285714285714284</v>
      </c>
      <c r="V15" s="17">
        <f t="shared" si="7"/>
        <v>2.2857142857142856</v>
      </c>
      <c r="W15" s="17">
        <f t="shared" si="7"/>
        <v>0.14285714285714285</v>
      </c>
      <c r="X15" s="17">
        <f t="shared" si="7"/>
        <v>0</v>
      </c>
      <c r="Y15" s="17">
        <f t="shared" si="7"/>
        <v>5.7142857142857135</v>
      </c>
      <c r="Z15" s="17">
        <f t="shared" si="7"/>
        <v>2.4285714285714288</v>
      </c>
      <c r="AA15" s="17">
        <f t="shared" si="7"/>
        <v>0.42857142857142855</v>
      </c>
      <c r="AB15" s="17">
        <f t="shared" si="7"/>
        <v>0</v>
      </c>
      <c r="AC15" s="17">
        <f t="shared" si="7"/>
        <v>129.42857142857144</v>
      </c>
      <c r="AD15" s="17">
        <f t="shared" si="7"/>
        <v>0</v>
      </c>
      <c r="AE15" s="31">
        <f t="shared" si="7"/>
        <v>27.428571428571427</v>
      </c>
      <c r="AF15" s="31">
        <f t="shared" si="7"/>
        <v>156.85714285714286</v>
      </c>
    </row>
    <row r="16" spans="2:32" ht="23.1" customHeight="1" x14ac:dyDescent="0.25">
      <c r="B16" s="23" t="s">
        <v>43</v>
      </c>
      <c r="C16" s="49">
        <f>AVERAGE('23.09.19 -Buddo-Kitemu'!C16,'24.09 Buddo-Kitemu'!C16,'25.09 Buddo-Kitemu'!C16,'27.09 Buddo-Kitemu'!C16,'26.09 Buddo-Kitemu-24HRS'!C16,'28.09 Buddo-Kitemu-24h'!C16,'29.09 Buddo-Kitemu'!C16)</f>
        <v>7.4285714285714288</v>
      </c>
      <c r="D16" s="49">
        <f>AVERAGE('23.09.19 -Buddo-Kitemu'!D16,'24.09 Buddo-Kitemu'!D16,'25.09 Buddo-Kitemu'!D16,'27.09 Buddo-Kitemu'!D16,'26.09 Buddo-Kitemu-24HRS'!D16,'28.09 Buddo-Kitemu-24h'!D16,'29.09 Buddo-Kitemu'!D16)</f>
        <v>0.7142857142857143</v>
      </c>
      <c r="E16" s="49">
        <f>AVERAGE('23.09.19 -Buddo-Kitemu'!E16,'24.09 Buddo-Kitemu'!E16,'25.09 Buddo-Kitemu'!E16,'27.09 Buddo-Kitemu'!E16,'26.09 Buddo-Kitemu-24HRS'!E16,'28.09 Buddo-Kitemu-24h'!E16,'29.09 Buddo-Kitemu'!E16)</f>
        <v>0.5714285714285714</v>
      </c>
      <c r="F16" s="49">
        <f>AVERAGE('23.09.19 -Buddo-Kitemu'!F16,'24.09 Buddo-Kitemu'!F16,'25.09 Buddo-Kitemu'!F16,'27.09 Buddo-Kitemu'!F16,'26.09 Buddo-Kitemu-24HRS'!F16,'28.09 Buddo-Kitemu-24h'!F16,'29.09 Buddo-Kitemu'!F16)</f>
        <v>0.2857142857142857</v>
      </c>
      <c r="G16" s="49">
        <f>AVERAGE('23.09.19 -Buddo-Kitemu'!G16,'24.09 Buddo-Kitemu'!G16,'25.09 Buddo-Kitemu'!G16,'27.09 Buddo-Kitemu'!G16,'26.09 Buddo-Kitemu-24HRS'!G16,'28.09 Buddo-Kitemu-24h'!G16,'29.09 Buddo-Kitemu'!G16)</f>
        <v>0</v>
      </c>
      <c r="H16" s="49">
        <f>AVERAGE('23.09.19 -Buddo-Kitemu'!H16,'24.09 Buddo-Kitemu'!H16,'25.09 Buddo-Kitemu'!H16,'27.09 Buddo-Kitemu'!H16,'26.09 Buddo-Kitemu-24HRS'!H16,'28.09 Buddo-Kitemu-24h'!H16,'29.09 Buddo-Kitemu'!H16)</f>
        <v>0</v>
      </c>
      <c r="I16" s="49">
        <f>AVERAGE('23.09.19 -Buddo-Kitemu'!I16,'24.09 Buddo-Kitemu'!I16,'25.09 Buddo-Kitemu'!I16,'27.09 Buddo-Kitemu'!I16,'26.09 Buddo-Kitemu-24HRS'!I16,'28.09 Buddo-Kitemu-24h'!I16,'29.09 Buddo-Kitemu'!I16)</f>
        <v>1.2857142857142858</v>
      </c>
      <c r="J16" s="49">
        <f>AVERAGE('23.09.19 -Buddo-Kitemu'!J16,'24.09 Buddo-Kitemu'!J16,'25.09 Buddo-Kitemu'!J16,'27.09 Buddo-Kitemu'!J16,'26.09 Buddo-Kitemu-24HRS'!J16,'28.09 Buddo-Kitemu-24h'!J16,'29.09 Buddo-Kitemu'!J16)</f>
        <v>0.2857142857142857</v>
      </c>
      <c r="K16" s="49">
        <f>AVERAGE('23.09.19 -Buddo-Kitemu'!K16,'24.09 Buddo-Kitemu'!K16,'25.09 Buddo-Kitemu'!K16,'27.09 Buddo-Kitemu'!K16,'26.09 Buddo-Kitemu-24HRS'!K16,'28.09 Buddo-Kitemu-24h'!K16,'29.09 Buddo-Kitemu'!K16)</f>
        <v>0.14285714285714285</v>
      </c>
      <c r="L16" s="49">
        <f>AVERAGE('23.09.19 -Buddo-Kitemu'!L16,'24.09 Buddo-Kitemu'!L16,'25.09 Buddo-Kitemu'!L16,'27.09 Buddo-Kitemu'!L16,'26.09 Buddo-Kitemu-24HRS'!L16,'28.09 Buddo-Kitemu-24h'!L16,'29.09 Buddo-Kitemu'!L16)</f>
        <v>0</v>
      </c>
      <c r="M16" s="49">
        <f>AVERAGE('23.09.19 -Buddo-Kitemu'!M16,'24.09 Buddo-Kitemu'!M16,'25.09 Buddo-Kitemu'!M16,'27.09 Buddo-Kitemu'!M16,'26.09 Buddo-Kitemu-24HRS'!M16,'28.09 Buddo-Kitemu-24h'!M16,'29.09 Buddo-Kitemu'!M16)</f>
        <v>54.857142857142854</v>
      </c>
      <c r="N16" s="49">
        <f>AVERAGE('23.09.19 -Buddo-Kitemu'!N16,'24.09 Buddo-Kitemu'!N16,'25.09 Buddo-Kitemu'!N16,'27.09 Buddo-Kitemu'!N16,'26.09 Buddo-Kitemu-24HRS'!N16,'28.09 Buddo-Kitemu-24h'!N16,'29.09 Buddo-Kitemu'!N16)</f>
        <v>0</v>
      </c>
      <c r="O16" s="15">
        <f t="shared" si="0"/>
        <v>10.714285714285715</v>
      </c>
      <c r="P16" s="15">
        <f t="shared" si="1"/>
        <v>65.571428571428569</v>
      </c>
      <c r="R16" s="1" t="s">
        <v>12</v>
      </c>
      <c r="S16" s="17">
        <f t="shared" ref="S16:AF16" si="8">SUM(C34:C37)</f>
        <v>14.428571428571427</v>
      </c>
      <c r="T16" s="17">
        <f t="shared" si="8"/>
        <v>0.5714285714285714</v>
      </c>
      <c r="U16" s="17">
        <f t="shared" si="8"/>
        <v>1.8571428571428572</v>
      </c>
      <c r="V16" s="17">
        <f t="shared" si="8"/>
        <v>1.5714285714285716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3.1428571428571428</v>
      </c>
      <c r="AA16" s="17">
        <f t="shared" si="8"/>
        <v>0.5714285714285714</v>
      </c>
      <c r="AB16" s="17">
        <f t="shared" si="8"/>
        <v>0</v>
      </c>
      <c r="AC16" s="17">
        <f t="shared" si="8"/>
        <v>123.28571428571428</v>
      </c>
      <c r="AD16" s="17">
        <f t="shared" si="8"/>
        <v>0.14285714285714285</v>
      </c>
      <c r="AE16" s="31">
        <f t="shared" si="8"/>
        <v>28.285714285714288</v>
      </c>
      <c r="AF16" s="31">
        <f t="shared" si="8"/>
        <v>151.57142857142856</v>
      </c>
    </row>
    <row r="17" spans="2:32" ht="23.1" customHeight="1" x14ac:dyDescent="0.25">
      <c r="B17" s="23" t="s">
        <v>44</v>
      </c>
      <c r="C17" s="49">
        <f>AVERAGE('23.09.19 -Buddo-Kitemu'!C17,'24.09 Buddo-Kitemu'!C17,'25.09 Buddo-Kitemu'!C17,'27.09 Buddo-Kitemu'!C17,'26.09 Buddo-Kitemu-24HRS'!C17,'28.09 Buddo-Kitemu-24h'!C17,'29.09 Buddo-Kitemu'!C17)</f>
        <v>4.8571428571428568</v>
      </c>
      <c r="D17" s="49">
        <f>AVERAGE('23.09.19 -Buddo-Kitemu'!D17,'24.09 Buddo-Kitemu'!D17,'25.09 Buddo-Kitemu'!D17,'27.09 Buddo-Kitemu'!D17,'26.09 Buddo-Kitemu-24HRS'!D17,'28.09 Buddo-Kitemu-24h'!D17,'29.09 Buddo-Kitemu'!D17)</f>
        <v>0.8571428571428571</v>
      </c>
      <c r="E17" s="49">
        <f>AVERAGE('23.09.19 -Buddo-Kitemu'!E17,'24.09 Buddo-Kitemu'!E17,'25.09 Buddo-Kitemu'!E17,'27.09 Buddo-Kitemu'!E17,'26.09 Buddo-Kitemu-24HRS'!E17,'28.09 Buddo-Kitemu-24h'!E17,'29.09 Buddo-Kitemu'!E17)</f>
        <v>0.8571428571428571</v>
      </c>
      <c r="F17" s="49">
        <f>AVERAGE('23.09.19 -Buddo-Kitemu'!F17,'24.09 Buddo-Kitemu'!F17,'25.09 Buddo-Kitemu'!F17,'27.09 Buddo-Kitemu'!F17,'26.09 Buddo-Kitemu-24HRS'!F17,'28.09 Buddo-Kitemu-24h'!F17,'29.09 Buddo-Kitemu'!F17)</f>
        <v>0.7142857142857143</v>
      </c>
      <c r="G17" s="49">
        <f>AVERAGE('23.09.19 -Buddo-Kitemu'!G17,'24.09 Buddo-Kitemu'!G17,'25.09 Buddo-Kitemu'!G17,'27.09 Buddo-Kitemu'!G17,'26.09 Buddo-Kitemu-24HRS'!G17,'28.09 Buddo-Kitemu-24h'!G17,'29.09 Buddo-Kitemu'!G17)</f>
        <v>0.14285714285714285</v>
      </c>
      <c r="H17" s="49">
        <f>AVERAGE('23.09.19 -Buddo-Kitemu'!H17,'24.09 Buddo-Kitemu'!H17,'25.09 Buddo-Kitemu'!H17,'27.09 Buddo-Kitemu'!H17,'26.09 Buddo-Kitemu-24HRS'!H17,'28.09 Buddo-Kitemu-24h'!H17,'29.09 Buddo-Kitemu'!H17)</f>
        <v>0</v>
      </c>
      <c r="I17" s="49">
        <f>AVERAGE('23.09.19 -Buddo-Kitemu'!I17,'24.09 Buddo-Kitemu'!I17,'25.09 Buddo-Kitemu'!I17,'27.09 Buddo-Kitemu'!I17,'26.09 Buddo-Kitemu-24HRS'!I17,'28.09 Buddo-Kitemu-24h'!I17,'29.09 Buddo-Kitemu'!I17)</f>
        <v>2.1428571428571428</v>
      </c>
      <c r="J17" s="49">
        <f>AVERAGE('23.09.19 -Buddo-Kitemu'!J17,'24.09 Buddo-Kitemu'!J17,'25.09 Buddo-Kitemu'!J17,'27.09 Buddo-Kitemu'!J17,'26.09 Buddo-Kitemu-24HRS'!J17,'28.09 Buddo-Kitemu-24h'!J17,'29.09 Buddo-Kitemu'!J17)</f>
        <v>0.2857142857142857</v>
      </c>
      <c r="K17" s="49">
        <f>AVERAGE('23.09.19 -Buddo-Kitemu'!K17,'24.09 Buddo-Kitemu'!K17,'25.09 Buddo-Kitemu'!K17,'27.09 Buddo-Kitemu'!K17,'26.09 Buddo-Kitemu-24HRS'!K17,'28.09 Buddo-Kitemu-24h'!K17,'29.09 Buddo-Kitemu'!K17)</f>
        <v>0.14285714285714285</v>
      </c>
      <c r="L17" s="49">
        <f>AVERAGE('23.09.19 -Buddo-Kitemu'!L17,'24.09 Buddo-Kitemu'!L17,'25.09 Buddo-Kitemu'!L17,'27.09 Buddo-Kitemu'!L17,'26.09 Buddo-Kitemu-24HRS'!L17,'28.09 Buddo-Kitemu-24h'!L17,'29.09 Buddo-Kitemu'!L17)</f>
        <v>0</v>
      </c>
      <c r="M17" s="49">
        <f>AVERAGE('23.09.19 -Buddo-Kitemu'!M17,'24.09 Buddo-Kitemu'!M17,'25.09 Buddo-Kitemu'!M17,'27.09 Buddo-Kitemu'!M17,'26.09 Buddo-Kitemu-24HRS'!M17,'28.09 Buddo-Kitemu-24h'!M17,'29.09 Buddo-Kitemu'!M17)</f>
        <v>55.428571428571431</v>
      </c>
      <c r="N17" s="49">
        <f>AVERAGE('23.09.19 -Buddo-Kitemu'!N17,'24.09 Buddo-Kitemu'!N17,'25.09 Buddo-Kitemu'!N17,'27.09 Buddo-Kitemu'!N17,'26.09 Buddo-Kitemu-24HRS'!N17,'28.09 Buddo-Kitemu-24h'!N17,'29.09 Buddo-Kitemu'!N17)</f>
        <v>0</v>
      </c>
      <c r="O17" s="15">
        <f t="shared" si="0"/>
        <v>10</v>
      </c>
      <c r="P17" s="15">
        <f t="shared" si="1"/>
        <v>65.428571428571431</v>
      </c>
      <c r="R17" s="1" t="s">
        <v>13</v>
      </c>
      <c r="S17" s="17">
        <f t="shared" ref="S17:AF17" si="9">SUM(C38:C41)</f>
        <v>15.142857142857142</v>
      </c>
      <c r="T17" s="17">
        <f t="shared" si="9"/>
        <v>1.5714285714285712</v>
      </c>
      <c r="U17" s="17">
        <f t="shared" si="9"/>
        <v>2.1428571428571428</v>
      </c>
      <c r="V17" s="17">
        <f t="shared" si="9"/>
        <v>3.5714285714285716</v>
      </c>
      <c r="W17" s="17">
        <f t="shared" si="9"/>
        <v>0.14285714285714285</v>
      </c>
      <c r="X17" s="17">
        <f t="shared" si="9"/>
        <v>0</v>
      </c>
      <c r="Y17" s="17">
        <f t="shared" si="9"/>
        <v>3.714285714285714</v>
      </c>
      <c r="Z17" s="17">
        <f t="shared" si="9"/>
        <v>1.1428571428571428</v>
      </c>
      <c r="AA17" s="17">
        <f t="shared" si="9"/>
        <v>0.71428571428571419</v>
      </c>
      <c r="AB17" s="17">
        <f t="shared" si="9"/>
        <v>0</v>
      </c>
      <c r="AC17" s="17">
        <f t="shared" si="9"/>
        <v>102.14285714285714</v>
      </c>
      <c r="AD17" s="17">
        <f t="shared" si="9"/>
        <v>0</v>
      </c>
      <c r="AE17" s="31">
        <f t="shared" si="9"/>
        <v>28.142857142857142</v>
      </c>
      <c r="AF17" s="31">
        <f t="shared" si="9"/>
        <v>130.28571428571428</v>
      </c>
    </row>
    <row r="18" spans="2:32" ht="23.1" customHeight="1" x14ac:dyDescent="0.25">
      <c r="B18" s="23" t="s">
        <v>45</v>
      </c>
      <c r="C18" s="49">
        <f>AVERAGE('23.09.19 -Buddo-Kitemu'!C18,'24.09 Buddo-Kitemu'!C18,'25.09 Buddo-Kitemu'!C18,'27.09 Buddo-Kitemu'!C18,'26.09 Buddo-Kitemu-24HRS'!C18,'28.09 Buddo-Kitemu-24h'!C18,'29.09 Buddo-Kitemu'!C18)</f>
        <v>5.1428571428571432</v>
      </c>
      <c r="D18" s="49">
        <f>AVERAGE('23.09.19 -Buddo-Kitemu'!D18,'24.09 Buddo-Kitemu'!D18,'25.09 Buddo-Kitemu'!D18,'27.09 Buddo-Kitemu'!D18,'26.09 Buddo-Kitemu-24HRS'!D18,'28.09 Buddo-Kitemu-24h'!D18,'29.09 Buddo-Kitemu'!D18)</f>
        <v>0.7142857142857143</v>
      </c>
      <c r="E18" s="49">
        <f>AVERAGE('23.09.19 -Buddo-Kitemu'!E18,'24.09 Buddo-Kitemu'!E18,'25.09 Buddo-Kitemu'!E18,'27.09 Buddo-Kitemu'!E18,'26.09 Buddo-Kitemu-24HRS'!E18,'28.09 Buddo-Kitemu-24h'!E18,'29.09 Buddo-Kitemu'!E18)</f>
        <v>1.7142857142857142</v>
      </c>
      <c r="F18" s="49">
        <f>AVERAGE('23.09.19 -Buddo-Kitemu'!F18,'24.09 Buddo-Kitemu'!F18,'25.09 Buddo-Kitemu'!F18,'27.09 Buddo-Kitemu'!F18,'26.09 Buddo-Kitemu-24HRS'!F18,'28.09 Buddo-Kitemu-24h'!F18,'29.09 Buddo-Kitemu'!F18)</f>
        <v>0.5714285714285714</v>
      </c>
      <c r="G18" s="49">
        <f>AVERAGE('23.09.19 -Buddo-Kitemu'!G18,'24.09 Buddo-Kitemu'!G18,'25.09 Buddo-Kitemu'!G18,'27.09 Buddo-Kitemu'!G18,'26.09 Buddo-Kitemu-24HRS'!G18,'28.09 Buddo-Kitemu-24h'!G18,'29.09 Buddo-Kitemu'!G18)</f>
        <v>0.2857142857142857</v>
      </c>
      <c r="H18" s="49">
        <f>AVERAGE('23.09.19 -Buddo-Kitemu'!H18,'24.09 Buddo-Kitemu'!H18,'25.09 Buddo-Kitemu'!H18,'27.09 Buddo-Kitemu'!H18,'26.09 Buddo-Kitemu-24HRS'!H18,'28.09 Buddo-Kitemu-24h'!H18,'29.09 Buddo-Kitemu'!H18)</f>
        <v>0</v>
      </c>
      <c r="I18" s="49">
        <f>AVERAGE('23.09.19 -Buddo-Kitemu'!I18,'24.09 Buddo-Kitemu'!I18,'25.09 Buddo-Kitemu'!I18,'27.09 Buddo-Kitemu'!I18,'26.09 Buddo-Kitemu-24HRS'!I18,'28.09 Buddo-Kitemu-24h'!I18,'29.09 Buddo-Kitemu'!I18)</f>
        <v>2.7142857142857144</v>
      </c>
      <c r="J18" s="49">
        <f>AVERAGE('23.09.19 -Buddo-Kitemu'!J18,'24.09 Buddo-Kitemu'!J18,'25.09 Buddo-Kitemu'!J18,'27.09 Buddo-Kitemu'!J18,'26.09 Buddo-Kitemu-24HRS'!J18,'28.09 Buddo-Kitemu-24h'!J18,'29.09 Buddo-Kitemu'!J18)</f>
        <v>0.2857142857142857</v>
      </c>
      <c r="K18" s="49">
        <f>AVERAGE('23.09.19 -Buddo-Kitemu'!K18,'24.09 Buddo-Kitemu'!K18,'25.09 Buddo-Kitemu'!K18,'27.09 Buddo-Kitemu'!K18,'26.09 Buddo-Kitemu-24HRS'!K18,'28.09 Buddo-Kitemu-24h'!K18,'29.09 Buddo-Kitemu'!K18)</f>
        <v>0.2857142857142857</v>
      </c>
      <c r="L18" s="49">
        <f>AVERAGE('23.09.19 -Buddo-Kitemu'!L18,'24.09 Buddo-Kitemu'!L18,'25.09 Buddo-Kitemu'!L18,'27.09 Buddo-Kitemu'!L18,'26.09 Buddo-Kitemu-24HRS'!L18,'28.09 Buddo-Kitemu-24h'!L18,'29.09 Buddo-Kitemu'!L18)</f>
        <v>0</v>
      </c>
      <c r="M18" s="49">
        <f>AVERAGE('23.09.19 -Buddo-Kitemu'!M18,'24.09 Buddo-Kitemu'!M18,'25.09 Buddo-Kitemu'!M18,'27.09 Buddo-Kitemu'!M18,'26.09 Buddo-Kitemu-24HRS'!M18,'28.09 Buddo-Kitemu-24h'!M18,'29.09 Buddo-Kitemu'!M18)</f>
        <v>48</v>
      </c>
      <c r="N18" s="49">
        <f>AVERAGE('23.09.19 -Buddo-Kitemu'!N18,'24.09 Buddo-Kitemu'!N18,'25.09 Buddo-Kitemu'!N18,'27.09 Buddo-Kitemu'!N18,'26.09 Buddo-Kitemu-24HRS'!N18,'28.09 Buddo-Kitemu-24h'!N18,'29.09 Buddo-Kitemu'!N18)</f>
        <v>0</v>
      </c>
      <c r="O18" s="15">
        <f t="shared" si="0"/>
        <v>11.714285714285719</v>
      </c>
      <c r="P18" s="15">
        <f t="shared" si="1"/>
        <v>59.714285714285722</v>
      </c>
      <c r="R18" s="1" t="s">
        <v>14</v>
      </c>
      <c r="S18" s="17">
        <f t="shared" ref="S18:AF18" si="10">SUM(C42:C45)</f>
        <v>10.428571428571429</v>
      </c>
      <c r="T18" s="17">
        <f t="shared" si="10"/>
        <v>1.7142857142857142</v>
      </c>
      <c r="U18" s="17">
        <f t="shared" si="10"/>
        <v>2.2857142857142856</v>
      </c>
      <c r="V18" s="17">
        <f t="shared" si="10"/>
        <v>1.4285714285714284</v>
      </c>
      <c r="W18" s="17">
        <f t="shared" si="10"/>
        <v>0</v>
      </c>
      <c r="X18" s="17">
        <f t="shared" si="10"/>
        <v>0</v>
      </c>
      <c r="Y18" s="17">
        <f t="shared" si="10"/>
        <v>5.2857142857142856</v>
      </c>
      <c r="Z18" s="17">
        <f t="shared" si="10"/>
        <v>2.5714285714285712</v>
      </c>
      <c r="AA18" s="17">
        <f t="shared" si="10"/>
        <v>0.8571428571428571</v>
      </c>
      <c r="AB18" s="17">
        <f t="shared" si="10"/>
        <v>0</v>
      </c>
      <c r="AC18" s="17">
        <f t="shared" si="10"/>
        <v>114.85714285714286</v>
      </c>
      <c r="AD18" s="17">
        <f t="shared" si="10"/>
        <v>0</v>
      </c>
      <c r="AE18" s="31">
        <f t="shared" si="10"/>
        <v>24.571428571428569</v>
      </c>
      <c r="AF18" s="31">
        <f t="shared" si="10"/>
        <v>139.42857142857144</v>
      </c>
    </row>
    <row r="19" spans="2:32" ht="23.1" customHeight="1" x14ac:dyDescent="0.25">
      <c r="B19" s="23" t="s">
        <v>46</v>
      </c>
      <c r="C19" s="49">
        <f>AVERAGE('23.09.19 -Buddo-Kitemu'!C19,'24.09 Buddo-Kitemu'!C19,'25.09 Buddo-Kitemu'!C19,'27.09 Buddo-Kitemu'!C19,'26.09 Buddo-Kitemu-24HRS'!C19,'28.09 Buddo-Kitemu-24h'!C19,'29.09 Buddo-Kitemu'!C19)</f>
        <v>4.8571428571428568</v>
      </c>
      <c r="D19" s="49">
        <f>AVERAGE('23.09.19 -Buddo-Kitemu'!D19,'24.09 Buddo-Kitemu'!D19,'25.09 Buddo-Kitemu'!D19,'27.09 Buddo-Kitemu'!D19,'26.09 Buddo-Kitemu-24HRS'!D19,'28.09 Buddo-Kitemu-24h'!D19,'29.09 Buddo-Kitemu'!D19)</f>
        <v>0.5714285714285714</v>
      </c>
      <c r="E19" s="49">
        <f>AVERAGE('23.09.19 -Buddo-Kitemu'!E19,'24.09 Buddo-Kitemu'!E19,'25.09 Buddo-Kitemu'!E19,'27.09 Buddo-Kitemu'!E19,'26.09 Buddo-Kitemu-24HRS'!E19,'28.09 Buddo-Kitemu-24h'!E19,'29.09 Buddo-Kitemu'!E19)</f>
        <v>1.1428571428571428</v>
      </c>
      <c r="F19" s="49">
        <f>AVERAGE('23.09.19 -Buddo-Kitemu'!F19,'24.09 Buddo-Kitemu'!F19,'25.09 Buddo-Kitemu'!F19,'27.09 Buddo-Kitemu'!F19,'26.09 Buddo-Kitemu-24HRS'!F19,'28.09 Buddo-Kitemu-24h'!F19,'29.09 Buddo-Kitemu'!F19)</f>
        <v>0.8571428571428571</v>
      </c>
      <c r="G19" s="49">
        <f>AVERAGE('23.09.19 -Buddo-Kitemu'!G19,'24.09 Buddo-Kitemu'!G19,'25.09 Buddo-Kitemu'!G19,'27.09 Buddo-Kitemu'!G19,'26.09 Buddo-Kitemu-24HRS'!G19,'28.09 Buddo-Kitemu-24h'!G19,'29.09 Buddo-Kitemu'!G19)</f>
        <v>0.14285714285714285</v>
      </c>
      <c r="H19" s="49">
        <f>AVERAGE('23.09.19 -Buddo-Kitemu'!H19,'24.09 Buddo-Kitemu'!H19,'25.09 Buddo-Kitemu'!H19,'27.09 Buddo-Kitemu'!H19,'26.09 Buddo-Kitemu-24HRS'!H19,'28.09 Buddo-Kitemu-24h'!H19,'29.09 Buddo-Kitemu'!H19)</f>
        <v>0</v>
      </c>
      <c r="I19" s="49">
        <f>AVERAGE('23.09.19 -Buddo-Kitemu'!I19,'24.09 Buddo-Kitemu'!I19,'25.09 Buddo-Kitemu'!I19,'27.09 Buddo-Kitemu'!I19,'26.09 Buddo-Kitemu-24HRS'!I19,'28.09 Buddo-Kitemu-24h'!I19,'29.09 Buddo-Kitemu'!I19)</f>
        <v>1.7142857142857142</v>
      </c>
      <c r="J19" s="49">
        <f>AVERAGE('23.09.19 -Buddo-Kitemu'!J19,'24.09 Buddo-Kitemu'!J19,'25.09 Buddo-Kitemu'!J19,'27.09 Buddo-Kitemu'!J19,'26.09 Buddo-Kitemu-24HRS'!J19,'28.09 Buddo-Kitemu-24h'!J19,'29.09 Buddo-Kitemu'!J19)</f>
        <v>0.5714285714285714</v>
      </c>
      <c r="K19" s="49">
        <f>AVERAGE('23.09.19 -Buddo-Kitemu'!K19,'24.09 Buddo-Kitemu'!K19,'25.09 Buddo-Kitemu'!K19,'27.09 Buddo-Kitemu'!K19,'26.09 Buddo-Kitemu-24HRS'!K19,'28.09 Buddo-Kitemu-24h'!K19,'29.09 Buddo-Kitemu'!K19)</f>
        <v>0.2857142857142857</v>
      </c>
      <c r="L19" s="49">
        <f>AVERAGE('23.09.19 -Buddo-Kitemu'!L19,'24.09 Buddo-Kitemu'!L19,'25.09 Buddo-Kitemu'!L19,'27.09 Buddo-Kitemu'!L19,'26.09 Buddo-Kitemu-24HRS'!L19,'28.09 Buddo-Kitemu-24h'!L19,'29.09 Buddo-Kitemu'!L19)</f>
        <v>0</v>
      </c>
      <c r="M19" s="49">
        <f>AVERAGE('23.09.19 -Buddo-Kitemu'!M19,'24.09 Buddo-Kitemu'!M19,'25.09 Buddo-Kitemu'!M19,'27.09 Buddo-Kitemu'!M19,'26.09 Buddo-Kitemu-24HRS'!M19,'28.09 Buddo-Kitemu-24h'!M19,'29.09 Buddo-Kitemu'!M19)</f>
        <v>43.428571428571431</v>
      </c>
      <c r="N19" s="49">
        <f>AVERAGE('23.09.19 -Buddo-Kitemu'!N19,'24.09 Buddo-Kitemu'!N19,'25.09 Buddo-Kitemu'!N19,'27.09 Buddo-Kitemu'!N19,'26.09 Buddo-Kitemu-24HRS'!N19,'28.09 Buddo-Kitemu-24h'!N19,'29.09 Buddo-Kitemu'!N19)</f>
        <v>0</v>
      </c>
      <c r="O19" s="15">
        <f t="shared" si="0"/>
        <v>10.142857142857142</v>
      </c>
      <c r="P19" s="15">
        <f t="shared" si="1"/>
        <v>53.571428571428569</v>
      </c>
      <c r="R19" s="1" t="s">
        <v>15</v>
      </c>
      <c r="S19" s="17">
        <f t="shared" ref="S19:AF19" si="11">SUM(C46:C49)</f>
        <v>14.857142857142858</v>
      </c>
      <c r="T19" s="17">
        <f t="shared" si="11"/>
        <v>1.2857142857142856</v>
      </c>
      <c r="U19" s="17">
        <f t="shared" si="11"/>
        <v>2.4285714285714284</v>
      </c>
      <c r="V19" s="17">
        <f t="shared" si="11"/>
        <v>3.4285714285714288</v>
      </c>
      <c r="W19" s="17">
        <f t="shared" si="11"/>
        <v>1</v>
      </c>
      <c r="X19" s="17">
        <f t="shared" si="11"/>
        <v>0</v>
      </c>
      <c r="Y19" s="17">
        <f t="shared" si="11"/>
        <v>5.9999999999999991</v>
      </c>
      <c r="Z19" s="17">
        <f t="shared" si="11"/>
        <v>1.5714285714285714</v>
      </c>
      <c r="AA19" s="17">
        <f t="shared" si="11"/>
        <v>1.1428571428571428</v>
      </c>
      <c r="AB19" s="17">
        <f t="shared" si="11"/>
        <v>0</v>
      </c>
      <c r="AC19" s="17">
        <f t="shared" si="11"/>
        <v>146</v>
      </c>
      <c r="AD19" s="17">
        <f t="shared" si="11"/>
        <v>0</v>
      </c>
      <c r="AE19" s="31">
        <f t="shared" si="11"/>
        <v>31.714285714285715</v>
      </c>
      <c r="AF19" s="31">
        <f t="shared" si="11"/>
        <v>177.71428571428572</v>
      </c>
    </row>
    <row r="20" spans="2:32" ht="23.1" customHeight="1" x14ac:dyDescent="0.25">
      <c r="B20" s="23" t="s">
        <v>47</v>
      </c>
      <c r="C20" s="49">
        <f>AVERAGE('23.09.19 -Buddo-Kitemu'!C20,'24.09 Buddo-Kitemu'!C20,'25.09 Buddo-Kitemu'!C20,'27.09 Buddo-Kitemu'!C20,'26.09 Buddo-Kitemu-24HRS'!C20,'28.09 Buddo-Kitemu-24h'!C20,'29.09 Buddo-Kitemu'!C20)</f>
        <v>5.7142857142857144</v>
      </c>
      <c r="D20" s="49">
        <f>AVERAGE('23.09.19 -Buddo-Kitemu'!D20,'24.09 Buddo-Kitemu'!D20,'25.09 Buddo-Kitemu'!D20,'27.09 Buddo-Kitemu'!D20,'26.09 Buddo-Kitemu-24HRS'!D20,'28.09 Buddo-Kitemu-24h'!D20,'29.09 Buddo-Kitemu'!D20)</f>
        <v>0.42857142857142855</v>
      </c>
      <c r="E20" s="49">
        <f>AVERAGE('23.09.19 -Buddo-Kitemu'!E20,'24.09 Buddo-Kitemu'!E20,'25.09 Buddo-Kitemu'!E20,'27.09 Buddo-Kitemu'!E20,'26.09 Buddo-Kitemu-24HRS'!E20,'28.09 Buddo-Kitemu-24h'!E20,'29.09 Buddo-Kitemu'!E20)</f>
        <v>0.42857142857142855</v>
      </c>
      <c r="F20" s="49">
        <f>AVERAGE('23.09.19 -Buddo-Kitemu'!F20,'24.09 Buddo-Kitemu'!F20,'25.09 Buddo-Kitemu'!F20,'27.09 Buddo-Kitemu'!F20,'26.09 Buddo-Kitemu-24HRS'!F20,'28.09 Buddo-Kitemu-24h'!F20,'29.09 Buddo-Kitemu'!F20)</f>
        <v>0.8571428571428571</v>
      </c>
      <c r="G20" s="49">
        <f>AVERAGE('23.09.19 -Buddo-Kitemu'!G20,'24.09 Buddo-Kitemu'!G20,'25.09 Buddo-Kitemu'!G20,'27.09 Buddo-Kitemu'!G20,'26.09 Buddo-Kitemu-24HRS'!G20,'28.09 Buddo-Kitemu-24h'!G20,'29.09 Buddo-Kitemu'!G20)</f>
        <v>0.14285714285714285</v>
      </c>
      <c r="H20" s="49">
        <f>AVERAGE('23.09.19 -Buddo-Kitemu'!H20,'24.09 Buddo-Kitemu'!H20,'25.09 Buddo-Kitemu'!H20,'27.09 Buddo-Kitemu'!H20,'26.09 Buddo-Kitemu-24HRS'!H20,'28.09 Buddo-Kitemu-24h'!H20,'29.09 Buddo-Kitemu'!H20)</f>
        <v>0</v>
      </c>
      <c r="I20" s="49">
        <f>AVERAGE('23.09.19 -Buddo-Kitemu'!I20,'24.09 Buddo-Kitemu'!I20,'25.09 Buddo-Kitemu'!I20,'27.09 Buddo-Kitemu'!I20,'26.09 Buddo-Kitemu-24HRS'!I20,'28.09 Buddo-Kitemu-24h'!I20,'29.09 Buddo-Kitemu'!I20)</f>
        <v>2</v>
      </c>
      <c r="J20" s="49">
        <f>AVERAGE('23.09.19 -Buddo-Kitemu'!J20,'24.09 Buddo-Kitemu'!J20,'25.09 Buddo-Kitemu'!J20,'27.09 Buddo-Kitemu'!J20,'26.09 Buddo-Kitemu-24HRS'!J20,'28.09 Buddo-Kitemu-24h'!J20,'29.09 Buddo-Kitemu'!J20)</f>
        <v>0.42857142857142855</v>
      </c>
      <c r="K20" s="49">
        <f>AVERAGE('23.09.19 -Buddo-Kitemu'!K20,'24.09 Buddo-Kitemu'!K20,'25.09 Buddo-Kitemu'!K20,'27.09 Buddo-Kitemu'!K20,'26.09 Buddo-Kitemu-24HRS'!K20,'28.09 Buddo-Kitemu-24h'!K20,'29.09 Buddo-Kitemu'!K20)</f>
        <v>0.42857142857142855</v>
      </c>
      <c r="L20" s="49">
        <f>AVERAGE('23.09.19 -Buddo-Kitemu'!L20,'24.09 Buddo-Kitemu'!L20,'25.09 Buddo-Kitemu'!L20,'27.09 Buddo-Kitemu'!L20,'26.09 Buddo-Kitemu-24HRS'!L20,'28.09 Buddo-Kitemu-24h'!L20,'29.09 Buddo-Kitemu'!L20)</f>
        <v>0</v>
      </c>
      <c r="M20" s="49">
        <f>AVERAGE('23.09.19 -Buddo-Kitemu'!M20,'24.09 Buddo-Kitemu'!M20,'25.09 Buddo-Kitemu'!M20,'27.09 Buddo-Kitemu'!M20,'26.09 Buddo-Kitemu-24HRS'!M20,'28.09 Buddo-Kitemu-24h'!M20,'29.09 Buddo-Kitemu'!M20)</f>
        <v>47.428571428571431</v>
      </c>
      <c r="N20" s="49">
        <f>AVERAGE('23.09.19 -Buddo-Kitemu'!N20,'24.09 Buddo-Kitemu'!N20,'25.09 Buddo-Kitemu'!N20,'27.09 Buddo-Kitemu'!N20,'26.09 Buddo-Kitemu-24HRS'!N20,'28.09 Buddo-Kitemu-24h'!N20,'29.09 Buddo-Kitemu'!N20)</f>
        <v>0</v>
      </c>
      <c r="O20" s="15">
        <f t="shared" si="0"/>
        <v>10.428571428571431</v>
      </c>
      <c r="P20" s="15">
        <f t="shared" si="1"/>
        <v>57.857142857142861</v>
      </c>
      <c r="R20" s="1" t="s">
        <v>16</v>
      </c>
      <c r="S20" s="17">
        <f t="shared" ref="S20:AF20" si="12">SUM(C50:C53)</f>
        <v>18.285714285714285</v>
      </c>
      <c r="T20" s="17">
        <f t="shared" si="12"/>
        <v>2</v>
      </c>
      <c r="U20" s="17">
        <f t="shared" si="12"/>
        <v>1.8571428571428572</v>
      </c>
      <c r="V20" s="17">
        <f t="shared" si="12"/>
        <v>3.8571428571428572</v>
      </c>
      <c r="W20" s="17">
        <f t="shared" si="12"/>
        <v>1.2857142857142856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0.85714285714285698</v>
      </c>
      <c r="AB20" s="17">
        <f t="shared" si="12"/>
        <v>0</v>
      </c>
      <c r="AC20" s="17">
        <f t="shared" si="12"/>
        <v>159.14285714285714</v>
      </c>
      <c r="AD20" s="17">
        <f t="shared" si="12"/>
        <v>0</v>
      </c>
      <c r="AE20" s="31">
        <f t="shared" si="12"/>
        <v>36.142857142857139</v>
      </c>
      <c r="AF20" s="31">
        <f t="shared" si="12"/>
        <v>195.28571428571428</v>
      </c>
    </row>
    <row r="21" spans="2:32" ht="23.1" customHeight="1" x14ac:dyDescent="0.25">
      <c r="B21" s="23" t="s">
        <v>48</v>
      </c>
      <c r="C21" s="49">
        <f>AVERAGE('23.09.19 -Buddo-Kitemu'!C21,'24.09 Buddo-Kitemu'!C21,'25.09 Buddo-Kitemu'!C21,'27.09 Buddo-Kitemu'!C21,'26.09 Buddo-Kitemu-24HRS'!C21,'28.09 Buddo-Kitemu-24h'!C21,'29.09 Buddo-Kitemu'!C21)</f>
        <v>4.7142857142857144</v>
      </c>
      <c r="D21" s="49">
        <f>AVERAGE('23.09.19 -Buddo-Kitemu'!D21,'24.09 Buddo-Kitemu'!D21,'25.09 Buddo-Kitemu'!D21,'27.09 Buddo-Kitemu'!D21,'26.09 Buddo-Kitemu-24HRS'!D21,'28.09 Buddo-Kitemu-24h'!D21,'29.09 Buddo-Kitemu'!D21)</f>
        <v>0.2857142857142857</v>
      </c>
      <c r="E21" s="49">
        <f>AVERAGE('23.09.19 -Buddo-Kitemu'!E21,'24.09 Buddo-Kitemu'!E21,'25.09 Buddo-Kitemu'!E21,'27.09 Buddo-Kitemu'!E21,'26.09 Buddo-Kitemu-24HRS'!E21,'28.09 Buddo-Kitemu-24h'!E21,'29.09 Buddo-Kitemu'!E21)</f>
        <v>1</v>
      </c>
      <c r="F21" s="49">
        <f>AVERAGE('23.09.19 -Buddo-Kitemu'!F21,'24.09 Buddo-Kitemu'!F21,'25.09 Buddo-Kitemu'!F21,'27.09 Buddo-Kitemu'!F21,'26.09 Buddo-Kitemu-24HRS'!F21,'28.09 Buddo-Kitemu-24h'!F21,'29.09 Buddo-Kitemu'!F21)</f>
        <v>0.42857142857142855</v>
      </c>
      <c r="G21" s="49">
        <f>AVERAGE('23.09.19 -Buddo-Kitemu'!G21,'24.09 Buddo-Kitemu'!G21,'25.09 Buddo-Kitemu'!G21,'27.09 Buddo-Kitemu'!G21,'26.09 Buddo-Kitemu-24HRS'!G21,'28.09 Buddo-Kitemu-24h'!G21,'29.09 Buddo-Kitemu'!G21)</f>
        <v>0</v>
      </c>
      <c r="H21" s="49">
        <f>AVERAGE('23.09.19 -Buddo-Kitemu'!H21,'24.09 Buddo-Kitemu'!H21,'25.09 Buddo-Kitemu'!H21,'27.09 Buddo-Kitemu'!H21,'26.09 Buddo-Kitemu-24HRS'!H21,'28.09 Buddo-Kitemu-24h'!H21,'29.09 Buddo-Kitemu'!H21)</f>
        <v>0</v>
      </c>
      <c r="I21" s="49">
        <f>AVERAGE('23.09.19 -Buddo-Kitemu'!I21,'24.09 Buddo-Kitemu'!I21,'25.09 Buddo-Kitemu'!I21,'27.09 Buddo-Kitemu'!I21,'26.09 Buddo-Kitemu-24HRS'!I21,'28.09 Buddo-Kitemu-24h'!I21,'29.09 Buddo-Kitemu'!I21)</f>
        <v>2.4285714285714284</v>
      </c>
      <c r="J21" s="49">
        <f>AVERAGE('23.09.19 -Buddo-Kitemu'!J21,'24.09 Buddo-Kitemu'!J21,'25.09 Buddo-Kitemu'!J21,'27.09 Buddo-Kitemu'!J21,'26.09 Buddo-Kitemu-24HRS'!J21,'28.09 Buddo-Kitemu-24h'!J21,'29.09 Buddo-Kitemu'!J21)</f>
        <v>0.14285714285714285</v>
      </c>
      <c r="K21" s="49">
        <f>AVERAGE('23.09.19 -Buddo-Kitemu'!K21,'24.09 Buddo-Kitemu'!K21,'25.09 Buddo-Kitemu'!K21,'27.09 Buddo-Kitemu'!K21,'26.09 Buddo-Kitemu-24HRS'!K21,'28.09 Buddo-Kitemu-24h'!K21,'29.09 Buddo-Kitemu'!K21)</f>
        <v>0</v>
      </c>
      <c r="L21" s="49">
        <f>AVERAGE('23.09.19 -Buddo-Kitemu'!L21,'24.09 Buddo-Kitemu'!L21,'25.09 Buddo-Kitemu'!L21,'27.09 Buddo-Kitemu'!L21,'26.09 Buddo-Kitemu-24HRS'!L21,'28.09 Buddo-Kitemu-24h'!L21,'29.09 Buddo-Kitemu'!L21)</f>
        <v>0</v>
      </c>
      <c r="M21" s="49">
        <f>AVERAGE('23.09.19 -Buddo-Kitemu'!M21,'24.09 Buddo-Kitemu'!M21,'25.09 Buddo-Kitemu'!M21,'27.09 Buddo-Kitemu'!M21,'26.09 Buddo-Kitemu-24HRS'!M21,'28.09 Buddo-Kitemu-24h'!M21,'29.09 Buddo-Kitemu'!M21)</f>
        <v>50</v>
      </c>
      <c r="N21" s="49">
        <f>AVERAGE('23.09.19 -Buddo-Kitemu'!N21,'24.09 Buddo-Kitemu'!N21,'25.09 Buddo-Kitemu'!N21,'27.09 Buddo-Kitemu'!N21,'26.09 Buddo-Kitemu-24HRS'!N21,'28.09 Buddo-Kitemu-24h'!N21,'29.09 Buddo-Kitemu'!N21)</f>
        <v>0</v>
      </c>
      <c r="O21" s="15">
        <f t="shared" si="0"/>
        <v>9</v>
      </c>
      <c r="P21" s="15">
        <f t="shared" si="1"/>
        <v>59</v>
      </c>
      <c r="R21" s="36" t="s">
        <v>20</v>
      </c>
      <c r="S21" s="34">
        <f t="shared" ref="S21:AF21" si="13">SUM(C54:C57)</f>
        <v>15.857142857142858</v>
      </c>
      <c r="T21" s="17">
        <f t="shared" si="13"/>
        <v>2.2857142857142856</v>
      </c>
      <c r="U21" s="17">
        <f t="shared" si="13"/>
        <v>0.71428571428571419</v>
      </c>
      <c r="V21" s="17">
        <f t="shared" si="13"/>
        <v>6.8571428571428577</v>
      </c>
      <c r="W21" s="17">
        <f t="shared" si="13"/>
        <v>2.2857142857142856</v>
      </c>
      <c r="X21" s="17">
        <f t="shared" si="13"/>
        <v>0</v>
      </c>
      <c r="Y21" s="17">
        <f t="shared" si="13"/>
        <v>6.7142857142857144</v>
      </c>
      <c r="Z21" s="17">
        <f t="shared" si="13"/>
        <v>2.714285714285714</v>
      </c>
      <c r="AA21" s="17">
        <f t="shared" si="13"/>
        <v>0.8571428571428571</v>
      </c>
      <c r="AB21" s="17">
        <f t="shared" si="13"/>
        <v>0</v>
      </c>
      <c r="AC21" s="17">
        <f t="shared" si="13"/>
        <v>179.14285714285714</v>
      </c>
      <c r="AD21" s="17">
        <f t="shared" si="13"/>
        <v>0</v>
      </c>
      <c r="AE21" s="31">
        <f t="shared" si="13"/>
        <v>38.285714285714285</v>
      </c>
      <c r="AF21" s="31">
        <f t="shared" si="13"/>
        <v>217.42857142857144</v>
      </c>
    </row>
    <row r="22" spans="2:32" ht="23.1" customHeight="1" x14ac:dyDescent="0.25">
      <c r="B22" s="23" t="s">
        <v>49</v>
      </c>
      <c r="C22" s="49">
        <f>AVERAGE('23.09.19 -Buddo-Kitemu'!C22,'24.09 Buddo-Kitemu'!C22,'25.09 Buddo-Kitemu'!C22,'27.09 Buddo-Kitemu'!C22,'26.09 Buddo-Kitemu-24HRS'!C22,'28.09 Buddo-Kitemu-24h'!C22,'29.09 Buddo-Kitemu'!C22)</f>
        <v>5.4285714285714288</v>
      </c>
      <c r="D22" s="49">
        <f>AVERAGE('23.09.19 -Buddo-Kitemu'!D22,'24.09 Buddo-Kitemu'!D22,'25.09 Buddo-Kitemu'!D22,'27.09 Buddo-Kitemu'!D22,'26.09 Buddo-Kitemu-24HRS'!D22,'28.09 Buddo-Kitemu-24h'!D22,'29.09 Buddo-Kitemu'!D22)</f>
        <v>0.5714285714285714</v>
      </c>
      <c r="E22" s="49">
        <f>AVERAGE('23.09.19 -Buddo-Kitemu'!E22,'24.09 Buddo-Kitemu'!E22,'25.09 Buddo-Kitemu'!E22,'27.09 Buddo-Kitemu'!E22,'26.09 Buddo-Kitemu-24HRS'!E22,'28.09 Buddo-Kitemu-24h'!E22,'29.09 Buddo-Kitemu'!E22)</f>
        <v>0.2857142857142857</v>
      </c>
      <c r="F22" s="49">
        <f>AVERAGE('23.09.19 -Buddo-Kitemu'!F22,'24.09 Buddo-Kitemu'!F22,'25.09 Buddo-Kitemu'!F22,'27.09 Buddo-Kitemu'!F22,'26.09 Buddo-Kitemu-24HRS'!F22,'28.09 Buddo-Kitemu-24h'!F22,'29.09 Buddo-Kitemu'!F22)</f>
        <v>0.8571428571428571</v>
      </c>
      <c r="G22" s="49">
        <f>AVERAGE('23.09.19 -Buddo-Kitemu'!G22,'24.09 Buddo-Kitemu'!G22,'25.09 Buddo-Kitemu'!G22,'27.09 Buddo-Kitemu'!G22,'26.09 Buddo-Kitemu-24HRS'!G22,'28.09 Buddo-Kitemu-24h'!G22,'29.09 Buddo-Kitemu'!G22)</f>
        <v>0.2857142857142857</v>
      </c>
      <c r="H22" s="49">
        <f>AVERAGE('23.09.19 -Buddo-Kitemu'!H22,'24.09 Buddo-Kitemu'!H22,'25.09 Buddo-Kitemu'!H22,'27.09 Buddo-Kitemu'!H22,'26.09 Buddo-Kitemu-24HRS'!H22,'28.09 Buddo-Kitemu-24h'!H22,'29.09 Buddo-Kitemu'!H22)</f>
        <v>0</v>
      </c>
      <c r="I22" s="49">
        <f>AVERAGE('23.09.19 -Buddo-Kitemu'!I22,'24.09 Buddo-Kitemu'!I22,'25.09 Buddo-Kitemu'!I22,'27.09 Buddo-Kitemu'!I22,'26.09 Buddo-Kitemu-24HRS'!I22,'28.09 Buddo-Kitemu-24h'!I22,'29.09 Buddo-Kitemu'!I22)</f>
        <v>2.7142857142857144</v>
      </c>
      <c r="J22" s="49">
        <f>AVERAGE('23.09.19 -Buddo-Kitemu'!J22,'24.09 Buddo-Kitemu'!J22,'25.09 Buddo-Kitemu'!J22,'27.09 Buddo-Kitemu'!J22,'26.09 Buddo-Kitemu-24HRS'!J22,'28.09 Buddo-Kitemu-24h'!J22,'29.09 Buddo-Kitemu'!J22)</f>
        <v>0.42857142857142855</v>
      </c>
      <c r="K22" s="49">
        <f>AVERAGE('23.09.19 -Buddo-Kitemu'!K22,'24.09 Buddo-Kitemu'!K22,'25.09 Buddo-Kitemu'!K22,'27.09 Buddo-Kitemu'!K22,'26.09 Buddo-Kitemu-24HRS'!K22,'28.09 Buddo-Kitemu-24h'!K22,'29.09 Buddo-Kitemu'!K22)</f>
        <v>0.14285714285714285</v>
      </c>
      <c r="L22" s="49">
        <f>AVERAGE('23.09.19 -Buddo-Kitemu'!L22,'24.09 Buddo-Kitemu'!L22,'25.09 Buddo-Kitemu'!L22,'27.09 Buddo-Kitemu'!L22,'26.09 Buddo-Kitemu-24HRS'!L22,'28.09 Buddo-Kitemu-24h'!L22,'29.09 Buddo-Kitemu'!L22)</f>
        <v>0</v>
      </c>
      <c r="M22" s="49">
        <f>AVERAGE('23.09.19 -Buddo-Kitemu'!M22,'24.09 Buddo-Kitemu'!M22,'25.09 Buddo-Kitemu'!M22,'27.09 Buddo-Kitemu'!M22,'26.09 Buddo-Kitemu-24HRS'!M22,'28.09 Buddo-Kitemu-24h'!M22,'29.09 Buddo-Kitemu'!M22)</f>
        <v>51.285714285714285</v>
      </c>
      <c r="N22" s="49">
        <f>AVERAGE('23.09.19 -Buddo-Kitemu'!N22,'24.09 Buddo-Kitemu'!N22,'25.09 Buddo-Kitemu'!N22,'27.09 Buddo-Kitemu'!N22,'26.09 Buddo-Kitemu-24HRS'!N22,'28.09 Buddo-Kitemu-24h'!N22,'29.09 Buddo-Kitemu'!N22)</f>
        <v>8.7142857142857135</v>
      </c>
      <c r="O22" s="15">
        <f t="shared" si="0"/>
        <v>19.428571428571427</v>
      </c>
      <c r="P22" s="15">
        <f t="shared" si="1"/>
        <v>70.714285714285708</v>
      </c>
      <c r="R22" s="1" t="s">
        <v>146</v>
      </c>
      <c r="S22" s="34">
        <f>SUM(C58:C61)</f>
        <v>15</v>
      </c>
      <c r="T22" s="34">
        <f t="shared" ref="T22:AF22" si="14">SUM(D58:D61)</f>
        <v>1.5</v>
      </c>
      <c r="U22" s="34">
        <f t="shared" si="14"/>
        <v>0.5</v>
      </c>
      <c r="V22" s="34">
        <f t="shared" si="14"/>
        <v>5</v>
      </c>
      <c r="W22" s="34">
        <f t="shared" si="14"/>
        <v>1.5</v>
      </c>
      <c r="X22" s="34">
        <f t="shared" si="14"/>
        <v>0</v>
      </c>
      <c r="Y22" s="34">
        <f t="shared" si="14"/>
        <v>4</v>
      </c>
      <c r="Z22" s="34">
        <f t="shared" si="14"/>
        <v>1.5</v>
      </c>
      <c r="AA22" s="34">
        <f t="shared" si="14"/>
        <v>0.5</v>
      </c>
      <c r="AB22" s="34">
        <f t="shared" si="14"/>
        <v>0</v>
      </c>
      <c r="AC22" s="34">
        <f t="shared" si="14"/>
        <v>170.5</v>
      </c>
      <c r="AD22" s="34">
        <f t="shared" si="14"/>
        <v>0</v>
      </c>
      <c r="AE22" s="31">
        <f t="shared" si="14"/>
        <v>29.5</v>
      </c>
      <c r="AF22" s="31">
        <f t="shared" si="14"/>
        <v>200</v>
      </c>
    </row>
    <row r="23" spans="2:32" ht="23.1" customHeight="1" x14ac:dyDescent="0.25">
      <c r="B23" s="23" t="s">
        <v>50</v>
      </c>
      <c r="C23" s="49">
        <f>AVERAGE('23.09.19 -Buddo-Kitemu'!C23,'24.09 Buddo-Kitemu'!C23,'25.09 Buddo-Kitemu'!C23,'27.09 Buddo-Kitemu'!C23,'26.09 Buddo-Kitemu-24HRS'!C23,'28.09 Buddo-Kitemu-24h'!C23,'29.09 Buddo-Kitemu'!C23)</f>
        <v>4.2857142857142856</v>
      </c>
      <c r="D23" s="49">
        <f>AVERAGE('23.09.19 -Buddo-Kitemu'!D23,'24.09 Buddo-Kitemu'!D23,'25.09 Buddo-Kitemu'!D23,'27.09 Buddo-Kitemu'!D23,'26.09 Buddo-Kitemu-24HRS'!D23,'28.09 Buddo-Kitemu-24h'!D23,'29.09 Buddo-Kitemu'!D23)</f>
        <v>0.7142857142857143</v>
      </c>
      <c r="E23" s="49">
        <f>AVERAGE('23.09.19 -Buddo-Kitemu'!E23,'24.09 Buddo-Kitemu'!E23,'25.09 Buddo-Kitemu'!E23,'27.09 Buddo-Kitemu'!E23,'26.09 Buddo-Kitemu-24HRS'!E23,'28.09 Buddo-Kitemu-24h'!E23,'29.09 Buddo-Kitemu'!E23)</f>
        <v>0.42857142857142855</v>
      </c>
      <c r="F23" s="49">
        <f>AVERAGE('23.09.19 -Buddo-Kitemu'!F23,'24.09 Buddo-Kitemu'!F23,'25.09 Buddo-Kitemu'!F23,'27.09 Buddo-Kitemu'!F23,'26.09 Buddo-Kitemu-24HRS'!F23,'28.09 Buddo-Kitemu-24h'!F23,'29.09 Buddo-Kitemu'!F23)</f>
        <v>0.7142857142857143</v>
      </c>
      <c r="G23" s="49">
        <f>AVERAGE('23.09.19 -Buddo-Kitemu'!G23,'24.09 Buddo-Kitemu'!G23,'25.09 Buddo-Kitemu'!G23,'27.09 Buddo-Kitemu'!G23,'26.09 Buddo-Kitemu-24HRS'!G23,'28.09 Buddo-Kitemu-24h'!G23,'29.09 Buddo-Kitemu'!G23)</f>
        <v>0.14285714285714285</v>
      </c>
      <c r="H23" s="49">
        <f>AVERAGE('23.09.19 -Buddo-Kitemu'!H23,'24.09 Buddo-Kitemu'!H23,'25.09 Buddo-Kitemu'!H23,'27.09 Buddo-Kitemu'!H23,'26.09 Buddo-Kitemu-24HRS'!H23,'28.09 Buddo-Kitemu-24h'!H23,'29.09 Buddo-Kitemu'!H23)</f>
        <v>0</v>
      </c>
      <c r="I23" s="49">
        <f>AVERAGE('23.09.19 -Buddo-Kitemu'!I23,'24.09 Buddo-Kitemu'!I23,'25.09 Buddo-Kitemu'!I23,'27.09 Buddo-Kitemu'!I23,'26.09 Buddo-Kitemu-24HRS'!I23,'28.09 Buddo-Kitemu-24h'!I23,'29.09 Buddo-Kitemu'!I23)</f>
        <v>2.7142857142857144</v>
      </c>
      <c r="J23" s="49">
        <f>AVERAGE('23.09.19 -Buddo-Kitemu'!J23,'24.09 Buddo-Kitemu'!J23,'25.09 Buddo-Kitemu'!J23,'27.09 Buddo-Kitemu'!J23,'26.09 Buddo-Kitemu-24HRS'!J23,'28.09 Buddo-Kitemu-24h'!J23,'29.09 Buddo-Kitemu'!J23)</f>
        <v>0.14285714285714285</v>
      </c>
      <c r="K23" s="49">
        <f>AVERAGE('23.09.19 -Buddo-Kitemu'!K23,'24.09 Buddo-Kitemu'!K23,'25.09 Buddo-Kitemu'!K23,'27.09 Buddo-Kitemu'!K23,'26.09 Buddo-Kitemu-24HRS'!K23,'28.09 Buddo-Kitemu-24h'!K23,'29.09 Buddo-Kitemu'!K23)</f>
        <v>0.2857142857142857</v>
      </c>
      <c r="L23" s="49">
        <f>AVERAGE('23.09.19 -Buddo-Kitemu'!L23,'24.09 Buddo-Kitemu'!L23,'25.09 Buddo-Kitemu'!L23,'27.09 Buddo-Kitemu'!L23,'26.09 Buddo-Kitemu-24HRS'!L23,'28.09 Buddo-Kitemu-24h'!L23,'29.09 Buddo-Kitemu'!L23)</f>
        <v>0</v>
      </c>
      <c r="M23" s="49">
        <f>AVERAGE('23.09.19 -Buddo-Kitemu'!M23,'24.09 Buddo-Kitemu'!M23,'25.09 Buddo-Kitemu'!M23,'27.09 Buddo-Kitemu'!M23,'26.09 Buddo-Kitemu-24HRS'!M23,'28.09 Buddo-Kitemu-24h'!M23,'29.09 Buddo-Kitemu'!M23)</f>
        <v>48.857142857142854</v>
      </c>
      <c r="N23" s="49">
        <f>AVERAGE('23.09.19 -Buddo-Kitemu'!N23,'24.09 Buddo-Kitemu'!N23,'25.09 Buddo-Kitemu'!N23,'27.09 Buddo-Kitemu'!N23,'26.09 Buddo-Kitemu-24HRS'!N23,'28.09 Buddo-Kitemu-24h'!N23,'29.09 Buddo-Kitemu'!N23)</f>
        <v>0</v>
      </c>
      <c r="O23" s="15">
        <f t="shared" si="0"/>
        <v>9.4285714285714288</v>
      </c>
      <c r="P23" s="15">
        <f t="shared" si="1"/>
        <v>58.285714285714285</v>
      </c>
      <c r="R23" s="1" t="s">
        <v>147</v>
      </c>
      <c r="S23" s="34">
        <f>SUM(C62:C65)</f>
        <v>11.5</v>
      </c>
      <c r="T23" s="34">
        <f t="shared" ref="T23:AF23" si="15">SUM(D62:D65)</f>
        <v>1.5</v>
      </c>
      <c r="U23" s="34">
        <f t="shared" si="15"/>
        <v>2</v>
      </c>
      <c r="V23" s="34">
        <f t="shared" si="15"/>
        <v>3.5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3</v>
      </c>
      <c r="AA23" s="34">
        <f t="shared" si="15"/>
        <v>1</v>
      </c>
      <c r="AB23" s="34">
        <f t="shared" si="15"/>
        <v>0</v>
      </c>
      <c r="AC23" s="34">
        <f t="shared" si="15"/>
        <v>168.5</v>
      </c>
      <c r="AD23" s="34">
        <f t="shared" si="15"/>
        <v>0</v>
      </c>
      <c r="AE23" s="31">
        <f t="shared" si="15"/>
        <v>24</v>
      </c>
      <c r="AF23" s="31">
        <f t="shared" si="15"/>
        <v>192.5</v>
      </c>
    </row>
    <row r="24" spans="2:32" ht="23.1" customHeight="1" x14ac:dyDescent="0.25">
      <c r="B24" s="23" t="s">
        <v>51</v>
      </c>
      <c r="C24" s="49">
        <f>AVERAGE('23.09.19 -Buddo-Kitemu'!C24,'24.09 Buddo-Kitemu'!C24,'25.09 Buddo-Kitemu'!C24,'27.09 Buddo-Kitemu'!C24,'26.09 Buddo-Kitemu-24HRS'!C24,'28.09 Buddo-Kitemu-24h'!C24,'29.09 Buddo-Kitemu'!C24)</f>
        <v>4.7142857142857144</v>
      </c>
      <c r="D24" s="49">
        <f>AVERAGE('23.09.19 -Buddo-Kitemu'!D24,'24.09 Buddo-Kitemu'!D24,'25.09 Buddo-Kitemu'!D24,'27.09 Buddo-Kitemu'!D24,'26.09 Buddo-Kitemu-24HRS'!D24,'28.09 Buddo-Kitemu-24h'!D24,'29.09 Buddo-Kitemu'!D24)</f>
        <v>0.42857142857142855</v>
      </c>
      <c r="E24" s="49">
        <f>AVERAGE('23.09.19 -Buddo-Kitemu'!E24,'24.09 Buddo-Kitemu'!E24,'25.09 Buddo-Kitemu'!E24,'27.09 Buddo-Kitemu'!E24,'26.09 Buddo-Kitemu-24HRS'!E24,'28.09 Buddo-Kitemu-24h'!E24,'29.09 Buddo-Kitemu'!E24)</f>
        <v>0.5714285714285714</v>
      </c>
      <c r="F24" s="49">
        <f>AVERAGE('23.09.19 -Buddo-Kitemu'!F24,'24.09 Buddo-Kitemu'!F24,'25.09 Buddo-Kitemu'!F24,'27.09 Buddo-Kitemu'!F24,'26.09 Buddo-Kitemu-24HRS'!F24,'28.09 Buddo-Kitemu-24h'!F24,'29.09 Buddo-Kitemu'!F24)</f>
        <v>0.7142857142857143</v>
      </c>
      <c r="G24" s="49">
        <f>AVERAGE('23.09.19 -Buddo-Kitemu'!G24,'24.09 Buddo-Kitemu'!G24,'25.09 Buddo-Kitemu'!G24,'27.09 Buddo-Kitemu'!G24,'26.09 Buddo-Kitemu-24HRS'!G24,'28.09 Buddo-Kitemu-24h'!G24,'29.09 Buddo-Kitemu'!G24)</f>
        <v>0.14285714285714285</v>
      </c>
      <c r="H24" s="49">
        <f>AVERAGE('23.09.19 -Buddo-Kitemu'!H24,'24.09 Buddo-Kitemu'!H24,'25.09 Buddo-Kitemu'!H24,'27.09 Buddo-Kitemu'!H24,'26.09 Buddo-Kitemu-24HRS'!H24,'28.09 Buddo-Kitemu-24h'!H24,'29.09 Buddo-Kitemu'!H24)</f>
        <v>0</v>
      </c>
      <c r="I24" s="49">
        <f>AVERAGE('23.09.19 -Buddo-Kitemu'!I24,'24.09 Buddo-Kitemu'!I24,'25.09 Buddo-Kitemu'!I24,'27.09 Buddo-Kitemu'!I24,'26.09 Buddo-Kitemu-24HRS'!I24,'28.09 Buddo-Kitemu-24h'!I24,'29.09 Buddo-Kitemu'!I24)</f>
        <v>1.8571428571428572</v>
      </c>
      <c r="J24" s="49">
        <f>AVERAGE('23.09.19 -Buddo-Kitemu'!J24,'24.09 Buddo-Kitemu'!J24,'25.09 Buddo-Kitemu'!J24,'27.09 Buddo-Kitemu'!J24,'26.09 Buddo-Kitemu-24HRS'!J24,'28.09 Buddo-Kitemu-24h'!J24,'29.09 Buddo-Kitemu'!J24)</f>
        <v>0.8571428571428571</v>
      </c>
      <c r="K24" s="49">
        <f>AVERAGE('23.09.19 -Buddo-Kitemu'!K24,'24.09 Buddo-Kitemu'!K24,'25.09 Buddo-Kitemu'!K24,'27.09 Buddo-Kitemu'!K24,'26.09 Buddo-Kitemu-24HRS'!K24,'28.09 Buddo-Kitemu-24h'!K24,'29.09 Buddo-Kitemu'!K24)</f>
        <v>0.14285714285714285</v>
      </c>
      <c r="L24" s="49">
        <f>AVERAGE('23.09.19 -Buddo-Kitemu'!L24,'24.09 Buddo-Kitemu'!L24,'25.09 Buddo-Kitemu'!L24,'27.09 Buddo-Kitemu'!L24,'26.09 Buddo-Kitemu-24HRS'!L24,'28.09 Buddo-Kitemu-24h'!L24,'29.09 Buddo-Kitemu'!L24)</f>
        <v>0</v>
      </c>
      <c r="M24" s="49">
        <f>AVERAGE('23.09.19 -Buddo-Kitemu'!M24,'24.09 Buddo-Kitemu'!M24,'25.09 Buddo-Kitemu'!M24,'27.09 Buddo-Kitemu'!M24,'26.09 Buddo-Kitemu-24HRS'!M24,'28.09 Buddo-Kitemu-24h'!M24,'29.09 Buddo-Kitemu'!M24)</f>
        <v>54.142857142857146</v>
      </c>
      <c r="N24" s="49">
        <f>AVERAGE('23.09.19 -Buddo-Kitemu'!N24,'24.09 Buddo-Kitemu'!N24,'25.09 Buddo-Kitemu'!N24,'27.09 Buddo-Kitemu'!N24,'26.09 Buddo-Kitemu-24HRS'!N24,'28.09 Buddo-Kitemu-24h'!N24,'29.09 Buddo-Kitemu'!N24)</f>
        <v>0</v>
      </c>
      <c r="O24" s="15">
        <f t="shared" si="0"/>
        <v>9.4285714285714288</v>
      </c>
      <c r="P24" s="15">
        <f t="shared" si="1"/>
        <v>63.571428571428577</v>
      </c>
      <c r="R24" s="1" t="s">
        <v>148</v>
      </c>
      <c r="S24" s="34">
        <f>SUM(C66:C69)</f>
        <v>7.5</v>
      </c>
      <c r="T24" s="34">
        <f t="shared" ref="T24:AF24" si="16">SUM(D66:D69)</f>
        <v>0.5</v>
      </c>
      <c r="U24" s="34">
        <f t="shared" si="16"/>
        <v>0.5</v>
      </c>
      <c r="V24" s="34">
        <f t="shared" si="16"/>
        <v>3.5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126</v>
      </c>
      <c r="AD24" s="34">
        <f t="shared" si="16"/>
        <v>0</v>
      </c>
      <c r="AE24" s="31">
        <f t="shared" si="16"/>
        <v>15.5</v>
      </c>
      <c r="AF24" s="31">
        <f t="shared" si="16"/>
        <v>141.5</v>
      </c>
    </row>
    <row r="25" spans="2:32" ht="23.1" customHeight="1" x14ac:dyDescent="0.25">
      <c r="B25" s="23" t="s">
        <v>52</v>
      </c>
      <c r="C25" s="49">
        <f>AVERAGE('23.09.19 -Buddo-Kitemu'!C25,'24.09 Buddo-Kitemu'!C25,'25.09 Buddo-Kitemu'!C25,'27.09 Buddo-Kitemu'!C25,'26.09 Buddo-Kitemu-24HRS'!C25,'28.09 Buddo-Kitemu-24h'!C25,'29.09 Buddo-Kitemu'!C25)</f>
        <v>4.2857142857142856</v>
      </c>
      <c r="D25" s="49">
        <f>AVERAGE('23.09.19 -Buddo-Kitemu'!D25,'24.09 Buddo-Kitemu'!D25,'25.09 Buddo-Kitemu'!D25,'27.09 Buddo-Kitemu'!D25,'26.09 Buddo-Kitemu-24HRS'!D25,'28.09 Buddo-Kitemu-24h'!D25,'29.09 Buddo-Kitemu'!D25)</f>
        <v>0.2857142857142857</v>
      </c>
      <c r="E25" s="49">
        <f>AVERAGE('23.09.19 -Buddo-Kitemu'!E25,'24.09 Buddo-Kitemu'!E25,'25.09 Buddo-Kitemu'!E25,'27.09 Buddo-Kitemu'!E25,'26.09 Buddo-Kitemu-24HRS'!E25,'28.09 Buddo-Kitemu-24h'!E25,'29.09 Buddo-Kitemu'!E25)</f>
        <v>0.14285714285714285</v>
      </c>
      <c r="F25" s="49">
        <f>AVERAGE('23.09.19 -Buddo-Kitemu'!F25,'24.09 Buddo-Kitemu'!F25,'25.09 Buddo-Kitemu'!F25,'27.09 Buddo-Kitemu'!F25,'26.09 Buddo-Kitemu-24HRS'!F25,'28.09 Buddo-Kitemu-24h'!F25,'29.09 Buddo-Kitemu'!F25)</f>
        <v>1</v>
      </c>
      <c r="G25" s="49">
        <f>AVERAGE('23.09.19 -Buddo-Kitemu'!G25,'24.09 Buddo-Kitemu'!G25,'25.09 Buddo-Kitemu'!G25,'27.09 Buddo-Kitemu'!G25,'26.09 Buddo-Kitemu-24HRS'!G25,'28.09 Buddo-Kitemu-24h'!G25,'29.09 Buddo-Kitemu'!G25)</f>
        <v>0.14285714285714285</v>
      </c>
      <c r="H25" s="49">
        <f>AVERAGE('23.09.19 -Buddo-Kitemu'!H25,'24.09 Buddo-Kitemu'!H25,'25.09 Buddo-Kitemu'!H25,'27.09 Buddo-Kitemu'!H25,'26.09 Buddo-Kitemu-24HRS'!H25,'28.09 Buddo-Kitemu-24h'!H25,'29.09 Buddo-Kitemu'!H25)</f>
        <v>0</v>
      </c>
      <c r="I25" s="49">
        <f>AVERAGE('23.09.19 -Buddo-Kitemu'!I25,'24.09 Buddo-Kitemu'!I25,'25.09 Buddo-Kitemu'!I25,'27.09 Buddo-Kitemu'!I25,'26.09 Buddo-Kitemu-24HRS'!I25,'28.09 Buddo-Kitemu-24h'!I25,'29.09 Buddo-Kitemu'!I25)</f>
        <v>1.5714285714285714</v>
      </c>
      <c r="J25" s="49">
        <f>AVERAGE('23.09.19 -Buddo-Kitemu'!J25,'24.09 Buddo-Kitemu'!J25,'25.09 Buddo-Kitemu'!J25,'27.09 Buddo-Kitemu'!J25,'26.09 Buddo-Kitemu-24HRS'!J25,'28.09 Buddo-Kitemu-24h'!J25,'29.09 Buddo-Kitemu'!J25)</f>
        <v>0.2857142857142857</v>
      </c>
      <c r="K25" s="49">
        <f>AVERAGE('23.09.19 -Buddo-Kitemu'!K25,'24.09 Buddo-Kitemu'!K25,'25.09 Buddo-Kitemu'!K25,'27.09 Buddo-Kitemu'!K25,'26.09 Buddo-Kitemu-24HRS'!K25,'28.09 Buddo-Kitemu-24h'!K25,'29.09 Buddo-Kitemu'!K25)</f>
        <v>0</v>
      </c>
      <c r="L25" s="49">
        <f>AVERAGE('23.09.19 -Buddo-Kitemu'!L25,'24.09 Buddo-Kitemu'!L25,'25.09 Buddo-Kitemu'!L25,'27.09 Buddo-Kitemu'!L25,'26.09 Buddo-Kitemu-24HRS'!L25,'28.09 Buddo-Kitemu-24h'!L25,'29.09 Buddo-Kitemu'!L25)</f>
        <v>0</v>
      </c>
      <c r="M25" s="49">
        <f>AVERAGE('23.09.19 -Buddo-Kitemu'!M25,'24.09 Buddo-Kitemu'!M25,'25.09 Buddo-Kitemu'!M25,'27.09 Buddo-Kitemu'!M25,'26.09 Buddo-Kitemu-24HRS'!M25,'28.09 Buddo-Kitemu-24h'!M25,'29.09 Buddo-Kitemu'!M25)</f>
        <v>47.428571428571431</v>
      </c>
      <c r="N25" s="49">
        <f>AVERAGE('23.09.19 -Buddo-Kitemu'!N25,'24.09 Buddo-Kitemu'!N25,'25.09 Buddo-Kitemu'!N25,'27.09 Buddo-Kitemu'!N25,'26.09 Buddo-Kitemu-24HRS'!N25,'28.09 Buddo-Kitemu-24h'!N25,'29.09 Buddo-Kitemu'!N25)</f>
        <v>0</v>
      </c>
      <c r="O25" s="15">
        <f t="shared" si="0"/>
        <v>7.7142857142857144</v>
      </c>
      <c r="P25" s="15">
        <f t="shared" si="1"/>
        <v>55.142857142857146</v>
      </c>
      <c r="R25" s="1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2.5</v>
      </c>
      <c r="Z25" s="34">
        <f t="shared" si="17"/>
        <v>0.5</v>
      </c>
      <c r="AA25" s="34">
        <f t="shared" si="17"/>
        <v>0.5</v>
      </c>
      <c r="AB25" s="34">
        <f t="shared" si="17"/>
        <v>0</v>
      </c>
      <c r="AC25" s="34">
        <f t="shared" si="17"/>
        <v>73</v>
      </c>
      <c r="AD25" s="34">
        <f t="shared" si="17"/>
        <v>0</v>
      </c>
      <c r="AE25" s="31">
        <f t="shared" si="17"/>
        <v>9.5</v>
      </c>
      <c r="AF25" s="31">
        <f t="shared" si="17"/>
        <v>82.5</v>
      </c>
    </row>
    <row r="26" spans="2:32" ht="23.1" customHeight="1" x14ac:dyDescent="0.25">
      <c r="B26" s="23" t="s">
        <v>53</v>
      </c>
      <c r="C26" s="49">
        <f>AVERAGE('23.09.19 -Buddo-Kitemu'!C26,'24.09 Buddo-Kitemu'!C26,'25.09 Buddo-Kitemu'!C26,'27.09 Buddo-Kitemu'!C26,'26.09 Buddo-Kitemu-24HRS'!C26,'28.09 Buddo-Kitemu-24h'!C26,'29.09 Buddo-Kitemu'!C26)</f>
        <v>3.7142857142857144</v>
      </c>
      <c r="D26" s="49">
        <f>AVERAGE('23.09.19 -Buddo-Kitemu'!D26,'24.09 Buddo-Kitemu'!D26,'25.09 Buddo-Kitemu'!D26,'27.09 Buddo-Kitemu'!D26,'26.09 Buddo-Kitemu-24HRS'!D26,'28.09 Buddo-Kitemu-24h'!D26,'29.09 Buddo-Kitemu'!D26)</f>
        <v>0.5714285714285714</v>
      </c>
      <c r="E26" s="49">
        <f>AVERAGE('23.09.19 -Buddo-Kitemu'!E26,'24.09 Buddo-Kitemu'!E26,'25.09 Buddo-Kitemu'!E26,'27.09 Buddo-Kitemu'!E26,'26.09 Buddo-Kitemu-24HRS'!E26,'28.09 Buddo-Kitemu-24h'!E26,'29.09 Buddo-Kitemu'!E26)</f>
        <v>0.5714285714285714</v>
      </c>
      <c r="F26" s="49">
        <f>AVERAGE('23.09.19 -Buddo-Kitemu'!F26,'24.09 Buddo-Kitemu'!F26,'25.09 Buddo-Kitemu'!F26,'27.09 Buddo-Kitemu'!F26,'26.09 Buddo-Kitemu-24HRS'!F26,'28.09 Buddo-Kitemu-24h'!F26,'29.09 Buddo-Kitemu'!F26)</f>
        <v>1.1428571428571428</v>
      </c>
      <c r="G26" s="49">
        <f>AVERAGE('23.09.19 -Buddo-Kitemu'!G26,'24.09 Buddo-Kitemu'!G26,'25.09 Buddo-Kitemu'!G26,'27.09 Buddo-Kitemu'!G26,'26.09 Buddo-Kitemu-24HRS'!G26,'28.09 Buddo-Kitemu-24h'!G26,'29.09 Buddo-Kitemu'!G26)</f>
        <v>0</v>
      </c>
      <c r="H26" s="49">
        <f>AVERAGE('23.09.19 -Buddo-Kitemu'!H26,'24.09 Buddo-Kitemu'!H26,'25.09 Buddo-Kitemu'!H26,'27.09 Buddo-Kitemu'!H26,'26.09 Buddo-Kitemu-24HRS'!H26,'28.09 Buddo-Kitemu-24h'!H26,'29.09 Buddo-Kitemu'!H26)</f>
        <v>0</v>
      </c>
      <c r="I26" s="49">
        <f>AVERAGE('23.09.19 -Buddo-Kitemu'!I26,'24.09 Buddo-Kitemu'!I26,'25.09 Buddo-Kitemu'!I26,'27.09 Buddo-Kitemu'!I26,'26.09 Buddo-Kitemu-24HRS'!I26,'28.09 Buddo-Kitemu-24h'!I26,'29.09 Buddo-Kitemu'!I26)</f>
        <v>2.4285714285714284</v>
      </c>
      <c r="J26" s="49">
        <f>AVERAGE('23.09.19 -Buddo-Kitemu'!J26,'24.09 Buddo-Kitemu'!J26,'25.09 Buddo-Kitemu'!J26,'27.09 Buddo-Kitemu'!J26,'26.09 Buddo-Kitemu-24HRS'!J26,'28.09 Buddo-Kitemu-24h'!J26,'29.09 Buddo-Kitemu'!J26)</f>
        <v>0.8571428571428571</v>
      </c>
      <c r="K26" s="49">
        <f>AVERAGE('23.09.19 -Buddo-Kitemu'!K26,'24.09 Buddo-Kitemu'!K26,'25.09 Buddo-Kitemu'!K26,'27.09 Buddo-Kitemu'!K26,'26.09 Buddo-Kitemu-24HRS'!K26,'28.09 Buddo-Kitemu-24h'!K26,'29.09 Buddo-Kitemu'!K26)</f>
        <v>0</v>
      </c>
      <c r="L26" s="49">
        <f>AVERAGE('23.09.19 -Buddo-Kitemu'!L26,'24.09 Buddo-Kitemu'!L26,'25.09 Buddo-Kitemu'!L26,'27.09 Buddo-Kitemu'!L26,'26.09 Buddo-Kitemu-24HRS'!L26,'28.09 Buddo-Kitemu-24h'!L26,'29.09 Buddo-Kitemu'!L26)</f>
        <v>0</v>
      </c>
      <c r="M26" s="49">
        <f>AVERAGE('23.09.19 -Buddo-Kitemu'!M26,'24.09 Buddo-Kitemu'!M26,'25.09 Buddo-Kitemu'!M26,'27.09 Buddo-Kitemu'!M26,'26.09 Buddo-Kitemu-24HRS'!M26,'28.09 Buddo-Kitemu-24h'!M26,'29.09 Buddo-Kitemu'!M26)</f>
        <v>46</v>
      </c>
      <c r="N26" s="49">
        <f>AVERAGE('23.09.19 -Buddo-Kitemu'!N26,'24.09 Buddo-Kitemu'!N26,'25.09 Buddo-Kitemu'!N26,'27.09 Buddo-Kitemu'!N26,'26.09 Buddo-Kitemu-24HRS'!N26,'28.09 Buddo-Kitemu-24h'!N26,'29.09 Buddo-Kitemu'!N26)</f>
        <v>0</v>
      </c>
      <c r="O26" s="15">
        <f t="shared" si="0"/>
        <v>9.2857142857142865</v>
      </c>
      <c r="P26" s="15">
        <f t="shared" si="1"/>
        <v>55.285714285714285</v>
      </c>
      <c r="R26" s="1" t="s">
        <v>150</v>
      </c>
      <c r="S26" s="34">
        <f>SUM(C74:C77)</f>
        <v>9.5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1.5</v>
      </c>
      <c r="AA26" s="34">
        <f t="shared" si="18"/>
        <v>0</v>
      </c>
      <c r="AB26" s="34">
        <f t="shared" si="18"/>
        <v>0</v>
      </c>
      <c r="AC26" s="34">
        <f t="shared" si="18"/>
        <v>100.5</v>
      </c>
      <c r="AD26" s="34">
        <f t="shared" si="18"/>
        <v>0</v>
      </c>
      <c r="AE26" s="31">
        <f t="shared" si="18"/>
        <v>14.5</v>
      </c>
      <c r="AF26" s="31">
        <f t="shared" si="18"/>
        <v>115</v>
      </c>
    </row>
    <row r="27" spans="2:32" ht="23.1" customHeight="1" x14ac:dyDescent="0.25">
      <c r="B27" s="23" t="s">
        <v>54</v>
      </c>
      <c r="C27" s="49">
        <f>AVERAGE('23.09.19 -Buddo-Kitemu'!C27,'24.09 Buddo-Kitemu'!C27,'25.09 Buddo-Kitemu'!C27,'27.09 Buddo-Kitemu'!C27,'26.09 Buddo-Kitemu-24HRS'!C27,'28.09 Buddo-Kitemu-24h'!C27,'29.09 Buddo-Kitemu'!C27)</f>
        <v>4.4285714285714288</v>
      </c>
      <c r="D27" s="49">
        <f>AVERAGE('23.09.19 -Buddo-Kitemu'!D27,'24.09 Buddo-Kitemu'!D27,'25.09 Buddo-Kitemu'!D27,'27.09 Buddo-Kitemu'!D27,'26.09 Buddo-Kitemu-24HRS'!D27,'28.09 Buddo-Kitemu-24h'!D27,'29.09 Buddo-Kitemu'!D27)</f>
        <v>0.42857142857142855</v>
      </c>
      <c r="E27" s="49">
        <f>AVERAGE('23.09.19 -Buddo-Kitemu'!E27,'24.09 Buddo-Kitemu'!E27,'25.09 Buddo-Kitemu'!E27,'27.09 Buddo-Kitemu'!E27,'26.09 Buddo-Kitemu-24HRS'!E27,'28.09 Buddo-Kitemu-24h'!E27,'29.09 Buddo-Kitemu'!E27)</f>
        <v>0.2857142857142857</v>
      </c>
      <c r="F27" s="49">
        <f>AVERAGE('23.09.19 -Buddo-Kitemu'!F27,'24.09 Buddo-Kitemu'!F27,'25.09 Buddo-Kitemu'!F27,'27.09 Buddo-Kitemu'!F27,'26.09 Buddo-Kitemu-24HRS'!F27,'28.09 Buddo-Kitemu-24h'!F27,'29.09 Buddo-Kitemu'!F27)</f>
        <v>0.14285714285714285</v>
      </c>
      <c r="G27" s="49">
        <f>AVERAGE('23.09.19 -Buddo-Kitemu'!G27,'24.09 Buddo-Kitemu'!G27,'25.09 Buddo-Kitemu'!G27,'27.09 Buddo-Kitemu'!G27,'26.09 Buddo-Kitemu-24HRS'!G27,'28.09 Buddo-Kitemu-24h'!G27,'29.09 Buddo-Kitemu'!G27)</f>
        <v>0</v>
      </c>
      <c r="H27" s="49">
        <f>AVERAGE('23.09.19 -Buddo-Kitemu'!H27,'24.09 Buddo-Kitemu'!H27,'25.09 Buddo-Kitemu'!H27,'27.09 Buddo-Kitemu'!H27,'26.09 Buddo-Kitemu-24HRS'!H27,'28.09 Buddo-Kitemu-24h'!H27,'29.09 Buddo-Kitemu'!H27)</f>
        <v>0</v>
      </c>
      <c r="I27" s="49">
        <f>AVERAGE('23.09.19 -Buddo-Kitemu'!I27,'24.09 Buddo-Kitemu'!I27,'25.09 Buddo-Kitemu'!I27,'27.09 Buddo-Kitemu'!I27,'26.09 Buddo-Kitemu-24HRS'!I27,'28.09 Buddo-Kitemu-24h'!I27,'29.09 Buddo-Kitemu'!I27)</f>
        <v>1.4285714285714286</v>
      </c>
      <c r="J27" s="49">
        <f>AVERAGE('23.09.19 -Buddo-Kitemu'!J27,'24.09 Buddo-Kitemu'!J27,'25.09 Buddo-Kitemu'!J27,'27.09 Buddo-Kitemu'!J27,'26.09 Buddo-Kitemu-24HRS'!J27,'28.09 Buddo-Kitemu-24h'!J27,'29.09 Buddo-Kitemu'!J27)</f>
        <v>0.2857142857142857</v>
      </c>
      <c r="K27" s="49">
        <f>AVERAGE('23.09.19 -Buddo-Kitemu'!K27,'24.09 Buddo-Kitemu'!K27,'25.09 Buddo-Kitemu'!K27,'27.09 Buddo-Kitemu'!K27,'26.09 Buddo-Kitemu-24HRS'!K27,'28.09 Buddo-Kitemu-24h'!K27,'29.09 Buddo-Kitemu'!K27)</f>
        <v>0.2857142857142857</v>
      </c>
      <c r="L27" s="49">
        <f>AVERAGE('23.09.19 -Buddo-Kitemu'!L27,'24.09 Buddo-Kitemu'!L27,'25.09 Buddo-Kitemu'!L27,'27.09 Buddo-Kitemu'!L27,'26.09 Buddo-Kitemu-24HRS'!L27,'28.09 Buddo-Kitemu-24h'!L27,'29.09 Buddo-Kitemu'!L27)</f>
        <v>0</v>
      </c>
      <c r="M27" s="49">
        <f>AVERAGE('23.09.19 -Buddo-Kitemu'!M27,'24.09 Buddo-Kitemu'!M27,'25.09 Buddo-Kitemu'!M27,'27.09 Buddo-Kitemu'!M27,'26.09 Buddo-Kitemu-24HRS'!M27,'28.09 Buddo-Kitemu-24h'!M27,'29.09 Buddo-Kitemu'!M27)</f>
        <v>44.428571428571431</v>
      </c>
      <c r="N27" s="49">
        <f>AVERAGE('23.09.19 -Buddo-Kitemu'!N27,'24.09 Buddo-Kitemu'!N27,'25.09 Buddo-Kitemu'!N27,'27.09 Buddo-Kitemu'!N27,'26.09 Buddo-Kitemu-24HRS'!N27,'28.09 Buddo-Kitemu-24h'!N27,'29.09 Buddo-Kitemu'!N27)</f>
        <v>0</v>
      </c>
      <c r="O27" s="15">
        <f t="shared" si="0"/>
        <v>7.2857142857142865</v>
      </c>
      <c r="P27" s="15">
        <f t="shared" si="1"/>
        <v>51.714285714285715</v>
      </c>
      <c r="R27" s="1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39</v>
      </c>
      <c r="AD27" s="34">
        <f t="shared" si="19"/>
        <v>0</v>
      </c>
      <c r="AE27" s="31">
        <f t="shared" si="19"/>
        <v>2</v>
      </c>
      <c r="AF27" s="31">
        <f t="shared" si="19"/>
        <v>41</v>
      </c>
    </row>
    <row r="28" spans="2:32" ht="23.1" customHeight="1" x14ac:dyDescent="0.25">
      <c r="B28" s="23" t="s">
        <v>55</v>
      </c>
      <c r="C28" s="49">
        <f>AVERAGE('23.09.19 -Buddo-Kitemu'!C28,'24.09 Buddo-Kitemu'!C28,'25.09 Buddo-Kitemu'!C28,'27.09 Buddo-Kitemu'!C28,'26.09 Buddo-Kitemu-24HRS'!C28,'28.09 Buddo-Kitemu-24h'!C28,'29.09 Buddo-Kitemu'!C28)</f>
        <v>4.8571428571428568</v>
      </c>
      <c r="D28" s="49">
        <f>AVERAGE('23.09.19 -Buddo-Kitemu'!D28,'24.09 Buddo-Kitemu'!D28,'25.09 Buddo-Kitemu'!D28,'27.09 Buddo-Kitemu'!D28,'26.09 Buddo-Kitemu-24HRS'!D28,'28.09 Buddo-Kitemu-24h'!D28,'29.09 Buddo-Kitemu'!D28)</f>
        <v>1</v>
      </c>
      <c r="E28" s="49">
        <f>AVERAGE('23.09.19 -Buddo-Kitemu'!E28,'24.09 Buddo-Kitemu'!E28,'25.09 Buddo-Kitemu'!E28,'27.09 Buddo-Kitemu'!E28,'26.09 Buddo-Kitemu-24HRS'!E28,'28.09 Buddo-Kitemu-24h'!E28,'29.09 Buddo-Kitemu'!E28)</f>
        <v>1.1428571428571428</v>
      </c>
      <c r="F28" s="49">
        <f>AVERAGE('23.09.19 -Buddo-Kitemu'!F28,'24.09 Buddo-Kitemu'!F28,'25.09 Buddo-Kitemu'!F28,'27.09 Buddo-Kitemu'!F28,'26.09 Buddo-Kitemu-24HRS'!F28,'28.09 Buddo-Kitemu-24h'!F28,'29.09 Buddo-Kitemu'!F28)</f>
        <v>0.8571428571428571</v>
      </c>
      <c r="G28" s="49">
        <f>AVERAGE('23.09.19 -Buddo-Kitemu'!G28,'24.09 Buddo-Kitemu'!G28,'25.09 Buddo-Kitemu'!G28,'27.09 Buddo-Kitemu'!G28,'26.09 Buddo-Kitemu-24HRS'!G28,'28.09 Buddo-Kitemu-24h'!G28,'29.09 Buddo-Kitemu'!G28)</f>
        <v>0.14285714285714285</v>
      </c>
      <c r="H28" s="49">
        <f>AVERAGE('23.09.19 -Buddo-Kitemu'!H28,'24.09 Buddo-Kitemu'!H28,'25.09 Buddo-Kitemu'!H28,'27.09 Buddo-Kitemu'!H28,'26.09 Buddo-Kitemu-24HRS'!H28,'28.09 Buddo-Kitemu-24h'!H28,'29.09 Buddo-Kitemu'!H28)</f>
        <v>0</v>
      </c>
      <c r="I28" s="49">
        <f>AVERAGE('23.09.19 -Buddo-Kitemu'!I28,'24.09 Buddo-Kitemu'!I28,'25.09 Buddo-Kitemu'!I28,'27.09 Buddo-Kitemu'!I28,'26.09 Buddo-Kitemu-24HRS'!I28,'28.09 Buddo-Kitemu-24h'!I28,'29.09 Buddo-Kitemu'!I28)</f>
        <v>2</v>
      </c>
      <c r="J28" s="49">
        <f>AVERAGE('23.09.19 -Buddo-Kitemu'!J28,'24.09 Buddo-Kitemu'!J28,'25.09 Buddo-Kitemu'!J28,'27.09 Buddo-Kitemu'!J28,'26.09 Buddo-Kitemu-24HRS'!J28,'28.09 Buddo-Kitemu-24h'!J28,'29.09 Buddo-Kitemu'!J28)</f>
        <v>0.8571428571428571</v>
      </c>
      <c r="K28" s="49">
        <f>AVERAGE('23.09.19 -Buddo-Kitemu'!K28,'24.09 Buddo-Kitemu'!K28,'25.09 Buddo-Kitemu'!K28,'27.09 Buddo-Kitemu'!K28,'26.09 Buddo-Kitemu-24HRS'!K28,'28.09 Buddo-Kitemu-24h'!K28,'29.09 Buddo-Kitemu'!K28)</f>
        <v>0.14285714285714285</v>
      </c>
      <c r="L28" s="49">
        <f>AVERAGE('23.09.19 -Buddo-Kitemu'!L28,'24.09 Buddo-Kitemu'!L28,'25.09 Buddo-Kitemu'!L28,'27.09 Buddo-Kitemu'!L28,'26.09 Buddo-Kitemu-24HRS'!L28,'28.09 Buddo-Kitemu-24h'!L28,'29.09 Buddo-Kitemu'!L28)</f>
        <v>0</v>
      </c>
      <c r="M28" s="49">
        <f>AVERAGE('23.09.19 -Buddo-Kitemu'!M28,'24.09 Buddo-Kitemu'!M28,'25.09 Buddo-Kitemu'!M28,'27.09 Buddo-Kitemu'!M28,'26.09 Buddo-Kitemu-24HRS'!M28,'28.09 Buddo-Kitemu-24h'!M28,'29.09 Buddo-Kitemu'!M28)</f>
        <v>39.428571428571431</v>
      </c>
      <c r="N28" s="49">
        <f>AVERAGE('23.09.19 -Buddo-Kitemu'!N28,'24.09 Buddo-Kitemu'!N28,'25.09 Buddo-Kitemu'!N28,'27.09 Buddo-Kitemu'!N28,'26.09 Buddo-Kitemu-24HRS'!N28,'28.09 Buddo-Kitemu-24h'!N28,'29.09 Buddo-Kitemu'!N28)</f>
        <v>0</v>
      </c>
      <c r="O28" s="15">
        <f t="shared" si="0"/>
        <v>11</v>
      </c>
      <c r="P28" s="15">
        <f t="shared" si="1"/>
        <v>50.428571428571431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15</v>
      </c>
      <c r="AD28" s="34">
        <f t="shared" si="20"/>
        <v>0</v>
      </c>
      <c r="AE28" s="31">
        <f t="shared" si="20"/>
        <v>0.5</v>
      </c>
      <c r="AF28" s="31">
        <f t="shared" si="20"/>
        <v>15.5</v>
      </c>
    </row>
    <row r="29" spans="2:32" ht="23.1" customHeight="1" x14ac:dyDescent="0.25">
      <c r="B29" s="23" t="s">
        <v>56</v>
      </c>
      <c r="C29" s="49">
        <f>AVERAGE('23.09.19 -Buddo-Kitemu'!C29,'24.09 Buddo-Kitemu'!C29,'25.09 Buddo-Kitemu'!C29,'27.09 Buddo-Kitemu'!C29,'26.09 Buddo-Kitemu-24HRS'!C29,'28.09 Buddo-Kitemu-24h'!C29,'29.09 Buddo-Kitemu'!C29)</f>
        <v>3.1428571428571428</v>
      </c>
      <c r="D29" s="49">
        <f>AVERAGE('23.09.19 -Buddo-Kitemu'!D29,'24.09 Buddo-Kitemu'!D29,'25.09 Buddo-Kitemu'!D29,'27.09 Buddo-Kitemu'!D29,'26.09 Buddo-Kitemu-24HRS'!D29,'28.09 Buddo-Kitemu-24h'!D29,'29.09 Buddo-Kitemu'!D29)</f>
        <v>0</v>
      </c>
      <c r="E29" s="49">
        <f>AVERAGE('23.09.19 -Buddo-Kitemu'!E29,'24.09 Buddo-Kitemu'!E29,'25.09 Buddo-Kitemu'!E29,'27.09 Buddo-Kitemu'!E29,'26.09 Buddo-Kitemu-24HRS'!E29,'28.09 Buddo-Kitemu-24h'!E29,'29.09 Buddo-Kitemu'!E29)</f>
        <v>0.8571428571428571</v>
      </c>
      <c r="F29" s="49">
        <f>AVERAGE('23.09.19 -Buddo-Kitemu'!F29,'24.09 Buddo-Kitemu'!F29,'25.09 Buddo-Kitemu'!F29,'27.09 Buddo-Kitemu'!F29,'26.09 Buddo-Kitemu-24HRS'!F29,'28.09 Buddo-Kitemu-24h'!F29,'29.09 Buddo-Kitemu'!F29)</f>
        <v>0</v>
      </c>
      <c r="G29" s="49">
        <f>AVERAGE('23.09.19 -Buddo-Kitemu'!G29,'24.09 Buddo-Kitemu'!G29,'25.09 Buddo-Kitemu'!G29,'27.09 Buddo-Kitemu'!G29,'26.09 Buddo-Kitemu-24HRS'!G29,'28.09 Buddo-Kitemu-24h'!G29,'29.09 Buddo-Kitemu'!G29)</f>
        <v>0</v>
      </c>
      <c r="H29" s="49">
        <f>AVERAGE('23.09.19 -Buddo-Kitemu'!H29,'24.09 Buddo-Kitemu'!H29,'25.09 Buddo-Kitemu'!H29,'27.09 Buddo-Kitemu'!H29,'26.09 Buddo-Kitemu-24HRS'!H29,'28.09 Buddo-Kitemu-24h'!H29,'29.09 Buddo-Kitemu'!H29)</f>
        <v>0</v>
      </c>
      <c r="I29" s="49">
        <f>AVERAGE('23.09.19 -Buddo-Kitemu'!I29,'24.09 Buddo-Kitemu'!I29,'25.09 Buddo-Kitemu'!I29,'27.09 Buddo-Kitemu'!I29,'26.09 Buddo-Kitemu-24HRS'!I29,'28.09 Buddo-Kitemu-24h'!I29,'29.09 Buddo-Kitemu'!I29)</f>
        <v>2.1428571428571428</v>
      </c>
      <c r="J29" s="49">
        <f>AVERAGE('23.09.19 -Buddo-Kitemu'!J29,'24.09 Buddo-Kitemu'!J29,'25.09 Buddo-Kitemu'!J29,'27.09 Buddo-Kitemu'!J29,'26.09 Buddo-Kitemu-24HRS'!J29,'28.09 Buddo-Kitemu-24h'!J29,'29.09 Buddo-Kitemu'!J29)</f>
        <v>0.2857142857142857</v>
      </c>
      <c r="K29" s="49">
        <f>AVERAGE('23.09.19 -Buddo-Kitemu'!K29,'24.09 Buddo-Kitemu'!K29,'25.09 Buddo-Kitemu'!K29,'27.09 Buddo-Kitemu'!K29,'26.09 Buddo-Kitemu-24HRS'!K29,'28.09 Buddo-Kitemu-24h'!K29,'29.09 Buddo-Kitemu'!K29)</f>
        <v>0.14285714285714285</v>
      </c>
      <c r="L29" s="49">
        <f>AVERAGE('23.09.19 -Buddo-Kitemu'!L29,'24.09 Buddo-Kitemu'!L29,'25.09 Buddo-Kitemu'!L29,'27.09 Buddo-Kitemu'!L29,'26.09 Buddo-Kitemu-24HRS'!L29,'28.09 Buddo-Kitemu-24h'!L29,'29.09 Buddo-Kitemu'!L29)</f>
        <v>0</v>
      </c>
      <c r="M29" s="49">
        <f>AVERAGE('23.09.19 -Buddo-Kitemu'!M29,'24.09 Buddo-Kitemu'!M29,'25.09 Buddo-Kitemu'!M29,'27.09 Buddo-Kitemu'!M29,'26.09 Buddo-Kitemu-24HRS'!M29,'28.09 Buddo-Kitemu-24h'!M29,'29.09 Buddo-Kitemu'!M29)</f>
        <v>38.285714285714285</v>
      </c>
      <c r="N29" s="49">
        <f>AVERAGE('23.09.19 -Buddo-Kitemu'!N29,'24.09 Buddo-Kitemu'!N29,'25.09 Buddo-Kitemu'!N29,'27.09 Buddo-Kitemu'!N29,'26.09 Buddo-Kitemu-24HRS'!N29,'28.09 Buddo-Kitemu-24h'!N29,'29.09 Buddo-Kitemu'!N29)</f>
        <v>0</v>
      </c>
      <c r="O29" s="15">
        <f t="shared" si="0"/>
        <v>6.5714285714285712</v>
      </c>
      <c r="P29" s="15">
        <f t="shared" si="1"/>
        <v>44.857142857142854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7</v>
      </c>
      <c r="AD29" s="34">
        <f t="shared" si="21"/>
        <v>0</v>
      </c>
      <c r="AE29" s="31">
        <f t="shared" si="21"/>
        <v>0.5</v>
      </c>
      <c r="AF29" s="31">
        <f t="shared" si="21"/>
        <v>7.5</v>
      </c>
    </row>
    <row r="30" spans="2:32" ht="23.1" customHeight="1" x14ac:dyDescent="0.25">
      <c r="B30" s="23" t="s">
        <v>57</v>
      </c>
      <c r="C30" s="49">
        <f>AVERAGE('23.09.19 -Buddo-Kitemu'!C30,'24.09 Buddo-Kitemu'!C30,'25.09 Buddo-Kitemu'!C30,'27.09 Buddo-Kitemu'!C30,'26.09 Buddo-Kitemu-24HRS'!C30,'28.09 Buddo-Kitemu-24h'!C30,'29.09 Buddo-Kitemu'!C30)</f>
        <v>3.8571428571428572</v>
      </c>
      <c r="D30" s="49">
        <f>AVERAGE('23.09.19 -Buddo-Kitemu'!D30,'24.09 Buddo-Kitemu'!D30,'25.09 Buddo-Kitemu'!D30,'27.09 Buddo-Kitemu'!D30,'26.09 Buddo-Kitemu-24HRS'!D30,'28.09 Buddo-Kitemu-24h'!D30,'29.09 Buddo-Kitemu'!D30)</f>
        <v>0.42857142857142855</v>
      </c>
      <c r="E30" s="49">
        <f>AVERAGE('23.09.19 -Buddo-Kitemu'!E30,'24.09 Buddo-Kitemu'!E30,'25.09 Buddo-Kitemu'!E30,'27.09 Buddo-Kitemu'!E30,'26.09 Buddo-Kitemu-24HRS'!E30,'28.09 Buddo-Kitemu-24h'!E30,'29.09 Buddo-Kitemu'!E30)</f>
        <v>0.7142857142857143</v>
      </c>
      <c r="F30" s="49">
        <f>AVERAGE('23.09.19 -Buddo-Kitemu'!F30,'24.09 Buddo-Kitemu'!F30,'25.09 Buddo-Kitemu'!F30,'27.09 Buddo-Kitemu'!F30,'26.09 Buddo-Kitemu-24HRS'!F30,'28.09 Buddo-Kitemu-24h'!F30,'29.09 Buddo-Kitemu'!F30)</f>
        <v>0.2857142857142857</v>
      </c>
      <c r="G30" s="49">
        <f>AVERAGE('23.09.19 -Buddo-Kitemu'!G30,'24.09 Buddo-Kitemu'!G30,'25.09 Buddo-Kitemu'!G30,'27.09 Buddo-Kitemu'!G30,'26.09 Buddo-Kitemu-24HRS'!G30,'28.09 Buddo-Kitemu-24h'!G30,'29.09 Buddo-Kitemu'!G30)</f>
        <v>0</v>
      </c>
      <c r="H30" s="49">
        <f>AVERAGE('23.09.19 -Buddo-Kitemu'!H30,'24.09 Buddo-Kitemu'!H30,'25.09 Buddo-Kitemu'!H30,'27.09 Buddo-Kitemu'!H30,'26.09 Buddo-Kitemu-24HRS'!H30,'28.09 Buddo-Kitemu-24h'!H30,'29.09 Buddo-Kitemu'!H30)</f>
        <v>0</v>
      </c>
      <c r="I30" s="49">
        <f>AVERAGE('23.09.19 -Buddo-Kitemu'!I30,'24.09 Buddo-Kitemu'!I30,'25.09 Buddo-Kitemu'!I30,'27.09 Buddo-Kitemu'!I30,'26.09 Buddo-Kitemu-24HRS'!I30,'28.09 Buddo-Kitemu-24h'!I30,'29.09 Buddo-Kitemu'!I30)</f>
        <v>0.5714285714285714</v>
      </c>
      <c r="J30" s="49">
        <f>AVERAGE('23.09.19 -Buddo-Kitemu'!J30,'24.09 Buddo-Kitemu'!J30,'25.09 Buddo-Kitemu'!J30,'27.09 Buddo-Kitemu'!J30,'26.09 Buddo-Kitemu-24HRS'!J30,'28.09 Buddo-Kitemu-24h'!J30,'29.09 Buddo-Kitemu'!J30)</f>
        <v>0.5714285714285714</v>
      </c>
      <c r="K30" s="49">
        <f>AVERAGE('23.09.19 -Buddo-Kitemu'!K30,'24.09 Buddo-Kitemu'!K30,'25.09 Buddo-Kitemu'!K30,'27.09 Buddo-Kitemu'!K30,'26.09 Buddo-Kitemu-24HRS'!K30,'28.09 Buddo-Kitemu-24h'!K30,'29.09 Buddo-Kitemu'!K30)</f>
        <v>0</v>
      </c>
      <c r="L30" s="49">
        <f>AVERAGE('23.09.19 -Buddo-Kitemu'!L30,'24.09 Buddo-Kitemu'!L30,'25.09 Buddo-Kitemu'!L30,'27.09 Buddo-Kitemu'!L30,'26.09 Buddo-Kitemu-24HRS'!L30,'28.09 Buddo-Kitemu-24h'!L30,'29.09 Buddo-Kitemu'!L30)</f>
        <v>0</v>
      </c>
      <c r="M30" s="49">
        <f>AVERAGE('23.09.19 -Buddo-Kitemu'!M30,'24.09 Buddo-Kitemu'!M30,'25.09 Buddo-Kitemu'!M30,'27.09 Buddo-Kitemu'!M30,'26.09 Buddo-Kitemu-24HRS'!M30,'28.09 Buddo-Kitemu-24h'!M30,'29.09 Buddo-Kitemu'!M30)</f>
        <v>35.714285714285715</v>
      </c>
      <c r="N30" s="49">
        <f>AVERAGE('23.09.19 -Buddo-Kitemu'!N30,'24.09 Buddo-Kitemu'!N30,'25.09 Buddo-Kitemu'!N30,'27.09 Buddo-Kitemu'!N30,'26.09 Buddo-Kitemu-24HRS'!N30,'28.09 Buddo-Kitemu-24h'!N30,'29.09 Buddo-Kitemu'!N30)</f>
        <v>0</v>
      </c>
      <c r="O30" s="15">
        <f t="shared" si="0"/>
        <v>6.4285714285714279</v>
      </c>
      <c r="P30" s="15">
        <f t="shared" si="1"/>
        <v>42.142857142857146</v>
      </c>
      <c r="R30" s="1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24" t="s">
        <v>58</v>
      </c>
      <c r="C31" s="49">
        <f>AVERAGE('23.09.19 -Buddo-Kitemu'!C31,'24.09 Buddo-Kitemu'!C31,'25.09 Buddo-Kitemu'!C31,'27.09 Buddo-Kitemu'!C31,'26.09 Buddo-Kitemu-24HRS'!C31,'28.09 Buddo-Kitemu-24h'!C31,'29.09 Buddo-Kitemu'!C31)</f>
        <v>2.1428571428571428</v>
      </c>
      <c r="D31" s="49">
        <f>AVERAGE('23.09.19 -Buddo-Kitemu'!D31,'24.09 Buddo-Kitemu'!D31,'25.09 Buddo-Kitemu'!D31,'27.09 Buddo-Kitemu'!D31,'26.09 Buddo-Kitemu-24HRS'!D31,'28.09 Buddo-Kitemu-24h'!D31,'29.09 Buddo-Kitemu'!D31)</f>
        <v>0.14285714285714285</v>
      </c>
      <c r="E31" s="49">
        <f>AVERAGE('23.09.19 -Buddo-Kitemu'!E31,'24.09 Buddo-Kitemu'!E31,'25.09 Buddo-Kitemu'!E31,'27.09 Buddo-Kitemu'!E31,'26.09 Buddo-Kitemu-24HRS'!E31,'28.09 Buddo-Kitemu-24h'!E31,'29.09 Buddo-Kitemu'!E31)</f>
        <v>0.5714285714285714</v>
      </c>
      <c r="F31" s="49">
        <f>AVERAGE('23.09.19 -Buddo-Kitemu'!F31,'24.09 Buddo-Kitemu'!F31,'25.09 Buddo-Kitemu'!F31,'27.09 Buddo-Kitemu'!F31,'26.09 Buddo-Kitemu-24HRS'!F31,'28.09 Buddo-Kitemu-24h'!F31,'29.09 Buddo-Kitemu'!F31)</f>
        <v>0.5714285714285714</v>
      </c>
      <c r="G31" s="49">
        <f>AVERAGE('23.09.19 -Buddo-Kitemu'!G31,'24.09 Buddo-Kitemu'!G31,'25.09 Buddo-Kitemu'!G31,'27.09 Buddo-Kitemu'!G31,'26.09 Buddo-Kitemu-24HRS'!G31,'28.09 Buddo-Kitemu-24h'!G31,'29.09 Buddo-Kitemu'!G31)</f>
        <v>0</v>
      </c>
      <c r="H31" s="49">
        <f>AVERAGE('23.09.19 -Buddo-Kitemu'!H31,'24.09 Buddo-Kitemu'!H31,'25.09 Buddo-Kitemu'!H31,'27.09 Buddo-Kitemu'!H31,'26.09 Buddo-Kitemu-24HRS'!H31,'28.09 Buddo-Kitemu-24h'!H31,'29.09 Buddo-Kitemu'!H31)</f>
        <v>0</v>
      </c>
      <c r="I31" s="49">
        <f>AVERAGE('23.09.19 -Buddo-Kitemu'!I31,'24.09 Buddo-Kitemu'!I31,'25.09 Buddo-Kitemu'!I31,'27.09 Buddo-Kitemu'!I31,'26.09 Buddo-Kitemu-24HRS'!I31,'28.09 Buddo-Kitemu-24h'!I31,'29.09 Buddo-Kitemu'!I31)</f>
        <v>1.7142857142857142</v>
      </c>
      <c r="J31" s="49">
        <f>AVERAGE('23.09.19 -Buddo-Kitemu'!J31,'24.09 Buddo-Kitemu'!J31,'25.09 Buddo-Kitemu'!J31,'27.09 Buddo-Kitemu'!J31,'26.09 Buddo-Kitemu-24HRS'!J31,'28.09 Buddo-Kitemu-24h'!J31,'29.09 Buddo-Kitemu'!J31)</f>
        <v>0.42857142857142855</v>
      </c>
      <c r="K31" s="49">
        <f>AVERAGE('23.09.19 -Buddo-Kitemu'!K31,'24.09 Buddo-Kitemu'!K31,'25.09 Buddo-Kitemu'!K31,'27.09 Buddo-Kitemu'!K31,'26.09 Buddo-Kitemu-24HRS'!K31,'28.09 Buddo-Kitemu-24h'!K31,'29.09 Buddo-Kitemu'!K31)</f>
        <v>0.14285714285714285</v>
      </c>
      <c r="L31" s="49">
        <f>AVERAGE('23.09.19 -Buddo-Kitemu'!L31,'24.09 Buddo-Kitemu'!L31,'25.09 Buddo-Kitemu'!L31,'27.09 Buddo-Kitemu'!L31,'26.09 Buddo-Kitemu-24HRS'!L31,'28.09 Buddo-Kitemu-24h'!L31,'29.09 Buddo-Kitemu'!L31)</f>
        <v>0</v>
      </c>
      <c r="M31" s="49">
        <f>AVERAGE('23.09.19 -Buddo-Kitemu'!M31,'24.09 Buddo-Kitemu'!M31,'25.09 Buddo-Kitemu'!M31,'27.09 Buddo-Kitemu'!M31,'26.09 Buddo-Kitemu-24HRS'!M31,'28.09 Buddo-Kitemu-24h'!M31,'29.09 Buddo-Kitemu'!M31)</f>
        <v>30</v>
      </c>
      <c r="N31" s="49">
        <f>AVERAGE('23.09.19 -Buddo-Kitemu'!N31,'24.09 Buddo-Kitemu'!N31,'25.09 Buddo-Kitemu'!N31,'27.09 Buddo-Kitemu'!N31,'26.09 Buddo-Kitemu-24HRS'!N31,'28.09 Buddo-Kitemu-24h'!N31,'29.09 Buddo-Kitemu'!N31)</f>
        <v>0</v>
      </c>
      <c r="O31" s="15">
        <f t="shared" si="0"/>
        <v>5.7142857142857144</v>
      </c>
      <c r="P31" s="15">
        <f t="shared" si="1"/>
        <v>35.714285714285715</v>
      </c>
      <c r="R31" s="1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0.5</v>
      </c>
      <c r="W31" s="34">
        <f t="shared" si="23"/>
        <v>1</v>
      </c>
      <c r="X31" s="34">
        <f t="shared" si="23"/>
        <v>0</v>
      </c>
      <c r="Y31" s="34">
        <f t="shared" si="23"/>
        <v>0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6.5</v>
      </c>
      <c r="AD31" s="34">
        <f t="shared" si="23"/>
        <v>0</v>
      </c>
      <c r="AE31" s="31">
        <f t="shared" si="23"/>
        <v>5</v>
      </c>
      <c r="AF31" s="31">
        <f t="shared" si="23"/>
        <v>11.5</v>
      </c>
    </row>
    <row r="32" spans="2:32" ht="23.1" customHeight="1" x14ac:dyDescent="0.25">
      <c r="B32" s="24" t="s">
        <v>59</v>
      </c>
      <c r="C32" s="49">
        <f>AVERAGE('23.09.19 -Buddo-Kitemu'!C32,'24.09 Buddo-Kitemu'!C32,'25.09 Buddo-Kitemu'!C32,'27.09 Buddo-Kitemu'!C32,'26.09 Buddo-Kitemu-24HRS'!C32,'28.09 Buddo-Kitemu-24h'!C32,'29.09 Buddo-Kitemu'!C32)</f>
        <v>2.8571428571428572</v>
      </c>
      <c r="D32" s="49">
        <f>AVERAGE('23.09.19 -Buddo-Kitemu'!D32,'24.09 Buddo-Kitemu'!D32,'25.09 Buddo-Kitemu'!D32,'27.09 Buddo-Kitemu'!D32,'26.09 Buddo-Kitemu-24HRS'!D32,'28.09 Buddo-Kitemu-24h'!D32,'29.09 Buddo-Kitemu'!D32)</f>
        <v>0.14285714285714285</v>
      </c>
      <c r="E32" s="49">
        <f>AVERAGE('23.09.19 -Buddo-Kitemu'!E32,'24.09 Buddo-Kitemu'!E32,'25.09 Buddo-Kitemu'!E32,'27.09 Buddo-Kitemu'!E32,'26.09 Buddo-Kitemu-24HRS'!E32,'28.09 Buddo-Kitemu-24h'!E32,'29.09 Buddo-Kitemu'!E32)</f>
        <v>0.42857142857142855</v>
      </c>
      <c r="F32" s="49">
        <f>AVERAGE('23.09.19 -Buddo-Kitemu'!F32,'24.09 Buddo-Kitemu'!F32,'25.09 Buddo-Kitemu'!F32,'27.09 Buddo-Kitemu'!F32,'26.09 Buddo-Kitemu-24HRS'!F32,'28.09 Buddo-Kitemu-24h'!F32,'29.09 Buddo-Kitemu'!F32)</f>
        <v>0.8571428571428571</v>
      </c>
      <c r="G32" s="49">
        <f>AVERAGE('23.09.19 -Buddo-Kitemu'!G32,'24.09 Buddo-Kitemu'!G32,'25.09 Buddo-Kitemu'!G32,'27.09 Buddo-Kitemu'!G32,'26.09 Buddo-Kitemu-24HRS'!G32,'28.09 Buddo-Kitemu-24h'!G32,'29.09 Buddo-Kitemu'!G32)</f>
        <v>0</v>
      </c>
      <c r="H32" s="49">
        <f>AVERAGE('23.09.19 -Buddo-Kitemu'!H32,'24.09 Buddo-Kitemu'!H32,'25.09 Buddo-Kitemu'!H32,'27.09 Buddo-Kitemu'!H32,'26.09 Buddo-Kitemu-24HRS'!H32,'28.09 Buddo-Kitemu-24h'!H32,'29.09 Buddo-Kitemu'!H32)</f>
        <v>0</v>
      </c>
      <c r="I32" s="49">
        <f>AVERAGE('23.09.19 -Buddo-Kitemu'!I32,'24.09 Buddo-Kitemu'!I32,'25.09 Buddo-Kitemu'!I32,'27.09 Buddo-Kitemu'!I32,'26.09 Buddo-Kitemu-24HRS'!I32,'28.09 Buddo-Kitemu-24h'!I32,'29.09 Buddo-Kitemu'!I32)</f>
        <v>1.8571428571428572</v>
      </c>
      <c r="J32" s="49">
        <f>AVERAGE('23.09.19 -Buddo-Kitemu'!J32,'24.09 Buddo-Kitemu'!J32,'25.09 Buddo-Kitemu'!J32,'27.09 Buddo-Kitemu'!J32,'26.09 Buddo-Kitemu-24HRS'!J32,'28.09 Buddo-Kitemu-24h'!J32,'29.09 Buddo-Kitemu'!J32)</f>
        <v>0.8571428571428571</v>
      </c>
      <c r="K32" s="49">
        <f>AVERAGE('23.09.19 -Buddo-Kitemu'!K32,'24.09 Buddo-Kitemu'!K32,'25.09 Buddo-Kitemu'!K32,'27.09 Buddo-Kitemu'!K32,'26.09 Buddo-Kitemu-24HRS'!K32,'28.09 Buddo-Kitemu-24h'!K32,'29.09 Buddo-Kitemu'!K32)</f>
        <v>0.2857142857142857</v>
      </c>
      <c r="L32" s="49">
        <f>AVERAGE('23.09.19 -Buddo-Kitemu'!L32,'24.09 Buddo-Kitemu'!L32,'25.09 Buddo-Kitemu'!L32,'27.09 Buddo-Kitemu'!L32,'26.09 Buddo-Kitemu-24HRS'!L32,'28.09 Buddo-Kitemu-24h'!L32,'29.09 Buddo-Kitemu'!L32)</f>
        <v>0</v>
      </c>
      <c r="M32" s="49">
        <f>AVERAGE('23.09.19 -Buddo-Kitemu'!M32,'24.09 Buddo-Kitemu'!M32,'25.09 Buddo-Kitemu'!M32,'27.09 Buddo-Kitemu'!M32,'26.09 Buddo-Kitemu-24HRS'!M32,'28.09 Buddo-Kitemu-24h'!M32,'29.09 Buddo-Kitemu'!M32)</f>
        <v>35</v>
      </c>
      <c r="N32" s="49">
        <f>AVERAGE('23.09.19 -Buddo-Kitemu'!N32,'24.09 Buddo-Kitemu'!N32,'25.09 Buddo-Kitemu'!N32,'27.09 Buddo-Kitemu'!N32,'26.09 Buddo-Kitemu-24HRS'!N32,'28.09 Buddo-Kitemu-24h'!N32,'29.09 Buddo-Kitemu'!N32)</f>
        <v>0</v>
      </c>
      <c r="O32" s="15">
        <f t="shared" si="0"/>
        <v>7.2857142857142847</v>
      </c>
      <c r="P32" s="15">
        <f t="shared" si="1"/>
        <v>42.285714285714285</v>
      </c>
      <c r="R32" s="1" t="s">
        <v>156</v>
      </c>
      <c r="S32" s="34">
        <f>SUM(C98:C101)</f>
        <v>3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9.5</v>
      </c>
      <c r="W32" s="34">
        <f t="shared" si="24"/>
        <v>3.5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15.5</v>
      </c>
      <c r="AD32" s="34">
        <f t="shared" si="24"/>
        <v>0</v>
      </c>
      <c r="AE32" s="31">
        <f t="shared" si="24"/>
        <v>18</v>
      </c>
      <c r="AF32" s="31">
        <f t="shared" si="24"/>
        <v>33.5</v>
      </c>
    </row>
    <row r="33" spans="2:32" ht="23.1" customHeight="1" x14ac:dyDescent="0.25">
      <c r="B33" s="23" t="s">
        <v>60</v>
      </c>
      <c r="C33" s="49">
        <f>AVERAGE('23.09.19 -Buddo-Kitemu'!C33,'24.09 Buddo-Kitemu'!C33,'25.09 Buddo-Kitemu'!C33,'27.09 Buddo-Kitemu'!C33,'26.09 Buddo-Kitemu-24HRS'!C33,'28.09 Buddo-Kitemu-24h'!C33,'29.09 Buddo-Kitemu'!C33)</f>
        <v>4.1428571428571432</v>
      </c>
      <c r="D33" s="49">
        <f>AVERAGE('23.09.19 -Buddo-Kitemu'!D33,'24.09 Buddo-Kitemu'!D33,'25.09 Buddo-Kitemu'!D33,'27.09 Buddo-Kitemu'!D33,'26.09 Buddo-Kitemu-24HRS'!D33,'28.09 Buddo-Kitemu-24h'!D33,'29.09 Buddo-Kitemu'!D33)</f>
        <v>0.2857142857142857</v>
      </c>
      <c r="E33" s="49">
        <f>AVERAGE('23.09.19 -Buddo-Kitemu'!E33,'24.09 Buddo-Kitemu'!E33,'25.09 Buddo-Kitemu'!E33,'27.09 Buddo-Kitemu'!E33,'26.09 Buddo-Kitemu-24HRS'!E33,'28.09 Buddo-Kitemu-24h'!E33,'29.09 Buddo-Kitemu'!E33)</f>
        <v>0.7142857142857143</v>
      </c>
      <c r="F33" s="49">
        <f>AVERAGE('23.09.19 -Buddo-Kitemu'!F33,'24.09 Buddo-Kitemu'!F33,'25.09 Buddo-Kitemu'!F33,'27.09 Buddo-Kitemu'!F33,'26.09 Buddo-Kitemu-24HRS'!F33,'28.09 Buddo-Kitemu-24h'!F33,'29.09 Buddo-Kitemu'!F33)</f>
        <v>0.5714285714285714</v>
      </c>
      <c r="G33" s="49">
        <f>AVERAGE('23.09.19 -Buddo-Kitemu'!G33,'24.09 Buddo-Kitemu'!G33,'25.09 Buddo-Kitemu'!G33,'27.09 Buddo-Kitemu'!G33,'26.09 Buddo-Kitemu-24HRS'!G33,'28.09 Buddo-Kitemu-24h'!G33,'29.09 Buddo-Kitemu'!G33)</f>
        <v>0.14285714285714285</v>
      </c>
      <c r="H33" s="49">
        <f>AVERAGE('23.09.19 -Buddo-Kitemu'!H33,'24.09 Buddo-Kitemu'!H33,'25.09 Buddo-Kitemu'!H33,'27.09 Buddo-Kitemu'!H33,'26.09 Buddo-Kitemu-24HRS'!H33,'28.09 Buddo-Kitemu-24h'!H33,'29.09 Buddo-Kitemu'!H33)</f>
        <v>0</v>
      </c>
      <c r="I33" s="49">
        <f>AVERAGE('23.09.19 -Buddo-Kitemu'!I33,'24.09 Buddo-Kitemu'!I33,'25.09 Buddo-Kitemu'!I33,'27.09 Buddo-Kitemu'!I33,'26.09 Buddo-Kitemu-24HRS'!I33,'28.09 Buddo-Kitemu-24h'!I33,'29.09 Buddo-Kitemu'!I33)</f>
        <v>1.5714285714285714</v>
      </c>
      <c r="J33" s="49">
        <f>AVERAGE('23.09.19 -Buddo-Kitemu'!J33,'24.09 Buddo-Kitemu'!J33,'25.09 Buddo-Kitemu'!J33,'27.09 Buddo-Kitemu'!J33,'26.09 Buddo-Kitemu-24HRS'!J33,'28.09 Buddo-Kitemu-24h'!J33,'29.09 Buddo-Kitemu'!J33)</f>
        <v>0.5714285714285714</v>
      </c>
      <c r="K33" s="49">
        <f>AVERAGE('23.09.19 -Buddo-Kitemu'!K33,'24.09 Buddo-Kitemu'!K33,'25.09 Buddo-Kitemu'!K33,'27.09 Buddo-Kitemu'!K33,'26.09 Buddo-Kitemu-24HRS'!K33,'28.09 Buddo-Kitemu-24h'!K33,'29.09 Buddo-Kitemu'!K33)</f>
        <v>0</v>
      </c>
      <c r="L33" s="49">
        <f>AVERAGE('23.09.19 -Buddo-Kitemu'!L33,'24.09 Buddo-Kitemu'!L33,'25.09 Buddo-Kitemu'!L33,'27.09 Buddo-Kitemu'!L33,'26.09 Buddo-Kitemu-24HRS'!L33,'28.09 Buddo-Kitemu-24h'!L33,'29.09 Buddo-Kitemu'!L33)</f>
        <v>0</v>
      </c>
      <c r="M33" s="49">
        <f>AVERAGE('23.09.19 -Buddo-Kitemu'!M33,'24.09 Buddo-Kitemu'!M33,'25.09 Buddo-Kitemu'!M33,'27.09 Buddo-Kitemu'!M33,'26.09 Buddo-Kitemu-24HRS'!M33,'28.09 Buddo-Kitemu-24h'!M33,'29.09 Buddo-Kitemu'!M33)</f>
        <v>28.714285714285715</v>
      </c>
      <c r="N33" s="49">
        <f>AVERAGE('23.09.19 -Buddo-Kitemu'!N33,'24.09 Buddo-Kitemu'!N33,'25.09 Buddo-Kitemu'!N33,'27.09 Buddo-Kitemu'!N33,'26.09 Buddo-Kitemu-24HRS'!N33,'28.09 Buddo-Kitemu-24h'!N33,'29.09 Buddo-Kitemu'!N33)</f>
        <v>0</v>
      </c>
      <c r="O33" s="15">
        <f t="shared" si="0"/>
        <v>8</v>
      </c>
      <c r="P33" s="15">
        <f t="shared" si="1"/>
        <v>36.714285714285715</v>
      </c>
      <c r="R33" s="1" t="s">
        <v>157</v>
      </c>
      <c r="S33" s="34">
        <f>SUM(C102:C105)</f>
        <v>11</v>
      </c>
      <c r="T33" s="34">
        <f t="shared" ref="T33:AF33" si="25">SUM(D102:D105)</f>
        <v>0.5</v>
      </c>
      <c r="U33" s="34">
        <f t="shared" si="25"/>
        <v>0.5</v>
      </c>
      <c r="V33" s="34">
        <f t="shared" si="25"/>
        <v>17</v>
      </c>
      <c r="W33" s="34">
        <f t="shared" si="25"/>
        <v>1.5</v>
      </c>
      <c r="X33" s="34">
        <f t="shared" si="25"/>
        <v>0</v>
      </c>
      <c r="Y33" s="34">
        <f t="shared" si="25"/>
        <v>2</v>
      </c>
      <c r="Z33" s="34">
        <f t="shared" si="25"/>
        <v>1.5</v>
      </c>
      <c r="AA33" s="34">
        <f t="shared" si="25"/>
        <v>0</v>
      </c>
      <c r="AB33" s="34">
        <f t="shared" si="25"/>
        <v>0</v>
      </c>
      <c r="AC33" s="34">
        <f t="shared" si="25"/>
        <v>56.5</v>
      </c>
      <c r="AD33" s="34">
        <f t="shared" si="25"/>
        <v>0</v>
      </c>
      <c r="AE33" s="31">
        <f t="shared" si="25"/>
        <v>34</v>
      </c>
      <c r="AF33" s="31">
        <f t="shared" si="25"/>
        <v>90.5</v>
      </c>
    </row>
    <row r="34" spans="2:32" ht="23.1" customHeight="1" x14ac:dyDescent="0.25">
      <c r="B34" s="24" t="s">
        <v>61</v>
      </c>
      <c r="C34" s="49">
        <f>AVERAGE('23.09.19 -Buddo-Kitemu'!C34,'24.09 Buddo-Kitemu'!C34,'25.09 Buddo-Kitemu'!C34,'27.09 Buddo-Kitemu'!C34,'26.09 Buddo-Kitemu-24HRS'!C34,'28.09 Buddo-Kitemu-24h'!C34,'29.09 Buddo-Kitemu'!C34)</f>
        <v>3</v>
      </c>
      <c r="D34" s="49">
        <f>AVERAGE('23.09.19 -Buddo-Kitemu'!D34,'24.09 Buddo-Kitemu'!D34,'25.09 Buddo-Kitemu'!D34,'27.09 Buddo-Kitemu'!D34,'26.09 Buddo-Kitemu-24HRS'!D34,'28.09 Buddo-Kitemu-24h'!D34,'29.09 Buddo-Kitemu'!D34)</f>
        <v>0</v>
      </c>
      <c r="E34" s="49">
        <f>AVERAGE('23.09.19 -Buddo-Kitemu'!E34,'24.09 Buddo-Kitemu'!E34,'25.09 Buddo-Kitemu'!E34,'27.09 Buddo-Kitemu'!E34,'26.09 Buddo-Kitemu-24HRS'!E34,'28.09 Buddo-Kitemu-24h'!E34,'29.09 Buddo-Kitemu'!E34)</f>
        <v>1.2857142857142858</v>
      </c>
      <c r="F34" s="49">
        <f>AVERAGE('23.09.19 -Buddo-Kitemu'!F34,'24.09 Buddo-Kitemu'!F34,'25.09 Buddo-Kitemu'!F34,'27.09 Buddo-Kitemu'!F34,'26.09 Buddo-Kitemu-24HRS'!F34,'28.09 Buddo-Kitemu-24h'!F34,'29.09 Buddo-Kitemu'!F34)</f>
        <v>0</v>
      </c>
      <c r="G34" s="49">
        <f>AVERAGE('23.09.19 -Buddo-Kitemu'!G34,'24.09 Buddo-Kitemu'!G34,'25.09 Buddo-Kitemu'!G34,'27.09 Buddo-Kitemu'!G34,'26.09 Buddo-Kitemu-24HRS'!G34,'28.09 Buddo-Kitemu-24h'!G34,'29.09 Buddo-Kitemu'!G34)</f>
        <v>0</v>
      </c>
      <c r="H34" s="49">
        <f>AVERAGE('23.09.19 -Buddo-Kitemu'!H34,'24.09 Buddo-Kitemu'!H34,'25.09 Buddo-Kitemu'!H34,'27.09 Buddo-Kitemu'!H34,'26.09 Buddo-Kitemu-24HRS'!H34,'28.09 Buddo-Kitemu-24h'!H34,'29.09 Buddo-Kitemu'!H34)</f>
        <v>0</v>
      </c>
      <c r="I34" s="49">
        <f>AVERAGE('23.09.19 -Buddo-Kitemu'!I34,'24.09 Buddo-Kitemu'!I34,'25.09 Buddo-Kitemu'!I34,'27.09 Buddo-Kitemu'!I34,'26.09 Buddo-Kitemu-24HRS'!I34,'28.09 Buddo-Kitemu-24h'!I34,'29.09 Buddo-Kitemu'!I34)</f>
        <v>0.5714285714285714</v>
      </c>
      <c r="J34" s="49">
        <f>AVERAGE('23.09.19 -Buddo-Kitemu'!J34,'24.09 Buddo-Kitemu'!J34,'25.09 Buddo-Kitemu'!J34,'27.09 Buddo-Kitemu'!J34,'26.09 Buddo-Kitemu-24HRS'!J34,'28.09 Buddo-Kitemu-24h'!J34,'29.09 Buddo-Kitemu'!J34)</f>
        <v>0.8571428571428571</v>
      </c>
      <c r="K34" s="49">
        <f>AVERAGE('23.09.19 -Buddo-Kitemu'!K34,'24.09 Buddo-Kitemu'!K34,'25.09 Buddo-Kitemu'!K34,'27.09 Buddo-Kitemu'!K34,'26.09 Buddo-Kitemu-24HRS'!K34,'28.09 Buddo-Kitemu-24h'!K34,'29.09 Buddo-Kitemu'!K34)</f>
        <v>0.14285714285714285</v>
      </c>
      <c r="L34" s="49">
        <f>AVERAGE('23.09.19 -Buddo-Kitemu'!L34,'24.09 Buddo-Kitemu'!L34,'25.09 Buddo-Kitemu'!L34,'27.09 Buddo-Kitemu'!L34,'26.09 Buddo-Kitemu-24HRS'!L34,'28.09 Buddo-Kitemu-24h'!L34,'29.09 Buddo-Kitemu'!L34)</f>
        <v>0</v>
      </c>
      <c r="M34" s="49">
        <f>AVERAGE('23.09.19 -Buddo-Kitemu'!M34,'24.09 Buddo-Kitemu'!M34,'25.09 Buddo-Kitemu'!M34,'27.09 Buddo-Kitemu'!M34,'26.09 Buddo-Kitemu-24HRS'!M34,'28.09 Buddo-Kitemu-24h'!M34,'29.09 Buddo-Kitemu'!M34)</f>
        <v>34</v>
      </c>
      <c r="N34" s="49">
        <f>AVERAGE('23.09.19 -Buddo-Kitemu'!N34,'24.09 Buddo-Kitemu'!N34,'25.09 Buddo-Kitemu'!N34,'27.09 Buddo-Kitemu'!N34,'26.09 Buddo-Kitemu-24HRS'!N34,'28.09 Buddo-Kitemu-24h'!N34,'29.09 Buddo-Kitemu'!N34)</f>
        <v>0.14285714285714285</v>
      </c>
      <c r="O34" s="15">
        <f t="shared" si="0"/>
        <v>6</v>
      </c>
      <c r="P34" s="15">
        <f t="shared" si="1"/>
        <v>40</v>
      </c>
      <c r="R34" s="52" t="s">
        <v>90</v>
      </c>
      <c r="S34" s="53">
        <f t="shared" ref="S34:AF34" si="26">MAX(S10:S12)</f>
        <v>26.285714285714288</v>
      </c>
      <c r="T34" s="53">
        <f t="shared" si="26"/>
        <v>2.714285714285714</v>
      </c>
      <c r="U34" s="53">
        <f t="shared" si="26"/>
        <v>4.2857142857142847</v>
      </c>
      <c r="V34" s="53">
        <f t="shared" si="26"/>
        <v>12.285714285714286</v>
      </c>
      <c r="W34" s="53">
        <f t="shared" si="26"/>
        <v>1.8571428571428572</v>
      </c>
      <c r="X34" s="53">
        <f t="shared" si="26"/>
        <v>0</v>
      </c>
      <c r="Y34" s="53">
        <f t="shared" si="26"/>
        <v>8.8571428571428577</v>
      </c>
      <c r="Z34" s="53">
        <f t="shared" si="26"/>
        <v>1.4285714285714284</v>
      </c>
      <c r="AA34" s="53">
        <f t="shared" si="26"/>
        <v>1</v>
      </c>
      <c r="AB34" s="53">
        <f t="shared" si="26"/>
        <v>0</v>
      </c>
      <c r="AC34" s="53">
        <f t="shared" si="26"/>
        <v>240</v>
      </c>
      <c r="AD34" s="53">
        <f t="shared" si="26"/>
        <v>0</v>
      </c>
      <c r="AE34" s="40">
        <f t="shared" si="26"/>
        <v>47.714285714285715</v>
      </c>
      <c r="AF34" s="40">
        <f t="shared" si="26"/>
        <v>287.71428571428567</v>
      </c>
    </row>
    <row r="35" spans="2:32" ht="23.1" customHeight="1" x14ac:dyDescent="0.25">
      <c r="B35" s="24" t="s">
        <v>62</v>
      </c>
      <c r="C35" s="49">
        <f>AVERAGE('23.09.19 -Buddo-Kitemu'!C35,'24.09 Buddo-Kitemu'!C35,'25.09 Buddo-Kitemu'!C35,'27.09 Buddo-Kitemu'!C35,'26.09 Buddo-Kitemu-24HRS'!C35,'28.09 Buddo-Kitemu-24h'!C35,'29.09 Buddo-Kitemu'!C35)</f>
        <v>3.1428571428571428</v>
      </c>
      <c r="D35" s="49">
        <f>AVERAGE('23.09.19 -Buddo-Kitemu'!D35,'24.09 Buddo-Kitemu'!D35,'25.09 Buddo-Kitemu'!D35,'27.09 Buddo-Kitemu'!D35,'26.09 Buddo-Kitemu-24HRS'!D35,'28.09 Buddo-Kitemu-24h'!D35,'29.09 Buddo-Kitemu'!D35)</f>
        <v>0.2857142857142857</v>
      </c>
      <c r="E35" s="49">
        <f>AVERAGE('23.09.19 -Buddo-Kitemu'!E35,'24.09 Buddo-Kitemu'!E35,'25.09 Buddo-Kitemu'!E35,'27.09 Buddo-Kitemu'!E35,'26.09 Buddo-Kitemu-24HRS'!E35,'28.09 Buddo-Kitemu-24h'!E35,'29.09 Buddo-Kitemu'!E35)</f>
        <v>0.14285714285714285</v>
      </c>
      <c r="F35" s="49">
        <f>AVERAGE('23.09.19 -Buddo-Kitemu'!F35,'24.09 Buddo-Kitemu'!F35,'25.09 Buddo-Kitemu'!F35,'27.09 Buddo-Kitemu'!F35,'26.09 Buddo-Kitemu-24HRS'!F35,'28.09 Buddo-Kitemu-24h'!F35,'29.09 Buddo-Kitemu'!F35)</f>
        <v>0.14285714285714285</v>
      </c>
      <c r="G35" s="49">
        <f>AVERAGE('23.09.19 -Buddo-Kitemu'!G35,'24.09 Buddo-Kitemu'!G35,'25.09 Buddo-Kitemu'!G35,'27.09 Buddo-Kitemu'!G35,'26.09 Buddo-Kitemu-24HRS'!G35,'28.09 Buddo-Kitemu-24h'!G35,'29.09 Buddo-Kitemu'!G35)</f>
        <v>0</v>
      </c>
      <c r="H35" s="49">
        <f>AVERAGE('23.09.19 -Buddo-Kitemu'!H35,'24.09 Buddo-Kitemu'!H35,'25.09 Buddo-Kitemu'!H35,'27.09 Buddo-Kitemu'!H35,'26.09 Buddo-Kitemu-24HRS'!H35,'28.09 Buddo-Kitemu-24h'!H35,'29.09 Buddo-Kitemu'!H35)</f>
        <v>0</v>
      </c>
      <c r="I35" s="49">
        <f>AVERAGE('23.09.19 -Buddo-Kitemu'!I35,'24.09 Buddo-Kitemu'!I35,'25.09 Buddo-Kitemu'!I35,'27.09 Buddo-Kitemu'!I35,'26.09 Buddo-Kitemu-24HRS'!I35,'28.09 Buddo-Kitemu-24h'!I35,'29.09 Buddo-Kitemu'!I35)</f>
        <v>2.7142857142857144</v>
      </c>
      <c r="J35" s="49">
        <f>AVERAGE('23.09.19 -Buddo-Kitemu'!J35,'24.09 Buddo-Kitemu'!J35,'25.09 Buddo-Kitemu'!J35,'27.09 Buddo-Kitemu'!J35,'26.09 Buddo-Kitemu-24HRS'!J35,'28.09 Buddo-Kitemu-24h'!J35,'29.09 Buddo-Kitemu'!J35)</f>
        <v>0.8571428571428571</v>
      </c>
      <c r="K35" s="49">
        <f>AVERAGE('23.09.19 -Buddo-Kitemu'!K35,'24.09 Buddo-Kitemu'!K35,'25.09 Buddo-Kitemu'!K35,'27.09 Buddo-Kitemu'!K35,'26.09 Buddo-Kitemu-24HRS'!K35,'28.09 Buddo-Kitemu-24h'!K35,'29.09 Buddo-Kitemu'!K35)</f>
        <v>0.14285714285714285</v>
      </c>
      <c r="L35" s="49">
        <f>AVERAGE('23.09.19 -Buddo-Kitemu'!L35,'24.09 Buddo-Kitemu'!L35,'25.09 Buddo-Kitemu'!L35,'27.09 Buddo-Kitemu'!L35,'26.09 Buddo-Kitemu-24HRS'!L35,'28.09 Buddo-Kitemu-24h'!L35,'29.09 Buddo-Kitemu'!L35)</f>
        <v>0</v>
      </c>
      <c r="M35" s="49">
        <f>AVERAGE('23.09.19 -Buddo-Kitemu'!M35,'24.09 Buddo-Kitemu'!M35,'25.09 Buddo-Kitemu'!M35,'27.09 Buddo-Kitemu'!M35,'26.09 Buddo-Kitemu-24HRS'!M35,'28.09 Buddo-Kitemu-24h'!M35,'29.09 Buddo-Kitemu'!M35)</f>
        <v>29.142857142857142</v>
      </c>
      <c r="N35" s="49">
        <f>AVERAGE('23.09.19 -Buddo-Kitemu'!N35,'24.09 Buddo-Kitemu'!N35,'25.09 Buddo-Kitemu'!N35,'27.09 Buddo-Kitemu'!N35,'26.09 Buddo-Kitemu-24HRS'!N35,'28.09 Buddo-Kitemu-24h'!N35,'29.09 Buddo-Kitemu'!N35)</f>
        <v>0</v>
      </c>
      <c r="O35" s="15">
        <f t="shared" si="0"/>
        <v>7.4285714285714288</v>
      </c>
      <c r="P35" s="15">
        <f t="shared" si="1"/>
        <v>36.571428571428569</v>
      </c>
      <c r="R35" s="52" t="s">
        <v>91</v>
      </c>
      <c r="S35" s="53">
        <f t="shared" ref="S35:AF35" si="27">MAX(S13:S18)</f>
        <v>18.714285714285715</v>
      </c>
      <c r="T35" s="53">
        <f t="shared" si="27"/>
        <v>2</v>
      </c>
      <c r="U35" s="53">
        <f t="shared" si="27"/>
        <v>2.8571428571428572</v>
      </c>
      <c r="V35" s="53">
        <f t="shared" si="27"/>
        <v>3.5714285714285716</v>
      </c>
      <c r="W35" s="53">
        <f t="shared" si="27"/>
        <v>0.71428571428571419</v>
      </c>
      <c r="X35" s="53">
        <f t="shared" si="27"/>
        <v>0</v>
      </c>
      <c r="Y35" s="53">
        <f t="shared" si="27"/>
        <v>8.8571428571428577</v>
      </c>
      <c r="Z35" s="53">
        <f t="shared" si="27"/>
        <v>3.1428571428571428</v>
      </c>
      <c r="AA35" s="53">
        <f t="shared" si="27"/>
        <v>0.8571428571428571</v>
      </c>
      <c r="AB35" s="53">
        <f t="shared" si="27"/>
        <v>0</v>
      </c>
      <c r="AC35" s="53">
        <f t="shared" si="27"/>
        <v>201.71428571428572</v>
      </c>
      <c r="AD35" s="53">
        <f t="shared" si="27"/>
        <v>8.7142857142857135</v>
      </c>
      <c r="AE35" s="40">
        <f t="shared" si="27"/>
        <v>46</v>
      </c>
      <c r="AF35" s="40">
        <f t="shared" si="27"/>
        <v>247.71428571428572</v>
      </c>
    </row>
    <row r="36" spans="2:32" ht="23.1" customHeight="1" x14ac:dyDescent="0.25">
      <c r="B36" s="24" t="s">
        <v>63</v>
      </c>
      <c r="C36" s="49">
        <f>AVERAGE('23.09.19 -Buddo-Kitemu'!C36,'24.09 Buddo-Kitemu'!C36,'25.09 Buddo-Kitemu'!C36,'27.09 Buddo-Kitemu'!C36,'26.09 Buddo-Kitemu-24HRS'!C36,'28.09 Buddo-Kitemu-24h'!C36,'29.09 Buddo-Kitemu'!C36)</f>
        <v>4.5714285714285712</v>
      </c>
      <c r="D36" s="49">
        <f>AVERAGE('23.09.19 -Buddo-Kitemu'!D36,'24.09 Buddo-Kitemu'!D36,'25.09 Buddo-Kitemu'!D36,'27.09 Buddo-Kitemu'!D36,'26.09 Buddo-Kitemu-24HRS'!D36,'28.09 Buddo-Kitemu-24h'!D36,'29.09 Buddo-Kitemu'!D36)</f>
        <v>0.14285714285714285</v>
      </c>
      <c r="E36" s="49">
        <f>AVERAGE('23.09.19 -Buddo-Kitemu'!E36,'24.09 Buddo-Kitemu'!E36,'25.09 Buddo-Kitemu'!E36,'27.09 Buddo-Kitemu'!E36,'26.09 Buddo-Kitemu-24HRS'!E36,'28.09 Buddo-Kitemu-24h'!E36,'29.09 Buddo-Kitemu'!E36)</f>
        <v>0.2857142857142857</v>
      </c>
      <c r="F36" s="49">
        <f>AVERAGE('23.09.19 -Buddo-Kitemu'!F36,'24.09 Buddo-Kitemu'!F36,'25.09 Buddo-Kitemu'!F36,'27.09 Buddo-Kitemu'!F36,'26.09 Buddo-Kitemu-24HRS'!F36,'28.09 Buddo-Kitemu-24h'!F36,'29.09 Buddo-Kitemu'!F36)</f>
        <v>0.7142857142857143</v>
      </c>
      <c r="G36" s="49">
        <f>AVERAGE('23.09.19 -Buddo-Kitemu'!G36,'24.09 Buddo-Kitemu'!G36,'25.09 Buddo-Kitemu'!G36,'27.09 Buddo-Kitemu'!G36,'26.09 Buddo-Kitemu-24HRS'!G36,'28.09 Buddo-Kitemu-24h'!G36,'29.09 Buddo-Kitemu'!G36)</f>
        <v>0</v>
      </c>
      <c r="H36" s="49">
        <f>AVERAGE('23.09.19 -Buddo-Kitemu'!H36,'24.09 Buddo-Kitemu'!H36,'25.09 Buddo-Kitemu'!H36,'27.09 Buddo-Kitemu'!H36,'26.09 Buddo-Kitemu-24HRS'!H36,'28.09 Buddo-Kitemu-24h'!H36,'29.09 Buddo-Kitemu'!H36)</f>
        <v>0</v>
      </c>
      <c r="I36" s="49">
        <f>AVERAGE('23.09.19 -Buddo-Kitemu'!I36,'24.09 Buddo-Kitemu'!I36,'25.09 Buddo-Kitemu'!I36,'27.09 Buddo-Kitemu'!I36,'26.09 Buddo-Kitemu-24HRS'!I36,'28.09 Buddo-Kitemu-24h'!I36,'29.09 Buddo-Kitemu'!I36)</f>
        <v>1.4285714285714286</v>
      </c>
      <c r="J36" s="49">
        <f>AVERAGE('23.09.19 -Buddo-Kitemu'!J36,'24.09 Buddo-Kitemu'!J36,'25.09 Buddo-Kitemu'!J36,'27.09 Buddo-Kitemu'!J36,'26.09 Buddo-Kitemu-24HRS'!J36,'28.09 Buddo-Kitemu-24h'!J36,'29.09 Buddo-Kitemu'!J36)</f>
        <v>0.42857142857142855</v>
      </c>
      <c r="K36" s="49">
        <f>AVERAGE('23.09.19 -Buddo-Kitemu'!K36,'24.09 Buddo-Kitemu'!K36,'25.09 Buddo-Kitemu'!K36,'27.09 Buddo-Kitemu'!K36,'26.09 Buddo-Kitemu-24HRS'!K36,'28.09 Buddo-Kitemu-24h'!K36,'29.09 Buddo-Kitemu'!K36)</f>
        <v>0.14285714285714285</v>
      </c>
      <c r="L36" s="49">
        <f>AVERAGE('23.09.19 -Buddo-Kitemu'!L36,'24.09 Buddo-Kitemu'!L36,'25.09 Buddo-Kitemu'!L36,'27.09 Buddo-Kitemu'!L36,'26.09 Buddo-Kitemu-24HRS'!L36,'28.09 Buddo-Kitemu-24h'!L36,'29.09 Buddo-Kitemu'!L36)</f>
        <v>0</v>
      </c>
      <c r="M36" s="49">
        <f>AVERAGE('23.09.19 -Buddo-Kitemu'!M36,'24.09 Buddo-Kitemu'!M36,'25.09 Buddo-Kitemu'!M36,'27.09 Buddo-Kitemu'!M36,'26.09 Buddo-Kitemu-24HRS'!M36,'28.09 Buddo-Kitemu-24h'!M36,'29.09 Buddo-Kitemu'!M36)</f>
        <v>29.857142857142858</v>
      </c>
      <c r="N36" s="49">
        <f>AVERAGE('23.09.19 -Buddo-Kitemu'!N36,'24.09 Buddo-Kitemu'!N36,'25.09 Buddo-Kitemu'!N36,'27.09 Buddo-Kitemu'!N36,'26.09 Buddo-Kitemu-24HRS'!N36,'28.09 Buddo-Kitemu-24h'!N36,'29.09 Buddo-Kitemu'!N36)</f>
        <v>0</v>
      </c>
      <c r="O36" s="15">
        <f t="shared" si="0"/>
        <v>7.7142857142857153</v>
      </c>
      <c r="P36" s="15">
        <f t="shared" si="1"/>
        <v>37.571428571428569</v>
      </c>
      <c r="R36" s="52" t="s">
        <v>92</v>
      </c>
      <c r="S36" s="53">
        <f t="shared" ref="S36:AF36" si="28">MAX(S19:S21)</f>
        <v>18.285714285714285</v>
      </c>
      <c r="T36" s="53">
        <f t="shared" si="28"/>
        <v>2.2857142857142856</v>
      </c>
      <c r="U36" s="53">
        <f t="shared" si="28"/>
        <v>2.4285714285714284</v>
      </c>
      <c r="V36" s="53">
        <f t="shared" si="28"/>
        <v>6.8571428571428577</v>
      </c>
      <c r="W36" s="53">
        <f t="shared" si="28"/>
        <v>2.2857142857142856</v>
      </c>
      <c r="X36" s="53">
        <f t="shared" si="28"/>
        <v>0</v>
      </c>
      <c r="Y36" s="53">
        <f t="shared" si="28"/>
        <v>6.7142857142857144</v>
      </c>
      <c r="Z36" s="53">
        <f t="shared" si="28"/>
        <v>2.714285714285714</v>
      </c>
      <c r="AA36" s="53">
        <f t="shared" si="28"/>
        <v>1.1428571428571428</v>
      </c>
      <c r="AB36" s="53">
        <f t="shared" si="28"/>
        <v>0</v>
      </c>
      <c r="AC36" s="53">
        <f t="shared" si="28"/>
        <v>179.14285714285714</v>
      </c>
      <c r="AD36" s="53">
        <f t="shared" si="28"/>
        <v>0</v>
      </c>
      <c r="AE36" s="40">
        <f t="shared" si="28"/>
        <v>38.285714285714285</v>
      </c>
      <c r="AF36" s="40">
        <f t="shared" si="28"/>
        <v>217.42857142857144</v>
      </c>
    </row>
    <row r="37" spans="2:32" ht="23.1" customHeight="1" x14ac:dyDescent="0.25">
      <c r="B37" s="23" t="s">
        <v>64</v>
      </c>
      <c r="C37" s="49">
        <f>AVERAGE('23.09.19 -Buddo-Kitemu'!C37,'24.09 Buddo-Kitemu'!C37,'25.09 Buddo-Kitemu'!C37,'27.09 Buddo-Kitemu'!C37,'26.09 Buddo-Kitemu-24HRS'!C37,'28.09 Buddo-Kitemu-24h'!C37,'29.09 Buddo-Kitemu'!C37)</f>
        <v>3.7142857142857144</v>
      </c>
      <c r="D37" s="49">
        <f>AVERAGE('23.09.19 -Buddo-Kitemu'!D37,'24.09 Buddo-Kitemu'!D37,'25.09 Buddo-Kitemu'!D37,'27.09 Buddo-Kitemu'!D37,'26.09 Buddo-Kitemu-24HRS'!D37,'28.09 Buddo-Kitemu-24h'!D37,'29.09 Buddo-Kitemu'!D37)</f>
        <v>0.14285714285714285</v>
      </c>
      <c r="E37" s="49">
        <f>AVERAGE('23.09.19 -Buddo-Kitemu'!E37,'24.09 Buddo-Kitemu'!E37,'25.09 Buddo-Kitemu'!E37,'27.09 Buddo-Kitemu'!E37,'26.09 Buddo-Kitemu-24HRS'!E37,'28.09 Buddo-Kitemu-24h'!E37,'29.09 Buddo-Kitemu'!E37)</f>
        <v>0.14285714285714285</v>
      </c>
      <c r="F37" s="49">
        <f>AVERAGE('23.09.19 -Buddo-Kitemu'!F37,'24.09 Buddo-Kitemu'!F37,'25.09 Buddo-Kitemu'!F37,'27.09 Buddo-Kitemu'!F37,'26.09 Buddo-Kitemu-24HRS'!F37,'28.09 Buddo-Kitemu-24h'!F37,'29.09 Buddo-Kitemu'!F37)</f>
        <v>0.7142857142857143</v>
      </c>
      <c r="G37" s="49">
        <f>AVERAGE('23.09.19 -Buddo-Kitemu'!G37,'24.09 Buddo-Kitemu'!G37,'25.09 Buddo-Kitemu'!G37,'27.09 Buddo-Kitemu'!G37,'26.09 Buddo-Kitemu-24HRS'!G37,'28.09 Buddo-Kitemu-24h'!G37,'29.09 Buddo-Kitemu'!G37)</f>
        <v>0</v>
      </c>
      <c r="H37" s="49">
        <f>AVERAGE('23.09.19 -Buddo-Kitemu'!H37,'24.09 Buddo-Kitemu'!H37,'25.09 Buddo-Kitemu'!H37,'27.09 Buddo-Kitemu'!H37,'26.09 Buddo-Kitemu-24HRS'!H37,'28.09 Buddo-Kitemu-24h'!H37,'29.09 Buddo-Kitemu'!H37)</f>
        <v>0</v>
      </c>
      <c r="I37" s="49">
        <f>AVERAGE('23.09.19 -Buddo-Kitemu'!I37,'24.09 Buddo-Kitemu'!I37,'25.09 Buddo-Kitemu'!I37,'27.09 Buddo-Kitemu'!I37,'26.09 Buddo-Kitemu-24HRS'!I37,'28.09 Buddo-Kitemu-24h'!I37,'29.09 Buddo-Kitemu'!I37)</f>
        <v>1.2857142857142858</v>
      </c>
      <c r="J37" s="49">
        <f>AVERAGE('23.09.19 -Buddo-Kitemu'!J37,'24.09 Buddo-Kitemu'!J37,'25.09 Buddo-Kitemu'!J37,'27.09 Buddo-Kitemu'!J37,'26.09 Buddo-Kitemu-24HRS'!J37,'28.09 Buddo-Kitemu-24h'!J37,'29.09 Buddo-Kitemu'!J37)</f>
        <v>1</v>
      </c>
      <c r="K37" s="49">
        <f>AVERAGE('23.09.19 -Buddo-Kitemu'!K37,'24.09 Buddo-Kitemu'!K37,'25.09 Buddo-Kitemu'!K37,'27.09 Buddo-Kitemu'!K37,'26.09 Buddo-Kitemu-24HRS'!K37,'28.09 Buddo-Kitemu-24h'!K37,'29.09 Buddo-Kitemu'!K37)</f>
        <v>0.14285714285714285</v>
      </c>
      <c r="L37" s="49">
        <f>AVERAGE('23.09.19 -Buddo-Kitemu'!L37,'24.09 Buddo-Kitemu'!L37,'25.09 Buddo-Kitemu'!L37,'27.09 Buddo-Kitemu'!L37,'26.09 Buddo-Kitemu-24HRS'!L37,'28.09 Buddo-Kitemu-24h'!L37,'29.09 Buddo-Kitemu'!L37)</f>
        <v>0</v>
      </c>
      <c r="M37" s="49">
        <f>AVERAGE('23.09.19 -Buddo-Kitemu'!M37,'24.09 Buddo-Kitemu'!M37,'25.09 Buddo-Kitemu'!M37,'27.09 Buddo-Kitemu'!M37,'26.09 Buddo-Kitemu-24HRS'!M37,'28.09 Buddo-Kitemu-24h'!M37,'29.09 Buddo-Kitemu'!M37)</f>
        <v>30.285714285714285</v>
      </c>
      <c r="N37" s="49">
        <f>AVERAGE('23.09.19 -Buddo-Kitemu'!N37,'24.09 Buddo-Kitemu'!N37,'25.09 Buddo-Kitemu'!N37,'27.09 Buddo-Kitemu'!N37,'26.09 Buddo-Kitemu-24HRS'!N37,'28.09 Buddo-Kitemu-24h'!N37,'29.09 Buddo-Kitemu'!N37)</f>
        <v>0</v>
      </c>
      <c r="O37" s="15">
        <f t="shared" si="0"/>
        <v>7.1428571428571432</v>
      </c>
      <c r="P37" s="15">
        <f t="shared" si="1"/>
        <v>37.428571428571431</v>
      </c>
      <c r="R37" s="37" t="s">
        <v>85</v>
      </c>
      <c r="S37" s="56">
        <f t="shared" ref="S37:AF37" si="29">SUM(S10:S12)</f>
        <v>68.428571428571431</v>
      </c>
      <c r="T37" s="57">
        <f t="shared" si="29"/>
        <v>6.7142857142857135</v>
      </c>
      <c r="U37" s="57">
        <f t="shared" si="29"/>
        <v>9.5714285714285694</v>
      </c>
      <c r="V37" s="57">
        <f t="shared" si="29"/>
        <v>17.857142857142858</v>
      </c>
      <c r="W37" s="57">
        <f t="shared" si="29"/>
        <v>2.5714285714285712</v>
      </c>
      <c r="X37" s="57">
        <f t="shared" si="29"/>
        <v>0</v>
      </c>
      <c r="Y37" s="57">
        <f t="shared" si="29"/>
        <v>21.857142857142858</v>
      </c>
      <c r="Z37" s="57">
        <f t="shared" si="29"/>
        <v>4.1428571428571423</v>
      </c>
      <c r="AA37" s="57">
        <f t="shared" si="29"/>
        <v>1.2857142857142856</v>
      </c>
      <c r="AB37" s="57">
        <f t="shared" si="29"/>
        <v>0</v>
      </c>
      <c r="AC37" s="57">
        <f t="shared" si="29"/>
        <v>657.14285714285711</v>
      </c>
      <c r="AD37" s="57">
        <f t="shared" si="29"/>
        <v>0</v>
      </c>
      <c r="AE37" s="58">
        <f t="shared" si="29"/>
        <v>132.42857142857144</v>
      </c>
      <c r="AF37" s="58">
        <f t="shared" si="29"/>
        <v>789.57142857142844</v>
      </c>
    </row>
    <row r="38" spans="2:32" ht="23.1" customHeight="1" x14ac:dyDescent="0.25">
      <c r="B38" s="24" t="s">
        <v>65</v>
      </c>
      <c r="C38" s="49">
        <f>AVERAGE('23.09.19 -Buddo-Kitemu'!C38,'24.09 Buddo-Kitemu'!C38,'25.09 Buddo-Kitemu'!C38,'27.09 Buddo-Kitemu'!C38,'26.09 Buddo-Kitemu-24HRS'!C38,'28.09 Buddo-Kitemu-24h'!C38,'29.09 Buddo-Kitemu'!C38)</f>
        <v>3.7142857142857144</v>
      </c>
      <c r="D38" s="49">
        <f>AVERAGE('23.09.19 -Buddo-Kitemu'!D38,'24.09 Buddo-Kitemu'!D38,'25.09 Buddo-Kitemu'!D38,'27.09 Buddo-Kitemu'!D38,'26.09 Buddo-Kitemu-24HRS'!D38,'28.09 Buddo-Kitemu-24h'!D38,'29.09 Buddo-Kitemu'!D38)</f>
        <v>0.5714285714285714</v>
      </c>
      <c r="E38" s="49">
        <f>AVERAGE('23.09.19 -Buddo-Kitemu'!E38,'24.09 Buddo-Kitemu'!E38,'25.09 Buddo-Kitemu'!E38,'27.09 Buddo-Kitemu'!E38,'26.09 Buddo-Kitemu-24HRS'!E38,'28.09 Buddo-Kitemu-24h'!E38,'29.09 Buddo-Kitemu'!E38)</f>
        <v>0.42857142857142855</v>
      </c>
      <c r="F38" s="49">
        <f>AVERAGE('23.09.19 -Buddo-Kitemu'!F38,'24.09 Buddo-Kitemu'!F38,'25.09 Buddo-Kitemu'!F38,'27.09 Buddo-Kitemu'!F38,'26.09 Buddo-Kitemu-24HRS'!F38,'28.09 Buddo-Kitemu-24h'!F38,'29.09 Buddo-Kitemu'!F38)</f>
        <v>1</v>
      </c>
      <c r="G38" s="49">
        <f>AVERAGE('23.09.19 -Buddo-Kitemu'!G38,'24.09 Buddo-Kitemu'!G38,'25.09 Buddo-Kitemu'!G38,'27.09 Buddo-Kitemu'!G38,'26.09 Buddo-Kitemu-24HRS'!G38,'28.09 Buddo-Kitemu-24h'!G38,'29.09 Buddo-Kitemu'!G38)</f>
        <v>0</v>
      </c>
      <c r="H38" s="49">
        <f>AVERAGE('23.09.19 -Buddo-Kitemu'!H38,'24.09 Buddo-Kitemu'!H38,'25.09 Buddo-Kitemu'!H38,'27.09 Buddo-Kitemu'!H38,'26.09 Buddo-Kitemu-24HRS'!H38,'28.09 Buddo-Kitemu-24h'!H38,'29.09 Buddo-Kitemu'!H38)</f>
        <v>0</v>
      </c>
      <c r="I38" s="49">
        <f>AVERAGE('23.09.19 -Buddo-Kitemu'!I38,'24.09 Buddo-Kitemu'!I38,'25.09 Buddo-Kitemu'!I38,'27.09 Buddo-Kitemu'!I38,'26.09 Buddo-Kitemu-24HRS'!I38,'28.09 Buddo-Kitemu-24h'!I38,'29.09 Buddo-Kitemu'!I38)</f>
        <v>0.8571428571428571</v>
      </c>
      <c r="J38" s="49">
        <f>AVERAGE('23.09.19 -Buddo-Kitemu'!J38,'24.09 Buddo-Kitemu'!J38,'25.09 Buddo-Kitemu'!J38,'27.09 Buddo-Kitemu'!J38,'26.09 Buddo-Kitemu-24HRS'!J38,'28.09 Buddo-Kitemu-24h'!J38,'29.09 Buddo-Kitemu'!J38)</f>
        <v>0.14285714285714285</v>
      </c>
      <c r="K38" s="49">
        <f>AVERAGE('23.09.19 -Buddo-Kitemu'!K38,'24.09 Buddo-Kitemu'!K38,'25.09 Buddo-Kitemu'!K38,'27.09 Buddo-Kitemu'!K38,'26.09 Buddo-Kitemu-24HRS'!K38,'28.09 Buddo-Kitemu-24h'!K38,'29.09 Buddo-Kitemu'!K38)</f>
        <v>0</v>
      </c>
      <c r="L38" s="49">
        <f>AVERAGE('23.09.19 -Buddo-Kitemu'!L38,'24.09 Buddo-Kitemu'!L38,'25.09 Buddo-Kitemu'!L38,'27.09 Buddo-Kitemu'!L38,'26.09 Buddo-Kitemu-24HRS'!L38,'28.09 Buddo-Kitemu-24h'!L38,'29.09 Buddo-Kitemu'!L38)</f>
        <v>0</v>
      </c>
      <c r="M38" s="49">
        <f>AVERAGE('23.09.19 -Buddo-Kitemu'!M38,'24.09 Buddo-Kitemu'!M38,'25.09 Buddo-Kitemu'!M38,'27.09 Buddo-Kitemu'!M38,'26.09 Buddo-Kitemu-24HRS'!M38,'28.09 Buddo-Kitemu-24h'!M38,'29.09 Buddo-Kitemu'!M38)</f>
        <v>25.428571428571427</v>
      </c>
      <c r="N38" s="49">
        <f>AVERAGE('23.09.19 -Buddo-Kitemu'!N38,'24.09 Buddo-Kitemu'!N38,'25.09 Buddo-Kitemu'!N38,'27.09 Buddo-Kitemu'!N38,'26.09 Buddo-Kitemu-24HRS'!N38,'28.09 Buddo-Kitemu-24h'!N38,'29.09 Buddo-Kitemu'!N38)</f>
        <v>0</v>
      </c>
      <c r="O38" s="15">
        <f t="shared" si="0"/>
        <v>6.7142857142857144</v>
      </c>
      <c r="P38" s="15">
        <f t="shared" si="1"/>
        <v>32.142857142857139</v>
      </c>
      <c r="R38" s="28" t="s">
        <v>86</v>
      </c>
      <c r="S38" s="57">
        <f t="shared" ref="S38:AF38" si="30">SUM(S13:S18)</f>
        <v>87.857142857142861</v>
      </c>
      <c r="T38" s="57">
        <f t="shared" si="30"/>
        <v>8.8571428571428559</v>
      </c>
      <c r="U38" s="57">
        <f t="shared" si="30"/>
        <v>13</v>
      </c>
      <c r="V38" s="57">
        <f t="shared" si="30"/>
        <v>14.285714285714286</v>
      </c>
      <c r="W38" s="57">
        <f t="shared" si="30"/>
        <v>1.1428571428571426</v>
      </c>
      <c r="X38" s="57">
        <f t="shared" si="30"/>
        <v>0</v>
      </c>
      <c r="Y38" s="57">
        <f t="shared" si="30"/>
        <v>37.571428571428569</v>
      </c>
      <c r="Z38" s="57">
        <f t="shared" si="30"/>
        <v>13.285714285714285</v>
      </c>
      <c r="AA38" s="57">
        <f t="shared" si="30"/>
        <v>3.714285714285714</v>
      </c>
      <c r="AB38" s="57">
        <f t="shared" si="30"/>
        <v>0</v>
      </c>
      <c r="AC38" s="57">
        <f t="shared" si="30"/>
        <v>839.57142857142867</v>
      </c>
      <c r="AD38" s="57">
        <f t="shared" si="30"/>
        <v>8.8571428571428559</v>
      </c>
      <c r="AE38" s="58">
        <f t="shared" si="30"/>
        <v>188.57142857142856</v>
      </c>
      <c r="AF38" s="58">
        <f t="shared" si="30"/>
        <v>1028.1428571428573</v>
      </c>
    </row>
    <row r="39" spans="2:32" ht="23.1" customHeight="1" x14ac:dyDescent="0.25">
      <c r="B39" s="24" t="s">
        <v>66</v>
      </c>
      <c r="C39" s="49">
        <f>AVERAGE('23.09.19 -Buddo-Kitemu'!C39,'24.09 Buddo-Kitemu'!C39,'25.09 Buddo-Kitemu'!C39,'27.09 Buddo-Kitemu'!C39,'26.09 Buddo-Kitemu-24HRS'!C39,'28.09 Buddo-Kitemu-24h'!C39,'29.09 Buddo-Kitemu'!C39)</f>
        <v>4.5714285714285712</v>
      </c>
      <c r="D39" s="49">
        <f>AVERAGE('23.09.19 -Buddo-Kitemu'!D39,'24.09 Buddo-Kitemu'!D39,'25.09 Buddo-Kitemu'!D39,'27.09 Buddo-Kitemu'!D39,'26.09 Buddo-Kitemu-24HRS'!D39,'28.09 Buddo-Kitemu-24h'!D39,'29.09 Buddo-Kitemu'!D39)</f>
        <v>0.5714285714285714</v>
      </c>
      <c r="E39" s="49">
        <f>AVERAGE('23.09.19 -Buddo-Kitemu'!E39,'24.09 Buddo-Kitemu'!E39,'25.09 Buddo-Kitemu'!E39,'27.09 Buddo-Kitemu'!E39,'26.09 Buddo-Kitemu-24HRS'!E39,'28.09 Buddo-Kitemu-24h'!E39,'29.09 Buddo-Kitemu'!E39)</f>
        <v>0.5714285714285714</v>
      </c>
      <c r="F39" s="49">
        <f>AVERAGE('23.09.19 -Buddo-Kitemu'!F39,'24.09 Buddo-Kitemu'!F39,'25.09 Buddo-Kitemu'!F39,'27.09 Buddo-Kitemu'!F39,'26.09 Buddo-Kitemu-24HRS'!F39,'28.09 Buddo-Kitemu-24h'!F39,'29.09 Buddo-Kitemu'!F39)</f>
        <v>1.4285714285714286</v>
      </c>
      <c r="G39" s="49">
        <f>AVERAGE('23.09.19 -Buddo-Kitemu'!G39,'24.09 Buddo-Kitemu'!G39,'25.09 Buddo-Kitemu'!G39,'27.09 Buddo-Kitemu'!G39,'26.09 Buddo-Kitemu-24HRS'!G39,'28.09 Buddo-Kitemu-24h'!G39,'29.09 Buddo-Kitemu'!G39)</f>
        <v>0</v>
      </c>
      <c r="H39" s="49">
        <f>AVERAGE('23.09.19 -Buddo-Kitemu'!H39,'24.09 Buddo-Kitemu'!H39,'25.09 Buddo-Kitemu'!H39,'27.09 Buddo-Kitemu'!H39,'26.09 Buddo-Kitemu-24HRS'!H39,'28.09 Buddo-Kitemu-24h'!H39,'29.09 Buddo-Kitemu'!H39)</f>
        <v>0</v>
      </c>
      <c r="I39" s="49">
        <f>AVERAGE('23.09.19 -Buddo-Kitemu'!I39,'24.09 Buddo-Kitemu'!I39,'25.09 Buddo-Kitemu'!I39,'27.09 Buddo-Kitemu'!I39,'26.09 Buddo-Kitemu-24HRS'!I39,'28.09 Buddo-Kitemu-24h'!I39,'29.09 Buddo-Kitemu'!I39)</f>
        <v>0.5714285714285714</v>
      </c>
      <c r="J39" s="49">
        <f>AVERAGE('23.09.19 -Buddo-Kitemu'!J39,'24.09 Buddo-Kitemu'!J39,'25.09 Buddo-Kitemu'!J39,'27.09 Buddo-Kitemu'!J39,'26.09 Buddo-Kitemu-24HRS'!J39,'28.09 Buddo-Kitemu-24h'!J39,'29.09 Buddo-Kitemu'!J39)</f>
        <v>0.2857142857142857</v>
      </c>
      <c r="K39" s="49">
        <f>AVERAGE('23.09.19 -Buddo-Kitemu'!K39,'24.09 Buddo-Kitemu'!K39,'25.09 Buddo-Kitemu'!K39,'27.09 Buddo-Kitemu'!K39,'26.09 Buddo-Kitemu-24HRS'!K39,'28.09 Buddo-Kitemu-24h'!K39,'29.09 Buddo-Kitemu'!K39)</f>
        <v>0.14285714285714285</v>
      </c>
      <c r="L39" s="49">
        <f>AVERAGE('23.09.19 -Buddo-Kitemu'!L39,'24.09 Buddo-Kitemu'!L39,'25.09 Buddo-Kitemu'!L39,'27.09 Buddo-Kitemu'!L39,'26.09 Buddo-Kitemu-24HRS'!L39,'28.09 Buddo-Kitemu-24h'!L39,'29.09 Buddo-Kitemu'!L39)</f>
        <v>0</v>
      </c>
      <c r="M39" s="49">
        <f>AVERAGE('23.09.19 -Buddo-Kitemu'!M39,'24.09 Buddo-Kitemu'!M39,'25.09 Buddo-Kitemu'!M39,'27.09 Buddo-Kitemu'!M39,'26.09 Buddo-Kitemu-24HRS'!M39,'28.09 Buddo-Kitemu-24h'!M39,'29.09 Buddo-Kitemu'!M39)</f>
        <v>25.142857142857142</v>
      </c>
      <c r="N39" s="49">
        <f>AVERAGE('23.09.19 -Buddo-Kitemu'!N39,'24.09 Buddo-Kitemu'!N39,'25.09 Buddo-Kitemu'!N39,'27.09 Buddo-Kitemu'!N39,'26.09 Buddo-Kitemu-24HRS'!N39,'28.09 Buddo-Kitemu-24h'!N39,'29.09 Buddo-Kitemu'!N39)</f>
        <v>0</v>
      </c>
      <c r="O39" s="15">
        <f t="shared" si="0"/>
        <v>8.1428571428571423</v>
      </c>
      <c r="P39" s="15">
        <f t="shared" si="1"/>
        <v>33.285714285714285</v>
      </c>
      <c r="R39" s="29" t="s">
        <v>87</v>
      </c>
      <c r="S39" s="57">
        <f t="shared" ref="S39:AF39" si="31">SUM(S19:S21)</f>
        <v>49</v>
      </c>
      <c r="T39" s="57">
        <f t="shared" si="31"/>
        <v>5.5714285714285712</v>
      </c>
      <c r="U39" s="57">
        <f t="shared" si="31"/>
        <v>5</v>
      </c>
      <c r="V39" s="57">
        <f t="shared" si="31"/>
        <v>14.142857142857144</v>
      </c>
      <c r="W39" s="57">
        <f t="shared" si="31"/>
        <v>4.5714285714285712</v>
      </c>
      <c r="X39" s="57">
        <f t="shared" si="31"/>
        <v>0</v>
      </c>
      <c r="Y39" s="57">
        <f t="shared" si="31"/>
        <v>18.714285714285715</v>
      </c>
      <c r="Z39" s="57">
        <f t="shared" si="31"/>
        <v>6.2857142857142847</v>
      </c>
      <c r="AA39" s="57">
        <f t="shared" si="31"/>
        <v>2.8571428571428568</v>
      </c>
      <c r="AB39" s="57">
        <f t="shared" si="31"/>
        <v>0</v>
      </c>
      <c r="AC39" s="57">
        <f t="shared" si="31"/>
        <v>484.28571428571422</v>
      </c>
      <c r="AD39" s="57">
        <f t="shared" si="31"/>
        <v>0</v>
      </c>
      <c r="AE39" s="58">
        <f t="shared" si="31"/>
        <v>106.14285714285714</v>
      </c>
      <c r="AF39" s="58">
        <f t="shared" si="31"/>
        <v>590.42857142857144</v>
      </c>
    </row>
    <row r="40" spans="2:32" ht="23.1" customHeight="1" x14ac:dyDescent="0.25">
      <c r="B40" s="24" t="s">
        <v>67</v>
      </c>
      <c r="C40" s="49">
        <f>AVERAGE('23.09.19 -Buddo-Kitemu'!C40,'24.09 Buddo-Kitemu'!C40,'25.09 Buddo-Kitemu'!C40,'27.09 Buddo-Kitemu'!C40,'26.09 Buddo-Kitemu-24HRS'!C40,'28.09 Buddo-Kitemu-24h'!C40,'29.09 Buddo-Kitemu'!C40)</f>
        <v>3.8571428571428572</v>
      </c>
      <c r="D40" s="49">
        <f>AVERAGE('23.09.19 -Buddo-Kitemu'!D40,'24.09 Buddo-Kitemu'!D40,'25.09 Buddo-Kitemu'!D40,'27.09 Buddo-Kitemu'!D40,'26.09 Buddo-Kitemu-24HRS'!D40,'28.09 Buddo-Kitemu-24h'!D40,'29.09 Buddo-Kitemu'!D40)</f>
        <v>0.14285714285714285</v>
      </c>
      <c r="E40" s="49">
        <f>AVERAGE('23.09.19 -Buddo-Kitemu'!E40,'24.09 Buddo-Kitemu'!E40,'25.09 Buddo-Kitemu'!E40,'27.09 Buddo-Kitemu'!E40,'26.09 Buddo-Kitemu-24HRS'!E40,'28.09 Buddo-Kitemu-24h'!E40,'29.09 Buddo-Kitemu'!E40)</f>
        <v>0.2857142857142857</v>
      </c>
      <c r="F40" s="49">
        <f>AVERAGE('23.09.19 -Buddo-Kitemu'!F40,'24.09 Buddo-Kitemu'!F40,'25.09 Buddo-Kitemu'!F40,'27.09 Buddo-Kitemu'!F40,'26.09 Buddo-Kitemu-24HRS'!F40,'28.09 Buddo-Kitemu-24h'!F40,'29.09 Buddo-Kitemu'!F40)</f>
        <v>1.1428571428571428</v>
      </c>
      <c r="G40" s="49">
        <f>AVERAGE('23.09.19 -Buddo-Kitemu'!G40,'24.09 Buddo-Kitemu'!G40,'25.09 Buddo-Kitemu'!G40,'27.09 Buddo-Kitemu'!G40,'26.09 Buddo-Kitemu-24HRS'!G40,'28.09 Buddo-Kitemu-24h'!G40,'29.09 Buddo-Kitemu'!G40)</f>
        <v>0.14285714285714285</v>
      </c>
      <c r="H40" s="49">
        <f>AVERAGE('23.09.19 -Buddo-Kitemu'!H40,'24.09 Buddo-Kitemu'!H40,'25.09 Buddo-Kitemu'!H40,'27.09 Buddo-Kitemu'!H40,'26.09 Buddo-Kitemu-24HRS'!H40,'28.09 Buddo-Kitemu-24h'!H40,'29.09 Buddo-Kitemu'!H40)</f>
        <v>0</v>
      </c>
      <c r="I40" s="49">
        <f>AVERAGE('23.09.19 -Buddo-Kitemu'!I40,'24.09 Buddo-Kitemu'!I40,'25.09 Buddo-Kitemu'!I40,'27.09 Buddo-Kitemu'!I40,'26.09 Buddo-Kitemu-24HRS'!I40,'28.09 Buddo-Kitemu-24h'!I40,'29.09 Buddo-Kitemu'!I40)</f>
        <v>0.5714285714285714</v>
      </c>
      <c r="J40" s="49">
        <f>AVERAGE('23.09.19 -Buddo-Kitemu'!J40,'24.09 Buddo-Kitemu'!J40,'25.09 Buddo-Kitemu'!J40,'27.09 Buddo-Kitemu'!J40,'26.09 Buddo-Kitemu-24HRS'!J40,'28.09 Buddo-Kitemu-24h'!J40,'29.09 Buddo-Kitemu'!J40)</f>
        <v>0.42857142857142855</v>
      </c>
      <c r="K40" s="49">
        <f>AVERAGE('23.09.19 -Buddo-Kitemu'!K40,'24.09 Buddo-Kitemu'!K40,'25.09 Buddo-Kitemu'!K40,'27.09 Buddo-Kitemu'!K40,'26.09 Buddo-Kitemu-24HRS'!K40,'28.09 Buddo-Kitemu-24h'!K40,'29.09 Buddo-Kitemu'!K40)</f>
        <v>0.2857142857142857</v>
      </c>
      <c r="L40" s="49">
        <f>AVERAGE('23.09.19 -Buddo-Kitemu'!L40,'24.09 Buddo-Kitemu'!L40,'25.09 Buddo-Kitemu'!L40,'27.09 Buddo-Kitemu'!L40,'26.09 Buddo-Kitemu-24HRS'!L40,'28.09 Buddo-Kitemu-24h'!L40,'29.09 Buddo-Kitemu'!L40)</f>
        <v>0</v>
      </c>
      <c r="M40" s="49">
        <f>AVERAGE('23.09.19 -Buddo-Kitemu'!M40,'24.09 Buddo-Kitemu'!M40,'25.09 Buddo-Kitemu'!M40,'27.09 Buddo-Kitemu'!M40,'26.09 Buddo-Kitemu-24HRS'!M40,'28.09 Buddo-Kitemu-24h'!M40,'29.09 Buddo-Kitemu'!M40)</f>
        <v>23.428571428571427</v>
      </c>
      <c r="N40" s="49">
        <f>AVERAGE('23.09.19 -Buddo-Kitemu'!N40,'24.09 Buddo-Kitemu'!N40,'25.09 Buddo-Kitemu'!N40,'27.09 Buddo-Kitemu'!N40,'26.09 Buddo-Kitemu-24HRS'!N40,'28.09 Buddo-Kitemu-24h'!N40,'29.09 Buddo-Kitemu'!N40)</f>
        <v>0</v>
      </c>
      <c r="O40" s="15">
        <f t="shared" si="0"/>
        <v>6.8571428571428577</v>
      </c>
      <c r="P40" s="15">
        <f t="shared" si="1"/>
        <v>30.285714285714285</v>
      </c>
      <c r="R40" s="5" t="s">
        <v>17</v>
      </c>
      <c r="S40" s="57">
        <f t="shared" ref="S40:AF40" si="32">SUM(S10:S21)</f>
        <v>205.28571428571425</v>
      </c>
      <c r="T40" s="57">
        <f t="shared" si="32"/>
        <v>21.142857142857139</v>
      </c>
      <c r="U40" s="57">
        <f t="shared" si="32"/>
        <v>27.571428571428569</v>
      </c>
      <c r="V40" s="57">
        <f t="shared" si="32"/>
        <v>46.285714285714292</v>
      </c>
      <c r="W40" s="57">
        <f t="shared" si="32"/>
        <v>8.2857142857142847</v>
      </c>
      <c r="X40" s="57">
        <f t="shared" si="32"/>
        <v>0</v>
      </c>
      <c r="Y40" s="57">
        <f t="shared" si="32"/>
        <v>78.142857142857139</v>
      </c>
      <c r="Z40" s="57">
        <f t="shared" si="32"/>
        <v>23.714285714285715</v>
      </c>
      <c r="AA40" s="57">
        <f t="shared" si="32"/>
        <v>7.8571428571428559</v>
      </c>
      <c r="AB40" s="57">
        <f t="shared" si="32"/>
        <v>0</v>
      </c>
      <c r="AC40" s="57">
        <f t="shared" si="32"/>
        <v>1981</v>
      </c>
      <c r="AD40" s="57">
        <f t="shared" si="32"/>
        <v>8.8571428571428559</v>
      </c>
      <c r="AE40" s="58">
        <f t="shared" si="32"/>
        <v>427.14285714285717</v>
      </c>
      <c r="AF40" s="58">
        <f t="shared" si="32"/>
        <v>2408.1428571428573</v>
      </c>
    </row>
    <row r="41" spans="2:32" ht="23.1" customHeight="1" x14ac:dyDescent="0.25">
      <c r="B41" s="23" t="s">
        <v>68</v>
      </c>
      <c r="C41" s="49">
        <f>AVERAGE('23.09.19 -Buddo-Kitemu'!C41,'24.09 Buddo-Kitemu'!C41,'25.09 Buddo-Kitemu'!C41,'27.09 Buddo-Kitemu'!C41,'26.09 Buddo-Kitemu-24HRS'!C41,'28.09 Buddo-Kitemu-24h'!C41,'29.09 Buddo-Kitemu'!C41)</f>
        <v>3</v>
      </c>
      <c r="D41" s="49">
        <f>AVERAGE('23.09.19 -Buddo-Kitemu'!D41,'24.09 Buddo-Kitemu'!D41,'25.09 Buddo-Kitemu'!D41,'27.09 Buddo-Kitemu'!D41,'26.09 Buddo-Kitemu-24HRS'!D41,'28.09 Buddo-Kitemu-24h'!D41,'29.09 Buddo-Kitemu'!D41)</f>
        <v>0.2857142857142857</v>
      </c>
      <c r="E41" s="49">
        <f>AVERAGE('23.09.19 -Buddo-Kitemu'!E41,'24.09 Buddo-Kitemu'!E41,'25.09 Buddo-Kitemu'!E41,'27.09 Buddo-Kitemu'!E41,'26.09 Buddo-Kitemu-24HRS'!E41,'28.09 Buddo-Kitemu-24h'!E41,'29.09 Buddo-Kitemu'!E41)</f>
        <v>0.8571428571428571</v>
      </c>
      <c r="F41" s="49">
        <f>AVERAGE('23.09.19 -Buddo-Kitemu'!F41,'24.09 Buddo-Kitemu'!F41,'25.09 Buddo-Kitemu'!F41,'27.09 Buddo-Kitemu'!F41,'26.09 Buddo-Kitemu-24HRS'!F41,'28.09 Buddo-Kitemu-24h'!F41,'29.09 Buddo-Kitemu'!F41)</f>
        <v>0</v>
      </c>
      <c r="G41" s="49">
        <f>AVERAGE('23.09.19 -Buddo-Kitemu'!G41,'24.09 Buddo-Kitemu'!G41,'25.09 Buddo-Kitemu'!G41,'27.09 Buddo-Kitemu'!G41,'26.09 Buddo-Kitemu-24HRS'!G41,'28.09 Buddo-Kitemu-24h'!G41,'29.09 Buddo-Kitemu'!G41)</f>
        <v>0</v>
      </c>
      <c r="H41" s="49">
        <f>AVERAGE('23.09.19 -Buddo-Kitemu'!H41,'24.09 Buddo-Kitemu'!H41,'25.09 Buddo-Kitemu'!H41,'27.09 Buddo-Kitemu'!H41,'26.09 Buddo-Kitemu-24HRS'!H41,'28.09 Buddo-Kitemu-24h'!H41,'29.09 Buddo-Kitemu'!H41)</f>
        <v>0</v>
      </c>
      <c r="I41" s="49">
        <f>AVERAGE('23.09.19 -Buddo-Kitemu'!I41,'24.09 Buddo-Kitemu'!I41,'25.09 Buddo-Kitemu'!I41,'27.09 Buddo-Kitemu'!I41,'26.09 Buddo-Kitemu-24HRS'!I41,'28.09 Buddo-Kitemu-24h'!I41,'29.09 Buddo-Kitemu'!I41)</f>
        <v>1.7142857142857142</v>
      </c>
      <c r="J41" s="49">
        <f>AVERAGE('23.09.19 -Buddo-Kitemu'!J41,'24.09 Buddo-Kitemu'!J41,'25.09 Buddo-Kitemu'!J41,'27.09 Buddo-Kitemu'!J41,'26.09 Buddo-Kitemu-24HRS'!J41,'28.09 Buddo-Kitemu-24h'!J41,'29.09 Buddo-Kitemu'!J41)</f>
        <v>0.2857142857142857</v>
      </c>
      <c r="K41" s="49">
        <f>AVERAGE('23.09.19 -Buddo-Kitemu'!K41,'24.09 Buddo-Kitemu'!K41,'25.09 Buddo-Kitemu'!K41,'27.09 Buddo-Kitemu'!K41,'26.09 Buddo-Kitemu-24HRS'!K41,'28.09 Buddo-Kitemu-24h'!K41,'29.09 Buddo-Kitemu'!K41)</f>
        <v>0.2857142857142857</v>
      </c>
      <c r="L41" s="49">
        <f>AVERAGE('23.09.19 -Buddo-Kitemu'!L41,'24.09 Buddo-Kitemu'!L41,'25.09 Buddo-Kitemu'!L41,'27.09 Buddo-Kitemu'!L41,'26.09 Buddo-Kitemu-24HRS'!L41,'28.09 Buddo-Kitemu-24h'!L41,'29.09 Buddo-Kitemu'!L41)</f>
        <v>0</v>
      </c>
      <c r="M41" s="49">
        <f>AVERAGE('23.09.19 -Buddo-Kitemu'!M41,'24.09 Buddo-Kitemu'!M41,'25.09 Buddo-Kitemu'!M41,'27.09 Buddo-Kitemu'!M41,'26.09 Buddo-Kitemu-24HRS'!M41,'28.09 Buddo-Kitemu-24h'!M41,'29.09 Buddo-Kitemu'!M41)</f>
        <v>28.142857142857142</v>
      </c>
      <c r="N41" s="49">
        <f>AVERAGE('23.09.19 -Buddo-Kitemu'!N41,'24.09 Buddo-Kitemu'!N41,'25.09 Buddo-Kitemu'!N41,'27.09 Buddo-Kitemu'!N41,'26.09 Buddo-Kitemu-24HRS'!N41,'28.09 Buddo-Kitemu-24h'!N41,'29.09 Buddo-Kitemu'!N41)</f>
        <v>0</v>
      </c>
      <c r="O41" s="15">
        <f t="shared" si="0"/>
        <v>6.4285714285714279</v>
      </c>
      <c r="P41" s="15">
        <f t="shared" si="1"/>
        <v>34.571428571428569</v>
      </c>
      <c r="R41" s="5" t="s">
        <v>178</v>
      </c>
      <c r="S41" s="57">
        <f>SUM(S10:S33)</f>
        <v>274.28571428571422</v>
      </c>
      <c r="T41" s="57">
        <f t="shared" ref="T41:AD41" si="33">SUM(T10:T33)</f>
        <v>27.142857142857139</v>
      </c>
      <c r="U41" s="57">
        <f t="shared" si="33"/>
        <v>31.571428571428569</v>
      </c>
      <c r="V41" s="57">
        <f t="shared" si="33"/>
        <v>89.285714285714292</v>
      </c>
      <c r="W41" s="57">
        <f t="shared" si="33"/>
        <v>15.785714285714285</v>
      </c>
      <c r="X41" s="57">
        <f t="shared" si="33"/>
        <v>0</v>
      </c>
      <c r="Y41" s="57">
        <f t="shared" si="33"/>
        <v>92.642857142857139</v>
      </c>
      <c r="Z41" s="57">
        <f t="shared" si="33"/>
        <v>34.214285714285715</v>
      </c>
      <c r="AA41" s="57">
        <f t="shared" si="33"/>
        <v>10.357142857142856</v>
      </c>
      <c r="AB41" s="57">
        <f t="shared" si="33"/>
        <v>0</v>
      </c>
      <c r="AC41" s="57">
        <f t="shared" si="33"/>
        <v>2760</v>
      </c>
      <c r="AD41" s="57">
        <f t="shared" si="33"/>
        <v>8.8571428571428559</v>
      </c>
      <c r="AE41" s="58">
        <f>SUM(AE10:AE33)</f>
        <v>584.14285714285711</v>
      </c>
      <c r="AF41" s="58">
        <f>SUM(AF10:AF33)</f>
        <v>3344.1428571428573</v>
      </c>
    </row>
    <row r="42" spans="2:32" ht="23.1" customHeight="1" x14ac:dyDescent="0.25">
      <c r="B42" s="24" t="s">
        <v>69</v>
      </c>
      <c r="C42" s="49">
        <f>AVERAGE('23.09.19 -Buddo-Kitemu'!C42,'24.09 Buddo-Kitemu'!C42,'25.09 Buddo-Kitemu'!C42,'27.09 Buddo-Kitemu'!C42,'26.09 Buddo-Kitemu-24HRS'!C42,'28.09 Buddo-Kitemu-24h'!C42,'29.09 Buddo-Kitemu'!C42)</f>
        <v>2.7142857142857144</v>
      </c>
      <c r="D42" s="49">
        <f>AVERAGE('23.09.19 -Buddo-Kitemu'!D42,'24.09 Buddo-Kitemu'!D42,'25.09 Buddo-Kitemu'!D42,'27.09 Buddo-Kitemu'!D42,'26.09 Buddo-Kitemu-24HRS'!D42,'28.09 Buddo-Kitemu-24h'!D42,'29.09 Buddo-Kitemu'!D42)</f>
        <v>0.5714285714285714</v>
      </c>
      <c r="E42" s="49">
        <f>AVERAGE('23.09.19 -Buddo-Kitemu'!E42,'24.09 Buddo-Kitemu'!E42,'25.09 Buddo-Kitemu'!E42,'27.09 Buddo-Kitemu'!E42,'26.09 Buddo-Kitemu-24HRS'!E42,'28.09 Buddo-Kitemu-24h'!E42,'29.09 Buddo-Kitemu'!E42)</f>
        <v>0.14285714285714285</v>
      </c>
      <c r="F42" s="49">
        <f>AVERAGE('23.09.19 -Buddo-Kitemu'!F42,'24.09 Buddo-Kitemu'!F42,'25.09 Buddo-Kitemu'!F42,'27.09 Buddo-Kitemu'!F42,'26.09 Buddo-Kitemu-24HRS'!F42,'28.09 Buddo-Kitemu-24h'!F42,'29.09 Buddo-Kitemu'!F42)</f>
        <v>0.2857142857142857</v>
      </c>
      <c r="G42" s="49">
        <f>AVERAGE('23.09.19 -Buddo-Kitemu'!G42,'24.09 Buddo-Kitemu'!G42,'25.09 Buddo-Kitemu'!G42,'27.09 Buddo-Kitemu'!G42,'26.09 Buddo-Kitemu-24HRS'!G42,'28.09 Buddo-Kitemu-24h'!G42,'29.09 Buddo-Kitemu'!G42)</f>
        <v>0</v>
      </c>
      <c r="H42" s="49">
        <f>AVERAGE('23.09.19 -Buddo-Kitemu'!H42,'24.09 Buddo-Kitemu'!H42,'25.09 Buddo-Kitemu'!H42,'27.09 Buddo-Kitemu'!H42,'26.09 Buddo-Kitemu-24HRS'!H42,'28.09 Buddo-Kitemu-24h'!H42,'29.09 Buddo-Kitemu'!H42)</f>
        <v>0</v>
      </c>
      <c r="I42" s="49">
        <f>AVERAGE('23.09.19 -Buddo-Kitemu'!I42,'24.09 Buddo-Kitemu'!I42,'25.09 Buddo-Kitemu'!I42,'27.09 Buddo-Kitemu'!I42,'26.09 Buddo-Kitemu-24HRS'!I42,'28.09 Buddo-Kitemu-24h'!I42,'29.09 Buddo-Kitemu'!I42)</f>
        <v>1.4285714285714286</v>
      </c>
      <c r="J42" s="49">
        <f>AVERAGE('23.09.19 -Buddo-Kitemu'!J42,'24.09 Buddo-Kitemu'!J42,'25.09 Buddo-Kitemu'!J42,'27.09 Buddo-Kitemu'!J42,'26.09 Buddo-Kitemu-24HRS'!J42,'28.09 Buddo-Kitemu-24h'!J42,'29.09 Buddo-Kitemu'!J42)</f>
        <v>0.7142857142857143</v>
      </c>
      <c r="K42" s="49">
        <f>AVERAGE('23.09.19 -Buddo-Kitemu'!K42,'24.09 Buddo-Kitemu'!K42,'25.09 Buddo-Kitemu'!K42,'27.09 Buddo-Kitemu'!K42,'26.09 Buddo-Kitemu-24HRS'!K42,'28.09 Buddo-Kitemu-24h'!K42,'29.09 Buddo-Kitemu'!K42)</f>
        <v>0</v>
      </c>
      <c r="L42" s="49">
        <f>AVERAGE('23.09.19 -Buddo-Kitemu'!L42,'24.09 Buddo-Kitemu'!L42,'25.09 Buddo-Kitemu'!L42,'27.09 Buddo-Kitemu'!L42,'26.09 Buddo-Kitemu-24HRS'!L42,'28.09 Buddo-Kitemu-24h'!L42,'29.09 Buddo-Kitemu'!L42)</f>
        <v>0</v>
      </c>
      <c r="M42" s="49">
        <f>AVERAGE('23.09.19 -Buddo-Kitemu'!M42,'24.09 Buddo-Kitemu'!M42,'25.09 Buddo-Kitemu'!M42,'27.09 Buddo-Kitemu'!M42,'26.09 Buddo-Kitemu-24HRS'!M42,'28.09 Buddo-Kitemu-24h'!M42,'29.09 Buddo-Kitemu'!M42)</f>
        <v>31.714285714285715</v>
      </c>
      <c r="N42" s="49">
        <f>AVERAGE('23.09.19 -Buddo-Kitemu'!N42,'24.09 Buddo-Kitemu'!N42,'25.09 Buddo-Kitemu'!N42,'27.09 Buddo-Kitemu'!N42,'26.09 Buddo-Kitemu-24HRS'!N42,'28.09 Buddo-Kitemu-24h'!N42,'29.09 Buddo-Kitemu'!N42)</f>
        <v>0</v>
      </c>
      <c r="O42" s="15">
        <f t="shared" si="0"/>
        <v>5.8571428571428568</v>
      </c>
      <c r="P42" s="15">
        <f t="shared" si="1"/>
        <v>37.571428571428569</v>
      </c>
      <c r="R42" s="5" t="s">
        <v>160</v>
      </c>
      <c r="S42" s="48">
        <f>S41/S40</f>
        <v>1.3361169102296451</v>
      </c>
      <c r="T42" s="48">
        <f t="shared" ref="T42:AF42" si="34">T41/T40</f>
        <v>1.2837837837837838</v>
      </c>
      <c r="U42" s="48">
        <f t="shared" si="34"/>
        <v>1.145077720207254</v>
      </c>
      <c r="V42" s="48">
        <f t="shared" si="34"/>
        <v>1.9290123456790123</v>
      </c>
      <c r="W42" s="48">
        <f t="shared" si="34"/>
        <v>1.9051724137931036</v>
      </c>
      <c r="X42" s="48" t="e">
        <f t="shared" si="34"/>
        <v>#DIV/0!</v>
      </c>
      <c r="Y42" s="48">
        <f t="shared" si="34"/>
        <v>1.1855575868372943</v>
      </c>
      <c r="Z42" s="48">
        <f t="shared" si="34"/>
        <v>1.4427710843373494</v>
      </c>
      <c r="AA42" s="48">
        <f t="shared" si="34"/>
        <v>1.3181818181818183</v>
      </c>
      <c r="AB42" s="48" t="e">
        <f t="shared" si="34"/>
        <v>#DIV/0!</v>
      </c>
      <c r="AC42" s="48">
        <f t="shared" si="34"/>
        <v>1.3932357395254922</v>
      </c>
      <c r="AD42" s="48">
        <f t="shared" si="34"/>
        <v>1</v>
      </c>
      <c r="AE42" s="59">
        <f t="shared" si="34"/>
        <v>1.3675585284280936</v>
      </c>
      <c r="AF42" s="59">
        <f t="shared" si="34"/>
        <v>1.3886812600106779</v>
      </c>
    </row>
    <row r="43" spans="2:32" ht="23.1" customHeight="1" x14ac:dyDescent="0.25">
      <c r="B43" s="23" t="s">
        <v>70</v>
      </c>
      <c r="C43" s="49">
        <f>AVERAGE('23.09.19 -Buddo-Kitemu'!C43,'24.09 Buddo-Kitemu'!C43,'25.09 Buddo-Kitemu'!C43,'27.09 Buddo-Kitemu'!C43,'26.09 Buddo-Kitemu-24HRS'!C43,'28.09 Buddo-Kitemu-24h'!C43,'29.09 Buddo-Kitemu'!C43)</f>
        <v>2.2857142857142856</v>
      </c>
      <c r="D43" s="49">
        <f>AVERAGE('23.09.19 -Buddo-Kitemu'!D43,'24.09 Buddo-Kitemu'!D43,'25.09 Buddo-Kitemu'!D43,'27.09 Buddo-Kitemu'!D43,'26.09 Buddo-Kitemu-24HRS'!D43,'28.09 Buddo-Kitemu-24h'!D43,'29.09 Buddo-Kitemu'!D43)</f>
        <v>0.5714285714285714</v>
      </c>
      <c r="E43" s="49">
        <f>AVERAGE('23.09.19 -Buddo-Kitemu'!E43,'24.09 Buddo-Kitemu'!E43,'25.09 Buddo-Kitemu'!E43,'27.09 Buddo-Kitemu'!E43,'26.09 Buddo-Kitemu-24HRS'!E43,'28.09 Buddo-Kitemu-24h'!E43,'29.09 Buddo-Kitemu'!E43)</f>
        <v>0.5714285714285714</v>
      </c>
      <c r="F43" s="49">
        <f>AVERAGE('23.09.19 -Buddo-Kitemu'!F43,'24.09 Buddo-Kitemu'!F43,'25.09 Buddo-Kitemu'!F43,'27.09 Buddo-Kitemu'!F43,'26.09 Buddo-Kitemu-24HRS'!F43,'28.09 Buddo-Kitemu-24h'!F43,'29.09 Buddo-Kitemu'!F43)</f>
        <v>0.2857142857142857</v>
      </c>
      <c r="G43" s="49">
        <f>AVERAGE('23.09.19 -Buddo-Kitemu'!G43,'24.09 Buddo-Kitemu'!G43,'25.09 Buddo-Kitemu'!G43,'27.09 Buddo-Kitemu'!G43,'26.09 Buddo-Kitemu-24HRS'!G43,'28.09 Buddo-Kitemu-24h'!G43,'29.09 Buddo-Kitemu'!G43)</f>
        <v>0</v>
      </c>
      <c r="H43" s="49">
        <f>AVERAGE('23.09.19 -Buddo-Kitemu'!H43,'24.09 Buddo-Kitemu'!H43,'25.09 Buddo-Kitemu'!H43,'27.09 Buddo-Kitemu'!H43,'26.09 Buddo-Kitemu-24HRS'!H43,'28.09 Buddo-Kitemu-24h'!H43,'29.09 Buddo-Kitemu'!H43)</f>
        <v>0</v>
      </c>
      <c r="I43" s="49">
        <f>AVERAGE('23.09.19 -Buddo-Kitemu'!I43,'24.09 Buddo-Kitemu'!I43,'25.09 Buddo-Kitemu'!I43,'27.09 Buddo-Kitemu'!I43,'26.09 Buddo-Kitemu-24HRS'!I43,'28.09 Buddo-Kitemu-24h'!I43,'29.09 Buddo-Kitemu'!I43)</f>
        <v>1.2857142857142858</v>
      </c>
      <c r="J43" s="49">
        <f>AVERAGE('23.09.19 -Buddo-Kitemu'!J43,'24.09 Buddo-Kitemu'!J43,'25.09 Buddo-Kitemu'!J43,'27.09 Buddo-Kitemu'!J43,'26.09 Buddo-Kitemu-24HRS'!J43,'28.09 Buddo-Kitemu-24h'!J43,'29.09 Buddo-Kitemu'!J43)</f>
        <v>0.5714285714285714</v>
      </c>
      <c r="K43" s="49">
        <f>AVERAGE('23.09.19 -Buddo-Kitemu'!K43,'24.09 Buddo-Kitemu'!K43,'25.09 Buddo-Kitemu'!K43,'27.09 Buddo-Kitemu'!K43,'26.09 Buddo-Kitemu-24HRS'!K43,'28.09 Buddo-Kitemu-24h'!K43,'29.09 Buddo-Kitemu'!K43)</f>
        <v>0.2857142857142857</v>
      </c>
      <c r="L43" s="49">
        <f>AVERAGE('23.09.19 -Buddo-Kitemu'!L43,'24.09 Buddo-Kitemu'!L43,'25.09 Buddo-Kitemu'!L43,'27.09 Buddo-Kitemu'!L43,'26.09 Buddo-Kitemu-24HRS'!L43,'28.09 Buddo-Kitemu-24h'!L43,'29.09 Buddo-Kitemu'!L43)</f>
        <v>0</v>
      </c>
      <c r="M43" s="49">
        <f>AVERAGE('23.09.19 -Buddo-Kitemu'!M43,'24.09 Buddo-Kitemu'!M43,'25.09 Buddo-Kitemu'!M43,'27.09 Buddo-Kitemu'!M43,'26.09 Buddo-Kitemu-24HRS'!M43,'28.09 Buddo-Kitemu-24h'!M43,'29.09 Buddo-Kitemu'!M43)</f>
        <v>27.285714285714285</v>
      </c>
      <c r="N43" s="49">
        <f>AVERAGE('23.09.19 -Buddo-Kitemu'!N43,'24.09 Buddo-Kitemu'!N43,'25.09 Buddo-Kitemu'!N43,'27.09 Buddo-Kitemu'!N43,'26.09 Buddo-Kitemu-24HRS'!N43,'28.09 Buddo-Kitemu-24h'!N43,'29.09 Buddo-Kitemu'!N43)</f>
        <v>0</v>
      </c>
      <c r="O43" s="15">
        <f t="shared" si="0"/>
        <v>5.8571428571428559</v>
      </c>
      <c r="P43" s="15">
        <f t="shared" si="1"/>
        <v>33.142857142857139</v>
      </c>
    </row>
    <row r="44" spans="2:32" ht="23.1" customHeight="1" x14ac:dyDescent="0.25">
      <c r="B44" s="25" t="s">
        <v>71</v>
      </c>
      <c r="C44" s="49">
        <f>AVERAGE('23.09.19 -Buddo-Kitemu'!C44,'24.09 Buddo-Kitemu'!C44,'25.09 Buddo-Kitemu'!C44,'27.09 Buddo-Kitemu'!C44,'26.09 Buddo-Kitemu-24HRS'!C44,'28.09 Buddo-Kitemu-24h'!C44,'29.09 Buddo-Kitemu'!C44)</f>
        <v>2.8571428571428572</v>
      </c>
      <c r="D44" s="49">
        <f>AVERAGE('23.09.19 -Buddo-Kitemu'!D44,'24.09 Buddo-Kitemu'!D44,'25.09 Buddo-Kitemu'!D44,'27.09 Buddo-Kitemu'!D44,'26.09 Buddo-Kitemu-24HRS'!D44,'28.09 Buddo-Kitemu-24h'!D44,'29.09 Buddo-Kitemu'!D44)</f>
        <v>0.42857142857142855</v>
      </c>
      <c r="E44" s="49">
        <f>AVERAGE('23.09.19 -Buddo-Kitemu'!E44,'24.09 Buddo-Kitemu'!E44,'25.09 Buddo-Kitemu'!E44,'27.09 Buddo-Kitemu'!E44,'26.09 Buddo-Kitemu-24HRS'!E44,'28.09 Buddo-Kitemu-24h'!E44,'29.09 Buddo-Kitemu'!E44)</f>
        <v>0.8571428571428571</v>
      </c>
      <c r="F44" s="49">
        <f>AVERAGE('23.09.19 -Buddo-Kitemu'!F44,'24.09 Buddo-Kitemu'!F44,'25.09 Buddo-Kitemu'!F44,'27.09 Buddo-Kitemu'!F44,'26.09 Buddo-Kitemu-24HRS'!F44,'28.09 Buddo-Kitemu-24h'!F44,'29.09 Buddo-Kitemu'!F44)</f>
        <v>0.2857142857142857</v>
      </c>
      <c r="G44" s="49">
        <f>AVERAGE('23.09.19 -Buddo-Kitemu'!G44,'24.09 Buddo-Kitemu'!G44,'25.09 Buddo-Kitemu'!G44,'27.09 Buddo-Kitemu'!G44,'26.09 Buddo-Kitemu-24HRS'!G44,'28.09 Buddo-Kitemu-24h'!G44,'29.09 Buddo-Kitemu'!G44)</f>
        <v>0</v>
      </c>
      <c r="H44" s="49">
        <f>AVERAGE('23.09.19 -Buddo-Kitemu'!H44,'24.09 Buddo-Kitemu'!H44,'25.09 Buddo-Kitemu'!H44,'27.09 Buddo-Kitemu'!H44,'26.09 Buddo-Kitemu-24HRS'!H44,'28.09 Buddo-Kitemu-24h'!H44,'29.09 Buddo-Kitemu'!H44)</f>
        <v>0</v>
      </c>
      <c r="I44" s="49">
        <f>AVERAGE('23.09.19 -Buddo-Kitemu'!I44,'24.09 Buddo-Kitemu'!I44,'25.09 Buddo-Kitemu'!I44,'27.09 Buddo-Kitemu'!I44,'26.09 Buddo-Kitemu-24HRS'!I44,'28.09 Buddo-Kitemu-24h'!I44,'29.09 Buddo-Kitemu'!I44)</f>
        <v>1.2857142857142858</v>
      </c>
      <c r="J44" s="49">
        <f>AVERAGE('23.09.19 -Buddo-Kitemu'!J44,'24.09 Buddo-Kitemu'!J44,'25.09 Buddo-Kitemu'!J44,'27.09 Buddo-Kitemu'!J44,'26.09 Buddo-Kitemu-24HRS'!J44,'28.09 Buddo-Kitemu-24h'!J44,'29.09 Buddo-Kitemu'!J44)</f>
        <v>0.42857142857142855</v>
      </c>
      <c r="K44" s="49">
        <f>AVERAGE('23.09.19 -Buddo-Kitemu'!K44,'24.09 Buddo-Kitemu'!K44,'25.09 Buddo-Kitemu'!K44,'27.09 Buddo-Kitemu'!K44,'26.09 Buddo-Kitemu-24HRS'!K44,'28.09 Buddo-Kitemu-24h'!K44,'29.09 Buddo-Kitemu'!K44)</f>
        <v>0.14285714285714285</v>
      </c>
      <c r="L44" s="49">
        <f>AVERAGE('23.09.19 -Buddo-Kitemu'!L44,'24.09 Buddo-Kitemu'!L44,'25.09 Buddo-Kitemu'!L44,'27.09 Buddo-Kitemu'!L44,'26.09 Buddo-Kitemu-24HRS'!L44,'28.09 Buddo-Kitemu-24h'!L44,'29.09 Buddo-Kitemu'!L44)</f>
        <v>0</v>
      </c>
      <c r="M44" s="49">
        <f>AVERAGE('23.09.19 -Buddo-Kitemu'!M44,'24.09 Buddo-Kitemu'!M44,'25.09 Buddo-Kitemu'!M44,'27.09 Buddo-Kitemu'!M44,'26.09 Buddo-Kitemu-24HRS'!M44,'28.09 Buddo-Kitemu-24h'!M44,'29.09 Buddo-Kitemu'!M44)</f>
        <v>29</v>
      </c>
      <c r="N44" s="49">
        <f>AVERAGE('23.09.19 -Buddo-Kitemu'!N44,'24.09 Buddo-Kitemu'!N44,'25.09 Buddo-Kitemu'!N44,'27.09 Buddo-Kitemu'!N44,'26.09 Buddo-Kitemu-24HRS'!N44,'28.09 Buddo-Kitemu-24h'!N44,'29.09 Buddo-Kitemu'!N44)</f>
        <v>0</v>
      </c>
      <c r="O44" s="15">
        <f t="shared" si="0"/>
        <v>6.2857142857142856</v>
      </c>
      <c r="P44" s="15">
        <f t="shared" si="1"/>
        <v>35.285714285714285</v>
      </c>
    </row>
    <row r="45" spans="2:32" ht="23.1" customHeight="1" x14ac:dyDescent="0.25">
      <c r="B45" s="23" t="s">
        <v>72</v>
      </c>
      <c r="C45" s="49">
        <f>AVERAGE('23.09.19 -Buddo-Kitemu'!C45,'24.09 Buddo-Kitemu'!C45,'25.09 Buddo-Kitemu'!C45,'27.09 Buddo-Kitemu'!C45,'26.09 Buddo-Kitemu-24HRS'!C45,'28.09 Buddo-Kitemu-24h'!C45,'29.09 Buddo-Kitemu'!C45)</f>
        <v>2.5714285714285716</v>
      </c>
      <c r="D45" s="49">
        <f>AVERAGE('23.09.19 -Buddo-Kitemu'!D45,'24.09 Buddo-Kitemu'!D45,'25.09 Buddo-Kitemu'!D45,'27.09 Buddo-Kitemu'!D45,'26.09 Buddo-Kitemu-24HRS'!D45,'28.09 Buddo-Kitemu-24h'!D45,'29.09 Buddo-Kitemu'!D45)</f>
        <v>0.14285714285714285</v>
      </c>
      <c r="E45" s="49">
        <f>AVERAGE('23.09.19 -Buddo-Kitemu'!E45,'24.09 Buddo-Kitemu'!E45,'25.09 Buddo-Kitemu'!E45,'27.09 Buddo-Kitemu'!E45,'26.09 Buddo-Kitemu-24HRS'!E45,'28.09 Buddo-Kitemu-24h'!E45,'29.09 Buddo-Kitemu'!E45)</f>
        <v>0.7142857142857143</v>
      </c>
      <c r="F45" s="49">
        <f>AVERAGE('23.09.19 -Buddo-Kitemu'!F45,'24.09 Buddo-Kitemu'!F45,'25.09 Buddo-Kitemu'!F45,'27.09 Buddo-Kitemu'!F45,'26.09 Buddo-Kitemu-24HRS'!F45,'28.09 Buddo-Kitemu-24h'!F45,'29.09 Buddo-Kitemu'!F45)</f>
        <v>0.5714285714285714</v>
      </c>
      <c r="G45" s="49">
        <f>AVERAGE('23.09.19 -Buddo-Kitemu'!G45,'24.09 Buddo-Kitemu'!G45,'25.09 Buddo-Kitemu'!G45,'27.09 Buddo-Kitemu'!G45,'26.09 Buddo-Kitemu-24HRS'!G45,'28.09 Buddo-Kitemu-24h'!G45,'29.09 Buddo-Kitemu'!G45)</f>
        <v>0</v>
      </c>
      <c r="H45" s="49">
        <f>AVERAGE('23.09.19 -Buddo-Kitemu'!H45,'24.09 Buddo-Kitemu'!H45,'25.09 Buddo-Kitemu'!H45,'27.09 Buddo-Kitemu'!H45,'26.09 Buddo-Kitemu-24HRS'!H45,'28.09 Buddo-Kitemu-24h'!H45,'29.09 Buddo-Kitemu'!H45)</f>
        <v>0</v>
      </c>
      <c r="I45" s="49">
        <f>AVERAGE('23.09.19 -Buddo-Kitemu'!I45,'24.09 Buddo-Kitemu'!I45,'25.09 Buddo-Kitemu'!I45,'27.09 Buddo-Kitemu'!I45,'26.09 Buddo-Kitemu-24HRS'!I45,'28.09 Buddo-Kitemu-24h'!I45,'29.09 Buddo-Kitemu'!I45)</f>
        <v>1.2857142857142858</v>
      </c>
      <c r="J45" s="49">
        <f>AVERAGE('23.09.19 -Buddo-Kitemu'!J45,'24.09 Buddo-Kitemu'!J45,'25.09 Buddo-Kitemu'!J45,'27.09 Buddo-Kitemu'!J45,'26.09 Buddo-Kitemu-24HRS'!J45,'28.09 Buddo-Kitemu-24h'!J45,'29.09 Buddo-Kitemu'!J45)</f>
        <v>0.8571428571428571</v>
      </c>
      <c r="K45" s="49">
        <f>AVERAGE('23.09.19 -Buddo-Kitemu'!K45,'24.09 Buddo-Kitemu'!K45,'25.09 Buddo-Kitemu'!K45,'27.09 Buddo-Kitemu'!K45,'26.09 Buddo-Kitemu-24HRS'!K45,'28.09 Buddo-Kitemu-24h'!K45,'29.09 Buddo-Kitemu'!K45)</f>
        <v>0.42857142857142855</v>
      </c>
      <c r="L45" s="49">
        <f>AVERAGE('23.09.19 -Buddo-Kitemu'!L45,'24.09 Buddo-Kitemu'!L45,'25.09 Buddo-Kitemu'!L45,'27.09 Buddo-Kitemu'!L45,'26.09 Buddo-Kitemu-24HRS'!L45,'28.09 Buddo-Kitemu-24h'!L45,'29.09 Buddo-Kitemu'!L45)</f>
        <v>0</v>
      </c>
      <c r="M45" s="49">
        <f>AVERAGE('23.09.19 -Buddo-Kitemu'!M45,'24.09 Buddo-Kitemu'!M45,'25.09 Buddo-Kitemu'!M45,'27.09 Buddo-Kitemu'!M45,'26.09 Buddo-Kitemu-24HRS'!M45,'28.09 Buddo-Kitemu-24h'!M45,'29.09 Buddo-Kitemu'!M45)</f>
        <v>26.857142857142858</v>
      </c>
      <c r="N45" s="49">
        <f>AVERAGE('23.09.19 -Buddo-Kitemu'!N45,'24.09 Buddo-Kitemu'!N45,'25.09 Buddo-Kitemu'!N45,'27.09 Buddo-Kitemu'!N45,'26.09 Buddo-Kitemu-24HRS'!N45,'28.09 Buddo-Kitemu-24h'!N45,'29.09 Buddo-Kitemu'!N45)</f>
        <v>0</v>
      </c>
      <c r="O45" s="15">
        <f t="shared" si="0"/>
        <v>6.5714285714285712</v>
      </c>
      <c r="P45" s="15">
        <f t="shared" si="1"/>
        <v>33.428571428571431</v>
      </c>
    </row>
    <row r="46" spans="2:32" ht="23.1" customHeight="1" x14ac:dyDescent="0.25">
      <c r="B46" s="24" t="s">
        <v>73</v>
      </c>
      <c r="C46" s="49">
        <f>AVERAGE('23.09.19 -Buddo-Kitemu'!C46,'24.09 Buddo-Kitemu'!C46,'25.09 Buddo-Kitemu'!C46,'27.09 Buddo-Kitemu'!C46,'26.09 Buddo-Kitemu-24HRS'!C46,'28.09 Buddo-Kitemu-24h'!C46,'29.09 Buddo-Kitemu'!C46)</f>
        <v>4.1428571428571432</v>
      </c>
      <c r="D46" s="49">
        <f>AVERAGE('23.09.19 -Buddo-Kitemu'!D46,'24.09 Buddo-Kitemu'!D46,'25.09 Buddo-Kitemu'!D46,'27.09 Buddo-Kitemu'!D46,'26.09 Buddo-Kitemu-24HRS'!D46,'28.09 Buddo-Kitemu-24h'!D46,'29.09 Buddo-Kitemu'!D46)</f>
        <v>0.14285714285714285</v>
      </c>
      <c r="E46" s="49">
        <f>AVERAGE('23.09.19 -Buddo-Kitemu'!E46,'24.09 Buddo-Kitemu'!E46,'25.09 Buddo-Kitemu'!E46,'27.09 Buddo-Kitemu'!E46,'26.09 Buddo-Kitemu-24HRS'!E46,'28.09 Buddo-Kitemu-24h'!E46,'29.09 Buddo-Kitemu'!E46)</f>
        <v>0.8571428571428571</v>
      </c>
      <c r="F46" s="49">
        <f>AVERAGE('23.09.19 -Buddo-Kitemu'!F46,'24.09 Buddo-Kitemu'!F46,'25.09 Buddo-Kitemu'!F46,'27.09 Buddo-Kitemu'!F46,'26.09 Buddo-Kitemu-24HRS'!F46,'28.09 Buddo-Kitemu-24h'!F46,'29.09 Buddo-Kitemu'!F46)</f>
        <v>1.1428571428571428</v>
      </c>
      <c r="G46" s="49">
        <f>AVERAGE('23.09.19 -Buddo-Kitemu'!G46,'24.09 Buddo-Kitemu'!G46,'25.09 Buddo-Kitemu'!G46,'27.09 Buddo-Kitemu'!G46,'26.09 Buddo-Kitemu-24HRS'!G46,'28.09 Buddo-Kitemu-24h'!G46,'29.09 Buddo-Kitemu'!G46)</f>
        <v>0.14285714285714285</v>
      </c>
      <c r="H46" s="49">
        <f>AVERAGE('23.09.19 -Buddo-Kitemu'!H46,'24.09 Buddo-Kitemu'!H46,'25.09 Buddo-Kitemu'!H46,'27.09 Buddo-Kitemu'!H46,'26.09 Buddo-Kitemu-24HRS'!H46,'28.09 Buddo-Kitemu-24h'!H46,'29.09 Buddo-Kitemu'!H46)</f>
        <v>0</v>
      </c>
      <c r="I46" s="49">
        <f>AVERAGE('23.09.19 -Buddo-Kitemu'!I46,'24.09 Buddo-Kitemu'!I46,'25.09 Buddo-Kitemu'!I46,'27.09 Buddo-Kitemu'!I46,'26.09 Buddo-Kitemu-24HRS'!I46,'28.09 Buddo-Kitemu-24h'!I46,'29.09 Buddo-Kitemu'!I46)</f>
        <v>2.1428571428571428</v>
      </c>
      <c r="J46" s="49">
        <f>AVERAGE('23.09.19 -Buddo-Kitemu'!J46,'24.09 Buddo-Kitemu'!J46,'25.09 Buddo-Kitemu'!J46,'27.09 Buddo-Kitemu'!J46,'26.09 Buddo-Kitemu-24HRS'!J46,'28.09 Buddo-Kitemu-24h'!J46,'29.09 Buddo-Kitemu'!J46)</f>
        <v>0.2857142857142857</v>
      </c>
      <c r="K46" s="49">
        <f>AVERAGE('23.09.19 -Buddo-Kitemu'!K46,'24.09 Buddo-Kitemu'!K46,'25.09 Buddo-Kitemu'!K46,'27.09 Buddo-Kitemu'!K46,'26.09 Buddo-Kitemu-24HRS'!K46,'28.09 Buddo-Kitemu-24h'!K46,'29.09 Buddo-Kitemu'!K46)</f>
        <v>0.14285714285714285</v>
      </c>
      <c r="L46" s="49">
        <f>AVERAGE('23.09.19 -Buddo-Kitemu'!L46,'24.09 Buddo-Kitemu'!L46,'25.09 Buddo-Kitemu'!L46,'27.09 Buddo-Kitemu'!L46,'26.09 Buddo-Kitemu-24HRS'!L46,'28.09 Buddo-Kitemu-24h'!L46,'29.09 Buddo-Kitemu'!L46)</f>
        <v>0</v>
      </c>
      <c r="M46" s="49">
        <f>AVERAGE('23.09.19 -Buddo-Kitemu'!M46,'24.09 Buddo-Kitemu'!M46,'25.09 Buddo-Kitemu'!M46,'27.09 Buddo-Kitemu'!M46,'26.09 Buddo-Kitemu-24HRS'!M46,'28.09 Buddo-Kitemu-24h'!M46,'29.09 Buddo-Kitemu'!M46)</f>
        <v>34</v>
      </c>
      <c r="N46" s="49">
        <f>AVERAGE('23.09.19 -Buddo-Kitemu'!N46,'24.09 Buddo-Kitemu'!N46,'25.09 Buddo-Kitemu'!N46,'27.09 Buddo-Kitemu'!N46,'26.09 Buddo-Kitemu-24HRS'!N46,'28.09 Buddo-Kitemu-24h'!N46,'29.09 Buddo-Kitemu'!N46)</f>
        <v>0</v>
      </c>
      <c r="O46" s="15">
        <f t="shared" si="0"/>
        <v>9.0000000000000018</v>
      </c>
      <c r="P46" s="15">
        <f t="shared" si="1"/>
        <v>43</v>
      </c>
      <c r="R46" s="8"/>
      <c r="T46"/>
    </row>
    <row r="47" spans="2:32" ht="23.1" customHeight="1" x14ac:dyDescent="0.25">
      <c r="B47" s="24" t="s">
        <v>74</v>
      </c>
      <c r="C47" s="49">
        <f>AVERAGE('23.09.19 -Buddo-Kitemu'!C47,'24.09 Buddo-Kitemu'!C47,'25.09 Buddo-Kitemu'!C47,'27.09 Buddo-Kitemu'!C47,'26.09 Buddo-Kitemu-24HRS'!C47,'28.09 Buddo-Kitemu-24h'!C47,'29.09 Buddo-Kitemu'!C47)</f>
        <v>3.1428571428571428</v>
      </c>
      <c r="D47" s="49">
        <f>AVERAGE('23.09.19 -Buddo-Kitemu'!D47,'24.09 Buddo-Kitemu'!D47,'25.09 Buddo-Kitemu'!D47,'27.09 Buddo-Kitemu'!D47,'26.09 Buddo-Kitemu-24HRS'!D47,'28.09 Buddo-Kitemu-24h'!D47,'29.09 Buddo-Kitemu'!D47)</f>
        <v>0.2857142857142857</v>
      </c>
      <c r="E47" s="49">
        <f>AVERAGE('23.09.19 -Buddo-Kitemu'!E47,'24.09 Buddo-Kitemu'!E47,'25.09 Buddo-Kitemu'!E47,'27.09 Buddo-Kitemu'!E47,'26.09 Buddo-Kitemu-24HRS'!E47,'28.09 Buddo-Kitemu-24h'!E47,'29.09 Buddo-Kitemu'!E47)</f>
        <v>0.2857142857142857</v>
      </c>
      <c r="F47" s="49">
        <f>AVERAGE('23.09.19 -Buddo-Kitemu'!F47,'24.09 Buddo-Kitemu'!F47,'25.09 Buddo-Kitemu'!F47,'27.09 Buddo-Kitemu'!F47,'26.09 Buddo-Kitemu-24HRS'!F47,'28.09 Buddo-Kitemu-24h'!F47,'29.09 Buddo-Kitemu'!F47)</f>
        <v>0.8571428571428571</v>
      </c>
      <c r="G47" s="49">
        <f>AVERAGE('23.09.19 -Buddo-Kitemu'!G47,'24.09 Buddo-Kitemu'!G47,'25.09 Buddo-Kitemu'!G47,'27.09 Buddo-Kitemu'!G47,'26.09 Buddo-Kitemu-24HRS'!G47,'28.09 Buddo-Kitemu-24h'!G47,'29.09 Buddo-Kitemu'!G47)</f>
        <v>0.14285714285714285</v>
      </c>
      <c r="H47" s="49">
        <f>AVERAGE('23.09.19 -Buddo-Kitemu'!H47,'24.09 Buddo-Kitemu'!H47,'25.09 Buddo-Kitemu'!H47,'27.09 Buddo-Kitemu'!H47,'26.09 Buddo-Kitemu-24HRS'!H47,'28.09 Buddo-Kitemu-24h'!H47,'29.09 Buddo-Kitemu'!H47)</f>
        <v>0</v>
      </c>
      <c r="I47" s="49">
        <f>AVERAGE('23.09.19 -Buddo-Kitemu'!I47,'24.09 Buddo-Kitemu'!I47,'25.09 Buddo-Kitemu'!I47,'27.09 Buddo-Kitemu'!I47,'26.09 Buddo-Kitemu-24HRS'!I47,'28.09 Buddo-Kitemu-24h'!I47,'29.09 Buddo-Kitemu'!I47)</f>
        <v>2</v>
      </c>
      <c r="J47" s="49">
        <f>AVERAGE('23.09.19 -Buddo-Kitemu'!J47,'24.09 Buddo-Kitemu'!J47,'25.09 Buddo-Kitemu'!J47,'27.09 Buddo-Kitemu'!J47,'26.09 Buddo-Kitemu-24HRS'!J47,'28.09 Buddo-Kitemu-24h'!J47,'29.09 Buddo-Kitemu'!J47)</f>
        <v>0</v>
      </c>
      <c r="K47" s="49">
        <f>AVERAGE('23.09.19 -Buddo-Kitemu'!K47,'24.09 Buddo-Kitemu'!K47,'25.09 Buddo-Kitemu'!K47,'27.09 Buddo-Kitemu'!K47,'26.09 Buddo-Kitemu-24HRS'!K47,'28.09 Buddo-Kitemu-24h'!K47,'29.09 Buddo-Kitemu'!K47)</f>
        <v>0.2857142857142857</v>
      </c>
      <c r="L47" s="49">
        <f>AVERAGE('23.09.19 -Buddo-Kitemu'!L47,'24.09 Buddo-Kitemu'!L47,'25.09 Buddo-Kitemu'!L47,'27.09 Buddo-Kitemu'!L47,'26.09 Buddo-Kitemu-24HRS'!L47,'28.09 Buddo-Kitemu-24h'!L47,'29.09 Buddo-Kitemu'!L47)</f>
        <v>0</v>
      </c>
      <c r="M47" s="49">
        <f>AVERAGE('23.09.19 -Buddo-Kitemu'!M47,'24.09 Buddo-Kitemu'!M47,'25.09 Buddo-Kitemu'!M47,'27.09 Buddo-Kitemu'!M47,'26.09 Buddo-Kitemu-24HRS'!M47,'28.09 Buddo-Kitemu-24h'!M47,'29.09 Buddo-Kitemu'!M47)</f>
        <v>36.285714285714285</v>
      </c>
      <c r="N47" s="49">
        <f>AVERAGE('23.09.19 -Buddo-Kitemu'!N47,'24.09 Buddo-Kitemu'!N47,'25.09 Buddo-Kitemu'!N47,'27.09 Buddo-Kitemu'!N47,'26.09 Buddo-Kitemu-24HRS'!N47,'28.09 Buddo-Kitemu-24h'!N47,'29.09 Buddo-Kitemu'!N47)</f>
        <v>0</v>
      </c>
      <c r="O47" s="15">
        <f t="shared" si="0"/>
        <v>7</v>
      </c>
      <c r="P47" s="15">
        <f t="shared" si="1"/>
        <v>43.285714285714285</v>
      </c>
      <c r="R47" s="8"/>
      <c r="T47"/>
    </row>
    <row r="48" spans="2:32" ht="23.1" customHeight="1" x14ac:dyDescent="0.25">
      <c r="B48" s="24" t="s">
        <v>75</v>
      </c>
      <c r="C48" s="49">
        <f>AVERAGE('23.09.19 -Buddo-Kitemu'!C48,'24.09 Buddo-Kitemu'!C48,'25.09 Buddo-Kitemu'!C48,'27.09 Buddo-Kitemu'!C48,'26.09 Buddo-Kitemu-24HRS'!C48,'28.09 Buddo-Kitemu-24h'!C48,'29.09 Buddo-Kitemu'!C48)</f>
        <v>3.8571428571428572</v>
      </c>
      <c r="D48" s="49">
        <f>AVERAGE('23.09.19 -Buddo-Kitemu'!D48,'24.09 Buddo-Kitemu'!D48,'25.09 Buddo-Kitemu'!D48,'27.09 Buddo-Kitemu'!D48,'26.09 Buddo-Kitemu-24HRS'!D48,'28.09 Buddo-Kitemu-24h'!D48,'29.09 Buddo-Kitemu'!D48)</f>
        <v>0.42857142857142855</v>
      </c>
      <c r="E48" s="49">
        <f>AVERAGE('23.09.19 -Buddo-Kitemu'!E48,'24.09 Buddo-Kitemu'!E48,'25.09 Buddo-Kitemu'!E48,'27.09 Buddo-Kitemu'!E48,'26.09 Buddo-Kitemu-24HRS'!E48,'28.09 Buddo-Kitemu-24h'!E48,'29.09 Buddo-Kitemu'!E48)</f>
        <v>0.8571428571428571</v>
      </c>
      <c r="F48" s="49">
        <f>AVERAGE('23.09.19 -Buddo-Kitemu'!F48,'24.09 Buddo-Kitemu'!F48,'25.09 Buddo-Kitemu'!F48,'27.09 Buddo-Kitemu'!F48,'26.09 Buddo-Kitemu-24HRS'!F48,'28.09 Buddo-Kitemu-24h'!F48,'29.09 Buddo-Kitemu'!F48)</f>
        <v>0.8571428571428571</v>
      </c>
      <c r="G48" s="49">
        <f>AVERAGE('23.09.19 -Buddo-Kitemu'!G48,'24.09 Buddo-Kitemu'!G48,'25.09 Buddo-Kitemu'!G48,'27.09 Buddo-Kitemu'!G48,'26.09 Buddo-Kitemu-24HRS'!G48,'28.09 Buddo-Kitemu-24h'!G48,'29.09 Buddo-Kitemu'!G48)</f>
        <v>0.5714285714285714</v>
      </c>
      <c r="H48" s="49">
        <f>AVERAGE('23.09.19 -Buddo-Kitemu'!H48,'24.09 Buddo-Kitemu'!H48,'25.09 Buddo-Kitemu'!H48,'27.09 Buddo-Kitemu'!H48,'26.09 Buddo-Kitemu-24HRS'!H48,'28.09 Buddo-Kitemu-24h'!H48,'29.09 Buddo-Kitemu'!H48)</f>
        <v>0</v>
      </c>
      <c r="I48" s="49">
        <f>AVERAGE('23.09.19 -Buddo-Kitemu'!I48,'24.09 Buddo-Kitemu'!I48,'25.09 Buddo-Kitemu'!I48,'27.09 Buddo-Kitemu'!I48,'26.09 Buddo-Kitemu-24HRS'!I48,'28.09 Buddo-Kitemu-24h'!I48,'29.09 Buddo-Kitemu'!I48)</f>
        <v>0.8571428571428571</v>
      </c>
      <c r="J48" s="49">
        <f>AVERAGE('23.09.19 -Buddo-Kitemu'!J48,'24.09 Buddo-Kitemu'!J48,'25.09 Buddo-Kitemu'!J48,'27.09 Buddo-Kitemu'!J48,'26.09 Buddo-Kitemu-24HRS'!J48,'28.09 Buddo-Kitemu-24h'!J48,'29.09 Buddo-Kitemu'!J48)</f>
        <v>0.5714285714285714</v>
      </c>
      <c r="K48" s="49">
        <f>AVERAGE('23.09.19 -Buddo-Kitemu'!K48,'24.09 Buddo-Kitemu'!K48,'25.09 Buddo-Kitemu'!K48,'27.09 Buddo-Kitemu'!K48,'26.09 Buddo-Kitemu-24HRS'!K48,'28.09 Buddo-Kitemu-24h'!K48,'29.09 Buddo-Kitemu'!K48)</f>
        <v>0.42857142857142855</v>
      </c>
      <c r="L48" s="49">
        <f>AVERAGE('23.09.19 -Buddo-Kitemu'!L48,'24.09 Buddo-Kitemu'!L48,'25.09 Buddo-Kitemu'!L48,'27.09 Buddo-Kitemu'!L48,'26.09 Buddo-Kitemu-24HRS'!L48,'28.09 Buddo-Kitemu-24h'!L48,'29.09 Buddo-Kitemu'!L48)</f>
        <v>0</v>
      </c>
      <c r="M48" s="49">
        <f>AVERAGE('23.09.19 -Buddo-Kitemu'!M48,'24.09 Buddo-Kitemu'!M48,'25.09 Buddo-Kitemu'!M48,'27.09 Buddo-Kitemu'!M48,'26.09 Buddo-Kitemu-24HRS'!M48,'28.09 Buddo-Kitemu-24h'!M48,'29.09 Buddo-Kitemu'!M48)</f>
        <v>36.428571428571431</v>
      </c>
      <c r="N48" s="49">
        <f>AVERAGE('23.09.19 -Buddo-Kitemu'!N48,'24.09 Buddo-Kitemu'!N48,'25.09 Buddo-Kitemu'!N48,'27.09 Buddo-Kitemu'!N48,'26.09 Buddo-Kitemu-24HRS'!N48,'28.09 Buddo-Kitemu-24h'!N48,'29.09 Buddo-Kitemu'!N48)</f>
        <v>0</v>
      </c>
      <c r="O48" s="15">
        <f t="shared" si="0"/>
        <v>8.428571428571427</v>
      </c>
      <c r="P48" s="15">
        <f t="shared" si="1"/>
        <v>44.857142857142861</v>
      </c>
      <c r="R48" s="8"/>
      <c r="T48"/>
    </row>
    <row r="49" spans="2:20" ht="23.1" customHeight="1" x14ac:dyDescent="0.25">
      <c r="B49" s="23" t="s">
        <v>76</v>
      </c>
      <c r="C49" s="49">
        <f>AVERAGE('23.09.19 -Buddo-Kitemu'!C49,'24.09 Buddo-Kitemu'!C49,'25.09 Buddo-Kitemu'!C49,'27.09 Buddo-Kitemu'!C49,'26.09 Buddo-Kitemu-24HRS'!C49,'28.09 Buddo-Kitemu-24h'!C49,'29.09 Buddo-Kitemu'!C49)</f>
        <v>3.7142857142857144</v>
      </c>
      <c r="D49" s="49">
        <f>AVERAGE('23.09.19 -Buddo-Kitemu'!D49,'24.09 Buddo-Kitemu'!D49,'25.09 Buddo-Kitemu'!D49,'27.09 Buddo-Kitemu'!D49,'26.09 Buddo-Kitemu-24HRS'!D49,'28.09 Buddo-Kitemu-24h'!D49,'29.09 Buddo-Kitemu'!D49)</f>
        <v>0.42857142857142855</v>
      </c>
      <c r="E49" s="49">
        <f>AVERAGE('23.09.19 -Buddo-Kitemu'!E49,'24.09 Buddo-Kitemu'!E49,'25.09 Buddo-Kitemu'!E49,'27.09 Buddo-Kitemu'!E49,'26.09 Buddo-Kitemu-24HRS'!E49,'28.09 Buddo-Kitemu-24h'!E49,'29.09 Buddo-Kitemu'!E49)</f>
        <v>0.42857142857142855</v>
      </c>
      <c r="F49" s="49">
        <f>AVERAGE('23.09.19 -Buddo-Kitemu'!F49,'24.09 Buddo-Kitemu'!F49,'25.09 Buddo-Kitemu'!F49,'27.09 Buddo-Kitemu'!F49,'26.09 Buddo-Kitemu-24HRS'!F49,'28.09 Buddo-Kitemu-24h'!F49,'29.09 Buddo-Kitemu'!F49)</f>
        <v>0.5714285714285714</v>
      </c>
      <c r="G49" s="49">
        <f>AVERAGE('23.09.19 -Buddo-Kitemu'!G49,'24.09 Buddo-Kitemu'!G49,'25.09 Buddo-Kitemu'!G49,'27.09 Buddo-Kitemu'!G49,'26.09 Buddo-Kitemu-24HRS'!G49,'28.09 Buddo-Kitemu-24h'!G49,'29.09 Buddo-Kitemu'!G49)</f>
        <v>0.14285714285714285</v>
      </c>
      <c r="H49" s="49">
        <f>AVERAGE('23.09.19 -Buddo-Kitemu'!H49,'24.09 Buddo-Kitemu'!H49,'25.09 Buddo-Kitemu'!H49,'27.09 Buddo-Kitemu'!H49,'26.09 Buddo-Kitemu-24HRS'!H49,'28.09 Buddo-Kitemu-24h'!H49,'29.09 Buddo-Kitemu'!H49)</f>
        <v>0</v>
      </c>
      <c r="I49" s="49">
        <f>AVERAGE('23.09.19 -Buddo-Kitemu'!I49,'24.09 Buddo-Kitemu'!I49,'25.09 Buddo-Kitemu'!I49,'27.09 Buddo-Kitemu'!I49,'26.09 Buddo-Kitemu-24HRS'!I49,'28.09 Buddo-Kitemu-24h'!I49,'29.09 Buddo-Kitemu'!I49)</f>
        <v>1</v>
      </c>
      <c r="J49" s="49">
        <f>AVERAGE('23.09.19 -Buddo-Kitemu'!J49,'24.09 Buddo-Kitemu'!J49,'25.09 Buddo-Kitemu'!J49,'27.09 Buddo-Kitemu'!J49,'26.09 Buddo-Kitemu-24HRS'!J49,'28.09 Buddo-Kitemu-24h'!J49,'29.09 Buddo-Kitemu'!J49)</f>
        <v>0.7142857142857143</v>
      </c>
      <c r="K49" s="49">
        <f>AVERAGE('23.09.19 -Buddo-Kitemu'!K49,'24.09 Buddo-Kitemu'!K49,'25.09 Buddo-Kitemu'!K49,'27.09 Buddo-Kitemu'!K49,'26.09 Buddo-Kitemu-24HRS'!K49,'28.09 Buddo-Kitemu-24h'!K49,'29.09 Buddo-Kitemu'!K49)</f>
        <v>0.2857142857142857</v>
      </c>
      <c r="L49" s="49">
        <f>AVERAGE('23.09.19 -Buddo-Kitemu'!L49,'24.09 Buddo-Kitemu'!L49,'25.09 Buddo-Kitemu'!L49,'27.09 Buddo-Kitemu'!L49,'26.09 Buddo-Kitemu-24HRS'!L49,'28.09 Buddo-Kitemu-24h'!L49,'29.09 Buddo-Kitemu'!L49)</f>
        <v>0</v>
      </c>
      <c r="M49" s="49">
        <f>AVERAGE('23.09.19 -Buddo-Kitemu'!M49,'24.09 Buddo-Kitemu'!M49,'25.09 Buddo-Kitemu'!M49,'27.09 Buddo-Kitemu'!M49,'26.09 Buddo-Kitemu-24HRS'!M49,'28.09 Buddo-Kitemu-24h'!M49,'29.09 Buddo-Kitemu'!M49)</f>
        <v>39.285714285714285</v>
      </c>
      <c r="N49" s="49">
        <f>AVERAGE('23.09.19 -Buddo-Kitemu'!N49,'24.09 Buddo-Kitemu'!N49,'25.09 Buddo-Kitemu'!N49,'27.09 Buddo-Kitemu'!N49,'26.09 Buddo-Kitemu-24HRS'!N49,'28.09 Buddo-Kitemu-24h'!N49,'29.09 Buddo-Kitemu'!N49)</f>
        <v>0</v>
      </c>
      <c r="O49" s="15">
        <f t="shared" si="0"/>
        <v>7.2857142857142865</v>
      </c>
      <c r="P49" s="15">
        <f t="shared" si="1"/>
        <v>46.571428571428569</v>
      </c>
      <c r="R49" s="8"/>
      <c r="T49"/>
    </row>
    <row r="50" spans="2:20" ht="23.1" customHeight="1" x14ac:dyDescent="0.25">
      <c r="B50" s="24" t="s">
        <v>77</v>
      </c>
      <c r="C50" s="49">
        <f>AVERAGE('23.09.19 -Buddo-Kitemu'!C50,'24.09 Buddo-Kitemu'!C50,'25.09 Buddo-Kitemu'!C50,'27.09 Buddo-Kitemu'!C50,'26.09 Buddo-Kitemu-24HRS'!C50,'28.09 Buddo-Kitemu-24h'!C50,'29.09 Buddo-Kitemu'!C50)</f>
        <v>2.5714285714285716</v>
      </c>
      <c r="D50" s="49">
        <f>AVERAGE('23.09.19 -Buddo-Kitemu'!D50,'24.09 Buddo-Kitemu'!D50,'25.09 Buddo-Kitemu'!D50,'27.09 Buddo-Kitemu'!D50,'26.09 Buddo-Kitemu-24HRS'!D50,'28.09 Buddo-Kitemu-24h'!D50,'29.09 Buddo-Kitemu'!D50)</f>
        <v>0.5714285714285714</v>
      </c>
      <c r="E50" s="49">
        <f>AVERAGE('23.09.19 -Buddo-Kitemu'!E50,'24.09 Buddo-Kitemu'!E50,'25.09 Buddo-Kitemu'!E50,'27.09 Buddo-Kitemu'!E50,'26.09 Buddo-Kitemu-24HRS'!E50,'28.09 Buddo-Kitemu-24h'!E50,'29.09 Buddo-Kitemu'!E50)</f>
        <v>0.14285714285714285</v>
      </c>
      <c r="F50" s="49">
        <f>AVERAGE('23.09.19 -Buddo-Kitemu'!F50,'24.09 Buddo-Kitemu'!F50,'25.09 Buddo-Kitemu'!F50,'27.09 Buddo-Kitemu'!F50,'26.09 Buddo-Kitemu-24HRS'!F50,'28.09 Buddo-Kitemu-24h'!F50,'29.09 Buddo-Kitemu'!F50)</f>
        <v>0.5714285714285714</v>
      </c>
      <c r="G50" s="49">
        <f>AVERAGE('23.09.19 -Buddo-Kitemu'!G50,'24.09 Buddo-Kitemu'!G50,'25.09 Buddo-Kitemu'!G50,'27.09 Buddo-Kitemu'!G50,'26.09 Buddo-Kitemu-24HRS'!G50,'28.09 Buddo-Kitemu-24h'!G50,'29.09 Buddo-Kitemu'!G50)</f>
        <v>0.8571428571428571</v>
      </c>
      <c r="H50" s="49">
        <f>AVERAGE('23.09.19 -Buddo-Kitemu'!H50,'24.09 Buddo-Kitemu'!H50,'25.09 Buddo-Kitemu'!H50,'27.09 Buddo-Kitemu'!H50,'26.09 Buddo-Kitemu-24HRS'!H50,'28.09 Buddo-Kitemu-24h'!H50,'29.09 Buddo-Kitemu'!H50)</f>
        <v>0</v>
      </c>
      <c r="I50" s="49">
        <f>AVERAGE('23.09.19 -Buddo-Kitemu'!I50,'24.09 Buddo-Kitemu'!I50,'25.09 Buddo-Kitemu'!I50,'27.09 Buddo-Kitemu'!I50,'26.09 Buddo-Kitemu-24HRS'!I50,'28.09 Buddo-Kitemu-24h'!I50,'29.09 Buddo-Kitemu'!I50)</f>
        <v>1.2857142857142858</v>
      </c>
      <c r="J50" s="49">
        <f>AVERAGE('23.09.19 -Buddo-Kitemu'!J50,'24.09 Buddo-Kitemu'!J50,'25.09 Buddo-Kitemu'!J50,'27.09 Buddo-Kitemu'!J50,'26.09 Buddo-Kitemu-24HRS'!J50,'28.09 Buddo-Kitemu-24h'!J50,'29.09 Buddo-Kitemu'!J50)</f>
        <v>0.5714285714285714</v>
      </c>
      <c r="K50" s="49">
        <f>AVERAGE('23.09.19 -Buddo-Kitemu'!K50,'24.09 Buddo-Kitemu'!K50,'25.09 Buddo-Kitemu'!K50,'27.09 Buddo-Kitemu'!K50,'26.09 Buddo-Kitemu-24HRS'!K50,'28.09 Buddo-Kitemu-24h'!K50,'29.09 Buddo-Kitemu'!K50)</f>
        <v>0.2857142857142857</v>
      </c>
      <c r="L50" s="49">
        <f>AVERAGE('23.09.19 -Buddo-Kitemu'!L50,'24.09 Buddo-Kitemu'!L50,'25.09 Buddo-Kitemu'!L50,'27.09 Buddo-Kitemu'!L50,'26.09 Buddo-Kitemu-24HRS'!L50,'28.09 Buddo-Kitemu-24h'!L50,'29.09 Buddo-Kitemu'!L50)</f>
        <v>0</v>
      </c>
      <c r="M50" s="49">
        <f>AVERAGE('23.09.19 -Buddo-Kitemu'!M50,'24.09 Buddo-Kitemu'!M50,'25.09 Buddo-Kitemu'!M50,'27.09 Buddo-Kitemu'!M50,'26.09 Buddo-Kitemu-24HRS'!M50,'28.09 Buddo-Kitemu-24h'!M50,'29.09 Buddo-Kitemu'!M50)</f>
        <v>39</v>
      </c>
      <c r="N50" s="49">
        <f>AVERAGE('23.09.19 -Buddo-Kitemu'!N50,'24.09 Buddo-Kitemu'!N50,'25.09 Buddo-Kitemu'!N50,'27.09 Buddo-Kitemu'!N50,'26.09 Buddo-Kitemu-24HRS'!N50,'28.09 Buddo-Kitemu-24h'!N50,'29.09 Buddo-Kitemu'!N50)</f>
        <v>0</v>
      </c>
      <c r="O50" s="15">
        <f t="shared" si="0"/>
        <v>6.8571428571428568</v>
      </c>
      <c r="P50" s="15">
        <f t="shared" si="1"/>
        <v>45.857142857142854</v>
      </c>
      <c r="R50" s="8"/>
      <c r="T50"/>
    </row>
    <row r="51" spans="2:20" ht="23.1" customHeight="1" x14ac:dyDescent="0.25">
      <c r="B51" s="24" t="s">
        <v>78</v>
      </c>
      <c r="C51" s="49">
        <f>AVERAGE('23.09.19 -Buddo-Kitemu'!C51,'24.09 Buddo-Kitemu'!C51,'25.09 Buddo-Kitemu'!C51,'27.09 Buddo-Kitemu'!C51,'26.09 Buddo-Kitemu-24HRS'!C51,'28.09 Buddo-Kitemu-24h'!C51,'29.09 Buddo-Kitemu'!C51)</f>
        <v>4.7142857142857144</v>
      </c>
      <c r="D51" s="49">
        <f>AVERAGE('23.09.19 -Buddo-Kitemu'!D51,'24.09 Buddo-Kitemu'!D51,'25.09 Buddo-Kitemu'!D51,'27.09 Buddo-Kitemu'!D51,'26.09 Buddo-Kitemu-24HRS'!D51,'28.09 Buddo-Kitemu-24h'!D51,'29.09 Buddo-Kitemu'!D51)</f>
        <v>0.2857142857142857</v>
      </c>
      <c r="E51" s="49">
        <f>AVERAGE('23.09.19 -Buddo-Kitemu'!E51,'24.09 Buddo-Kitemu'!E51,'25.09 Buddo-Kitemu'!E51,'27.09 Buddo-Kitemu'!E51,'26.09 Buddo-Kitemu-24HRS'!E51,'28.09 Buddo-Kitemu-24h'!E51,'29.09 Buddo-Kitemu'!E51)</f>
        <v>0.42857142857142855</v>
      </c>
      <c r="F51" s="49">
        <f>AVERAGE('23.09.19 -Buddo-Kitemu'!F51,'24.09 Buddo-Kitemu'!F51,'25.09 Buddo-Kitemu'!F51,'27.09 Buddo-Kitemu'!F51,'26.09 Buddo-Kitemu-24HRS'!F51,'28.09 Buddo-Kitemu-24h'!F51,'29.09 Buddo-Kitemu'!F51)</f>
        <v>1.5714285714285714</v>
      </c>
      <c r="G51" s="49">
        <f>AVERAGE('23.09.19 -Buddo-Kitemu'!G51,'24.09 Buddo-Kitemu'!G51,'25.09 Buddo-Kitemu'!G51,'27.09 Buddo-Kitemu'!G51,'26.09 Buddo-Kitemu-24HRS'!G51,'28.09 Buddo-Kitemu-24h'!G51,'29.09 Buddo-Kitemu'!G51)</f>
        <v>0.14285714285714285</v>
      </c>
      <c r="H51" s="49">
        <f>AVERAGE('23.09.19 -Buddo-Kitemu'!H51,'24.09 Buddo-Kitemu'!H51,'25.09 Buddo-Kitemu'!H51,'27.09 Buddo-Kitemu'!H51,'26.09 Buddo-Kitemu-24HRS'!H51,'28.09 Buddo-Kitemu-24h'!H51,'29.09 Buddo-Kitemu'!H51)</f>
        <v>0</v>
      </c>
      <c r="I51" s="49">
        <f>AVERAGE('23.09.19 -Buddo-Kitemu'!I51,'24.09 Buddo-Kitemu'!I51,'25.09 Buddo-Kitemu'!I51,'27.09 Buddo-Kitemu'!I51,'26.09 Buddo-Kitemu-24HRS'!I51,'28.09 Buddo-Kitemu-24h'!I51,'29.09 Buddo-Kitemu'!I51)</f>
        <v>1.7142857142857142</v>
      </c>
      <c r="J51" s="49">
        <f>AVERAGE('23.09.19 -Buddo-Kitemu'!J51,'24.09 Buddo-Kitemu'!J51,'25.09 Buddo-Kitemu'!J51,'27.09 Buddo-Kitemu'!J51,'26.09 Buddo-Kitemu-24HRS'!J51,'28.09 Buddo-Kitemu-24h'!J51,'29.09 Buddo-Kitemu'!J51)</f>
        <v>0.5714285714285714</v>
      </c>
      <c r="K51" s="49">
        <f>AVERAGE('23.09.19 -Buddo-Kitemu'!K51,'24.09 Buddo-Kitemu'!K51,'25.09 Buddo-Kitemu'!K51,'27.09 Buddo-Kitemu'!K51,'26.09 Buddo-Kitemu-24HRS'!K51,'28.09 Buddo-Kitemu-24h'!K51,'29.09 Buddo-Kitemu'!K51)</f>
        <v>0.14285714285714285</v>
      </c>
      <c r="L51" s="49">
        <f>AVERAGE('23.09.19 -Buddo-Kitemu'!L51,'24.09 Buddo-Kitemu'!L51,'25.09 Buddo-Kitemu'!L51,'27.09 Buddo-Kitemu'!L51,'26.09 Buddo-Kitemu-24HRS'!L51,'28.09 Buddo-Kitemu-24h'!L51,'29.09 Buddo-Kitemu'!L51)</f>
        <v>0</v>
      </c>
      <c r="M51" s="49">
        <f>AVERAGE('23.09.19 -Buddo-Kitemu'!M51,'24.09 Buddo-Kitemu'!M51,'25.09 Buddo-Kitemu'!M51,'27.09 Buddo-Kitemu'!M51,'26.09 Buddo-Kitemu-24HRS'!M51,'28.09 Buddo-Kitemu-24h'!M51,'29.09 Buddo-Kitemu'!M51)</f>
        <v>39.571428571428569</v>
      </c>
      <c r="N51" s="49">
        <f>AVERAGE('23.09.19 -Buddo-Kitemu'!N51,'24.09 Buddo-Kitemu'!N51,'25.09 Buddo-Kitemu'!N51,'27.09 Buddo-Kitemu'!N51,'26.09 Buddo-Kitemu-24HRS'!N51,'28.09 Buddo-Kitemu-24h'!N51,'29.09 Buddo-Kitemu'!N51)</f>
        <v>0</v>
      </c>
      <c r="O51" s="15">
        <f t="shared" si="0"/>
        <v>9.5714285714285712</v>
      </c>
      <c r="P51" s="15">
        <f t="shared" si="1"/>
        <v>49.142857142857139</v>
      </c>
      <c r="R51" s="8"/>
      <c r="T51"/>
    </row>
    <row r="52" spans="2:20" ht="23.1" customHeight="1" x14ac:dyDescent="0.25">
      <c r="B52" s="24" t="s">
        <v>79</v>
      </c>
      <c r="C52" s="49">
        <f>AVERAGE('23.09.19 -Buddo-Kitemu'!C52,'24.09 Buddo-Kitemu'!C52,'25.09 Buddo-Kitemu'!C52,'27.09 Buddo-Kitemu'!C52,'26.09 Buddo-Kitemu-24HRS'!C52,'28.09 Buddo-Kitemu-24h'!C52,'29.09 Buddo-Kitemu'!C52)</f>
        <v>5.4285714285714288</v>
      </c>
      <c r="D52" s="49">
        <f>AVERAGE('23.09.19 -Buddo-Kitemu'!D52,'24.09 Buddo-Kitemu'!D52,'25.09 Buddo-Kitemu'!D52,'27.09 Buddo-Kitemu'!D52,'26.09 Buddo-Kitemu-24HRS'!D52,'28.09 Buddo-Kitemu-24h'!D52,'29.09 Buddo-Kitemu'!D52)</f>
        <v>0.7142857142857143</v>
      </c>
      <c r="E52" s="49">
        <f>AVERAGE('23.09.19 -Buddo-Kitemu'!E52,'24.09 Buddo-Kitemu'!E52,'25.09 Buddo-Kitemu'!E52,'27.09 Buddo-Kitemu'!E52,'26.09 Buddo-Kitemu-24HRS'!E52,'28.09 Buddo-Kitemu-24h'!E52,'29.09 Buddo-Kitemu'!E52)</f>
        <v>1</v>
      </c>
      <c r="F52" s="49">
        <f>AVERAGE('23.09.19 -Buddo-Kitemu'!F52,'24.09 Buddo-Kitemu'!F52,'25.09 Buddo-Kitemu'!F52,'27.09 Buddo-Kitemu'!F52,'26.09 Buddo-Kitemu-24HRS'!F52,'28.09 Buddo-Kitemu-24h'!F52,'29.09 Buddo-Kitemu'!F52)</f>
        <v>0.8571428571428571</v>
      </c>
      <c r="G52" s="49">
        <f>AVERAGE('23.09.19 -Buddo-Kitemu'!G52,'24.09 Buddo-Kitemu'!G52,'25.09 Buddo-Kitemu'!G52,'27.09 Buddo-Kitemu'!G52,'26.09 Buddo-Kitemu-24HRS'!G52,'28.09 Buddo-Kitemu-24h'!G52,'29.09 Buddo-Kitemu'!G52)</f>
        <v>0.2857142857142857</v>
      </c>
      <c r="H52" s="49">
        <f>AVERAGE('23.09.19 -Buddo-Kitemu'!H52,'24.09 Buddo-Kitemu'!H52,'25.09 Buddo-Kitemu'!H52,'27.09 Buddo-Kitemu'!H52,'26.09 Buddo-Kitemu-24HRS'!H52,'28.09 Buddo-Kitemu-24h'!H52,'29.09 Buddo-Kitemu'!H52)</f>
        <v>0</v>
      </c>
      <c r="I52" s="49">
        <f>AVERAGE('23.09.19 -Buddo-Kitemu'!I52,'24.09 Buddo-Kitemu'!I52,'25.09 Buddo-Kitemu'!I52,'27.09 Buddo-Kitemu'!I52,'26.09 Buddo-Kitemu-24HRS'!I52,'28.09 Buddo-Kitemu-24h'!I52,'29.09 Buddo-Kitemu'!I52)</f>
        <v>1</v>
      </c>
      <c r="J52" s="49">
        <f>AVERAGE('23.09.19 -Buddo-Kitemu'!J52,'24.09 Buddo-Kitemu'!J52,'25.09 Buddo-Kitemu'!J52,'27.09 Buddo-Kitemu'!J52,'26.09 Buddo-Kitemu-24HRS'!J52,'28.09 Buddo-Kitemu-24h'!J52,'29.09 Buddo-Kitemu'!J52)</f>
        <v>0.5714285714285714</v>
      </c>
      <c r="K52" s="49">
        <f>AVERAGE('23.09.19 -Buddo-Kitemu'!K52,'24.09 Buddo-Kitemu'!K52,'25.09 Buddo-Kitemu'!K52,'27.09 Buddo-Kitemu'!K52,'26.09 Buddo-Kitemu-24HRS'!K52,'28.09 Buddo-Kitemu-24h'!K52,'29.09 Buddo-Kitemu'!K52)</f>
        <v>0.2857142857142857</v>
      </c>
      <c r="L52" s="49">
        <f>AVERAGE('23.09.19 -Buddo-Kitemu'!L52,'24.09 Buddo-Kitemu'!L52,'25.09 Buddo-Kitemu'!L52,'27.09 Buddo-Kitemu'!L52,'26.09 Buddo-Kitemu-24HRS'!L52,'28.09 Buddo-Kitemu-24h'!L52,'29.09 Buddo-Kitemu'!L52)</f>
        <v>0</v>
      </c>
      <c r="M52" s="49">
        <f>AVERAGE('23.09.19 -Buddo-Kitemu'!M52,'24.09 Buddo-Kitemu'!M52,'25.09 Buddo-Kitemu'!M52,'27.09 Buddo-Kitemu'!M52,'26.09 Buddo-Kitemu-24HRS'!M52,'28.09 Buddo-Kitemu-24h'!M52,'29.09 Buddo-Kitemu'!M52)</f>
        <v>39</v>
      </c>
      <c r="N52" s="49">
        <f>AVERAGE('23.09.19 -Buddo-Kitemu'!N52,'24.09 Buddo-Kitemu'!N52,'25.09 Buddo-Kitemu'!N52,'27.09 Buddo-Kitemu'!N52,'26.09 Buddo-Kitemu-24HRS'!N52,'28.09 Buddo-Kitemu-24h'!N52,'29.09 Buddo-Kitemu'!N52)</f>
        <v>0</v>
      </c>
      <c r="O52" s="15">
        <f t="shared" si="0"/>
        <v>10.142857142857144</v>
      </c>
      <c r="P52" s="15">
        <f t="shared" si="1"/>
        <v>49.142857142857146</v>
      </c>
      <c r="R52" s="8"/>
      <c r="T52"/>
    </row>
    <row r="53" spans="2:20" ht="23.1" customHeight="1" x14ac:dyDescent="0.25">
      <c r="B53" s="23" t="s">
        <v>80</v>
      </c>
      <c r="C53" s="49">
        <f>AVERAGE('23.09.19 -Buddo-Kitemu'!C53,'24.09 Buddo-Kitemu'!C53,'25.09 Buddo-Kitemu'!C53,'27.09 Buddo-Kitemu'!C53,'26.09 Buddo-Kitemu-24HRS'!C53,'28.09 Buddo-Kitemu-24h'!C53,'29.09 Buddo-Kitemu'!C53)</f>
        <v>5.5714285714285712</v>
      </c>
      <c r="D53" s="49">
        <f>AVERAGE('23.09.19 -Buddo-Kitemu'!D53,'24.09 Buddo-Kitemu'!D53,'25.09 Buddo-Kitemu'!D53,'27.09 Buddo-Kitemu'!D53,'26.09 Buddo-Kitemu-24HRS'!D53,'28.09 Buddo-Kitemu-24h'!D53,'29.09 Buddo-Kitemu'!D53)</f>
        <v>0.42857142857142855</v>
      </c>
      <c r="E53" s="49">
        <f>AVERAGE('23.09.19 -Buddo-Kitemu'!E53,'24.09 Buddo-Kitemu'!E53,'25.09 Buddo-Kitemu'!E53,'27.09 Buddo-Kitemu'!E53,'26.09 Buddo-Kitemu-24HRS'!E53,'28.09 Buddo-Kitemu-24h'!E53,'29.09 Buddo-Kitemu'!E53)</f>
        <v>0.2857142857142857</v>
      </c>
      <c r="F53" s="49">
        <f>AVERAGE('23.09.19 -Buddo-Kitemu'!F53,'24.09 Buddo-Kitemu'!F53,'25.09 Buddo-Kitemu'!F53,'27.09 Buddo-Kitemu'!F53,'26.09 Buddo-Kitemu-24HRS'!F53,'28.09 Buddo-Kitemu-24h'!F53,'29.09 Buddo-Kitemu'!F53)</f>
        <v>0.8571428571428571</v>
      </c>
      <c r="G53" s="49">
        <f>AVERAGE('23.09.19 -Buddo-Kitemu'!G53,'24.09 Buddo-Kitemu'!G53,'25.09 Buddo-Kitemu'!G53,'27.09 Buddo-Kitemu'!G53,'26.09 Buddo-Kitemu-24HRS'!G53,'28.09 Buddo-Kitemu-24h'!G53,'29.09 Buddo-Kitemu'!G53)</f>
        <v>0</v>
      </c>
      <c r="H53" s="49">
        <f>AVERAGE('23.09.19 -Buddo-Kitemu'!H53,'24.09 Buddo-Kitemu'!H53,'25.09 Buddo-Kitemu'!H53,'27.09 Buddo-Kitemu'!H53,'26.09 Buddo-Kitemu-24HRS'!H53,'28.09 Buddo-Kitemu-24h'!H53,'29.09 Buddo-Kitemu'!H53)</f>
        <v>0</v>
      </c>
      <c r="I53" s="49">
        <f>AVERAGE('23.09.19 -Buddo-Kitemu'!I53,'24.09 Buddo-Kitemu'!I53,'25.09 Buddo-Kitemu'!I53,'27.09 Buddo-Kitemu'!I53,'26.09 Buddo-Kitemu-24HRS'!I53,'28.09 Buddo-Kitemu-24h'!I53,'29.09 Buddo-Kitemu'!I53)</f>
        <v>2</v>
      </c>
      <c r="J53" s="49">
        <f>AVERAGE('23.09.19 -Buddo-Kitemu'!J53,'24.09 Buddo-Kitemu'!J53,'25.09 Buddo-Kitemu'!J53,'27.09 Buddo-Kitemu'!J53,'26.09 Buddo-Kitemu-24HRS'!J53,'28.09 Buddo-Kitemu-24h'!J53,'29.09 Buddo-Kitemu'!J53)</f>
        <v>0.2857142857142857</v>
      </c>
      <c r="K53" s="49">
        <f>AVERAGE('23.09.19 -Buddo-Kitemu'!K53,'24.09 Buddo-Kitemu'!K53,'25.09 Buddo-Kitemu'!K53,'27.09 Buddo-Kitemu'!K53,'26.09 Buddo-Kitemu-24HRS'!K53,'28.09 Buddo-Kitemu-24h'!K53,'29.09 Buddo-Kitemu'!K53)</f>
        <v>0.14285714285714285</v>
      </c>
      <c r="L53" s="49">
        <f>AVERAGE('23.09.19 -Buddo-Kitemu'!L53,'24.09 Buddo-Kitemu'!L53,'25.09 Buddo-Kitemu'!L53,'27.09 Buddo-Kitemu'!L53,'26.09 Buddo-Kitemu-24HRS'!L53,'28.09 Buddo-Kitemu-24h'!L53,'29.09 Buddo-Kitemu'!L53)</f>
        <v>0</v>
      </c>
      <c r="M53" s="49">
        <f>AVERAGE('23.09.19 -Buddo-Kitemu'!M53,'24.09 Buddo-Kitemu'!M53,'25.09 Buddo-Kitemu'!M53,'27.09 Buddo-Kitemu'!M53,'26.09 Buddo-Kitemu-24HRS'!M53,'28.09 Buddo-Kitemu-24h'!M53,'29.09 Buddo-Kitemu'!M53)</f>
        <v>41.571428571428569</v>
      </c>
      <c r="N53" s="49">
        <f>AVERAGE('23.09.19 -Buddo-Kitemu'!N53,'24.09 Buddo-Kitemu'!N53,'25.09 Buddo-Kitemu'!N53,'27.09 Buddo-Kitemu'!N53,'26.09 Buddo-Kitemu-24HRS'!N53,'28.09 Buddo-Kitemu-24h'!N53,'29.09 Buddo-Kitemu'!N53)</f>
        <v>0</v>
      </c>
      <c r="O53" s="15">
        <f t="shared" si="0"/>
        <v>9.5714285714285712</v>
      </c>
      <c r="P53" s="15">
        <f t="shared" si="1"/>
        <v>51.142857142857139</v>
      </c>
      <c r="R53" s="8"/>
      <c r="T53"/>
    </row>
    <row r="54" spans="2:20" ht="23.1" customHeight="1" x14ac:dyDescent="0.25">
      <c r="B54" s="23" t="s">
        <v>81</v>
      </c>
      <c r="C54" s="49">
        <f>AVERAGE('23.09.19 -Buddo-Kitemu'!C54,'24.09 Buddo-Kitemu'!C54,'25.09 Buddo-Kitemu'!C54,'27.09 Buddo-Kitemu'!C54,'26.09 Buddo-Kitemu-24HRS'!C54,'28.09 Buddo-Kitemu-24h'!C54,'29.09 Buddo-Kitemu'!C54)</f>
        <v>2.7142857142857144</v>
      </c>
      <c r="D54" s="49">
        <f>AVERAGE('23.09.19 -Buddo-Kitemu'!D54,'24.09 Buddo-Kitemu'!D54,'25.09 Buddo-Kitemu'!D54,'27.09 Buddo-Kitemu'!D54,'26.09 Buddo-Kitemu-24HRS'!D54,'28.09 Buddo-Kitemu-24h'!D54,'29.09 Buddo-Kitemu'!D54)</f>
        <v>0.7142857142857143</v>
      </c>
      <c r="E54" s="49">
        <f>AVERAGE('23.09.19 -Buddo-Kitemu'!E54,'24.09 Buddo-Kitemu'!E54,'25.09 Buddo-Kitemu'!E54,'27.09 Buddo-Kitemu'!E54,'26.09 Buddo-Kitemu-24HRS'!E54,'28.09 Buddo-Kitemu-24h'!E54,'29.09 Buddo-Kitemu'!E54)</f>
        <v>0</v>
      </c>
      <c r="F54" s="49">
        <f>AVERAGE('23.09.19 -Buddo-Kitemu'!F54,'24.09 Buddo-Kitemu'!F54,'25.09 Buddo-Kitemu'!F54,'27.09 Buddo-Kitemu'!F54,'26.09 Buddo-Kitemu-24HRS'!F54,'28.09 Buddo-Kitemu-24h'!F54,'29.09 Buddo-Kitemu'!F54)</f>
        <v>1.1428571428571428</v>
      </c>
      <c r="G54" s="49">
        <f>AVERAGE('23.09.19 -Buddo-Kitemu'!G54,'24.09 Buddo-Kitemu'!G54,'25.09 Buddo-Kitemu'!G54,'27.09 Buddo-Kitemu'!G54,'26.09 Buddo-Kitemu-24HRS'!G54,'28.09 Buddo-Kitemu-24h'!G54,'29.09 Buddo-Kitemu'!G54)</f>
        <v>0.8571428571428571</v>
      </c>
      <c r="H54" s="49">
        <f>AVERAGE('23.09.19 -Buddo-Kitemu'!H54,'24.09 Buddo-Kitemu'!H54,'25.09 Buddo-Kitemu'!H54,'27.09 Buddo-Kitemu'!H54,'26.09 Buddo-Kitemu-24HRS'!H54,'28.09 Buddo-Kitemu-24h'!H54,'29.09 Buddo-Kitemu'!H54)</f>
        <v>0</v>
      </c>
      <c r="I54" s="49">
        <f>AVERAGE('23.09.19 -Buddo-Kitemu'!I54,'24.09 Buddo-Kitemu'!I54,'25.09 Buddo-Kitemu'!I54,'27.09 Buddo-Kitemu'!I54,'26.09 Buddo-Kitemu-24HRS'!I54,'28.09 Buddo-Kitemu-24h'!I54,'29.09 Buddo-Kitemu'!I54)</f>
        <v>1.5714285714285714</v>
      </c>
      <c r="J54" s="49">
        <f>AVERAGE('23.09.19 -Buddo-Kitemu'!J54,'24.09 Buddo-Kitemu'!J54,'25.09 Buddo-Kitemu'!J54,'27.09 Buddo-Kitemu'!J54,'26.09 Buddo-Kitemu-24HRS'!J54,'28.09 Buddo-Kitemu-24h'!J54,'29.09 Buddo-Kitemu'!J54)</f>
        <v>0.7142857142857143</v>
      </c>
      <c r="K54" s="49">
        <f>AVERAGE('23.09.19 -Buddo-Kitemu'!K54,'24.09 Buddo-Kitemu'!K54,'25.09 Buddo-Kitemu'!K54,'27.09 Buddo-Kitemu'!K54,'26.09 Buddo-Kitemu-24HRS'!K54,'28.09 Buddo-Kitemu-24h'!K54,'29.09 Buddo-Kitemu'!K54)</f>
        <v>0.2857142857142857</v>
      </c>
      <c r="L54" s="49">
        <f>AVERAGE('23.09.19 -Buddo-Kitemu'!L54,'24.09 Buddo-Kitemu'!L54,'25.09 Buddo-Kitemu'!L54,'27.09 Buddo-Kitemu'!L54,'26.09 Buddo-Kitemu-24HRS'!L54,'28.09 Buddo-Kitemu-24h'!L54,'29.09 Buddo-Kitemu'!L54)</f>
        <v>0</v>
      </c>
      <c r="M54" s="49">
        <f>AVERAGE('23.09.19 -Buddo-Kitemu'!M54,'24.09 Buddo-Kitemu'!M54,'25.09 Buddo-Kitemu'!M54,'27.09 Buddo-Kitemu'!M54,'26.09 Buddo-Kitemu-24HRS'!M54,'28.09 Buddo-Kitemu-24h'!M54,'29.09 Buddo-Kitemu'!M54)</f>
        <v>43.857142857142854</v>
      </c>
      <c r="N54" s="49">
        <f>AVERAGE('23.09.19 -Buddo-Kitemu'!N54,'24.09 Buddo-Kitemu'!N54,'25.09 Buddo-Kitemu'!N54,'27.09 Buddo-Kitemu'!N54,'26.09 Buddo-Kitemu-24HRS'!N54,'28.09 Buddo-Kitemu-24h'!N54,'29.09 Buddo-Kitemu'!N54)</f>
        <v>0</v>
      </c>
      <c r="O54" s="15">
        <f t="shared" si="0"/>
        <v>7.9999999999999991</v>
      </c>
      <c r="P54" s="15">
        <f t="shared" si="1"/>
        <v>51.857142857142854</v>
      </c>
      <c r="R54" s="8"/>
      <c r="T54"/>
    </row>
    <row r="55" spans="2:20" ht="23.1" customHeight="1" x14ac:dyDescent="0.25">
      <c r="B55" s="23" t="s">
        <v>82</v>
      </c>
      <c r="C55" s="49">
        <f>AVERAGE('23.09.19 -Buddo-Kitemu'!C55,'24.09 Buddo-Kitemu'!C55,'25.09 Buddo-Kitemu'!C55,'27.09 Buddo-Kitemu'!C55,'26.09 Buddo-Kitemu-24HRS'!C55,'28.09 Buddo-Kitemu-24h'!C55,'29.09 Buddo-Kitemu'!C55)</f>
        <v>3.8571428571428572</v>
      </c>
      <c r="D55" s="49">
        <f>AVERAGE('23.09.19 -Buddo-Kitemu'!D55,'24.09 Buddo-Kitemu'!D55,'25.09 Buddo-Kitemu'!D55,'27.09 Buddo-Kitemu'!D55,'26.09 Buddo-Kitemu-24HRS'!D55,'28.09 Buddo-Kitemu-24h'!D55,'29.09 Buddo-Kitemu'!D55)</f>
        <v>0.7142857142857143</v>
      </c>
      <c r="E55" s="49">
        <f>AVERAGE('23.09.19 -Buddo-Kitemu'!E55,'24.09 Buddo-Kitemu'!E55,'25.09 Buddo-Kitemu'!E55,'27.09 Buddo-Kitemu'!E55,'26.09 Buddo-Kitemu-24HRS'!E55,'28.09 Buddo-Kitemu-24h'!E55,'29.09 Buddo-Kitemu'!E55)</f>
        <v>0.2857142857142857</v>
      </c>
      <c r="F55" s="49">
        <f>AVERAGE('23.09.19 -Buddo-Kitemu'!F55,'24.09 Buddo-Kitemu'!F55,'25.09 Buddo-Kitemu'!F55,'27.09 Buddo-Kitemu'!F55,'26.09 Buddo-Kitemu-24HRS'!F55,'28.09 Buddo-Kitemu-24h'!F55,'29.09 Buddo-Kitemu'!F55)</f>
        <v>2.5714285714285716</v>
      </c>
      <c r="G55" s="49">
        <f>AVERAGE('23.09.19 -Buddo-Kitemu'!G55,'24.09 Buddo-Kitemu'!G55,'25.09 Buddo-Kitemu'!G55,'27.09 Buddo-Kitemu'!G55,'26.09 Buddo-Kitemu-24HRS'!G55,'28.09 Buddo-Kitemu-24h'!G55,'29.09 Buddo-Kitemu'!G55)</f>
        <v>0.5714285714285714</v>
      </c>
      <c r="H55" s="49">
        <f>AVERAGE('23.09.19 -Buddo-Kitemu'!H55,'24.09 Buddo-Kitemu'!H55,'25.09 Buddo-Kitemu'!H55,'27.09 Buddo-Kitemu'!H55,'26.09 Buddo-Kitemu-24HRS'!H55,'28.09 Buddo-Kitemu-24h'!H55,'29.09 Buddo-Kitemu'!H55)</f>
        <v>0</v>
      </c>
      <c r="I55" s="49">
        <f>AVERAGE('23.09.19 -Buddo-Kitemu'!I55,'24.09 Buddo-Kitemu'!I55,'25.09 Buddo-Kitemu'!I55,'27.09 Buddo-Kitemu'!I55,'26.09 Buddo-Kitemu-24HRS'!I55,'28.09 Buddo-Kitemu-24h'!I55,'29.09 Buddo-Kitemu'!I55)</f>
        <v>1.7142857142857142</v>
      </c>
      <c r="J55" s="49">
        <f>AVERAGE('23.09.19 -Buddo-Kitemu'!J55,'24.09 Buddo-Kitemu'!J55,'25.09 Buddo-Kitemu'!J55,'27.09 Buddo-Kitemu'!J55,'26.09 Buddo-Kitemu-24HRS'!J55,'28.09 Buddo-Kitemu-24h'!J55,'29.09 Buddo-Kitemu'!J55)</f>
        <v>0.5714285714285714</v>
      </c>
      <c r="K55" s="49">
        <f>AVERAGE('23.09.19 -Buddo-Kitemu'!K55,'24.09 Buddo-Kitemu'!K55,'25.09 Buddo-Kitemu'!K55,'27.09 Buddo-Kitemu'!K55,'26.09 Buddo-Kitemu-24HRS'!K55,'28.09 Buddo-Kitemu-24h'!K55,'29.09 Buddo-Kitemu'!K55)</f>
        <v>0.2857142857142857</v>
      </c>
      <c r="L55" s="49">
        <f>AVERAGE('23.09.19 -Buddo-Kitemu'!L55,'24.09 Buddo-Kitemu'!L55,'25.09 Buddo-Kitemu'!L55,'27.09 Buddo-Kitemu'!L55,'26.09 Buddo-Kitemu-24HRS'!L55,'28.09 Buddo-Kitemu-24h'!L55,'29.09 Buddo-Kitemu'!L55)</f>
        <v>0</v>
      </c>
      <c r="M55" s="49">
        <f>AVERAGE('23.09.19 -Buddo-Kitemu'!M55,'24.09 Buddo-Kitemu'!M55,'25.09 Buddo-Kitemu'!M55,'27.09 Buddo-Kitemu'!M55,'26.09 Buddo-Kitemu-24HRS'!M55,'28.09 Buddo-Kitemu-24h'!M55,'29.09 Buddo-Kitemu'!M55)</f>
        <v>45.285714285714285</v>
      </c>
      <c r="N55" s="49">
        <f>AVERAGE('23.09.19 -Buddo-Kitemu'!N55,'24.09 Buddo-Kitemu'!N55,'25.09 Buddo-Kitemu'!N55,'27.09 Buddo-Kitemu'!N55,'26.09 Buddo-Kitemu-24HRS'!N55,'28.09 Buddo-Kitemu-24h'!N55,'29.09 Buddo-Kitemu'!N55)</f>
        <v>0</v>
      </c>
      <c r="O55" s="15">
        <f t="shared" si="0"/>
        <v>10.571428571428571</v>
      </c>
      <c r="P55" s="15">
        <f t="shared" si="1"/>
        <v>55.857142857142854</v>
      </c>
      <c r="R55" s="8"/>
      <c r="T55"/>
    </row>
    <row r="56" spans="2:20" ht="23.1" customHeight="1" x14ac:dyDescent="0.25">
      <c r="B56" s="23" t="s">
        <v>83</v>
      </c>
      <c r="C56" s="49">
        <f>AVERAGE('23.09.19 -Buddo-Kitemu'!C56,'24.09 Buddo-Kitemu'!C56,'25.09 Buddo-Kitemu'!C56,'27.09 Buddo-Kitemu'!C56,'26.09 Buddo-Kitemu-24HRS'!C56,'28.09 Buddo-Kitemu-24h'!C56,'29.09 Buddo-Kitemu'!C56)</f>
        <v>3.8571428571428572</v>
      </c>
      <c r="D56" s="49">
        <f>AVERAGE('23.09.19 -Buddo-Kitemu'!D56,'24.09 Buddo-Kitemu'!D56,'25.09 Buddo-Kitemu'!D56,'27.09 Buddo-Kitemu'!D56,'26.09 Buddo-Kitemu-24HRS'!D56,'28.09 Buddo-Kitemu-24h'!D56,'29.09 Buddo-Kitemu'!D56)</f>
        <v>0.42857142857142855</v>
      </c>
      <c r="E56" s="49">
        <f>AVERAGE('23.09.19 -Buddo-Kitemu'!E56,'24.09 Buddo-Kitemu'!E56,'25.09 Buddo-Kitemu'!E56,'27.09 Buddo-Kitemu'!E56,'26.09 Buddo-Kitemu-24HRS'!E56,'28.09 Buddo-Kitemu-24h'!E56,'29.09 Buddo-Kitemu'!E56)</f>
        <v>0.2857142857142857</v>
      </c>
      <c r="F56" s="49">
        <f>AVERAGE('23.09.19 -Buddo-Kitemu'!F56,'24.09 Buddo-Kitemu'!F56,'25.09 Buddo-Kitemu'!F56,'27.09 Buddo-Kitemu'!F56,'26.09 Buddo-Kitemu-24HRS'!F56,'28.09 Buddo-Kitemu-24h'!F56,'29.09 Buddo-Kitemu'!F56)</f>
        <v>1.4285714285714286</v>
      </c>
      <c r="G56" s="49">
        <f>AVERAGE('23.09.19 -Buddo-Kitemu'!G56,'24.09 Buddo-Kitemu'!G56,'25.09 Buddo-Kitemu'!G56,'27.09 Buddo-Kitemu'!G56,'26.09 Buddo-Kitemu-24HRS'!G56,'28.09 Buddo-Kitemu-24h'!G56,'29.09 Buddo-Kitemu'!G56)</f>
        <v>0.5714285714285714</v>
      </c>
      <c r="H56" s="49">
        <f>AVERAGE('23.09.19 -Buddo-Kitemu'!H56,'24.09 Buddo-Kitemu'!H56,'25.09 Buddo-Kitemu'!H56,'27.09 Buddo-Kitemu'!H56,'26.09 Buddo-Kitemu-24HRS'!H56,'28.09 Buddo-Kitemu-24h'!H56,'29.09 Buddo-Kitemu'!H56)</f>
        <v>0</v>
      </c>
      <c r="I56" s="49">
        <f>AVERAGE('23.09.19 -Buddo-Kitemu'!I56,'24.09 Buddo-Kitemu'!I56,'25.09 Buddo-Kitemu'!I56,'27.09 Buddo-Kitemu'!I56,'26.09 Buddo-Kitemu-24HRS'!I56,'28.09 Buddo-Kitemu-24h'!I56,'29.09 Buddo-Kitemu'!I56)</f>
        <v>1.7142857142857142</v>
      </c>
      <c r="J56" s="49">
        <f>AVERAGE('23.09.19 -Buddo-Kitemu'!J56,'24.09 Buddo-Kitemu'!J56,'25.09 Buddo-Kitemu'!J56,'27.09 Buddo-Kitemu'!J56,'26.09 Buddo-Kitemu-24HRS'!J56,'28.09 Buddo-Kitemu-24h'!J56,'29.09 Buddo-Kitemu'!J56)</f>
        <v>0.5714285714285714</v>
      </c>
      <c r="K56" s="49">
        <f>AVERAGE('23.09.19 -Buddo-Kitemu'!K56,'24.09 Buddo-Kitemu'!K56,'25.09 Buddo-Kitemu'!K56,'27.09 Buddo-Kitemu'!K56,'26.09 Buddo-Kitemu-24HRS'!K56,'28.09 Buddo-Kitemu-24h'!K56,'29.09 Buddo-Kitemu'!K56)</f>
        <v>0.2857142857142857</v>
      </c>
      <c r="L56" s="49">
        <f>AVERAGE('23.09.19 -Buddo-Kitemu'!L56,'24.09 Buddo-Kitemu'!L56,'25.09 Buddo-Kitemu'!L56,'27.09 Buddo-Kitemu'!L56,'26.09 Buddo-Kitemu-24HRS'!L56,'28.09 Buddo-Kitemu-24h'!L56,'29.09 Buddo-Kitemu'!L56)</f>
        <v>0</v>
      </c>
      <c r="M56" s="49">
        <f>AVERAGE('23.09.19 -Buddo-Kitemu'!M56,'24.09 Buddo-Kitemu'!M56,'25.09 Buddo-Kitemu'!M56,'27.09 Buddo-Kitemu'!M56,'26.09 Buddo-Kitemu-24HRS'!M56,'28.09 Buddo-Kitemu-24h'!M56,'29.09 Buddo-Kitemu'!M56)</f>
        <v>44.285714285714285</v>
      </c>
      <c r="N56" s="49">
        <f>AVERAGE('23.09.19 -Buddo-Kitemu'!N56,'24.09 Buddo-Kitemu'!N56,'25.09 Buddo-Kitemu'!N56,'27.09 Buddo-Kitemu'!N56,'26.09 Buddo-Kitemu-24HRS'!N56,'28.09 Buddo-Kitemu-24h'!N56,'29.09 Buddo-Kitemu'!N56)</f>
        <v>0</v>
      </c>
      <c r="O56" s="15">
        <f t="shared" si="0"/>
        <v>9.1428571428571423</v>
      </c>
      <c r="P56" s="15">
        <f t="shared" si="1"/>
        <v>53.428571428571431</v>
      </c>
      <c r="R56" s="8"/>
      <c r="T56"/>
    </row>
    <row r="57" spans="2:20" ht="23.1" customHeight="1" x14ac:dyDescent="0.25">
      <c r="B57" s="23" t="s">
        <v>84</v>
      </c>
      <c r="C57" s="49">
        <f>AVERAGE('23.09.19 -Buddo-Kitemu'!C57,'24.09 Buddo-Kitemu'!C57,'25.09 Buddo-Kitemu'!C57,'27.09 Buddo-Kitemu'!C57,'26.09 Buddo-Kitemu-24HRS'!C57,'28.09 Buddo-Kitemu-24h'!C57,'29.09 Buddo-Kitemu'!C57)</f>
        <v>5.4285714285714288</v>
      </c>
      <c r="D57" s="49">
        <f>AVERAGE('23.09.19 -Buddo-Kitemu'!D57,'24.09 Buddo-Kitemu'!D57,'25.09 Buddo-Kitemu'!D57,'27.09 Buddo-Kitemu'!D57,'26.09 Buddo-Kitemu-24HRS'!D57,'28.09 Buddo-Kitemu-24h'!D57,'29.09 Buddo-Kitemu'!D57)</f>
        <v>0.42857142857142855</v>
      </c>
      <c r="E57" s="49">
        <f>AVERAGE('23.09.19 -Buddo-Kitemu'!E57,'24.09 Buddo-Kitemu'!E57,'25.09 Buddo-Kitemu'!E57,'27.09 Buddo-Kitemu'!E57,'26.09 Buddo-Kitemu-24HRS'!E57,'28.09 Buddo-Kitemu-24h'!E57,'29.09 Buddo-Kitemu'!E57)</f>
        <v>0.14285714285714285</v>
      </c>
      <c r="F57" s="49">
        <f>AVERAGE('23.09.19 -Buddo-Kitemu'!F57,'24.09 Buddo-Kitemu'!F57,'25.09 Buddo-Kitemu'!F57,'27.09 Buddo-Kitemu'!F57,'26.09 Buddo-Kitemu-24HRS'!F57,'28.09 Buddo-Kitemu-24h'!F57,'29.09 Buddo-Kitemu'!F57)</f>
        <v>1.7142857142857142</v>
      </c>
      <c r="G57" s="49">
        <f>AVERAGE('23.09.19 -Buddo-Kitemu'!G57,'24.09 Buddo-Kitemu'!G57,'25.09 Buddo-Kitemu'!G57,'27.09 Buddo-Kitemu'!G57,'26.09 Buddo-Kitemu-24HRS'!G57,'28.09 Buddo-Kitemu-24h'!G57,'29.09 Buddo-Kitemu'!G57)</f>
        <v>0.2857142857142857</v>
      </c>
      <c r="H57" s="49">
        <f>AVERAGE('23.09.19 -Buddo-Kitemu'!H57,'24.09 Buddo-Kitemu'!H57,'25.09 Buddo-Kitemu'!H57,'27.09 Buddo-Kitemu'!H57,'26.09 Buddo-Kitemu-24HRS'!H57,'28.09 Buddo-Kitemu-24h'!H57,'29.09 Buddo-Kitemu'!H57)</f>
        <v>0</v>
      </c>
      <c r="I57" s="49">
        <f>AVERAGE('23.09.19 -Buddo-Kitemu'!I57,'24.09 Buddo-Kitemu'!I57,'25.09 Buddo-Kitemu'!I57,'27.09 Buddo-Kitemu'!I57,'26.09 Buddo-Kitemu-24HRS'!I57,'28.09 Buddo-Kitemu-24h'!I57,'29.09 Buddo-Kitemu'!I57)</f>
        <v>1.7142857142857142</v>
      </c>
      <c r="J57" s="49">
        <f>AVERAGE('23.09.19 -Buddo-Kitemu'!J57,'24.09 Buddo-Kitemu'!J57,'25.09 Buddo-Kitemu'!J57,'27.09 Buddo-Kitemu'!J57,'26.09 Buddo-Kitemu-24HRS'!J57,'28.09 Buddo-Kitemu-24h'!J57,'29.09 Buddo-Kitemu'!J57)</f>
        <v>0.8571428571428571</v>
      </c>
      <c r="K57" s="49">
        <f>AVERAGE('23.09.19 -Buddo-Kitemu'!K57,'24.09 Buddo-Kitemu'!K57,'25.09 Buddo-Kitemu'!K57,'27.09 Buddo-Kitemu'!K57,'26.09 Buddo-Kitemu-24HRS'!K57,'28.09 Buddo-Kitemu-24h'!K57,'29.09 Buddo-Kitemu'!K57)</f>
        <v>0</v>
      </c>
      <c r="L57" s="49">
        <f>AVERAGE('23.09.19 -Buddo-Kitemu'!L57,'24.09 Buddo-Kitemu'!L57,'25.09 Buddo-Kitemu'!L57,'27.09 Buddo-Kitemu'!L57,'26.09 Buddo-Kitemu-24HRS'!L57,'28.09 Buddo-Kitemu-24h'!L57,'29.09 Buddo-Kitemu'!L57)</f>
        <v>0</v>
      </c>
      <c r="M57" s="49">
        <f>AVERAGE('23.09.19 -Buddo-Kitemu'!M57,'24.09 Buddo-Kitemu'!M57,'25.09 Buddo-Kitemu'!M57,'27.09 Buddo-Kitemu'!M57,'26.09 Buddo-Kitemu-24HRS'!M57,'28.09 Buddo-Kitemu-24h'!M57,'29.09 Buddo-Kitemu'!M57)</f>
        <v>45.714285714285715</v>
      </c>
      <c r="N57" s="49">
        <f>AVERAGE('23.09.19 -Buddo-Kitemu'!N57,'24.09 Buddo-Kitemu'!N57,'25.09 Buddo-Kitemu'!N57,'27.09 Buddo-Kitemu'!N57,'26.09 Buddo-Kitemu-24HRS'!N57,'28.09 Buddo-Kitemu-24h'!N57,'29.09 Buddo-Kitemu'!N57)</f>
        <v>0</v>
      </c>
      <c r="O57" s="15">
        <f t="shared" si="0"/>
        <v>10.571428571428573</v>
      </c>
      <c r="P57" s="15">
        <f t="shared" si="1"/>
        <v>56.285714285714292</v>
      </c>
      <c r="R57" s="8"/>
      <c r="T57"/>
    </row>
    <row r="58" spans="2:20" ht="23.1" customHeight="1" x14ac:dyDescent="0.25">
      <c r="B58" s="23" t="s">
        <v>99</v>
      </c>
      <c r="C58" s="49">
        <f>AVERAGE('26.09 Buddo-Kitemu-24HRS'!C58,'28.09 Buddo-Kitemu-24h'!C58)</f>
        <v>5</v>
      </c>
      <c r="D58" s="49">
        <f>AVERAGE('26.09 Buddo-Kitemu-24HRS'!D58,'28.09 Buddo-Kitemu-24h'!D58)</f>
        <v>0</v>
      </c>
      <c r="E58" s="49">
        <f>AVERAGE('26.09 Buddo-Kitemu-24HRS'!E58,'28.09 Buddo-Kitemu-24h'!E58)</f>
        <v>0</v>
      </c>
      <c r="F58" s="49">
        <f>AVERAGE('26.09 Buddo-Kitemu-24HRS'!F58,'28.09 Buddo-Kitemu-24h'!F58)</f>
        <v>1</v>
      </c>
      <c r="G58" s="49">
        <f>AVERAGE('26.09 Buddo-Kitemu-24HRS'!G58,'28.09 Buddo-Kitemu-24h'!G58)</f>
        <v>0.5</v>
      </c>
      <c r="H58" s="49">
        <f>AVERAGE('26.09 Buddo-Kitemu-24HRS'!H58,'28.09 Buddo-Kitemu-24h'!H58)</f>
        <v>0</v>
      </c>
      <c r="I58" s="49">
        <f>AVERAGE('26.09 Buddo-Kitemu-24HRS'!I58,'28.09 Buddo-Kitemu-24h'!I58)</f>
        <v>1.5</v>
      </c>
      <c r="J58" s="49">
        <f>AVERAGE('26.09 Buddo-Kitemu-24HRS'!J58,'28.09 Buddo-Kitemu-24h'!J58)</f>
        <v>0.5</v>
      </c>
      <c r="K58" s="49">
        <f>AVERAGE('26.09 Buddo-Kitemu-24HRS'!K58,'28.09 Buddo-Kitemu-24h'!K58)</f>
        <v>0</v>
      </c>
      <c r="L58" s="49">
        <f>AVERAGE('26.09 Buddo-Kitemu-24HRS'!L58,'28.09 Buddo-Kitemu-24h'!L58)</f>
        <v>0</v>
      </c>
      <c r="M58" s="49">
        <f>AVERAGE('26.09 Buddo-Kitemu-24HRS'!M58,'28.09 Buddo-Kitemu-24h'!M58)</f>
        <v>35.5</v>
      </c>
      <c r="N58" s="49">
        <f>AVERAGE('26.09 Buddo-Kitemu-24HRS'!N58,'28.09 Buddo-Kitemu-24h'!N58)</f>
        <v>0</v>
      </c>
      <c r="O58" s="15">
        <f t="shared" si="0"/>
        <v>8.5</v>
      </c>
      <c r="P58" s="15">
        <f t="shared" si="1"/>
        <v>44</v>
      </c>
      <c r="R58" s="8"/>
      <c r="T58"/>
    </row>
    <row r="59" spans="2:20" ht="23.1" customHeight="1" x14ac:dyDescent="0.25">
      <c r="B59" s="23" t="s">
        <v>100</v>
      </c>
      <c r="C59" s="49">
        <f>AVERAGE('26.09 Buddo-Kitemu-24HRS'!C59,'28.09 Buddo-Kitemu-24h'!C59)</f>
        <v>3.5</v>
      </c>
      <c r="D59" s="49">
        <f>AVERAGE('26.09 Buddo-Kitemu-24HRS'!D59,'28.09 Buddo-Kitemu-24h'!D59)</f>
        <v>0.5</v>
      </c>
      <c r="E59" s="49">
        <f>AVERAGE('26.09 Buddo-Kitemu-24HRS'!E59,'28.09 Buddo-Kitemu-24h'!E59)</f>
        <v>0.5</v>
      </c>
      <c r="F59" s="49">
        <f>AVERAGE('26.09 Buddo-Kitemu-24HRS'!F59,'28.09 Buddo-Kitemu-24h'!F59)</f>
        <v>1.5</v>
      </c>
      <c r="G59" s="49">
        <f>AVERAGE('26.09 Buddo-Kitemu-24HRS'!G59,'28.09 Buddo-Kitemu-24h'!G59)</f>
        <v>0.5</v>
      </c>
      <c r="H59" s="49">
        <f>AVERAGE('26.09 Buddo-Kitemu-24HRS'!H59,'28.09 Buddo-Kitemu-24h'!H59)</f>
        <v>0</v>
      </c>
      <c r="I59" s="49">
        <f>AVERAGE('26.09 Buddo-Kitemu-24HRS'!I59,'28.09 Buddo-Kitemu-24h'!I59)</f>
        <v>1</v>
      </c>
      <c r="J59" s="49">
        <f>AVERAGE('26.09 Buddo-Kitemu-24HRS'!J59,'28.09 Buddo-Kitemu-24h'!J59)</f>
        <v>1</v>
      </c>
      <c r="K59" s="49">
        <f>AVERAGE('26.09 Buddo-Kitemu-24HRS'!K59,'28.09 Buddo-Kitemu-24h'!K59)</f>
        <v>0</v>
      </c>
      <c r="L59" s="49">
        <f>AVERAGE('26.09 Buddo-Kitemu-24HRS'!L59,'28.09 Buddo-Kitemu-24h'!L59)</f>
        <v>0</v>
      </c>
      <c r="M59" s="49">
        <f>AVERAGE('26.09 Buddo-Kitemu-24HRS'!M59,'28.09 Buddo-Kitemu-24h'!M59)</f>
        <v>45.5</v>
      </c>
      <c r="N59" s="49">
        <f>AVERAGE('26.09 Buddo-Kitemu-24HRS'!N59,'28.09 Buddo-Kitemu-24h'!N59)</f>
        <v>0</v>
      </c>
      <c r="O59" s="15">
        <f t="shared" si="0"/>
        <v>8.5</v>
      </c>
      <c r="P59" s="15">
        <f t="shared" si="1"/>
        <v>54</v>
      </c>
      <c r="R59" s="8"/>
      <c r="T59"/>
    </row>
    <row r="60" spans="2:20" ht="23.1" customHeight="1" x14ac:dyDescent="0.25">
      <c r="B60" s="23" t="s">
        <v>101</v>
      </c>
      <c r="C60" s="49">
        <f>AVERAGE('26.09 Buddo-Kitemu-24HRS'!C60,'28.09 Buddo-Kitemu-24h'!C60)</f>
        <v>3.5</v>
      </c>
      <c r="D60" s="49">
        <f>AVERAGE('26.09 Buddo-Kitemu-24HRS'!D60,'28.09 Buddo-Kitemu-24h'!D60)</f>
        <v>0.5</v>
      </c>
      <c r="E60" s="49">
        <f>AVERAGE('26.09 Buddo-Kitemu-24HRS'!E60,'28.09 Buddo-Kitemu-24h'!E60)</f>
        <v>0</v>
      </c>
      <c r="F60" s="49">
        <f>AVERAGE('26.09 Buddo-Kitemu-24HRS'!F60,'28.09 Buddo-Kitemu-24h'!F60)</f>
        <v>1.5</v>
      </c>
      <c r="G60" s="49">
        <f>AVERAGE('26.09 Buddo-Kitemu-24HRS'!G60,'28.09 Buddo-Kitemu-24h'!G60)</f>
        <v>0</v>
      </c>
      <c r="H60" s="49">
        <f>AVERAGE('26.09 Buddo-Kitemu-24HRS'!H60,'28.09 Buddo-Kitemu-24h'!H60)</f>
        <v>0</v>
      </c>
      <c r="I60" s="49">
        <f>AVERAGE('26.09 Buddo-Kitemu-24HRS'!I60,'28.09 Buddo-Kitemu-24h'!I60)</f>
        <v>1</v>
      </c>
      <c r="J60" s="49">
        <f>AVERAGE('26.09 Buddo-Kitemu-24HRS'!J60,'28.09 Buddo-Kitemu-24h'!J60)</f>
        <v>0</v>
      </c>
      <c r="K60" s="49">
        <f>AVERAGE('26.09 Buddo-Kitemu-24HRS'!K60,'28.09 Buddo-Kitemu-24h'!K60)</f>
        <v>0.5</v>
      </c>
      <c r="L60" s="49">
        <f>AVERAGE('26.09 Buddo-Kitemu-24HRS'!L60,'28.09 Buddo-Kitemu-24h'!L60)</f>
        <v>0</v>
      </c>
      <c r="M60" s="49">
        <f>AVERAGE('26.09 Buddo-Kitemu-24HRS'!M60,'28.09 Buddo-Kitemu-24h'!M60)</f>
        <v>46</v>
      </c>
      <c r="N60" s="49">
        <f>AVERAGE('26.09 Buddo-Kitemu-24HRS'!N60,'28.09 Buddo-Kitemu-24h'!N60)</f>
        <v>0</v>
      </c>
      <c r="O60" s="15">
        <f t="shared" si="0"/>
        <v>7</v>
      </c>
      <c r="P60" s="15">
        <f t="shared" si="1"/>
        <v>53</v>
      </c>
      <c r="R60" s="8"/>
      <c r="T60"/>
    </row>
    <row r="61" spans="2:20" ht="23.1" customHeight="1" x14ac:dyDescent="0.25">
      <c r="B61" s="23" t="s">
        <v>102</v>
      </c>
      <c r="C61" s="49">
        <f>AVERAGE('26.09 Buddo-Kitemu-24HRS'!C61,'28.09 Buddo-Kitemu-24h'!C61)</f>
        <v>3</v>
      </c>
      <c r="D61" s="49">
        <f>AVERAGE('26.09 Buddo-Kitemu-24HRS'!D61,'28.09 Buddo-Kitemu-24h'!D61)</f>
        <v>0.5</v>
      </c>
      <c r="E61" s="49">
        <f>AVERAGE('26.09 Buddo-Kitemu-24HRS'!E61,'28.09 Buddo-Kitemu-24h'!E61)</f>
        <v>0</v>
      </c>
      <c r="F61" s="49">
        <f>AVERAGE('26.09 Buddo-Kitemu-24HRS'!F61,'28.09 Buddo-Kitemu-24h'!F61)</f>
        <v>1</v>
      </c>
      <c r="G61" s="49">
        <f>AVERAGE('26.09 Buddo-Kitemu-24HRS'!G61,'28.09 Buddo-Kitemu-24h'!G61)</f>
        <v>0.5</v>
      </c>
      <c r="H61" s="49">
        <f>AVERAGE('26.09 Buddo-Kitemu-24HRS'!H61,'28.09 Buddo-Kitemu-24h'!H61)</f>
        <v>0</v>
      </c>
      <c r="I61" s="49">
        <f>AVERAGE('26.09 Buddo-Kitemu-24HRS'!I61,'28.09 Buddo-Kitemu-24h'!I61)</f>
        <v>0.5</v>
      </c>
      <c r="J61" s="49">
        <f>AVERAGE('26.09 Buddo-Kitemu-24HRS'!J61,'28.09 Buddo-Kitemu-24h'!J61)</f>
        <v>0</v>
      </c>
      <c r="K61" s="49">
        <f>AVERAGE('26.09 Buddo-Kitemu-24HRS'!K61,'28.09 Buddo-Kitemu-24h'!K61)</f>
        <v>0</v>
      </c>
      <c r="L61" s="49">
        <f>AVERAGE('26.09 Buddo-Kitemu-24HRS'!L61,'28.09 Buddo-Kitemu-24h'!L61)</f>
        <v>0</v>
      </c>
      <c r="M61" s="49">
        <f>AVERAGE('26.09 Buddo-Kitemu-24HRS'!M61,'28.09 Buddo-Kitemu-24h'!M61)</f>
        <v>43.5</v>
      </c>
      <c r="N61" s="49">
        <f>AVERAGE('26.09 Buddo-Kitemu-24HRS'!N61,'28.09 Buddo-Kitemu-24h'!N61)</f>
        <v>0</v>
      </c>
      <c r="O61" s="15">
        <f t="shared" si="0"/>
        <v>5.5</v>
      </c>
      <c r="P61" s="15">
        <f t="shared" si="1"/>
        <v>49</v>
      </c>
      <c r="R61" s="8"/>
      <c r="T61"/>
    </row>
    <row r="62" spans="2:20" ht="23.1" customHeight="1" x14ac:dyDescent="0.25">
      <c r="B62" s="23" t="s">
        <v>107</v>
      </c>
      <c r="C62" s="49">
        <f>AVERAGE('26.09 Buddo-Kitemu-24HRS'!C62,'28.09 Buddo-Kitemu-24h'!C62)</f>
        <v>4</v>
      </c>
      <c r="D62" s="49">
        <f>AVERAGE('26.09 Buddo-Kitemu-24HRS'!D62,'28.09 Buddo-Kitemu-24h'!D62)</f>
        <v>0</v>
      </c>
      <c r="E62" s="49">
        <f>AVERAGE('26.09 Buddo-Kitemu-24HRS'!E62,'28.09 Buddo-Kitemu-24h'!E62)</f>
        <v>0</v>
      </c>
      <c r="F62" s="49">
        <f>AVERAGE('26.09 Buddo-Kitemu-24HRS'!F62,'28.09 Buddo-Kitemu-24h'!F62)</f>
        <v>0.5</v>
      </c>
      <c r="G62" s="49">
        <f>AVERAGE('26.09 Buddo-Kitemu-24HRS'!G62,'28.09 Buddo-Kitemu-24h'!G62)</f>
        <v>0</v>
      </c>
      <c r="H62" s="49">
        <f>AVERAGE('26.09 Buddo-Kitemu-24HRS'!H62,'28.09 Buddo-Kitemu-24h'!H62)</f>
        <v>0</v>
      </c>
      <c r="I62" s="49">
        <f>AVERAGE('26.09 Buddo-Kitemu-24HRS'!I62,'28.09 Buddo-Kitemu-24h'!I62)</f>
        <v>0.5</v>
      </c>
      <c r="J62" s="49">
        <f>AVERAGE('26.09 Buddo-Kitemu-24HRS'!J62,'28.09 Buddo-Kitemu-24h'!J62)</f>
        <v>0.5</v>
      </c>
      <c r="K62" s="49">
        <f>AVERAGE('26.09 Buddo-Kitemu-24HRS'!K62,'28.09 Buddo-Kitemu-24h'!K62)</f>
        <v>0</v>
      </c>
      <c r="L62" s="49">
        <f>AVERAGE('26.09 Buddo-Kitemu-24HRS'!L62,'28.09 Buddo-Kitemu-24h'!L62)</f>
        <v>0</v>
      </c>
      <c r="M62" s="49">
        <f>AVERAGE('26.09 Buddo-Kitemu-24HRS'!M62,'28.09 Buddo-Kitemu-24h'!M62)</f>
        <v>48</v>
      </c>
      <c r="N62" s="49">
        <f>AVERAGE('26.09 Buddo-Kitemu-24HRS'!N62,'28.09 Buddo-Kitemu-24h'!N62)</f>
        <v>0</v>
      </c>
      <c r="O62" s="15">
        <f t="shared" si="0"/>
        <v>5.5</v>
      </c>
      <c r="P62" s="15">
        <f t="shared" si="1"/>
        <v>53.5</v>
      </c>
      <c r="R62" s="8"/>
      <c r="T62"/>
    </row>
    <row r="63" spans="2:20" ht="23.1" customHeight="1" x14ac:dyDescent="0.25">
      <c r="B63" s="23" t="s">
        <v>108</v>
      </c>
      <c r="C63" s="49">
        <f>AVERAGE('26.09 Buddo-Kitemu-24HRS'!C63,'28.09 Buddo-Kitemu-24h'!C63)</f>
        <v>3</v>
      </c>
      <c r="D63" s="49">
        <f>AVERAGE('26.09 Buddo-Kitemu-24HRS'!D63,'28.09 Buddo-Kitemu-24h'!D63)</f>
        <v>0</v>
      </c>
      <c r="E63" s="49">
        <f>AVERAGE('26.09 Buddo-Kitemu-24HRS'!E63,'28.09 Buddo-Kitemu-24h'!E63)</f>
        <v>0.5</v>
      </c>
      <c r="F63" s="49">
        <f>AVERAGE('26.09 Buddo-Kitemu-24HRS'!F63,'28.09 Buddo-Kitemu-24h'!F63)</f>
        <v>1</v>
      </c>
      <c r="G63" s="49">
        <f>AVERAGE('26.09 Buddo-Kitemu-24HRS'!G63,'28.09 Buddo-Kitemu-24h'!G63)</f>
        <v>0</v>
      </c>
      <c r="H63" s="49">
        <f>AVERAGE('26.09 Buddo-Kitemu-24HRS'!H63,'28.09 Buddo-Kitemu-24h'!H63)</f>
        <v>0</v>
      </c>
      <c r="I63" s="49">
        <f>AVERAGE('26.09 Buddo-Kitemu-24HRS'!I63,'28.09 Buddo-Kitemu-24h'!I63)</f>
        <v>0</v>
      </c>
      <c r="J63" s="49">
        <f>AVERAGE('26.09 Buddo-Kitemu-24HRS'!J63,'28.09 Buddo-Kitemu-24h'!J63)</f>
        <v>1</v>
      </c>
      <c r="K63" s="49">
        <f>AVERAGE('26.09 Buddo-Kitemu-24HRS'!K63,'28.09 Buddo-Kitemu-24h'!K63)</f>
        <v>0</v>
      </c>
      <c r="L63" s="49">
        <f>AVERAGE('26.09 Buddo-Kitemu-24HRS'!L63,'28.09 Buddo-Kitemu-24h'!L63)</f>
        <v>0</v>
      </c>
      <c r="M63" s="49">
        <f>AVERAGE('26.09 Buddo-Kitemu-24HRS'!M63,'28.09 Buddo-Kitemu-24h'!M63)</f>
        <v>41.5</v>
      </c>
      <c r="N63" s="49">
        <f>AVERAGE('26.09 Buddo-Kitemu-24HRS'!N63,'28.09 Buddo-Kitemu-24h'!N63)</f>
        <v>0</v>
      </c>
      <c r="O63" s="15">
        <f t="shared" si="0"/>
        <v>5.5</v>
      </c>
      <c r="P63" s="15">
        <f t="shared" si="1"/>
        <v>47</v>
      </c>
      <c r="R63" s="8"/>
      <c r="T63"/>
    </row>
    <row r="64" spans="2:20" ht="23.1" customHeight="1" x14ac:dyDescent="0.25">
      <c r="B64" s="23" t="s">
        <v>109</v>
      </c>
      <c r="C64" s="49">
        <f>AVERAGE('26.09 Buddo-Kitemu-24HRS'!C64,'28.09 Buddo-Kitemu-24h'!C64)</f>
        <v>2</v>
      </c>
      <c r="D64" s="49">
        <f>AVERAGE('26.09 Buddo-Kitemu-24HRS'!D64,'28.09 Buddo-Kitemu-24h'!D64)</f>
        <v>1</v>
      </c>
      <c r="E64" s="49">
        <f>AVERAGE('26.09 Buddo-Kitemu-24HRS'!E64,'28.09 Buddo-Kitemu-24h'!E64)</f>
        <v>0.5</v>
      </c>
      <c r="F64" s="49">
        <f>AVERAGE('26.09 Buddo-Kitemu-24HRS'!F64,'28.09 Buddo-Kitemu-24h'!F64)</f>
        <v>1</v>
      </c>
      <c r="G64" s="49">
        <f>AVERAGE('26.09 Buddo-Kitemu-24HRS'!G64,'28.09 Buddo-Kitemu-24h'!G64)</f>
        <v>0</v>
      </c>
      <c r="H64" s="49">
        <f>AVERAGE('26.09 Buddo-Kitemu-24HRS'!H64,'28.09 Buddo-Kitemu-24h'!H64)</f>
        <v>0</v>
      </c>
      <c r="I64" s="49">
        <f>AVERAGE('26.09 Buddo-Kitemu-24HRS'!I64,'28.09 Buddo-Kitemu-24h'!I64)</f>
        <v>0.5</v>
      </c>
      <c r="J64" s="49">
        <f>AVERAGE('26.09 Buddo-Kitemu-24HRS'!J64,'28.09 Buddo-Kitemu-24h'!J64)</f>
        <v>1.5</v>
      </c>
      <c r="K64" s="49">
        <f>AVERAGE('26.09 Buddo-Kitemu-24HRS'!K64,'28.09 Buddo-Kitemu-24h'!K64)</f>
        <v>1</v>
      </c>
      <c r="L64" s="49">
        <f>AVERAGE('26.09 Buddo-Kitemu-24HRS'!L64,'28.09 Buddo-Kitemu-24h'!L64)</f>
        <v>0</v>
      </c>
      <c r="M64" s="49">
        <f>AVERAGE('26.09 Buddo-Kitemu-24HRS'!M64,'28.09 Buddo-Kitemu-24h'!M64)</f>
        <v>41</v>
      </c>
      <c r="N64" s="49">
        <f>AVERAGE('26.09 Buddo-Kitemu-24HRS'!N64,'28.09 Buddo-Kitemu-24h'!N64)</f>
        <v>0</v>
      </c>
      <c r="O64" s="15">
        <f t="shared" si="0"/>
        <v>7.5</v>
      </c>
      <c r="P64" s="15">
        <f t="shared" si="1"/>
        <v>48.5</v>
      </c>
      <c r="R64" s="8"/>
      <c r="T64"/>
    </row>
    <row r="65" spans="2:20" ht="23.1" customHeight="1" x14ac:dyDescent="0.25">
      <c r="B65" s="23" t="s">
        <v>158</v>
      </c>
      <c r="C65" s="49">
        <f>AVERAGE('26.09 Buddo-Kitemu-24HRS'!C65,'28.09 Buddo-Kitemu-24h'!C65)</f>
        <v>2.5</v>
      </c>
      <c r="D65" s="49">
        <f>AVERAGE('26.09 Buddo-Kitemu-24HRS'!D65,'28.09 Buddo-Kitemu-24h'!D65)</f>
        <v>0.5</v>
      </c>
      <c r="E65" s="49">
        <f>AVERAGE('26.09 Buddo-Kitemu-24HRS'!E65,'28.09 Buddo-Kitemu-24h'!E65)</f>
        <v>1</v>
      </c>
      <c r="F65" s="49">
        <f>AVERAGE('26.09 Buddo-Kitemu-24HRS'!F65,'28.09 Buddo-Kitemu-24h'!F65)</f>
        <v>1</v>
      </c>
      <c r="G65" s="49">
        <f>AVERAGE('26.09 Buddo-Kitemu-24HRS'!G65,'28.09 Buddo-Kitemu-24h'!G65)</f>
        <v>0</v>
      </c>
      <c r="H65" s="49">
        <f>AVERAGE('26.09 Buddo-Kitemu-24HRS'!H65,'28.09 Buddo-Kitemu-24h'!H65)</f>
        <v>0</v>
      </c>
      <c r="I65" s="49">
        <f>AVERAGE('26.09 Buddo-Kitemu-24HRS'!I65,'28.09 Buddo-Kitemu-24h'!I65)</f>
        <v>0.5</v>
      </c>
      <c r="J65" s="49">
        <f>AVERAGE('26.09 Buddo-Kitemu-24HRS'!J65,'28.09 Buddo-Kitemu-24h'!J65)</f>
        <v>0</v>
      </c>
      <c r="K65" s="49">
        <f>AVERAGE('26.09 Buddo-Kitemu-24HRS'!K65,'28.09 Buddo-Kitemu-24h'!K65)</f>
        <v>0</v>
      </c>
      <c r="L65" s="49">
        <f>AVERAGE('26.09 Buddo-Kitemu-24HRS'!L65,'28.09 Buddo-Kitemu-24h'!L65)</f>
        <v>0</v>
      </c>
      <c r="M65" s="49">
        <f>AVERAGE('26.09 Buddo-Kitemu-24HRS'!M65,'28.09 Buddo-Kitemu-24h'!M65)</f>
        <v>38</v>
      </c>
      <c r="N65" s="49">
        <f>AVERAGE('26.09 Buddo-Kitemu-24HRS'!N65,'28.09 Buddo-Kitemu-24h'!N65)</f>
        <v>0</v>
      </c>
      <c r="O65" s="15">
        <f t="shared" si="0"/>
        <v>5.5</v>
      </c>
      <c r="P65" s="15">
        <f t="shared" si="1"/>
        <v>43.5</v>
      </c>
      <c r="R65" s="8"/>
      <c r="T65"/>
    </row>
    <row r="66" spans="2:20" ht="23.1" customHeight="1" x14ac:dyDescent="0.25">
      <c r="B66" s="23" t="s">
        <v>103</v>
      </c>
      <c r="C66" s="49">
        <f>AVERAGE('26.09 Buddo-Kitemu-24HRS'!C66,'28.09 Buddo-Kitemu-24h'!C66)</f>
        <v>4</v>
      </c>
      <c r="D66" s="49">
        <f>AVERAGE('26.09 Buddo-Kitemu-24HRS'!D66,'28.09 Buddo-Kitemu-24h'!D66)</f>
        <v>0</v>
      </c>
      <c r="E66" s="49">
        <f>AVERAGE('26.09 Buddo-Kitemu-24HRS'!E66,'28.09 Buddo-Kitemu-24h'!E66)</f>
        <v>0</v>
      </c>
      <c r="F66" s="49">
        <f>AVERAGE('26.09 Buddo-Kitemu-24HRS'!F66,'28.09 Buddo-Kitemu-24h'!F66)</f>
        <v>2</v>
      </c>
      <c r="G66" s="49">
        <f>AVERAGE('26.09 Buddo-Kitemu-24HRS'!G66,'28.09 Buddo-Kitemu-24h'!G66)</f>
        <v>0</v>
      </c>
      <c r="H66" s="49">
        <f>AVERAGE('26.09 Buddo-Kitemu-24HRS'!H66,'28.09 Buddo-Kitemu-24h'!H66)</f>
        <v>0</v>
      </c>
      <c r="I66" s="49">
        <f>AVERAGE('26.09 Buddo-Kitemu-24HRS'!I66,'28.09 Buddo-Kitemu-24h'!I66)</f>
        <v>1</v>
      </c>
      <c r="J66" s="49">
        <f>AVERAGE('26.09 Buddo-Kitemu-24HRS'!J66,'28.09 Buddo-Kitemu-24h'!J66)</f>
        <v>0.5</v>
      </c>
      <c r="K66" s="49">
        <f>AVERAGE('26.09 Buddo-Kitemu-24HRS'!K66,'28.09 Buddo-Kitemu-24h'!K66)</f>
        <v>0</v>
      </c>
      <c r="L66" s="49">
        <f>AVERAGE('26.09 Buddo-Kitemu-24HRS'!L66,'28.09 Buddo-Kitemu-24h'!L66)</f>
        <v>0</v>
      </c>
      <c r="M66" s="49">
        <f>AVERAGE('26.09 Buddo-Kitemu-24HRS'!M66,'28.09 Buddo-Kitemu-24h'!M66)</f>
        <v>45.5</v>
      </c>
      <c r="N66" s="49">
        <f>AVERAGE('26.09 Buddo-Kitemu-24HRS'!N66,'28.09 Buddo-Kitemu-24h'!N66)</f>
        <v>0</v>
      </c>
      <c r="O66" s="15">
        <f t="shared" si="0"/>
        <v>7.5</v>
      </c>
      <c r="P66" s="15">
        <f t="shared" si="1"/>
        <v>53</v>
      </c>
      <c r="R66" s="8"/>
      <c r="T66"/>
    </row>
    <row r="67" spans="2:20" ht="23.1" customHeight="1" x14ac:dyDescent="0.25">
      <c r="B67" s="23" t="s">
        <v>104</v>
      </c>
      <c r="C67" s="49">
        <f>AVERAGE('26.09 Buddo-Kitemu-24HRS'!C67,'28.09 Buddo-Kitemu-24h'!C67)</f>
        <v>0</v>
      </c>
      <c r="D67" s="49">
        <f>AVERAGE('26.09 Buddo-Kitemu-24HRS'!D67,'28.09 Buddo-Kitemu-24h'!D67)</f>
        <v>0</v>
      </c>
      <c r="E67" s="49">
        <f>AVERAGE('26.09 Buddo-Kitemu-24HRS'!E67,'28.09 Buddo-Kitemu-24h'!E67)</f>
        <v>0</v>
      </c>
      <c r="F67" s="49">
        <f>AVERAGE('26.09 Buddo-Kitemu-24HRS'!F67,'28.09 Buddo-Kitemu-24h'!F67)</f>
        <v>0</v>
      </c>
      <c r="G67" s="49">
        <f>AVERAGE('26.09 Buddo-Kitemu-24HRS'!G67,'28.09 Buddo-Kitemu-24h'!G67)</f>
        <v>0</v>
      </c>
      <c r="H67" s="49">
        <f>AVERAGE('26.09 Buddo-Kitemu-24HRS'!H67,'28.09 Buddo-Kitemu-24h'!H67)</f>
        <v>0</v>
      </c>
      <c r="I67" s="49">
        <f>AVERAGE('26.09 Buddo-Kitemu-24HRS'!I67,'28.09 Buddo-Kitemu-24h'!I67)</f>
        <v>0</v>
      </c>
      <c r="J67" s="49">
        <f>AVERAGE('26.09 Buddo-Kitemu-24HRS'!J67,'28.09 Buddo-Kitemu-24h'!J67)</f>
        <v>1</v>
      </c>
      <c r="K67" s="49">
        <f>AVERAGE('26.09 Buddo-Kitemu-24HRS'!K67,'28.09 Buddo-Kitemu-24h'!K67)</f>
        <v>0</v>
      </c>
      <c r="L67" s="49">
        <f>AVERAGE('26.09 Buddo-Kitemu-24HRS'!L67,'28.09 Buddo-Kitemu-24h'!L67)</f>
        <v>0</v>
      </c>
      <c r="M67" s="49">
        <f>AVERAGE('26.09 Buddo-Kitemu-24HRS'!M67,'28.09 Buddo-Kitemu-24h'!M67)</f>
        <v>37</v>
      </c>
      <c r="N67" s="49">
        <f>AVERAGE('26.09 Buddo-Kitemu-24HRS'!N67,'28.09 Buddo-Kitemu-24h'!N67)</f>
        <v>0</v>
      </c>
      <c r="O67" s="15">
        <f t="shared" si="0"/>
        <v>1</v>
      </c>
      <c r="P67" s="15">
        <f t="shared" si="1"/>
        <v>38</v>
      </c>
      <c r="R67" s="8"/>
      <c r="T67"/>
    </row>
    <row r="68" spans="2:20" ht="23.1" customHeight="1" x14ac:dyDescent="0.25">
      <c r="B68" s="23" t="s">
        <v>105</v>
      </c>
      <c r="C68" s="49">
        <f>AVERAGE('26.09 Buddo-Kitemu-24HRS'!C68,'28.09 Buddo-Kitemu-24h'!C68)</f>
        <v>2</v>
      </c>
      <c r="D68" s="49">
        <f>AVERAGE('26.09 Buddo-Kitemu-24HRS'!D68,'28.09 Buddo-Kitemu-24h'!D68)</f>
        <v>0.5</v>
      </c>
      <c r="E68" s="49">
        <f>AVERAGE('26.09 Buddo-Kitemu-24HRS'!E68,'28.09 Buddo-Kitemu-24h'!E68)</f>
        <v>0</v>
      </c>
      <c r="F68" s="49">
        <f>AVERAGE('26.09 Buddo-Kitemu-24HRS'!F68,'28.09 Buddo-Kitemu-24h'!F68)</f>
        <v>1</v>
      </c>
      <c r="G68" s="49">
        <f>AVERAGE('26.09 Buddo-Kitemu-24HRS'!G68,'28.09 Buddo-Kitemu-24h'!G68)</f>
        <v>0</v>
      </c>
      <c r="H68" s="49">
        <f>AVERAGE('26.09 Buddo-Kitemu-24HRS'!H68,'28.09 Buddo-Kitemu-24h'!H68)</f>
        <v>0</v>
      </c>
      <c r="I68" s="49">
        <f>AVERAGE('26.09 Buddo-Kitemu-24HRS'!I68,'28.09 Buddo-Kitemu-24h'!I68)</f>
        <v>0.5</v>
      </c>
      <c r="J68" s="49">
        <f>AVERAGE('26.09 Buddo-Kitemu-24HRS'!J68,'28.09 Buddo-Kitemu-24h'!J68)</f>
        <v>0.5</v>
      </c>
      <c r="K68" s="49">
        <f>AVERAGE('26.09 Buddo-Kitemu-24HRS'!K68,'28.09 Buddo-Kitemu-24h'!K68)</f>
        <v>0</v>
      </c>
      <c r="L68" s="49">
        <f>AVERAGE('26.09 Buddo-Kitemu-24HRS'!L68,'28.09 Buddo-Kitemu-24h'!L68)</f>
        <v>0</v>
      </c>
      <c r="M68" s="49">
        <f>AVERAGE('26.09 Buddo-Kitemu-24HRS'!M68,'28.09 Buddo-Kitemu-24h'!M68)</f>
        <v>20</v>
      </c>
      <c r="N68" s="49">
        <f>AVERAGE('26.09 Buddo-Kitemu-24HRS'!N68,'28.09 Buddo-Kitemu-24h'!N68)</f>
        <v>0</v>
      </c>
      <c r="O68" s="15">
        <f t="shared" si="0"/>
        <v>4.5</v>
      </c>
      <c r="P68" s="15">
        <f t="shared" si="1"/>
        <v>24.5</v>
      </c>
      <c r="R68" s="8"/>
      <c r="T68"/>
    </row>
    <row r="69" spans="2:20" ht="23.1" customHeight="1" x14ac:dyDescent="0.25">
      <c r="B69" s="23" t="s">
        <v>106</v>
      </c>
      <c r="C69" s="49">
        <f>AVERAGE('26.09 Buddo-Kitemu-24HRS'!C69,'28.09 Buddo-Kitemu-24h'!C69)</f>
        <v>1.5</v>
      </c>
      <c r="D69" s="49">
        <f>AVERAGE('26.09 Buddo-Kitemu-24HRS'!D69,'28.09 Buddo-Kitemu-24h'!D69)</f>
        <v>0</v>
      </c>
      <c r="E69" s="49">
        <f>AVERAGE('26.09 Buddo-Kitemu-24HRS'!E69,'28.09 Buddo-Kitemu-24h'!E69)</f>
        <v>0.5</v>
      </c>
      <c r="F69" s="49">
        <f>AVERAGE('26.09 Buddo-Kitemu-24HRS'!F69,'28.09 Buddo-Kitemu-24h'!F69)</f>
        <v>0.5</v>
      </c>
      <c r="G69" s="49">
        <f>AVERAGE('26.09 Buddo-Kitemu-24HRS'!G69,'28.09 Buddo-Kitemu-24h'!G69)</f>
        <v>0</v>
      </c>
      <c r="H69" s="49">
        <f>AVERAGE('26.09 Buddo-Kitemu-24HRS'!H69,'28.09 Buddo-Kitemu-24h'!H69)</f>
        <v>0</v>
      </c>
      <c r="I69" s="49">
        <f>AVERAGE('26.09 Buddo-Kitemu-24HRS'!I69,'28.09 Buddo-Kitemu-24h'!I69)</f>
        <v>0</v>
      </c>
      <c r="J69" s="49">
        <f>AVERAGE('26.09 Buddo-Kitemu-24HRS'!J69,'28.09 Buddo-Kitemu-24h'!J69)</f>
        <v>0</v>
      </c>
      <c r="K69" s="49">
        <f>AVERAGE('26.09 Buddo-Kitemu-24HRS'!K69,'28.09 Buddo-Kitemu-24h'!K69)</f>
        <v>0</v>
      </c>
      <c r="L69" s="49">
        <f>AVERAGE('26.09 Buddo-Kitemu-24HRS'!L69,'28.09 Buddo-Kitemu-24h'!L69)</f>
        <v>0</v>
      </c>
      <c r="M69" s="49">
        <f>AVERAGE('26.09 Buddo-Kitemu-24HRS'!M69,'28.09 Buddo-Kitemu-24h'!M69)</f>
        <v>23.5</v>
      </c>
      <c r="N69" s="49">
        <f>AVERAGE('26.09 Buddo-Kitemu-24HRS'!N69,'28.09 Buddo-Kitemu-24h'!N69)</f>
        <v>0</v>
      </c>
      <c r="O69" s="15">
        <f t="shared" si="0"/>
        <v>2.5</v>
      </c>
      <c r="P69" s="15">
        <f t="shared" si="1"/>
        <v>26</v>
      </c>
      <c r="R69" s="8"/>
      <c r="T69"/>
    </row>
    <row r="70" spans="2:20" ht="23.1" customHeight="1" x14ac:dyDescent="0.25">
      <c r="B70" s="23" t="s">
        <v>110</v>
      </c>
      <c r="C70" s="49">
        <f>AVERAGE('26.09 Buddo-Kitemu-24HRS'!C70,'28.09 Buddo-Kitemu-24h'!C70)</f>
        <v>1.5</v>
      </c>
      <c r="D70" s="49">
        <f>AVERAGE('26.09 Buddo-Kitemu-24HRS'!D70,'28.09 Buddo-Kitemu-24h'!D70)</f>
        <v>0</v>
      </c>
      <c r="E70" s="49">
        <f>AVERAGE('26.09 Buddo-Kitemu-24HRS'!E70,'28.09 Buddo-Kitemu-24h'!E70)</f>
        <v>0</v>
      </c>
      <c r="F70" s="49">
        <f>AVERAGE('26.09 Buddo-Kitemu-24HRS'!F70,'28.09 Buddo-Kitemu-24h'!F70)</f>
        <v>0</v>
      </c>
      <c r="G70" s="49">
        <f>AVERAGE('26.09 Buddo-Kitemu-24HRS'!G70,'28.09 Buddo-Kitemu-24h'!G70)</f>
        <v>0</v>
      </c>
      <c r="H70" s="49">
        <f>AVERAGE('26.09 Buddo-Kitemu-24HRS'!H70,'28.09 Buddo-Kitemu-24h'!H70)</f>
        <v>0</v>
      </c>
      <c r="I70" s="49">
        <f>AVERAGE('26.09 Buddo-Kitemu-24HRS'!I70,'28.09 Buddo-Kitemu-24h'!I70)</f>
        <v>1</v>
      </c>
      <c r="J70" s="49">
        <f>AVERAGE('26.09 Buddo-Kitemu-24HRS'!J70,'28.09 Buddo-Kitemu-24h'!J70)</f>
        <v>0.5</v>
      </c>
      <c r="K70" s="49">
        <f>AVERAGE('26.09 Buddo-Kitemu-24HRS'!K70,'28.09 Buddo-Kitemu-24h'!K70)</f>
        <v>0</v>
      </c>
      <c r="L70" s="49">
        <f>AVERAGE('26.09 Buddo-Kitemu-24HRS'!L70,'28.09 Buddo-Kitemu-24h'!L70)</f>
        <v>0</v>
      </c>
      <c r="M70" s="49">
        <f>AVERAGE('26.09 Buddo-Kitemu-24HRS'!M70,'28.09 Buddo-Kitemu-24h'!M70)</f>
        <v>17.5</v>
      </c>
      <c r="N70" s="49">
        <f>AVERAGE('26.09 Buddo-Kitemu-24HRS'!N70,'28.09 Buddo-Kitemu-24h'!N70)</f>
        <v>0</v>
      </c>
      <c r="O70" s="15">
        <f t="shared" si="0"/>
        <v>3</v>
      </c>
      <c r="P70" s="15">
        <f t="shared" si="1"/>
        <v>20.5</v>
      </c>
      <c r="R70" s="8"/>
      <c r="T70"/>
    </row>
    <row r="71" spans="2:20" ht="23.1" customHeight="1" x14ac:dyDescent="0.25">
      <c r="B71" s="23" t="s">
        <v>111</v>
      </c>
      <c r="C71" s="49">
        <f>AVERAGE('26.09 Buddo-Kitemu-24HRS'!C71,'28.09 Buddo-Kitemu-24h'!C71)</f>
        <v>1.5</v>
      </c>
      <c r="D71" s="49">
        <f>AVERAGE('26.09 Buddo-Kitemu-24HRS'!D71,'28.09 Buddo-Kitemu-24h'!D71)</f>
        <v>0</v>
      </c>
      <c r="E71" s="49">
        <f>AVERAGE('26.09 Buddo-Kitemu-24HRS'!E71,'28.09 Buddo-Kitemu-24h'!E71)</f>
        <v>0</v>
      </c>
      <c r="F71" s="49">
        <f>AVERAGE('26.09 Buddo-Kitemu-24HRS'!F71,'28.09 Buddo-Kitemu-24h'!F71)</f>
        <v>0.5</v>
      </c>
      <c r="G71" s="49">
        <f>AVERAGE('26.09 Buddo-Kitemu-24HRS'!G71,'28.09 Buddo-Kitemu-24h'!G71)</f>
        <v>0</v>
      </c>
      <c r="H71" s="49">
        <f>AVERAGE('26.09 Buddo-Kitemu-24HRS'!H71,'28.09 Buddo-Kitemu-24h'!H71)</f>
        <v>0</v>
      </c>
      <c r="I71" s="49">
        <f>AVERAGE('26.09 Buddo-Kitemu-24HRS'!I71,'28.09 Buddo-Kitemu-24h'!I71)</f>
        <v>1</v>
      </c>
      <c r="J71" s="49">
        <f>AVERAGE('26.09 Buddo-Kitemu-24HRS'!J71,'28.09 Buddo-Kitemu-24h'!J71)</f>
        <v>0</v>
      </c>
      <c r="K71" s="49">
        <f>AVERAGE('26.09 Buddo-Kitemu-24HRS'!K71,'28.09 Buddo-Kitemu-24h'!K71)</f>
        <v>0.5</v>
      </c>
      <c r="L71" s="49">
        <f>AVERAGE('26.09 Buddo-Kitemu-24HRS'!L71,'28.09 Buddo-Kitemu-24h'!L71)</f>
        <v>0</v>
      </c>
      <c r="M71" s="49">
        <f>AVERAGE('26.09 Buddo-Kitemu-24HRS'!M71,'28.09 Buddo-Kitemu-24h'!M71)</f>
        <v>14.5</v>
      </c>
      <c r="N71" s="49">
        <f>AVERAGE('26.09 Buddo-Kitemu-24HRS'!N71,'28.09 Buddo-Kitemu-24h'!N71)</f>
        <v>0</v>
      </c>
      <c r="O71" s="15">
        <f t="shared" si="0"/>
        <v>3.5</v>
      </c>
      <c r="P71" s="15">
        <f t="shared" si="1"/>
        <v>18</v>
      </c>
      <c r="R71" s="8"/>
      <c r="T71"/>
    </row>
    <row r="72" spans="2:20" ht="23.1" customHeight="1" x14ac:dyDescent="0.25">
      <c r="B72" s="23" t="s">
        <v>112</v>
      </c>
      <c r="C72" s="49">
        <f>AVERAGE('26.09 Buddo-Kitemu-24HRS'!C72,'28.09 Buddo-Kitemu-24h'!C72)</f>
        <v>0.5</v>
      </c>
      <c r="D72" s="49">
        <f>AVERAGE('26.09 Buddo-Kitemu-24HRS'!D72,'28.09 Buddo-Kitemu-24h'!D72)</f>
        <v>0</v>
      </c>
      <c r="E72" s="49">
        <f>AVERAGE('26.09 Buddo-Kitemu-24HRS'!E72,'28.09 Buddo-Kitemu-24h'!E72)</f>
        <v>0</v>
      </c>
      <c r="F72" s="49">
        <f>AVERAGE('26.09 Buddo-Kitemu-24HRS'!F72,'28.09 Buddo-Kitemu-24h'!F72)</f>
        <v>0.5</v>
      </c>
      <c r="G72" s="49">
        <f>AVERAGE('26.09 Buddo-Kitemu-24HRS'!G72,'28.09 Buddo-Kitemu-24h'!G72)</f>
        <v>0</v>
      </c>
      <c r="H72" s="49">
        <f>AVERAGE('26.09 Buddo-Kitemu-24HRS'!H72,'28.09 Buddo-Kitemu-24h'!H72)</f>
        <v>0</v>
      </c>
      <c r="I72" s="49">
        <f>AVERAGE('26.09 Buddo-Kitemu-24HRS'!I72,'28.09 Buddo-Kitemu-24h'!I72)</f>
        <v>0</v>
      </c>
      <c r="J72" s="49">
        <f>AVERAGE('26.09 Buddo-Kitemu-24HRS'!J72,'28.09 Buddo-Kitemu-24h'!J72)</f>
        <v>0</v>
      </c>
      <c r="K72" s="49">
        <f>AVERAGE('26.09 Buddo-Kitemu-24HRS'!K72,'28.09 Buddo-Kitemu-24h'!K72)</f>
        <v>0</v>
      </c>
      <c r="L72" s="49">
        <f>AVERAGE('26.09 Buddo-Kitemu-24HRS'!L72,'28.09 Buddo-Kitemu-24h'!L72)</f>
        <v>0</v>
      </c>
      <c r="M72" s="49">
        <f>AVERAGE('26.09 Buddo-Kitemu-24HRS'!M72,'28.09 Buddo-Kitemu-24h'!M72)</f>
        <v>19</v>
      </c>
      <c r="N72" s="49">
        <f>AVERAGE('26.09 Buddo-Kitemu-24HRS'!N72,'28.09 Buddo-Kitemu-24h'!N72)</f>
        <v>0</v>
      </c>
      <c r="O72" s="15">
        <f t="shared" si="0"/>
        <v>1</v>
      </c>
      <c r="P72" s="15">
        <f t="shared" si="1"/>
        <v>20</v>
      </c>
      <c r="R72" s="8"/>
      <c r="T72"/>
    </row>
    <row r="73" spans="2:20" ht="23.1" customHeight="1" x14ac:dyDescent="0.25">
      <c r="B73" s="23" t="s">
        <v>113</v>
      </c>
      <c r="C73" s="49">
        <f>AVERAGE('26.09 Buddo-Kitemu-24HRS'!C73,'28.09 Buddo-Kitemu-24h'!C73)</f>
        <v>1.5</v>
      </c>
      <c r="D73" s="49">
        <f>AVERAGE('26.09 Buddo-Kitemu-24HRS'!D73,'28.09 Buddo-Kitemu-24h'!D73)</f>
        <v>0</v>
      </c>
      <c r="E73" s="49">
        <f>AVERAGE('26.09 Buddo-Kitemu-24HRS'!E73,'28.09 Buddo-Kitemu-24h'!E73)</f>
        <v>0</v>
      </c>
      <c r="F73" s="49">
        <f>AVERAGE('26.09 Buddo-Kitemu-24HRS'!F73,'28.09 Buddo-Kitemu-24h'!F73)</f>
        <v>0</v>
      </c>
      <c r="G73" s="49">
        <f>AVERAGE('26.09 Buddo-Kitemu-24HRS'!G73,'28.09 Buddo-Kitemu-24h'!G73)</f>
        <v>0</v>
      </c>
      <c r="H73" s="49">
        <f>AVERAGE('26.09 Buddo-Kitemu-24HRS'!H73,'28.09 Buddo-Kitemu-24h'!H73)</f>
        <v>0</v>
      </c>
      <c r="I73" s="49">
        <f>AVERAGE('26.09 Buddo-Kitemu-24HRS'!I73,'28.09 Buddo-Kitemu-24h'!I73)</f>
        <v>0.5</v>
      </c>
      <c r="J73" s="49">
        <f>AVERAGE('26.09 Buddo-Kitemu-24HRS'!J73,'28.09 Buddo-Kitemu-24h'!J73)</f>
        <v>0</v>
      </c>
      <c r="K73" s="49">
        <f>AVERAGE('26.09 Buddo-Kitemu-24HRS'!K73,'28.09 Buddo-Kitemu-24h'!K73)</f>
        <v>0</v>
      </c>
      <c r="L73" s="49">
        <f>AVERAGE('26.09 Buddo-Kitemu-24HRS'!L73,'28.09 Buddo-Kitemu-24h'!L73)</f>
        <v>0</v>
      </c>
      <c r="M73" s="49">
        <f>AVERAGE('26.09 Buddo-Kitemu-24HRS'!M73,'28.09 Buddo-Kitemu-24h'!M73)</f>
        <v>22</v>
      </c>
      <c r="N73" s="49">
        <f>AVERAGE('26.09 Buddo-Kitemu-24HRS'!N73,'28.09 Buddo-Kitemu-24h'!N73)</f>
        <v>0</v>
      </c>
      <c r="O73" s="15">
        <f t="shared" si="0"/>
        <v>2</v>
      </c>
      <c r="P73" s="15">
        <f t="shared" si="1"/>
        <v>24</v>
      </c>
      <c r="R73" s="8"/>
      <c r="T73"/>
    </row>
    <row r="74" spans="2:20" ht="23.1" customHeight="1" x14ac:dyDescent="0.25">
      <c r="B74" s="23" t="s">
        <v>114</v>
      </c>
      <c r="C74" s="49">
        <f>AVERAGE('26.09 Buddo-Kitemu-24HRS'!C74,'28.09 Buddo-Kitemu-24h'!C74)</f>
        <v>1.5</v>
      </c>
      <c r="D74" s="49">
        <f>AVERAGE('26.09 Buddo-Kitemu-24HRS'!D74,'28.09 Buddo-Kitemu-24h'!D74)</f>
        <v>0</v>
      </c>
      <c r="E74" s="49">
        <f>AVERAGE('26.09 Buddo-Kitemu-24HRS'!E74,'28.09 Buddo-Kitemu-24h'!E74)</f>
        <v>0</v>
      </c>
      <c r="F74" s="49">
        <f>AVERAGE('26.09 Buddo-Kitemu-24HRS'!F74,'28.09 Buddo-Kitemu-24h'!F74)</f>
        <v>0.5</v>
      </c>
      <c r="G74" s="49">
        <f>AVERAGE('26.09 Buddo-Kitemu-24HRS'!G74,'28.09 Buddo-Kitemu-24h'!G74)</f>
        <v>0</v>
      </c>
      <c r="H74" s="49">
        <f>AVERAGE('26.09 Buddo-Kitemu-24HRS'!H74,'28.09 Buddo-Kitemu-24h'!H74)</f>
        <v>0</v>
      </c>
      <c r="I74" s="49">
        <f>AVERAGE('26.09 Buddo-Kitemu-24HRS'!I74,'28.09 Buddo-Kitemu-24h'!I74)</f>
        <v>0.5</v>
      </c>
      <c r="J74" s="49">
        <f>AVERAGE('26.09 Buddo-Kitemu-24HRS'!J74,'28.09 Buddo-Kitemu-24h'!J74)</f>
        <v>0.5</v>
      </c>
      <c r="K74" s="49">
        <f>AVERAGE('26.09 Buddo-Kitemu-24HRS'!K74,'28.09 Buddo-Kitemu-24h'!K74)</f>
        <v>0</v>
      </c>
      <c r="L74" s="49">
        <f>AVERAGE('26.09 Buddo-Kitemu-24HRS'!L74,'28.09 Buddo-Kitemu-24h'!L74)</f>
        <v>0</v>
      </c>
      <c r="M74" s="49">
        <f>AVERAGE('26.09 Buddo-Kitemu-24HRS'!M74,'28.09 Buddo-Kitemu-24h'!M74)</f>
        <v>27</v>
      </c>
      <c r="N74" s="49">
        <f>AVERAGE('26.09 Buddo-Kitemu-24HRS'!N74,'28.09 Buddo-Kitemu-24h'!N74)</f>
        <v>0</v>
      </c>
      <c r="O74" s="15">
        <f t="shared" ref="O74:O105" si="35">SUM(C74:L74,N74)</f>
        <v>3</v>
      </c>
      <c r="P74" s="15">
        <f t="shared" ref="P74:P105" si="36">SUM(C74:N74)</f>
        <v>30</v>
      </c>
      <c r="R74" s="8"/>
      <c r="T74"/>
    </row>
    <row r="75" spans="2:20" ht="23.1" customHeight="1" x14ac:dyDescent="0.25">
      <c r="B75" s="23" t="s">
        <v>115</v>
      </c>
      <c r="C75" s="49">
        <f>AVERAGE('26.09 Buddo-Kitemu-24HRS'!C75,'28.09 Buddo-Kitemu-24h'!C75)</f>
        <v>3.5</v>
      </c>
      <c r="D75" s="49">
        <f>AVERAGE('26.09 Buddo-Kitemu-24HRS'!D75,'28.09 Buddo-Kitemu-24h'!D75)</f>
        <v>0</v>
      </c>
      <c r="E75" s="49">
        <f>AVERAGE('26.09 Buddo-Kitemu-24HRS'!E75,'28.09 Buddo-Kitemu-24h'!E75)</f>
        <v>0.5</v>
      </c>
      <c r="F75" s="49">
        <f>AVERAGE('26.09 Buddo-Kitemu-24HRS'!F75,'28.09 Buddo-Kitemu-24h'!F75)</f>
        <v>1</v>
      </c>
      <c r="G75" s="49">
        <f>AVERAGE('26.09 Buddo-Kitemu-24HRS'!G75,'28.09 Buddo-Kitemu-24h'!G75)</f>
        <v>0</v>
      </c>
      <c r="H75" s="49">
        <f>AVERAGE('26.09 Buddo-Kitemu-24HRS'!H75,'28.09 Buddo-Kitemu-24h'!H75)</f>
        <v>0</v>
      </c>
      <c r="I75" s="49">
        <f>AVERAGE('26.09 Buddo-Kitemu-24HRS'!I75,'28.09 Buddo-Kitemu-24h'!I75)</f>
        <v>0</v>
      </c>
      <c r="J75" s="49">
        <f>AVERAGE('26.09 Buddo-Kitemu-24HRS'!J75,'28.09 Buddo-Kitemu-24h'!J75)</f>
        <v>0</v>
      </c>
      <c r="K75" s="49">
        <f>AVERAGE('26.09 Buddo-Kitemu-24HRS'!K75,'28.09 Buddo-Kitemu-24h'!K75)</f>
        <v>0</v>
      </c>
      <c r="L75" s="49">
        <f>AVERAGE('26.09 Buddo-Kitemu-24HRS'!L75,'28.09 Buddo-Kitemu-24h'!L75)</f>
        <v>0</v>
      </c>
      <c r="M75" s="49">
        <f>AVERAGE('26.09 Buddo-Kitemu-24HRS'!M75,'28.09 Buddo-Kitemu-24h'!M75)</f>
        <v>32</v>
      </c>
      <c r="N75" s="49">
        <f>AVERAGE('26.09 Buddo-Kitemu-24HRS'!N75,'28.09 Buddo-Kitemu-24h'!N75)</f>
        <v>0</v>
      </c>
      <c r="O75" s="15">
        <f t="shared" si="35"/>
        <v>5</v>
      </c>
      <c r="P75" s="15">
        <f t="shared" si="36"/>
        <v>37</v>
      </c>
      <c r="R75" s="8"/>
      <c r="T75"/>
    </row>
    <row r="76" spans="2:20" ht="23.1" customHeight="1" x14ac:dyDescent="0.25">
      <c r="B76" s="23" t="s">
        <v>116</v>
      </c>
      <c r="C76" s="49">
        <f>AVERAGE('26.09 Buddo-Kitemu-24HRS'!C76,'28.09 Buddo-Kitemu-24h'!C76)</f>
        <v>3</v>
      </c>
      <c r="D76" s="49">
        <f>AVERAGE('26.09 Buddo-Kitemu-24HRS'!D76,'28.09 Buddo-Kitemu-24h'!D76)</f>
        <v>0</v>
      </c>
      <c r="E76" s="49">
        <f>AVERAGE('26.09 Buddo-Kitemu-24HRS'!E76,'28.09 Buddo-Kitemu-24h'!E76)</f>
        <v>0</v>
      </c>
      <c r="F76" s="49">
        <f>AVERAGE('26.09 Buddo-Kitemu-24HRS'!F76,'28.09 Buddo-Kitemu-24h'!F76)</f>
        <v>0.5</v>
      </c>
      <c r="G76" s="49">
        <f>AVERAGE('26.09 Buddo-Kitemu-24HRS'!G76,'28.09 Buddo-Kitemu-24h'!G76)</f>
        <v>0</v>
      </c>
      <c r="H76" s="49">
        <f>AVERAGE('26.09 Buddo-Kitemu-24HRS'!H76,'28.09 Buddo-Kitemu-24h'!H76)</f>
        <v>0</v>
      </c>
      <c r="I76" s="49">
        <f>AVERAGE('26.09 Buddo-Kitemu-24HRS'!I76,'28.09 Buddo-Kitemu-24h'!I76)</f>
        <v>0</v>
      </c>
      <c r="J76" s="49">
        <f>AVERAGE('26.09 Buddo-Kitemu-24HRS'!J76,'28.09 Buddo-Kitemu-24h'!J76)</f>
        <v>1</v>
      </c>
      <c r="K76" s="49">
        <f>AVERAGE('26.09 Buddo-Kitemu-24HRS'!K76,'28.09 Buddo-Kitemu-24h'!K76)</f>
        <v>0</v>
      </c>
      <c r="L76" s="49">
        <f>AVERAGE('26.09 Buddo-Kitemu-24HRS'!L76,'28.09 Buddo-Kitemu-24h'!L76)</f>
        <v>0</v>
      </c>
      <c r="M76" s="49">
        <f>AVERAGE('26.09 Buddo-Kitemu-24HRS'!M76,'28.09 Buddo-Kitemu-24h'!M76)</f>
        <v>21.5</v>
      </c>
      <c r="N76" s="49">
        <f>AVERAGE('26.09 Buddo-Kitemu-24HRS'!N76,'28.09 Buddo-Kitemu-24h'!N76)</f>
        <v>0</v>
      </c>
      <c r="O76" s="15">
        <f t="shared" si="35"/>
        <v>4.5</v>
      </c>
      <c r="P76" s="15">
        <f t="shared" si="36"/>
        <v>26</v>
      </c>
      <c r="R76" s="8"/>
      <c r="T76"/>
    </row>
    <row r="77" spans="2:20" ht="23.1" customHeight="1" x14ac:dyDescent="0.25">
      <c r="B77" s="23" t="s">
        <v>117</v>
      </c>
      <c r="C77" s="49">
        <f>AVERAGE('26.09 Buddo-Kitemu-24HRS'!C77,'28.09 Buddo-Kitemu-24h'!C77)</f>
        <v>1.5</v>
      </c>
      <c r="D77" s="49">
        <f>AVERAGE('26.09 Buddo-Kitemu-24HRS'!D77,'28.09 Buddo-Kitemu-24h'!D77)</f>
        <v>0</v>
      </c>
      <c r="E77" s="49">
        <f>AVERAGE('26.09 Buddo-Kitemu-24HRS'!E77,'28.09 Buddo-Kitemu-24h'!E77)</f>
        <v>0</v>
      </c>
      <c r="F77" s="49">
        <f>AVERAGE('26.09 Buddo-Kitemu-24HRS'!F77,'28.09 Buddo-Kitemu-24h'!F77)</f>
        <v>0</v>
      </c>
      <c r="G77" s="49">
        <f>AVERAGE('26.09 Buddo-Kitemu-24HRS'!G77,'28.09 Buddo-Kitemu-24h'!G77)</f>
        <v>0</v>
      </c>
      <c r="H77" s="49">
        <f>AVERAGE('26.09 Buddo-Kitemu-24HRS'!H77,'28.09 Buddo-Kitemu-24h'!H77)</f>
        <v>0</v>
      </c>
      <c r="I77" s="49">
        <f>AVERAGE('26.09 Buddo-Kitemu-24HRS'!I77,'28.09 Buddo-Kitemu-24h'!I77)</f>
        <v>0.5</v>
      </c>
      <c r="J77" s="49">
        <f>AVERAGE('26.09 Buddo-Kitemu-24HRS'!J77,'28.09 Buddo-Kitemu-24h'!J77)</f>
        <v>0</v>
      </c>
      <c r="K77" s="49">
        <f>AVERAGE('26.09 Buddo-Kitemu-24HRS'!K77,'28.09 Buddo-Kitemu-24h'!K77)</f>
        <v>0</v>
      </c>
      <c r="L77" s="49">
        <f>AVERAGE('26.09 Buddo-Kitemu-24HRS'!L77,'28.09 Buddo-Kitemu-24h'!L77)</f>
        <v>0</v>
      </c>
      <c r="M77" s="49">
        <f>AVERAGE('26.09 Buddo-Kitemu-24HRS'!M77,'28.09 Buddo-Kitemu-24h'!M77)</f>
        <v>20</v>
      </c>
      <c r="N77" s="49">
        <f>AVERAGE('26.09 Buddo-Kitemu-24HRS'!N77,'28.09 Buddo-Kitemu-24h'!N77)</f>
        <v>0</v>
      </c>
      <c r="O77" s="15">
        <f t="shared" si="35"/>
        <v>2</v>
      </c>
      <c r="P77" s="15">
        <f t="shared" si="36"/>
        <v>22</v>
      </c>
      <c r="R77" s="8"/>
      <c r="T77"/>
    </row>
    <row r="78" spans="2:20" ht="23.1" customHeight="1" x14ac:dyDescent="0.25">
      <c r="B78" s="24" t="s">
        <v>118</v>
      </c>
      <c r="C78" s="49">
        <f>AVERAGE('26.09 Buddo-Kitemu-24HRS'!C78,'28.09 Buddo-Kitemu-24h'!C78)</f>
        <v>0.5</v>
      </c>
      <c r="D78" s="49">
        <f>AVERAGE('26.09 Buddo-Kitemu-24HRS'!D78,'28.09 Buddo-Kitemu-24h'!D78)</f>
        <v>0</v>
      </c>
      <c r="E78" s="49">
        <f>AVERAGE('26.09 Buddo-Kitemu-24HRS'!E78,'28.09 Buddo-Kitemu-24h'!E78)</f>
        <v>0</v>
      </c>
      <c r="F78" s="49">
        <f>AVERAGE('26.09 Buddo-Kitemu-24HRS'!F78,'28.09 Buddo-Kitemu-24h'!F78)</f>
        <v>0</v>
      </c>
      <c r="G78" s="49">
        <f>AVERAGE('26.09 Buddo-Kitemu-24HRS'!G78,'28.09 Buddo-Kitemu-24h'!G78)</f>
        <v>0</v>
      </c>
      <c r="H78" s="49">
        <f>AVERAGE('26.09 Buddo-Kitemu-24HRS'!H78,'28.09 Buddo-Kitemu-24h'!H78)</f>
        <v>0</v>
      </c>
      <c r="I78" s="49">
        <f>AVERAGE('26.09 Buddo-Kitemu-24HRS'!I78,'28.09 Buddo-Kitemu-24h'!I78)</f>
        <v>0.5</v>
      </c>
      <c r="J78" s="49">
        <f>AVERAGE('26.09 Buddo-Kitemu-24HRS'!J78,'28.09 Buddo-Kitemu-24h'!J78)</f>
        <v>0</v>
      </c>
      <c r="K78" s="49">
        <f>AVERAGE('26.09 Buddo-Kitemu-24HRS'!K78,'28.09 Buddo-Kitemu-24h'!K78)</f>
        <v>0</v>
      </c>
      <c r="L78" s="49">
        <f>AVERAGE('26.09 Buddo-Kitemu-24HRS'!L78,'28.09 Buddo-Kitemu-24h'!L78)</f>
        <v>0</v>
      </c>
      <c r="M78" s="49">
        <f>AVERAGE('26.09 Buddo-Kitemu-24HRS'!M78,'28.09 Buddo-Kitemu-24h'!M78)</f>
        <v>14</v>
      </c>
      <c r="N78" s="49">
        <f>AVERAGE('26.09 Buddo-Kitemu-24HRS'!N78,'28.09 Buddo-Kitemu-24h'!N78)</f>
        <v>0</v>
      </c>
      <c r="O78" s="15">
        <f t="shared" si="35"/>
        <v>1</v>
      </c>
      <c r="P78" s="15">
        <f t="shared" si="36"/>
        <v>15</v>
      </c>
      <c r="R78" s="8"/>
      <c r="T78"/>
    </row>
    <row r="79" spans="2:20" ht="23.1" customHeight="1" x14ac:dyDescent="0.25">
      <c r="B79" s="23" t="s">
        <v>119</v>
      </c>
      <c r="C79" s="49">
        <f>AVERAGE('26.09 Buddo-Kitemu-24HRS'!C79,'28.09 Buddo-Kitemu-24h'!C79)</f>
        <v>0.5</v>
      </c>
      <c r="D79" s="49">
        <f>AVERAGE('26.09 Buddo-Kitemu-24HRS'!D79,'28.09 Buddo-Kitemu-24h'!D79)</f>
        <v>0</v>
      </c>
      <c r="E79" s="49">
        <f>AVERAGE('26.09 Buddo-Kitemu-24HRS'!E79,'28.09 Buddo-Kitemu-24h'!E79)</f>
        <v>0</v>
      </c>
      <c r="F79" s="49">
        <f>AVERAGE('26.09 Buddo-Kitemu-24HRS'!F79,'28.09 Buddo-Kitemu-24h'!F79)</f>
        <v>0</v>
      </c>
      <c r="G79" s="49">
        <f>AVERAGE('26.09 Buddo-Kitemu-24HRS'!G79,'28.09 Buddo-Kitemu-24h'!G79)</f>
        <v>0</v>
      </c>
      <c r="H79" s="49">
        <f>AVERAGE('26.09 Buddo-Kitemu-24HRS'!H79,'28.09 Buddo-Kitemu-24h'!H79)</f>
        <v>0</v>
      </c>
      <c r="I79" s="49">
        <f>AVERAGE('26.09 Buddo-Kitemu-24HRS'!I79,'28.09 Buddo-Kitemu-24h'!I79)</f>
        <v>0</v>
      </c>
      <c r="J79" s="49">
        <f>AVERAGE('26.09 Buddo-Kitemu-24HRS'!J79,'28.09 Buddo-Kitemu-24h'!J79)</f>
        <v>0</v>
      </c>
      <c r="K79" s="49">
        <f>AVERAGE('26.09 Buddo-Kitemu-24HRS'!K79,'28.09 Buddo-Kitemu-24h'!K79)</f>
        <v>0.5</v>
      </c>
      <c r="L79" s="49">
        <f>AVERAGE('26.09 Buddo-Kitemu-24HRS'!L79,'28.09 Buddo-Kitemu-24h'!L79)</f>
        <v>0</v>
      </c>
      <c r="M79" s="49">
        <f>AVERAGE('26.09 Buddo-Kitemu-24HRS'!M79,'28.09 Buddo-Kitemu-24h'!M79)</f>
        <v>14</v>
      </c>
      <c r="N79" s="49">
        <f>AVERAGE('26.09 Buddo-Kitemu-24HRS'!N79,'28.09 Buddo-Kitemu-24h'!N79)</f>
        <v>0</v>
      </c>
      <c r="O79" s="15">
        <f t="shared" si="35"/>
        <v>1</v>
      </c>
      <c r="P79" s="15">
        <f t="shared" si="36"/>
        <v>15</v>
      </c>
      <c r="R79" s="8"/>
      <c r="T79"/>
    </row>
    <row r="80" spans="2:20" ht="23.1" customHeight="1" x14ac:dyDescent="0.25">
      <c r="B80" s="25" t="s">
        <v>120</v>
      </c>
      <c r="C80" s="49">
        <f>AVERAGE('26.09 Buddo-Kitemu-24HRS'!C80,'28.09 Buddo-Kitemu-24h'!C80)</f>
        <v>0</v>
      </c>
      <c r="D80" s="49">
        <f>AVERAGE('26.09 Buddo-Kitemu-24HRS'!D80,'28.09 Buddo-Kitemu-24h'!D80)</f>
        <v>0</v>
      </c>
      <c r="E80" s="49">
        <f>AVERAGE('26.09 Buddo-Kitemu-24HRS'!E80,'28.09 Buddo-Kitemu-24h'!E80)</f>
        <v>0</v>
      </c>
      <c r="F80" s="49">
        <f>AVERAGE('26.09 Buddo-Kitemu-24HRS'!F80,'28.09 Buddo-Kitemu-24h'!F80)</f>
        <v>0</v>
      </c>
      <c r="G80" s="49">
        <f>AVERAGE('26.09 Buddo-Kitemu-24HRS'!G80,'28.09 Buddo-Kitemu-24h'!G80)</f>
        <v>0</v>
      </c>
      <c r="H80" s="49">
        <f>AVERAGE('26.09 Buddo-Kitemu-24HRS'!H80,'28.09 Buddo-Kitemu-24h'!H80)</f>
        <v>0</v>
      </c>
      <c r="I80" s="49">
        <f>AVERAGE('26.09 Buddo-Kitemu-24HRS'!I80,'28.09 Buddo-Kitemu-24h'!I80)</f>
        <v>0</v>
      </c>
      <c r="J80" s="49">
        <f>AVERAGE('26.09 Buddo-Kitemu-24HRS'!J80,'28.09 Buddo-Kitemu-24h'!J80)</f>
        <v>0</v>
      </c>
      <c r="K80" s="49">
        <f>AVERAGE('26.09 Buddo-Kitemu-24HRS'!K80,'28.09 Buddo-Kitemu-24h'!K80)</f>
        <v>0</v>
      </c>
      <c r="L80" s="49">
        <f>AVERAGE('26.09 Buddo-Kitemu-24HRS'!L80,'28.09 Buddo-Kitemu-24h'!L80)</f>
        <v>0</v>
      </c>
      <c r="M80" s="49">
        <f>AVERAGE('26.09 Buddo-Kitemu-24HRS'!M80,'28.09 Buddo-Kitemu-24h'!M80)</f>
        <v>6.5</v>
      </c>
      <c r="N80" s="49">
        <f>AVERAGE('26.09 Buddo-Kitemu-24HRS'!N80,'28.09 Buddo-Kitemu-24h'!N80)</f>
        <v>0</v>
      </c>
      <c r="O80" s="15">
        <f t="shared" si="35"/>
        <v>0</v>
      </c>
      <c r="P80" s="15">
        <f t="shared" si="36"/>
        <v>6.5</v>
      </c>
      <c r="R80" s="8"/>
      <c r="T80"/>
    </row>
    <row r="81" spans="2:20" ht="23.1" customHeight="1" x14ac:dyDescent="0.25">
      <c r="B81" s="23" t="s">
        <v>121</v>
      </c>
      <c r="C81" s="49">
        <f>AVERAGE('26.09 Buddo-Kitemu-24HRS'!C81,'28.09 Buddo-Kitemu-24h'!C81)</f>
        <v>0</v>
      </c>
      <c r="D81" s="49">
        <f>AVERAGE('26.09 Buddo-Kitemu-24HRS'!D81,'28.09 Buddo-Kitemu-24h'!D81)</f>
        <v>0</v>
      </c>
      <c r="E81" s="49">
        <f>AVERAGE('26.09 Buddo-Kitemu-24HRS'!E81,'28.09 Buddo-Kitemu-24h'!E81)</f>
        <v>0</v>
      </c>
      <c r="F81" s="49">
        <f>AVERAGE('26.09 Buddo-Kitemu-24HRS'!F81,'28.09 Buddo-Kitemu-24h'!F81)</f>
        <v>0</v>
      </c>
      <c r="G81" s="49">
        <f>AVERAGE('26.09 Buddo-Kitemu-24HRS'!G81,'28.09 Buddo-Kitemu-24h'!G81)</f>
        <v>0</v>
      </c>
      <c r="H81" s="49">
        <f>AVERAGE('26.09 Buddo-Kitemu-24HRS'!H81,'28.09 Buddo-Kitemu-24h'!H81)</f>
        <v>0</v>
      </c>
      <c r="I81" s="49">
        <f>AVERAGE('26.09 Buddo-Kitemu-24HRS'!I81,'28.09 Buddo-Kitemu-24h'!I81)</f>
        <v>0</v>
      </c>
      <c r="J81" s="49">
        <f>AVERAGE('26.09 Buddo-Kitemu-24HRS'!J81,'28.09 Buddo-Kitemu-24h'!J81)</f>
        <v>0</v>
      </c>
      <c r="K81" s="49">
        <f>AVERAGE('26.09 Buddo-Kitemu-24HRS'!K81,'28.09 Buddo-Kitemu-24h'!K81)</f>
        <v>0</v>
      </c>
      <c r="L81" s="49">
        <f>AVERAGE('26.09 Buddo-Kitemu-24HRS'!L81,'28.09 Buddo-Kitemu-24h'!L81)</f>
        <v>0</v>
      </c>
      <c r="M81" s="49">
        <f>AVERAGE('26.09 Buddo-Kitemu-24HRS'!M81,'28.09 Buddo-Kitemu-24h'!M81)</f>
        <v>4.5</v>
      </c>
      <c r="N81" s="49">
        <f>AVERAGE('26.09 Buddo-Kitemu-24HRS'!N81,'28.09 Buddo-Kitemu-24h'!N81)</f>
        <v>0</v>
      </c>
      <c r="O81" s="15">
        <f t="shared" si="35"/>
        <v>0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AVERAGE('26.09 Buddo-Kitemu-24HRS'!C82,'28.09 Buddo-Kitemu-24h'!C82)</f>
        <v>0.5</v>
      </c>
      <c r="D82" s="49">
        <f>AVERAGE('26.09 Buddo-Kitemu-24HRS'!D82,'28.09 Buddo-Kitemu-24h'!D82)</f>
        <v>0</v>
      </c>
      <c r="E82" s="49">
        <f>AVERAGE('26.09 Buddo-Kitemu-24HRS'!E82,'28.09 Buddo-Kitemu-24h'!E82)</f>
        <v>0</v>
      </c>
      <c r="F82" s="49">
        <f>AVERAGE('26.09 Buddo-Kitemu-24HRS'!F82,'28.09 Buddo-Kitemu-24h'!F82)</f>
        <v>0</v>
      </c>
      <c r="G82" s="49">
        <f>AVERAGE('26.09 Buddo-Kitemu-24HRS'!G82,'28.09 Buddo-Kitemu-24h'!G82)</f>
        <v>0</v>
      </c>
      <c r="H82" s="49">
        <f>AVERAGE('26.09 Buddo-Kitemu-24HRS'!H82,'28.09 Buddo-Kitemu-24h'!H82)</f>
        <v>0</v>
      </c>
      <c r="I82" s="49">
        <f>AVERAGE('26.09 Buddo-Kitemu-24HRS'!I82,'28.09 Buddo-Kitemu-24h'!I82)</f>
        <v>0</v>
      </c>
      <c r="J82" s="49">
        <f>AVERAGE('26.09 Buddo-Kitemu-24HRS'!J82,'28.09 Buddo-Kitemu-24h'!J82)</f>
        <v>0</v>
      </c>
      <c r="K82" s="49">
        <f>AVERAGE('26.09 Buddo-Kitemu-24HRS'!K82,'28.09 Buddo-Kitemu-24h'!K82)</f>
        <v>0</v>
      </c>
      <c r="L82" s="49">
        <f>AVERAGE('26.09 Buddo-Kitemu-24HRS'!L82,'28.09 Buddo-Kitemu-24h'!L82)</f>
        <v>0</v>
      </c>
      <c r="M82" s="49">
        <f>AVERAGE('26.09 Buddo-Kitemu-24HRS'!M82,'28.09 Buddo-Kitemu-24h'!M82)</f>
        <v>5.5</v>
      </c>
      <c r="N82" s="49">
        <f>AVERAGE('26.09 Buddo-Kitemu-24HRS'!N82,'28.09 Buddo-Kitemu-24h'!N82)</f>
        <v>0</v>
      </c>
      <c r="O82" s="15">
        <f t="shared" si="35"/>
        <v>0.5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AVERAGE('26.09 Buddo-Kitemu-24HRS'!C83,'28.09 Buddo-Kitemu-24h'!C83)</f>
        <v>0</v>
      </c>
      <c r="D83" s="49">
        <f>AVERAGE('26.09 Buddo-Kitemu-24HRS'!D83,'28.09 Buddo-Kitemu-24h'!D83)</f>
        <v>0</v>
      </c>
      <c r="E83" s="49">
        <f>AVERAGE('26.09 Buddo-Kitemu-24HRS'!E83,'28.09 Buddo-Kitemu-24h'!E83)</f>
        <v>0</v>
      </c>
      <c r="F83" s="49">
        <f>AVERAGE('26.09 Buddo-Kitemu-24HRS'!F83,'28.09 Buddo-Kitemu-24h'!F83)</f>
        <v>0</v>
      </c>
      <c r="G83" s="49">
        <f>AVERAGE('26.09 Buddo-Kitemu-24HRS'!G83,'28.09 Buddo-Kitemu-24h'!G83)</f>
        <v>0</v>
      </c>
      <c r="H83" s="49">
        <f>AVERAGE('26.09 Buddo-Kitemu-24HRS'!H83,'28.09 Buddo-Kitemu-24h'!H83)</f>
        <v>0</v>
      </c>
      <c r="I83" s="49">
        <f>AVERAGE('26.09 Buddo-Kitemu-24HRS'!I83,'28.09 Buddo-Kitemu-24h'!I83)</f>
        <v>0</v>
      </c>
      <c r="J83" s="49">
        <f>AVERAGE('26.09 Buddo-Kitemu-24HRS'!J83,'28.09 Buddo-Kitemu-24h'!J83)</f>
        <v>0</v>
      </c>
      <c r="K83" s="49">
        <f>AVERAGE('26.09 Buddo-Kitemu-24HRS'!K83,'28.09 Buddo-Kitemu-24h'!K83)</f>
        <v>0</v>
      </c>
      <c r="L83" s="49">
        <f>AVERAGE('26.09 Buddo-Kitemu-24HRS'!L83,'28.09 Buddo-Kitemu-24h'!L83)</f>
        <v>0</v>
      </c>
      <c r="M83" s="49">
        <f>AVERAGE('26.09 Buddo-Kitemu-24HRS'!M83,'28.09 Buddo-Kitemu-24h'!M83)</f>
        <v>4</v>
      </c>
      <c r="N83" s="49">
        <f>AVERAGE('26.09 Buddo-Kitemu-24HRS'!N83,'28.09 Buddo-Kitemu-24h'!N83)</f>
        <v>0</v>
      </c>
      <c r="O83" s="15">
        <f t="shared" si="35"/>
        <v>0</v>
      </c>
      <c r="P83" s="15">
        <f t="shared" si="36"/>
        <v>4</v>
      </c>
      <c r="R83" s="8"/>
      <c r="T83"/>
    </row>
    <row r="84" spans="2:20" ht="23.1" customHeight="1" x14ac:dyDescent="0.25">
      <c r="B84" s="25" t="s">
        <v>124</v>
      </c>
      <c r="C84" s="49">
        <f>AVERAGE('26.09 Buddo-Kitemu-24HRS'!C84,'28.09 Buddo-Kitemu-24h'!C84)</f>
        <v>0</v>
      </c>
      <c r="D84" s="49">
        <f>AVERAGE('26.09 Buddo-Kitemu-24HRS'!D84,'28.09 Buddo-Kitemu-24h'!D84)</f>
        <v>0</v>
      </c>
      <c r="E84" s="49">
        <f>AVERAGE('26.09 Buddo-Kitemu-24HRS'!E84,'28.09 Buddo-Kitemu-24h'!E84)</f>
        <v>0</v>
      </c>
      <c r="F84" s="49">
        <f>AVERAGE('26.09 Buddo-Kitemu-24HRS'!F84,'28.09 Buddo-Kitemu-24h'!F84)</f>
        <v>0</v>
      </c>
      <c r="G84" s="49">
        <f>AVERAGE('26.09 Buddo-Kitemu-24HRS'!G84,'28.09 Buddo-Kitemu-24h'!G84)</f>
        <v>0</v>
      </c>
      <c r="H84" s="49">
        <f>AVERAGE('26.09 Buddo-Kitemu-24HRS'!H84,'28.09 Buddo-Kitemu-24h'!H84)</f>
        <v>0</v>
      </c>
      <c r="I84" s="49">
        <f>AVERAGE('26.09 Buddo-Kitemu-24HRS'!I84,'28.09 Buddo-Kitemu-24h'!I84)</f>
        <v>0</v>
      </c>
      <c r="J84" s="49">
        <f>AVERAGE('26.09 Buddo-Kitemu-24HRS'!J84,'28.09 Buddo-Kitemu-24h'!J84)</f>
        <v>0</v>
      </c>
      <c r="K84" s="49">
        <f>AVERAGE('26.09 Buddo-Kitemu-24HRS'!K84,'28.09 Buddo-Kitemu-24h'!K84)</f>
        <v>0</v>
      </c>
      <c r="L84" s="49">
        <f>AVERAGE('26.09 Buddo-Kitemu-24HRS'!L84,'28.09 Buddo-Kitemu-24h'!L84)</f>
        <v>0</v>
      </c>
      <c r="M84" s="49">
        <f>AVERAGE('26.09 Buddo-Kitemu-24HRS'!M84,'28.09 Buddo-Kitemu-24h'!M84)</f>
        <v>3.5</v>
      </c>
      <c r="N84" s="49">
        <f>AVERAGE('26.09 Buddo-Kitemu-24HRS'!N84,'28.09 Buddo-Kitemu-24h'!N84)</f>
        <v>0</v>
      </c>
      <c r="O84" s="15">
        <f t="shared" si="35"/>
        <v>0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AVERAGE('26.09 Buddo-Kitemu-24HRS'!C85,'28.09 Buddo-Kitemu-24h'!C85)</f>
        <v>0</v>
      </c>
      <c r="D85" s="49">
        <f>AVERAGE('26.09 Buddo-Kitemu-24HRS'!D85,'28.09 Buddo-Kitemu-24h'!D85)</f>
        <v>0</v>
      </c>
      <c r="E85" s="49">
        <f>AVERAGE('26.09 Buddo-Kitemu-24HRS'!E85,'28.09 Buddo-Kitemu-24h'!E85)</f>
        <v>0</v>
      </c>
      <c r="F85" s="49">
        <f>AVERAGE('26.09 Buddo-Kitemu-24HRS'!F85,'28.09 Buddo-Kitemu-24h'!F85)</f>
        <v>0</v>
      </c>
      <c r="G85" s="49">
        <f>AVERAGE('26.09 Buddo-Kitemu-24HRS'!G85,'28.09 Buddo-Kitemu-24h'!G85)</f>
        <v>0</v>
      </c>
      <c r="H85" s="49">
        <f>AVERAGE('26.09 Buddo-Kitemu-24HRS'!H85,'28.09 Buddo-Kitemu-24h'!H85)</f>
        <v>0</v>
      </c>
      <c r="I85" s="49">
        <f>AVERAGE('26.09 Buddo-Kitemu-24HRS'!I85,'28.09 Buddo-Kitemu-24h'!I85)</f>
        <v>0</v>
      </c>
      <c r="J85" s="49">
        <f>AVERAGE('26.09 Buddo-Kitemu-24HRS'!J85,'28.09 Buddo-Kitemu-24h'!J85)</f>
        <v>0</v>
      </c>
      <c r="K85" s="49">
        <f>AVERAGE('26.09 Buddo-Kitemu-24HRS'!K85,'28.09 Buddo-Kitemu-24h'!K85)</f>
        <v>0</v>
      </c>
      <c r="L85" s="49">
        <f>AVERAGE('26.09 Buddo-Kitemu-24HRS'!L85,'28.09 Buddo-Kitemu-24h'!L85)</f>
        <v>0</v>
      </c>
      <c r="M85" s="49">
        <f>AVERAGE('26.09 Buddo-Kitemu-24HRS'!M85,'28.09 Buddo-Kitemu-24h'!M85)</f>
        <v>2</v>
      </c>
      <c r="N85" s="49">
        <f>AVERAGE('26.09 Buddo-Kitemu-24HRS'!N85,'28.09 Buddo-Kitemu-24h'!N85)</f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AVERAGE('26.09 Buddo-Kitemu-24HRS'!C86,'28.09 Buddo-Kitemu-24h'!C86)</f>
        <v>0</v>
      </c>
      <c r="D86" s="49">
        <f>AVERAGE('26.09 Buddo-Kitemu-24HRS'!D86,'28.09 Buddo-Kitemu-24h'!D86)</f>
        <v>0</v>
      </c>
      <c r="E86" s="49">
        <f>AVERAGE('26.09 Buddo-Kitemu-24HRS'!E86,'28.09 Buddo-Kitemu-24h'!E86)</f>
        <v>0</v>
      </c>
      <c r="F86" s="49">
        <f>AVERAGE('26.09 Buddo-Kitemu-24HRS'!F86,'28.09 Buddo-Kitemu-24h'!F86)</f>
        <v>0</v>
      </c>
      <c r="G86" s="49">
        <f>AVERAGE('26.09 Buddo-Kitemu-24HRS'!G86,'28.09 Buddo-Kitemu-24h'!G86)</f>
        <v>0</v>
      </c>
      <c r="H86" s="49">
        <f>AVERAGE('26.09 Buddo-Kitemu-24HRS'!H86,'28.09 Buddo-Kitemu-24h'!H86)</f>
        <v>0</v>
      </c>
      <c r="I86" s="49">
        <f>AVERAGE('26.09 Buddo-Kitemu-24HRS'!I86,'28.09 Buddo-Kitemu-24h'!I86)</f>
        <v>0</v>
      </c>
      <c r="J86" s="49">
        <f>AVERAGE('26.09 Buddo-Kitemu-24HRS'!J86,'28.09 Buddo-Kitemu-24h'!J86)</f>
        <v>0</v>
      </c>
      <c r="K86" s="49">
        <f>AVERAGE('26.09 Buddo-Kitemu-24HRS'!K86,'28.09 Buddo-Kitemu-24h'!K86)</f>
        <v>0</v>
      </c>
      <c r="L86" s="49">
        <f>AVERAGE('26.09 Buddo-Kitemu-24HRS'!L86,'28.09 Buddo-Kitemu-24h'!L86)</f>
        <v>0</v>
      </c>
      <c r="M86" s="49">
        <f>AVERAGE('26.09 Buddo-Kitemu-24HRS'!M86,'28.09 Buddo-Kitemu-24h'!M86)</f>
        <v>2</v>
      </c>
      <c r="N86" s="49">
        <f>AVERAGE('26.09 Buddo-Kitemu-24HRS'!N86,'28.09 Buddo-Kitemu-24h'!N86)</f>
        <v>0</v>
      </c>
      <c r="O86" s="15">
        <f t="shared" si="35"/>
        <v>0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AVERAGE('26.09 Buddo-Kitemu-24HRS'!C87,'28.09 Buddo-Kitemu-24h'!C87)</f>
        <v>0</v>
      </c>
      <c r="D87" s="49">
        <f>AVERAGE('26.09 Buddo-Kitemu-24HRS'!D87,'28.09 Buddo-Kitemu-24h'!D87)</f>
        <v>0</v>
      </c>
      <c r="E87" s="49">
        <f>AVERAGE('26.09 Buddo-Kitemu-24HRS'!E87,'28.09 Buddo-Kitemu-24h'!E87)</f>
        <v>0</v>
      </c>
      <c r="F87" s="49">
        <f>AVERAGE('26.09 Buddo-Kitemu-24HRS'!F87,'28.09 Buddo-Kitemu-24h'!F87)</f>
        <v>0.5</v>
      </c>
      <c r="G87" s="49">
        <f>AVERAGE('26.09 Buddo-Kitemu-24HRS'!G87,'28.09 Buddo-Kitemu-24h'!G87)</f>
        <v>0</v>
      </c>
      <c r="H87" s="49">
        <f>AVERAGE('26.09 Buddo-Kitemu-24HRS'!H87,'28.09 Buddo-Kitemu-24h'!H87)</f>
        <v>0</v>
      </c>
      <c r="I87" s="49">
        <f>AVERAGE('26.09 Buddo-Kitemu-24HRS'!I87,'28.09 Buddo-Kitemu-24h'!I87)</f>
        <v>0</v>
      </c>
      <c r="J87" s="49">
        <f>AVERAGE('26.09 Buddo-Kitemu-24HRS'!J87,'28.09 Buddo-Kitemu-24h'!J87)</f>
        <v>0</v>
      </c>
      <c r="K87" s="49">
        <f>AVERAGE('26.09 Buddo-Kitemu-24HRS'!K87,'28.09 Buddo-Kitemu-24h'!K87)</f>
        <v>0</v>
      </c>
      <c r="L87" s="49">
        <f>AVERAGE('26.09 Buddo-Kitemu-24HRS'!L87,'28.09 Buddo-Kitemu-24h'!L87)</f>
        <v>0</v>
      </c>
      <c r="M87" s="49">
        <f>AVERAGE('26.09 Buddo-Kitemu-24HRS'!M87,'28.09 Buddo-Kitemu-24h'!M87)</f>
        <v>2</v>
      </c>
      <c r="N87" s="49">
        <f>AVERAGE('26.09 Buddo-Kitemu-24HRS'!N87,'28.09 Buddo-Kitemu-24h'!N87)</f>
        <v>0</v>
      </c>
      <c r="O87" s="15">
        <f t="shared" si="35"/>
        <v>0.5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AVERAGE('26.09 Buddo-Kitemu-24HRS'!C88,'28.09 Buddo-Kitemu-24h'!C88)</f>
        <v>0</v>
      </c>
      <c r="D88" s="49">
        <f>AVERAGE('26.09 Buddo-Kitemu-24HRS'!D88,'28.09 Buddo-Kitemu-24h'!D88)</f>
        <v>0</v>
      </c>
      <c r="E88" s="49">
        <f>AVERAGE('26.09 Buddo-Kitemu-24HRS'!E88,'28.09 Buddo-Kitemu-24h'!E88)</f>
        <v>0</v>
      </c>
      <c r="F88" s="49">
        <f>AVERAGE('26.09 Buddo-Kitemu-24HRS'!F88,'28.09 Buddo-Kitemu-24h'!F88)</f>
        <v>0</v>
      </c>
      <c r="G88" s="49">
        <f>AVERAGE('26.09 Buddo-Kitemu-24HRS'!G88,'28.09 Buddo-Kitemu-24h'!G88)</f>
        <v>0</v>
      </c>
      <c r="H88" s="49">
        <f>AVERAGE('26.09 Buddo-Kitemu-24HRS'!H88,'28.09 Buddo-Kitemu-24h'!H88)</f>
        <v>0</v>
      </c>
      <c r="I88" s="49">
        <f>AVERAGE('26.09 Buddo-Kitemu-24HRS'!I88,'28.09 Buddo-Kitemu-24h'!I88)</f>
        <v>0</v>
      </c>
      <c r="J88" s="49">
        <f>AVERAGE('26.09 Buddo-Kitemu-24HRS'!J88,'28.09 Buddo-Kitemu-24h'!J88)</f>
        <v>0</v>
      </c>
      <c r="K88" s="49">
        <f>AVERAGE('26.09 Buddo-Kitemu-24HRS'!K88,'28.09 Buddo-Kitemu-24h'!K88)</f>
        <v>0</v>
      </c>
      <c r="L88" s="49">
        <f>AVERAGE('26.09 Buddo-Kitemu-24HRS'!L88,'28.09 Buddo-Kitemu-24h'!L88)</f>
        <v>0</v>
      </c>
      <c r="M88" s="49">
        <f>AVERAGE('26.09 Buddo-Kitemu-24HRS'!M88,'28.09 Buddo-Kitemu-24h'!M88)</f>
        <v>2</v>
      </c>
      <c r="N88" s="49">
        <f>AVERAGE('26.09 Buddo-Kitemu-24HRS'!N88,'28.09 Buddo-Kitemu-24h'!N88)</f>
        <v>0</v>
      </c>
      <c r="O88" s="15">
        <f t="shared" si="35"/>
        <v>0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AVERAGE('26.09 Buddo-Kitemu-24HRS'!C89,'28.09 Buddo-Kitemu-24h'!C89)</f>
        <v>0</v>
      </c>
      <c r="D89" s="49">
        <f>AVERAGE('26.09 Buddo-Kitemu-24HRS'!D89,'28.09 Buddo-Kitemu-24h'!D89)</f>
        <v>0</v>
      </c>
      <c r="E89" s="49">
        <f>AVERAGE('26.09 Buddo-Kitemu-24HRS'!E89,'28.09 Buddo-Kitemu-24h'!E89)</f>
        <v>0</v>
      </c>
      <c r="F89" s="49">
        <f>AVERAGE('26.09 Buddo-Kitemu-24HRS'!F89,'28.09 Buddo-Kitemu-24h'!F89)</f>
        <v>0</v>
      </c>
      <c r="G89" s="49">
        <f>AVERAGE('26.09 Buddo-Kitemu-24HRS'!G89,'28.09 Buddo-Kitemu-24h'!G89)</f>
        <v>0</v>
      </c>
      <c r="H89" s="49">
        <f>AVERAGE('26.09 Buddo-Kitemu-24HRS'!H89,'28.09 Buddo-Kitemu-24h'!H89)</f>
        <v>0</v>
      </c>
      <c r="I89" s="49">
        <f>AVERAGE('26.09 Buddo-Kitemu-24HRS'!I89,'28.09 Buddo-Kitemu-24h'!I89)</f>
        <v>0</v>
      </c>
      <c r="J89" s="49">
        <f>AVERAGE('26.09 Buddo-Kitemu-24HRS'!J89,'28.09 Buddo-Kitemu-24h'!J89)</f>
        <v>0</v>
      </c>
      <c r="K89" s="49">
        <f>AVERAGE('26.09 Buddo-Kitemu-24HRS'!K89,'28.09 Buddo-Kitemu-24h'!K89)</f>
        <v>0</v>
      </c>
      <c r="L89" s="49">
        <f>AVERAGE('26.09 Buddo-Kitemu-24HRS'!L89,'28.09 Buddo-Kitemu-24h'!L89)</f>
        <v>0</v>
      </c>
      <c r="M89" s="49">
        <f>AVERAGE('26.09 Buddo-Kitemu-24HRS'!M89,'28.09 Buddo-Kitemu-24h'!M89)</f>
        <v>1</v>
      </c>
      <c r="N89" s="49">
        <f>AVERAGE('26.09 Buddo-Kitemu-24HRS'!N89,'28.09 Buddo-Kitemu-24h'!N89)</f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AVERAGE('26.09 Buddo-Kitemu-24HRS'!C90,'28.09 Buddo-Kitemu-24h'!C90)</f>
        <v>0</v>
      </c>
      <c r="D90" s="49">
        <f>AVERAGE('26.09 Buddo-Kitemu-24HRS'!D90,'28.09 Buddo-Kitemu-24h'!D90)</f>
        <v>0</v>
      </c>
      <c r="E90" s="49">
        <f>AVERAGE('26.09 Buddo-Kitemu-24HRS'!E90,'28.09 Buddo-Kitemu-24h'!E90)</f>
        <v>0</v>
      </c>
      <c r="F90" s="49">
        <f>AVERAGE('26.09 Buddo-Kitemu-24HRS'!F90,'28.09 Buddo-Kitemu-24h'!F90)</f>
        <v>0</v>
      </c>
      <c r="G90" s="49">
        <f>AVERAGE('26.09 Buddo-Kitemu-24HRS'!G90,'28.09 Buddo-Kitemu-24h'!G90)</f>
        <v>0</v>
      </c>
      <c r="H90" s="49">
        <f>AVERAGE('26.09 Buddo-Kitemu-24HRS'!H90,'28.09 Buddo-Kitemu-24h'!H90)</f>
        <v>0</v>
      </c>
      <c r="I90" s="49">
        <f>AVERAGE('26.09 Buddo-Kitemu-24HRS'!I90,'28.09 Buddo-Kitemu-24h'!I90)</f>
        <v>0.5</v>
      </c>
      <c r="J90" s="49">
        <f>AVERAGE('26.09 Buddo-Kitemu-24HRS'!J90,'28.09 Buddo-Kitemu-24h'!J90)</f>
        <v>0</v>
      </c>
      <c r="K90" s="49">
        <f>AVERAGE('26.09 Buddo-Kitemu-24HRS'!K90,'28.09 Buddo-Kitemu-24h'!K90)</f>
        <v>0</v>
      </c>
      <c r="L90" s="49">
        <f>AVERAGE('26.09 Buddo-Kitemu-24HRS'!L90,'28.09 Buddo-Kitemu-24h'!L90)</f>
        <v>0</v>
      </c>
      <c r="M90" s="49">
        <f>AVERAGE('26.09 Buddo-Kitemu-24HRS'!M90,'28.09 Buddo-Kitemu-24h'!M90)</f>
        <v>0</v>
      </c>
      <c r="N90" s="49">
        <f>AVERAGE('26.09 Buddo-Kitemu-24HRS'!N90,'28.09 Buddo-Kitemu-24h'!N90)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AVERAGE('26.09 Buddo-Kitemu-24HRS'!C91,'28.09 Buddo-Kitemu-24h'!C91)</f>
        <v>0.5</v>
      </c>
      <c r="D91" s="49">
        <f>AVERAGE('26.09 Buddo-Kitemu-24HRS'!D91,'28.09 Buddo-Kitemu-24h'!D91)</f>
        <v>0</v>
      </c>
      <c r="E91" s="49">
        <f>AVERAGE('26.09 Buddo-Kitemu-24HRS'!E91,'28.09 Buddo-Kitemu-24h'!E91)</f>
        <v>0</v>
      </c>
      <c r="F91" s="49">
        <f>AVERAGE('26.09 Buddo-Kitemu-24HRS'!F91,'28.09 Buddo-Kitemu-24h'!F91)</f>
        <v>0</v>
      </c>
      <c r="G91" s="49">
        <f>AVERAGE('26.09 Buddo-Kitemu-24HRS'!G91,'28.09 Buddo-Kitemu-24h'!G91)</f>
        <v>0</v>
      </c>
      <c r="H91" s="49">
        <f>AVERAGE('26.09 Buddo-Kitemu-24HRS'!H91,'28.09 Buddo-Kitemu-24h'!H91)</f>
        <v>0</v>
      </c>
      <c r="I91" s="49">
        <f>AVERAGE('26.09 Buddo-Kitemu-24HRS'!I91,'28.09 Buddo-Kitemu-24h'!I91)</f>
        <v>0</v>
      </c>
      <c r="J91" s="49">
        <f>AVERAGE('26.09 Buddo-Kitemu-24HRS'!J91,'28.09 Buddo-Kitemu-24h'!J91)</f>
        <v>0</v>
      </c>
      <c r="K91" s="49">
        <f>AVERAGE('26.09 Buddo-Kitemu-24HRS'!K91,'28.09 Buddo-Kitemu-24h'!K91)</f>
        <v>0</v>
      </c>
      <c r="L91" s="49">
        <f>AVERAGE('26.09 Buddo-Kitemu-24HRS'!L91,'28.09 Buddo-Kitemu-24h'!L91)</f>
        <v>0</v>
      </c>
      <c r="M91" s="49">
        <f>AVERAGE('26.09 Buddo-Kitemu-24HRS'!M91,'28.09 Buddo-Kitemu-24h'!M91)</f>
        <v>1</v>
      </c>
      <c r="N91" s="49">
        <f>AVERAGE('26.09 Buddo-Kitemu-24HRS'!N91,'28.09 Buddo-Kitemu-24h'!N91)</f>
        <v>0</v>
      </c>
      <c r="O91" s="15">
        <f t="shared" si="35"/>
        <v>0.5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AVERAGE('26.09 Buddo-Kitemu-24HRS'!C92,'28.09 Buddo-Kitemu-24h'!C92)</f>
        <v>1</v>
      </c>
      <c r="D92" s="49">
        <f>AVERAGE('26.09 Buddo-Kitemu-24HRS'!D92,'28.09 Buddo-Kitemu-24h'!D92)</f>
        <v>0</v>
      </c>
      <c r="E92" s="49">
        <f>AVERAGE('26.09 Buddo-Kitemu-24HRS'!E92,'28.09 Buddo-Kitemu-24h'!E92)</f>
        <v>0</v>
      </c>
      <c r="F92" s="49">
        <f>AVERAGE('26.09 Buddo-Kitemu-24HRS'!F92,'28.09 Buddo-Kitemu-24h'!F92)</f>
        <v>0</v>
      </c>
      <c r="G92" s="49">
        <f>AVERAGE('26.09 Buddo-Kitemu-24HRS'!G92,'28.09 Buddo-Kitemu-24h'!G92)</f>
        <v>0</v>
      </c>
      <c r="H92" s="49">
        <f>AVERAGE('26.09 Buddo-Kitemu-24HRS'!H92,'28.09 Buddo-Kitemu-24h'!H92)</f>
        <v>0</v>
      </c>
      <c r="I92" s="49">
        <f>AVERAGE('26.09 Buddo-Kitemu-24HRS'!I92,'28.09 Buddo-Kitemu-24h'!I92)</f>
        <v>0</v>
      </c>
      <c r="J92" s="49">
        <f>AVERAGE('26.09 Buddo-Kitemu-24HRS'!J92,'28.09 Buddo-Kitemu-24h'!J92)</f>
        <v>0</v>
      </c>
      <c r="K92" s="49">
        <f>AVERAGE('26.09 Buddo-Kitemu-24HRS'!K92,'28.09 Buddo-Kitemu-24h'!K92)</f>
        <v>0</v>
      </c>
      <c r="L92" s="49">
        <f>AVERAGE('26.09 Buddo-Kitemu-24HRS'!L92,'28.09 Buddo-Kitemu-24h'!L92)</f>
        <v>0</v>
      </c>
      <c r="M92" s="49">
        <f>AVERAGE('26.09 Buddo-Kitemu-24HRS'!M92,'28.09 Buddo-Kitemu-24h'!M92)</f>
        <v>0</v>
      </c>
      <c r="N92" s="49">
        <f>AVERAGE('26.09 Buddo-Kitemu-24HRS'!N92,'28.09 Buddo-Kitemu-24h'!N92)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AVERAGE('26.09 Buddo-Kitemu-24HRS'!C93,'28.09 Buddo-Kitemu-24h'!C93)</f>
        <v>1.5</v>
      </c>
      <c r="D93" s="49">
        <f>AVERAGE('26.09 Buddo-Kitemu-24HRS'!D93,'28.09 Buddo-Kitemu-24h'!D93)</f>
        <v>0</v>
      </c>
      <c r="E93" s="49">
        <f>AVERAGE('26.09 Buddo-Kitemu-24HRS'!E93,'28.09 Buddo-Kitemu-24h'!E93)</f>
        <v>0</v>
      </c>
      <c r="F93" s="49">
        <f>AVERAGE('26.09 Buddo-Kitemu-24HRS'!F93,'28.09 Buddo-Kitemu-24h'!F93)</f>
        <v>0.5</v>
      </c>
      <c r="G93" s="49">
        <f>AVERAGE('26.09 Buddo-Kitemu-24HRS'!G93,'28.09 Buddo-Kitemu-24h'!G93)</f>
        <v>0</v>
      </c>
      <c r="H93" s="49">
        <f>AVERAGE('26.09 Buddo-Kitemu-24HRS'!H93,'28.09 Buddo-Kitemu-24h'!H93)</f>
        <v>0</v>
      </c>
      <c r="I93" s="49">
        <f>AVERAGE('26.09 Buddo-Kitemu-24HRS'!I93,'28.09 Buddo-Kitemu-24h'!I93)</f>
        <v>0</v>
      </c>
      <c r="J93" s="49">
        <f>AVERAGE('26.09 Buddo-Kitemu-24HRS'!J93,'28.09 Buddo-Kitemu-24h'!J93)</f>
        <v>0</v>
      </c>
      <c r="K93" s="49">
        <f>AVERAGE('26.09 Buddo-Kitemu-24HRS'!K93,'28.09 Buddo-Kitemu-24h'!K93)</f>
        <v>0</v>
      </c>
      <c r="L93" s="49">
        <f>AVERAGE('26.09 Buddo-Kitemu-24HRS'!L93,'28.09 Buddo-Kitemu-24h'!L93)</f>
        <v>0</v>
      </c>
      <c r="M93" s="49">
        <f>AVERAGE('26.09 Buddo-Kitemu-24HRS'!M93,'28.09 Buddo-Kitemu-24h'!M93)</f>
        <v>0</v>
      </c>
      <c r="N93" s="49">
        <f>AVERAGE('26.09 Buddo-Kitemu-24HRS'!N93,'28.09 Buddo-Kitemu-24h'!N93)</f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AVERAGE('26.09 Buddo-Kitemu-24HRS'!C94,'28.09 Buddo-Kitemu-24h'!C94)</f>
        <v>0.5</v>
      </c>
      <c r="D94" s="49">
        <f>AVERAGE('26.09 Buddo-Kitemu-24HRS'!D94,'28.09 Buddo-Kitemu-24h'!D94)</f>
        <v>0.5</v>
      </c>
      <c r="E94" s="49">
        <f>AVERAGE('26.09 Buddo-Kitemu-24HRS'!E94,'28.09 Buddo-Kitemu-24h'!E94)</f>
        <v>0</v>
      </c>
      <c r="F94" s="49">
        <f>AVERAGE('26.09 Buddo-Kitemu-24HRS'!F94,'28.09 Buddo-Kitemu-24h'!F94)</f>
        <v>0</v>
      </c>
      <c r="G94" s="49">
        <f>AVERAGE('26.09 Buddo-Kitemu-24HRS'!G94,'28.09 Buddo-Kitemu-24h'!G94)</f>
        <v>0</v>
      </c>
      <c r="H94" s="49">
        <f>AVERAGE('26.09 Buddo-Kitemu-24HRS'!H94,'28.09 Buddo-Kitemu-24h'!H94)</f>
        <v>0</v>
      </c>
      <c r="I94" s="49">
        <f>AVERAGE('26.09 Buddo-Kitemu-24HRS'!I94,'28.09 Buddo-Kitemu-24h'!I94)</f>
        <v>0</v>
      </c>
      <c r="J94" s="49">
        <f>AVERAGE('26.09 Buddo-Kitemu-24HRS'!J94,'28.09 Buddo-Kitemu-24h'!J94)</f>
        <v>0</v>
      </c>
      <c r="K94" s="49">
        <f>AVERAGE('26.09 Buddo-Kitemu-24HRS'!K94,'28.09 Buddo-Kitemu-24h'!K94)</f>
        <v>0</v>
      </c>
      <c r="L94" s="49">
        <f>AVERAGE('26.09 Buddo-Kitemu-24HRS'!L94,'28.09 Buddo-Kitemu-24h'!L94)</f>
        <v>0</v>
      </c>
      <c r="M94" s="49">
        <f>AVERAGE('26.09 Buddo-Kitemu-24HRS'!M94,'28.09 Buddo-Kitemu-24h'!M94)</f>
        <v>1.5</v>
      </c>
      <c r="N94" s="49">
        <f>AVERAGE('26.09 Buddo-Kitemu-24HRS'!N94,'28.09 Buddo-Kitemu-24h'!N94)</f>
        <v>0</v>
      </c>
      <c r="O94" s="15">
        <f t="shared" si="35"/>
        <v>1</v>
      </c>
      <c r="P94" s="15">
        <f t="shared" si="36"/>
        <v>2.5</v>
      </c>
      <c r="R94" s="8"/>
      <c r="T94"/>
    </row>
    <row r="95" spans="2:20" ht="23.1" customHeight="1" x14ac:dyDescent="0.25">
      <c r="B95" s="23" t="s">
        <v>135</v>
      </c>
      <c r="C95" s="49">
        <f>AVERAGE('26.09 Buddo-Kitemu-24HRS'!C95,'28.09 Buddo-Kitemu-24h'!C95)</f>
        <v>0</v>
      </c>
      <c r="D95" s="49">
        <f>AVERAGE('26.09 Buddo-Kitemu-24HRS'!D95,'28.09 Buddo-Kitemu-24h'!D95)</f>
        <v>0</v>
      </c>
      <c r="E95" s="49">
        <f>AVERAGE('26.09 Buddo-Kitemu-24HRS'!E95,'28.09 Buddo-Kitemu-24h'!E95)</f>
        <v>0</v>
      </c>
      <c r="F95" s="49">
        <f>AVERAGE('26.09 Buddo-Kitemu-24HRS'!F95,'28.09 Buddo-Kitemu-24h'!F95)</f>
        <v>0</v>
      </c>
      <c r="G95" s="49">
        <f>AVERAGE('26.09 Buddo-Kitemu-24HRS'!G95,'28.09 Buddo-Kitemu-24h'!G95)</f>
        <v>0</v>
      </c>
      <c r="H95" s="49">
        <f>AVERAGE('26.09 Buddo-Kitemu-24HRS'!H95,'28.09 Buddo-Kitemu-24h'!H95)</f>
        <v>0</v>
      </c>
      <c r="I95" s="49">
        <f>AVERAGE('26.09 Buddo-Kitemu-24HRS'!I95,'28.09 Buddo-Kitemu-24h'!I95)</f>
        <v>0</v>
      </c>
      <c r="J95" s="49">
        <f>AVERAGE('26.09 Buddo-Kitemu-24HRS'!J95,'28.09 Buddo-Kitemu-24h'!J95)</f>
        <v>0.5</v>
      </c>
      <c r="K95" s="49">
        <f>AVERAGE('26.09 Buddo-Kitemu-24HRS'!K95,'28.09 Buddo-Kitemu-24h'!K95)</f>
        <v>0</v>
      </c>
      <c r="L95" s="49">
        <f>AVERAGE('26.09 Buddo-Kitemu-24HRS'!L95,'28.09 Buddo-Kitemu-24h'!L95)</f>
        <v>0</v>
      </c>
      <c r="M95" s="49">
        <f>AVERAGE('26.09 Buddo-Kitemu-24HRS'!M95,'28.09 Buddo-Kitemu-24h'!M95)</f>
        <v>0.5</v>
      </c>
      <c r="N95" s="49">
        <f>AVERAGE('26.09 Buddo-Kitemu-24HRS'!N95,'28.09 Buddo-Kitemu-24h'!N95)</f>
        <v>0</v>
      </c>
      <c r="O95" s="15">
        <f t="shared" si="35"/>
        <v>0.5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AVERAGE('26.09 Buddo-Kitemu-24HRS'!C96,'28.09 Buddo-Kitemu-24h'!C96)</f>
        <v>1</v>
      </c>
      <c r="D96" s="49">
        <f>AVERAGE('26.09 Buddo-Kitemu-24HRS'!D96,'28.09 Buddo-Kitemu-24h'!D96)</f>
        <v>0.5</v>
      </c>
      <c r="E96" s="49">
        <f>AVERAGE('26.09 Buddo-Kitemu-24HRS'!E96,'28.09 Buddo-Kitemu-24h'!E96)</f>
        <v>0</v>
      </c>
      <c r="F96" s="49">
        <f>AVERAGE('26.09 Buddo-Kitemu-24HRS'!F96,'28.09 Buddo-Kitemu-24h'!F96)</f>
        <v>0.5</v>
      </c>
      <c r="G96" s="49">
        <f>AVERAGE('26.09 Buddo-Kitemu-24HRS'!G96,'28.09 Buddo-Kitemu-24h'!G96)</f>
        <v>0.5</v>
      </c>
      <c r="H96" s="49">
        <f>AVERAGE('26.09 Buddo-Kitemu-24HRS'!H96,'28.09 Buddo-Kitemu-24h'!H96)</f>
        <v>0</v>
      </c>
      <c r="I96" s="49">
        <f>AVERAGE('26.09 Buddo-Kitemu-24HRS'!I96,'28.09 Buddo-Kitemu-24h'!I96)</f>
        <v>0</v>
      </c>
      <c r="J96" s="49">
        <f>AVERAGE('26.09 Buddo-Kitemu-24HRS'!J96,'28.09 Buddo-Kitemu-24h'!J96)</f>
        <v>0</v>
      </c>
      <c r="K96" s="49">
        <f>AVERAGE('26.09 Buddo-Kitemu-24HRS'!K96,'28.09 Buddo-Kitemu-24h'!K96)</f>
        <v>0</v>
      </c>
      <c r="L96" s="49">
        <f>AVERAGE('26.09 Buddo-Kitemu-24HRS'!L96,'28.09 Buddo-Kitemu-24h'!L96)</f>
        <v>0</v>
      </c>
      <c r="M96" s="49">
        <f>AVERAGE('26.09 Buddo-Kitemu-24HRS'!M96,'28.09 Buddo-Kitemu-24h'!M96)</f>
        <v>0.5</v>
      </c>
      <c r="N96" s="49">
        <f>AVERAGE('26.09 Buddo-Kitemu-24HRS'!N96,'28.09 Buddo-Kitemu-24h'!N96)</f>
        <v>0</v>
      </c>
      <c r="O96" s="15">
        <f t="shared" si="35"/>
        <v>2.5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AVERAGE('26.09 Buddo-Kitemu-24HRS'!C97,'28.09 Buddo-Kitemu-24h'!C97)</f>
        <v>0.5</v>
      </c>
      <c r="D97" s="49">
        <f>AVERAGE('26.09 Buddo-Kitemu-24HRS'!D97,'28.09 Buddo-Kitemu-24h'!D97)</f>
        <v>0</v>
      </c>
      <c r="E97" s="49">
        <f>AVERAGE('26.09 Buddo-Kitemu-24HRS'!E97,'28.09 Buddo-Kitemu-24h'!E97)</f>
        <v>0</v>
      </c>
      <c r="F97" s="49">
        <f>AVERAGE('26.09 Buddo-Kitemu-24HRS'!F97,'28.09 Buddo-Kitemu-24h'!F97)</f>
        <v>0</v>
      </c>
      <c r="G97" s="49">
        <f>AVERAGE('26.09 Buddo-Kitemu-24HRS'!G97,'28.09 Buddo-Kitemu-24h'!G97)</f>
        <v>0.5</v>
      </c>
      <c r="H97" s="49">
        <f>AVERAGE('26.09 Buddo-Kitemu-24HRS'!H97,'28.09 Buddo-Kitemu-24h'!H97)</f>
        <v>0</v>
      </c>
      <c r="I97" s="49">
        <f>AVERAGE('26.09 Buddo-Kitemu-24HRS'!I97,'28.09 Buddo-Kitemu-24h'!I97)</f>
        <v>0</v>
      </c>
      <c r="J97" s="49">
        <f>AVERAGE('26.09 Buddo-Kitemu-24HRS'!J97,'28.09 Buddo-Kitemu-24h'!J97)</f>
        <v>0</v>
      </c>
      <c r="K97" s="49">
        <f>AVERAGE('26.09 Buddo-Kitemu-24HRS'!K97,'28.09 Buddo-Kitemu-24h'!K97)</f>
        <v>0</v>
      </c>
      <c r="L97" s="49">
        <f>AVERAGE('26.09 Buddo-Kitemu-24HRS'!L97,'28.09 Buddo-Kitemu-24h'!L97)</f>
        <v>0</v>
      </c>
      <c r="M97" s="49">
        <f>AVERAGE('26.09 Buddo-Kitemu-24HRS'!M97,'28.09 Buddo-Kitemu-24h'!M97)</f>
        <v>4</v>
      </c>
      <c r="N97" s="49">
        <f>AVERAGE('26.09 Buddo-Kitemu-24HRS'!N97,'28.09 Buddo-Kitemu-24h'!N97)</f>
        <v>0</v>
      </c>
      <c r="O97" s="15">
        <f t="shared" si="35"/>
        <v>1</v>
      </c>
      <c r="P97" s="15">
        <f t="shared" si="36"/>
        <v>5</v>
      </c>
      <c r="R97" s="8"/>
      <c r="T97"/>
    </row>
    <row r="98" spans="2:20" ht="23.1" customHeight="1" x14ac:dyDescent="0.25">
      <c r="B98" s="24" t="s">
        <v>138</v>
      </c>
      <c r="C98" s="49">
        <f>AVERAGE('26.09 Buddo-Kitemu-24HRS'!C98,'28.09 Buddo-Kitemu-24h'!C98)</f>
        <v>1</v>
      </c>
      <c r="D98" s="49">
        <f>AVERAGE('26.09 Buddo-Kitemu-24HRS'!D98,'28.09 Buddo-Kitemu-24h'!D98)</f>
        <v>0.5</v>
      </c>
      <c r="E98" s="49">
        <f>AVERAGE('26.09 Buddo-Kitemu-24HRS'!E98,'28.09 Buddo-Kitemu-24h'!E98)</f>
        <v>0</v>
      </c>
      <c r="F98" s="49">
        <f>AVERAGE('26.09 Buddo-Kitemu-24HRS'!F98,'28.09 Buddo-Kitemu-24h'!F98)</f>
        <v>4</v>
      </c>
      <c r="G98" s="49">
        <f>AVERAGE('26.09 Buddo-Kitemu-24HRS'!G98,'28.09 Buddo-Kitemu-24h'!G98)</f>
        <v>0</v>
      </c>
      <c r="H98" s="49">
        <f>AVERAGE('26.09 Buddo-Kitemu-24HRS'!H98,'28.09 Buddo-Kitemu-24h'!H98)</f>
        <v>0</v>
      </c>
      <c r="I98" s="49">
        <f>AVERAGE('26.09 Buddo-Kitemu-24HRS'!I98,'28.09 Buddo-Kitemu-24h'!I98)</f>
        <v>0.5</v>
      </c>
      <c r="J98" s="49">
        <f>AVERAGE('26.09 Buddo-Kitemu-24HRS'!J98,'28.09 Buddo-Kitemu-24h'!J98)</f>
        <v>0</v>
      </c>
      <c r="K98" s="49">
        <f>AVERAGE('26.09 Buddo-Kitemu-24HRS'!K98,'28.09 Buddo-Kitemu-24h'!K98)</f>
        <v>0</v>
      </c>
      <c r="L98" s="49">
        <f>AVERAGE('26.09 Buddo-Kitemu-24HRS'!L98,'28.09 Buddo-Kitemu-24h'!L98)</f>
        <v>0</v>
      </c>
      <c r="M98" s="49">
        <f>AVERAGE('26.09 Buddo-Kitemu-24HRS'!M98,'28.09 Buddo-Kitemu-24h'!M98)</f>
        <v>3.5</v>
      </c>
      <c r="N98" s="49">
        <f>AVERAGE('26.09 Buddo-Kitemu-24HRS'!N98,'28.09 Buddo-Kitemu-24h'!N98)</f>
        <v>0</v>
      </c>
      <c r="O98" s="15">
        <f t="shared" si="35"/>
        <v>6</v>
      </c>
      <c r="P98" s="15">
        <f t="shared" si="36"/>
        <v>9.5</v>
      </c>
      <c r="R98" s="8"/>
      <c r="T98"/>
    </row>
    <row r="99" spans="2:20" ht="23.1" customHeight="1" x14ac:dyDescent="0.25">
      <c r="B99" s="23" t="s">
        <v>139</v>
      </c>
      <c r="C99" s="49">
        <f>AVERAGE('26.09 Buddo-Kitemu-24HRS'!C99,'28.09 Buddo-Kitemu-24h'!C99)</f>
        <v>1</v>
      </c>
      <c r="D99" s="49">
        <f>AVERAGE('26.09 Buddo-Kitemu-24HRS'!D99,'28.09 Buddo-Kitemu-24h'!D99)</f>
        <v>0</v>
      </c>
      <c r="E99" s="49">
        <f>AVERAGE('26.09 Buddo-Kitemu-24HRS'!E99,'28.09 Buddo-Kitemu-24h'!E99)</f>
        <v>0</v>
      </c>
      <c r="F99" s="49">
        <f>AVERAGE('26.09 Buddo-Kitemu-24HRS'!F99,'28.09 Buddo-Kitemu-24h'!F99)</f>
        <v>2.5</v>
      </c>
      <c r="G99" s="49">
        <f>AVERAGE('26.09 Buddo-Kitemu-24HRS'!G99,'28.09 Buddo-Kitemu-24h'!G99)</f>
        <v>0</v>
      </c>
      <c r="H99" s="49">
        <f>AVERAGE('26.09 Buddo-Kitemu-24HRS'!H99,'28.09 Buddo-Kitemu-24h'!H99)</f>
        <v>0</v>
      </c>
      <c r="I99" s="49">
        <f>AVERAGE('26.09 Buddo-Kitemu-24HRS'!I99,'28.09 Buddo-Kitemu-24h'!I99)</f>
        <v>0.5</v>
      </c>
      <c r="J99" s="49">
        <f>AVERAGE('26.09 Buddo-Kitemu-24HRS'!J99,'28.09 Buddo-Kitemu-24h'!J99)</f>
        <v>0</v>
      </c>
      <c r="K99" s="49">
        <f>AVERAGE('26.09 Buddo-Kitemu-24HRS'!K99,'28.09 Buddo-Kitemu-24h'!K99)</f>
        <v>0</v>
      </c>
      <c r="L99" s="49">
        <f>AVERAGE('26.09 Buddo-Kitemu-24HRS'!L99,'28.09 Buddo-Kitemu-24h'!L99)</f>
        <v>0</v>
      </c>
      <c r="M99" s="49">
        <f>AVERAGE('26.09 Buddo-Kitemu-24HRS'!M99,'28.09 Buddo-Kitemu-24h'!M99)</f>
        <v>2.5</v>
      </c>
      <c r="N99" s="49">
        <f>AVERAGE('26.09 Buddo-Kitemu-24HRS'!N99,'28.09 Buddo-Kitemu-24h'!N99)</f>
        <v>0</v>
      </c>
      <c r="O99" s="15">
        <f t="shared" si="35"/>
        <v>4</v>
      </c>
      <c r="P99" s="15">
        <f t="shared" si="36"/>
        <v>6.5</v>
      </c>
      <c r="R99" s="8"/>
      <c r="T99"/>
    </row>
    <row r="100" spans="2:20" ht="23.1" customHeight="1" x14ac:dyDescent="0.25">
      <c r="B100" s="25" t="s">
        <v>140</v>
      </c>
      <c r="C100" s="49">
        <f>AVERAGE('26.09 Buddo-Kitemu-24HRS'!C100,'28.09 Buddo-Kitemu-24h'!C100)</f>
        <v>0</v>
      </c>
      <c r="D100" s="49">
        <f>AVERAGE('26.09 Buddo-Kitemu-24HRS'!D100,'28.09 Buddo-Kitemu-24h'!D100)</f>
        <v>0</v>
      </c>
      <c r="E100" s="49">
        <f>AVERAGE('26.09 Buddo-Kitemu-24HRS'!E100,'28.09 Buddo-Kitemu-24h'!E100)</f>
        <v>0</v>
      </c>
      <c r="F100" s="49">
        <f>AVERAGE('26.09 Buddo-Kitemu-24HRS'!F100,'28.09 Buddo-Kitemu-24h'!F100)</f>
        <v>0.5</v>
      </c>
      <c r="G100" s="49">
        <f>AVERAGE('26.09 Buddo-Kitemu-24HRS'!G100,'28.09 Buddo-Kitemu-24h'!G100)</f>
        <v>3.5</v>
      </c>
      <c r="H100" s="49">
        <f>AVERAGE('26.09 Buddo-Kitemu-24HRS'!H100,'28.09 Buddo-Kitemu-24h'!H100)</f>
        <v>0</v>
      </c>
      <c r="I100" s="49">
        <f>AVERAGE('26.09 Buddo-Kitemu-24HRS'!I100,'28.09 Buddo-Kitemu-24h'!I100)</f>
        <v>0</v>
      </c>
      <c r="J100" s="49">
        <f>AVERAGE('26.09 Buddo-Kitemu-24HRS'!J100,'28.09 Buddo-Kitemu-24h'!J100)</f>
        <v>0</v>
      </c>
      <c r="K100" s="49">
        <f>AVERAGE('26.09 Buddo-Kitemu-24HRS'!K100,'28.09 Buddo-Kitemu-24h'!K100)</f>
        <v>0</v>
      </c>
      <c r="L100" s="49">
        <f>AVERAGE('26.09 Buddo-Kitemu-24HRS'!L100,'28.09 Buddo-Kitemu-24h'!L100)</f>
        <v>0</v>
      </c>
      <c r="M100" s="49">
        <f>AVERAGE('26.09 Buddo-Kitemu-24HRS'!M100,'28.09 Buddo-Kitemu-24h'!M100)</f>
        <v>4</v>
      </c>
      <c r="N100" s="49">
        <f>AVERAGE('26.09 Buddo-Kitemu-24HRS'!N100,'28.09 Buddo-Kitemu-24h'!N100)</f>
        <v>0</v>
      </c>
      <c r="O100" s="15">
        <f t="shared" si="35"/>
        <v>4</v>
      </c>
      <c r="P100" s="15">
        <f t="shared" si="36"/>
        <v>8</v>
      </c>
      <c r="R100" s="8"/>
      <c r="T100"/>
    </row>
    <row r="101" spans="2:20" ht="23.1" customHeight="1" x14ac:dyDescent="0.25">
      <c r="B101" s="23" t="s">
        <v>141</v>
      </c>
      <c r="C101" s="49">
        <f>AVERAGE('26.09 Buddo-Kitemu-24HRS'!C101,'28.09 Buddo-Kitemu-24h'!C101)</f>
        <v>1</v>
      </c>
      <c r="D101" s="49">
        <f>AVERAGE('26.09 Buddo-Kitemu-24HRS'!D101,'28.09 Buddo-Kitemu-24h'!D101)</f>
        <v>0.5</v>
      </c>
      <c r="E101" s="49">
        <f>AVERAGE('26.09 Buddo-Kitemu-24HRS'!E101,'28.09 Buddo-Kitemu-24h'!E101)</f>
        <v>0</v>
      </c>
      <c r="F101" s="49">
        <f>AVERAGE('26.09 Buddo-Kitemu-24HRS'!F101,'28.09 Buddo-Kitemu-24h'!F101)</f>
        <v>2.5</v>
      </c>
      <c r="G101" s="49">
        <f>AVERAGE('26.09 Buddo-Kitemu-24HRS'!G101,'28.09 Buddo-Kitemu-24h'!G101)</f>
        <v>0</v>
      </c>
      <c r="H101" s="49">
        <f>AVERAGE('26.09 Buddo-Kitemu-24HRS'!H101,'28.09 Buddo-Kitemu-24h'!H101)</f>
        <v>0</v>
      </c>
      <c r="I101" s="49">
        <f>AVERAGE('26.09 Buddo-Kitemu-24HRS'!I101,'28.09 Buddo-Kitemu-24h'!I101)</f>
        <v>0</v>
      </c>
      <c r="J101" s="49">
        <f>AVERAGE('26.09 Buddo-Kitemu-24HRS'!J101,'28.09 Buddo-Kitemu-24h'!J101)</f>
        <v>0</v>
      </c>
      <c r="K101" s="49">
        <f>AVERAGE('26.09 Buddo-Kitemu-24HRS'!K101,'28.09 Buddo-Kitemu-24h'!K101)</f>
        <v>0</v>
      </c>
      <c r="L101" s="49">
        <f>AVERAGE('26.09 Buddo-Kitemu-24HRS'!L101,'28.09 Buddo-Kitemu-24h'!L101)</f>
        <v>0</v>
      </c>
      <c r="M101" s="49">
        <f>AVERAGE('26.09 Buddo-Kitemu-24HRS'!M101,'28.09 Buddo-Kitemu-24h'!M101)</f>
        <v>5.5</v>
      </c>
      <c r="N101" s="49">
        <f>AVERAGE('26.09 Buddo-Kitemu-24HRS'!N101,'28.09 Buddo-Kitemu-24h'!N101)</f>
        <v>0</v>
      </c>
      <c r="O101" s="15">
        <f t="shared" si="35"/>
        <v>4</v>
      </c>
      <c r="P101" s="15">
        <f t="shared" si="36"/>
        <v>9.5</v>
      </c>
      <c r="R101" s="8"/>
      <c r="T101"/>
    </row>
    <row r="102" spans="2:20" ht="23.1" customHeight="1" x14ac:dyDescent="0.25">
      <c r="B102" s="24" t="s">
        <v>142</v>
      </c>
      <c r="C102" s="49">
        <f>AVERAGE('26.09 Buddo-Kitemu-24HRS'!C102,'28.09 Buddo-Kitemu-24h'!C102)</f>
        <v>2.5</v>
      </c>
      <c r="D102" s="49">
        <f>AVERAGE('26.09 Buddo-Kitemu-24HRS'!D102,'28.09 Buddo-Kitemu-24h'!D102)</f>
        <v>0</v>
      </c>
      <c r="E102" s="49">
        <f>AVERAGE('26.09 Buddo-Kitemu-24HRS'!E102,'28.09 Buddo-Kitemu-24h'!E102)</f>
        <v>0</v>
      </c>
      <c r="F102" s="49">
        <f>AVERAGE('26.09 Buddo-Kitemu-24HRS'!F102,'28.09 Buddo-Kitemu-24h'!F102)</f>
        <v>3.5</v>
      </c>
      <c r="G102" s="49">
        <f>AVERAGE('26.09 Buddo-Kitemu-24HRS'!G102,'28.09 Buddo-Kitemu-24h'!G102)</f>
        <v>1</v>
      </c>
      <c r="H102" s="49">
        <f>AVERAGE('26.09 Buddo-Kitemu-24HRS'!H102,'28.09 Buddo-Kitemu-24h'!H102)</f>
        <v>0</v>
      </c>
      <c r="I102" s="49">
        <f>AVERAGE('26.09 Buddo-Kitemu-24HRS'!I102,'28.09 Buddo-Kitemu-24h'!I102)</f>
        <v>0</v>
      </c>
      <c r="J102" s="49">
        <f>AVERAGE('26.09 Buddo-Kitemu-24HRS'!J102,'28.09 Buddo-Kitemu-24h'!J102)</f>
        <v>0.5</v>
      </c>
      <c r="K102" s="49">
        <f>AVERAGE('26.09 Buddo-Kitemu-24HRS'!K102,'28.09 Buddo-Kitemu-24h'!K102)</f>
        <v>0</v>
      </c>
      <c r="L102" s="49">
        <f>AVERAGE('26.09 Buddo-Kitemu-24HRS'!L102,'28.09 Buddo-Kitemu-24h'!L102)</f>
        <v>0</v>
      </c>
      <c r="M102" s="49">
        <f>AVERAGE('26.09 Buddo-Kitemu-24HRS'!M102,'28.09 Buddo-Kitemu-24h'!M102)</f>
        <v>4.5</v>
      </c>
      <c r="N102" s="49">
        <f>AVERAGE('26.09 Buddo-Kitemu-24HRS'!N102,'28.09 Buddo-Kitemu-24h'!N102)</f>
        <v>0</v>
      </c>
      <c r="O102" s="15">
        <f t="shared" si="35"/>
        <v>7.5</v>
      </c>
      <c r="P102" s="15">
        <f t="shared" si="36"/>
        <v>12</v>
      </c>
      <c r="R102" s="8"/>
      <c r="T102"/>
    </row>
    <row r="103" spans="2:20" ht="23.1" customHeight="1" x14ac:dyDescent="0.25">
      <c r="B103" s="23" t="s">
        <v>143</v>
      </c>
      <c r="C103" s="49">
        <f>AVERAGE('26.09 Buddo-Kitemu-24HRS'!C103,'28.09 Buddo-Kitemu-24h'!C103)</f>
        <v>2</v>
      </c>
      <c r="D103" s="49">
        <f>AVERAGE('26.09 Buddo-Kitemu-24HRS'!D103,'28.09 Buddo-Kitemu-24h'!D103)</f>
        <v>0</v>
      </c>
      <c r="E103" s="49">
        <f>AVERAGE('26.09 Buddo-Kitemu-24HRS'!E103,'28.09 Buddo-Kitemu-24h'!E103)</f>
        <v>0</v>
      </c>
      <c r="F103" s="49">
        <f>AVERAGE('26.09 Buddo-Kitemu-24HRS'!F103,'28.09 Buddo-Kitemu-24h'!F103)</f>
        <v>5</v>
      </c>
      <c r="G103" s="49">
        <f>AVERAGE('26.09 Buddo-Kitemu-24HRS'!G103,'28.09 Buddo-Kitemu-24h'!G103)</f>
        <v>0</v>
      </c>
      <c r="H103" s="49">
        <f>AVERAGE('26.09 Buddo-Kitemu-24HRS'!H103,'28.09 Buddo-Kitemu-24h'!H103)</f>
        <v>0</v>
      </c>
      <c r="I103" s="49">
        <f>AVERAGE('26.09 Buddo-Kitemu-24HRS'!I103,'28.09 Buddo-Kitemu-24h'!I103)</f>
        <v>1</v>
      </c>
      <c r="J103" s="49">
        <f>AVERAGE('26.09 Buddo-Kitemu-24HRS'!J103,'28.09 Buddo-Kitemu-24h'!J103)</f>
        <v>0</v>
      </c>
      <c r="K103" s="49">
        <f>AVERAGE('26.09 Buddo-Kitemu-24HRS'!K103,'28.09 Buddo-Kitemu-24h'!K103)</f>
        <v>0</v>
      </c>
      <c r="L103" s="49">
        <f>AVERAGE('26.09 Buddo-Kitemu-24HRS'!L103,'28.09 Buddo-Kitemu-24h'!L103)</f>
        <v>0</v>
      </c>
      <c r="M103" s="49">
        <f>AVERAGE('26.09 Buddo-Kitemu-24HRS'!M103,'28.09 Buddo-Kitemu-24h'!M103)</f>
        <v>16.5</v>
      </c>
      <c r="N103" s="49">
        <f>AVERAGE('26.09 Buddo-Kitemu-24HRS'!N103,'28.09 Buddo-Kitemu-24h'!N103)</f>
        <v>0</v>
      </c>
      <c r="O103" s="15">
        <f t="shared" si="35"/>
        <v>8</v>
      </c>
      <c r="P103" s="15">
        <f t="shared" si="36"/>
        <v>24.5</v>
      </c>
      <c r="R103" s="8"/>
      <c r="T103"/>
    </row>
    <row r="104" spans="2:20" ht="23.1" customHeight="1" x14ac:dyDescent="0.25">
      <c r="B104" s="25" t="s">
        <v>144</v>
      </c>
      <c r="C104" s="49">
        <f>AVERAGE('26.09 Buddo-Kitemu-24HRS'!C104,'28.09 Buddo-Kitemu-24h'!C104)</f>
        <v>5</v>
      </c>
      <c r="D104" s="49">
        <f>AVERAGE('26.09 Buddo-Kitemu-24HRS'!D104,'28.09 Buddo-Kitemu-24h'!D104)</f>
        <v>0.5</v>
      </c>
      <c r="E104" s="49">
        <f>AVERAGE('26.09 Buddo-Kitemu-24HRS'!E104,'28.09 Buddo-Kitemu-24h'!E104)</f>
        <v>0</v>
      </c>
      <c r="F104" s="49">
        <f>AVERAGE('26.09 Buddo-Kitemu-24HRS'!F104,'28.09 Buddo-Kitemu-24h'!F104)</f>
        <v>5.5</v>
      </c>
      <c r="G104" s="49">
        <f>AVERAGE('26.09 Buddo-Kitemu-24HRS'!G104,'28.09 Buddo-Kitemu-24h'!G104)</f>
        <v>0.5</v>
      </c>
      <c r="H104" s="49">
        <f>AVERAGE('26.09 Buddo-Kitemu-24HRS'!H104,'28.09 Buddo-Kitemu-24h'!H104)</f>
        <v>0</v>
      </c>
      <c r="I104" s="49">
        <f>AVERAGE('26.09 Buddo-Kitemu-24HRS'!I104,'28.09 Buddo-Kitemu-24h'!I104)</f>
        <v>0</v>
      </c>
      <c r="J104" s="49">
        <f>AVERAGE('26.09 Buddo-Kitemu-24HRS'!J104,'28.09 Buddo-Kitemu-24h'!J104)</f>
        <v>0.5</v>
      </c>
      <c r="K104" s="49">
        <f>AVERAGE('26.09 Buddo-Kitemu-24HRS'!K104,'28.09 Buddo-Kitemu-24h'!K104)</f>
        <v>0</v>
      </c>
      <c r="L104" s="49">
        <f>AVERAGE('26.09 Buddo-Kitemu-24HRS'!L104,'28.09 Buddo-Kitemu-24h'!L104)</f>
        <v>0</v>
      </c>
      <c r="M104" s="49">
        <f>AVERAGE('26.09 Buddo-Kitemu-24HRS'!M104,'28.09 Buddo-Kitemu-24h'!M104)</f>
        <v>16.5</v>
      </c>
      <c r="N104" s="49">
        <f>AVERAGE('26.09 Buddo-Kitemu-24HRS'!N104,'28.09 Buddo-Kitemu-24h'!N104)</f>
        <v>0</v>
      </c>
      <c r="O104" s="15">
        <f t="shared" si="35"/>
        <v>12</v>
      </c>
      <c r="P104" s="15">
        <f t="shared" si="36"/>
        <v>28.5</v>
      </c>
      <c r="R104" s="8"/>
      <c r="T104"/>
    </row>
    <row r="105" spans="2:20" ht="23.1" customHeight="1" x14ac:dyDescent="0.25">
      <c r="B105" s="23" t="s">
        <v>145</v>
      </c>
      <c r="C105" s="49">
        <f>AVERAGE('26.09 Buddo-Kitemu-24HRS'!C105,'28.09 Buddo-Kitemu-24h'!C105)</f>
        <v>1.5</v>
      </c>
      <c r="D105" s="49">
        <f>AVERAGE('26.09 Buddo-Kitemu-24HRS'!D105,'28.09 Buddo-Kitemu-24h'!D105)</f>
        <v>0</v>
      </c>
      <c r="E105" s="49">
        <f>AVERAGE('26.09 Buddo-Kitemu-24HRS'!E105,'28.09 Buddo-Kitemu-24h'!E105)</f>
        <v>0.5</v>
      </c>
      <c r="F105" s="49">
        <f>AVERAGE('26.09 Buddo-Kitemu-24HRS'!F105,'28.09 Buddo-Kitemu-24h'!F105)</f>
        <v>3</v>
      </c>
      <c r="G105" s="49">
        <f>AVERAGE('26.09 Buddo-Kitemu-24HRS'!G105,'28.09 Buddo-Kitemu-24h'!G105)</f>
        <v>0</v>
      </c>
      <c r="H105" s="49">
        <f>AVERAGE('26.09 Buddo-Kitemu-24HRS'!H105,'28.09 Buddo-Kitemu-24h'!H105)</f>
        <v>0</v>
      </c>
      <c r="I105" s="49">
        <f>AVERAGE('26.09 Buddo-Kitemu-24HRS'!I105,'28.09 Buddo-Kitemu-24h'!I105)</f>
        <v>1</v>
      </c>
      <c r="J105" s="49">
        <f>AVERAGE('26.09 Buddo-Kitemu-24HRS'!J105,'28.09 Buddo-Kitemu-24h'!J105)</f>
        <v>0.5</v>
      </c>
      <c r="K105" s="49">
        <f>AVERAGE('26.09 Buddo-Kitemu-24HRS'!K105,'28.09 Buddo-Kitemu-24h'!K105)</f>
        <v>0</v>
      </c>
      <c r="L105" s="49">
        <f>AVERAGE('26.09 Buddo-Kitemu-24HRS'!L105,'28.09 Buddo-Kitemu-24h'!L105)</f>
        <v>0</v>
      </c>
      <c r="M105" s="49">
        <f>AVERAGE('26.09 Buddo-Kitemu-24HRS'!M105,'28.09 Buddo-Kitemu-24h'!M105)</f>
        <v>19</v>
      </c>
      <c r="N105" s="49">
        <f>AVERAGE('26.09 Buddo-Kitemu-24HRS'!N105,'28.09 Buddo-Kitemu-24h'!N105)</f>
        <v>0</v>
      </c>
      <c r="O105" s="15">
        <f t="shared" si="35"/>
        <v>6.5</v>
      </c>
      <c r="P105" s="15">
        <f t="shared" si="36"/>
        <v>25.5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274.28571428571433</v>
      </c>
      <c r="D106" s="16">
        <f t="shared" ref="D106:P106" si="37">SUM(D10:D105)</f>
        <v>27.142857142857139</v>
      </c>
      <c r="E106" s="16">
        <f t="shared" si="37"/>
        <v>31.571428571428562</v>
      </c>
      <c r="F106" s="16">
        <f t="shared" si="37"/>
        <v>89.285714285714278</v>
      </c>
      <c r="G106" s="16">
        <f t="shared" si="37"/>
        <v>15.785714285714285</v>
      </c>
      <c r="H106" s="16">
        <f t="shared" si="37"/>
        <v>0</v>
      </c>
      <c r="I106" s="16">
        <f t="shared" si="37"/>
        <v>92.642857142857125</v>
      </c>
      <c r="J106" s="16">
        <f t="shared" si="37"/>
        <v>34.214285714285722</v>
      </c>
      <c r="K106" s="16">
        <f t="shared" si="37"/>
        <v>10.357142857142858</v>
      </c>
      <c r="L106" s="16">
        <f t="shared" si="37"/>
        <v>0</v>
      </c>
      <c r="M106" s="16">
        <f t="shared" si="37"/>
        <v>2760</v>
      </c>
      <c r="N106" s="16">
        <f t="shared" si="37"/>
        <v>8.8571428571428559</v>
      </c>
      <c r="O106" s="16">
        <f t="shared" si="37"/>
        <v>584.14285714285711</v>
      </c>
      <c r="P106" s="16">
        <f t="shared" si="37"/>
        <v>3344.1428571428573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8.201973599897476E-2</v>
      </c>
      <c r="D107" s="43">
        <f t="shared" si="38"/>
        <v>8.1165363748985416E-3</v>
      </c>
      <c r="E107" s="43">
        <f t="shared" si="38"/>
        <v>9.4408133623819866E-3</v>
      </c>
      <c r="F107" s="43">
        <f t="shared" si="38"/>
        <v>2.6699132812166258E-2</v>
      </c>
      <c r="G107" s="43">
        <f t="shared" si="38"/>
        <v>4.7204066811909941E-3</v>
      </c>
      <c r="H107" s="43">
        <f t="shared" si="38"/>
        <v>0</v>
      </c>
      <c r="I107" s="43">
        <f t="shared" si="38"/>
        <v>2.7703020205903706E-2</v>
      </c>
      <c r="J107" s="43">
        <f t="shared" si="38"/>
        <v>1.0231107693622113E-2</v>
      </c>
      <c r="K107" s="43">
        <f t="shared" si="38"/>
        <v>3.0970994062112863E-3</v>
      </c>
      <c r="L107" s="43">
        <f t="shared" si="38"/>
        <v>0</v>
      </c>
      <c r="M107" s="43">
        <f t="shared" si="38"/>
        <v>0.82532359348968343</v>
      </c>
      <c r="N107" s="43">
        <f t="shared" si="38"/>
        <v>2.6485539749668925E-3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0.46955245781364646</v>
      </c>
      <c r="D108" s="44">
        <f t="shared" ref="D108:N108" si="39">D106/$O$106</f>
        <v>4.6466128637808753E-2</v>
      </c>
      <c r="E108" s="44">
        <f t="shared" si="39"/>
        <v>5.4047444362924905E-2</v>
      </c>
      <c r="F108" s="44">
        <f t="shared" si="39"/>
        <v>0.15284910736121302</v>
      </c>
      <c r="G108" s="44">
        <f t="shared" si="39"/>
        <v>2.702372218146246E-2</v>
      </c>
      <c r="H108" s="44">
        <f t="shared" si="39"/>
        <v>0</v>
      </c>
      <c r="I108" s="44">
        <f t="shared" si="39"/>
        <v>0.15859623379799459</v>
      </c>
      <c r="J108" s="44">
        <f t="shared" si="39"/>
        <v>5.857177794081684E-2</v>
      </c>
      <c r="K108" s="44">
        <f t="shared" si="39"/>
        <v>1.7730496453900711E-2</v>
      </c>
      <c r="L108" s="44">
        <f t="shared" si="39"/>
        <v>0</v>
      </c>
      <c r="M108" s="44"/>
      <c r="N108" s="44">
        <f t="shared" si="39"/>
        <v>1.516263145023233E-2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C49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Buddo-Kitemu'!C3:G3</f>
        <v>MCC-C2-STNO 59A-BUDDO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69" t="str">
        <f>'Avg Week Buddo-Kitemu'!G5:H5</f>
        <v>St Charles Lwanga PS</v>
      </c>
      <c r="H5" s="70"/>
      <c r="I5" s="14"/>
      <c r="J5" s="2" t="s">
        <v>5</v>
      </c>
      <c r="K5" s="69" t="str">
        <f>'Avg Week Buddo-Kitemu'!K5:L5</f>
        <v>Moreen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5" t="s">
        <v>161</v>
      </c>
      <c r="E6" s="76"/>
      <c r="F6" s="2" t="s">
        <v>2</v>
      </c>
      <c r="G6" s="75" t="s">
        <v>161</v>
      </c>
      <c r="H6" s="76"/>
      <c r="J6" s="2" t="s">
        <v>21</v>
      </c>
      <c r="K6" s="69" t="str">
        <f>'Avg Week Buddo-Kitemu'!K6:L6</f>
        <v>Denis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Kitemu-Buddo'!C10+'Avg Week Buddo-Kitemu'!C10</f>
        <v>7.5714285714285712</v>
      </c>
      <c r="D10" s="49">
        <f>'Avg Week Kitemu-Buddo'!D10+'Avg Week Buddo-Kitemu'!D10</f>
        <v>0.71428571428571419</v>
      </c>
      <c r="E10" s="49">
        <f>'Avg Week Kitemu-Buddo'!E10+'Avg Week Buddo-Kitemu'!E10</f>
        <v>0.14285714285714285</v>
      </c>
      <c r="F10" s="49">
        <f>'Avg Week Kitemu-Buddo'!F10+'Avg Week Buddo-Kitemu'!F10</f>
        <v>7.1428571428571423</v>
      </c>
      <c r="G10" s="49">
        <f>'Avg Week Kitemu-Buddo'!G10+'Avg Week Buddo-Kitemu'!G10</f>
        <v>0.8571428571428571</v>
      </c>
      <c r="H10" s="49">
        <f>'Avg Week Kitemu-Buddo'!H10+'Avg Week Buddo-Kitemu'!H10</f>
        <v>0</v>
      </c>
      <c r="I10" s="49">
        <f>'Avg Week Kitemu-Buddo'!I10+'Avg Week Buddo-Kitemu'!I10</f>
        <v>2.8571428571428572</v>
      </c>
      <c r="J10" s="49">
        <f>'Avg Week Kitemu-Buddo'!J10+'Avg Week Buddo-Kitemu'!J10</f>
        <v>0.5714285714285714</v>
      </c>
      <c r="K10" s="49">
        <f>'Avg Week Kitemu-Buddo'!K10+'Avg Week Buddo-Kitemu'!K10</f>
        <v>0</v>
      </c>
      <c r="L10" s="49">
        <f>'Avg Week Kitemu-Buddo'!L10+'Avg Week Buddo-Kitemu'!L10</f>
        <v>0</v>
      </c>
      <c r="M10" s="49">
        <f>'Avg Week Kitemu-Buddo'!M10+'Avg Week Buddo-Kitemu'!M10</f>
        <v>75.571428571428569</v>
      </c>
      <c r="N10" s="49">
        <f>'Avg Week Kitemu-Buddo'!N10+'Avg Week Buddo-Kitemu'!N10</f>
        <v>0</v>
      </c>
      <c r="O10" s="15">
        <f t="shared" ref="O10:O73" si="0">SUM(C10:L10,N10)</f>
        <v>19.857142857142858</v>
      </c>
      <c r="P10" s="15">
        <f t="shared" ref="P10:P73" si="1">SUM(C10:N10)</f>
        <v>95.428571428571431</v>
      </c>
      <c r="R10" s="1" t="s">
        <v>6</v>
      </c>
      <c r="S10" s="17">
        <f t="shared" ref="S10:AF10" si="2">SUM(C10:C13)</f>
        <v>31.714285714285712</v>
      </c>
      <c r="T10" s="17">
        <f t="shared" si="2"/>
        <v>4.2857142857142856</v>
      </c>
      <c r="U10" s="17">
        <f t="shared" si="2"/>
        <v>3.2857142857142851</v>
      </c>
      <c r="V10" s="17">
        <f t="shared" si="2"/>
        <v>24</v>
      </c>
      <c r="W10" s="17">
        <f t="shared" si="2"/>
        <v>2.8571428571428568</v>
      </c>
      <c r="X10" s="17">
        <f t="shared" si="2"/>
        <v>0</v>
      </c>
      <c r="Y10" s="17">
        <f t="shared" si="2"/>
        <v>10.428571428571427</v>
      </c>
      <c r="Z10" s="17">
        <f t="shared" si="2"/>
        <v>4.1428571428571423</v>
      </c>
      <c r="AA10" s="17">
        <f t="shared" si="2"/>
        <v>0.5714285714285714</v>
      </c>
      <c r="AB10" s="17">
        <f t="shared" si="2"/>
        <v>0</v>
      </c>
      <c r="AC10" s="17">
        <f t="shared" si="2"/>
        <v>408.71428571428567</v>
      </c>
      <c r="AD10" s="17">
        <f t="shared" si="2"/>
        <v>0</v>
      </c>
      <c r="AE10" s="31">
        <f t="shared" si="2"/>
        <v>81.285714285714278</v>
      </c>
      <c r="AF10" s="31">
        <f t="shared" si="2"/>
        <v>490</v>
      </c>
    </row>
    <row r="11" spans="2:32" s="6" customFormat="1" ht="23.1" customHeight="1" x14ac:dyDescent="0.25">
      <c r="B11" s="23" t="s">
        <v>38</v>
      </c>
      <c r="C11" s="49">
        <f>'Avg Week Kitemu-Buddo'!C11+'Avg Week Buddo-Kitemu'!C11</f>
        <v>7.8571428571428577</v>
      </c>
      <c r="D11" s="49">
        <f>'Avg Week Kitemu-Buddo'!D11+'Avg Week Buddo-Kitemu'!D11</f>
        <v>1.1428571428571428</v>
      </c>
      <c r="E11" s="49">
        <f>'Avg Week Kitemu-Buddo'!E11+'Avg Week Buddo-Kitemu'!E11</f>
        <v>0.71428571428571419</v>
      </c>
      <c r="F11" s="49">
        <f>'Avg Week Kitemu-Buddo'!F11+'Avg Week Buddo-Kitemu'!F11</f>
        <v>5.8571428571428577</v>
      </c>
      <c r="G11" s="49">
        <f>'Avg Week Kitemu-Buddo'!G11+'Avg Week Buddo-Kitemu'!G11</f>
        <v>1.5714285714285714</v>
      </c>
      <c r="H11" s="49">
        <f>'Avg Week Kitemu-Buddo'!H11+'Avg Week Buddo-Kitemu'!H11</f>
        <v>0</v>
      </c>
      <c r="I11" s="49">
        <f>'Avg Week Kitemu-Buddo'!I11+'Avg Week Buddo-Kitemu'!I11</f>
        <v>1.8571428571428572</v>
      </c>
      <c r="J11" s="49">
        <f>'Avg Week Kitemu-Buddo'!J11+'Avg Week Buddo-Kitemu'!J11</f>
        <v>0.42857142857142855</v>
      </c>
      <c r="K11" s="49">
        <f>'Avg Week Kitemu-Buddo'!K11+'Avg Week Buddo-Kitemu'!K11</f>
        <v>0</v>
      </c>
      <c r="L11" s="49">
        <f>'Avg Week Kitemu-Buddo'!L11+'Avg Week Buddo-Kitemu'!L11</f>
        <v>0</v>
      </c>
      <c r="M11" s="49">
        <f>'Avg Week Kitemu-Buddo'!M11+'Avg Week Buddo-Kitemu'!M11</f>
        <v>98.714285714285722</v>
      </c>
      <c r="N11" s="49">
        <f>'Avg Week Kitemu-Buddo'!N11+'Avg Week Buddo-Kitemu'!N11</f>
        <v>0</v>
      </c>
      <c r="O11" s="15">
        <f t="shared" si="0"/>
        <v>19.428571428571427</v>
      </c>
      <c r="P11" s="15">
        <f t="shared" si="1"/>
        <v>118.14285714285715</v>
      </c>
      <c r="R11" s="1" t="s">
        <v>7</v>
      </c>
      <c r="S11" s="17">
        <f t="shared" ref="S11:AF11" si="3">SUM(C14:C17)</f>
        <v>36.571428571428569</v>
      </c>
      <c r="T11" s="17">
        <f t="shared" si="3"/>
        <v>4.7142857142857135</v>
      </c>
      <c r="U11" s="17">
        <f t="shared" si="3"/>
        <v>4.7142857142857144</v>
      </c>
      <c r="V11" s="17">
        <f t="shared" si="3"/>
        <v>7.8571428571428577</v>
      </c>
      <c r="W11" s="17">
        <f t="shared" si="3"/>
        <v>0.71428571428571419</v>
      </c>
      <c r="X11" s="17">
        <f t="shared" si="3"/>
        <v>0.14285714285714285</v>
      </c>
      <c r="Y11" s="17">
        <f t="shared" si="3"/>
        <v>10.142857142857142</v>
      </c>
      <c r="Z11" s="17">
        <f t="shared" si="3"/>
        <v>3.5714285714285712</v>
      </c>
      <c r="AA11" s="17">
        <f t="shared" si="3"/>
        <v>0.71428571428571419</v>
      </c>
      <c r="AB11" s="17">
        <f t="shared" si="3"/>
        <v>0</v>
      </c>
      <c r="AC11" s="17">
        <f t="shared" si="3"/>
        <v>412.42857142857139</v>
      </c>
      <c r="AD11" s="17">
        <f t="shared" si="3"/>
        <v>0</v>
      </c>
      <c r="AE11" s="31">
        <f t="shared" si="3"/>
        <v>69.142857142857139</v>
      </c>
      <c r="AF11" s="31">
        <f t="shared" si="3"/>
        <v>481.57142857142856</v>
      </c>
    </row>
    <row r="12" spans="2:32" ht="23.1" customHeight="1" x14ac:dyDescent="0.25">
      <c r="B12" s="23" t="s">
        <v>39</v>
      </c>
      <c r="C12" s="49">
        <f>'Avg Week Kitemu-Buddo'!C12+'Avg Week Buddo-Kitemu'!C12</f>
        <v>8.1428571428571423</v>
      </c>
      <c r="D12" s="49">
        <f>'Avg Week Kitemu-Buddo'!D12+'Avg Week Buddo-Kitemu'!D12</f>
        <v>1.1428571428571428</v>
      </c>
      <c r="E12" s="49">
        <f>'Avg Week Kitemu-Buddo'!E12+'Avg Week Buddo-Kitemu'!E12</f>
        <v>1.2857142857142856</v>
      </c>
      <c r="F12" s="49">
        <f>'Avg Week Kitemu-Buddo'!F12+'Avg Week Buddo-Kitemu'!F12</f>
        <v>5.5714285714285712</v>
      </c>
      <c r="G12" s="49">
        <f>'Avg Week Kitemu-Buddo'!G12+'Avg Week Buddo-Kitemu'!G12</f>
        <v>0.42857142857142855</v>
      </c>
      <c r="H12" s="49">
        <f>'Avg Week Kitemu-Buddo'!H12+'Avg Week Buddo-Kitemu'!H12</f>
        <v>0</v>
      </c>
      <c r="I12" s="49">
        <f>'Avg Week Kitemu-Buddo'!I12+'Avg Week Buddo-Kitemu'!I12</f>
        <v>3.4285714285714284</v>
      </c>
      <c r="J12" s="49">
        <f>'Avg Week Kitemu-Buddo'!J12+'Avg Week Buddo-Kitemu'!J12</f>
        <v>1.2857142857142856</v>
      </c>
      <c r="K12" s="49">
        <f>'Avg Week Kitemu-Buddo'!K12+'Avg Week Buddo-Kitemu'!K12</f>
        <v>0.2857142857142857</v>
      </c>
      <c r="L12" s="49">
        <f>'Avg Week Kitemu-Buddo'!L12+'Avg Week Buddo-Kitemu'!L12</f>
        <v>0</v>
      </c>
      <c r="M12" s="49">
        <f>'Avg Week Kitemu-Buddo'!M12+'Avg Week Buddo-Kitemu'!M12</f>
        <v>109.28571428571428</v>
      </c>
      <c r="N12" s="49">
        <f>'Avg Week Kitemu-Buddo'!N12+'Avg Week Buddo-Kitemu'!N12</f>
        <v>0</v>
      </c>
      <c r="O12" s="15">
        <f t="shared" si="0"/>
        <v>21.571428571428562</v>
      </c>
      <c r="P12" s="15">
        <f t="shared" si="1"/>
        <v>130.85714285714283</v>
      </c>
      <c r="R12" s="1" t="s">
        <v>8</v>
      </c>
      <c r="S12" s="17">
        <f t="shared" ref="S12:AF12" si="4">SUM(C18:C21)</f>
        <v>30.714285714285712</v>
      </c>
      <c r="T12" s="17">
        <f t="shared" si="4"/>
        <v>3.5714285714285712</v>
      </c>
      <c r="U12" s="17">
        <f t="shared" si="4"/>
        <v>5.5714285714285712</v>
      </c>
      <c r="V12" s="17">
        <f t="shared" si="4"/>
        <v>8.5714285714285712</v>
      </c>
      <c r="W12" s="17">
        <f t="shared" si="4"/>
        <v>0.71428571428571419</v>
      </c>
      <c r="X12" s="17">
        <f t="shared" si="4"/>
        <v>0.2857142857142857</v>
      </c>
      <c r="Y12" s="17">
        <f t="shared" si="4"/>
        <v>13.142857142857142</v>
      </c>
      <c r="Z12" s="17">
        <f t="shared" si="4"/>
        <v>3.5714285714285712</v>
      </c>
      <c r="AA12" s="17">
        <f t="shared" si="4"/>
        <v>1.714285714285714</v>
      </c>
      <c r="AB12" s="17">
        <f t="shared" si="4"/>
        <v>0</v>
      </c>
      <c r="AC12" s="17">
        <f t="shared" si="4"/>
        <v>361.00000000000006</v>
      </c>
      <c r="AD12" s="17">
        <f t="shared" si="4"/>
        <v>0</v>
      </c>
      <c r="AE12" s="31">
        <f t="shared" si="4"/>
        <v>67.857142857142847</v>
      </c>
      <c r="AF12" s="31">
        <f t="shared" si="4"/>
        <v>428.85714285714289</v>
      </c>
    </row>
    <row r="13" spans="2:32" ht="23.1" customHeight="1" x14ac:dyDescent="0.25">
      <c r="B13" s="23" t="s">
        <v>40</v>
      </c>
      <c r="C13" s="49">
        <f>'Avg Week Kitemu-Buddo'!C13+'Avg Week Buddo-Kitemu'!C13</f>
        <v>8.1428571428571423</v>
      </c>
      <c r="D13" s="49">
        <f>'Avg Week Kitemu-Buddo'!D13+'Avg Week Buddo-Kitemu'!D13</f>
        <v>1.2857142857142856</v>
      </c>
      <c r="E13" s="49">
        <f>'Avg Week Kitemu-Buddo'!E13+'Avg Week Buddo-Kitemu'!E13</f>
        <v>1.1428571428571428</v>
      </c>
      <c r="F13" s="49">
        <f>'Avg Week Kitemu-Buddo'!F13+'Avg Week Buddo-Kitemu'!F13</f>
        <v>5.4285714285714288</v>
      </c>
      <c r="G13" s="49">
        <f>'Avg Week Kitemu-Buddo'!G13+'Avg Week Buddo-Kitemu'!G13</f>
        <v>0</v>
      </c>
      <c r="H13" s="49">
        <f>'Avg Week Kitemu-Buddo'!H13+'Avg Week Buddo-Kitemu'!H13</f>
        <v>0</v>
      </c>
      <c r="I13" s="49">
        <f>'Avg Week Kitemu-Buddo'!I13+'Avg Week Buddo-Kitemu'!I13</f>
        <v>2.2857142857142856</v>
      </c>
      <c r="J13" s="49">
        <f>'Avg Week Kitemu-Buddo'!J13+'Avg Week Buddo-Kitemu'!J13</f>
        <v>1.8571428571428572</v>
      </c>
      <c r="K13" s="49">
        <f>'Avg Week Kitemu-Buddo'!K13+'Avg Week Buddo-Kitemu'!K13</f>
        <v>0.2857142857142857</v>
      </c>
      <c r="L13" s="49">
        <f>'Avg Week Kitemu-Buddo'!L13+'Avg Week Buddo-Kitemu'!L13</f>
        <v>0</v>
      </c>
      <c r="M13" s="49">
        <f>'Avg Week Kitemu-Buddo'!M13+'Avg Week Buddo-Kitemu'!M13</f>
        <v>125.14285714285714</v>
      </c>
      <c r="N13" s="49">
        <f>'Avg Week Kitemu-Buddo'!N13+'Avg Week Buddo-Kitemu'!N13</f>
        <v>0</v>
      </c>
      <c r="O13" s="15">
        <f t="shared" si="0"/>
        <v>20.428571428571427</v>
      </c>
      <c r="P13" s="15">
        <f t="shared" si="1"/>
        <v>145.57142857142856</v>
      </c>
      <c r="R13" s="1" t="s">
        <v>9</v>
      </c>
      <c r="S13" s="17">
        <f t="shared" ref="S13:AF13" si="5">SUM(C22:C25)</f>
        <v>30.428571428571431</v>
      </c>
      <c r="T13" s="17">
        <f t="shared" si="5"/>
        <v>4</v>
      </c>
      <c r="U13" s="17">
        <f t="shared" si="5"/>
        <v>2.8571428571428568</v>
      </c>
      <c r="V13" s="17">
        <f t="shared" si="5"/>
        <v>9.7142857142857135</v>
      </c>
      <c r="W13" s="17">
        <f t="shared" si="5"/>
        <v>0.99999999999999989</v>
      </c>
      <c r="X13" s="17">
        <f t="shared" si="5"/>
        <v>0</v>
      </c>
      <c r="Y13" s="17">
        <f t="shared" si="5"/>
        <v>13.857142857142858</v>
      </c>
      <c r="Z13" s="17">
        <f t="shared" si="5"/>
        <v>3.7142857142857144</v>
      </c>
      <c r="AA13" s="17">
        <f t="shared" si="5"/>
        <v>1.7142857142857142</v>
      </c>
      <c r="AB13" s="17">
        <f t="shared" si="5"/>
        <v>0</v>
      </c>
      <c r="AC13" s="17">
        <f t="shared" si="5"/>
        <v>360.42857142857144</v>
      </c>
      <c r="AD13" s="17">
        <f t="shared" si="5"/>
        <v>8.7142857142857135</v>
      </c>
      <c r="AE13" s="31">
        <f t="shared" si="5"/>
        <v>76</v>
      </c>
      <c r="AF13" s="31">
        <f t="shared" si="5"/>
        <v>436.42857142857144</v>
      </c>
    </row>
    <row r="14" spans="2:32" ht="23.1" customHeight="1" x14ac:dyDescent="0.25">
      <c r="B14" s="23" t="s">
        <v>41</v>
      </c>
      <c r="C14" s="49">
        <f>'Avg Week Kitemu-Buddo'!C14+'Avg Week Buddo-Kitemu'!C14</f>
        <v>10</v>
      </c>
      <c r="D14" s="49">
        <f>'Avg Week Kitemu-Buddo'!D14+'Avg Week Buddo-Kitemu'!D14</f>
        <v>1.1428571428571428</v>
      </c>
      <c r="E14" s="49">
        <f>'Avg Week Kitemu-Buddo'!E14+'Avg Week Buddo-Kitemu'!E14</f>
        <v>1.2857142857142858</v>
      </c>
      <c r="F14" s="49">
        <f>'Avg Week Kitemu-Buddo'!F14+'Avg Week Buddo-Kitemu'!F14</f>
        <v>2.1428571428571428</v>
      </c>
      <c r="G14" s="49">
        <f>'Avg Week Kitemu-Buddo'!G14+'Avg Week Buddo-Kitemu'!G14</f>
        <v>0.14285714285714285</v>
      </c>
      <c r="H14" s="49">
        <f>'Avg Week Kitemu-Buddo'!H14+'Avg Week Buddo-Kitemu'!H14</f>
        <v>0</v>
      </c>
      <c r="I14" s="49">
        <f>'Avg Week Kitemu-Buddo'!I14+'Avg Week Buddo-Kitemu'!I14</f>
        <v>2.1428571428571428</v>
      </c>
      <c r="J14" s="49">
        <f>'Avg Week Kitemu-Buddo'!J14+'Avg Week Buddo-Kitemu'!J14</f>
        <v>0.42857142857142855</v>
      </c>
      <c r="K14" s="49">
        <f>'Avg Week Kitemu-Buddo'!K14+'Avg Week Buddo-Kitemu'!K14</f>
        <v>0.2857142857142857</v>
      </c>
      <c r="L14" s="49">
        <f>'Avg Week Kitemu-Buddo'!L14+'Avg Week Buddo-Kitemu'!L14</f>
        <v>0</v>
      </c>
      <c r="M14" s="49">
        <f>'Avg Week Kitemu-Buddo'!M14+'Avg Week Buddo-Kitemu'!M14</f>
        <v>104.71428571428572</v>
      </c>
      <c r="N14" s="49">
        <f>'Avg Week Kitemu-Buddo'!N14+'Avg Week Buddo-Kitemu'!N14</f>
        <v>0</v>
      </c>
      <c r="O14" s="15">
        <f t="shared" si="0"/>
        <v>17.571428571428569</v>
      </c>
      <c r="P14" s="15">
        <f t="shared" si="1"/>
        <v>122.28571428571429</v>
      </c>
      <c r="R14" s="1" t="s">
        <v>10</v>
      </c>
      <c r="S14" s="17">
        <f t="shared" ref="S14:AF14" si="6">SUM(C26:C29)</f>
        <v>28.142857142857139</v>
      </c>
      <c r="T14" s="17">
        <f t="shared" si="6"/>
        <v>3.8571428571428568</v>
      </c>
      <c r="U14" s="17">
        <f t="shared" si="6"/>
        <v>4.7142857142857135</v>
      </c>
      <c r="V14" s="17">
        <f t="shared" si="6"/>
        <v>8.4285714285714288</v>
      </c>
      <c r="W14" s="17">
        <f t="shared" si="6"/>
        <v>0.14285714285714285</v>
      </c>
      <c r="X14" s="17">
        <f t="shared" si="6"/>
        <v>0</v>
      </c>
      <c r="Y14" s="17">
        <f t="shared" si="6"/>
        <v>14.428571428571429</v>
      </c>
      <c r="Z14" s="17">
        <f t="shared" si="6"/>
        <v>5.1428571428571423</v>
      </c>
      <c r="AA14" s="17">
        <f t="shared" si="6"/>
        <v>1.2857142857142856</v>
      </c>
      <c r="AB14" s="17">
        <f t="shared" si="6"/>
        <v>0</v>
      </c>
      <c r="AC14" s="17">
        <f t="shared" si="6"/>
        <v>307.42857142857144</v>
      </c>
      <c r="AD14" s="17">
        <f t="shared" si="6"/>
        <v>0</v>
      </c>
      <c r="AE14" s="31">
        <f t="shared" si="6"/>
        <v>66.142857142857139</v>
      </c>
      <c r="AF14" s="31">
        <f t="shared" si="6"/>
        <v>373.57142857142856</v>
      </c>
    </row>
    <row r="15" spans="2:32" ht="23.1" customHeight="1" x14ac:dyDescent="0.25">
      <c r="B15" s="23" t="s">
        <v>42</v>
      </c>
      <c r="C15" s="49">
        <f>'Avg Week Kitemu-Buddo'!C15+'Avg Week Buddo-Kitemu'!C15</f>
        <v>9</v>
      </c>
      <c r="D15" s="49">
        <f>'Avg Week Kitemu-Buddo'!D15+'Avg Week Buddo-Kitemu'!D15</f>
        <v>1.1428571428571428</v>
      </c>
      <c r="E15" s="49">
        <f>'Avg Week Kitemu-Buddo'!E15+'Avg Week Buddo-Kitemu'!E15</f>
        <v>1.1428571428571428</v>
      </c>
      <c r="F15" s="49">
        <f>'Avg Week Kitemu-Buddo'!F15+'Avg Week Buddo-Kitemu'!F15</f>
        <v>1.7142857142857144</v>
      </c>
      <c r="G15" s="49">
        <f>'Avg Week Kitemu-Buddo'!G15+'Avg Week Buddo-Kitemu'!G15</f>
        <v>0.2857142857142857</v>
      </c>
      <c r="H15" s="49">
        <f>'Avg Week Kitemu-Buddo'!H15+'Avg Week Buddo-Kitemu'!H15</f>
        <v>0</v>
      </c>
      <c r="I15" s="49">
        <f>'Avg Week Kitemu-Buddo'!I15+'Avg Week Buddo-Kitemu'!I15</f>
        <v>2.7142857142857144</v>
      </c>
      <c r="J15" s="49">
        <f>'Avg Week Kitemu-Buddo'!J15+'Avg Week Buddo-Kitemu'!J15</f>
        <v>1.4285714285714286</v>
      </c>
      <c r="K15" s="49">
        <f>'Avg Week Kitemu-Buddo'!K15+'Avg Week Buddo-Kitemu'!K15</f>
        <v>0.14285714285714285</v>
      </c>
      <c r="L15" s="49">
        <f>'Avg Week Kitemu-Buddo'!L15+'Avg Week Buddo-Kitemu'!L15</f>
        <v>0</v>
      </c>
      <c r="M15" s="49">
        <f>'Avg Week Kitemu-Buddo'!M15+'Avg Week Buddo-Kitemu'!M15</f>
        <v>108.14285714285714</v>
      </c>
      <c r="N15" s="49">
        <f>'Avg Week Kitemu-Buddo'!N15+'Avg Week Buddo-Kitemu'!N15</f>
        <v>0</v>
      </c>
      <c r="O15" s="15">
        <f t="shared" si="0"/>
        <v>17.571428571428569</v>
      </c>
      <c r="P15" s="15">
        <f t="shared" si="1"/>
        <v>125.71428571428571</v>
      </c>
      <c r="R15" s="1" t="s">
        <v>11</v>
      </c>
      <c r="S15" s="17">
        <f t="shared" ref="S15:AF15" si="7">SUM(C30:C33)</f>
        <v>26.571428571428569</v>
      </c>
      <c r="T15" s="17">
        <f t="shared" si="7"/>
        <v>2.8571428571428568</v>
      </c>
      <c r="U15" s="17">
        <f t="shared" si="7"/>
        <v>3.8571428571428568</v>
      </c>
      <c r="V15" s="17">
        <f t="shared" si="7"/>
        <v>10.428571428571427</v>
      </c>
      <c r="W15" s="17">
        <f t="shared" si="7"/>
        <v>0.5714285714285714</v>
      </c>
      <c r="X15" s="17">
        <f t="shared" si="7"/>
        <v>0.14285714285714285</v>
      </c>
      <c r="Y15" s="17">
        <f t="shared" si="7"/>
        <v>11</v>
      </c>
      <c r="Z15" s="17">
        <f t="shared" si="7"/>
        <v>4.1428571428571423</v>
      </c>
      <c r="AA15" s="17">
        <f t="shared" si="7"/>
        <v>1</v>
      </c>
      <c r="AB15" s="17">
        <f t="shared" si="7"/>
        <v>0</v>
      </c>
      <c r="AC15" s="17">
        <f t="shared" si="7"/>
        <v>266.28571428571428</v>
      </c>
      <c r="AD15" s="17">
        <f t="shared" si="7"/>
        <v>0</v>
      </c>
      <c r="AE15" s="31">
        <f t="shared" si="7"/>
        <v>60.571428571428569</v>
      </c>
      <c r="AF15" s="31">
        <f t="shared" si="7"/>
        <v>326.85714285714283</v>
      </c>
    </row>
    <row r="16" spans="2:32" ht="23.1" customHeight="1" x14ac:dyDescent="0.25">
      <c r="B16" s="23" t="s">
        <v>43</v>
      </c>
      <c r="C16" s="49">
        <f>'Avg Week Kitemu-Buddo'!C16+'Avg Week Buddo-Kitemu'!C16</f>
        <v>9.5714285714285712</v>
      </c>
      <c r="D16" s="49">
        <f>'Avg Week Kitemu-Buddo'!D16+'Avg Week Buddo-Kitemu'!D16</f>
        <v>1.1428571428571428</v>
      </c>
      <c r="E16" s="49">
        <f>'Avg Week Kitemu-Buddo'!E16+'Avg Week Buddo-Kitemu'!E16</f>
        <v>0.8571428571428571</v>
      </c>
      <c r="F16" s="49">
        <f>'Avg Week Kitemu-Buddo'!F16+'Avg Week Buddo-Kitemu'!F16</f>
        <v>1.5714285714285716</v>
      </c>
      <c r="G16" s="49">
        <f>'Avg Week Kitemu-Buddo'!G16+'Avg Week Buddo-Kitemu'!G16</f>
        <v>0</v>
      </c>
      <c r="H16" s="49">
        <f>'Avg Week Kitemu-Buddo'!H16+'Avg Week Buddo-Kitemu'!H16</f>
        <v>0</v>
      </c>
      <c r="I16" s="49">
        <f>'Avg Week Kitemu-Buddo'!I16+'Avg Week Buddo-Kitemu'!I16</f>
        <v>2.1428571428571428</v>
      </c>
      <c r="J16" s="49">
        <f>'Avg Week Kitemu-Buddo'!J16+'Avg Week Buddo-Kitemu'!J16</f>
        <v>0.71428571428571419</v>
      </c>
      <c r="K16" s="49">
        <f>'Avg Week Kitemu-Buddo'!K16+'Avg Week Buddo-Kitemu'!K16</f>
        <v>0.14285714285714285</v>
      </c>
      <c r="L16" s="49">
        <f>'Avg Week Kitemu-Buddo'!L16+'Avg Week Buddo-Kitemu'!L16</f>
        <v>0</v>
      </c>
      <c r="M16" s="49">
        <f>'Avg Week Kitemu-Buddo'!M16+'Avg Week Buddo-Kitemu'!M16</f>
        <v>99.285714285714278</v>
      </c>
      <c r="N16" s="49">
        <f>'Avg Week Kitemu-Buddo'!N16+'Avg Week Buddo-Kitemu'!N16</f>
        <v>0</v>
      </c>
      <c r="O16" s="15">
        <f t="shared" si="0"/>
        <v>16.142857142857142</v>
      </c>
      <c r="P16" s="15">
        <f t="shared" si="1"/>
        <v>115.42857142857142</v>
      </c>
      <c r="R16" s="1" t="s">
        <v>12</v>
      </c>
      <c r="S16" s="17">
        <f t="shared" ref="S16:AF16" si="8">SUM(C34:C37)</f>
        <v>30</v>
      </c>
      <c r="T16" s="17">
        <f t="shared" si="8"/>
        <v>2.5714285714285712</v>
      </c>
      <c r="U16" s="17">
        <f t="shared" si="8"/>
        <v>3.5714285714285712</v>
      </c>
      <c r="V16" s="17">
        <f t="shared" si="8"/>
        <v>8.1428571428571423</v>
      </c>
      <c r="W16" s="17">
        <f t="shared" si="8"/>
        <v>0.2857142857142857</v>
      </c>
      <c r="X16" s="17">
        <f t="shared" si="8"/>
        <v>0</v>
      </c>
      <c r="Y16" s="17">
        <f t="shared" si="8"/>
        <v>10.714285714285714</v>
      </c>
      <c r="Z16" s="17">
        <f t="shared" si="8"/>
        <v>4.8571428571428568</v>
      </c>
      <c r="AA16" s="17">
        <f t="shared" si="8"/>
        <v>1.5714285714285712</v>
      </c>
      <c r="AB16" s="17">
        <f t="shared" si="8"/>
        <v>0</v>
      </c>
      <c r="AC16" s="17">
        <f t="shared" si="8"/>
        <v>260.42857142857144</v>
      </c>
      <c r="AD16" s="17">
        <f t="shared" si="8"/>
        <v>0.14285714285714285</v>
      </c>
      <c r="AE16" s="31">
        <f t="shared" si="8"/>
        <v>61.857142857142861</v>
      </c>
      <c r="AF16" s="31">
        <f t="shared" si="8"/>
        <v>322.28571428571428</v>
      </c>
    </row>
    <row r="17" spans="2:32" ht="23.1" customHeight="1" x14ac:dyDescent="0.25">
      <c r="B17" s="23" t="s">
        <v>44</v>
      </c>
      <c r="C17" s="49">
        <f>'Avg Week Kitemu-Buddo'!C17+'Avg Week Buddo-Kitemu'!C17</f>
        <v>8</v>
      </c>
      <c r="D17" s="49">
        <f>'Avg Week Kitemu-Buddo'!D17+'Avg Week Buddo-Kitemu'!D17</f>
        <v>1.2857142857142856</v>
      </c>
      <c r="E17" s="49">
        <f>'Avg Week Kitemu-Buddo'!E17+'Avg Week Buddo-Kitemu'!E17</f>
        <v>1.4285714285714284</v>
      </c>
      <c r="F17" s="49">
        <f>'Avg Week Kitemu-Buddo'!F17+'Avg Week Buddo-Kitemu'!F17</f>
        <v>2.4285714285714284</v>
      </c>
      <c r="G17" s="49">
        <f>'Avg Week Kitemu-Buddo'!G17+'Avg Week Buddo-Kitemu'!G17</f>
        <v>0.2857142857142857</v>
      </c>
      <c r="H17" s="49">
        <f>'Avg Week Kitemu-Buddo'!H17+'Avg Week Buddo-Kitemu'!H17</f>
        <v>0.14285714285714285</v>
      </c>
      <c r="I17" s="49">
        <f>'Avg Week Kitemu-Buddo'!I17+'Avg Week Buddo-Kitemu'!I17</f>
        <v>3.1428571428571428</v>
      </c>
      <c r="J17" s="49">
        <f>'Avg Week Kitemu-Buddo'!J17+'Avg Week Buddo-Kitemu'!J17</f>
        <v>1</v>
      </c>
      <c r="K17" s="49">
        <f>'Avg Week Kitemu-Buddo'!K17+'Avg Week Buddo-Kitemu'!K17</f>
        <v>0.14285714285714285</v>
      </c>
      <c r="L17" s="49">
        <f>'Avg Week Kitemu-Buddo'!L17+'Avg Week Buddo-Kitemu'!L17</f>
        <v>0</v>
      </c>
      <c r="M17" s="49">
        <f>'Avg Week Kitemu-Buddo'!M17+'Avg Week Buddo-Kitemu'!M17</f>
        <v>100.28571428571428</v>
      </c>
      <c r="N17" s="49">
        <f>'Avg Week Kitemu-Buddo'!N17+'Avg Week Buddo-Kitemu'!N17</f>
        <v>0</v>
      </c>
      <c r="O17" s="15">
        <f t="shared" si="0"/>
        <v>17.857142857142858</v>
      </c>
      <c r="P17" s="15">
        <f t="shared" si="1"/>
        <v>118.14285714285714</v>
      </c>
      <c r="R17" s="1" t="s">
        <v>13</v>
      </c>
      <c r="S17" s="17">
        <f t="shared" ref="S17:AF17" si="9">SUM(C38:C41)</f>
        <v>27</v>
      </c>
      <c r="T17" s="17">
        <f t="shared" si="9"/>
        <v>2.7142857142857144</v>
      </c>
      <c r="U17" s="17">
        <f t="shared" si="9"/>
        <v>3.1428571428571428</v>
      </c>
      <c r="V17" s="17">
        <f t="shared" si="9"/>
        <v>12</v>
      </c>
      <c r="W17" s="17">
        <f t="shared" si="9"/>
        <v>0.14285714285714285</v>
      </c>
      <c r="X17" s="17">
        <f t="shared" si="9"/>
        <v>0</v>
      </c>
      <c r="Y17" s="17">
        <f t="shared" si="9"/>
        <v>8.428571428571427</v>
      </c>
      <c r="Z17" s="17">
        <f t="shared" si="9"/>
        <v>2.7142857142857144</v>
      </c>
      <c r="AA17" s="17">
        <f t="shared" si="9"/>
        <v>1.857142857142857</v>
      </c>
      <c r="AB17" s="17">
        <f t="shared" si="9"/>
        <v>0</v>
      </c>
      <c r="AC17" s="17">
        <f t="shared" si="9"/>
        <v>234.85714285714286</v>
      </c>
      <c r="AD17" s="17">
        <f t="shared" si="9"/>
        <v>0</v>
      </c>
      <c r="AE17" s="31">
        <f t="shared" si="9"/>
        <v>58</v>
      </c>
      <c r="AF17" s="31">
        <f t="shared" si="9"/>
        <v>292.85714285714289</v>
      </c>
    </row>
    <row r="18" spans="2:32" ht="23.1" customHeight="1" x14ac:dyDescent="0.25">
      <c r="B18" s="23" t="s">
        <v>45</v>
      </c>
      <c r="C18" s="49">
        <f>'Avg Week Kitemu-Buddo'!C18+'Avg Week Buddo-Kitemu'!C18</f>
        <v>7.2857142857142865</v>
      </c>
      <c r="D18" s="49">
        <f>'Avg Week Kitemu-Buddo'!D18+'Avg Week Buddo-Kitemu'!D18</f>
        <v>1.1428571428571428</v>
      </c>
      <c r="E18" s="49">
        <f>'Avg Week Kitemu-Buddo'!E18+'Avg Week Buddo-Kitemu'!E18</f>
        <v>1.7142857142857142</v>
      </c>
      <c r="F18" s="49">
        <f>'Avg Week Kitemu-Buddo'!F18+'Avg Week Buddo-Kitemu'!F18</f>
        <v>2.4285714285714288</v>
      </c>
      <c r="G18" s="49">
        <f>'Avg Week Kitemu-Buddo'!G18+'Avg Week Buddo-Kitemu'!G18</f>
        <v>0.2857142857142857</v>
      </c>
      <c r="H18" s="49">
        <f>'Avg Week Kitemu-Buddo'!H18+'Avg Week Buddo-Kitemu'!H18</f>
        <v>0</v>
      </c>
      <c r="I18" s="49">
        <f>'Avg Week Kitemu-Buddo'!I18+'Avg Week Buddo-Kitemu'!I18</f>
        <v>3.7142857142857144</v>
      </c>
      <c r="J18" s="49">
        <f>'Avg Week Kitemu-Buddo'!J18+'Avg Week Buddo-Kitemu'!J18</f>
        <v>0.42857142857142855</v>
      </c>
      <c r="K18" s="49">
        <f>'Avg Week Kitemu-Buddo'!K18+'Avg Week Buddo-Kitemu'!K18</f>
        <v>0.42857142857142855</v>
      </c>
      <c r="L18" s="49">
        <f>'Avg Week Kitemu-Buddo'!L18+'Avg Week Buddo-Kitemu'!L18</f>
        <v>0</v>
      </c>
      <c r="M18" s="49">
        <f>'Avg Week Kitemu-Buddo'!M18+'Avg Week Buddo-Kitemu'!M18</f>
        <v>87.857142857142861</v>
      </c>
      <c r="N18" s="49">
        <f>'Avg Week Kitemu-Buddo'!N18+'Avg Week Buddo-Kitemu'!N18</f>
        <v>0</v>
      </c>
      <c r="O18" s="15">
        <f t="shared" si="0"/>
        <v>17.428571428571427</v>
      </c>
      <c r="P18" s="15">
        <f t="shared" si="1"/>
        <v>105.28571428571429</v>
      </c>
      <c r="R18" s="1" t="s">
        <v>14</v>
      </c>
      <c r="S18" s="17">
        <f t="shared" ref="S18:AF18" si="10">SUM(C42:C45)</f>
        <v>23.142857142857139</v>
      </c>
      <c r="T18" s="17">
        <f t="shared" si="10"/>
        <v>2.5714285714285707</v>
      </c>
      <c r="U18" s="17">
        <f t="shared" si="10"/>
        <v>4</v>
      </c>
      <c r="V18" s="17">
        <f t="shared" si="10"/>
        <v>8.7142857142857135</v>
      </c>
      <c r="W18" s="17">
        <f t="shared" si="10"/>
        <v>0.5714285714285714</v>
      </c>
      <c r="X18" s="17">
        <f t="shared" si="10"/>
        <v>0.2857142857142857</v>
      </c>
      <c r="Y18" s="17">
        <f t="shared" si="10"/>
        <v>9.8571428571428577</v>
      </c>
      <c r="Z18" s="17">
        <f t="shared" si="10"/>
        <v>5.4285714285714288</v>
      </c>
      <c r="AA18" s="17">
        <f t="shared" si="10"/>
        <v>2.1428571428571428</v>
      </c>
      <c r="AB18" s="17">
        <f t="shared" si="10"/>
        <v>0</v>
      </c>
      <c r="AC18" s="17">
        <f t="shared" si="10"/>
        <v>241.14285714285717</v>
      </c>
      <c r="AD18" s="17">
        <f t="shared" si="10"/>
        <v>0</v>
      </c>
      <c r="AE18" s="31">
        <f t="shared" si="10"/>
        <v>56.714285714285708</v>
      </c>
      <c r="AF18" s="31">
        <f t="shared" si="10"/>
        <v>297.85714285714289</v>
      </c>
    </row>
    <row r="19" spans="2:32" ht="23.1" customHeight="1" x14ac:dyDescent="0.25">
      <c r="B19" s="23" t="s">
        <v>46</v>
      </c>
      <c r="C19" s="49">
        <f>'Avg Week Kitemu-Buddo'!C19+'Avg Week Buddo-Kitemu'!C19</f>
        <v>8.1428571428571423</v>
      </c>
      <c r="D19" s="49">
        <f>'Avg Week Kitemu-Buddo'!D19+'Avg Week Buddo-Kitemu'!D19</f>
        <v>1</v>
      </c>
      <c r="E19" s="49">
        <f>'Avg Week Kitemu-Buddo'!E19+'Avg Week Buddo-Kitemu'!E19</f>
        <v>1.8571428571428572</v>
      </c>
      <c r="F19" s="49">
        <f>'Avg Week Kitemu-Buddo'!F19+'Avg Week Buddo-Kitemu'!F19</f>
        <v>1.8571428571428572</v>
      </c>
      <c r="G19" s="49">
        <f>'Avg Week Kitemu-Buddo'!G19+'Avg Week Buddo-Kitemu'!G19</f>
        <v>0.2857142857142857</v>
      </c>
      <c r="H19" s="49">
        <f>'Avg Week Kitemu-Buddo'!H19+'Avg Week Buddo-Kitemu'!H19</f>
        <v>0.14285714285714285</v>
      </c>
      <c r="I19" s="49">
        <f>'Avg Week Kitemu-Buddo'!I19+'Avg Week Buddo-Kitemu'!I19</f>
        <v>2.2857142857142856</v>
      </c>
      <c r="J19" s="49">
        <f>'Avg Week Kitemu-Buddo'!J19+'Avg Week Buddo-Kitemu'!J19</f>
        <v>1.1428571428571428</v>
      </c>
      <c r="K19" s="49">
        <f>'Avg Week Kitemu-Buddo'!K19+'Avg Week Buddo-Kitemu'!K19</f>
        <v>0.42857142857142855</v>
      </c>
      <c r="L19" s="49">
        <f>'Avg Week Kitemu-Buddo'!L19+'Avg Week Buddo-Kitemu'!L19</f>
        <v>0</v>
      </c>
      <c r="M19" s="49">
        <f>'Avg Week Kitemu-Buddo'!M19+'Avg Week Buddo-Kitemu'!M19</f>
        <v>86.571428571428584</v>
      </c>
      <c r="N19" s="49">
        <f>'Avg Week Kitemu-Buddo'!N19+'Avg Week Buddo-Kitemu'!N19</f>
        <v>0</v>
      </c>
      <c r="O19" s="15">
        <f t="shared" si="0"/>
        <v>17.142857142857142</v>
      </c>
      <c r="P19" s="15">
        <f t="shared" si="1"/>
        <v>103.71428571428572</v>
      </c>
      <c r="R19" s="1" t="s">
        <v>15</v>
      </c>
      <c r="S19" s="17">
        <f t="shared" ref="S19:AF19" si="11">SUM(C46:C49)</f>
        <v>29.142857142857146</v>
      </c>
      <c r="T19" s="17">
        <f t="shared" si="11"/>
        <v>3.714285714285714</v>
      </c>
      <c r="U19" s="17">
        <f t="shared" si="11"/>
        <v>4.4285714285714279</v>
      </c>
      <c r="V19" s="17">
        <f t="shared" si="11"/>
        <v>13.571428571428573</v>
      </c>
      <c r="W19" s="17">
        <f t="shared" si="11"/>
        <v>2.4285714285714284</v>
      </c>
      <c r="X19" s="17">
        <f t="shared" si="11"/>
        <v>0</v>
      </c>
      <c r="Y19" s="17">
        <f t="shared" si="11"/>
        <v>10.285714285714285</v>
      </c>
      <c r="Z19" s="17">
        <f t="shared" si="11"/>
        <v>2.5714285714285712</v>
      </c>
      <c r="AA19" s="17">
        <f t="shared" si="11"/>
        <v>1.9999999999999996</v>
      </c>
      <c r="AB19" s="17">
        <f t="shared" si="11"/>
        <v>0</v>
      </c>
      <c r="AC19" s="17">
        <f t="shared" si="11"/>
        <v>273.85714285714289</v>
      </c>
      <c r="AD19" s="17">
        <f t="shared" si="11"/>
        <v>0</v>
      </c>
      <c r="AE19" s="31">
        <f t="shared" si="11"/>
        <v>68.142857142857139</v>
      </c>
      <c r="AF19" s="31">
        <f t="shared" si="11"/>
        <v>342</v>
      </c>
    </row>
    <row r="20" spans="2:32" ht="23.1" customHeight="1" x14ac:dyDescent="0.25">
      <c r="B20" s="23" t="s">
        <v>47</v>
      </c>
      <c r="C20" s="49">
        <f>'Avg Week Kitemu-Buddo'!C20+'Avg Week Buddo-Kitemu'!C20</f>
        <v>8.1428571428571423</v>
      </c>
      <c r="D20" s="49">
        <f>'Avg Week Kitemu-Buddo'!D20+'Avg Week Buddo-Kitemu'!D20</f>
        <v>0.71428571428571419</v>
      </c>
      <c r="E20" s="49">
        <f>'Avg Week Kitemu-Buddo'!E20+'Avg Week Buddo-Kitemu'!E20</f>
        <v>0.71428571428571419</v>
      </c>
      <c r="F20" s="49">
        <f>'Avg Week Kitemu-Buddo'!F20+'Avg Week Buddo-Kitemu'!F20</f>
        <v>2.1428571428571428</v>
      </c>
      <c r="G20" s="49">
        <f>'Avg Week Kitemu-Buddo'!G20+'Avg Week Buddo-Kitemu'!G20</f>
        <v>0.14285714285714285</v>
      </c>
      <c r="H20" s="49">
        <f>'Avg Week Kitemu-Buddo'!H20+'Avg Week Buddo-Kitemu'!H20</f>
        <v>0.14285714285714285</v>
      </c>
      <c r="I20" s="49">
        <f>'Avg Week Kitemu-Buddo'!I20+'Avg Week Buddo-Kitemu'!I20</f>
        <v>3.5714285714285712</v>
      </c>
      <c r="J20" s="49">
        <f>'Avg Week Kitemu-Buddo'!J20+'Avg Week Buddo-Kitemu'!J20</f>
        <v>1.4285714285714286</v>
      </c>
      <c r="K20" s="49">
        <f>'Avg Week Kitemu-Buddo'!K20+'Avg Week Buddo-Kitemu'!K20</f>
        <v>0.5714285714285714</v>
      </c>
      <c r="L20" s="49">
        <f>'Avg Week Kitemu-Buddo'!L20+'Avg Week Buddo-Kitemu'!L20</f>
        <v>0</v>
      </c>
      <c r="M20" s="49">
        <f>'Avg Week Kitemu-Buddo'!M20+'Avg Week Buddo-Kitemu'!M20</f>
        <v>91.857142857142861</v>
      </c>
      <c r="N20" s="49">
        <f>'Avg Week Kitemu-Buddo'!N20+'Avg Week Buddo-Kitemu'!N20</f>
        <v>0</v>
      </c>
      <c r="O20" s="15">
        <f t="shared" si="0"/>
        <v>17.571428571428569</v>
      </c>
      <c r="P20" s="15">
        <f t="shared" si="1"/>
        <v>109.42857142857143</v>
      </c>
      <c r="R20" s="1" t="s">
        <v>16</v>
      </c>
      <c r="S20" s="17">
        <f t="shared" ref="S20:AF20" si="12">SUM(C50:C53)</f>
        <v>33.714285714285715</v>
      </c>
      <c r="T20" s="17">
        <f t="shared" si="12"/>
        <v>5.1428571428571432</v>
      </c>
      <c r="U20" s="17">
        <f t="shared" si="12"/>
        <v>2.5714285714285712</v>
      </c>
      <c r="V20" s="17">
        <f t="shared" si="12"/>
        <v>15.857142857142858</v>
      </c>
      <c r="W20" s="17">
        <f t="shared" si="12"/>
        <v>3.1428571428571423</v>
      </c>
      <c r="X20" s="17">
        <f t="shared" si="12"/>
        <v>0</v>
      </c>
      <c r="Y20" s="17">
        <f t="shared" si="12"/>
        <v>12.571428571428571</v>
      </c>
      <c r="Z20" s="17">
        <f t="shared" si="12"/>
        <v>3.7142857142857144</v>
      </c>
      <c r="AA20" s="17">
        <f t="shared" si="12"/>
        <v>1.2857142857142856</v>
      </c>
      <c r="AB20" s="17">
        <f t="shared" si="12"/>
        <v>0</v>
      </c>
      <c r="AC20" s="17">
        <f t="shared" si="12"/>
        <v>306.57142857142856</v>
      </c>
      <c r="AD20" s="17">
        <f t="shared" si="12"/>
        <v>0</v>
      </c>
      <c r="AE20" s="31">
        <f t="shared" si="12"/>
        <v>78</v>
      </c>
      <c r="AF20" s="31">
        <f t="shared" si="12"/>
        <v>384.57142857142856</v>
      </c>
    </row>
    <row r="21" spans="2:32" ht="23.1" customHeight="1" x14ac:dyDescent="0.25">
      <c r="B21" s="23" t="s">
        <v>48</v>
      </c>
      <c r="C21" s="49">
        <f>'Avg Week Kitemu-Buddo'!C21+'Avg Week Buddo-Kitemu'!C21</f>
        <v>7.1428571428571423</v>
      </c>
      <c r="D21" s="49">
        <f>'Avg Week Kitemu-Buddo'!D21+'Avg Week Buddo-Kitemu'!D21</f>
        <v>0.71428571428571419</v>
      </c>
      <c r="E21" s="49">
        <f>'Avg Week Kitemu-Buddo'!E21+'Avg Week Buddo-Kitemu'!E21</f>
        <v>1.2857142857142856</v>
      </c>
      <c r="F21" s="49">
        <f>'Avg Week Kitemu-Buddo'!F21+'Avg Week Buddo-Kitemu'!F21</f>
        <v>2.1428571428571428</v>
      </c>
      <c r="G21" s="49">
        <f>'Avg Week Kitemu-Buddo'!G21+'Avg Week Buddo-Kitemu'!G21</f>
        <v>0</v>
      </c>
      <c r="H21" s="49">
        <f>'Avg Week Kitemu-Buddo'!H21+'Avg Week Buddo-Kitemu'!H21</f>
        <v>0</v>
      </c>
      <c r="I21" s="49">
        <f>'Avg Week Kitemu-Buddo'!I21+'Avg Week Buddo-Kitemu'!I21</f>
        <v>3.5714285714285712</v>
      </c>
      <c r="J21" s="49">
        <f>'Avg Week Kitemu-Buddo'!J21+'Avg Week Buddo-Kitemu'!J21</f>
        <v>0.5714285714285714</v>
      </c>
      <c r="K21" s="49">
        <f>'Avg Week Kitemu-Buddo'!K21+'Avg Week Buddo-Kitemu'!K21</f>
        <v>0.2857142857142857</v>
      </c>
      <c r="L21" s="49">
        <f>'Avg Week Kitemu-Buddo'!L21+'Avg Week Buddo-Kitemu'!L21</f>
        <v>0</v>
      </c>
      <c r="M21" s="49">
        <f>'Avg Week Kitemu-Buddo'!M21+'Avg Week Buddo-Kitemu'!M21</f>
        <v>94.714285714285722</v>
      </c>
      <c r="N21" s="49">
        <f>'Avg Week Kitemu-Buddo'!N21+'Avg Week Buddo-Kitemu'!N21</f>
        <v>0</v>
      </c>
      <c r="O21" s="15">
        <f t="shared" si="0"/>
        <v>15.714285714285714</v>
      </c>
      <c r="P21" s="15">
        <f t="shared" si="1"/>
        <v>110.42857142857143</v>
      </c>
      <c r="R21" s="36" t="s">
        <v>20</v>
      </c>
      <c r="S21" s="34">
        <f t="shared" ref="S21:AF21" si="13">SUM(C54:C57)</f>
        <v>30.714285714285715</v>
      </c>
      <c r="T21" s="17">
        <f t="shared" si="13"/>
        <v>4.8571428571428568</v>
      </c>
      <c r="U21" s="17">
        <f t="shared" si="13"/>
        <v>3.2857142857142856</v>
      </c>
      <c r="V21" s="17">
        <f t="shared" si="13"/>
        <v>15.571428571428571</v>
      </c>
      <c r="W21" s="17">
        <f t="shared" si="13"/>
        <v>3.4285714285714284</v>
      </c>
      <c r="X21" s="17">
        <f t="shared" si="13"/>
        <v>0.14285714285714285</v>
      </c>
      <c r="Y21" s="17">
        <f t="shared" si="13"/>
        <v>12.142857142857142</v>
      </c>
      <c r="Z21" s="17">
        <f t="shared" si="13"/>
        <v>4.4285714285714288</v>
      </c>
      <c r="AA21" s="17">
        <f t="shared" si="13"/>
        <v>1.2857142857142856</v>
      </c>
      <c r="AB21" s="17">
        <f t="shared" si="13"/>
        <v>0</v>
      </c>
      <c r="AC21" s="17">
        <f t="shared" si="13"/>
        <v>316.85714285714289</v>
      </c>
      <c r="AD21" s="17">
        <f t="shared" si="13"/>
        <v>0</v>
      </c>
      <c r="AE21" s="31">
        <f t="shared" si="13"/>
        <v>75.857142857142847</v>
      </c>
      <c r="AF21" s="31">
        <f t="shared" si="13"/>
        <v>392.71428571428572</v>
      </c>
    </row>
    <row r="22" spans="2:32" ht="23.1" customHeight="1" x14ac:dyDescent="0.25">
      <c r="B22" s="23" t="s">
        <v>49</v>
      </c>
      <c r="C22" s="49">
        <f>'Avg Week Kitemu-Buddo'!C22+'Avg Week Buddo-Kitemu'!C22</f>
        <v>8.1428571428571423</v>
      </c>
      <c r="D22" s="49">
        <f>'Avg Week Kitemu-Buddo'!D22+'Avg Week Buddo-Kitemu'!D22</f>
        <v>0.8571428571428571</v>
      </c>
      <c r="E22" s="49">
        <f>'Avg Week Kitemu-Buddo'!E22+'Avg Week Buddo-Kitemu'!E22</f>
        <v>0.71428571428571419</v>
      </c>
      <c r="F22" s="49">
        <f>'Avg Week Kitemu-Buddo'!F22+'Avg Week Buddo-Kitemu'!F22</f>
        <v>3</v>
      </c>
      <c r="G22" s="49">
        <f>'Avg Week Kitemu-Buddo'!G22+'Avg Week Buddo-Kitemu'!G22</f>
        <v>0.2857142857142857</v>
      </c>
      <c r="H22" s="49">
        <f>'Avg Week Kitemu-Buddo'!H22+'Avg Week Buddo-Kitemu'!H22</f>
        <v>0</v>
      </c>
      <c r="I22" s="49">
        <f>'Avg Week Kitemu-Buddo'!I22+'Avg Week Buddo-Kitemu'!I22</f>
        <v>4</v>
      </c>
      <c r="J22" s="49">
        <f>'Avg Week Kitemu-Buddo'!J22+'Avg Week Buddo-Kitemu'!J22</f>
        <v>1.1428571428571428</v>
      </c>
      <c r="K22" s="49">
        <f>'Avg Week Kitemu-Buddo'!K22+'Avg Week Buddo-Kitemu'!K22</f>
        <v>0.2857142857142857</v>
      </c>
      <c r="L22" s="49">
        <f>'Avg Week Kitemu-Buddo'!L22+'Avg Week Buddo-Kitemu'!L22</f>
        <v>0</v>
      </c>
      <c r="M22" s="49">
        <f>'Avg Week Kitemu-Buddo'!M22+'Avg Week Buddo-Kitemu'!M22</f>
        <v>91.857142857142861</v>
      </c>
      <c r="N22" s="49">
        <f>'Avg Week Kitemu-Buddo'!N22+'Avg Week Buddo-Kitemu'!N22</f>
        <v>8.7142857142857135</v>
      </c>
      <c r="O22" s="15">
        <f t="shared" si="0"/>
        <v>27.142857142857139</v>
      </c>
      <c r="P22" s="15">
        <f t="shared" si="1"/>
        <v>119</v>
      </c>
      <c r="R22" s="1" t="s">
        <v>146</v>
      </c>
      <c r="S22" s="34">
        <f>SUM(C58:C61)</f>
        <v>33</v>
      </c>
      <c r="T22" s="34">
        <f t="shared" ref="T22:AF22" si="14">SUM(D58:D61)</f>
        <v>6</v>
      </c>
      <c r="U22" s="34">
        <f t="shared" si="14"/>
        <v>7.5</v>
      </c>
      <c r="V22" s="34">
        <f t="shared" si="14"/>
        <v>15.5</v>
      </c>
      <c r="W22" s="34">
        <f t="shared" si="14"/>
        <v>1.5</v>
      </c>
      <c r="X22" s="34">
        <f t="shared" si="14"/>
        <v>0</v>
      </c>
      <c r="Y22" s="34">
        <f t="shared" si="14"/>
        <v>9.5</v>
      </c>
      <c r="Z22" s="34">
        <f t="shared" si="14"/>
        <v>3.5</v>
      </c>
      <c r="AA22" s="34">
        <f t="shared" si="14"/>
        <v>1</v>
      </c>
      <c r="AB22" s="34">
        <f t="shared" si="14"/>
        <v>0</v>
      </c>
      <c r="AC22" s="34">
        <f t="shared" si="14"/>
        <v>347</v>
      </c>
      <c r="AD22" s="34">
        <f t="shared" si="14"/>
        <v>0</v>
      </c>
      <c r="AE22" s="31">
        <f t="shared" si="14"/>
        <v>77.5</v>
      </c>
      <c r="AF22" s="31">
        <f t="shared" si="14"/>
        <v>424.5</v>
      </c>
    </row>
    <row r="23" spans="2:32" ht="23.1" customHeight="1" x14ac:dyDescent="0.25">
      <c r="B23" s="23" t="s">
        <v>50</v>
      </c>
      <c r="C23" s="49">
        <f>'Avg Week Kitemu-Buddo'!C23+'Avg Week Buddo-Kitemu'!C23</f>
        <v>7.7142857142857135</v>
      </c>
      <c r="D23" s="49">
        <f>'Avg Week Kitemu-Buddo'!D23+'Avg Week Buddo-Kitemu'!D23</f>
        <v>1.1428571428571428</v>
      </c>
      <c r="E23" s="49">
        <f>'Avg Week Kitemu-Buddo'!E23+'Avg Week Buddo-Kitemu'!E23</f>
        <v>0.71428571428571419</v>
      </c>
      <c r="F23" s="49">
        <f>'Avg Week Kitemu-Buddo'!F23+'Avg Week Buddo-Kitemu'!F23</f>
        <v>2.1428571428571428</v>
      </c>
      <c r="G23" s="49">
        <f>'Avg Week Kitemu-Buddo'!G23+'Avg Week Buddo-Kitemu'!G23</f>
        <v>0.2857142857142857</v>
      </c>
      <c r="H23" s="49">
        <f>'Avg Week Kitemu-Buddo'!H23+'Avg Week Buddo-Kitemu'!H23</f>
        <v>0</v>
      </c>
      <c r="I23" s="49">
        <f>'Avg Week Kitemu-Buddo'!I23+'Avg Week Buddo-Kitemu'!I23</f>
        <v>3.4285714285714288</v>
      </c>
      <c r="J23" s="49">
        <f>'Avg Week Kitemu-Buddo'!J23+'Avg Week Buddo-Kitemu'!J23</f>
        <v>0.42857142857142855</v>
      </c>
      <c r="K23" s="49">
        <f>'Avg Week Kitemu-Buddo'!K23+'Avg Week Buddo-Kitemu'!K23</f>
        <v>0.71428571428571419</v>
      </c>
      <c r="L23" s="49">
        <f>'Avg Week Kitemu-Buddo'!L23+'Avg Week Buddo-Kitemu'!L23</f>
        <v>0</v>
      </c>
      <c r="M23" s="49">
        <f>'Avg Week Kitemu-Buddo'!M23+'Avg Week Buddo-Kitemu'!M23</f>
        <v>89.428571428571416</v>
      </c>
      <c r="N23" s="49">
        <f>'Avg Week Kitemu-Buddo'!N23+'Avg Week Buddo-Kitemu'!N23</f>
        <v>0</v>
      </c>
      <c r="O23" s="15">
        <f t="shared" si="0"/>
        <v>16.571428571428569</v>
      </c>
      <c r="P23" s="15">
        <f t="shared" si="1"/>
        <v>105.99999999999999</v>
      </c>
      <c r="R23" s="1" t="s">
        <v>147</v>
      </c>
      <c r="S23" s="34">
        <f>SUM(C62:C65)</f>
        <v>26</v>
      </c>
      <c r="T23" s="34">
        <f t="shared" ref="T23:AF23" si="15">SUM(D62:D65)</f>
        <v>4.5</v>
      </c>
      <c r="U23" s="34">
        <f t="shared" si="15"/>
        <v>5.5</v>
      </c>
      <c r="V23" s="34">
        <f t="shared" si="15"/>
        <v>15.5</v>
      </c>
      <c r="W23" s="34">
        <f t="shared" si="15"/>
        <v>0.5</v>
      </c>
      <c r="X23" s="34">
        <f t="shared" si="15"/>
        <v>0</v>
      </c>
      <c r="Y23" s="34">
        <f t="shared" si="15"/>
        <v>7.5</v>
      </c>
      <c r="Z23" s="34">
        <f t="shared" si="15"/>
        <v>7</v>
      </c>
      <c r="AA23" s="34">
        <f t="shared" si="15"/>
        <v>2</v>
      </c>
      <c r="AB23" s="34">
        <f t="shared" si="15"/>
        <v>0</v>
      </c>
      <c r="AC23" s="34">
        <f t="shared" si="15"/>
        <v>348</v>
      </c>
      <c r="AD23" s="34">
        <f t="shared" si="15"/>
        <v>0</v>
      </c>
      <c r="AE23" s="31">
        <f t="shared" si="15"/>
        <v>68.5</v>
      </c>
      <c r="AF23" s="31">
        <f t="shared" si="15"/>
        <v>416.5</v>
      </c>
    </row>
    <row r="24" spans="2:32" ht="23.1" customHeight="1" x14ac:dyDescent="0.25">
      <c r="B24" s="23" t="s">
        <v>51</v>
      </c>
      <c r="C24" s="49">
        <f>'Avg Week Kitemu-Buddo'!C24+'Avg Week Buddo-Kitemu'!C24</f>
        <v>7.8571428571428577</v>
      </c>
      <c r="D24" s="49">
        <f>'Avg Week Kitemu-Buddo'!D24+'Avg Week Buddo-Kitemu'!D24</f>
        <v>0.71428571428571419</v>
      </c>
      <c r="E24" s="49">
        <f>'Avg Week Kitemu-Buddo'!E24+'Avg Week Buddo-Kitemu'!E24</f>
        <v>0.71428571428571419</v>
      </c>
      <c r="F24" s="49">
        <f>'Avg Week Kitemu-Buddo'!F24+'Avg Week Buddo-Kitemu'!F24</f>
        <v>2.2857142857142856</v>
      </c>
      <c r="G24" s="49">
        <f>'Avg Week Kitemu-Buddo'!G24+'Avg Week Buddo-Kitemu'!G24</f>
        <v>0.14285714285714285</v>
      </c>
      <c r="H24" s="49">
        <f>'Avg Week Kitemu-Buddo'!H24+'Avg Week Buddo-Kitemu'!H24</f>
        <v>0</v>
      </c>
      <c r="I24" s="49">
        <f>'Avg Week Kitemu-Buddo'!I24+'Avg Week Buddo-Kitemu'!I24</f>
        <v>3.5714285714285712</v>
      </c>
      <c r="J24" s="49">
        <f>'Avg Week Kitemu-Buddo'!J24+'Avg Week Buddo-Kitemu'!J24</f>
        <v>1.4285714285714284</v>
      </c>
      <c r="K24" s="49">
        <f>'Avg Week Kitemu-Buddo'!K24+'Avg Week Buddo-Kitemu'!K24</f>
        <v>0.2857142857142857</v>
      </c>
      <c r="L24" s="49">
        <f>'Avg Week Kitemu-Buddo'!L24+'Avg Week Buddo-Kitemu'!L24</f>
        <v>0</v>
      </c>
      <c r="M24" s="49">
        <f>'Avg Week Kitemu-Buddo'!M24+'Avg Week Buddo-Kitemu'!M24</f>
        <v>96</v>
      </c>
      <c r="N24" s="49">
        <f>'Avg Week Kitemu-Buddo'!N24+'Avg Week Buddo-Kitemu'!N24</f>
        <v>0</v>
      </c>
      <c r="O24" s="15">
        <f t="shared" si="0"/>
        <v>16.999999999999996</v>
      </c>
      <c r="P24" s="15">
        <f t="shared" si="1"/>
        <v>113</v>
      </c>
      <c r="R24" s="1" t="s">
        <v>148</v>
      </c>
      <c r="S24" s="34">
        <f>SUM(C66:C69)</f>
        <v>22.5</v>
      </c>
      <c r="T24" s="34">
        <f t="shared" ref="T24:AF24" si="16">SUM(D66:D69)</f>
        <v>5.5</v>
      </c>
      <c r="U24" s="34">
        <f t="shared" si="16"/>
        <v>2.5</v>
      </c>
      <c r="V24" s="34">
        <f t="shared" si="16"/>
        <v>14.5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344.5</v>
      </c>
      <c r="AD24" s="34">
        <f t="shared" si="16"/>
        <v>0</v>
      </c>
      <c r="AE24" s="31">
        <f t="shared" si="16"/>
        <v>52</v>
      </c>
      <c r="AF24" s="31">
        <f t="shared" si="16"/>
        <v>396.5</v>
      </c>
    </row>
    <row r="25" spans="2:32" ht="23.1" customHeight="1" x14ac:dyDescent="0.25">
      <c r="B25" s="23" t="s">
        <v>52</v>
      </c>
      <c r="C25" s="49">
        <f>'Avg Week Kitemu-Buddo'!C25+'Avg Week Buddo-Kitemu'!C25</f>
        <v>6.7142857142857135</v>
      </c>
      <c r="D25" s="49">
        <f>'Avg Week Kitemu-Buddo'!D25+'Avg Week Buddo-Kitemu'!D25</f>
        <v>1.2857142857142856</v>
      </c>
      <c r="E25" s="49">
        <f>'Avg Week Kitemu-Buddo'!E25+'Avg Week Buddo-Kitemu'!E25</f>
        <v>0.71428571428571419</v>
      </c>
      <c r="F25" s="49">
        <f>'Avg Week Kitemu-Buddo'!F25+'Avg Week Buddo-Kitemu'!F25</f>
        <v>2.2857142857142856</v>
      </c>
      <c r="G25" s="49">
        <f>'Avg Week Kitemu-Buddo'!G25+'Avg Week Buddo-Kitemu'!G25</f>
        <v>0.2857142857142857</v>
      </c>
      <c r="H25" s="49">
        <f>'Avg Week Kitemu-Buddo'!H25+'Avg Week Buddo-Kitemu'!H25</f>
        <v>0</v>
      </c>
      <c r="I25" s="49">
        <f>'Avg Week Kitemu-Buddo'!I25+'Avg Week Buddo-Kitemu'!I25</f>
        <v>2.8571428571428572</v>
      </c>
      <c r="J25" s="49">
        <f>'Avg Week Kitemu-Buddo'!J25+'Avg Week Buddo-Kitemu'!J25</f>
        <v>0.71428571428571419</v>
      </c>
      <c r="K25" s="49">
        <f>'Avg Week Kitemu-Buddo'!K25+'Avg Week Buddo-Kitemu'!K25</f>
        <v>0.42857142857142855</v>
      </c>
      <c r="L25" s="49">
        <f>'Avg Week Kitemu-Buddo'!L25+'Avg Week Buddo-Kitemu'!L25</f>
        <v>0</v>
      </c>
      <c r="M25" s="49">
        <f>'Avg Week Kitemu-Buddo'!M25+'Avg Week Buddo-Kitemu'!M25</f>
        <v>83.142857142857139</v>
      </c>
      <c r="N25" s="49">
        <f>'Avg Week Kitemu-Buddo'!N25+'Avg Week Buddo-Kitemu'!N25</f>
        <v>0</v>
      </c>
      <c r="O25" s="15">
        <f t="shared" si="0"/>
        <v>15.285714285714286</v>
      </c>
      <c r="P25" s="15">
        <f t="shared" si="1"/>
        <v>98.428571428571431</v>
      </c>
      <c r="R25" s="1" t="s">
        <v>149</v>
      </c>
      <c r="S25" s="34">
        <f>SUM(C70:C73)</f>
        <v>25.5</v>
      </c>
      <c r="T25" s="34">
        <f t="shared" ref="T25:AF25" si="17">SUM(D70:D73)</f>
        <v>3</v>
      </c>
      <c r="U25" s="34">
        <f t="shared" si="17"/>
        <v>1.5</v>
      </c>
      <c r="V25" s="34">
        <f t="shared" si="17"/>
        <v>9.5</v>
      </c>
      <c r="W25" s="34">
        <f t="shared" si="17"/>
        <v>0</v>
      </c>
      <c r="X25" s="34">
        <f t="shared" si="17"/>
        <v>0</v>
      </c>
      <c r="Y25" s="34">
        <f t="shared" si="17"/>
        <v>7.5</v>
      </c>
      <c r="Z25" s="34">
        <f t="shared" si="17"/>
        <v>1.5</v>
      </c>
      <c r="AA25" s="34">
        <f t="shared" si="17"/>
        <v>0.5</v>
      </c>
      <c r="AB25" s="34">
        <f t="shared" si="17"/>
        <v>0</v>
      </c>
      <c r="AC25" s="34">
        <f t="shared" si="17"/>
        <v>281</v>
      </c>
      <c r="AD25" s="34">
        <f t="shared" si="17"/>
        <v>0</v>
      </c>
      <c r="AE25" s="31">
        <f t="shared" si="17"/>
        <v>49</v>
      </c>
      <c r="AF25" s="31">
        <f t="shared" si="17"/>
        <v>330</v>
      </c>
    </row>
    <row r="26" spans="2:32" ht="23.1" customHeight="1" x14ac:dyDescent="0.25">
      <c r="B26" s="23" t="s">
        <v>53</v>
      </c>
      <c r="C26" s="49">
        <f>'Avg Week Kitemu-Buddo'!C26+'Avg Week Buddo-Kitemu'!C26</f>
        <v>6.5714285714285712</v>
      </c>
      <c r="D26" s="49">
        <f>'Avg Week Kitemu-Buddo'!D26+'Avg Week Buddo-Kitemu'!D26</f>
        <v>1.2857142857142856</v>
      </c>
      <c r="E26" s="49">
        <f>'Avg Week Kitemu-Buddo'!E26+'Avg Week Buddo-Kitemu'!E26</f>
        <v>1</v>
      </c>
      <c r="F26" s="49">
        <f>'Avg Week Kitemu-Buddo'!F26+'Avg Week Buddo-Kitemu'!F26</f>
        <v>2.5714285714285712</v>
      </c>
      <c r="G26" s="49">
        <f>'Avg Week Kitemu-Buddo'!G26+'Avg Week Buddo-Kitemu'!G26</f>
        <v>0</v>
      </c>
      <c r="H26" s="49">
        <f>'Avg Week Kitemu-Buddo'!H26+'Avg Week Buddo-Kitemu'!H26</f>
        <v>0</v>
      </c>
      <c r="I26" s="49">
        <f>'Avg Week Kitemu-Buddo'!I26+'Avg Week Buddo-Kitemu'!I26</f>
        <v>4.2857142857142856</v>
      </c>
      <c r="J26" s="49">
        <f>'Avg Week Kitemu-Buddo'!J26+'Avg Week Buddo-Kitemu'!J26</f>
        <v>1.2857142857142856</v>
      </c>
      <c r="K26" s="49">
        <f>'Avg Week Kitemu-Buddo'!K26+'Avg Week Buddo-Kitemu'!K26</f>
        <v>0.2857142857142857</v>
      </c>
      <c r="L26" s="49">
        <f>'Avg Week Kitemu-Buddo'!L26+'Avg Week Buddo-Kitemu'!L26</f>
        <v>0</v>
      </c>
      <c r="M26" s="49">
        <f>'Avg Week Kitemu-Buddo'!M26+'Avg Week Buddo-Kitemu'!M26</f>
        <v>80.142857142857139</v>
      </c>
      <c r="N26" s="49">
        <f>'Avg Week Kitemu-Buddo'!N26+'Avg Week Buddo-Kitemu'!N26</f>
        <v>0</v>
      </c>
      <c r="O26" s="15">
        <f t="shared" si="0"/>
        <v>17.285714285714285</v>
      </c>
      <c r="P26" s="15">
        <f t="shared" si="1"/>
        <v>97.428571428571416</v>
      </c>
      <c r="R26" s="1" t="s">
        <v>150</v>
      </c>
      <c r="S26" s="34">
        <f>SUM(C74:C77)</f>
        <v>27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9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3.5</v>
      </c>
      <c r="AA26" s="34">
        <f t="shared" si="18"/>
        <v>0.5</v>
      </c>
      <c r="AB26" s="34">
        <f t="shared" si="18"/>
        <v>0.5</v>
      </c>
      <c r="AC26" s="34">
        <f t="shared" si="18"/>
        <v>282</v>
      </c>
      <c r="AD26" s="34">
        <f t="shared" si="18"/>
        <v>0</v>
      </c>
      <c r="AE26" s="31">
        <f t="shared" si="18"/>
        <v>47.5</v>
      </c>
      <c r="AF26" s="31">
        <f t="shared" si="18"/>
        <v>329.5</v>
      </c>
    </row>
    <row r="27" spans="2:32" ht="23.1" customHeight="1" x14ac:dyDescent="0.25">
      <c r="B27" s="23" t="s">
        <v>54</v>
      </c>
      <c r="C27" s="49">
        <f>'Avg Week Kitemu-Buddo'!C27+'Avg Week Buddo-Kitemu'!C27</f>
        <v>7.7142857142857144</v>
      </c>
      <c r="D27" s="49">
        <f>'Avg Week Kitemu-Buddo'!D27+'Avg Week Buddo-Kitemu'!D27</f>
        <v>0.71428571428571419</v>
      </c>
      <c r="E27" s="49">
        <f>'Avg Week Kitemu-Buddo'!E27+'Avg Week Buddo-Kitemu'!E27</f>
        <v>1.1428571428571428</v>
      </c>
      <c r="F27" s="49">
        <f>'Avg Week Kitemu-Buddo'!F27+'Avg Week Buddo-Kitemu'!F27</f>
        <v>2</v>
      </c>
      <c r="G27" s="49">
        <f>'Avg Week Kitemu-Buddo'!G27+'Avg Week Buddo-Kitemu'!G27</f>
        <v>0</v>
      </c>
      <c r="H27" s="49">
        <f>'Avg Week Kitemu-Buddo'!H27+'Avg Week Buddo-Kitemu'!H27</f>
        <v>0</v>
      </c>
      <c r="I27" s="49">
        <f>'Avg Week Kitemu-Buddo'!I27+'Avg Week Buddo-Kitemu'!I27</f>
        <v>3.1428571428571428</v>
      </c>
      <c r="J27" s="49">
        <f>'Avg Week Kitemu-Buddo'!J27+'Avg Week Buddo-Kitemu'!J27</f>
        <v>0.71428571428571419</v>
      </c>
      <c r="K27" s="49">
        <f>'Avg Week Kitemu-Buddo'!K27+'Avg Week Buddo-Kitemu'!K27</f>
        <v>0.42857142857142855</v>
      </c>
      <c r="L27" s="49">
        <f>'Avg Week Kitemu-Buddo'!L27+'Avg Week Buddo-Kitemu'!L27</f>
        <v>0</v>
      </c>
      <c r="M27" s="49">
        <f>'Avg Week Kitemu-Buddo'!M27+'Avg Week Buddo-Kitemu'!M27</f>
        <v>81.571428571428584</v>
      </c>
      <c r="N27" s="49">
        <f>'Avg Week Kitemu-Buddo'!N27+'Avg Week Buddo-Kitemu'!N27</f>
        <v>0</v>
      </c>
      <c r="O27" s="15">
        <f t="shared" si="0"/>
        <v>15.857142857142856</v>
      </c>
      <c r="P27" s="15">
        <f t="shared" si="1"/>
        <v>97.428571428571445</v>
      </c>
      <c r="R27" s="1" t="s">
        <v>151</v>
      </c>
      <c r="S27" s="34">
        <f>SUM(C78:C81)</f>
        <v>12.5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4.5</v>
      </c>
      <c r="W27" s="34">
        <f t="shared" si="19"/>
        <v>0.5</v>
      </c>
      <c r="X27" s="34">
        <f t="shared" si="19"/>
        <v>0</v>
      </c>
      <c r="Y27" s="34">
        <f t="shared" si="19"/>
        <v>2</v>
      </c>
      <c r="Z27" s="34">
        <f t="shared" si="19"/>
        <v>0.5</v>
      </c>
      <c r="AA27" s="34">
        <f t="shared" si="19"/>
        <v>0.5</v>
      </c>
      <c r="AB27" s="34">
        <f t="shared" si="19"/>
        <v>0</v>
      </c>
      <c r="AC27" s="34">
        <f t="shared" si="19"/>
        <v>161</v>
      </c>
      <c r="AD27" s="34">
        <f t="shared" si="19"/>
        <v>0</v>
      </c>
      <c r="AE27" s="31">
        <f t="shared" si="19"/>
        <v>22.5</v>
      </c>
      <c r="AF27" s="31">
        <f t="shared" si="19"/>
        <v>183.5</v>
      </c>
    </row>
    <row r="28" spans="2:32" ht="23.1" customHeight="1" x14ac:dyDescent="0.25">
      <c r="B28" s="23" t="s">
        <v>55</v>
      </c>
      <c r="C28" s="49">
        <f>'Avg Week Kitemu-Buddo'!C28+'Avg Week Buddo-Kitemu'!C28</f>
        <v>7.5714285714285712</v>
      </c>
      <c r="D28" s="49">
        <f>'Avg Week Kitemu-Buddo'!D28+'Avg Week Buddo-Kitemu'!D28</f>
        <v>1.5714285714285714</v>
      </c>
      <c r="E28" s="49">
        <f>'Avg Week Kitemu-Buddo'!E28+'Avg Week Buddo-Kitemu'!E28</f>
        <v>1.2857142857142856</v>
      </c>
      <c r="F28" s="49">
        <f>'Avg Week Kitemu-Buddo'!F28+'Avg Week Buddo-Kitemu'!F28</f>
        <v>2.5714285714285712</v>
      </c>
      <c r="G28" s="49">
        <f>'Avg Week Kitemu-Buddo'!G28+'Avg Week Buddo-Kitemu'!G28</f>
        <v>0.14285714285714285</v>
      </c>
      <c r="H28" s="49">
        <f>'Avg Week Kitemu-Buddo'!H28+'Avg Week Buddo-Kitemu'!H28</f>
        <v>0</v>
      </c>
      <c r="I28" s="49">
        <f>'Avg Week Kitemu-Buddo'!I28+'Avg Week Buddo-Kitemu'!I28</f>
        <v>3.5714285714285712</v>
      </c>
      <c r="J28" s="49">
        <f>'Avg Week Kitemu-Buddo'!J28+'Avg Week Buddo-Kitemu'!J28</f>
        <v>1.8571428571428572</v>
      </c>
      <c r="K28" s="49">
        <f>'Avg Week Kitemu-Buddo'!K28+'Avg Week Buddo-Kitemu'!K28</f>
        <v>0.2857142857142857</v>
      </c>
      <c r="L28" s="49">
        <f>'Avg Week Kitemu-Buddo'!L28+'Avg Week Buddo-Kitemu'!L28</f>
        <v>0</v>
      </c>
      <c r="M28" s="49">
        <f>'Avg Week Kitemu-Buddo'!M28+'Avg Week Buddo-Kitemu'!M28</f>
        <v>72.857142857142861</v>
      </c>
      <c r="N28" s="49">
        <f>'Avg Week Kitemu-Buddo'!N28+'Avg Week Buddo-Kitemu'!N28</f>
        <v>0</v>
      </c>
      <c r="O28" s="15">
        <f t="shared" si="0"/>
        <v>18.857142857142854</v>
      </c>
      <c r="P28" s="15">
        <f t="shared" si="1"/>
        <v>91.714285714285722</v>
      </c>
      <c r="R28" s="1" t="s">
        <v>152</v>
      </c>
      <c r="S28" s="34">
        <f>SUM(C82:C85)</f>
        <v>7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1.5</v>
      </c>
      <c r="AA28" s="34">
        <f t="shared" si="20"/>
        <v>0.5</v>
      </c>
      <c r="AB28" s="34">
        <f t="shared" si="20"/>
        <v>0</v>
      </c>
      <c r="AC28" s="34">
        <f t="shared" si="20"/>
        <v>78.5</v>
      </c>
      <c r="AD28" s="34">
        <f t="shared" si="20"/>
        <v>0</v>
      </c>
      <c r="AE28" s="31">
        <f t="shared" si="20"/>
        <v>14</v>
      </c>
      <c r="AF28" s="31">
        <f t="shared" si="20"/>
        <v>92.5</v>
      </c>
    </row>
    <row r="29" spans="2:32" ht="23.1" customHeight="1" x14ac:dyDescent="0.25">
      <c r="B29" s="23" t="s">
        <v>56</v>
      </c>
      <c r="C29" s="49">
        <f>'Avg Week Kitemu-Buddo'!C29+'Avg Week Buddo-Kitemu'!C29</f>
        <v>6.2857142857142856</v>
      </c>
      <c r="D29" s="49">
        <f>'Avg Week Kitemu-Buddo'!D29+'Avg Week Buddo-Kitemu'!D29</f>
        <v>0.2857142857142857</v>
      </c>
      <c r="E29" s="49">
        <f>'Avg Week Kitemu-Buddo'!E29+'Avg Week Buddo-Kitemu'!E29</f>
        <v>1.2857142857142856</v>
      </c>
      <c r="F29" s="49">
        <f>'Avg Week Kitemu-Buddo'!F29+'Avg Week Buddo-Kitemu'!F29</f>
        <v>1.2857142857142858</v>
      </c>
      <c r="G29" s="49">
        <f>'Avg Week Kitemu-Buddo'!G29+'Avg Week Buddo-Kitemu'!G29</f>
        <v>0</v>
      </c>
      <c r="H29" s="49">
        <f>'Avg Week Kitemu-Buddo'!H29+'Avg Week Buddo-Kitemu'!H29</f>
        <v>0</v>
      </c>
      <c r="I29" s="49">
        <f>'Avg Week Kitemu-Buddo'!I29+'Avg Week Buddo-Kitemu'!I29</f>
        <v>3.4285714285714288</v>
      </c>
      <c r="J29" s="49">
        <f>'Avg Week Kitemu-Buddo'!J29+'Avg Week Buddo-Kitemu'!J29</f>
        <v>1.2857142857142856</v>
      </c>
      <c r="K29" s="49">
        <f>'Avg Week Kitemu-Buddo'!K29+'Avg Week Buddo-Kitemu'!K29</f>
        <v>0.2857142857142857</v>
      </c>
      <c r="L29" s="49">
        <f>'Avg Week Kitemu-Buddo'!L29+'Avg Week Buddo-Kitemu'!L29</f>
        <v>0</v>
      </c>
      <c r="M29" s="49">
        <f>'Avg Week Kitemu-Buddo'!M29+'Avg Week Buddo-Kitemu'!M29</f>
        <v>72.857142857142861</v>
      </c>
      <c r="N29" s="49">
        <f>'Avg Week Kitemu-Buddo'!N29+'Avg Week Buddo-Kitemu'!N29</f>
        <v>0</v>
      </c>
      <c r="O29" s="15">
        <f t="shared" si="0"/>
        <v>14.142857142857144</v>
      </c>
      <c r="P29" s="15">
        <f t="shared" si="1"/>
        <v>87</v>
      </c>
      <c r="R29" s="1" t="s">
        <v>153</v>
      </c>
      <c r="S29" s="34">
        <f>SUM(C86:C89)</f>
        <v>2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52</v>
      </c>
      <c r="AD29" s="34">
        <f t="shared" si="21"/>
        <v>0</v>
      </c>
      <c r="AE29" s="31">
        <f t="shared" si="21"/>
        <v>6</v>
      </c>
      <c r="AF29" s="31">
        <f t="shared" si="21"/>
        <v>58</v>
      </c>
    </row>
    <row r="30" spans="2:32" ht="23.1" customHeight="1" x14ac:dyDescent="0.25">
      <c r="B30" s="23" t="s">
        <v>57</v>
      </c>
      <c r="C30" s="49">
        <f>'Avg Week Kitemu-Buddo'!C30+'Avg Week Buddo-Kitemu'!C30</f>
        <v>5.7142857142857144</v>
      </c>
      <c r="D30" s="49">
        <f>'Avg Week Kitemu-Buddo'!D30+'Avg Week Buddo-Kitemu'!D30</f>
        <v>0.5714285714285714</v>
      </c>
      <c r="E30" s="49">
        <f>'Avg Week Kitemu-Buddo'!E30+'Avg Week Buddo-Kitemu'!E30</f>
        <v>0.7142857142857143</v>
      </c>
      <c r="F30" s="49">
        <f>'Avg Week Kitemu-Buddo'!F30+'Avg Week Buddo-Kitemu'!F30</f>
        <v>2.4285714285714284</v>
      </c>
      <c r="G30" s="49">
        <f>'Avg Week Kitemu-Buddo'!G30+'Avg Week Buddo-Kitemu'!G30</f>
        <v>0</v>
      </c>
      <c r="H30" s="49">
        <f>'Avg Week Kitemu-Buddo'!H30+'Avg Week Buddo-Kitemu'!H30</f>
        <v>0</v>
      </c>
      <c r="I30" s="49">
        <f>'Avg Week Kitemu-Buddo'!I30+'Avg Week Buddo-Kitemu'!I30</f>
        <v>1.8571428571428572</v>
      </c>
      <c r="J30" s="49">
        <f>'Avg Week Kitemu-Buddo'!J30+'Avg Week Buddo-Kitemu'!J30</f>
        <v>0.8571428571428571</v>
      </c>
      <c r="K30" s="49">
        <f>'Avg Week Kitemu-Buddo'!K30+'Avg Week Buddo-Kitemu'!K30</f>
        <v>0.42857142857142855</v>
      </c>
      <c r="L30" s="49">
        <f>'Avg Week Kitemu-Buddo'!L30+'Avg Week Buddo-Kitemu'!L30</f>
        <v>0</v>
      </c>
      <c r="M30" s="49">
        <f>'Avg Week Kitemu-Buddo'!M30+'Avg Week Buddo-Kitemu'!M30</f>
        <v>66.428571428571431</v>
      </c>
      <c r="N30" s="49">
        <f>'Avg Week Kitemu-Buddo'!N30+'Avg Week Buddo-Kitemu'!N30</f>
        <v>0</v>
      </c>
      <c r="O30" s="15">
        <f t="shared" si="0"/>
        <v>12.571428571428573</v>
      </c>
      <c r="P30" s="15">
        <f t="shared" si="1"/>
        <v>79</v>
      </c>
      <c r="R30" s="1" t="s">
        <v>154</v>
      </c>
      <c r="S30" s="34">
        <f>SUM(C90:C93)</f>
        <v>5.5</v>
      </c>
      <c r="T30" s="34">
        <f t="shared" ref="T30:AF30" si="22">SUM(D90:D93)</f>
        <v>0.5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2.5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37.5</v>
      </c>
      <c r="AD30" s="34">
        <f t="shared" si="22"/>
        <v>0</v>
      </c>
      <c r="AE30" s="31">
        <f t="shared" si="22"/>
        <v>11.5</v>
      </c>
      <c r="AF30" s="31">
        <f t="shared" si="22"/>
        <v>49</v>
      </c>
    </row>
    <row r="31" spans="2:32" ht="23.1" customHeight="1" x14ac:dyDescent="0.25">
      <c r="B31" s="24" t="s">
        <v>58</v>
      </c>
      <c r="C31" s="49">
        <f>'Avg Week Kitemu-Buddo'!C31+'Avg Week Buddo-Kitemu'!C31</f>
        <v>6.5714285714285712</v>
      </c>
      <c r="D31" s="49">
        <f>'Avg Week Kitemu-Buddo'!D31+'Avg Week Buddo-Kitemu'!D31</f>
        <v>0.5714285714285714</v>
      </c>
      <c r="E31" s="49">
        <f>'Avg Week Kitemu-Buddo'!E31+'Avg Week Buddo-Kitemu'!E31</f>
        <v>0.8571428571428571</v>
      </c>
      <c r="F31" s="49">
        <f>'Avg Week Kitemu-Buddo'!F31+'Avg Week Buddo-Kitemu'!F31</f>
        <v>2.5714285714285712</v>
      </c>
      <c r="G31" s="49">
        <f>'Avg Week Kitemu-Buddo'!G31+'Avg Week Buddo-Kitemu'!G31</f>
        <v>0.14285714285714285</v>
      </c>
      <c r="H31" s="49">
        <f>'Avg Week Kitemu-Buddo'!H31+'Avg Week Buddo-Kitemu'!H31</f>
        <v>0</v>
      </c>
      <c r="I31" s="49">
        <f>'Avg Week Kitemu-Buddo'!I31+'Avg Week Buddo-Kitemu'!I31</f>
        <v>3.8571428571428568</v>
      </c>
      <c r="J31" s="49">
        <f>'Avg Week Kitemu-Buddo'!J31+'Avg Week Buddo-Kitemu'!J31</f>
        <v>0.8571428571428571</v>
      </c>
      <c r="K31" s="49">
        <f>'Avg Week Kitemu-Buddo'!K31+'Avg Week Buddo-Kitemu'!K31</f>
        <v>0.14285714285714285</v>
      </c>
      <c r="L31" s="49">
        <f>'Avg Week Kitemu-Buddo'!L31+'Avg Week Buddo-Kitemu'!L31</f>
        <v>0</v>
      </c>
      <c r="M31" s="49">
        <f>'Avg Week Kitemu-Buddo'!M31+'Avg Week Buddo-Kitemu'!M31</f>
        <v>63.285714285714285</v>
      </c>
      <c r="N31" s="49">
        <f>'Avg Week Kitemu-Buddo'!N31+'Avg Week Buddo-Kitemu'!N31</f>
        <v>0</v>
      </c>
      <c r="O31" s="15">
        <f t="shared" si="0"/>
        <v>15.571428571428569</v>
      </c>
      <c r="P31" s="15">
        <f t="shared" si="1"/>
        <v>78.857142857142861</v>
      </c>
      <c r="R31" s="1" t="s">
        <v>155</v>
      </c>
      <c r="S31" s="34">
        <f>SUM(C94:C97)</f>
        <v>6.5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5</v>
      </c>
      <c r="W31" s="34">
        <f t="shared" si="23"/>
        <v>1</v>
      </c>
      <c r="X31" s="34">
        <f t="shared" si="23"/>
        <v>0</v>
      </c>
      <c r="Y31" s="34">
        <f t="shared" si="23"/>
        <v>4.5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62</v>
      </c>
      <c r="AD31" s="34">
        <f t="shared" si="23"/>
        <v>0</v>
      </c>
      <c r="AE31" s="31">
        <f t="shared" si="23"/>
        <v>21</v>
      </c>
      <c r="AF31" s="31">
        <f t="shared" si="23"/>
        <v>83</v>
      </c>
    </row>
    <row r="32" spans="2:32" ht="23.1" customHeight="1" x14ac:dyDescent="0.25">
      <c r="B32" s="24" t="s">
        <v>59</v>
      </c>
      <c r="C32" s="49">
        <f>'Avg Week Kitemu-Buddo'!C32+'Avg Week Buddo-Kitemu'!C32</f>
        <v>6.5714285714285712</v>
      </c>
      <c r="D32" s="49">
        <f>'Avg Week Kitemu-Buddo'!D32+'Avg Week Buddo-Kitemu'!D32</f>
        <v>1</v>
      </c>
      <c r="E32" s="49">
        <f>'Avg Week Kitemu-Buddo'!E32+'Avg Week Buddo-Kitemu'!E32</f>
        <v>0.8571428571428571</v>
      </c>
      <c r="F32" s="49">
        <f>'Avg Week Kitemu-Buddo'!F32+'Avg Week Buddo-Kitemu'!F32</f>
        <v>2.5714285714285712</v>
      </c>
      <c r="G32" s="49">
        <f>'Avg Week Kitemu-Buddo'!G32+'Avg Week Buddo-Kitemu'!G32</f>
        <v>0</v>
      </c>
      <c r="H32" s="49">
        <f>'Avg Week Kitemu-Buddo'!H32+'Avg Week Buddo-Kitemu'!H32</f>
        <v>0.14285714285714285</v>
      </c>
      <c r="I32" s="49">
        <f>'Avg Week Kitemu-Buddo'!I32+'Avg Week Buddo-Kitemu'!I32</f>
        <v>2.4285714285714288</v>
      </c>
      <c r="J32" s="49">
        <f>'Avg Week Kitemu-Buddo'!J32+'Avg Week Buddo-Kitemu'!J32</f>
        <v>1.2857142857142856</v>
      </c>
      <c r="K32" s="49">
        <f>'Avg Week Kitemu-Buddo'!K32+'Avg Week Buddo-Kitemu'!K32</f>
        <v>0.2857142857142857</v>
      </c>
      <c r="L32" s="49">
        <f>'Avg Week Kitemu-Buddo'!L32+'Avg Week Buddo-Kitemu'!L32</f>
        <v>0</v>
      </c>
      <c r="M32" s="49">
        <f>'Avg Week Kitemu-Buddo'!M32+'Avg Week Buddo-Kitemu'!M32</f>
        <v>73.285714285714278</v>
      </c>
      <c r="N32" s="49">
        <f>'Avg Week Kitemu-Buddo'!N32+'Avg Week Buddo-Kitemu'!N32</f>
        <v>0</v>
      </c>
      <c r="O32" s="15">
        <f t="shared" si="0"/>
        <v>15.142857142857144</v>
      </c>
      <c r="P32" s="15">
        <f t="shared" si="1"/>
        <v>88.428571428571416</v>
      </c>
      <c r="R32" s="1" t="s">
        <v>156</v>
      </c>
      <c r="S32" s="34">
        <f>SUM(C98:C101)</f>
        <v>9.5</v>
      </c>
      <c r="T32" s="34">
        <f t="shared" ref="T32:AF32" si="24">SUM(D98:D101)</f>
        <v>3</v>
      </c>
      <c r="U32" s="34">
        <f t="shared" si="24"/>
        <v>1.5</v>
      </c>
      <c r="V32" s="34">
        <f t="shared" si="24"/>
        <v>30</v>
      </c>
      <c r="W32" s="34">
        <f t="shared" si="24"/>
        <v>4</v>
      </c>
      <c r="X32" s="34">
        <f t="shared" si="24"/>
        <v>0</v>
      </c>
      <c r="Y32" s="34">
        <f t="shared" si="24"/>
        <v>4</v>
      </c>
      <c r="Z32" s="34">
        <f t="shared" si="24"/>
        <v>2.5</v>
      </c>
      <c r="AA32" s="34">
        <f t="shared" si="24"/>
        <v>0</v>
      </c>
      <c r="AB32" s="34">
        <f t="shared" si="24"/>
        <v>0</v>
      </c>
      <c r="AC32" s="34">
        <f t="shared" si="24"/>
        <v>87</v>
      </c>
      <c r="AD32" s="34">
        <f t="shared" si="24"/>
        <v>0</v>
      </c>
      <c r="AE32" s="31">
        <f t="shared" si="24"/>
        <v>54.5</v>
      </c>
      <c r="AF32" s="31">
        <f t="shared" si="24"/>
        <v>141.5</v>
      </c>
    </row>
    <row r="33" spans="2:32" ht="23.1" customHeight="1" x14ac:dyDescent="0.25">
      <c r="B33" s="23" t="s">
        <v>60</v>
      </c>
      <c r="C33" s="49">
        <f>'Avg Week Kitemu-Buddo'!C33+'Avg Week Buddo-Kitemu'!C33</f>
        <v>7.7142857142857153</v>
      </c>
      <c r="D33" s="49">
        <f>'Avg Week Kitemu-Buddo'!D33+'Avg Week Buddo-Kitemu'!D33</f>
        <v>0.71428571428571419</v>
      </c>
      <c r="E33" s="49">
        <f>'Avg Week Kitemu-Buddo'!E33+'Avg Week Buddo-Kitemu'!E33</f>
        <v>1.4285714285714286</v>
      </c>
      <c r="F33" s="49">
        <f>'Avg Week Kitemu-Buddo'!F33+'Avg Week Buddo-Kitemu'!F33</f>
        <v>2.8571428571428568</v>
      </c>
      <c r="G33" s="49">
        <f>'Avg Week Kitemu-Buddo'!G33+'Avg Week Buddo-Kitemu'!G33</f>
        <v>0.42857142857142855</v>
      </c>
      <c r="H33" s="49">
        <f>'Avg Week Kitemu-Buddo'!H33+'Avg Week Buddo-Kitemu'!H33</f>
        <v>0</v>
      </c>
      <c r="I33" s="49">
        <f>'Avg Week Kitemu-Buddo'!I33+'Avg Week Buddo-Kitemu'!I33</f>
        <v>2.8571428571428572</v>
      </c>
      <c r="J33" s="49">
        <f>'Avg Week Kitemu-Buddo'!J33+'Avg Week Buddo-Kitemu'!J33</f>
        <v>1.1428571428571428</v>
      </c>
      <c r="K33" s="49">
        <f>'Avg Week Kitemu-Buddo'!K33+'Avg Week Buddo-Kitemu'!K33</f>
        <v>0.14285714285714285</v>
      </c>
      <c r="L33" s="49">
        <f>'Avg Week Kitemu-Buddo'!L33+'Avg Week Buddo-Kitemu'!L33</f>
        <v>0</v>
      </c>
      <c r="M33" s="49">
        <f>'Avg Week Kitemu-Buddo'!M33+'Avg Week Buddo-Kitemu'!M33</f>
        <v>63.285714285714285</v>
      </c>
      <c r="N33" s="49">
        <f>'Avg Week Kitemu-Buddo'!N33+'Avg Week Buddo-Kitemu'!N33</f>
        <v>0</v>
      </c>
      <c r="O33" s="15">
        <f t="shared" si="0"/>
        <v>17.285714285714285</v>
      </c>
      <c r="P33" s="15">
        <f t="shared" si="1"/>
        <v>80.571428571428569</v>
      </c>
      <c r="R33" s="1" t="s">
        <v>157</v>
      </c>
      <c r="S33" s="34">
        <f>SUM(C102:C105)</f>
        <v>21.5</v>
      </c>
      <c r="T33" s="34">
        <f t="shared" ref="T33:AF33" si="25">SUM(D102:D105)</f>
        <v>1.5</v>
      </c>
      <c r="U33" s="34">
        <f t="shared" si="25"/>
        <v>2</v>
      </c>
      <c r="V33" s="34">
        <f t="shared" si="25"/>
        <v>36.5</v>
      </c>
      <c r="W33" s="34">
        <f t="shared" si="25"/>
        <v>1.5</v>
      </c>
      <c r="X33" s="34">
        <f t="shared" si="25"/>
        <v>0</v>
      </c>
      <c r="Y33" s="34">
        <f t="shared" si="25"/>
        <v>6</v>
      </c>
      <c r="Z33" s="34">
        <f t="shared" si="25"/>
        <v>4.5</v>
      </c>
      <c r="AA33" s="34">
        <f t="shared" si="25"/>
        <v>0</v>
      </c>
      <c r="AB33" s="34">
        <f t="shared" si="25"/>
        <v>0</v>
      </c>
      <c r="AC33" s="34">
        <f t="shared" si="25"/>
        <v>182</v>
      </c>
      <c r="AD33" s="34">
        <f t="shared" si="25"/>
        <v>0</v>
      </c>
      <c r="AE33" s="31">
        <f t="shared" si="25"/>
        <v>73.5</v>
      </c>
      <c r="AF33" s="31">
        <f t="shared" si="25"/>
        <v>255.5</v>
      </c>
    </row>
    <row r="34" spans="2:32" ht="23.1" customHeight="1" x14ac:dyDescent="0.25">
      <c r="B34" s="24" t="s">
        <v>61</v>
      </c>
      <c r="C34" s="49">
        <f>'Avg Week Kitemu-Buddo'!C34+'Avg Week Buddo-Kitemu'!C34</f>
        <v>5.8571428571428577</v>
      </c>
      <c r="D34" s="49">
        <f>'Avg Week Kitemu-Buddo'!D34+'Avg Week Buddo-Kitemu'!D34</f>
        <v>0.14285714285714285</v>
      </c>
      <c r="E34" s="49">
        <f>'Avg Week Kitemu-Buddo'!E34+'Avg Week Buddo-Kitemu'!E34</f>
        <v>1.7142857142857144</v>
      </c>
      <c r="F34" s="49">
        <f>'Avg Week Kitemu-Buddo'!F34+'Avg Week Buddo-Kitemu'!F34</f>
        <v>1.5714285714285714</v>
      </c>
      <c r="G34" s="49">
        <f>'Avg Week Kitemu-Buddo'!G34+'Avg Week Buddo-Kitemu'!G34</f>
        <v>0</v>
      </c>
      <c r="H34" s="49">
        <f>'Avg Week Kitemu-Buddo'!H34+'Avg Week Buddo-Kitemu'!H34</f>
        <v>0</v>
      </c>
      <c r="I34" s="49">
        <f>'Avg Week Kitemu-Buddo'!I34+'Avg Week Buddo-Kitemu'!I34</f>
        <v>1.5714285714285714</v>
      </c>
      <c r="J34" s="49">
        <f>'Avg Week Kitemu-Buddo'!J34+'Avg Week Buddo-Kitemu'!J34</f>
        <v>1.4285714285714284</v>
      </c>
      <c r="K34" s="49">
        <f>'Avg Week Kitemu-Buddo'!K34+'Avg Week Buddo-Kitemu'!K34</f>
        <v>0.71428571428571419</v>
      </c>
      <c r="L34" s="49">
        <f>'Avg Week Kitemu-Buddo'!L34+'Avg Week Buddo-Kitemu'!L34</f>
        <v>0</v>
      </c>
      <c r="M34" s="49">
        <f>'Avg Week Kitemu-Buddo'!M34+'Avg Week Buddo-Kitemu'!M34</f>
        <v>65.714285714285722</v>
      </c>
      <c r="N34" s="49">
        <f>'Avg Week Kitemu-Buddo'!N34+'Avg Week Buddo-Kitemu'!N34</f>
        <v>0.14285714285714285</v>
      </c>
      <c r="O34" s="15">
        <f t="shared" si="0"/>
        <v>13.142857142857142</v>
      </c>
      <c r="P34" s="15">
        <f t="shared" si="1"/>
        <v>78.857142857142861</v>
      </c>
      <c r="R34" s="52" t="s">
        <v>90</v>
      </c>
      <c r="S34" s="53">
        <f t="shared" ref="S34:AF34" si="26">MAX(S10:S12)</f>
        <v>36.571428571428569</v>
      </c>
      <c r="T34" s="53">
        <f t="shared" si="26"/>
        <v>4.7142857142857135</v>
      </c>
      <c r="U34" s="53">
        <f t="shared" si="26"/>
        <v>5.5714285714285712</v>
      </c>
      <c r="V34" s="53">
        <f t="shared" si="26"/>
        <v>24</v>
      </c>
      <c r="W34" s="53">
        <f t="shared" si="26"/>
        <v>2.8571428571428568</v>
      </c>
      <c r="X34" s="53">
        <f t="shared" si="26"/>
        <v>0.2857142857142857</v>
      </c>
      <c r="Y34" s="53">
        <f t="shared" si="26"/>
        <v>13.142857142857142</v>
      </c>
      <c r="Z34" s="53">
        <f t="shared" si="26"/>
        <v>4.1428571428571423</v>
      </c>
      <c r="AA34" s="53">
        <f t="shared" si="26"/>
        <v>1.714285714285714</v>
      </c>
      <c r="AB34" s="53">
        <f t="shared" si="26"/>
        <v>0</v>
      </c>
      <c r="AC34" s="53">
        <f t="shared" si="26"/>
        <v>412.42857142857139</v>
      </c>
      <c r="AD34" s="53">
        <f t="shared" si="26"/>
        <v>0</v>
      </c>
      <c r="AE34" s="40">
        <f t="shared" si="26"/>
        <v>81.285714285714278</v>
      </c>
      <c r="AF34" s="40">
        <f t="shared" si="26"/>
        <v>490</v>
      </c>
    </row>
    <row r="35" spans="2:32" ht="23.1" customHeight="1" x14ac:dyDescent="0.25">
      <c r="B35" s="24" t="s">
        <v>62</v>
      </c>
      <c r="C35" s="49">
        <f>'Avg Week Kitemu-Buddo'!C35+'Avg Week Buddo-Kitemu'!C35</f>
        <v>6.2857142857142856</v>
      </c>
      <c r="D35" s="49">
        <f>'Avg Week Kitemu-Buddo'!D35+'Avg Week Buddo-Kitemu'!D35</f>
        <v>0.71428571428571419</v>
      </c>
      <c r="E35" s="49">
        <f>'Avg Week Kitemu-Buddo'!E35+'Avg Week Buddo-Kitemu'!E35</f>
        <v>0.5714285714285714</v>
      </c>
      <c r="F35" s="49">
        <f>'Avg Week Kitemu-Buddo'!F35+'Avg Week Buddo-Kitemu'!F35</f>
        <v>1.7142857142857142</v>
      </c>
      <c r="G35" s="49">
        <f>'Avg Week Kitemu-Buddo'!G35+'Avg Week Buddo-Kitemu'!G35</f>
        <v>0.2857142857142857</v>
      </c>
      <c r="H35" s="49">
        <f>'Avg Week Kitemu-Buddo'!H35+'Avg Week Buddo-Kitemu'!H35</f>
        <v>0</v>
      </c>
      <c r="I35" s="49">
        <f>'Avg Week Kitemu-Buddo'!I35+'Avg Week Buddo-Kitemu'!I35</f>
        <v>3.2857142857142856</v>
      </c>
      <c r="J35" s="49">
        <f>'Avg Week Kitemu-Buddo'!J35+'Avg Week Buddo-Kitemu'!J35</f>
        <v>1.2857142857142856</v>
      </c>
      <c r="K35" s="49">
        <f>'Avg Week Kitemu-Buddo'!K35+'Avg Week Buddo-Kitemu'!K35</f>
        <v>0.2857142857142857</v>
      </c>
      <c r="L35" s="49">
        <f>'Avg Week Kitemu-Buddo'!L35+'Avg Week Buddo-Kitemu'!L35</f>
        <v>0</v>
      </c>
      <c r="M35" s="49">
        <f>'Avg Week Kitemu-Buddo'!M35+'Avg Week Buddo-Kitemu'!M35</f>
        <v>62.428571428571431</v>
      </c>
      <c r="N35" s="49">
        <f>'Avg Week Kitemu-Buddo'!N35+'Avg Week Buddo-Kitemu'!N35</f>
        <v>0</v>
      </c>
      <c r="O35" s="15">
        <f t="shared" si="0"/>
        <v>14.428571428571429</v>
      </c>
      <c r="P35" s="15">
        <f t="shared" si="1"/>
        <v>76.857142857142861</v>
      </c>
      <c r="R35" s="52" t="s">
        <v>91</v>
      </c>
      <c r="S35" s="53">
        <f t="shared" ref="S35:AF35" si="27">MAX(S13:S18)</f>
        <v>30.428571428571431</v>
      </c>
      <c r="T35" s="53">
        <f t="shared" si="27"/>
        <v>4</v>
      </c>
      <c r="U35" s="53">
        <f t="shared" si="27"/>
        <v>4.7142857142857135</v>
      </c>
      <c r="V35" s="53">
        <f t="shared" si="27"/>
        <v>12</v>
      </c>
      <c r="W35" s="53">
        <f t="shared" si="27"/>
        <v>0.99999999999999989</v>
      </c>
      <c r="X35" s="53">
        <f t="shared" si="27"/>
        <v>0.2857142857142857</v>
      </c>
      <c r="Y35" s="53">
        <f t="shared" si="27"/>
        <v>14.428571428571429</v>
      </c>
      <c r="Z35" s="53">
        <f t="shared" si="27"/>
        <v>5.4285714285714288</v>
      </c>
      <c r="AA35" s="53">
        <f t="shared" si="27"/>
        <v>2.1428571428571428</v>
      </c>
      <c r="AB35" s="53">
        <f t="shared" si="27"/>
        <v>0</v>
      </c>
      <c r="AC35" s="53">
        <f t="shared" si="27"/>
        <v>360.42857142857144</v>
      </c>
      <c r="AD35" s="53">
        <f t="shared" si="27"/>
        <v>8.7142857142857135</v>
      </c>
      <c r="AE35" s="40">
        <f t="shared" si="27"/>
        <v>76</v>
      </c>
      <c r="AF35" s="40">
        <f t="shared" si="27"/>
        <v>436.42857142857144</v>
      </c>
    </row>
    <row r="36" spans="2:32" ht="23.1" customHeight="1" x14ac:dyDescent="0.25">
      <c r="B36" s="24" t="s">
        <v>63</v>
      </c>
      <c r="C36" s="49">
        <f>'Avg Week Kitemu-Buddo'!C36+'Avg Week Buddo-Kitemu'!C36</f>
        <v>9</v>
      </c>
      <c r="D36" s="49">
        <f>'Avg Week Kitemu-Buddo'!D36+'Avg Week Buddo-Kitemu'!D36</f>
        <v>0.71428571428571419</v>
      </c>
      <c r="E36" s="49">
        <f>'Avg Week Kitemu-Buddo'!E36+'Avg Week Buddo-Kitemu'!E36</f>
        <v>0.42857142857142855</v>
      </c>
      <c r="F36" s="49">
        <f>'Avg Week Kitemu-Buddo'!F36+'Avg Week Buddo-Kitemu'!F36</f>
        <v>2.8571428571428572</v>
      </c>
      <c r="G36" s="49">
        <f>'Avg Week Kitemu-Buddo'!G36+'Avg Week Buddo-Kitemu'!G36</f>
        <v>0</v>
      </c>
      <c r="H36" s="49">
        <f>'Avg Week Kitemu-Buddo'!H36+'Avg Week Buddo-Kitemu'!H36</f>
        <v>0</v>
      </c>
      <c r="I36" s="49">
        <f>'Avg Week Kitemu-Buddo'!I36+'Avg Week Buddo-Kitemu'!I36</f>
        <v>3.2857142857142856</v>
      </c>
      <c r="J36" s="49">
        <f>'Avg Week Kitemu-Buddo'!J36+'Avg Week Buddo-Kitemu'!J36</f>
        <v>0.8571428571428571</v>
      </c>
      <c r="K36" s="49">
        <f>'Avg Week Kitemu-Buddo'!K36+'Avg Week Buddo-Kitemu'!K36</f>
        <v>0.2857142857142857</v>
      </c>
      <c r="L36" s="49">
        <f>'Avg Week Kitemu-Buddo'!L36+'Avg Week Buddo-Kitemu'!L36</f>
        <v>0</v>
      </c>
      <c r="M36" s="49">
        <f>'Avg Week Kitemu-Buddo'!M36+'Avg Week Buddo-Kitemu'!M36</f>
        <v>65.857142857142861</v>
      </c>
      <c r="N36" s="49">
        <f>'Avg Week Kitemu-Buddo'!N36+'Avg Week Buddo-Kitemu'!N36</f>
        <v>0</v>
      </c>
      <c r="O36" s="15">
        <f t="shared" si="0"/>
        <v>17.428571428571427</v>
      </c>
      <c r="P36" s="15">
        <f t="shared" si="1"/>
        <v>83.285714285714292</v>
      </c>
      <c r="R36" s="52" t="s">
        <v>92</v>
      </c>
      <c r="S36" s="53">
        <f t="shared" ref="S36:AF36" si="28">MAX(S19:S21)</f>
        <v>33.714285714285715</v>
      </c>
      <c r="T36" s="53">
        <f t="shared" si="28"/>
        <v>5.1428571428571432</v>
      </c>
      <c r="U36" s="53">
        <f t="shared" si="28"/>
        <v>4.4285714285714279</v>
      </c>
      <c r="V36" s="53">
        <f t="shared" si="28"/>
        <v>15.857142857142858</v>
      </c>
      <c r="W36" s="53">
        <f t="shared" si="28"/>
        <v>3.4285714285714284</v>
      </c>
      <c r="X36" s="53">
        <f t="shared" si="28"/>
        <v>0.14285714285714285</v>
      </c>
      <c r="Y36" s="53">
        <f t="shared" si="28"/>
        <v>12.571428571428571</v>
      </c>
      <c r="Z36" s="53">
        <f t="shared" si="28"/>
        <v>4.4285714285714288</v>
      </c>
      <c r="AA36" s="53">
        <f t="shared" si="28"/>
        <v>1.9999999999999996</v>
      </c>
      <c r="AB36" s="53">
        <f t="shared" si="28"/>
        <v>0</v>
      </c>
      <c r="AC36" s="53">
        <f t="shared" si="28"/>
        <v>316.85714285714289</v>
      </c>
      <c r="AD36" s="53">
        <f t="shared" si="28"/>
        <v>0</v>
      </c>
      <c r="AE36" s="40">
        <f t="shared" si="28"/>
        <v>78</v>
      </c>
      <c r="AF36" s="40">
        <f t="shared" si="28"/>
        <v>392.71428571428572</v>
      </c>
    </row>
    <row r="37" spans="2:32" ht="23.1" customHeight="1" x14ac:dyDescent="0.25">
      <c r="B37" s="23" t="s">
        <v>64</v>
      </c>
      <c r="C37" s="49">
        <f>'Avg Week Kitemu-Buddo'!C37+'Avg Week Buddo-Kitemu'!C37</f>
        <v>8.8571428571428577</v>
      </c>
      <c r="D37" s="49">
        <f>'Avg Week Kitemu-Buddo'!D37+'Avg Week Buddo-Kitemu'!D37</f>
        <v>1</v>
      </c>
      <c r="E37" s="49">
        <f>'Avg Week Kitemu-Buddo'!E37+'Avg Week Buddo-Kitemu'!E37</f>
        <v>0.85714285714285721</v>
      </c>
      <c r="F37" s="49">
        <f>'Avg Week Kitemu-Buddo'!F37+'Avg Week Buddo-Kitemu'!F37</f>
        <v>2</v>
      </c>
      <c r="G37" s="49">
        <f>'Avg Week Kitemu-Buddo'!G37+'Avg Week Buddo-Kitemu'!G37</f>
        <v>0</v>
      </c>
      <c r="H37" s="49">
        <f>'Avg Week Kitemu-Buddo'!H37+'Avg Week Buddo-Kitemu'!H37</f>
        <v>0</v>
      </c>
      <c r="I37" s="49">
        <f>'Avg Week Kitemu-Buddo'!I37+'Avg Week Buddo-Kitemu'!I37</f>
        <v>2.5714285714285716</v>
      </c>
      <c r="J37" s="49">
        <f>'Avg Week Kitemu-Buddo'!J37+'Avg Week Buddo-Kitemu'!J37</f>
        <v>1.2857142857142856</v>
      </c>
      <c r="K37" s="49">
        <f>'Avg Week Kitemu-Buddo'!K37+'Avg Week Buddo-Kitemu'!K37</f>
        <v>0.2857142857142857</v>
      </c>
      <c r="L37" s="49">
        <f>'Avg Week Kitemu-Buddo'!L37+'Avg Week Buddo-Kitemu'!L37</f>
        <v>0</v>
      </c>
      <c r="M37" s="49">
        <f>'Avg Week Kitemu-Buddo'!M37+'Avg Week Buddo-Kitemu'!M37</f>
        <v>66.428571428571431</v>
      </c>
      <c r="N37" s="49">
        <f>'Avg Week Kitemu-Buddo'!N37+'Avg Week Buddo-Kitemu'!N37</f>
        <v>0</v>
      </c>
      <c r="O37" s="15">
        <f t="shared" si="0"/>
        <v>16.857142857142858</v>
      </c>
      <c r="P37" s="15">
        <f t="shared" si="1"/>
        <v>83.285714285714292</v>
      </c>
      <c r="R37" s="37" t="s">
        <v>85</v>
      </c>
      <c r="S37" s="56">
        <f t="shared" ref="S37:AF37" si="29">SUM(S10:S12)</f>
        <v>98.999999999999986</v>
      </c>
      <c r="T37" s="57">
        <f t="shared" si="29"/>
        <v>12.571428571428571</v>
      </c>
      <c r="U37" s="57">
        <f t="shared" si="29"/>
        <v>13.571428571428571</v>
      </c>
      <c r="V37" s="57">
        <f t="shared" si="29"/>
        <v>40.428571428571431</v>
      </c>
      <c r="W37" s="57">
        <f t="shared" si="29"/>
        <v>4.2857142857142856</v>
      </c>
      <c r="X37" s="57">
        <f t="shared" si="29"/>
        <v>0.42857142857142855</v>
      </c>
      <c r="Y37" s="57">
        <f t="shared" si="29"/>
        <v>33.714285714285708</v>
      </c>
      <c r="Z37" s="57">
        <f t="shared" si="29"/>
        <v>11.285714285714285</v>
      </c>
      <c r="AA37" s="57">
        <f t="shared" si="29"/>
        <v>2.9999999999999996</v>
      </c>
      <c r="AB37" s="57">
        <f t="shared" si="29"/>
        <v>0</v>
      </c>
      <c r="AC37" s="57">
        <f t="shared" si="29"/>
        <v>1182.1428571428571</v>
      </c>
      <c r="AD37" s="57">
        <f t="shared" si="29"/>
        <v>0</v>
      </c>
      <c r="AE37" s="58">
        <f t="shared" si="29"/>
        <v>218.28571428571428</v>
      </c>
      <c r="AF37" s="58">
        <f t="shared" si="29"/>
        <v>1400.4285714285716</v>
      </c>
    </row>
    <row r="38" spans="2:32" ht="23.1" customHeight="1" x14ac:dyDescent="0.25">
      <c r="B38" s="24" t="s">
        <v>65</v>
      </c>
      <c r="C38" s="49">
        <f>'Avg Week Kitemu-Buddo'!C38+'Avg Week Buddo-Kitemu'!C38</f>
        <v>6.5714285714285712</v>
      </c>
      <c r="D38" s="49">
        <f>'Avg Week Kitemu-Buddo'!D38+'Avg Week Buddo-Kitemu'!D38</f>
        <v>1</v>
      </c>
      <c r="E38" s="49">
        <f>'Avg Week Kitemu-Buddo'!E38+'Avg Week Buddo-Kitemu'!E38</f>
        <v>0.5714285714285714</v>
      </c>
      <c r="F38" s="49">
        <f>'Avg Week Kitemu-Buddo'!F38+'Avg Week Buddo-Kitemu'!F38</f>
        <v>3</v>
      </c>
      <c r="G38" s="49">
        <f>'Avg Week Kitemu-Buddo'!G38+'Avg Week Buddo-Kitemu'!G38</f>
        <v>0</v>
      </c>
      <c r="H38" s="49">
        <f>'Avg Week Kitemu-Buddo'!H38+'Avg Week Buddo-Kitemu'!H38</f>
        <v>0</v>
      </c>
      <c r="I38" s="49">
        <f>'Avg Week Kitemu-Buddo'!I38+'Avg Week Buddo-Kitemu'!I38</f>
        <v>2.1428571428571428</v>
      </c>
      <c r="J38" s="49">
        <f>'Avg Week Kitemu-Buddo'!J38+'Avg Week Buddo-Kitemu'!J38</f>
        <v>0.2857142857142857</v>
      </c>
      <c r="K38" s="49">
        <f>'Avg Week Kitemu-Buddo'!K38+'Avg Week Buddo-Kitemu'!K38</f>
        <v>0.42857142857142855</v>
      </c>
      <c r="L38" s="49">
        <f>'Avg Week Kitemu-Buddo'!L38+'Avg Week Buddo-Kitemu'!L38</f>
        <v>0</v>
      </c>
      <c r="M38" s="49">
        <f>'Avg Week Kitemu-Buddo'!M38+'Avg Week Buddo-Kitemu'!M38</f>
        <v>58.142857142857139</v>
      </c>
      <c r="N38" s="49">
        <f>'Avg Week Kitemu-Buddo'!N38+'Avg Week Buddo-Kitemu'!N38</f>
        <v>0</v>
      </c>
      <c r="O38" s="15">
        <f t="shared" si="0"/>
        <v>14</v>
      </c>
      <c r="P38" s="15">
        <f t="shared" si="1"/>
        <v>72.142857142857139</v>
      </c>
      <c r="R38" s="28" t="s">
        <v>86</v>
      </c>
      <c r="S38" s="57">
        <f t="shared" ref="S38:AF38" si="30">SUM(S13:S18)</f>
        <v>165.28571428571428</v>
      </c>
      <c r="T38" s="57">
        <f t="shared" si="30"/>
        <v>18.571428571428569</v>
      </c>
      <c r="U38" s="57">
        <f t="shared" si="30"/>
        <v>22.142857142857142</v>
      </c>
      <c r="V38" s="57">
        <f t="shared" si="30"/>
        <v>57.428571428571423</v>
      </c>
      <c r="W38" s="57">
        <f t="shared" si="30"/>
        <v>2.7142857142857144</v>
      </c>
      <c r="X38" s="57">
        <f t="shared" si="30"/>
        <v>0.42857142857142855</v>
      </c>
      <c r="Y38" s="57">
        <f t="shared" si="30"/>
        <v>68.285714285714292</v>
      </c>
      <c r="Z38" s="57">
        <f t="shared" si="30"/>
        <v>26</v>
      </c>
      <c r="AA38" s="57">
        <f t="shared" si="30"/>
        <v>9.5714285714285712</v>
      </c>
      <c r="AB38" s="57">
        <f t="shared" si="30"/>
        <v>0</v>
      </c>
      <c r="AC38" s="57">
        <f t="shared" si="30"/>
        <v>1670.5714285714284</v>
      </c>
      <c r="AD38" s="57">
        <f t="shared" si="30"/>
        <v>8.8571428571428559</v>
      </c>
      <c r="AE38" s="58">
        <f t="shared" si="30"/>
        <v>379.28571428571428</v>
      </c>
      <c r="AF38" s="58">
        <f t="shared" si="30"/>
        <v>2049.8571428571431</v>
      </c>
    </row>
    <row r="39" spans="2:32" ht="23.1" customHeight="1" x14ac:dyDescent="0.25">
      <c r="B39" s="24" t="s">
        <v>66</v>
      </c>
      <c r="C39" s="49">
        <f>'Avg Week Kitemu-Buddo'!C39+'Avg Week Buddo-Kitemu'!C39</f>
        <v>7.1428571428571423</v>
      </c>
      <c r="D39" s="49">
        <f>'Avg Week Kitemu-Buddo'!D39+'Avg Week Buddo-Kitemu'!D39</f>
        <v>0.8571428571428571</v>
      </c>
      <c r="E39" s="49">
        <f>'Avg Week Kitemu-Buddo'!E39+'Avg Week Buddo-Kitemu'!E39</f>
        <v>1</v>
      </c>
      <c r="F39" s="49">
        <f>'Avg Week Kitemu-Buddo'!F39+'Avg Week Buddo-Kitemu'!F39</f>
        <v>4.2857142857142856</v>
      </c>
      <c r="G39" s="49">
        <f>'Avg Week Kitemu-Buddo'!G39+'Avg Week Buddo-Kitemu'!G39</f>
        <v>0</v>
      </c>
      <c r="H39" s="49">
        <f>'Avg Week Kitemu-Buddo'!H39+'Avg Week Buddo-Kitemu'!H39</f>
        <v>0</v>
      </c>
      <c r="I39" s="49">
        <f>'Avg Week Kitemu-Buddo'!I39+'Avg Week Buddo-Kitemu'!I39</f>
        <v>1.4285714285714284</v>
      </c>
      <c r="J39" s="49">
        <f>'Avg Week Kitemu-Buddo'!J39+'Avg Week Buddo-Kitemu'!J39</f>
        <v>0.8571428571428571</v>
      </c>
      <c r="K39" s="49">
        <f>'Avg Week Kitemu-Buddo'!K39+'Avg Week Buddo-Kitemu'!K39</f>
        <v>0.2857142857142857</v>
      </c>
      <c r="L39" s="49">
        <f>'Avg Week Kitemu-Buddo'!L39+'Avg Week Buddo-Kitemu'!L39</f>
        <v>0</v>
      </c>
      <c r="M39" s="49">
        <f>'Avg Week Kitemu-Buddo'!M39+'Avg Week Buddo-Kitemu'!M39</f>
        <v>59.714285714285708</v>
      </c>
      <c r="N39" s="49">
        <f>'Avg Week Kitemu-Buddo'!N39+'Avg Week Buddo-Kitemu'!N39</f>
        <v>0</v>
      </c>
      <c r="O39" s="15">
        <f t="shared" si="0"/>
        <v>15.857142857142858</v>
      </c>
      <c r="P39" s="15">
        <f t="shared" si="1"/>
        <v>75.571428571428569</v>
      </c>
      <c r="R39" s="29" t="s">
        <v>87</v>
      </c>
      <c r="S39" s="57">
        <f t="shared" ref="S39:AF39" si="31">SUM(S19:S21)</f>
        <v>93.571428571428584</v>
      </c>
      <c r="T39" s="57">
        <f t="shared" si="31"/>
        <v>13.714285714285715</v>
      </c>
      <c r="U39" s="57">
        <f t="shared" si="31"/>
        <v>10.285714285714285</v>
      </c>
      <c r="V39" s="57">
        <f t="shared" si="31"/>
        <v>45</v>
      </c>
      <c r="W39" s="57">
        <f t="shared" si="31"/>
        <v>9</v>
      </c>
      <c r="X39" s="57">
        <f t="shared" si="31"/>
        <v>0.14285714285714285</v>
      </c>
      <c r="Y39" s="57">
        <f t="shared" si="31"/>
        <v>35</v>
      </c>
      <c r="Z39" s="57">
        <f t="shared" si="31"/>
        <v>10.714285714285715</v>
      </c>
      <c r="AA39" s="57">
        <f t="shared" si="31"/>
        <v>4.5714285714285712</v>
      </c>
      <c r="AB39" s="57">
        <f t="shared" si="31"/>
        <v>0</v>
      </c>
      <c r="AC39" s="57">
        <f t="shared" si="31"/>
        <v>897.28571428571433</v>
      </c>
      <c r="AD39" s="57">
        <f t="shared" si="31"/>
        <v>0</v>
      </c>
      <c r="AE39" s="58">
        <f t="shared" si="31"/>
        <v>222</v>
      </c>
      <c r="AF39" s="58">
        <f t="shared" si="31"/>
        <v>1119.2857142857142</v>
      </c>
    </row>
    <row r="40" spans="2:32" ht="23.1" customHeight="1" x14ac:dyDescent="0.25">
      <c r="B40" s="24" t="s">
        <v>67</v>
      </c>
      <c r="C40" s="49">
        <f>'Avg Week Kitemu-Buddo'!C40+'Avg Week Buddo-Kitemu'!C40</f>
        <v>7.2857142857142856</v>
      </c>
      <c r="D40" s="49">
        <f>'Avg Week Kitemu-Buddo'!D40+'Avg Week Buddo-Kitemu'!D40</f>
        <v>0.14285714285714285</v>
      </c>
      <c r="E40" s="49">
        <f>'Avg Week Kitemu-Buddo'!E40+'Avg Week Buddo-Kitemu'!E40</f>
        <v>0.5714285714285714</v>
      </c>
      <c r="F40" s="49">
        <f>'Avg Week Kitemu-Buddo'!F40+'Avg Week Buddo-Kitemu'!F40</f>
        <v>2.5714285714285712</v>
      </c>
      <c r="G40" s="49">
        <f>'Avg Week Kitemu-Buddo'!G40+'Avg Week Buddo-Kitemu'!G40</f>
        <v>0.14285714285714285</v>
      </c>
      <c r="H40" s="49">
        <f>'Avg Week Kitemu-Buddo'!H40+'Avg Week Buddo-Kitemu'!H40</f>
        <v>0</v>
      </c>
      <c r="I40" s="49">
        <f>'Avg Week Kitemu-Buddo'!I40+'Avg Week Buddo-Kitemu'!I40</f>
        <v>1.5714285714285714</v>
      </c>
      <c r="J40" s="49">
        <f>'Avg Week Kitemu-Buddo'!J40+'Avg Week Buddo-Kitemu'!J40</f>
        <v>0.5714285714285714</v>
      </c>
      <c r="K40" s="49">
        <f>'Avg Week Kitemu-Buddo'!K40+'Avg Week Buddo-Kitemu'!K40</f>
        <v>0.2857142857142857</v>
      </c>
      <c r="L40" s="49">
        <f>'Avg Week Kitemu-Buddo'!L40+'Avg Week Buddo-Kitemu'!L40</f>
        <v>0</v>
      </c>
      <c r="M40" s="49">
        <f>'Avg Week Kitemu-Buddo'!M40+'Avg Week Buddo-Kitemu'!M40</f>
        <v>58.142857142857139</v>
      </c>
      <c r="N40" s="49">
        <f>'Avg Week Kitemu-Buddo'!N40+'Avg Week Buddo-Kitemu'!N40</f>
        <v>0</v>
      </c>
      <c r="O40" s="15">
        <f t="shared" si="0"/>
        <v>13.142857142857142</v>
      </c>
      <c r="P40" s="15">
        <f t="shared" si="1"/>
        <v>71.285714285714278</v>
      </c>
      <c r="R40" s="5" t="s">
        <v>17</v>
      </c>
      <c r="S40" s="57">
        <f t="shared" ref="S40:AF40" si="32">SUM(S10:S21)</f>
        <v>357.85714285714283</v>
      </c>
      <c r="T40" s="57">
        <f t="shared" si="32"/>
        <v>44.857142857142854</v>
      </c>
      <c r="U40" s="57">
        <f t="shared" si="32"/>
        <v>45.999999999999993</v>
      </c>
      <c r="V40" s="57">
        <f t="shared" si="32"/>
        <v>142.85714285714286</v>
      </c>
      <c r="W40" s="57">
        <f t="shared" si="32"/>
        <v>16</v>
      </c>
      <c r="X40" s="57">
        <f t="shared" si="32"/>
        <v>1</v>
      </c>
      <c r="Y40" s="57">
        <f t="shared" si="32"/>
        <v>137</v>
      </c>
      <c r="Z40" s="57">
        <f t="shared" si="32"/>
        <v>48</v>
      </c>
      <c r="AA40" s="57">
        <f t="shared" si="32"/>
        <v>17.142857142857139</v>
      </c>
      <c r="AB40" s="57">
        <f t="shared" si="32"/>
        <v>0</v>
      </c>
      <c r="AC40" s="57">
        <f t="shared" si="32"/>
        <v>3750</v>
      </c>
      <c r="AD40" s="57">
        <f t="shared" si="32"/>
        <v>8.8571428571428559</v>
      </c>
      <c r="AE40" s="58">
        <f t="shared" si="32"/>
        <v>819.57142857142856</v>
      </c>
      <c r="AF40" s="58">
        <f t="shared" si="32"/>
        <v>4569.5714285714284</v>
      </c>
    </row>
    <row r="41" spans="2:32" ht="23.1" customHeight="1" x14ac:dyDescent="0.25">
      <c r="B41" s="23" t="s">
        <v>68</v>
      </c>
      <c r="C41" s="49">
        <f>'Avg Week Kitemu-Buddo'!C41+'Avg Week Buddo-Kitemu'!C41</f>
        <v>6</v>
      </c>
      <c r="D41" s="49">
        <f>'Avg Week Kitemu-Buddo'!D41+'Avg Week Buddo-Kitemu'!D41</f>
        <v>0.71428571428571419</v>
      </c>
      <c r="E41" s="49">
        <f>'Avg Week Kitemu-Buddo'!E41+'Avg Week Buddo-Kitemu'!E41</f>
        <v>1</v>
      </c>
      <c r="F41" s="49">
        <f>'Avg Week Kitemu-Buddo'!F41+'Avg Week Buddo-Kitemu'!F41</f>
        <v>2.1428571428571428</v>
      </c>
      <c r="G41" s="49">
        <f>'Avg Week Kitemu-Buddo'!G41+'Avg Week Buddo-Kitemu'!G41</f>
        <v>0</v>
      </c>
      <c r="H41" s="49">
        <f>'Avg Week Kitemu-Buddo'!H41+'Avg Week Buddo-Kitemu'!H41</f>
        <v>0</v>
      </c>
      <c r="I41" s="49">
        <f>'Avg Week Kitemu-Buddo'!I41+'Avg Week Buddo-Kitemu'!I41</f>
        <v>3.2857142857142856</v>
      </c>
      <c r="J41" s="49">
        <f>'Avg Week Kitemu-Buddo'!J41+'Avg Week Buddo-Kitemu'!J41</f>
        <v>1</v>
      </c>
      <c r="K41" s="49">
        <f>'Avg Week Kitemu-Buddo'!K41+'Avg Week Buddo-Kitemu'!K41</f>
        <v>0.8571428571428571</v>
      </c>
      <c r="L41" s="49">
        <f>'Avg Week Kitemu-Buddo'!L41+'Avg Week Buddo-Kitemu'!L41</f>
        <v>0</v>
      </c>
      <c r="M41" s="49">
        <f>'Avg Week Kitemu-Buddo'!M41+'Avg Week Buddo-Kitemu'!M41</f>
        <v>58.857142857142861</v>
      </c>
      <c r="N41" s="49">
        <f>'Avg Week Kitemu-Buddo'!N41+'Avg Week Buddo-Kitemu'!N41</f>
        <v>0</v>
      </c>
      <c r="O41" s="15">
        <f t="shared" si="0"/>
        <v>15</v>
      </c>
      <c r="P41" s="15">
        <f t="shared" si="1"/>
        <v>73.857142857142861</v>
      </c>
      <c r="R41" s="5" t="s">
        <v>178</v>
      </c>
      <c r="S41" s="57">
        <f>SUM(S10:S33)</f>
        <v>556.35714285714289</v>
      </c>
      <c r="T41" s="57">
        <f t="shared" ref="T41:AD41" si="33">SUM(T10:T33)</f>
        <v>73.857142857142861</v>
      </c>
      <c r="U41" s="57">
        <f t="shared" si="33"/>
        <v>71.5</v>
      </c>
      <c r="V41" s="57">
        <f t="shared" si="33"/>
        <v>287.35714285714289</v>
      </c>
      <c r="W41" s="57">
        <f t="shared" si="33"/>
        <v>25</v>
      </c>
      <c r="X41" s="57">
        <f t="shared" si="33"/>
        <v>1</v>
      </c>
      <c r="Y41" s="57">
        <f t="shared" si="33"/>
        <v>191</v>
      </c>
      <c r="Z41" s="57">
        <f t="shared" si="33"/>
        <v>78.5</v>
      </c>
      <c r="AA41" s="57">
        <f t="shared" si="33"/>
        <v>23.142857142857139</v>
      </c>
      <c r="AB41" s="57">
        <f t="shared" si="33"/>
        <v>0.5</v>
      </c>
      <c r="AC41" s="57">
        <f t="shared" si="33"/>
        <v>6012.5</v>
      </c>
      <c r="AD41" s="57">
        <f t="shared" si="33"/>
        <v>8.8571428571428559</v>
      </c>
      <c r="AE41" s="58">
        <f>SUM(AE10:AE33)</f>
        <v>1317.0714285714284</v>
      </c>
      <c r="AF41" s="58">
        <f>SUM(AF10:AF33)</f>
        <v>7329.5714285714284</v>
      </c>
    </row>
    <row r="42" spans="2:32" ht="23.1" customHeight="1" x14ac:dyDescent="0.25">
      <c r="B42" s="24" t="s">
        <v>69</v>
      </c>
      <c r="C42" s="49">
        <f>'Avg Week Kitemu-Buddo'!C42+'Avg Week Buddo-Kitemu'!C42</f>
        <v>6.1428571428571423</v>
      </c>
      <c r="D42" s="49">
        <f>'Avg Week Kitemu-Buddo'!D42+'Avg Week Buddo-Kitemu'!D42</f>
        <v>0.71428571428571419</v>
      </c>
      <c r="E42" s="49">
        <f>'Avg Week Kitemu-Buddo'!E42+'Avg Week Buddo-Kitemu'!E42</f>
        <v>0.5714285714285714</v>
      </c>
      <c r="F42" s="49">
        <f>'Avg Week Kitemu-Buddo'!F42+'Avg Week Buddo-Kitemu'!F42</f>
        <v>2.2857142857142856</v>
      </c>
      <c r="G42" s="49">
        <f>'Avg Week Kitemu-Buddo'!G42+'Avg Week Buddo-Kitemu'!G42</f>
        <v>0</v>
      </c>
      <c r="H42" s="49">
        <f>'Avg Week Kitemu-Buddo'!H42+'Avg Week Buddo-Kitemu'!H42</f>
        <v>0</v>
      </c>
      <c r="I42" s="49">
        <f>'Avg Week Kitemu-Buddo'!I42+'Avg Week Buddo-Kitemu'!I42</f>
        <v>2.4285714285714288</v>
      </c>
      <c r="J42" s="49">
        <f>'Avg Week Kitemu-Buddo'!J42+'Avg Week Buddo-Kitemu'!J42</f>
        <v>1.1428571428571428</v>
      </c>
      <c r="K42" s="49">
        <f>'Avg Week Kitemu-Buddo'!K42+'Avg Week Buddo-Kitemu'!K42</f>
        <v>0.2857142857142857</v>
      </c>
      <c r="L42" s="49">
        <f>'Avg Week Kitemu-Buddo'!L42+'Avg Week Buddo-Kitemu'!L42</f>
        <v>0</v>
      </c>
      <c r="M42" s="49">
        <f>'Avg Week Kitemu-Buddo'!M42+'Avg Week Buddo-Kitemu'!M42</f>
        <v>65.571428571428569</v>
      </c>
      <c r="N42" s="49">
        <f>'Avg Week Kitemu-Buddo'!N42+'Avg Week Buddo-Kitemu'!N42</f>
        <v>0</v>
      </c>
      <c r="O42" s="15">
        <f t="shared" si="0"/>
        <v>13.571428571428571</v>
      </c>
      <c r="P42" s="15">
        <f t="shared" si="1"/>
        <v>79.142857142857139</v>
      </c>
      <c r="R42" s="5" t="s">
        <v>160</v>
      </c>
      <c r="S42" s="48">
        <f>S41/S40</f>
        <v>1.5546906187624752</v>
      </c>
      <c r="T42" s="48">
        <f t="shared" ref="T42:AF42" si="34">T41/T40</f>
        <v>1.6464968152866244</v>
      </c>
      <c r="U42" s="48">
        <f t="shared" si="34"/>
        <v>1.5543478260869568</v>
      </c>
      <c r="V42" s="48">
        <f t="shared" si="34"/>
        <v>2.0115000000000003</v>
      </c>
      <c r="W42" s="48">
        <f t="shared" si="34"/>
        <v>1.5625</v>
      </c>
      <c r="X42" s="48">
        <f t="shared" si="34"/>
        <v>1</v>
      </c>
      <c r="Y42" s="48">
        <f t="shared" si="34"/>
        <v>1.3941605839416058</v>
      </c>
      <c r="Z42" s="48">
        <f t="shared" si="34"/>
        <v>1.6354166666666667</v>
      </c>
      <c r="AA42" s="48">
        <f t="shared" si="34"/>
        <v>1.35</v>
      </c>
      <c r="AB42" s="48" t="e">
        <f t="shared" si="34"/>
        <v>#DIV/0!</v>
      </c>
      <c r="AC42" s="48">
        <f t="shared" si="34"/>
        <v>1.6033333333333333</v>
      </c>
      <c r="AD42" s="48">
        <f t="shared" si="34"/>
        <v>1</v>
      </c>
      <c r="AE42" s="59">
        <f t="shared" si="34"/>
        <v>1.6070245773052116</v>
      </c>
      <c r="AF42" s="59">
        <f t="shared" si="34"/>
        <v>1.6039953731203302</v>
      </c>
    </row>
    <row r="43" spans="2:32" ht="23.1" customHeight="1" x14ac:dyDescent="0.25">
      <c r="B43" s="23" t="s">
        <v>70</v>
      </c>
      <c r="C43" s="49">
        <f>'Avg Week Kitemu-Buddo'!C43+'Avg Week Buddo-Kitemu'!C43</f>
        <v>4.7142857142857135</v>
      </c>
      <c r="D43" s="49">
        <f>'Avg Week Kitemu-Buddo'!D43+'Avg Week Buddo-Kitemu'!D43</f>
        <v>0.8571428571428571</v>
      </c>
      <c r="E43" s="49">
        <f>'Avg Week Kitemu-Buddo'!E43+'Avg Week Buddo-Kitemu'!E43</f>
        <v>0.8571428571428571</v>
      </c>
      <c r="F43" s="49">
        <f>'Avg Week Kitemu-Buddo'!F43+'Avg Week Buddo-Kitemu'!F43</f>
        <v>1.8571428571428572</v>
      </c>
      <c r="G43" s="49">
        <f>'Avg Week Kitemu-Buddo'!G43+'Avg Week Buddo-Kitemu'!G43</f>
        <v>0</v>
      </c>
      <c r="H43" s="49">
        <f>'Avg Week Kitemu-Buddo'!H43+'Avg Week Buddo-Kitemu'!H43</f>
        <v>0.14285714285714285</v>
      </c>
      <c r="I43" s="49">
        <f>'Avg Week Kitemu-Buddo'!I43+'Avg Week Buddo-Kitemu'!I43</f>
        <v>2.1428571428571428</v>
      </c>
      <c r="J43" s="49">
        <f>'Avg Week Kitemu-Buddo'!J43+'Avg Week Buddo-Kitemu'!J43</f>
        <v>1.2857142857142856</v>
      </c>
      <c r="K43" s="49">
        <f>'Avg Week Kitemu-Buddo'!K43+'Avg Week Buddo-Kitemu'!K43</f>
        <v>0.71428571428571419</v>
      </c>
      <c r="L43" s="49">
        <f>'Avg Week Kitemu-Buddo'!L43+'Avg Week Buddo-Kitemu'!L43</f>
        <v>0</v>
      </c>
      <c r="M43" s="49">
        <f>'Avg Week Kitemu-Buddo'!M43+'Avg Week Buddo-Kitemu'!M43</f>
        <v>58.285714285714285</v>
      </c>
      <c r="N43" s="49">
        <f>'Avg Week Kitemu-Buddo'!N43+'Avg Week Buddo-Kitemu'!N43</f>
        <v>0</v>
      </c>
      <c r="O43" s="15">
        <f t="shared" si="0"/>
        <v>12.571428571428568</v>
      </c>
      <c r="P43" s="15">
        <f t="shared" si="1"/>
        <v>70.857142857142847</v>
      </c>
    </row>
    <row r="44" spans="2:32" ht="23.1" customHeight="1" x14ac:dyDescent="0.25">
      <c r="B44" s="25" t="s">
        <v>71</v>
      </c>
      <c r="C44" s="49">
        <f>'Avg Week Kitemu-Buddo'!C44+'Avg Week Buddo-Kitemu'!C44</f>
        <v>6</v>
      </c>
      <c r="D44" s="49">
        <f>'Avg Week Kitemu-Buddo'!D44+'Avg Week Buddo-Kitemu'!D44</f>
        <v>0.5714285714285714</v>
      </c>
      <c r="E44" s="49">
        <f>'Avg Week Kitemu-Buddo'!E44+'Avg Week Buddo-Kitemu'!E44</f>
        <v>1.1428571428571428</v>
      </c>
      <c r="F44" s="49">
        <f>'Avg Week Kitemu-Buddo'!F44+'Avg Week Buddo-Kitemu'!F44</f>
        <v>1.7142857142857144</v>
      </c>
      <c r="G44" s="49">
        <f>'Avg Week Kitemu-Buddo'!G44+'Avg Week Buddo-Kitemu'!G44</f>
        <v>0.42857142857142855</v>
      </c>
      <c r="H44" s="49">
        <f>'Avg Week Kitemu-Buddo'!H44+'Avg Week Buddo-Kitemu'!H44</f>
        <v>0.14285714285714285</v>
      </c>
      <c r="I44" s="49">
        <f>'Avg Week Kitemu-Buddo'!I44+'Avg Week Buddo-Kitemu'!I44</f>
        <v>2.2857142857142856</v>
      </c>
      <c r="J44" s="49">
        <f>'Avg Week Kitemu-Buddo'!J44+'Avg Week Buddo-Kitemu'!J44</f>
        <v>1.5714285714285714</v>
      </c>
      <c r="K44" s="49">
        <f>'Avg Week Kitemu-Buddo'!K44+'Avg Week Buddo-Kitemu'!K44</f>
        <v>0.2857142857142857</v>
      </c>
      <c r="L44" s="49">
        <f>'Avg Week Kitemu-Buddo'!L44+'Avg Week Buddo-Kitemu'!L44</f>
        <v>0</v>
      </c>
      <c r="M44" s="49">
        <f>'Avg Week Kitemu-Buddo'!M44+'Avg Week Buddo-Kitemu'!M44</f>
        <v>59.714285714285715</v>
      </c>
      <c r="N44" s="49">
        <f>'Avg Week Kitemu-Buddo'!N44+'Avg Week Buddo-Kitemu'!N44</f>
        <v>0</v>
      </c>
      <c r="O44" s="15">
        <f t="shared" si="0"/>
        <v>14.142857142857142</v>
      </c>
      <c r="P44" s="15">
        <f t="shared" si="1"/>
        <v>73.857142857142861</v>
      </c>
    </row>
    <row r="45" spans="2:32" ht="23.1" customHeight="1" x14ac:dyDescent="0.25">
      <c r="B45" s="23" t="s">
        <v>72</v>
      </c>
      <c r="C45" s="49">
        <f>'Avg Week Kitemu-Buddo'!C45+'Avg Week Buddo-Kitemu'!C45</f>
        <v>6.2857142857142865</v>
      </c>
      <c r="D45" s="49">
        <f>'Avg Week Kitemu-Buddo'!D45+'Avg Week Buddo-Kitemu'!D45</f>
        <v>0.42857142857142855</v>
      </c>
      <c r="E45" s="49">
        <f>'Avg Week Kitemu-Buddo'!E45+'Avg Week Buddo-Kitemu'!E45</f>
        <v>1.4285714285714286</v>
      </c>
      <c r="F45" s="49">
        <f>'Avg Week Kitemu-Buddo'!F45+'Avg Week Buddo-Kitemu'!F45</f>
        <v>2.8571428571428568</v>
      </c>
      <c r="G45" s="49">
        <f>'Avg Week Kitemu-Buddo'!G45+'Avg Week Buddo-Kitemu'!G45</f>
        <v>0.14285714285714285</v>
      </c>
      <c r="H45" s="49">
        <f>'Avg Week Kitemu-Buddo'!H45+'Avg Week Buddo-Kitemu'!H45</f>
        <v>0</v>
      </c>
      <c r="I45" s="49">
        <f>'Avg Week Kitemu-Buddo'!I45+'Avg Week Buddo-Kitemu'!I45</f>
        <v>3</v>
      </c>
      <c r="J45" s="49">
        <f>'Avg Week Kitemu-Buddo'!J45+'Avg Week Buddo-Kitemu'!J45</f>
        <v>1.4285714285714284</v>
      </c>
      <c r="K45" s="49">
        <f>'Avg Week Kitemu-Buddo'!K45+'Avg Week Buddo-Kitemu'!K45</f>
        <v>0.8571428571428571</v>
      </c>
      <c r="L45" s="49">
        <f>'Avg Week Kitemu-Buddo'!L45+'Avg Week Buddo-Kitemu'!L45</f>
        <v>0</v>
      </c>
      <c r="M45" s="49">
        <f>'Avg Week Kitemu-Buddo'!M45+'Avg Week Buddo-Kitemu'!M45</f>
        <v>57.571428571428569</v>
      </c>
      <c r="N45" s="49">
        <f>'Avg Week Kitemu-Buddo'!N45+'Avg Week Buddo-Kitemu'!N45</f>
        <v>0</v>
      </c>
      <c r="O45" s="15">
        <f t="shared" si="0"/>
        <v>16.428571428571427</v>
      </c>
      <c r="P45" s="15">
        <f t="shared" si="1"/>
        <v>74</v>
      </c>
    </row>
    <row r="46" spans="2:32" ht="23.1" customHeight="1" x14ac:dyDescent="0.25">
      <c r="B46" s="24" t="s">
        <v>73</v>
      </c>
      <c r="C46" s="49">
        <f>'Avg Week Kitemu-Buddo'!C46+'Avg Week Buddo-Kitemu'!C46</f>
        <v>8.2857142857142865</v>
      </c>
      <c r="D46" s="49">
        <f>'Avg Week Kitemu-Buddo'!D46+'Avg Week Buddo-Kitemu'!D46</f>
        <v>0.42857142857142855</v>
      </c>
      <c r="E46" s="49">
        <f>'Avg Week Kitemu-Buddo'!E46+'Avg Week Buddo-Kitemu'!E46</f>
        <v>1.1428571428571428</v>
      </c>
      <c r="F46" s="49">
        <f>'Avg Week Kitemu-Buddo'!F46+'Avg Week Buddo-Kitemu'!F46</f>
        <v>3.8571428571428572</v>
      </c>
      <c r="G46" s="49">
        <f>'Avg Week Kitemu-Buddo'!G46+'Avg Week Buddo-Kitemu'!G46</f>
        <v>0.2857142857142857</v>
      </c>
      <c r="H46" s="49">
        <f>'Avg Week Kitemu-Buddo'!H46+'Avg Week Buddo-Kitemu'!H46</f>
        <v>0</v>
      </c>
      <c r="I46" s="49">
        <f>'Avg Week Kitemu-Buddo'!I46+'Avg Week Buddo-Kitemu'!I46</f>
        <v>3.1428571428571428</v>
      </c>
      <c r="J46" s="49">
        <f>'Avg Week Kitemu-Buddo'!J46+'Avg Week Buddo-Kitemu'!J46</f>
        <v>0.5714285714285714</v>
      </c>
      <c r="K46" s="49">
        <f>'Avg Week Kitemu-Buddo'!K46+'Avg Week Buddo-Kitemu'!K46</f>
        <v>0.2857142857142857</v>
      </c>
      <c r="L46" s="49">
        <f>'Avg Week Kitemu-Buddo'!L46+'Avg Week Buddo-Kitemu'!L46</f>
        <v>0</v>
      </c>
      <c r="M46" s="49">
        <f>'Avg Week Kitemu-Buddo'!M46+'Avg Week Buddo-Kitemu'!M46</f>
        <v>66.714285714285722</v>
      </c>
      <c r="N46" s="49">
        <f>'Avg Week Kitemu-Buddo'!N46+'Avg Week Buddo-Kitemu'!N46</f>
        <v>0</v>
      </c>
      <c r="O46" s="15">
        <f t="shared" si="0"/>
        <v>18.000000000000004</v>
      </c>
      <c r="P46" s="15">
        <f t="shared" si="1"/>
        <v>84.714285714285722</v>
      </c>
      <c r="R46" s="8"/>
      <c r="T46"/>
    </row>
    <row r="47" spans="2:32" ht="23.1" customHeight="1" x14ac:dyDescent="0.25">
      <c r="B47" s="24" t="s">
        <v>74</v>
      </c>
      <c r="C47" s="49">
        <f>'Avg Week Kitemu-Buddo'!C47+'Avg Week Buddo-Kitemu'!C47</f>
        <v>6.2857142857142856</v>
      </c>
      <c r="D47" s="49">
        <f>'Avg Week Kitemu-Buddo'!D47+'Avg Week Buddo-Kitemu'!D47</f>
        <v>1.4285714285714284</v>
      </c>
      <c r="E47" s="49">
        <f>'Avg Week Kitemu-Buddo'!E47+'Avg Week Buddo-Kitemu'!E47</f>
        <v>0.5714285714285714</v>
      </c>
      <c r="F47" s="49">
        <f>'Avg Week Kitemu-Buddo'!F47+'Avg Week Buddo-Kitemu'!F47</f>
        <v>3</v>
      </c>
      <c r="G47" s="49">
        <f>'Avg Week Kitemu-Buddo'!G47+'Avg Week Buddo-Kitemu'!G47</f>
        <v>0.5714285714285714</v>
      </c>
      <c r="H47" s="49">
        <f>'Avg Week Kitemu-Buddo'!H47+'Avg Week Buddo-Kitemu'!H47</f>
        <v>0</v>
      </c>
      <c r="I47" s="49">
        <f>'Avg Week Kitemu-Buddo'!I47+'Avg Week Buddo-Kitemu'!I47</f>
        <v>2.5714285714285712</v>
      </c>
      <c r="J47" s="49">
        <f>'Avg Week Kitemu-Buddo'!J47+'Avg Week Buddo-Kitemu'!J47</f>
        <v>0.14285714285714285</v>
      </c>
      <c r="K47" s="49">
        <f>'Avg Week Kitemu-Buddo'!K47+'Avg Week Buddo-Kitemu'!K47</f>
        <v>0.71428571428571419</v>
      </c>
      <c r="L47" s="49">
        <f>'Avg Week Kitemu-Buddo'!L47+'Avg Week Buddo-Kitemu'!L47</f>
        <v>0</v>
      </c>
      <c r="M47" s="49">
        <f>'Avg Week Kitemu-Buddo'!M47+'Avg Week Buddo-Kitemu'!M47</f>
        <v>66.857142857142861</v>
      </c>
      <c r="N47" s="49">
        <f>'Avg Week Kitemu-Buddo'!N47+'Avg Week Buddo-Kitemu'!N47</f>
        <v>0</v>
      </c>
      <c r="O47" s="15">
        <f t="shared" si="0"/>
        <v>15.285714285714283</v>
      </c>
      <c r="P47" s="15">
        <f t="shared" si="1"/>
        <v>82.142857142857139</v>
      </c>
      <c r="R47" s="8"/>
      <c r="T47"/>
    </row>
    <row r="48" spans="2:32" ht="23.1" customHeight="1" x14ac:dyDescent="0.25">
      <c r="B48" s="24" t="s">
        <v>75</v>
      </c>
      <c r="C48" s="49">
        <f>'Avg Week Kitemu-Buddo'!C48+'Avg Week Buddo-Kitemu'!C48</f>
        <v>7</v>
      </c>
      <c r="D48" s="49">
        <f>'Avg Week Kitemu-Buddo'!D48+'Avg Week Buddo-Kitemu'!D48</f>
        <v>0.8571428571428571</v>
      </c>
      <c r="E48" s="49">
        <f>'Avg Week Kitemu-Buddo'!E48+'Avg Week Buddo-Kitemu'!E48</f>
        <v>1.1428571428571428</v>
      </c>
      <c r="F48" s="49">
        <f>'Avg Week Kitemu-Buddo'!F48+'Avg Week Buddo-Kitemu'!F48</f>
        <v>3.8571428571428572</v>
      </c>
      <c r="G48" s="49">
        <f>'Avg Week Kitemu-Buddo'!G48+'Avg Week Buddo-Kitemu'!G48</f>
        <v>0.5714285714285714</v>
      </c>
      <c r="H48" s="49">
        <f>'Avg Week Kitemu-Buddo'!H48+'Avg Week Buddo-Kitemu'!H48</f>
        <v>0</v>
      </c>
      <c r="I48" s="49">
        <f>'Avg Week Kitemu-Buddo'!I48+'Avg Week Buddo-Kitemu'!I48</f>
        <v>1.8571428571428572</v>
      </c>
      <c r="J48" s="49">
        <f>'Avg Week Kitemu-Buddo'!J48+'Avg Week Buddo-Kitemu'!J48</f>
        <v>1.1428571428571428</v>
      </c>
      <c r="K48" s="49">
        <f>'Avg Week Kitemu-Buddo'!K48+'Avg Week Buddo-Kitemu'!K48</f>
        <v>0.71428571428571419</v>
      </c>
      <c r="L48" s="49">
        <f>'Avg Week Kitemu-Buddo'!L48+'Avg Week Buddo-Kitemu'!L48</f>
        <v>0</v>
      </c>
      <c r="M48" s="49">
        <f>'Avg Week Kitemu-Buddo'!M48+'Avg Week Buddo-Kitemu'!M48</f>
        <v>68</v>
      </c>
      <c r="N48" s="49">
        <f>'Avg Week Kitemu-Buddo'!N48+'Avg Week Buddo-Kitemu'!N48</f>
        <v>0</v>
      </c>
      <c r="O48" s="15">
        <f t="shared" si="0"/>
        <v>17.142857142857146</v>
      </c>
      <c r="P48" s="15">
        <f t="shared" si="1"/>
        <v>85.142857142857139</v>
      </c>
      <c r="R48" s="8"/>
      <c r="T48"/>
    </row>
    <row r="49" spans="2:20" ht="23.1" customHeight="1" x14ac:dyDescent="0.25">
      <c r="B49" s="23" t="s">
        <v>76</v>
      </c>
      <c r="C49" s="49">
        <f>'Avg Week Kitemu-Buddo'!C49+'Avg Week Buddo-Kitemu'!C49</f>
        <v>7.5714285714285712</v>
      </c>
      <c r="D49" s="49">
        <f>'Avg Week Kitemu-Buddo'!D49+'Avg Week Buddo-Kitemu'!D49</f>
        <v>1</v>
      </c>
      <c r="E49" s="49">
        <f>'Avg Week Kitemu-Buddo'!E49+'Avg Week Buddo-Kitemu'!E49</f>
        <v>1.5714285714285714</v>
      </c>
      <c r="F49" s="49">
        <f>'Avg Week Kitemu-Buddo'!F49+'Avg Week Buddo-Kitemu'!F49</f>
        <v>2.8571428571428568</v>
      </c>
      <c r="G49" s="49">
        <f>'Avg Week Kitemu-Buddo'!G49+'Avg Week Buddo-Kitemu'!G49</f>
        <v>1</v>
      </c>
      <c r="H49" s="49">
        <f>'Avg Week Kitemu-Buddo'!H49+'Avg Week Buddo-Kitemu'!H49</f>
        <v>0</v>
      </c>
      <c r="I49" s="49">
        <f>'Avg Week Kitemu-Buddo'!I49+'Avg Week Buddo-Kitemu'!I49</f>
        <v>2.7142857142857144</v>
      </c>
      <c r="J49" s="49">
        <f>'Avg Week Kitemu-Buddo'!J49+'Avg Week Buddo-Kitemu'!J49</f>
        <v>0.7142857142857143</v>
      </c>
      <c r="K49" s="49">
        <f>'Avg Week Kitemu-Buddo'!K49+'Avg Week Buddo-Kitemu'!K49</f>
        <v>0.2857142857142857</v>
      </c>
      <c r="L49" s="49">
        <f>'Avg Week Kitemu-Buddo'!L49+'Avg Week Buddo-Kitemu'!L49</f>
        <v>0</v>
      </c>
      <c r="M49" s="49">
        <f>'Avg Week Kitemu-Buddo'!M49+'Avg Week Buddo-Kitemu'!M49</f>
        <v>72.285714285714278</v>
      </c>
      <c r="N49" s="49">
        <f>'Avg Week Kitemu-Buddo'!N49+'Avg Week Buddo-Kitemu'!N49</f>
        <v>0</v>
      </c>
      <c r="O49" s="15">
        <f t="shared" si="0"/>
        <v>17.714285714285715</v>
      </c>
      <c r="P49" s="15">
        <f t="shared" si="1"/>
        <v>90</v>
      </c>
      <c r="R49" s="8"/>
      <c r="T49"/>
    </row>
    <row r="50" spans="2:20" ht="23.1" customHeight="1" x14ac:dyDescent="0.25">
      <c r="B50" s="24" t="s">
        <v>77</v>
      </c>
      <c r="C50" s="49">
        <f>'Avg Week Kitemu-Buddo'!C50+'Avg Week Buddo-Kitemu'!C50</f>
        <v>5.8571428571428577</v>
      </c>
      <c r="D50" s="49">
        <f>'Avg Week Kitemu-Buddo'!D50+'Avg Week Buddo-Kitemu'!D50</f>
        <v>1.1428571428571428</v>
      </c>
      <c r="E50" s="49">
        <f>'Avg Week Kitemu-Buddo'!E50+'Avg Week Buddo-Kitemu'!E50</f>
        <v>0.42857142857142855</v>
      </c>
      <c r="F50" s="49">
        <f>'Avg Week Kitemu-Buddo'!F50+'Avg Week Buddo-Kitemu'!F50</f>
        <v>3.1428571428571432</v>
      </c>
      <c r="G50" s="49">
        <f>'Avg Week Kitemu-Buddo'!G50+'Avg Week Buddo-Kitemu'!G50</f>
        <v>2.4285714285714284</v>
      </c>
      <c r="H50" s="49">
        <f>'Avg Week Kitemu-Buddo'!H50+'Avg Week Buddo-Kitemu'!H50</f>
        <v>0</v>
      </c>
      <c r="I50" s="49">
        <f>'Avg Week Kitemu-Buddo'!I50+'Avg Week Buddo-Kitemu'!I50</f>
        <v>3</v>
      </c>
      <c r="J50" s="49">
        <f>'Avg Week Kitemu-Buddo'!J50+'Avg Week Buddo-Kitemu'!J50</f>
        <v>1</v>
      </c>
      <c r="K50" s="49">
        <f>'Avg Week Kitemu-Buddo'!K50+'Avg Week Buddo-Kitemu'!K50</f>
        <v>0.5714285714285714</v>
      </c>
      <c r="L50" s="49">
        <f>'Avg Week Kitemu-Buddo'!L50+'Avg Week Buddo-Kitemu'!L50</f>
        <v>0</v>
      </c>
      <c r="M50" s="49">
        <f>'Avg Week Kitemu-Buddo'!M50+'Avg Week Buddo-Kitemu'!M50</f>
        <v>76.285714285714278</v>
      </c>
      <c r="N50" s="49">
        <f>'Avg Week Kitemu-Buddo'!N50+'Avg Week Buddo-Kitemu'!N50</f>
        <v>0</v>
      </c>
      <c r="O50" s="15">
        <f t="shared" si="0"/>
        <v>17.571428571428573</v>
      </c>
      <c r="P50" s="15">
        <f t="shared" si="1"/>
        <v>93.857142857142847</v>
      </c>
      <c r="R50" s="8"/>
      <c r="T50"/>
    </row>
    <row r="51" spans="2:20" ht="23.1" customHeight="1" x14ac:dyDescent="0.25">
      <c r="B51" s="24" t="s">
        <v>78</v>
      </c>
      <c r="C51" s="49">
        <f>'Avg Week Kitemu-Buddo'!C51+'Avg Week Buddo-Kitemu'!C51</f>
        <v>8.1428571428571423</v>
      </c>
      <c r="D51" s="49">
        <f>'Avg Week Kitemu-Buddo'!D51+'Avg Week Buddo-Kitemu'!D51</f>
        <v>0.8571428571428571</v>
      </c>
      <c r="E51" s="49">
        <f>'Avg Week Kitemu-Buddo'!E51+'Avg Week Buddo-Kitemu'!E51</f>
        <v>0.71428571428571419</v>
      </c>
      <c r="F51" s="49">
        <f>'Avg Week Kitemu-Buddo'!F51+'Avg Week Buddo-Kitemu'!F51</f>
        <v>5.2857142857142856</v>
      </c>
      <c r="G51" s="49">
        <f>'Avg Week Kitemu-Buddo'!G51+'Avg Week Buddo-Kitemu'!G51</f>
        <v>0.14285714285714285</v>
      </c>
      <c r="H51" s="49">
        <f>'Avg Week Kitemu-Buddo'!H51+'Avg Week Buddo-Kitemu'!H51</f>
        <v>0</v>
      </c>
      <c r="I51" s="49">
        <f>'Avg Week Kitemu-Buddo'!I51+'Avg Week Buddo-Kitemu'!I51</f>
        <v>3.2857142857142856</v>
      </c>
      <c r="J51" s="49">
        <f>'Avg Week Kitemu-Buddo'!J51+'Avg Week Buddo-Kitemu'!J51</f>
        <v>1.2857142857142856</v>
      </c>
      <c r="K51" s="49">
        <f>'Avg Week Kitemu-Buddo'!K51+'Avg Week Buddo-Kitemu'!K51</f>
        <v>0.14285714285714285</v>
      </c>
      <c r="L51" s="49">
        <f>'Avg Week Kitemu-Buddo'!L51+'Avg Week Buddo-Kitemu'!L51</f>
        <v>0</v>
      </c>
      <c r="M51" s="49">
        <f>'Avg Week Kitemu-Buddo'!M51+'Avg Week Buddo-Kitemu'!M51</f>
        <v>76.142857142857139</v>
      </c>
      <c r="N51" s="49">
        <f>'Avg Week Kitemu-Buddo'!N51+'Avg Week Buddo-Kitemu'!N51</f>
        <v>0</v>
      </c>
      <c r="O51" s="15">
        <f t="shared" si="0"/>
        <v>19.857142857142854</v>
      </c>
      <c r="P51" s="15">
        <f t="shared" si="1"/>
        <v>96</v>
      </c>
      <c r="R51" s="8"/>
      <c r="T51"/>
    </row>
    <row r="52" spans="2:20" ht="23.1" customHeight="1" x14ac:dyDescent="0.25">
      <c r="B52" s="24" t="s">
        <v>79</v>
      </c>
      <c r="C52" s="49">
        <f>'Avg Week Kitemu-Buddo'!C52+'Avg Week Buddo-Kitemu'!C52</f>
        <v>9.571428571428573</v>
      </c>
      <c r="D52" s="49">
        <f>'Avg Week Kitemu-Buddo'!D52+'Avg Week Buddo-Kitemu'!D52</f>
        <v>1.7142857142857144</v>
      </c>
      <c r="E52" s="49">
        <f>'Avg Week Kitemu-Buddo'!E52+'Avg Week Buddo-Kitemu'!E52</f>
        <v>1</v>
      </c>
      <c r="F52" s="49">
        <f>'Avg Week Kitemu-Buddo'!F52+'Avg Week Buddo-Kitemu'!F52</f>
        <v>3.4285714285714288</v>
      </c>
      <c r="G52" s="49">
        <f>'Avg Week Kitemu-Buddo'!G52+'Avg Week Buddo-Kitemu'!G52</f>
        <v>0.5714285714285714</v>
      </c>
      <c r="H52" s="49">
        <f>'Avg Week Kitemu-Buddo'!H52+'Avg Week Buddo-Kitemu'!H52</f>
        <v>0</v>
      </c>
      <c r="I52" s="49">
        <f>'Avg Week Kitemu-Buddo'!I52+'Avg Week Buddo-Kitemu'!I52</f>
        <v>3.1428571428571428</v>
      </c>
      <c r="J52" s="49">
        <f>'Avg Week Kitemu-Buddo'!J52+'Avg Week Buddo-Kitemu'!J52</f>
        <v>0.71428571428571419</v>
      </c>
      <c r="K52" s="49">
        <f>'Avg Week Kitemu-Buddo'!K52+'Avg Week Buddo-Kitemu'!K52</f>
        <v>0.42857142857142855</v>
      </c>
      <c r="L52" s="49">
        <f>'Avg Week Kitemu-Buddo'!L52+'Avg Week Buddo-Kitemu'!L52</f>
        <v>0</v>
      </c>
      <c r="M52" s="49">
        <f>'Avg Week Kitemu-Buddo'!M52+'Avg Week Buddo-Kitemu'!M52</f>
        <v>74.857142857142861</v>
      </c>
      <c r="N52" s="49">
        <f>'Avg Week Kitemu-Buddo'!N52+'Avg Week Buddo-Kitemu'!N52</f>
        <v>0</v>
      </c>
      <c r="O52" s="15">
        <f t="shared" si="0"/>
        <v>20.571428571428573</v>
      </c>
      <c r="P52" s="15">
        <f t="shared" si="1"/>
        <v>95.428571428571431</v>
      </c>
      <c r="R52" s="8"/>
      <c r="T52"/>
    </row>
    <row r="53" spans="2:20" ht="23.1" customHeight="1" x14ac:dyDescent="0.25">
      <c r="B53" s="23" t="s">
        <v>80</v>
      </c>
      <c r="C53" s="49">
        <f>'Avg Week Kitemu-Buddo'!C53+'Avg Week Buddo-Kitemu'!C53</f>
        <v>10.142857142857142</v>
      </c>
      <c r="D53" s="49">
        <f>'Avg Week Kitemu-Buddo'!D53+'Avg Week Buddo-Kitemu'!D53</f>
        <v>1.4285714285714286</v>
      </c>
      <c r="E53" s="49">
        <f>'Avg Week Kitemu-Buddo'!E53+'Avg Week Buddo-Kitemu'!E53</f>
        <v>0.42857142857142855</v>
      </c>
      <c r="F53" s="49">
        <f>'Avg Week Kitemu-Buddo'!F53+'Avg Week Buddo-Kitemu'!F53</f>
        <v>4</v>
      </c>
      <c r="G53" s="49">
        <f>'Avg Week Kitemu-Buddo'!G53+'Avg Week Buddo-Kitemu'!G53</f>
        <v>0</v>
      </c>
      <c r="H53" s="49">
        <f>'Avg Week Kitemu-Buddo'!H53+'Avg Week Buddo-Kitemu'!H53</f>
        <v>0</v>
      </c>
      <c r="I53" s="49">
        <f>'Avg Week Kitemu-Buddo'!I53+'Avg Week Buddo-Kitemu'!I53</f>
        <v>3.1428571428571428</v>
      </c>
      <c r="J53" s="49">
        <f>'Avg Week Kitemu-Buddo'!J53+'Avg Week Buddo-Kitemu'!J53</f>
        <v>0.71428571428571419</v>
      </c>
      <c r="K53" s="49">
        <f>'Avg Week Kitemu-Buddo'!K53+'Avg Week Buddo-Kitemu'!K53</f>
        <v>0.14285714285714285</v>
      </c>
      <c r="L53" s="49">
        <f>'Avg Week Kitemu-Buddo'!L53+'Avg Week Buddo-Kitemu'!L53</f>
        <v>0</v>
      </c>
      <c r="M53" s="49">
        <f>'Avg Week Kitemu-Buddo'!M53+'Avg Week Buddo-Kitemu'!M53</f>
        <v>79.285714285714278</v>
      </c>
      <c r="N53" s="49">
        <f>'Avg Week Kitemu-Buddo'!N53+'Avg Week Buddo-Kitemu'!N53</f>
        <v>0</v>
      </c>
      <c r="O53" s="15">
        <f t="shared" si="0"/>
        <v>20</v>
      </c>
      <c r="P53" s="15">
        <f t="shared" si="1"/>
        <v>99.285714285714278</v>
      </c>
      <c r="R53" s="8"/>
      <c r="T53"/>
    </row>
    <row r="54" spans="2:20" ht="23.1" customHeight="1" x14ac:dyDescent="0.25">
      <c r="B54" s="23" t="s">
        <v>81</v>
      </c>
      <c r="C54" s="49">
        <f>'Avg Week Kitemu-Buddo'!C54+'Avg Week Buddo-Kitemu'!C54</f>
        <v>4.8571428571428577</v>
      </c>
      <c r="D54" s="49">
        <f>'Avg Week Kitemu-Buddo'!D54+'Avg Week Buddo-Kitemu'!D54</f>
        <v>1.1428571428571428</v>
      </c>
      <c r="E54" s="49">
        <f>'Avg Week Kitemu-Buddo'!E54+'Avg Week Buddo-Kitemu'!E54</f>
        <v>0.7142857142857143</v>
      </c>
      <c r="F54" s="49">
        <f>'Avg Week Kitemu-Buddo'!F54+'Avg Week Buddo-Kitemu'!F54</f>
        <v>3.5714285714285712</v>
      </c>
      <c r="G54" s="49">
        <f>'Avg Week Kitemu-Buddo'!G54+'Avg Week Buddo-Kitemu'!G54</f>
        <v>0.8571428571428571</v>
      </c>
      <c r="H54" s="49">
        <f>'Avg Week Kitemu-Buddo'!H54+'Avg Week Buddo-Kitemu'!H54</f>
        <v>0</v>
      </c>
      <c r="I54" s="49">
        <f>'Avg Week Kitemu-Buddo'!I54+'Avg Week Buddo-Kitemu'!I54</f>
        <v>3.2857142857142856</v>
      </c>
      <c r="J54" s="49">
        <f>'Avg Week Kitemu-Buddo'!J54+'Avg Week Buddo-Kitemu'!J54</f>
        <v>1.1428571428571428</v>
      </c>
      <c r="K54" s="49">
        <f>'Avg Week Kitemu-Buddo'!K54+'Avg Week Buddo-Kitemu'!K54</f>
        <v>0.2857142857142857</v>
      </c>
      <c r="L54" s="49">
        <f>'Avg Week Kitemu-Buddo'!L54+'Avg Week Buddo-Kitemu'!L54</f>
        <v>0</v>
      </c>
      <c r="M54" s="49">
        <f>'Avg Week Kitemu-Buddo'!M54+'Avg Week Buddo-Kitemu'!M54</f>
        <v>76</v>
      </c>
      <c r="N54" s="49">
        <f>'Avg Week Kitemu-Buddo'!N54+'Avg Week Buddo-Kitemu'!N54</f>
        <v>0</v>
      </c>
      <c r="O54" s="15">
        <f t="shared" si="0"/>
        <v>15.857142857142856</v>
      </c>
      <c r="P54" s="15">
        <f t="shared" si="1"/>
        <v>91.857142857142861</v>
      </c>
      <c r="R54" s="8"/>
      <c r="T54"/>
    </row>
    <row r="55" spans="2:20" ht="23.1" customHeight="1" x14ac:dyDescent="0.25">
      <c r="B55" s="23" t="s">
        <v>82</v>
      </c>
      <c r="C55" s="49">
        <f>'Avg Week Kitemu-Buddo'!C55+'Avg Week Buddo-Kitemu'!C55</f>
        <v>7.4285714285714288</v>
      </c>
      <c r="D55" s="49">
        <f>'Avg Week Kitemu-Buddo'!D55+'Avg Week Buddo-Kitemu'!D55</f>
        <v>1</v>
      </c>
      <c r="E55" s="49">
        <f>'Avg Week Kitemu-Buddo'!E55+'Avg Week Buddo-Kitemu'!E55</f>
        <v>1</v>
      </c>
      <c r="F55" s="49">
        <f>'Avg Week Kitemu-Buddo'!F55+'Avg Week Buddo-Kitemu'!F55</f>
        <v>4.4285714285714288</v>
      </c>
      <c r="G55" s="49">
        <f>'Avg Week Kitemu-Buddo'!G55+'Avg Week Buddo-Kitemu'!G55</f>
        <v>0.8571428571428571</v>
      </c>
      <c r="H55" s="49">
        <f>'Avg Week Kitemu-Buddo'!H55+'Avg Week Buddo-Kitemu'!H55</f>
        <v>0.14285714285714285</v>
      </c>
      <c r="I55" s="49">
        <f>'Avg Week Kitemu-Buddo'!I55+'Avg Week Buddo-Kitemu'!I55</f>
        <v>2.5714285714285712</v>
      </c>
      <c r="J55" s="49">
        <f>'Avg Week Kitemu-Buddo'!J55+'Avg Week Buddo-Kitemu'!J55</f>
        <v>1</v>
      </c>
      <c r="K55" s="49">
        <f>'Avg Week Kitemu-Buddo'!K55+'Avg Week Buddo-Kitemu'!K55</f>
        <v>0.42857142857142855</v>
      </c>
      <c r="L55" s="49">
        <f>'Avg Week Kitemu-Buddo'!L55+'Avg Week Buddo-Kitemu'!L55</f>
        <v>0</v>
      </c>
      <c r="M55" s="49">
        <f>'Avg Week Kitemu-Buddo'!M55+'Avg Week Buddo-Kitemu'!M55</f>
        <v>78</v>
      </c>
      <c r="N55" s="49">
        <f>'Avg Week Kitemu-Buddo'!N55+'Avg Week Buddo-Kitemu'!N55</f>
        <v>0</v>
      </c>
      <c r="O55" s="15">
        <f t="shared" si="0"/>
        <v>18.857142857142858</v>
      </c>
      <c r="P55" s="15">
        <f t="shared" si="1"/>
        <v>96.857142857142861</v>
      </c>
      <c r="R55" s="8"/>
      <c r="T55"/>
    </row>
    <row r="56" spans="2:20" ht="23.1" customHeight="1" x14ac:dyDescent="0.25">
      <c r="B56" s="23" t="s">
        <v>83</v>
      </c>
      <c r="C56" s="49">
        <f>'Avg Week Kitemu-Buddo'!C56+'Avg Week Buddo-Kitemu'!C56</f>
        <v>9.1428571428571423</v>
      </c>
      <c r="D56" s="49">
        <f>'Avg Week Kitemu-Buddo'!D56+'Avg Week Buddo-Kitemu'!D56</f>
        <v>1.2857142857142856</v>
      </c>
      <c r="E56" s="49">
        <f>'Avg Week Kitemu-Buddo'!E56+'Avg Week Buddo-Kitemu'!E56</f>
        <v>0.5714285714285714</v>
      </c>
      <c r="F56" s="49">
        <f>'Avg Week Kitemu-Buddo'!F56+'Avg Week Buddo-Kitemu'!F56</f>
        <v>3.5714285714285712</v>
      </c>
      <c r="G56" s="49">
        <f>'Avg Week Kitemu-Buddo'!G56+'Avg Week Buddo-Kitemu'!G56</f>
        <v>0.8571428571428571</v>
      </c>
      <c r="H56" s="49">
        <f>'Avg Week Kitemu-Buddo'!H56+'Avg Week Buddo-Kitemu'!H56</f>
        <v>0</v>
      </c>
      <c r="I56" s="49">
        <f>'Avg Week Kitemu-Buddo'!I56+'Avg Week Buddo-Kitemu'!I56</f>
        <v>3.1428571428571428</v>
      </c>
      <c r="J56" s="49">
        <f>'Avg Week Kitemu-Buddo'!J56+'Avg Week Buddo-Kitemu'!J56</f>
        <v>1.1428571428571428</v>
      </c>
      <c r="K56" s="49">
        <f>'Avg Week Kitemu-Buddo'!K56+'Avg Week Buddo-Kitemu'!K56</f>
        <v>0.2857142857142857</v>
      </c>
      <c r="L56" s="49">
        <f>'Avg Week Kitemu-Buddo'!L56+'Avg Week Buddo-Kitemu'!L56</f>
        <v>0</v>
      </c>
      <c r="M56" s="49">
        <f>'Avg Week Kitemu-Buddo'!M56+'Avg Week Buddo-Kitemu'!M56</f>
        <v>79.428571428571431</v>
      </c>
      <c r="N56" s="49">
        <f>'Avg Week Kitemu-Buddo'!N56+'Avg Week Buddo-Kitemu'!N56</f>
        <v>0</v>
      </c>
      <c r="O56" s="15">
        <f t="shared" si="0"/>
        <v>19.999999999999996</v>
      </c>
      <c r="P56" s="15">
        <f t="shared" si="1"/>
        <v>99.428571428571431</v>
      </c>
      <c r="R56" s="8"/>
      <c r="T56"/>
    </row>
    <row r="57" spans="2:20" ht="23.1" customHeight="1" x14ac:dyDescent="0.25">
      <c r="B57" s="23" t="s">
        <v>84</v>
      </c>
      <c r="C57" s="49">
        <f>'Avg Week Kitemu-Buddo'!C57+'Avg Week Buddo-Kitemu'!C57</f>
        <v>9.2857142857142865</v>
      </c>
      <c r="D57" s="49">
        <f>'Avg Week Kitemu-Buddo'!D57+'Avg Week Buddo-Kitemu'!D57</f>
        <v>1.4285714285714286</v>
      </c>
      <c r="E57" s="49">
        <f>'Avg Week Kitemu-Buddo'!E57+'Avg Week Buddo-Kitemu'!E57</f>
        <v>1</v>
      </c>
      <c r="F57" s="49">
        <f>'Avg Week Kitemu-Buddo'!F57+'Avg Week Buddo-Kitemu'!F57</f>
        <v>4</v>
      </c>
      <c r="G57" s="49">
        <f>'Avg Week Kitemu-Buddo'!G57+'Avg Week Buddo-Kitemu'!G57</f>
        <v>0.8571428571428571</v>
      </c>
      <c r="H57" s="49">
        <f>'Avg Week Kitemu-Buddo'!H57+'Avg Week Buddo-Kitemu'!H57</f>
        <v>0</v>
      </c>
      <c r="I57" s="49">
        <f>'Avg Week Kitemu-Buddo'!I57+'Avg Week Buddo-Kitemu'!I57</f>
        <v>3.1428571428571428</v>
      </c>
      <c r="J57" s="49">
        <f>'Avg Week Kitemu-Buddo'!J57+'Avg Week Buddo-Kitemu'!J57</f>
        <v>1.1428571428571428</v>
      </c>
      <c r="K57" s="49">
        <f>'Avg Week Kitemu-Buddo'!K57+'Avg Week Buddo-Kitemu'!K57</f>
        <v>0.2857142857142857</v>
      </c>
      <c r="L57" s="49">
        <f>'Avg Week Kitemu-Buddo'!L57+'Avg Week Buddo-Kitemu'!L57</f>
        <v>0</v>
      </c>
      <c r="M57" s="49">
        <f>'Avg Week Kitemu-Buddo'!M57+'Avg Week Buddo-Kitemu'!M57</f>
        <v>83.428571428571431</v>
      </c>
      <c r="N57" s="49">
        <f>'Avg Week Kitemu-Buddo'!N57+'Avg Week Buddo-Kitemu'!N57</f>
        <v>0</v>
      </c>
      <c r="O57" s="15">
        <f t="shared" si="0"/>
        <v>21.142857142857142</v>
      </c>
      <c r="P57" s="15">
        <f t="shared" si="1"/>
        <v>104.57142857142857</v>
      </c>
      <c r="R57" s="8"/>
      <c r="T57"/>
    </row>
    <row r="58" spans="2:20" ht="23.1" customHeight="1" x14ac:dyDescent="0.25">
      <c r="B58" s="23" t="s">
        <v>99</v>
      </c>
      <c r="C58" s="49">
        <f>'Avg Week Kitemu-Buddo'!C58+'Avg Week Buddo-Kitemu'!C58</f>
        <v>10</v>
      </c>
      <c r="D58" s="49">
        <f>'Avg Week Kitemu-Buddo'!D58+'Avg Week Buddo-Kitemu'!D58</f>
        <v>0.5</v>
      </c>
      <c r="E58" s="49">
        <f>'Avg Week Kitemu-Buddo'!E58+'Avg Week Buddo-Kitemu'!E58</f>
        <v>1</v>
      </c>
      <c r="F58" s="49">
        <f>'Avg Week Kitemu-Buddo'!F58+'Avg Week Buddo-Kitemu'!F58</f>
        <v>3.5</v>
      </c>
      <c r="G58" s="49">
        <f>'Avg Week Kitemu-Buddo'!G58+'Avg Week Buddo-Kitemu'!G58</f>
        <v>0.5</v>
      </c>
      <c r="H58" s="49">
        <f>'Avg Week Kitemu-Buddo'!H58+'Avg Week Buddo-Kitemu'!H58</f>
        <v>0</v>
      </c>
      <c r="I58" s="49">
        <f>'Avg Week Kitemu-Buddo'!I58+'Avg Week Buddo-Kitemu'!I58</f>
        <v>3.5</v>
      </c>
      <c r="J58" s="49">
        <f>'Avg Week Kitemu-Buddo'!J58+'Avg Week Buddo-Kitemu'!J58</f>
        <v>0.5</v>
      </c>
      <c r="K58" s="49">
        <f>'Avg Week Kitemu-Buddo'!K58+'Avg Week Buddo-Kitemu'!K58</f>
        <v>0.5</v>
      </c>
      <c r="L58" s="49">
        <f>'Avg Week Kitemu-Buddo'!L58+'Avg Week Buddo-Kitemu'!L58</f>
        <v>0</v>
      </c>
      <c r="M58" s="49">
        <f>'Avg Week Kitemu-Buddo'!M58+'Avg Week Buddo-Kitemu'!M58</f>
        <v>70.5</v>
      </c>
      <c r="N58" s="49">
        <f>'Avg Week Kitemu-Buddo'!N58+'Avg Week Buddo-Kitemu'!N58</f>
        <v>0</v>
      </c>
      <c r="O58" s="15">
        <f t="shared" si="0"/>
        <v>20</v>
      </c>
      <c r="P58" s="15">
        <f t="shared" si="1"/>
        <v>90.5</v>
      </c>
      <c r="R58" s="8"/>
      <c r="T58"/>
    </row>
    <row r="59" spans="2:20" ht="23.1" customHeight="1" x14ac:dyDescent="0.25">
      <c r="B59" s="23" t="s">
        <v>100</v>
      </c>
      <c r="C59" s="49">
        <f>'Avg Week Kitemu-Buddo'!C59+'Avg Week Buddo-Kitemu'!C59</f>
        <v>8.5</v>
      </c>
      <c r="D59" s="49">
        <f>'Avg Week Kitemu-Buddo'!D59+'Avg Week Buddo-Kitemu'!D59</f>
        <v>1</v>
      </c>
      <c r="E59" s="49">
        <f>'Avg Week Kitemu-Buddo'!E59+'Avg Week Buddo-Kitemu'!E59</f>
        <v>3</v>
      </c>
      <c r="F59" s="49">
        <f>'Avg Week Kitemu-Buddo'!F59+'Avg Week Buddo-Kitemu'!F59</f>
        <v>4.5</v>
      </c>
      <c r="G59" s="49">
        <f>'Avg Week Kitemu-Buddo'!G59+'Avg Week Buddo-Kitemu'!G59</f>
        <v>0.5</v>
      </c>
      <c r="H59" s="49">
        <f>'Avg Week Kitemu-Buddo'!H59+'Avg Week Buddo-Kitemu'!H59</f>
        <v>0</v>
      </c>
      <c r="I59" s="49">
        <f>'Avg Week Kitemu-Buddo'!I59+'Avg Week Buddo-Kitemu'!I59</f>
        <v>3</v>
      </c>
      <c r="J59" s="49">
        <f>'Avg Week Kitemu-Buddo'!J59+'Avg Week Buddo-Kitemu'!J59</f>
        <v>1.5</v>
      </c>
      <c r="K59" s="49">
        <f>'Avg Week Kitemu-Buddo'!K59+'Avg Week Buddo-Kitemu'!K59</f>
        <v>0</v>
      </c>
      <c r="L59" s="49">
        <f>'Avg Week Kitemu-Buddo'!L59+'Avg Week Buddo-Kitemu'!L59</f>
        <v>0</v>
      </c>
      <c r="M59" s="49">
        <f>'Avg Week Kitemu-Buddo'!M59+'Avg Week Buddo-Kitemu'!M59</f>
        <v>89.5</v>
      </c>
      <c r="N59" s="49">
        <f>'Avg Week Kitemu-Buddo'!N59+'Avg Week Buddo-Kitemu'!N59</f>
        <v>0</v>
      </c>
      <c r="O59" s="15">
        <f t="shared" si="0"/>
        <v>22</v>
      </c>
      <c r="P59" s="15">
        <f t="shared" si="1"/>
        <v>111.5</v>
      </c>
      <c r="R59" s="8"/>
      <c r="T59"/>
    </row>
    <row r="60" spans="2:20" ht="23.1" customHeight="1" x14ac:dyDescent="0.25">
      <c r="B60" s="23" t="s">
        <v>101</v>
      </c>
      <c r="C60" s="49">
        <f>'Avg Week Kitemu-Buddo'!C60+'Avg Week Buddo-Kitemu'!C60</f>
        <v>7.5</v>
      </c>
      <c r="D60" s="49">
        <f>'Avg Week Kitemu-Buddo'!D60+'Avg Week Buddo-Kitemu'!D60</f>
        <v>3.5</v>
      </c>
      <c r="E60" s="49">
        <f>'Avg Week Kitemu-Buddo'!E60+'Avg Week Buddo-Kitemu'!E60</f>
        <v>1</v>
      </c>
      <c r="F60" s="49">
        <f>'Avg Week Kitemu-Buddo'!F60+'Avg Week Buddo-Kitemu'!F60</f>
        <v>4.5</v>
      </c>
      <c r="G60" s="49">
        <f>'Avg Week Kitemu-Buddo'!G60+'Avg Week Buddo-Kitemu'!G60</f>
        <v>0</v>
      </c>
      <c r="H60" s="49">
        <f>'Avg Week Kitemu-Buddo'!H60+'Avg Week Buddo-Kitemu'!H60</f>
        <v>0</v>
      </c>
      <c r="I60" s="49">
        <f>'Avg Week Kitemu-Buddo'!I60+'Avg Week Buddo-Kitemu'!I60</f>
        <v>2</v>
      </c>
      <c r="J60" s="49">
        <f>'Avg Week Kitemu-Buddo'!J60+'Avg Week Buddo-Kitemu'!J60</f>
        <v>0</v>
      </c>
      <c r="K60" s="49">
        <f>'Avg Week Kitemu-Buddo'!K60+'Avg Week Buddo-Kitemu'!K60</f>
        <v>0.5</v>
      </c>
      <c r="L60" s="49">
        <f>'Avg Week Kitemu-Buddo'!L60+'Avg Week Buddo-Kitemu'!L60</f>
        <v>0</v>
      </c>
      <c r="M60" s="49">
        <f>'Avg Week Kitemu-Buddo'!M60+'Avg Week Buddo-Kitemu'!M60</f>
        <v>91</v>
      </c>
      <c r="N60" s="49">
        <f>'Avg Week Kitemu-Buddo'!N60+'Avg Week Buddo-Kitemu'!N60</f>
        <v>0</v>
      </c>
      <c r="O60" s="15">
        <f t="shared" si="0"/>
        <v>19</v>
      </c>
      <c r="P60" s="15">
        <f t="shared" si="1"/>
        <v>110</v>
      </c>
      <c r="R60" s="8"/>
      <c r="T60"/>
    </row>
    <row r="61" spans="2:20" ht="23.1" customHeight="1" x14ac:dyDescent="0.25">
      <c r="B61" s="23" t="s">
        <v>102</v>
      </c>
      <c r="C61" s="49">
        <f>'Avg Week Kitemu-Buddo'!C61+'Avg Week Buddo-Kitemu'!C61</f>
        <v>7</v>
      </c>
      <c r="D61" s="49">
        <f>'Avg Week Kitemu-Buddo'!D61+'Avg Week Buddo-Kitemu'!D61</f>
        <v>1</v>
      </c>
      <c r="E61" s="49">
        <f>'Avg Week Kitemu-Buddo'!E61+'Avg Week Buddo-Kitemu'!E61</f>
        <v>2.5</v>
      </c>
      <c r="F61" s="49">
        <f>'Avg Week Kitemu-Buddo'!F61+'Avg Week Buddo-Kitemu'!F61</f>
        <v>3</v>
      </c>
      <c r="G61" s="49">
        <f>'Avg Week Kitemu-Buddo'!G61+'Avg Week Buddo-Kitemu'!G61</f>
        <v>0.5</v>
      </c>
      <c r="H61" s="49">
        <f>'Avg Week Kitemu-Buddo'!H61+'Avg Week Buddo-Kitemu'!H61</f>
        <v>0</v>
      </c>
      <c r="I61" s="49">
        <f>'Avg Week Kitemu-Buddo'!I61+'Avg Week Buddo-Kitemu'!I61</f>
        <v>1</v>
      </c>
      <c r="J61" s="49">
        <f>'Avg Week Kitemu-Buddo'!J61+'Avg Week Buddo-Kitemu'!J61</f>
        <v>1.5</v>
      </c>
      <c r="K61" s="49">
        <f>'Avg Week Kitemu-Buddo'!K61+'Avg Week Buddo-Kitemu'!K61</f>
        <v>0</v>
      </c>
      <c r="L61" s="49">
        <f>'Avg Week Kitemu-Buddo'!L61+'Avg Week Buddo-Kitemu'!L61</f>
        <v>0</v>
      </c>
      <c r="M61" s="49">
        <f>'Avg Week Kitemu-Buddo'!M61+'Avg Week Buddo-Kitemu'!M61</f>
        <v>96</v>
      </c>
      <c r="N61" s="49">
        <f>'Avg Week Kitemu-Buddo'!N61+'Avg Week Buddo-Kitemu'!N61</f>
        <v>0</v>
      </c>
      <c r="O61" s="15">
        <f t="shared" si="0"/>
        <v>16.5</v>
      </c>
      <c r="P61" s="15">
        <f t="shared" si="1"/>
        <v>112.5</v>
      </c>
      <c r="R61" s="8"/>
      <c r="T61"/>
    </row>
    <row r="62" spans="2:20" ht="23.1" customHeight="1" x14ac:dyDescent="0.25">
      <c r="B62" s="23" t="s">
        <v>107</v>
      </c>
      <c r="C62" s="49">
        <f>'Avg Week Kitemu-Buddo'!C62+'Avg Week Buddo-Kitemu'!C62</f>
        <v>7.5</v>
      </c>
      <c r="D62" s="49">
        <f>'Avg Week Kitemu-Buddo'!D62+'Avg Week Buddo-Kitemu'!D62</f>
        <v>0</v>
      </c>
      <c r="E62" s="49">
        <f>'Avg Week Kitemu-Buddo'!E62+'Avg Week Buddo-Kitemu'!E62</f>
        <v>1.5</v>
      </c>
      <c r="F62" s="49">
        <f>'Avg Week Kitemu-Buddo'!F62+'Avg Week Buddo-Kitemu'!F62</f>
        <v>3</v>
      </c>
      <c r="G62" s="49">
        <f>'Avg Week Kitemu-Buddo'!G62+'Avg Week Buddo-Kitemu'!G62</f>
        <v>0</v>
      </c>
      <c r="H62" s="49">
        <f>'Avg Week Kitemu-Buddo'!H62+'Avg Week Buddo-Kitemu'!H62</f>
        <v>0</v>
      </c>
      <c r="I62" s="49">
        <f>'Avg Week Kitemu-Buddo'!I62+'Avg Week Buddo-Kitemu'!I62</f>
        <v>3</v>
      </c>
      <c r="J62" s="49">
        <f>'Avg Week Kitemu-Buddo'!J62+'Avg Week Buddo-Kitemu'!J62</f>
        <v>1</v>
      </c>
      <c r="K62" s="49">
        <f>'Avg Week Kitemu-Buddo'!K62+'Avg Week Buddo-Kitemu'!K62</f>
        <v>0</v>
      </c>
      <c r="L62" s="49">
        <f>'Avg Week Kitemu-Buddo'!L62+'Avg Week Buddo-Kitemu'!L62</f>
        <v>0</v>
      </c>
      <c r="M62" s="49">
        <f>'Avg Week Kitemu-Buddo'!M62+'Avg Week Buddo-Kitemu'!M62</f>
        <v>94</v>
      </c>
      <c r="N62" s="49">
        <f>'Avg Week Kitemu-Buddo'!N62+'Avg Week Buddo-Kitemu'!N62</f>
        <v>0</v>
      </c>
      <c r="O62" s="15">
        <f t="shared" si="0"/>
        <v>16</v>
      </c>
      <c r="P62" s="15">
        <f t="shared" si="1"/>
        <v>110</v>
      </c>
      <c r="R62" s="8"/>
      <c r="T62"/>
    </row>
    <row r="63" spans="2:20" ht="23.1" customHeight="1" x14ac:dyDescent="0.25">
      <c r="B63" s="23" t="s">
        <v>108</v>
      </c>
      <c r="C63" s="49">
        <f>'Avg Week Kitemu-Buddo'!C63+'Avg Week Buddo-Kitemu'!C63</f>
        <v>7</v>
      </c>
      <c r="D63" s="49">
        <f>'Avg Week Kitemu-Buddo'!D63+'Avg Week Buddo-Kitemu'!D63</f>
        <v>2</v>
      </c>
      <c r="E63" s="49">
        <f>'Avg Week Kitemu-Buddo'!E63+'Avg Week Buddo-Kitemu'!E63</f>
        <v>0.5</v>
      </c>
      <c r="F63" s="49">
        <f>'Avg Week Kitemu-Buddo'!F63+'Avg Week Buddo-Kitemu'!F63</f>
        <v>4.5</v>
      </c>
      <c r="G63" s="49">
        <f>'Avg Week Kitemu-Buddo'!G63+'Avg Week Buddo-Kitemu'!G63</f>
        <v>0</v>
      </c>
      <c r="H63" s="49">
        <f>'Avg Week Kitemu-Buddo'!H63+'Avg Week Buddo-Kitemu'!H63</f>
        <v>0</v>
      </c>
      <c r="I63" s="49">
        <f>'Avg Week Kitemu-Buddo'!I63+'Avg Week Buddo-Kitemu'!I63</f>
        <v>1</v>
      </c>
      <c r="J63" s="49">
        <f>'Avg Week Kitemu-Buddo'!J63+'Avg Week Buddo-Kitemu'!J63</f>
        <v>3</v>
      </c>
      <c r="K63" s="49">
        <f>'Avg Week Kitemu-Buddo'!K63+'Avg Week Buddo-Kitemu'!K63</f>
        <v>0.5</v>
      </c>
      <c r="L63" s="49">
        <f>'Avg Week Kitemu-Buddo'!L63+'Avg Week Buddo-Kitemu'!L63</f>
        <v>0</v>
      </c>
      <c r="M63" s="49">
        <f>'Avg Week Kitemu-Buddo'!M63+'Avg Week Buddo-Kitemu'!M63</f>
        <v>87</v>
      </c>
      <c r="N63" s="49">
        <f>'Avg Week Kitemu-Buddo'!N63+'Avg Week Buddo-Kitemu'!N63</f>
        <v>0</v>
      </c>
      <c r="O63" s="15">
        <f t="shared" si="0"/>
        <v>18.5</v>
      </c>
      <c r="P63" s="15">
        <f t="shared" si="1"/>
        <v>105.5</v>
      </c>
      <c r="R63" s="8"/>
      <c r="T63"/>
    </row>
    <row r="64" spans="2:20" ht="23.1" customHeight="1" x14ac:dyDescent="0.25">
      <c r="B64" s="23" t="s">
        <v>109</v>
      </c>
      <c r="C64" s="49">
        <f>'Avg Week Kitemu-Buddo'!C64+'Avg Week Buddo-Kitemu'!C64</f>
        <v>5.5</v>
      </c>
      <c r="D64" s="49">
        <f>'Avg Week Kitemu-Buddo'!D64+'Avg Week Buddo-Kitemu'!D64</f>
        <v>2</v>
      </c>
      <c r="E64" s="49">
        <f>'Avg Week Kitemu-Buddo'!E64+'Avg Week Buddo-Kitemu'!E64</f>
        <v>1.5</v>
      </c>
      <c r="F64" s="49">
        <f>'Avg Week Kitemu-Buddo'!F64+'Avg Week Buddo-Kitemu'!F64</f>
        <v>4.5</v>
      </c>
      <c r="G64" s="49">
        <f>'Avg Week Kitemu-Buddo'!G64+'Avg Week Buddo-Kitemu'!G64</f>
        <v>0</v>
      </c>
      <c r="H64" s="49">
        <f>'Avg Week Kitemu-Buddo'!H64+'Avg Week Buddo-Kitemu'!H64</f>
        <v>0</v>
      </c>
      <c r="I64" s="49">
        <f>'Avg Week Kitemu-Buddo'!I64+'Avg Week Buddo-Kitemu'!I64</f>
        <v>1.5</v>
      </c>
      <c r="J64" s="49">
        <f>'Avg Week Kitemu-Buddo'!J64+'Avg Week Buddo-Kitemu'!J64</f>
        <v>2.5</v>
      </c>
      <c r="K64" s="49">
        <f>'Avg Week Kitemu-Buddo'!K64+'Avg Week Buddo-Kitemu'!K64</f>
        <v>1.5</v>
      </c>
      <c r="L64" s="49">
        <f>'Avg Week Kitemu-Buddo'!L64+'Avg Week Buddo-Kitemu'!L64</f>
        <v>0</v>
      </c>
      <c r="M64" s="49">
        <f>'Avg Week Kitemu-Buddo'!M64+'Avg Week Buddo-Kitemu'!M64</f>
        <v>87</v>
      </c>
      <c r="N64" s="49">
        <f>'Avg Week Kitemu-Buddo'!N64+'Avg Week Buddo-Kitemu'!N64</f>
        <v>0</v>
      </c>
      <c r="O64" s="15">
        <f t="shared" si="0"/>
        <v>19</v>
      </c>
      <c r="P64" s="15">
        <f t="shared" si="1"/>
        <v>106</v>
      </c>
      <c r="R64" s="8"/>
      <c r="T64"/>
    </row>
    <row r="65" spans="2:20" ht="23.1" customHeight="1" x14ac:dyDescent="0.25">
      <c r="B65" s="23" t="s">
        <v>158</v>
      </c>
      <c r="C65" s="49">
        <f>'Avg Week Kitemu-Buddo'!C65+'Avg Week Buddo-Kitemu'!C65</f>
        <v>6</v>
      </c>
      <c r="D65" s="49">
        <f>'Avg Week Kitemu-Buddo'!D65+'Avg Week Buddo-Kitemu'!D65</f>
        <v>0.5</v>
      </c>
      <c r="E65" s="49">
        <f>'Avg Week Kitemu-Buddo'!E65+'Avg Week Buddo-Kitemu'!E65</f>
        <v>2</v>
      </c>
      <c r="F65" s="49">
        <f>'Avg Week Kitemu-Buddo'!F65+'Avg Week Buddo-Kitemu'!F65</f>
        <v>3.5</v>
      </c>
      <c r="G65" s="49">
        <f>'Avg Week Kitemu-Buddo'!G65+'Avg Week Buddo-Kitemu'!G65</f>
        <v>0.5</v>
      </c>
      <c r="H65" s="49">
        <f>'Avg Week Kitemu-Buddo'!H65+'Avg Week Buddo-Kitemu'!H65</f>
        <v>0</v>
      </c>
      <c r="I65" s="49">
        <f>'Avg Week Kitemu-Buddo'!I65+'Avg Week Buddo-Kitemu'!I65</f>
        <v>2</v>
      </c>
      <c r="J65" s="49">
        <f>'Avg Week Kitemu-Buddo'!J65+'Avg Week Buddo-Kitemu'!J65</f>
        <v>0.5</v>
      </c>
      <c r="K65" s="49">
        <f>'Avg Week Kitemu-Buddo'!K65+'Avg Week Buddo-Kitemu'!K65</f>
        <v>0</v>
      </c>
      <c r="L65" s="49">
        <f>'Avg Week Kitemu-Buddo'!L65+'Avg Week Buddo-Kitemu'!L65</f>
        <v>0</v>
      </c>
      <c r="M65" s="49">
        <f>'Avg Week Kitemu-Buddo'!M65+'Avg Week Buddo-Kitemu'!M65</f>
        <v>80</v>
      </c>
      <c r="N65" s="49">
        <f>'Avg Week Kitemu-Buddo'!N65+'Avg Week Buddo-Kitemu'!N65</f>
        <v>0</v>
      </c>
      <c r="O65" s="15">
        <f t="shared" si="0"/>
        <v>15</v>
      </c>
      <c r="P65" s="15">
        <f t="shared" si="1"/>
        <v>95</v>
      </c>
      <c r="R65" s="8"/>
      <c r="T65"/>
    </row>
    <row r="66" spans="2:20" ht="23.1" customHeight="1" x14ac:dyDescent="0.25">
      <c r="B66" s="23" t="s">
        <v>103</v>
      </c>
      <c r="C66" s="49">
        <f>'Avg Week Kitemu-Buddo'!C66+'Avg Week Buddo-Kitemu'!C66</f>
        <v>7</v>
      </c>
      <c r="D66" s="49">
        <f>'Avg Week Kitemu-Buddo'!D66+'Avg Week Buddo-Kitemu'!D66</f>
        <v>0.5</v>
      </c>
      <c r="E66" s="49">
        <f>'Avg Week Kitemu-Buddo'!E66+'Avg Week Buddo-Kitemu'!E66</f>
        <v>1.5</v>
      </c>
      <c r="F66" s="49">
        <f>'Avg Week Kitemu-Buddo'!F66+'Avg Week Buddo-Kitemu'!F66</f>
        <v>4</v>
      </c>
      <c r="G66" s="49">
        <f>'Avg Week Kitemu-Buddo'!G66+'Avg Week Buddo-Kitemu'!G66</f>
        <v>0</v>
      </c>
      <c r="H66" s="49">
        <f>'Avg Week Kitemu-Buddo'!H66+'Avg Week Buddo-Kitemu'!H66</f>
        <v>0</v>
      </c>
      <c r="I66" s="49">
        <f>'Avg Week Kitemu-Buddo'!I66+'Avg Week Buddo-Kitemu'!I66</f>
        <v>1</v>
      </c>
      <c r="J66" s="49">
        <f>'Avg Week Kitemu-Buddo'!J66+'Avg Week Buddo-Kitemu'!J66</f>
        <v>1</v>
      </c>
      <c r="K66" s="49">
        <f>'Avg Week Kitemu-Buddo'!K66+'Avg Week Buddo-Kitemu'!K66</f>
        <v>0</v>
      </c>
      <c r="L66" s="49">
        <f>'Avg Week Kitemu-Buddo'!L66+'Avg Week Buddo-Kitemu'!L66</f>
        <v>0</v>
      </c>
      <c r="M66" s="49">
        <f>'Avg Week Kitemu-Buddo'!M66+'Avg Week Buddo-Kitemu'!M66</f>
        <v>104.5</v>
      </c>
      <c r="N66" s="49">
        <f>'Avg Week Kitemu-Buddo'!N66+'Avg Week Buddo-Kitemu'!N66</f>
        <v>0</v>
      </c>
      <c r="O66" s="15">
        <f t="shared" si="0"/>
        <v>15</v>
      </c>
      <c r="P66" s="15">
        <f t="shared" si="1"/>
        <v>119.5</v>
      </c>
      <c r="R66" s="8"/>
      <c r="T66"/>
    </row>
    <row r="67" spans="2:20" ht="23.1" customHeight="1" x14ac:dyDescent="0.25">
      <c r="B67" s="23" t="s">
        <v>104</v>
      </c>
      <c r="C67" s="49">
        <f>'Avg Week Kitemu-Buddo'!C67+'Avg Week Buddo-Kitemu'!C67</f>
        <v>4.5</v>
      </c>
      <c r="D67" s="49">
        <f>'Avg Week Kitemu-Buddo'!D67+'Avg Week Buddo-Kitemu'!D67</f>
        <v>0.5</v>
      </c>
      <c r="E67" s="49">
        <f>'Avg Week Kitemu-Buddo'!E67+'Avg Week Buddo-Kitemu'!E67</f>
        <v>0</v>
      </c>
      <c r="F67" s="49">
        <f>'Avg Week Kitemu-Buddo'!F67+'Avg Week Buddo-Kitemu'!F67</f>
        <v>3</v>
      </c>
      <c r="G67" s="49">
        <f>'Avg Week Kitemu-Buddo'!G67+'Avg Week Buddo-Kitemu'!G67</f>
        <v>0</v>
      </c>
      <c r="H67" s="49">
        <f>'Avg Week Kitemu-Buddo'!H67+'Avg Week Buddo-Kitemu'!H67</f>
        <v>0</v>
      </c>
      <c r="I67" s="49">
        <f>'Avg Week Kitemu-Buddo'!I67+'Avg Week Buddo-Kitemu'!I67</f>
        <v>0</v>
      </c>
      <c r="J67" s="49">
        <f>'Avg Week Kitemu-Buddo'!J67+'Avg Week Buddo-Kitemu'!J67</f>
        <v>1</v>
      </c>
      <c r="K67" s="49">
        <f>'Avg Week Kitemu-Buddo'!K67+'Avg Week Buddo-Kitemu'!K67</f>
        <v>1</v>
      </c>
      <c r="L67" s="49">
        <f>'Avg Week Kitemu-Buddo'!L67+'Avg Week Buddo-Kitemu'!L67</f>
        <v>0</v>
      </c>
      <c r="M67" s="49">
        <f>'Avg Week Kitemu-Buddo'!M67+'Avg Week Buddo-Kitemu'!M67</f>
        <v>91.5</v>
      </c>
      <c r="N67" s="49">
        <f>'Avg Week Kitemu-Buddo'!N67+'Avg Week Buddo-Kitemu'!N67</f>
        <v>0</v>
      </c>
      <c r="O67" s="15">
        <f t="shared" si="0"/>
        <v>10</v>
      </c>
      <c r="P67" s="15">
        <f t="shared" si="1"/>
        <v>101.5</v>
      </c>
      <c r="R67" s="8"/>
      <c r="T67"/>
    </row>
    <row r="68" spans="2:20" ht="23.1" customHeight="1" x14ac:dyDescent="0.25">
      <c r="B68" s="23" t="s">
        <v>105</v>
      </c>
      <c r="C68" s="49">
        <f>'Avg Week Kitemu-Buddo'!C68+'Avg Week Buddo-Kitemu'!C68</f>
        <v>6</v>
      </c>
      <c r="D68" s="49">
        <f>'Avg Week Kitemu-Buddo'!D68+'Avg Week Buddo-Kitemu'!D68</f>
        <v>3</v>
      </c>
      <c r="E68" s="49">
        <f>'Avg Week Kitemu-Buddo'!E68+'Avg Week Buddo-Kitemu'!E68</f>
        <v>0.5</v>
      </c>
      <c r="F68" s="49">
        <f>'Avg Week Kitemu-Buddo'!F68+'Avg Week Buddo-Kitemu'!F68</f>
        <v>4</v>
      </c>
      <c r="G68" s="49">
        <f>'Avg Week Kitemu-Buddo'!G68+'Avg Week Buddo-Kitemu'!G68</f>
        <v>0</v>
      </c>
      <c r="H68" s="49">
        <f>'Avg Week Kitemu-Buddo'!H68+'Avg Week Buddo-Kitemu'!H68</f>
        <v>0</v>
      </c>
      <c r="I68" s="49">
        <f>'Avg Week Kitemu-Buddo'!I68+'Avg Week Buddo-Kitemu'!I68</f>
        <v>1.5</v>
      </c>
      <c r="J68" s="49">
        <f>'Avg Week Kitemu-Buddo'!J68+'Avg Week Buddo-Kitemu'!J68</f>
        <v>0.5</v>
      </c>
      <c r="K68" s="49">
        <f>'Avg Week Kitemu-Buddo'!K68+'Avg Week Buddo-Kitemu'!K68</f>
        <v>0</v>
      </c>
      <c r="L68" s="49">
        <f>'Avg Week Kitemu-Buddo'!L68+'Avg Week Buddo-Kitemu'!L68</f>
        <v>0</v>
      </c>
      <c r="M68" s="49">
        <f>'Avg Week Kitemu-Buddo'!M68+'Avg Week Buddo-Kitemu'!M68</f>
        <v>73.5</v>
      </c>
      <c r="N68" s="49">
        <f>'Avg Week Kitemu-Buddo'!N68+'Avg Week Buddo-Kitemu'!N68</f>
        <v>0</v>
      </c>
      <c r="O68" s="15">
        <f t="shared" si="0"/>
        <v>15.5</v>
      </c>
      <c r="P68" s="15">
        <f t="shared" si="1"/>
        <v>89</v>
      </c>
      <c r="R68" s="8"/>
      <c r="T68"/>
    </row>
    <row r="69" spans="2:20" ht="23.1" customHeight="1" x14ac:dyDescent="0.25">
      <c r="B69" s="23" t="s">
        <v>106</v>
      </c>
      <c r="C69" s="49">
        <f>'Avg Week Kitemu-Buddo'!C69+'Avg Week Buddo-Kitemu'!C69</f>
        <v>5</v>
      </c>
      <c r="D69" s="49">
        <f>'Avg Week Kitemu-Buddo'!D69+'Avg Week Buddo-Kitemu'!D69</f>
        <v>1.5</v>
      </c>
      <c r="E69" s="49">
        <f>'Avg Week Kitemu-Buddo'!E69+'Avg Week Buddo-Kitemu'!E69</f>
        <v>0.5</v>
      </c>
      <c r="F69" s="49">
        <f>'Avg Week Kitemu-Buddo'!F69+'Avg Week Buddo-Kitemu'!F69</f>
        <v>3.5</v>
      </c>
      <c r="G69" s="49">
        <f>'Avg Week Kitemu-Buddo'!G69+'Avg Week Buddo-Kitemu'!G69</f>
        <v>0</v>
      </c>
      <c r="H69" s="49">
        <f>'Avg Week Kitemu-Buddo'!H69+'Avg Week Buddo-Kitemu'!H69</f>
        <v>0</v>
      </c>
      <c r="I69" s="49">
        <f>'Avg Week Kitemu-Buddo'!I69+'Avg Week Buddo-Kitemu'!I69</f>
        <v>0.5</v>
      </c>
      <c r="J69" s="49">
        <f>'Avg Week Kitemu-Buddo'!J69+'Avg Week Buddo-Kitemu'!J69</f>
        <v>0.5</v>
      </c>
      <c r="K69" s="49">
        <f>'Avg Week Kitemu-Buddo'!K69+'Avg Week Buddo-Kitemu'!K69</f>
        <v>0</v>
      </c>
      <c r="L69" s="49">
        <f>'Avg Week Kitemu-Buddo'!L69+'Avg Week Buddo-Kitemu'!L69</f>
        <v>0</v>
      </c>
      <c r="M69" s="49">
        <f>'Avg Week Kitemu-Buddo'!M69+'Avg Week Buddo-Kitemu'!M69</f>
        <v>75</v>
      </c>
      <c r="N69" s="49">
        <f>'Avg Week Kitemu-Buddo'!N69+'Avg Week Buddo-Kitemu'!N69</f>
        <v>0</v>
      </c>
      <c r="O69" s="15">
        <f t="shared" si="0"/>
        <v>11.5</v>
      </c>
      <c r="P69" s="15">
        <f t="shared" si="1"/>
        <v>86.5</v>
      </c>
      <c r="R69" s="8"/>
      <c r="T69"/>
    </row>
    <row r="70" spans="2:20" ht="23.1" customHeight="1" x14ac:dyDescent="0.25">
      <c r="B70" s="23" t="s">
        <v>110</v>
      </c>
      <c r="C70" s="49">
        <f>'Avg Week Kitemu-Buddo'!C70+'Avg Week Buddo-Kitemu'!C70</f>
        <v>5</v>
      </c>
      <c r="D70" s="49">
        <f>'Avg Week Kitemu-Buddo'!D70+'Avg Week Buddo-Kitemu'!D70</f>
        <v>0.5</v>
      </c>
      <c r="E70" s="49">
        <f>'Avg Week Kitemu-Buddo'!E70+'Avg Week Buddo-Kitemu'!E70</f>
        <v>0</v>
      </c>
      <c r="F70" s="49">
        <f>'Avg Week Kitemu-Buddo'!F70+'Avg Week Buddo-Kitemu'!F70</f>
        <v>3</v>
      </c>
      <c r="G70" s="49">
        <f>'Avg Week Kitemu-Buddo'!G70+'Avg Week Buddo-Kitemu'!G70</f>
        <v>0</v>
      </c>
      <c r="H70" s="49">
        <f>'Avg Week Kitemu-Buddo'!H70+'Avg Week Buddo-Kitemu'!H70</f>
        <v>0</v>
      </c>
      <c r="I70" s="49">
        <f>'Avg Week Kitemu-Buddo'!I70+'Avg Week Buddo-Kitemu'!I70</f>
        <v>2</v>
      </c>
      <c r="J70" s="49">
        <f>'Avg Week Kitemu-Buddo'!J70+'Avg Week Buddo-Kitemu'!J70</f>
        <v>0.5</v>
      </c>
      <c r="K70" s="49">
        <f>'Avg Week Kitemu-Buddo'!K70+'Avg Week Buddo-Kitemu'!K70</f>
        <v>0</v>
      </c>
      <c r="L70" s="49">
        <f>'Avg Week Kitemu-Buddo'!L70+'Avg Week Buddo-Kitemu'!L70</f>
        <v>0</v>
      </c>
      <c r="M70" s="49">
        <f>'Avg Week Kitemu-Buddo'!M70+'Avg Week Buddo-Kitemu'!M70</f>
        <v>67</v>
      </c>
      <c r="N70" s="49">
        <f>'Avg Week Kitemu-Buddo'!N70+'Avg Week Buddo-Kitemu'!N70</f>
        <v>0</v>
      </c>
      <c r="O70" s="15">
        <f t="shared" si="0"/>
        <v>11</v>
      </c>
      <c r="P70" s="15">
        <f t="shared" si="1"/>
        <v>78</v>
      </c>
      <c r="R70" s="8"/>
      <c r="T70"/>
    </row>
    <row r="71" spans="2:20" ht="23.1" customHeight="1" x14ac:dyDescent="0.25">
      <c r="B71" s="23" t="s">
        <v>111</v>
      </c>
      <c r="C71" s="49">
        <f>'Avg Week Kitemu-Buddo'!C71+'Avg Week Buddo-Kitemu'!C71</f>
        <v>4</v>
      </c>
      <c r="D71" s="49">
        <f>'Avg Week Kitemu-Buddo'!D71+'Avg Week Buddo-Kitemu'!D71</f>
        <v>0</v>
      </c>
      <c r="E71" s="49">
        <f>'Avg Week Kitemu-Buddo'!E71+'Avg Week Buddo-Kitemu'!E71</f>
        <v>0</v>
      </c>
      <c r="F71" s="49">
        <f>'Avg Week Kitemu-Buddo'!F71+'Avg Week Buddo-Kitemu'!F71</f>
        <v>1.5</v>
      </c>
      <c r="G71" s="49">
        <f>'Avg Week Kitemu-Buddo'!G71+'Avg Week Buddo-Kitemu'!G71</f>
        <v>0</v>
      </c>
      <c r="H71" s="49">
        <f>'Avg Week Kitemu-Buddo'!H71+'Avg Week Buddo-Kitemu'!H71</f>
        <v>0</v>
      </c>
      <c r="I71" s="49">
        <f>'Avg Week Kitemu-Buddo'!I71+'Avg Week Buddo-Kitemu'!I71</f>
        <v>3</v>
      </c>
      <c r="J71" s="49">
        <f>'Avg Week Kitemu-Buddo'!J71+'Avg Week Buddo-Kitemu'!J71</f>
        <v>0.5</v>
      </c>
      <c r="K71" s="49">
        <f>'Avg Week Kitemu-Buddo'!K71+'Avg Week Buddo-Kitemu'!K71</f>
        <v>0.5</v>
      </c>
      <c r="L71" s="49">
        <f>'Avg Week Kitemu-Buddo'!L71+'Avg Week Buddo-Kitemu'!L71</f>
        <v>0</v>
      </c>
      <c r="M71" s="49">
        <f>'Avg Week Kitemu-Buddo'!M71+'Avg Week Buddo-Kitemu'!M71</f>
        <v>61.5</v>
      </c>
      <c r="N71" s="49">
        <f>'Avg Week Kitemu-Buddo'!N71+'Avg Week Buddo-Kitemu'!N71</f>
        <v>0</v>
      </c>
      <c r="O71" s="15">
        <f t="shared" si="0"/>
        <v>9.5</v>
      </c>
      <c r="P71" s="15">
        <f t="shared" si="1"/>
        <v>71</v>
      </c>
      <c r="R71" s="8"/>
      <c r="T71"/>
    </row>
    <row r="72" spans="2:20" ht="23.1" customHeight="1" x14ac:dyDescent="0.25">
      <c r="B72" s="23" t="s">
        <v>112</v>
      </c>
      <c r="C72" s="49">
        <f>'Avg Week Kitemu-Buddo'!C72+'Avg Week Buddo-Kitemu'!C72</f>
        <v>8</v>
      </c>
      <c r="D72" s="49">
        <f>'Avg Week Kitemu-Buddo'!D72+'Avg Week Buddo-Kitemu'!D72</f>
        <v>1</v>
      </c>
      <c r="E72" s="49">
        <f>'Avg Week Kitemu-Buddo'!E72+'Avg Week Buddo-Kitemu'!E72</f>
        <v>0.5</v>
      </c>
      <c r="F72" s="49">
        <f>'Avg Week Kitemu-Buddo'!F72+'Avg Week Buddo-Kitemu'!F72</f>
        <v>2.5</v>
      </c>
      <c r="G72" s="49">
        <f>'Avg Week Kitemu-Buddo'!G72+'Avg Week Buddo-Kitemu'!G72</f>
        <v>0</v>
      </c>
      <c r="H72" s="49">
        <f>'Avg Week Kitemu-Buddo'!H72+'Avg Week Buddo-Kitemu'!H72</f>
        <v>0</v>
      </c>
      <c r="I72" s="49">
        <f>'Avg Week Kitemu-Buddo'!I72+'Avg Week Buddo-Kitemu'!I72</f>
        <v>0</v>
      </c>
      <c r="J72" s="49">
        <f>'Avg Week Kitemu-Buddo'!J72+'Avg Week Buddo-Kitemu'!J72</f>
        <v>0</v>
      </c>
      <c r="K72" s="49">
        <f>'Avg Week Kitemu-Buddo'!K72+'Avg Week Buddo-Kitemu'!K72</f>
        <v>0</v>
      </c>
      <c r="L72" s="49">
        <f>'Avg Week Kitemu-Buddo'!L72+'Avg Week Buddo-Kitemu'!L72</f>
        <v>0</v>
      </c>
      <c r="M72" s="49">
        <f>'Avg Week Kitemu-Buddo'!M72+'Avg Week Buddo-Kitemu'!M72</f>
        <v>69</v>
      </c>
      <c r="N72" s="49">
        <f>'Avg Week Kitemu-Buddo'!N72+'Avg Week Buddo-Kitemu'!N72</f>
        <v>0</v>
      </c>
      <c r="O72" s="15">
        <f t="shared" si="0"/>
        <v>12</v>
      </c>
      <c r="P72" s="15">
        <f t="shared" si="1"/>
        <v>81</v>
      </c>
      <c r="R72" s="8"/>
      <c r="T72"/>
    </row>
    <row r="73" spans="2:20" ht="23.1" customHeight="1" x14ac:dyDescent="0.25">
      <c r="B73" s="23" t="s">
        <v>113</v>
      </c>
      <c r="C73" s="49">
        <f>'Avg Week Kitemu-Buddo'!C73+'Avg Week Buddo-Kitemu'!C73</f>
        <v>8.5</v>
      </c>
      <c r="D73" s="49">
        <f>'Avg Week Kitemu-Buddo'!D73+'Avg Week Buddo-Kitemu'!D73</f>
        <v>1.5</v>
      </c>
      <c r="E73" s="49">
        <f>'Avg Week Kitemu-Buddo'!E73+'Avg Week Buddo-Kitemu'!E73</f>
        <v>1</v>
      </c>
      <c r="F73" s="49">
        <f>'Avg Week Kitemu-Buddo'!F73+'Avg Week Buddo-Kitemu'!F73</f>
        <v>2.5</v>
      </c>
      <c r="G73" s="49">
        <f>'Avg Week Kitemu-Buddo'!G73+'Avg Week Buddo-Kitemu'!G73</f>
        <v>0</v>
      </c>
      <c r="H73" s="49">
        <f>'Avg Week Kitemu-Buddo'!H73+'Avg Week Buddo-Kitemu'!H73</f>
        <v>0</v>
      </c>
      <c r="I73" s="49">
        <f>'Avg Week Kitemu-Buddo'!I73+'Avg Week Buddo-Kitemu'!I73</f>
        <v>2.5</v>
      </c>
      <c r="J73" s="49">
        <f>'Avg Week Kitemu-Buddo'!J73+'Avg Week Buddo-Kitemu'!J73</f>
        <v>0.5</v>
      </c>
      <c r="K73" s="49">
        <f>'Avg Week Kitemu-Buddo'!K73+'Avg Week Buddo-Kitemu'!K73</f>
        <v>0</v>
      </c>
      <c r="L73" s="49">
        <f>'Avg Week Kitemu-Buddo'!L73+'Avg Week Buddo-Kitemu'!L73</f>
        <v>0</v>
      </c>
      <c r="M73" s="49">
        <f>'Avg Week Kitemu-Buddo'!M73+'Avg Week Buddo-Kitemu'!M73</f>
        <v>83.5</v>
      </c>
      <c r="N73" s="49">
        <f>'Avg Week Kitemu-Buddo'!N73+'Avg Week Buddo-Kitemu'!N73</f>
        <v>0</v>
      </c>
      <c r="O73" s="15">
        <f t="shared" si="0"/>
        <v>16.5</v>
      </c>
      <c r="P73" s="15">
        <f t="shared" si="1"/>
        <v>100</v>
      </c>
      <c r="R73" s="8"/>
      <c r="T73"/>
    </row>
    <row r="74" spans="2:20" ht="23.1" customHeight="1" x14ac:dyDescent="0.25">
      <c r="B74" s="23" t="s">
        <v>114</v>
      </c>
      <c r="C74" s="49">
        <f>'Avg Week Kitemu-Buddo'!C74+'Avg Week Buddo-Kitemu'!C74</f>
        <v>5</v>
      </c>
      <c r="D74" s="49">
        <f>'Avg Week Kitemu-Buddo'!D74+'Avg Week Buddo-Kitemu'!D74</f>
        <v>0.5</v>
      </c>
      <c r="E74" s="49">
        <f>'Avg Week Kitemu-Buddo'!E74+'Avg Week Buddo-Kitemu'!E74</f>
        <v>0</v>
      </c>
      <c r="F74" s="49">
        <f>'Avg Week Kitemu-Buddo'!F74+'Avg Week Buddo-Kitemu'!F74</f>
        <v>2.5</v>
      </c>
      <c r="G74" s="49">
        <f>'Avg Week Kitemu-Buddo'!G74+'Avg Week Buddo-Kitemu'!G74</f>
        <v>0</v>
      </c>
      <c r="H74" s="49">
        <f>'Avg Week Kitemu-Buddo'!H74+'Avg Week Buddo-Kitemu'!H74</f>
        <v>0</v>
      </c>
      <c r="I74" s="49">
        <f>'Avg Week Kitemu-Buddo'!I74+'Avg Week Buddo-Kitemu'!I74</f>
        <v>1</v>
      </c>
      <c r="J74" s="49">
        <f>'Avg Week Kitemu-Buddo'!J74+'Avg Week Buddo-Kitemu'!J74</f>
        <v>1</v>
      </c>
      <c r="K74" s="49">
        <f>'Avg Week Kitemu-Buddo'!K74+'Avg Week Buddo-Kitemu'!K74</f>
        <v>0.5</v>
      </c>
      <c r="L74" s="49">
        <f>'Avg Week Kitemu-Buddo'!L74+'Avg Week Buddo-Kitemu'!L74</f>
        <v>0</v>
      </c>
      <c r="M74" s="49">
        <f>'Avg Week Kitemu-Buddo'!M74+'Avg Week Buddo-Kitemu'!M74</f>
        <v>74.5</v>
      </c>
      <c r="N74" s="49">
        <f>'Avg Week Kitemu-Buddo'!N74+'Avg Week Buddo-Kitemu'!N74</f>
        <v>0</v>
      </c>
      <c r="O74" s="15">
        <f t="shared" ref="O74:O105" si="35">SUM(C74:L74,N74)</f>
        <v>10.5</v>
      </c>
      <c r="P74" s="15">
        <f t="shared" ref="P74:P105" si="36">SUM(C74:N74)</f>
        <v>85</v>
      </c>
      <c r="R74" s="8"/>
      <c r="T74"/>
    </row>
    <row r="75" spans="2:20" ht="23.1" customHeight="1" x14ac:dyDescent="0.25">
      <c r="B75" s="23" t="s">
        <v>115</v>
      </c>
      <c r="C75" s="49">
        <f>'Avg Week Kitemu-Buddo'!C75+'Avg Week Buddo-Kitemu'!C75</f>
        <v>6.5</v>
      </c>
      <c r="D75" s="49">
        <f>'Avg Week Kitemu-Buddo'!D75+'Avg Week Buddo-Kitemu'!D75</f>
        <v>0</v>
      </c>
      <c r="E75" s="49">
        <f>'Avg Week Kitemu-Buddo'!E75+'Avg Week Buddo-Kitemu'!E75</f>
        <v>0.5</v>
      </c>
      <c r="F75" s="49">
        <f>'Avg Week Kitemu-Buddo'!F75+'Avg Week Buddo-Kitemu'!F75</f>
        <v>3.5</v>
      </c>
      <c r="G75" s="49">
        <f>'Avg Week Kitemu-Buddo'!G75+'Avg Week Buddo-Kitemu'!G75</f>
        <v>0</v>
      </c>
      <c r="H75" s="49">
        <f>'Avg Week Kitemu-Buddo'!H75+'Avg Week Buddo-Kitemu'!H75</f>
        <v>0</v>
      </c>
      <c r="I75" s="49">
        <f>'Avg Week Kitemu-Buddo'!I75+'Avg Week Buddo-Kitemu'!I75</f>
        <v>1.5</v>
      </c>
      <c r="J75" s="49">
        <f>'Avg Week Kitemu-Buddo'!J75+'Avg Week Buddo-Kitemu'!J75</f>
        <v>1.5</v>
      </c>
      <c r="K75" s="49">
        <f>'Avg Week Kitemu-Buddo'!K75+'Avg Week Buddo-Kitemu'!K75</f>
        <v>0</v>
      </c>
      <c r="L75" s="49">
        <f>'Avg Week Kitemu-Buddo'!L75+'Avg Week Buddo-Kitemu'!L75</f>
        <v>0</v>
      </c>
      <c r="M75" s="49">
        <f>'Avg Week Kitemu-Buddo'!M75+'Avg Week Buddo-Kitemu'!M75</f>
        <v>82</v>
      </c>
      <c r="N75" s="49">
        <f>'Avg Week Kitemu-Buddo'!N75+'Avg Week Buddo-Kitemu'!N75</f>
        <v>0</v>
      </c>
      <c r="O75" s="15">
        <f t="shared" si="35"/>
        <v>13.5</v>
      </c>
      <c r="P75" s="15">
        <f t="shared" si="36"/>
        <v>95.5</v>
      </c>
      <c r="R75" s="8"/>
      <c r="T75"/>
    </row>
    <row r="76" spans="2:20" ht="23.1" customHeight="1" x14ac:dyDescent="0.25">
      <c r="B76" s="23" t="s">
        <v>116</v>
      </c>
      <c r="C76" s="49">
        <f>'Avg Week Kitemu-Buddo'!C76+'Avg Week Buddo-Kitemu'!C76</f>
        <v>9</v>
      </c>
      <c r="D76" s="49">
        <f>'Avg Week Kitemu-Buddo'!D76+'Avg Week Buddo-Kitemu'!D76</f>
        <v>0.5</v>
      </c>
      <c r="E76" s="49">
        <f>'Avg Week Kitemu-Buddo'!E76+'Avg Week Buddo-Kitemu'!E76</f>
        <v>0</v>
      </c>
      <c r="F76" s="49">
        <f>'Avg Week Kitemu-Buddo'!F76+'Avg Week Buddo-Kitemu'!F76</f>
        <v>2</v>
      </c>
      <c r="G76" s="49">
        <f>'Avg Week Kitemu-Buddo'!G76+'Avg Week Buddo-Kitemu'!G76</f>
        <v>0</v>
      </c>
      <c r="H76" s="49">
        <f>'Avg Week Kitemu-Buddo'!H76+'Avg Week Buddo-Kitemu'!H76</f>
        <v>0</v>
      </c>
      <c r="I76" s="49">
        <f>'Avg Week Kitemu-Buddo'!I76+'Avg Week Buddo-Kitemu'!I76</f>
        <v>1</v>
      </c>
      <c r="J76" s="49">
        <f>'Avg Week Kitemu-Buddo'!J76+'Avg Week Buddo-Kitemu'!J76</f>
        <v>1</v>
      </c>
      <c r="K76" s="49">
        <f>'Avg Week Kitemu-Buddo'!K76+'Avg Week Buddo-Kitemu'!K76</f>
        <v>0</v>
      </c>
      <c r="L76" s="49">
        <f>'Avg Week Kitemu-Buddo'!L76+'Avg Week Buddo-Kitemu'!L76</f>
        <v>0.5</v>
      </c>
      <c r="M76" s="49">
        <f>'Avg Week Kitemu-Buddo'!M76+'Avg Week Buddo-Kitemu'!M76</f>
        <v>66</v>
      </c>
      <c r="N76" s="49">
        <f>'Avg Week Kitemu-Buddo'!N76+'Avg Week Buddo-Kitemu'!N76</f>
        <v>0</v>
      </c>
      <c r="O76" s="15">
        <f t="shared" si="35"/>
        <v>14</v>
      </c>
      <c r="P76" s="15">
        <f t="shared" si="36"/>
        <v>80</v>
      </c>
      <c r="R76" s="8"/>
      <c r="T76"/>
    </row>
    <row r="77" spans="2:20" ht="23.1" customHeight="1" x14ac:dyDescent="0.25">
      <c r="B77" s="23" t="s">
        <v>117</v>
      </c>
      <c r="C77" s="49">
        <f>'Avg Week Kitemu-Buddo'!C77+'Avg Week Buddo-Kitemu'!C77</f>
        <v>6.5</v>
      </c>
      <c r="D77" s="49">
        <f>'Avg Week Kitemu-Buddo'!D77+'Avg Week Buddo-Kitemu'!D77</f>
        <v>0</v>
      </c>
      <c r="E77" s="49">
        <f>'Avg Week Kitemu-Buddo'!E77+'Avg Week Buddo-Kitemu'!E77</f>
        <v>0.5</v>
      </c>
      <c r="F77" s="49">
        <f>'Avg Week Kitemu-Buddo'!F77+'Avg Week Buddo-Kitemu'!F77</f>
        <v>1</v>
      </c>
      <c r="G77" s="49">
        <f>'Avg Week Kitemu-Buddo'!G77+'Avg Week Buddo-Kitemu'!G77</f>
        <v>0</v>
      </c>
      <c r="H77" s="49">
        <f>'Avg Week Kitemu-Buddo'!H77+'Avg Week Buddo-Kitemu'!H77</f>
        <v>0</v>
      </c>
      <c r="I77" s="49">
        <f>'Avg Week Kitemu-Buddo'!I77+'Avg Week Buddo-Kitemu'!I77</f>
        <v>1.5</v>
      </c>
      <c r="J77" s="49">
        <f>'Avg Week Kitemu-Buddo'!J77+'Avg Week Buddo-Kitemu'!J77</f>
        <v>0</v>
      </c>
      <c r="K77" s="49">
        <f>'Avg Week Kitemu-Buddo'!K77+'Avg Week Buddo-Kitemu'!K77</f>
        <v>0</v>
      </c>
      <c r="L77" s="49">
        <f>'Avg Week Kitemu-Buddo'!L77+'Avg Week Buddo-Kitemu'!L77</f>
        <v>0</v>
      </c>
      <c r="M77" s="49">
        <f>'Avg Week Kitemu-Buddo'!M77+'Avg Week Buddo-Kitemu'!M77</f>
        <v>59.5</v>
      </c>
      <c r="N77" s="49">
        <f>'Avg Week Kitemu-Buddo'!N77+'Avg Week Buddo-Kitemu'!N77</f>
        <v>0</v>
      </c>
      <c r="O77" s="15">
        <f t="shared" si="35"/>
        <v>9.5</v>
      </c>
      <c r="P77" s="15">
        <f t="shared" si="36"/>
        <v>69</v>
      </c>
      <c r="R77" s="8"/>
      <c r="T77"/>
    </row>
    <row r="78" spans="2:20" ht="23.1" customHeight="1" x14ac:dyDescent="0.25">
      <c r="B78" s="24" t="s">
        <v>118</v>
      </c>
      <c r="C78" s="49">
        <f>'Avg Week Kitemu-Buddo'!C78+'Avg Week Buddo-Kitemu'!C78</f>
        <v>4.5</v>
      </c>
      <c r="D78" s="49">
        <f>'Avg Week Kitemu-Buddo'!D78+'Avg Week Buddo-Kitemu'!D78</f>
        <v>0</v>
      </c>
      <c r="E78" s="49">
        <f>'Avg Week Kitemu-Buddo'!E78+'Avg Week Buddo-Kitemu'!E78</f>
        <v>0</v>
      </c>
      <c r="F78" s="49">
        <f>'Avg Week Kitemu-Buddo'!F78+'Avg Week Buddo-Kitemu'!F78</f>
        <v>1</v>
      </c>
      <c r="G78" s="49">
        <f>'Avg Week Kitemu-Buddo'!G78+'Avg Week Buddo-Kitemu'!G78</f>
        <v>0</v>
      </c>
      <c r="H78" s="49">
        <f>'Avg Week Kitemu-Buddo'!H78+'Avg Week Buddo-Kitemu'!H78</f>
        <v>0</v>
      </c>
      <c r="I78" s="49">
        <f>'Avg Week Kitemu-Buddo'!I78+'Avg Week Buddo-Kitemu'!I78</f>
        <v>0.5</v>
      </c>
      <c r="J78" s="49">
        <f>'Avg Week Kitemu-Buddo'!J78+'Avg Week Buddo-Kitemu'!J78</f>
        <v>0</v>
      </c>
      <c r="K78" s="49">
        <f>'Avg Week Kitemu-Buddo'!K78+'Avg Week Buddo-Kitemu'!K78</f>
        <v>0</v>
      </c>
      <c r="L78" s="49">
        <f>'Avg Week Kitemu-Buddo'!L78+'Avg Week Buddo-Kitemu'!L78</f>
        <v>0</v>
      </c>
      <c r="M78" s="49">
        <f>'Avg Week Kitemu-Buddo'!M78+'Avg Week Buddo-Kitemu'!M78</f>
        <v>51.5</v>
      </c>
      <c r="N78" s="49">
        <f>'Avg Week Kitemu-Buddo'!N78+'Avg Week Buddo-Kitemu'!N78</f>
        <v>0</v>
      </c>
      <c r="O78" s="15">
        <f t="shared" si="35"/>
        <v>6</v>
      </c>
      <c r="P78" s="15">
        <f t="shared" si="36"/>
        <v>57.5</v>
      </c>
      <c r="R78" s="8"/>
      <c r="T78"/>
    </row>
    <row r="79" spans="2:20" ht="23.1" customHeight="1" x14ac:dyDescent="0.25">
      <c r="B79" s="23" t="s">
        <v>119</v>
      </c>
      <c r="C79" s="49">
        <f>'Avg Week Kitemu-Buddo'!C79+'Avg Week Buddo-Kitemu'!C79</f>
        <v>3.5</v>
      </c>
      <c r="D79" s="49">
        <f>'Avg Week Kitemu-Buddo'!D79+'Avg Week Buddo-Kitemu'!D79</f>
        <v>0</v>
      </c>
      <c r="E79" s="49">
        <f>'Avg Week Kitemu-Buddo'!E79+'Avg Week Buddo-Kitemu'!E79</f>
        <v>1</v>
      </c>
      <c r="F79" s="49">
        <f>'Avg Week Kitemu-Buddo'!F79+'Avg Week Buddo-Kitemu'!F79</f>
        <v>1</v>
      </c>
      <c r="G79" s="49">
        <f>'Avg Week Kitemu-Buddo'!G79+'Avg Week Buddo-Kitemu'!G79</f>
        <v>0</v>
      </c>
      <c r="H79" s="49">
        <f>'Avg Week Kitemu-Buddo'!H79+'Avg Week Buddo-Kitemu'!H79</f>
        <v>0</v>
      </c>
      <c r="I79" s="49">
        <f>'Avg Week Kitemu-Buddo'!I79+'Avg Week Buddo-Kitemu'!I79</f>
        <v>1</v>
      </c>
      <c r="J79" s="49">
        <f>'Avg Week Kitemu-Buddo'!J79+'Avg Week Buddo-Kitemu'!J79</f>
        <v>0</v>
      </c>
      <c r="K79" s="49">
        <f>'Avg Week Kitemu-Buddo'!K79+'Avg Week Buddo-Kitemu'!K79</f>
        <v>0.5</v>
      </c>
      <c r="L79" s="49">
        <f>'Avg Week Kitemu-Buddo'!L79+'Avg Week Buddo-Kitemu'!L79</f>
        <v>0</v>
      </c>
      <c r="M79" s="49">
        <f>'Avg Week Kitemu-Buddo'!M79+'Avg Week Buddo-Kitemu'!M79</f>
        <v>51.5</v>
      </c>
      <c r="N79" s="49">
        <f>'Avg Week Kitemu-Buddo'!N79+'Avg Week Buddo-Kitemu'!N79</f>
        <v>0</v>
      </c>
      <c r="O79" s="15">
        <f t="shared" si="35"/>
        <v>7</v>
      </c>
      <c r="P79" s="15">
        <f t="shared" si="36"/>
        <v>58.5</v>
      </c>
      <c r="R79" s="8"/>
      <c r="T79"/>
    </row>
    <row r="80" spans="2:20" ht="23.1" customHeight="1" x14ac:dyDescent="0.25">
      <c r="B80" s="25" t="s">
        <v>120</v>
      </c>
      <c r="C80" s="49">
        <f>'Avg Week Kitemu-Buddo'!C80+'Avg Week Buddo-Kitemu'!C80</f>
        <v>2.5</v>
      </c>
      <c r="D80" s="49">
        <f>'Avg Week Kitemu-Buddo'!D80+'Avg Week Buddo-Kitemu'!D80</f>
        <v>1</v>
      </c>
      <c r="E80" s="49">
        <f>'Avg Week Kitemu-Buddo'!E80+'Avg Week Buddo-Kitemu'!E80</f>
        <v>0</v>
      </c>
      <c r="F80" s="49">
        <f>'Avg Week Kitemu-Buddo'!F80+'Avg Week Buddo-Kitemu'!F80</f>
        <v>1.5</v>
      </c>
      <c r="G80" s="49">
        <f>'Avg Week Kitemu-Buddo'!G80+'Avg Week Buddo-Kitemu'!G80</f>
        <v>0.5</v>
      </c>
      <c r="H80" s="49">
        <f>'Avg Week Kitemu-Buddo'!H80+'Avg Week Buddo-Kitemu'!H80</f>
        <v>0</v>
      </c>
      <c r="I80" s="49">
        <f>'Avg Week Kitemu-Buddo'!I80+'Avg Week Buddo-Kitemu'!I80</f>
        <v>0</v>
      </c>
      <c r="J80" s="49">
        <f>'Avg Week Kitemu-Buddo'!J80+'Avg Week Buddo-Kitemu'!J80</f>
        <v>0.5</v>
      </c>
      <c r="K80" s="49">
        <f>'Avg Week Kitemu-Buddo'!K80+'Avg Week Buddo-Kitemu'!K80</f>
        <v>0</v>
      </c>
      <c r="L80" s="49">
        <f>'Avg Week Kitemu-Buddo'!L80+'Avg Week Buddo-Kitemu'!L80</f>
        <v>0</v>
      </c>
      <c r="M80" s="49">
        <f>'Avg Week Kitemu-Buddo'!M80+'Avg Week Buddo-Kitemu'!M80</f>
        <v>34</v>
      </c>
      <c r="N80" s="49">
        <f>'Avg Week Kitemu-Buddo'!N80+'Avg Week Buddo-Kitemu'!N80</f>
        <v>0</v>
      </c>
      <c r="O80" s="15">
        <f t="shared" si="35"/>
        <v>6</v>
      </c>
      <c r="P80" s="15">
        <f t="shared" si="36"/>
        <v>40</v>
      </c>
      <c r="R80" s="8"/>
      <c r="T80"/>
    </row>
    <row r="81" spans="2:20" ht="23.1" customHeight="1" x14ac:dyDescent="0.25">
      <c r="B81" s="23" t="s">
        <v>121</v>
      </c>
      <c r="C81" s="49">
        <f>'Avg Week Kitemu-Buddo'!C81+'Avg Week Buddo-Kitemu'!C81</f>
        <v>2</v>
      </c>
      <c r="D81" s="49">
        <f>'Avg Week Kitemu-Buddo'!D81+'Avg Week Buddo-Kitemu'!D81</f>
        <v>0</v>
      </c>
      <c r="E81" s="49">
        <f>'Avg Week Kitemu-Buddo'!E81+'Avg Week Buddo-Kitemu'!E81</f>
        <v>0</v>
      </c>
      <c r="F81" s="49">
        <f>'Avg Week Kitemu-Buddo'!F81+'Avg Week Buddo-Kitemu'!F81</f>
        <v>1</v>
      </c>
      <c r="G81" s="49">
        <f>'Avg Week Kitemu-Buddo'!G81+'Avg Week Buddo-Kitemu'!G81</f>
        <v>0</v>
      </c>
      <c r="H81" s="49">
        <f>'Avg Week Kitemu-Buddo'!H81+'Avg Week Buddo-Kitemu'!H81</f>
        <v>0</v>
      </c>
      <c r="I81" s="49">
        <f>'Avg Week Kitemu-Buddo'!I81+'Avg Week Buddo-Kitemu'!I81</f>
        <v>0.5</v>
      </c>
      <c r="J81" s="49">
        <f>'Avg Week Kitemu-Buddo'!J81+'Avg Week Buddo-Kitemu'!J81</f>
        <v>0</v>
      </c>
      <c r="K81" s="49">
        <f>'Avg Week Kitemu-Buddo'!K81+'Avg Week Buddo-Kitemu'!K81</f>
        <v>0</v>
      </c>
      <c r="L81" s="49">
        <f>'Avg Week Kitemu-Buddo'!L81+'Avg Week Buddo-Kitemu'!L81</f>
        <v>0</v>
      </c>
      <c r="M81" s="49">
        <f>'Avg Week Kitemu-Buddo'!M81+'Avg Week Buddo-Kitemu'!M81</f>
        <v>24</v>
      </c>
      <c r="N81" s="49">
        <f>'Avg Week Kitemu-Buddo'!N81+'Avg Week Buddo-Kitemu'!N81</f>
        <v>0</v>
      </c>
      <c r="O81" s="15">
        <f t="shared" si="35"/>
        <v>3.5</v>
      </c>
      <c r="P81" s="15">
        <f t="shared" si="36"/>
        <v>27.5</v>
      </c>
      <c r="R81" s="8"/>
      <c r="T81"/>
    </row>
    <row r="82" spans="2:20" ht="23.1" customHeight="1" x14ac:dyDescent="0.25">
      <c r="B82" s="24" t="s">
        <v>122</v>
      </c>
      <c r="C82" s="49">
        <f>'Avg Week Kitemu-Buddo'!C82+'Avg Week Buddo-Kitemu'!C82</f>
        <v>2.5</v>
      </c>
      <c r="D82" s="49">
        <f>'Avg Week Kitemu-Buddo'!D82+'Avg Week Buddo-Kitemu'!D82</f>
        <v>0</v>
      </c>
      <c r="E82" s="49">
        <f>'Avg Week Kitemu-Buddo'!E82+'Avg Week Buddo-Kitemu'!E82</f>
        <v>0</v>
      </c>
      <c r="F82" s="49">
        <f>'Avg Week Kitemu-Buddo'!F82+'Avg Week Buddo-Kitemu'!F82</f>
        <v>0.5</v>
      </c>
      <c r="G82" s="49">
        <f>'Avg Week Kitemu-Buddo'!G82+'Avg Week Buddo-Kitemu'!G82</f>
        <v>0</v>
      </c>
      <c r="H82" s="49">
        <f>'Avg Week Kitemu-Buddo'!H82+'Avg Week Buddo-Kitemu'!H82</f>
        <v>0</v>
      </c>
      <c r="I82" s="49">
        <f>'Avg Week Kitemu-Buddo'!I82+'Avg Week Buddo-Kitemu'!I82</f>
        <v>0.5</v>
      </c>
      <c r="J82" s="49">
        <f>'Avg Week Kitemu-Buddo'!J82+'Avg Week Buddo-Kitemu'!J82</f>
        <v>0.5</v>
      </c>
      <c r="K82" s="49">
        <f>'Avg Week Kitemu-Buddo'!K82+'Avg Week Buddo-Kitemu'!K82</f>
        <v>0</v>
      </c>
      <c r="L82" s="49">
        <f>'Avg Week Kitemu-Buddo'!L82+'Avg Week Buddo-Kitemu'!L82</f>
        <v>0</v>
      </c>
      <c r="M82" s="49">
        <f>'Avg Week Kitemu-Buddo'!M82+'Avg Week Buddo-Kitemu'!M82</f>
        <v>22.5</v>
      </c>
      <c r="N82" s="49">
        <f>'Avg Week Kitemu-Buddo'!N82+'Avg Week Buddo-Kitemu'!N82</f>
        <v>0</v>
      </c>
      <c r="O82" s="15">
        <f t="shared" si="35"/>
        <v>4</v>
      </c>
      <c r="P82" s="15">
        <f t="shared" si="36"/>
        <v>26.5</v>
      </c>
      <c r="R82" s="8"/>
      <c r="T82"/>
    </row>
    <row r="83" spans="2:20" ht="23.1" customHeight="1" x14ac:dyDescent="0.25">
      <c r="B83" s="23" t="s">
        <v>123</v>
      </c>
      <c r="C83" s="49">
        <f>'Avg Week Kitemu-Buddo'!C83+'Avg Week Buddo-Kitemu'!C83</f>
        <v>2.5</v>
      </c>
      <c r="D83" s="49">
        <f>'Avg Week Kitemu-Buddo'!D83+'Avg Week Buddo-Kitemu'!D83</f>
        <v>0</v>
      </c>
      <c r="E83" s="49">
        <f>'Avg Week Kitemu-Buddo'!E83+'Avg Week Buddo-Kitemu'!E83</f>
        <v>0.5</v>
      </c>
      <c r="F83" s="49">
        <f>'Avg Week Kitemu-Buddo'!F83+'Avg Week Buddo-Kitemu'!F83</f>
        <v>0.5</v>
      </c>
      <c r="G83" s="49">
        <f>'Avg Week Kitemu-Buddo'!G83+'Avg Week Buddo-Kitemu'!G83</f>
        <v>0</v>
      </c>
      <c r="H83" s="49">
        <f>'Avg Week Kitemu-Buddo'!H83+'Avg Week Buddo-Kitemu'!H83</f>
        <v>0</v>
      </c>
      <c r="I83" s="49">
        <f>'Avg Week Kitemu-Buddo'!I83+'Avg Week Buddo-Kitemu'!I83</f>
        <v>0.5</v>
      </c>
      <c r="J83" s="49">
        <f>'Avg Week Kitemu-Buddo'!J83+'Avg Week Buddo-Kitemu'!J83</f>
        <v>0</v>
      </c>
      <c r="K83" s="49">
        <f>'Avg Week Kitemu-Buddo'!K83+'Avg Week Buddo-Kitemu'!K83</f>
        <v>0</v>
      </c>
      <c r="L83" s="49">
        <f>'Avg Week Kitemu-Buddo'!L83+'Avg Week Buddo-Kitemu'!L83</f>
        <v>0</v>
      </c>
      <c r="M83" s="49">
        <f>'Avg Week Kitemu-Buddo'!M83+'Avg Week Buddo-Kitemu'!M83</f>
        <v>22</v>
      </c>
      <c r="N83" s="49">
        <f>'Avg Week Kitemu-Buddo'!N83+'Avg Week Buddo-Kitemu'!N83</f>
        <v>0</v>
      </c>
      <c r="O83" s="15">
        <f t="shared" si="35"/>
        <v>4</v>
      </c>
      <c r="P83" s="15">
        <f t="shared" si="36"/>
        <v>26</v>
      </c>
      <c r="R83" s="8"/>
      <c r="T83"/>
    </row>
    <row r="84" spans="2:20" ht="23.1" customHeight="1" x14ac:dyDescent="0.25">
      <c r="B84" s="25" t="s">
        <v>124</v>
      </c>
      <c r="C84" s="49">
        <f>'Avg Week Kitemu-Buddo'!C84+'Avg Week Buddo-Kitemu'!C84</f>
        <v>0</v>
      </c>
      <c r="D84" s="49">
        <f>'Avg Week Kitemu-Buddo'!D84+'Avg Week Buddo-Kitemu'!D84</f>
        <v>0.5</v>
      </c>
      <c r="E84" s="49">
        <f>'Avg Week Kitemu-Buddo'!E84+'Avg Week Buddo-Kitemu'!E84</f>
        <v>0</v>
      </c>
      <c r="F84" s="49">
        <f>'Avg Week Kitemu-Buddo'!F84+'Avg Week Buddo-Kitemu'!F84</f>
        <v>2</v>
      </c>
      <c r="G84" s="49">
        <f>'Avg Week Kitemu-Buddo'!G84+'Avg Week Buddo-Kitemu'!G84</f>
        <v>0</v>
      </c>
      <c r="H84" s="49">
        <f>'Avg Week Kitemu-Buddo'!H84+'Avg Week Buddo-Kitemu'!H84</f>
        <v>0</v>
      </c>
      <c r="I84" s="49">
        <f>'Avg Week Kitemu-Buddo'!I84+'Avg Week Buddo-Kitemu'!I84</f>
        <v>0</v>
      </c>
      <c r="J84" s="49">
        <f>'Avg Week Kitemu-Buddo'!J84+'Avg Week Buddo-Kitemu'!J84</f>
        <v>1</v>
      </c>
      <c r="K84" s="49">
        <f>'Avg Week Kitemu-Buddo'!K84+'Avg Week Buddo-Kitemu'!K84</f>
        <v>0</v>
      </c>
      <c r="L84" s="49">
        <f>'Avg Week Kitemu-Buddo'!L84+'Avg Week Buddo-Kitemu'!L84</f>
        <v>0</v>
      </c>
      <c r="M84" s="49">
        <f>'Avg Week Kitemu-Buddo'!M84+'Avg Week Buddo-Kitemu'!M84</f>
        <v>16.5</v>
      </c>
      <c r="N84" s="49">
        <f>'Avg Week Kitemu-Buddo'!N84+'Avg Week Buddo-Kitemu'!N84</f>
        <v>0</v>
      </c>
      <c r="O84" s="15">
        <f t="shared" si="35"/>
        <v>3.5</v>
      </c>
      <c r="P84" s="15">
        <f t="shared" si="36"/>
        <v>20</v>
      </c>
      <c r="R84" s="8"/>
      <c r="T84"/>
    </row>
    <row r="85" spans="2:20" ht="23.1" customHeight="1" x14ac:dyDescent="0.25">
      <c r="B85" s="23" t="s">
        <v>125</v>
      </c>
      <c r="C85" s="49">
        <f>'Avg Week Kitemu-Buddo'!C85+'Avg Week Buddo-Kitemu'!C85</f>
        <v>2</v>
      </c>
      <c r="D85" s="49">
        <f>'Avg Week Kitemu-Buddo'!D85+'Avg Week Buddo-Kitemu'!D85</f>
        <v>0</v>
      </c>
      <c r="E85" s="49">
        <f>'Avg Week Kitemu-Buddo'!E85+'Avg Week Buddo-Kitemu'!E85</f>
        <v>0</v>
      </c>
      <c r="F85" s="49">
        <f>'Avg Week Kitemu-Buddo'!F85+'Avg Week Buddo-Kitemu'!F85</f>
        <v>0</v>
      </c>
      <c r="G85" s="49">
        <f>'Avg Week Kitemu-Buddo'!G85+'Avg Week Buddo-Kitemu'!G85</f>
        <v>0</v>
      </c>
      <c r="H85" s="49">
        <f>'Avg Week Kitemu-Buddo'!H85+'Avg Week Buddo-Kitemu'!H85</f>
        <v>0</v>
      </c>
      <c r="I85" s="49">
        <f>'Avg Week Kitemu-Buddo'!I85+'Avg Week Buddo-Kitemu'!I85</f>
        <v>0</v>
      </c>
      <c r="J85" s="49">
        <f>'Avg Week Kitemu-Buddo'!J85+'Avg Week Buddo-Kitemu'!J85</f>
        <v>0</v>
      </c>
      <c r="K85" s="49">
        <f>'Avg Week Kitemu-Buddo'!K85+'Avg Week Buddo-Kitemu'!K85</f>
        <v>0.5</v>
      </c>
      <c r="L85" s="49">
        <f>'Avg Week Kitemu-Buddo'!L85+'Avg Week Buddo-Kitemu'!L85</f>
        <v>0</v>
      </c>
      <c r="M85" s="49">
        <f>'Avg Week Kitemu-Buddo'!M85+'Avg Week Buddo-Kitemu'!M85</f>
        <v>17.5</v>
      </c>
      <c r="N85" s="49">
        <f>'Avg Week Kitemu-Buddo'!N85+'Avg Week Buddo-Kitemu'!N85</f>
        <v>0</v>
      </c>
      <c r="O85" s="15">
        <f t="shared" si="35"/>
        <v>2.5</v>
      </c>
      <c r="P85" s="15">
        <f t="shared" si="36"/>
        <v>20</v>
      </c>
      <c r="R85" s="8"/>
      <c r="T85"/>
    </row>
    <row r="86" spans="2:20" ht="23.1" customHeight="1" x14ac:dyDescent="0.25">
      <c r="B86" s="24" t="s">
        <v>126</v>
      </c>
      <c r="C86" s="49">
        <f>'Avg Week Kitemu-Buddo'!C86+'Avg Week Buddo-Kitemu'!C86</f>
        <v>1</v>
      </c>
      <c r="D86" s="49">
        <f>'Avg Week Kitemu-Buddo'!D86+'Avg Week Buddo-Kitemu'!D86</f>
        <v>0.5</v>
      </c>
      <c r="E86" s="49">
        <f>'Avg Week Kitemu-Buddo'!E86+'Avg Week Buddo-Kitemu'!E86</f>
        <v>0</v>
      </c>
      <c r="F86" s="49">
        <f>'Avg Week Kitemu-Buddo'!F86+'Avg Week Buddo-Kitemu'!F86</f>
        <v>0</v>
      </c>
      <c r="G86" s="49">
        <f>'Avg Week Kitemu-Buddo'!G86+'Avg Week Buddo-Kitemu'!G86</f>
        <v>0</v>
      </c>
      <c r="H86" s="49">
        <f>'Avg Week Kitemu-Buddo'!H86+'Avg Week Buddo-Kitemu'!H86</f>
        <v>0</v>
      </c>
      <c r="I86" s="49">
        <f>'Avg Week Kitemu-Buddo'!I86+'Avg Week Buddo-Kitemu'!I86</f>
        <v>1</v>
      </c>
      <c r="J86" s="49">
        <f>'Avg Week Kitemu-Buddo'!J86+'Avg Week Buddo-Kitemu'!J86</f>
        <v>0</v>
      </c>
      <c r="K86" s="49">
        <f>'Avg Week Kitemu-Buddo'!K86+'Avg Week Buddo-Kitemu'!K86</f>
        <v>0</v>
      </c>
      <c r="L86" s="49">
        <f>'Avg Week Kitemu-Buddo'!L86+'Avg Week Buddo-Kitemu'!L86</f>
        <v>0</v>
      </c>
      <c r="M86" s="49">
        <f>'Avg Week Kitemu-Buddo'!M86+'Avg Week Buddo-Kitemu'!M86</f>
        <v>12.5</v>
      </c>
      <c r="N86" s="49">
        <f>'Avg Week Kitemu-Buddo'!N86+'Avg Week Buddo-Kitemu'!N86</f>
        <v>0</v>
      </c>
      <c r="O86" s="15">
        <f t="shared" si="35"/>
        <v>2.5</v>
      </c>
      <c r="P86" s="15">
        <f t="shared" si="36"/>
        <v>15</v>
      </c>
      <c r="R86" s="8"/>
      <c r="T86"/>
    </row>
    <row r="87" spans="2:20" ht="23.1" customHeight="1" x14ac:dyDescent="0.25">
      <c r="B87" s="23" t="s">
        <v>127</v>
      </c>
      <c r="C87" s="49">
        <f>'Avg Week Kitemu-Buddo'!C87+'Avg Week Buddo-Kitemu'!C87</f>
        <v>0.5</v>
      </c>
      <c r="D87" s="49">
        <f>'Avg Week Kitemu-Buddo'!D87+'Avg Week Buddo-Kitemu'!D87</f>
        <v>0</v>
      </c>
      <c r="E87" s="49">
        <f>'Avg Week Kitemu-Buddo'!E87+'Avg Week Buddo-Kitemu'!E87</f>
        <v>0.5</v>
      </c>
      <c r="F87" s="49">
        <f>'Avg Week Kitemu-Buddo'!F87+'Avg Week Buddo-Kitemu'!F87</f>
        <v>0.5</v>
      </c>
      <c r="G87" s="49">
        <f>'Avg Week Kitemu-Buddo'!G87+'Avg Week Buddo-Kitemu'!G87</f>
        <v>0</v>
      </c>
      <c r="H87" s="49">
        <f>'Avg Week Kitemu-Buddo'!H87+'Avg Week Buddo-Kitemu'!H87</f>
        <v>0</v>
      </c>
      <c r="I87" s="49">
        <f>'Avg Week Kitemu-Buddo'!I87+'Avg Week Buddo-Kitemu'!I87</f>
        <v>0</v>
      </c>
      <c r="J87" s="49">
        <f>'Avg Week Kitemu-Buddo'!J87+'Avg Week Buddo-Kitemu'!J87</f>
        <v>0</v>
      </c>
      <c r="K87" s="49">
        <f>'Avg Week Kitemu-Buddo'!K87+'Avg Week Buddo-Kitemu'!K87</f>
        <v>0</v>
      </c>
      <c r="L87" s="49">
        <f>'Avg Week Kitemu-Buddo'!L87+'Avg Week Buddo-Kitemu'!L87</f>
        <v>0</v>
      </c>
      <c r="M87" s="49">
        <f>'Avg Week Kitemu-Buddo'!M87+'Avg Week Buddo-Kitemu'!M87</f>
        <v>16</v>
      </c>
      <c r="N87" s="49">
        <f>'Avg Week Kitemu-Buddo'!N87+'Avg Week Buddo-Kitemu'!N87</f>
        <v>0</v>
      </c>
      <c r="O87" s="15">
        <f t="shared" si="35"/>
        <v>1.5</v>
      </c>
      <c r="P87" s="15">
        <f t="shared" si="36"/>
        <v>17.5</v>
      </c>
      <c r="R87" s="8"/>
      <c r="T87"/>
    </row>
    <row r="88" spans="2:20" ht="23.1" customHeight="1" x14ac:dyDescent="0.25">
      <c r="B88" s="25" t="s">
        <v>128</v>
      </c>
      <c r="C88" s="49">
        <f>'Avg Week Kitemu-Buddo'!C88+'Avg Week Buddo-Kitemu'!C88</f>
        <v>0.5</v>
      </c>
      <c r="D88" s="49">
        <f>'Avg Week Kitemu-Buddo'!D88+'Avg Week Buddo-Kitemu'!D88</f>
        <v>0</v>
      </c>
      <c r="E88" s="49">
        <f>'Avg Week Kitemu-Buddo'!E88+'Avg Week Buddo-Kitemu'!E88</f>
        <v>0</v>
      </c>
      <c r="F88" s="49">
        <f>'Avg Week Kitemu-Buddo'!F88+'Avg Week Buddo-Kitemu'!F88</f>
        <v>0</v>
      </c>
      <c r="G88" s="49">
        <f>'Avg Week Kitemu-Buddo'!G88+'Avg Week Buddo-Kitemu'!G88</f>
        <v>0</v>
      </c>
      <c r="H88" s="49">
        <f>'Avg Week Kitemu-Buddo'!H88+'Avg Week Buddo-Kitemu'!H88</f>
        <v>0</v>
      </c>
      <c r="I88" s="49">
        <f>'Avg Week Kitemu-Buddo'!I88+'Avg Week Buddo-Kitemu'!I88</f>
        <v>0.5</v>
      </c>
      <c r="J88" s="49">
        <f>'Avg Week Kitemu-Buddo'!J88+'Avg Week Buddo-Kitemu'!J88</f>
        <v>0.5</v>
      </c>
      <c r="K88" s="49">
        <f>'Avg Week Kitemu-Buddo'!K88+'Avg Week Buddo-Kitemu'!K88</f>
        <v>0</v>
      </c>
      <c r="L88" s="49">
        <f>'Avg Week Kitemu-Buddo'!L88+'Avg Week Buddo-Kitemu'!L88</f>
        <v>0</v>
      </c>
      <c r="M88" s="49">
        <f>'Avg Week Kitemu-Buddo'!M88+'Avg Week Buddo-Kitemu'!M88</f>
        <v>11</v>
      </c>
      <c r="N88" s="49">
        <f>'Avg Week Kitemu-Buddo'!N88+'Avg Week Buddo-Kitemu'!N88</f>
        <v>0</v>
      </c>
      <c r="O88" s="15">
        <f t="shared" si="35"/>
        <v>1.5</v>
      </c>
      <c r="P88" s="15">
        <f t="shared" si="36"/>
        <v>12.5</v>
      </c>
      <c r="R88" s="8"/>
      <c r="T88"/>
    </row>
    <row r="89" spans="2:20" ht="23.1" customHeight="1" x14ac:dyDescent="0.25">
      <c r="B89" s="23" t="s">
        <v>129</v>
      </c>
      <c r="C89" s="49">
        <f>'Avg Week Kitemu-Buddo'!C89+'Avg Week Buddo-Kitemu'!C89</f>
        <v>0</v>
      </c>
      <c r="D89" s="49">
        <f>'Avg Week Kitemu-Buddo'!D89+'Avg Week Buddo-Kitemu'!D89</f>
        <v>0</v>
      </c>
      <c r="E89" s="49">
        <f>'Avg Week Kitemu-Buddo'!E89+'Avg Week Buddo-Kitemu'!E89</f>
        <v>0</v>
      </c>
      <c r="F89" s="49">
        <f>'Avg Week Kitemu-Buddo'!F89+'Avg Week Buddo-Kitemu'!F89</f>
        <v>0</v>
      </c>
      <c r="G89" s="49">
        <f>'Avg Week Kitemu-Buddo'!G89+'Avg Week Buddo-Kitemu'!G89</f>
        <v>0</v>
      </c>
      <c r="H89" s="49">
        <f>'Avg Week Kitemu-Buddo'!H89+'Avg Week Buddo-Kitemu'!H89</f>
        <v>0</v>
      </c>
      <c r="I89" s="49">
        <f>'Avg Week Kitemu-Buddo'!I89+'Avg Week Buddo-Kitemu'!I89</f>
        <v>0</v>
      </c>
      <c r="J89" s="49">
        <f>'Avg Week Kitemu-Buddo'!J89+'Avg Week Buddo-Kitemu'!J89</f>
        <v>0.5</v>
      </c>
      <c r="K89" s="49">
        <f>'Avg Week Kitemu-Buddo'!K89+'Avg Week Buddo-Kitemu'!K89</f>
        <v>0</v>
      </c>
      <c r="L89" s="49">
        <f>'Avg Week Kitemu-Buddo'!L89+'Avg Week Buddo-Kitemu'!L89</f>
        <v>0</v>
      </c>
      <c r="M89" s="49">
        <f>'Avg Week Kitemu-Buddo'!M89+'Avg Week Buddo-Kitemu'!M89</f>
        <v>12.5</v>
      </c>
      <c r="N89" s="49">
        <f>'Avg Week Kitemu-Buddo'!N89+'Avg Week Buddo-Kitemu'!N89</f>
        <v>0</v>
      </c>
      <c r="O89" s="15">
        <f t="shared" si="35"/>
        <v>0.5</v>
      </c>
      <c r="P89" s="15">
        <f t="shared" si="36"/>
        <v>13</v>
      </c>
      <c r="R89" s="8"/>
      <c r="T89"/>
    </row>
    <row r="90" spans="2:20" ht="23.1" customHeight="1" x14ac:dyDescent="0.25">
      <c r="B90" s="24" t="s">
        <v>130</v>
      </c>
      <c r="C90" s="49">
        <f>'Avg Week Kitemu-Buddo'!C90+'Avg Week Buddo-Kitemu'!C90</f>
        <v>1</v>
      </c>
      <c r="D90" s="49">
        <f>'Avg Week Kitemu-Buddo'!D90+'Avg Week Buddo-Kitemu'!D90</f>
        <v>0.5</v>
      </c>
      <c r="E90" s="49">
        <f>'Avg Week Kitemu-Buddo'!E90+'Avg Week Buddo-Kitemu'!E90</f>
        <v>0</v>
      </c>
      <c r="F90" s="49">
        <f>'Avg Week Kitemu-Buddo'!F90+'Avg Week Buddo-Kitemu'!F90</f>
        <v>0</v>
      </c>
      <c r="G90" s="49">
        <f>'Avg Week Kitemu-Buddo'!G90+'Avg Week Buddo-Kitemu'!G90</f>
        <v>0</v>
      </c>
      <c r="H90" s="49">
        <f>'Avg Week Kitemu-Buddo'!H90+'Avg Week Buddo-Kitemu'!H90</f>
        <v>0</v>
      </c>
      <c r="I90" s="49">
        <f>'Avg Week Kitemu-Buddo'!I90+'Avg Week Buddo-Kitemu'!I90</f>
        <v>1</v>
      </c>
      <c r="J90" s="49">
        <f>'Avg Week Kitemu-Buddo'!J90+'Avg Week Buddo-Kitemu'!J90</f>
        <v>1</v>
      </c>
      <c r="K90" s="49">
        <f>'Avg Week Kitemu-Buddo'!K90+'Avg Week Buddo-Kitemu'!K90</f>
        <v>0</v>
      </c>
      <c r="L90" s="49">
        <f>'Avg Week Kitemu-Buddo'!L90+'Avg Week Buddo-Kitemu'!L90</f>
        <v>0</v>
      </c>
      <c r="M90" s="49">
        <f>'Avg Week Kitemu-Buddo'!M90+'Avg Week Buddo-Kitemu'!M90</f>
        <v>8</v>
      </c>
      <c r="N90" s="49">
        <f>'Avg Week Kitemu-Buddo'!N90+'Avg Week Buddo-Kitemu'!N90</f>
        <v>0</v>
      </c>
      <c r="O90" s="15">
        <f t="shared" si="35"/>
        <v>3.5</v>
      </c>
      <c r="P90" s="15">
        <f t="shared" si="36"/>
        <v>11.5</v>
      </c>
      <c r="R90" s="8"/>
      <c r="T90"/>
    </row>
    <row r="91" spans="2:20" ht="23.1" customHeight="1" x14ac:dyDescent="0.25">
      <c r="B91" s="23" t="s">
        <v>131</v>
      </c>
      <c r="C91" s="49">
        <f>'Avg Week Kitemu-Buddo'!C91+'Avg Week Buddo-Kitemu'!C91</f>
        <v>1</v>
      </c>
      <c r="D91" s="49">
        <f>'Avg Week Kitemu-Buddo'!D91+'Avg Week Buddo-Kitemu'!D91</f>
        <v>0</v>
      </c>
      <c r="E91" s="49">
        <f>'Avg Week Kitemu-Buddo'!E91+'Avg Week Buddo-Kitemu'!E91</f>
        <v>0</v>
      </c>
      <c r="F91" s="49">
        <f>'Avg Week Kitemu-Buddo'!F91+'Avg Week Buddo-Kitemu'!F91</f>
        <v>0.5</v>
      </c>
      <c r="G91" s="49">
        <f>'Avg Week Kitemu-Buddo'!G91+'Avg Week Buddo-Kitemu'!G91</f>
        <v>0</v>
      </c>
      <c r="H91" s="49">
        <f>'Avg Week Kitemu-Buddo'!H91+'Avg Week Buddo-Kitemu'!H91</f>
        <v>0</v>
      </c>
      <c r="I91" s="49">
        <f>'Avg Week Kitemu-Buddo'!I91+'Avg Week Buddo-Kitemu'!I91</f>
        <v>1</v>
      </c>
      <c r="J91" s="49">
        <f>'Avg Week Kitemu-Buddo'!J91+'Avg Week Buddo-Kitemu'!J91</f>
        <v>0</v>
      </c>
      <c r="K91" s="49">
        <f>'Avg Week Kitemu-Buddo'!K91+'Avg Week Buddo-Kitemu'!K91</f>
        <v>0</v>
      </c>
      <c r="L91" s="49">
        <f>'Avg Week Kitemu-Buddo'!L91+'Avg Week Buddo-Kitemu'!L91</f>
        <v>0</v>
      </c>
      <c r="M91" s="49">
        <f>'Avg Week Kitemu-Buddo'!M91+'Avg Week Buddo-Kitemu'!M91</f>
        <v>7.5</v>
      </c>
      <c r="N91" s="49">
        <f>'Avg Week Kitemu-Buddo'!N91+'Avg Week Buddo-Kitemu'!N91</f>
        <v>0</v>
      </c>
      <c r="O91" s="15">
        <f t="shared" si="35"/>
        <v>2.5</v>
      </c>
      <c r="P91" s="15">
        <f t="shared" si="36"/>
        <v>10</v>
      </c>
      <c r="R91" s="8"/>
      <c r="T91"/>
    </row>
    <row r="92" spans="2:20" ht="23.1" customHeight="1" x14ac:dyDescent="0.25">
      <c r="B92" s="25" t="s">
        <v>132</v>
      </c>
      <c r="C92" s="49">
        <f>'Avg Week Kitemu-Buddo'!C92+'Avg Week Buddo-Kitemu'!C92</f>
        <v>1.5</v>
      </c>
      <c r="D92" s="49">
        <f>'Avg Week Kitemu-Buddo'!D92+'Avg Week Buddo-Kitemu'!D92</f>
        <v>0</v>
      </c>
      <c r="E92" s="49">
        <f>'Avg Week Kitemu-Buddo'!E92+'Avg Week Buddo-Kitemu'!E92</f>
        <v>0</v>
      </c>
      <c r="F92" s="49">
        <f>'Avg Week Kitemu-Buddo'!F92+'Avg Week Buddo-Kitemu'!F92</f>
        <v>0</v>
      </c>
      <c r="G92" s="49">
        <f>'Avg Week Kitemu-Buddo'!G92+'Avg Week Buddo-Kitemu'!G92</f>
        <v>0</v>
      </c>
      <c r="H92" s="49">
        <f>'Avg Week Kitemu-Buddo'!H92+'Avg Week Buddo-Kitemu'!H92</f>
        <v>0</v>
      </c>
      <c r="I92" s="49">
        <f>'Avg Week Kitemu-Buddo'!I92+'Avg Week Buddo-Kitemu'!I92</f>
        <v>0</v>
      </c>
      <c r="J92" s="49">
        <f>'Avg Week Kitemu-Buddo'!J92+'Avg Week Buddo-Kitemu'!J92</f>
        <v>0</v>
      </c>
      <c r="K92" s="49">
        <f>'Avg Week Kitemu-Buddo'!K92+'Avg Week Buddo-Kitemu'!K92</f>
        <v>0</v>
      </c>
      <c r="L92" s="49">
        <f>'Avg Week Kitemu-Buddo'!L92+'Avg Week Buddo-Kitemu'!L92</f>
        <v>0</v>
      </c>
      <c r="M92" s="49">
        <f>'Avg Week Kitemu-Buddo'!M92+'Avg Week Buddo-Kitemu'!M92</f>
        <v>10</v>
      </c>
      <c r="N92" s="49">
        <f>'Avg Week Kitemu-Buddo'!N92+'Avg Week Buddo-Kitemu'!N92</f>
        <v>0</v>
      </c>
      <c r="O92" s="15">
        <f t="shared" si="35"/>
        <v>1.5</v>
      </c>
      <c r="P92" s="15">
        <f t="shared" si="36"/>
        <v>11.5</v>
      </c>
      <c r="R92" s="8"/>
      <c r="T92"/>
    </row>
    <row r="93" spans="2:20" ht="23.1" customHeight="1" x14ac:dyDescent="0.25">
      <c r="B93" s="23" t="s">
        <v>133</v>
      </c>
      <c r="C93" s="49">
        <f>'Avg Week Kitemu-Buddo'!C93+'Avg Week Buddo-Kitemu'!C93</f>
        <v>2</v>
      </c>
      <c r="D93" s="49">
        <f>'Avg Week Kitemu-Buddo'!D93+'Avg Week Buddo-Kitemu'!D93</f>
        <v>0</v>
      </c>
      <c r="E93" s="49">
        <f>'Avg Week Kitemu-Buddo'!E93+'Avg Week Buddo-Kitemu'!E93</f>
        <v>1</v>
      </c>
      <c r="F93" s="49">
        <f>'Avg Week Kitemu-Buddo'!F93+'Avg Week Buddo-Kitemu'!F93</f>
        <v>0.5</v>
      </c>
      <c r="G93" s="49">
        <f>'Avg Week Kitemu-Buddo'!G93+'Avg Week Buddo-Kitemu'!G93</f>
        <v>0</v>
      </c>
      <c r="H93" s="49">
        <f>'Avg Week Kitemu-Buddo'!H93+'Avg Week Buddo-Kitemu'!H93</f>
        <v>0</v>
      </c>
      <c r="I93" s="49">
        <f>'Avg Week Kitemu-Buddo'!I93+'Avg Week Buddo-Kitemu'!I93</f>
        <v>0.5</v>
      </c>
      <c r="J93" s="49">
        <f>'Avg Week Kitemu-Buddo'!J93+'Avg Week Buddo-Kitemu'!J93</f>
        <v>0</v>
      </c>
      <c r="K93" s="49">
        <f>'Avg Week Kitemu-Buddo'!K93+'Avg Week Buddo-Kitemu'!K93</f>
        <v>0</v>
      </c>
      <c r="L93" s="49">
        <f>'Avg Week Kitemu-Buddo'!L93+'Avg Week Buddo-Kitemu'!L93</f>
        <v>0</v>
      </c>
      <c r="M93" s="49">
        <f>'Avg Week Kitemu-Buddo'!M93+'Avg Week Buddo-Kitemu'!M93</f>
        <v>12</v>
      </c>
      <c r="N93" s="49">
        <f>'Avg Week Kitemu-Buddo'!N93+'Avg Week Buddo-Kitemu'!N93</f>
        <v>0</v>
      </c>
      <c r="O93" s="15">
        <f t="shared" si="35"/>
        <v>4</v>
      </c>
      <c r="P93" s="15">
        <f t="shared" si="36"/>
        <v>16</v>
      </c>
      <c r="R93" s="8"/>
      <c r="T93"/>
    </row>
    <row r="94" spans="2:20" ht="23.1" customHeight="1" x14ac:dyDescent="0.25">
      <c r="B94" s="24" t="s">
        <v>134</v>
      </c>
      <c r="C94" s="49">
        <f>'Avg Week Kitemu-Buddo'!C94+'Avg Week Buddo-Kitemu'!C94</f>
        <v>2</v>
      </c>
      <c r="D94" s="49">
        <f>'Avg Week Kitemu-Buddo'!D94+'Avg Week Buddo-Kitemu'!D94</f>
        <v>1</v>
      </c>
      <c r="E94" s="49">
        <f>'Avg Week Kitemu-Buddo'!E94+'Avg Week Buddo-Kitemu'!E94</f>
        <v>0.5</v>
      </c>
      <c r="F94" s="49">
        <f>'Avg Week Kitemu-Buddo'!F94+'Avg Week Buddo-Kitemu'!F94</f>
        <v>0</v>
      </c>
      <c r="G94" s="49">
        <f>'Avg Week Kitemu-Buddo'!G94+'Avg Week Buddo-Kitemu'!G94</f>
        <v>0</v>
      </c>
      <c r="H94" s="49">
        <f>'Avg Week Kitemu-Buddo'!H94+'Avg Week Buddo-Kitemu'!H94</f>
        <v>0</v>
      </c>
      <c r="I94" s="49">
        <f>'Avg Week Kitemu-Buddo'!I94+'Avg Week Buddo-Kitemu'!I94</f>
        <v>1</v>
      </c>
      <c r="J94" s="49">
        <f>'Avg Week Kitemu-Buddo'!J94+'Avg Week Buddo-Kitemu'!J94</f>
        <v>0</v>
      </c>
      <c r="K94" s="49">
        <f>'Avg Week Kitemu-Buddo'!K94+'Avg Week Buddo-Kitemu'!K94</f>
        <v>0</v>
      </c>
      <c r="L94" s="49">
        <f>'Avg Week Kitemu-Buddo'!L94+'Avg Week Buddo-Kitemu'!L94</f>
        <v>0</v>
      </c>
      <c r="M94" s="49">
        <f>'Avg Week Kitemu-Buddo'!M94+'Avg Week Buddo-Kitemu'!M94</f>
        <v>15.5</v>
      </c>
      <c r="N94" s="49">
        <f>'Avg Week Kitemu-Buddo'!N94+'Avg Week Buddo-Kitemu'!N94</f>
        <v>0</v>
      </c>
      <c r="O94" s="15">
        <f t="shared" si="35"/>
        <v>4.5</v>
      </c>
      <c r="P94" s="15">
        <f t="shared" si="36"/>
        <v>20</v>
      </c>
      <c r="R94" s="8"/>
      <c r="T94"/>
    </row>
    <row r="95" spans="2:20" ht="23.1" customHeight="1" x14ac:dyDescent="0.25">
      <c r="B95" s="23" t="s">
        <v>135</v>
      </c>
      <c r="C95" s="49">
        <f>'Avg Week Kitemu-Buddo'!C95+'Avg Week Buddo-Kitemu'!C95</f>
        <v>0.5</v>
      </c>
      <c r="D95" s="49">
        <f>'Avg Week Kitemu-Buddo'!D95+'Avg Week Buddo-Kitemu'!D95</f>
        <v>0.5</v>
      </c>
      <c r="E95" s="49">
        <f>'Avg Week Kitemu-Buddo'!E95+'Avg Week Buddo-Kitemu'!E95</f>
        <v>0</v>
      </c>
      <c r="F95" s="49">
        <f>'Avg Week Kitemu-Buddo'!F95+'Avg Week Buddo-Kitemu'!F95</f>
        <v>1</v>
      </c>
      <c r="G95" s="49">
        <f>'Avg Week Kitemu-Buddo'!G95+'Avg Week Buddo-Kitemu'!G95</f>
        <v>0</v>
      </c>
      <c r="H95" s="49">
        <f>'Avg Week Kitemu-Buddo'!H95+'Avg Week Buddo-Kitemu'!H95</f>
        <v>0</v>
      </c>
      <c r="I95" s="49">
        <f>'Avg Week Kitemu-Buddo'!I95+'Avg Week Buddo-Kitemu'!I95</f>
        <v>0.5</v>
      </c>
      <c r="J95" s="49">
        <f>'Avg Week Kitemu-Buddo'!J95+'Avg Week Buddo-Kitemu'!J95</f>
        <v>0.5</v>
      </c>
      <c r="K95" s="49">
        <f>'Avg Week Kitemu-Buddo'!K95+'Avg Week Buddo-Kitemu'!K95</f>
        <v>0</v>
      </c>
      <c r="L95" s="49">
        <f>'Avg Week Kitemu-Buddo'!L95+'Avg Week Buddo-Kitemu'!L95</f>
        <v>0</v>
      </c>
      <c r="M95" s="49">
        <f>'Avg Week Kitemu-Buddo'!M95+'Avg Week Buddo-Kitemu'!M95</f>
        <v>13</v>
      </c>
      <c r="N95" s="49">
        <f>'Avg Week Kitemu-Buddo'!N95+'Avg Week Buddo-Kitemu'!N95</f>
        <v>0</v>
      </c>
      <c r="O95" s="15">
        <f t="shared" si="35"/>
        <v>3</v>
      </c>
      <c r="P95" s="15">
        <f t="shared" si="36"/>
        <v>16</v>
      </c>
      <c r="R95" s="8"/>
      <c r="T95"/>
    </row>
    <row r="96" spans="2:20" ht="23.1" customHeight="1" x14ac:dyDescent="0.25">
      <c r="B96" s="25" t="s">
        <v>136</v>
      </c>
      <c r="C96" s="49">
        <f>'Avg Week Kitemu-Buddo'!C96+'Avg Week Buddo-Kitemu'!C96</f>
        <v>1.5</v>
      </c>
      <c r="D96" s="49">
        <f>'Avg Week Kitemu-Buddo'!D96+'Avg Week Buddo-Kitemu'!D96</f>
        <v>0.5</v>
      </c>
      <c r="E96" s="49">
        <f>'Avg Week Kitemu-Buddo'!E96+'Avg Week Buddo-Kitemu'!E96</f>
        <v>0.5</v>
      </c>
      <c r="F96" s="49">
        <f>'Avg Week Kitemu-Buddo'!F96+'Avg Week Buddo-Kitemu'!F96</f>
        <v>1.5</v>
      </c>
      <c r="G96" s="49">
        <f>'Avg Week Kitemu-Buddo'!G96+'Avg Week Buddo-Kitemu'!G96</f>
        <v>0.5</v>
      </c>
      <c r="H96" s="49">
        <f>'Avg Week Kitemu-Buddo'!H96+'Avg Week Buddo-Kitemu'!H96</f>
        <v>0</v>
      </c>
      <c r="I96" s="49">
        <f>'Avg Week Kitemu-Buddo'!I96+'Avg Week Buddo-Kitemu'!I96</f>
        <v>0.5</v>
      </c>
      <c r="J96" s="49">
        <f>'Avg Week Kitemu-Buddo'!J96+'Avg Week Buddo-Kitemu'!J96</f>
        <v>0</v>
      </c>
      <c r="K96" s="49">
        <f>'Avg Week Kitemu-Buddo'!K96+'Avg Week Buddo-Kitemu'!K96</f>
        <v>0</v>
      </c>
      <c r="L96" s="49">
        <f>'Avg Week Kitemu-Buddo'!L96+'Avg Week Buddo-Kitemu'!L96</f>
        <v>0</v>
      </c>
      <c r="M96" s="49">
        <f>'Avg Week Kitemu-Buddo'!M96+'Avg Week Buddo-Kitemu'!M96</f>
        <v>13</v>
      </c>
      <c r="N96" s="49">
        <f>'Avg Week Kitemu-Buddo'!N96+'Avg Week Buddo-Kitemu'!N96</f>
        <v>0</v>
      </c>
      <c r="O96" s="15">
        <f t="shared" si="35"/>
        <v>5</v>
      </c>
      <c r="P96" s="15">
        <f t="shared" si="36"/>
        <v>18</v>
      </c>
      <c r="R96" s="8"/>
      <c r="T96"/>
    </row>
    <row r="97" spans="2:20" ht="23.1" customHeight="1" x14ac:dyDescent="0.25">
      <c r="B97" s="23" t="s">
        <v>137</v>
      </c>
      <c r="C97" s="49">
        <f>'Avg Week Kitemu-Buddo'!C97+'Avg Week Buddo-Kitemu'!C97</f>
        <v>2.5</v>
      </c>
      <c r="D97" s="49">
        <f>'Avg Week Kitemu-Buddo'!D97+'Avg Week Buddo-Kitemu'!D97</f>
        <v>0</v>
      </c>
      <c r="E97" s="49">
        <f>'Avg Week Kitemu-Buddo'!E97+'Avg Week Buddo-Kitemu'!E97</f>
        <v>0</v>
      </c>
      <c r="F97" s="49">
        <f>'Avg Week Kitemu-Buddo'!F97+'Avg Week Buddo-Kitemu'!F97</f>
        <v>2.5</v>
      </c>
      <c r="G97" s="49">
        <f>'Avg Week Kitemu-Buddo'!G97+'Avg Week Buddo-Kitemu'!G97</f>
        <v>0.5</v>
      </c>
      <c r="H97" s="49">
        <f>'Avg Week Kitemu-Buddo'!H97+'Avg Week Buddo-Kitemu'!H97</f>
        <v>0</v>
      </c>
      <c r="I97" s="49">
        <f>'Avg Week Kitemu-Buddo'!I97+'Avg Week Buddo-Kitemu'!I97</f>
        <v>2.5</v>
      </c>
      <c r="J97" s="49">
        <f>'Avg Week Kitemu-Buddo'!J97+'Avg Week Buddo-Kitemu'!J97</f>
        <v>0.5</v>
      </c>
      <c r="K97" s="49">
        <f>'Avg Week Kitemu-Buddo'!K97+'Avg Week Buddo-Kitemu'!K97</f>
        <v>0</v>
      </c>
      <c r="L97" s="49">
        <f>'Avg Week Kitemu-Buddo'!L97+'Avg Week Buddo-Kitemu'!L97</f>
        <v>0</v>
      </c>
      <c r="M97" s="49">
        <f>'Avg Week Kitemu-Buddo'!M97+'Avg Week Buddo-Kitemu'!M97</f>
        <v>20.5</v>
      </c>
      <c r="N97" s="49">
        <f>'Avg Week Kitemu-Buddo'!N97+'Avg Week Buddo-Kitemu'!N97</f>
        <v>0</v>
      </c>
      <c r="O97" s="15">
        <f t="shared" si="35"/>
        <v>8.5</v>
      </c>
      <c r="P97" s="15">
        <f t="shared" si="36"/>
        <v>29</v>
      </c>
      <c r="R97" s="8"/>
      <c r="T97"/>
    </row>
    <row r="98" spans="2:20" ht="23.1" customHeight="1" x14ac:dyDescent="0.25">
      <c r="B98" s="24" t="s">
        <v>138</v>
      </c>
      <c r="C98" s="49">
        <f>'Avg Week Kitemu-Buddo'!C98+'Avg Week Buddo-Kitemu'!C98</f>
        <v>2.5</v>
      </c>
      <c r="D98" s="49">
        <f>'Avg Week Kitemu-Buddo'!D98+'Avg Week Buddo-Kitemu'!D98</f>
        <v>1</v>
      </c>
      <c r="E98" s="49">
        <f>'Avg Week Kitemu-Buddo'!E98+'Avg Week Buddo-Kitemu'!E98</f>
        <v>0.5</v>
      </c>
      <c r="F98" s="49">
        <f>'Avg Week Kitemu-Buddo'!F98+'Avg Week Buddo-Kitemu'!F98</f>
        <v>9</v>
      </c>
      <c r="G98" s="49">
        <f>'Avg Week Kitemu-Buddo'!G98+'Avg Week Buddo-Kitemu'!G98</f>
        <v>0</v>
      </c>
      <c r="H98" s="49">
        <f>'Avg Week Kitemu-Buddo'!H98+'Avg Week Buddo-Kitemu'!H98</f>
        <v>0</v>
      </c>
      <c r="I98" s="49">
        <f>'Avg Week Kitemu-Buddo'!I98+'Avg Week Buddo-Kitemu'!I98</f>
        <v>1.5</v>
      </c>
      <c r="J98" s="49">
        <f>'Avg Week Kitemu-Buddo'!J98+'Avg Week Buddo-Kitemu'!J98</f>
        <v>0</v>
      </c>
      <c r="K98" s="49">
        <f>'Avg Week Kitemu-Buddo'!K98+'Avg Week Buddo-Kitemu'!K98</f>
        <v>0</v>
      </c>
      <c r="L98" s="49">
        <f>'Avg Week Kitemu-Buddo'!L98+'Avg Week Buddo-Kitemu'!L98</f>
        <v>0</v>
      </c>
      <c r="M98" s="49">
        <f>'Avg Week Kitemu-Buddo'!M98+'Avg Week Buddo-Kitemu'!M98</f>
        <v>19</v>
      </c>
      <c r="N98" s="49">
        <f>'Avg Week Kitemu-Buddo'!N98+'Avg Week Buddo-Kitemu'!N98</f>
        <v>0</v>
      </c>
      <c r="O98" s="15">
        <f t="shared" si="35"/>
        <v>14.5</v>
      </c>
      <c r="P98" s="15">
        <f t="shared" si="36"/>
        <v>33.5</v>
      </c>
      <c r="R98" s="8"/>
      <c r="T98"/>
    </row>
    <row r="99" spans="2:20" ht="23.1" customHeight="1" x14ac:dyDescent="0.25">
      <c r="B99" s="23" t="s">
        <v>139</v>
      </c>
      <c r="C99" s="49">
        <f>'Avg Week Kitemu-Buddo'!C99+'Avg Week Buddo-Kitemu'!C99</f>
        <v>2</v>
      </c>
      <c r="D99" s="49">
        <f>'Avg Week Kitemu-Buddo'!D99+'Avg Week Buddo-Kitemu'!D99</f>
        <v>0.5</v>
      </c>
      <c r="E99" s="49">
        <f>'Avg Week Kitemu-Buddo'!E99+'Avg Week Buddo-Kitemu'!E99</f>
        <v>0</v>
      </c>
      <c r="F99" s="49">
        <f>'Avg Week Kitemu-Buddo'!F99+'Avg Week Buddo-Kitemu'!F99</f>
        <v>8.5</v>
      </c>
      <c r="G99" s="49">
        <f>'Avg Week Kitemu-Buddo'!G99+'Avg Week Buddo-Kitemu'!G99</f>
        <v>0</v>
      </c>
      <c r="H99" s="49">
        <f>'Avg Week Kitemu-Buddo'!H99+'Avg Week Buddo-Kitemu'!H99</f>
        <v>0</v>
      </c>
      <c r="I99" s="49">
        <f>'Avg Week Kitemu-Buddo'!I99+'Avg Week Buddo-Kitemu'!I99</f>
        <v>0.5</v>
      </c>
      <c r="J99" s="49">
        <f>'Avg Week Kitemu-Buddo'!J99+'Avg Week Buddo-Kitemu'!J99</f>
        <v>1.5</v>
      </c>
      <c r="K99" s="49">
        <f>'Avg Week Kitemu-Buddo'!K99+'Avg Week Buddo-Kitemu'!K99</f>
        <v>0</v>
      </c>
      <c r="L99" s="49">
        <f>'Avg Week Kitemu-Buddo'!L99+'Avg Week Buddo-Kitemu'!L99</f>
        <v>0</v>
      </c>
      <c r="M99" s="49">
        <f>'Avg Week Kitemu-Buddo'!M99+'Avg Week Buddo-Kitemu'!M99</f>
        <v>19.5</v>
      </c>
      <c r="N99" s="49">
        <f>'Avg Week Kitemu-Buddo'!N99+'Avg Week Buddo-Kitemu'!N99</f>
        <v>0</v>
      </c>
      <c r="O99" s="15">
        <f t="shared" si="35"/>
        <v>13</v>
      </c>
      <c r="P99" s="15">
        <f t="shared" si="36"/>
        <v>32.5</v>
      </c>
      <c r="R99" s="8"/>
      <c r="T99"/>
    </row>
    <row r="100" spans="2:20" ht="23.1" customHeight="1" x14ac:dyDescent="0.25">
      <c r="B100" s="25" t="s">
        <v>140</v>
      </c>
      <c r="C100" s="49">
        <f>'Avg Week Kitemu-Buddo'!C100+'Avg Week Buddo-Kitemu'!C100</f>
        <v>1.5</v>
      </c>
      <c r="D100" s="49">
        <f>'Avg Week Kitemu-Buddo'!D100+'Avg Week Buddo-Kitemu'!D100</f>
        <v>0</v>
      </c>
      <c r="E100" s="49">
        <f>'Avg Week Kitemu-Buddo'!E100+'Avg Week Buddo-Kitemu'!E100</f>
        <v>0.5</v>
      </c>
      <c r="F100" s="49">
        <f>'Avg Week Kitemu-Buddo'!F100+'Avg Week Buddo-Kitemu'!F100</f>
        <v>5</v>
      </c>
      <c r="G100" s="49">
        <f>'Avg Week Kitemu-Buddo'!G100+'Avg Week Buddo-Kitemu'!G100</f>
        <v>3.5</v>
      </c>
      <c r="H100" s="49">
        <f>'Avg Week Kitemu-Buddo'!H100+'Avg Week Buddo-Kitemu'!H100</f>
        <v>0</v>
      </c>
      <c r="I100" s="49">
        <f>'Avg Week Kitemu-Buddo'!I100+'Avg Week Buddo-Kitemu'!I100</f>
        <v>0.5</v>
      </c>
      <c r="J100" s="49">
        <f>'Avg Week Kitemu-Buddo'!J100+'Avg Week Buddo-Kitemu'!J100</f>
        <v>0</v>
      </c>
      <c r="K100" s="49">
        <f>'Avg Week Kitemu-Buddo'!K100+'Avg Week Buddo-Kitemu'!K100</f>
        <v>0</v>
      </c>
      <c r="L100" s="49">
        <f>'Avg Week Kitemu-Buddo'!L100+'Avg Week Buddo-Kitemu'!L100</f>
        <v>0</v>
      </c>
      <c r="M100" s="49">
        <f>'Avg Week Kitemu-Buddo'!M100+'Avg Week Buddo-Kitemu'!M100</f>
        <v>22.5</v>
      </c>
      <c r="N100" s="49">
        <f>'Avg Week Kitemu-Buddo'!N100+'Avg Week Buddo-Kitemu'!N100</f>
        <v>0</v>
      </c>
      <c r="O100" s="15">
        <f t="shared" si="35"/>
        <v>11</v>
      </c>
      <c r="P100" s="15">
        <f t="shared" si="36"/>
        <v>33.5</v>
      </c>
      <c r="R100" s="8"/>
      <c r="T100"/>
    </row>
    <row r="101" spans="2:20" ht="23.1" customHeight="1" x14ac:dyDescent="0.25">
      <c r="B101" s="23" t="s">
        <v>141</v>
      </c>
      <c r="C101" s="49">
        <f>'Avg Week Kitemu-Buddo'!C101+'Avg Week Buddo-Kitemu'!C101</f>
        <v>3.5</v>
      </c>
      <c r="D101" s="49">
        <f>'Avg Week Kitemu-Buddo'!D101+'Avg Week Buddo-Kitemu'!D101</f>
        <v>1.5</v>
      </c>
      <c r="E101" s="49">
        <f>'Avg Week Kitemu-Buddo'!E101+'Avg Week Buddo-Kitemu'!E101</f>
        <v>0.5</v>
      </c>
      <c r="F101" s="49">
        <f>'Avg Week Kitemu-Buddo'!F101+'Avg Week Buddo-Kitemu'!F101</f>
        <v>7.5</v>
      </c>
      <c r="G101" s="49">
        <f>'Avg Week Kitemu-Buddo'!G101+'Avg Week Buddo-Kitemu'!G101</f>
        <v>0.5</v>
      </c>
      <c r="H101" s="49">
        <f>'Avg Week Kitemu-Buddo'!H101+'Avg Week Buddo-Kitemu'!H101</f>
        <v>0</v>
      </c>
      <c r="I101" s="49">
        <f>'Avg Week Kitemu-Buddo'!I101+'Avg Week Buddo-Kitemu'!I101</f>
        <v>1.5</v>
      </c>
      <c r="J101" s="49">
        <f>'Avg Week Kitemu-Buddo'!J101+'Avg Week Buddo-Kitemu'!J101</f>
        <v>1</v>
      </c>
      <c r="K101" s="49">
        <f>'Avg Week Kitemu-Buddo'!K101+'Avg Week Buddo-Kitemu'!K101</f>
        <v>0</v>
      </c>
      <c r="L101" s="49">
        <f>'Avg Week Kitemu-Buddo'!L101+'Avg Week Buddo-Kitemu'!L101</f>
        <v>0</v>
      </c>
      <c r="M101" s="49">
        <f>'Avg Week Kitemu-Buddo'!M101+'Avg Week Buddo-Kitemu'!M101</f>
        <v>26</v>
      </c>
      <c r="N101" s="49">
        <f>'Avg Week Kitemu-Buddo'!N101+'Avg Week Buddo-Kitemu'!N101</f>
        <v>0</v>
      </c>
      <c r="O101" s="15">
        <f t="shared" si="35"/>
        <v>16</v>
      </c>
      <c r="P101" s="15">
        <f t="shared" si="36"/>
        <v>42</v>
      </c>
      <c r="R101" s="8"/>
      <c r="T101"/>
    </row>
    <row r="102" spans="2:20" ht="23.1" customHeight="1" x14ac:dyDescent="0.25">
      <c r="B102" s="24" t="s">
        <v>142</v>
      </c>
      <c r="C102" s="49">
        <f>'Avg Week Kitemu-Buddo'!C102+'Avg Week Buddo-Kitemu'!C102</f>
        <v>5</v>
      </c>
      <c r="D102" s="49">
        <f>'Avg Week Kitemu-Buddo'!D102+'Avg Week Buddo-Kitemu'!D102</f>
        <v>0</v>
      </c>
      <c r="E102" s="49">
        <f>'Avg Week Kitemu-Buddo'!E102+'Avg Week Buddo-Kitemu'!E102</f>
        <v>0</v>
      </c>
      <c r="F102" s="49">
        <f>'Avg Week Kitemu-Buddo'!F102+'Avg Week Buddo-Kitemu'!F102</f>
        <v>9.5</v>
      </c>
      <c r="G102" s="49">
        <f>'Avg Week Kitemu-Buddo'!G102+'Avg Week Buddo-Kitemu'!G102</f>
        <v>1</v>
      </c>
      <c r="H102" s="49">
        <f>'Avg Week Kitemu-Buddo'!H102+'Avg Week Buddo-Kitemu'!H102</f>
        <v>0</v>
      </c>
      <c r="I102" s="49">
        <f>'Avg Week Kitemu-Buddo'!I102+'Avg Week Buddo-Kitemu'!I102</f>
        <v>0.5</v>
      </c>
      <c r="J102" s="49">
        <f>'Avg Week Kitemu-Buddo'!J102+'Avg Week Buddo-Kitemu'!J102</f>
        <v>1</v>
      </c>
      <c r="K102" s="49">
        <f>'Avg Week Kitemu-Buddo'!K102+'Avg Week Buddo-Kitemu'!K102</f>
        <v>0</v>
      </c>
      <c r="L102" s="49">
        <f>'Avg Week Kitemu-Buddo'!L102+'Avg Week Buddo-Kitemu'!L102</f>
        <v>0</v>
      </c>
      <c r="M102" s="49">
        <f>'Avg Week Kitemu-Buddo'!M102+'Avg Week Buddo-Kitemu'!M102</f>
        <v>28.5</v>
      </c>
      <c r="N102" s="49">
        <f>'Avg Week Kitemu-Buddo'!N102+'Avg Week Buddo-Kitemu'!N102</f>
        <v>0</v>
      </c>
      <c r="O102" s="15">
        <f t="shared" si="35"/>
        <v>17</v>
      </c>
      <c r="P102" s="15">
        <f t="shared" si="36"/>
        <v>45.5</v>
      </c>
      <c r="R102" s="8"/>
      <c r="T102"/>
    </row>
    <row r="103" spans="2:20" ht="23.1" customHeight="1" x14ac:dyDescent="0.25">
      <c r="B103" s="23" t="s">
        <v>143</v>
      </c>
      <c r="C103" s="49">
        <f>'Avg Week Kitemu-Buddo'!C103+'Avg Week Buddo-Kitemu'!C103</f>
        <v>3.5</v>
      </c>
      <c r="D103" s="49">
        <f>'Avg Week Kitemu-Buddo'!D103+'Avg Week Buddo-Kitemu'!D103</f>
        <v>0</v>
      </c>
      <c r="E103" s="49">
        <f>'Avg Week Kitemu-Buddo'!E103+'Avg Week Buddo-Kitemu'!E103</f>
        <v>0</v>
      </c>
      <c r="F103" s="49">
        <f>'Avg Week Kitemu-Buddo'!F103+'Avg Week Buddo-Kitemu'!F103</f>
        <v>11.5</v>
      </c>
      <c r="G103" s="49">
        <f>'Avg Week Kitemu-Buddo'!G103+'Avg Week Buddo-Kitemu'!G103</f>
        <v>0</v>
      </c>
      <c r="H103" s="49">
        <f>'Avg Week Kitemu-Buddo'!H103+'Avg Week Buddo-Kitemu'!H103</f>
        <v>0</v>
      </c>
      <c r="I103" s="49">
        <f>'Avg Week Kitemu-Buddo'!I103+'Avg Week Buddo-Kitemu'!I103</f>
        <v>2.5</v>
      </c>
      <c r="J103" s="49">
        <f>'Avg Week Kitemu-Buddo'!J103+'Avg Week Buddo-Kitemu'!J103</f>
        <v>0.5</v>
      </c>
      <c r="K103" s="49">
        <f>'Avg Week Kitemu-Buddo'!K103+'Avg Week Buddo-Kitemu'!K103</f>
        <v>0</v>
      </c>
      <c r="L103" s="49">
        <f>'Avg Week Kitemu-Buddo'!L103+'Avg Week Buddo-Kitemu'!L103</f>
        <v>0</v>
      </c>
      <c r="M103" s="49">
        <f>'Avg Week Kitemu-Buddo'!M103+'Avg Week Buddo-Kitemu'!M103</f>
        <v>43.5</v>
      </c>
      <c r="N103" s="49">
        <f>'Avg Week Kitemu-Buddo'!N103+'Avg Week Buddo-Kitemu'!N103</f>
        <v>0</v>
      </c>
      <c r="O103" s="15">
        <f t="shared" si="35"/>
        <v>18</v>
      </c>
      <c r="P103" s="15">
        <f t="shared" si="36"/>
        <v>61.5</v>
      </c>
      <c r="R103" s="8"/>
      <c r="T103"/>
    </row>
    <row r="104" spans="2:20" ht="23.1" customHeight="1" x14ac:dyDescent="0.25">
      <c r="B104" s="25" t="s">
        <v>144</v>
      </c>
      <c r="C104" s="49">
        <f>'Avg Week Kitemu-Buddo'!C104+'Avg Week Buddo-Kitemu'!C104</f>
        <v>7</v>
      </c>
      <c r="D104" s="49">
        <f>'Avg Week Kitemu-Buddo'!D104+'Avg Week Buddo-Kitemu'!D104</f>
        <v>0.5</v>
      </c>
      <c r="E104" s="49">
        <f>'Avg Week Kitemu-Buddo'!E104+'Avg Week Buddo-Kitemu'!E104</f>
        <v>1</v>
      </c>
      <c r="F104" s="49">
        <f>'Avg Week Kitemu-Buddo'!F104+'Avg Week Buddo-Kitemu'!F104</f>
        <v>7.5</v>
      </c>
      <c r="G104" s="49">
        <f>'Avg Week Kitemu-Buddo'!G104+'Avg Week Buddo-Kitemu'!G104</f>
        <v>0.5</v>
      </c>
      <c r="H104" s="49">
        <f>'Avg Week Kitemu-Buddo'!H104+'Avg Week Buddo-Kitemu'!H104</f>
        <v>0</v>
      </c>
      <c r="I104" s="49">
        <f>'Avg Week Kitemu-Buddo'!I104+'Avg Week Buddo-Kitemu'!I104</f>
        <v>2</v>
      </c>
      <c r="J104" s="49">
        <f>'Avg Week Kitemu-Buddo'!J104+'Avg Week Buddo-Kitemu'!J104</f>
        <v>1</v>
      </c>
      <c r="K104" s="49">
        <f>'Avg Week Kitemu-Buddo'!K104+'Avg Week Buddo-Kitemu'!K104</f>
        <v>0</v>
      </c>
      <c r="L104" s="49">
        <f>'Avg Week Kitemu-Buddo'!L104+'Avg Week Buddo-Kitemu'!L104</f>
        <v>0</v>
      </c>
      <c r="M104" s="49">
        <f>'Avg Week Kitemu-Buddo'!M104+'Avg Week Buddo-Kitemu'!M104</f>
        <v>51.5</v>
      </c>
      <c r="N104" s="49">
        <f>'Avg Week Kitemu-Buddo'!N104+'Avg Week Buddo-Kitemu'!N104</f>
        <v>0</v>
      </c>
      <c r="O104" s="15">
        <f t="shared" si="35"/>
        <v>19.5</v>
      </c>
      <c r="P104" s="15">
        <f t="shared" si="36"/>
        <v>71</v>
      </c>
      <c r="R104" s="8"/>
      <c r="T104"/>
    </row>
    <row r="105" spans="2:20" ht="23.1" customHeight="1" x14ac:dyDescent="0.25">
      <c r="B105" s="23" t="s">
        <v>145</v>
      </c>
      <c r="C105" s="49">
        <f>'Avg Week Kitemu-Buddo'!C105+'Avg Week Buddo-Kitemu'!C105</f>
        <v>6</v>
      </c>
      <c r="D105" s="49">
        <f>'Avg Week Kitemu-Buddo'!D105+'Avg Week Buddo-Kitemu'!D105</f>
        <v>1</v>
      </c>
      <c r="E105" s="49">
        <f>'Avg Week Kitemu-Buddo'!E105+'Avg Week Buddo-Kitemu'!E105</f>
        <v>1</v>
      </c>
      <c r="F105" s="49">
        <f>'Avg Week Kitemu-Buddo'!F105+'Avg Week Buddo-Kitemu'!F105</f>
        <v>8</v>
      </c>
      <c r="G105" s="49">
        <f>'Avg Week Kitemu-Buddo'!G105+'Avg Week Buddo-Kitemu'!G105</f>
        <v>0</v>
      </c>
      <c r="H105" s="49">
        <f>'Avg Week Kitemu-Buddo'!H105+'Avg Week Buddo-Kitemu'!H105</f>
        <v>0</v>
      </c>
      <c r="I105" s="49">
        <f>'Avg Week Kitemu-Buddo'!I105+'Avg Week Buddo-Kitemu'!I105</f>
        <v>1</v>
      </c>
      <c r="J105" s="49">
        <f>'Avg Week Kitemu-Buddo'!J105+'Avg Week Buddo-Kitemu'!J105</f>
        <v>2</v>
      </c>
      <c r="K105" s="49">
        <f>'Avg Week Kitemu-Buddo'!K105+'Avg Week Buddo-Kitemu'!K105</f>
        <v>0</v>
      </c>
      <c r="L105" s="49">
        <f>'Avg Week Kitemu-Buddo'!L105+'Avg Week Buddo-Kitemu'!L105</f>
        <v>0</v>
      </c>
      <c r="M105" s="49">
        <f>'Avg Week Kitemu-Buddo'!M105+'Avg Week Buddo-Kitemu'!M105</f>
        <v>58.5</v>
      </c>
      <c r="N105" s="49">
        <f>'Avg Week Kitemu-Buddo'!N105+'Avg Week Buddo-Kitemu'!N105</f>
        <v>0</v>
      </c>
      <c r="O105" s="15">
        <f t="shared" si="35"/>
        <v>19</v>
      </c>
      <c r="P105" s="15">
        <f t="shared" si="36"/>
        <v>77.5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556.35714285714289</v>
      </c>
      <c r="D106" s="16">
        <f t="shared" ref="D106:P106" si="37">SUM(D10:D105)</f>
        <v>73.857142857142861</v>
      </c>
      <c r="E106" s="16">
        <f t="shared" si="37"/>
        <v>71.5</v>
      </c>
      <c r="F106" s="16">
        <f t="shared" si="37"/>
        <v>287.35714285714289</v>
      </c>
      <c r="G106" s="16">
        <f t="shared" si="37"/>
        <v>25.000000000000004</v>
      </c>
      <c r="H106" s="16">
        <f t="shared" si="37"/>
        <v>0.99999999999999978</v>
      </c>
      <c r="I106" s="16">
        <f t="shared" si="37"/>
        <v>191</v>
      </c>
      <c r="J106" s="16">
        <f t="shared" si="37"/>
        <v>78.500000000000014</v>
      </c>
      <c r="K106" s="16">
        <f t="shared" si="37"/>
        <v>23.142857142857146</v>
      </c>
      <c r="L106" s="16">
        <f t="shared" si="37"/>
        <v>0.5</v>
      </c>
      <c r="M106" s="16">
        <f t="shared" si="37"/>
        <v>6012.5</v>
      </c>
      <c r="N106" s="16">
        <f t="shared" si="37"/>
        <v>8.8571428571428559</v>
      </c>
      <c r="O106" s="16">
        <f t="shared" si="37"/>
        <v>1317.0714285714284</v>
      </c>
      <c r="P106" s="16">
        <f t="shared" si="37"/>
        <v>7329.5714285714284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7.5905821817685695E-2</v>
      </c>
      <c r="D107" s="43">
        <f t="shared" si="38"/>
        <v>1.0076597735201824E-2</v>
      </c>
      <c r="E107" s="43">
        <f t="shared" si="38"/>
        <v>9.7550041904613406E-3</v>
      </c>
      <c r="F107" s="43">
        <f t="shared" si="38"/>
        <v>3.9205176681544433E-2</v>
      </c>
      <c r="G107" s="43">
        <f t="shared" si="38"/>
        <v>3.4108406260354345E-3</v>
      </c>
      <c r="H107" s="43">
        <f t="shared" si="38"/>
        <v>1.3643362504141732E-4</v>
      </c>
      <c r="I107" s="43">
        <f t="shared" si="38"/>
        <v>2.6058822382910716E-2</v>
      </c>
      <c r="J107" s="43">
        <f t="shared" si="38"/>
        <v>1.0710039565751265E-2</v>
      </c>
      <c r="K107" s="43">
        <f t="shared" si="38"/>
        <v>3.1574638938156592E-3</v>
      </c>
      <c r="L107" s="43">
        <f t="shared" si="38"/>
        <v>6.8216812520708673E-5</v>
      </c>
      <c r="M107" s="43">
        <f t="shared" si="38"/>
        <v>0.8203071705615218</v>
      </c>
      <c r="N107" s="43">
        <f t="shared" si="38"/>
        <v>1.2084121075096963E-3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0.42241987092575528</v>
      </c>
      <c r="D108" s="44">
        <f t="shared" ref="D108:N108" si="39">D106/$O$106</f>
        <v>5.6076793752372699E-2</v>
      </c>
      <c r="E108" s="44">
        <f t="shared" si="39"/>
        <v>5.4287108845382077E-2</v>
      </c>
      <c r="F108" s="44">
        <f t="shared" si="39"/>
        <v>0.21817886002494716</v>
      </c>
      <c r="G108" s="44">
        <f t="shared" si="39"/>
        <v>1.8981506589294435E-2</v>
      </c>
      <c r="H108" s="44">
        <f t="shared" si="39"/>
        <v>7.5926026357177713E-4</v>
      </c>
      <c r="I108" s="44">
        <f t="shared" si="39"/>
        <v>0.14501871034220945</v>
      </c>
      <c r="J108" s="44">
        <f t="shared" si="39"/>
        <v>5.9601930690384525E-2</v>
      </c>
      <c r="K108" s="44">
        <f t="shared" si="39"/>
        <v>1.7571451814089704E-2</v>
      </c>
      <c r="L108" s="44">
        <f t="shared" si="39"/>
        <v>3.7963013178588862E-4</v>
      </c>
      <c r="M108" s="44"/>
      <c r="N108" s="44">
        <f t="shared" si="39"/>
        <v>6.7248766202071689E-3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23.09.19-Kitemu-Buddo</vt:lpstr>
      <vt:lpstr>23.09.19 -Buddo-Kitemu</vt:lpstr>
      <vt:lpstr>24.09 Kitemu-Buddo</vt:lpstr>
      <vt:lpstr>24.09 Buddo-Kitemu</vt:lpstr>
      <vt:lpstr>25.09 Kitemu-Buddo</vt:lpstr>
      <vt:lpstr>25.09 Buddo-Kitemu</vt:lpstr>
      <vt:lpstr>26.09 Kitemu-Buddo-24 HRS</vt:lpstr>
      <vt:lpstr>26.09 Buddo-Kitemu-24HRS</vt:lpstr>
      <vt:lpstr>27.09 Kitemu-Buddo</vt:lpstr>
      <vt:lpstr>27.09 Buddo-Kitemu</vt:lpstr>
      <vt:lpstr>28.09 Kitemu-Buddo-24HRS</vt:lpstr>
      <vt:lpstr>28.09 Buddo-Kitemu-24h</vt:lpstr>
      <vt:lpstr>29.0 Kitemu-Buddo</vt:lpstr>
      <vt:lpstr>29.09 Buddo-Kitemu</vt:lpstr>
      <vt:lpstr>Avg Week Kitemu-Buddo</vt:lpstr>
      <vt:lpstr>Avg Week Buddo-Kitemu</vt:lpstr>
      <vt:lpstr>Avg Week Kitemu-Buddo-2Dir</vt:lpstr>
      <vt:lpstr>'23.09.19 -Buddo-Kitemu'!Print_Area</vt:lpstr>
      <vt:lpstr>'23.09.19-Kitemu-Buddo'!Print_Area</vt:lpstr>
      <vt:lpstr>'24.09 Buddo-Kitemu'!Print_Area</vt:lpstr>
      <vt:lpstr>'24.09 Kitemu-Buddo'!Print_Area</vt:lpstr>
      <vt:lpstr>'25.09 Buddo-Kitemu'!Print_Area</vt:lpstr>
      <vt:lpstr>'25.09 Kitemu-Buddo'!Print_Area</vt:lpstr>
      <vt:lpstr>'26.09 Buddo-Kitemu-24HRS'!Print_Area</vt:lpstr>
      <vt:lpstr>'26.09 Kitemu-Buddo-24 HRS'!Print_Area</vt:lpstr>
      <vt:lpstr>'27.09 Buddo-Kitemu'!Print_Area</vt:lpstr>
      <vt:lpstr>'27.09 Kitemu-Buddo'!Print_Area</vt:lpstr>
      <vt:lpstr>'28.09 Buddo-Kitemu-24h'!Print_Area</vt:lpstr>
      <vt:lpstr>'28.09 Kitemu-Buddo-24HRS'!Print_Area</vt:lpstr>
      <vt:lpstr>'29.0 Kitemu-Buddo'!Print_Area</vt:lpstr>
      <vt:lpstr>'29.09 Buddo-Kitemu'!Print_Area</vt:lpstr>
      <vt:lpstr>'Avg Week Buddo-Kitemu'!Print_Area</vt:lpstr>
      <vt:lpstr>'Avg Week Kitemu-Buddo'!Print_Area</vt:lpstr>
      <vt:lpstr>'Avg Week Kitemu-Buddo-2Dir'!Print_Area</vt:lpstr>
      <vt:lpstr>'23.09.19 -Buddo-Kitemu'!Print_Titles</vt:lpstr>
      <vt:lpstr>'23.09.19-Kitemu-Buddo'!Print_Titles</vt:lpstr>
      <vt:lpstr>'24.09 Buddo-Kitemu'!Print_Titles</vt:lpstr>
      <vt:lpstr>'24.09 Kitemu-Buddo'!Print_Titles</vt:lpstr>
      <vt:lpstr>'25.09 Buddo-Kitemu'!Print_Titles</vt:lpstr>
      <vt:lpstr>'25.09 Kitemu-Buddo'!Print_Titles</vt:lpstr>
      <vt:lpstr>'26.09 Buddo-Kitemu-24HRS'!Print_Titles</vt:lpstr>
      <vt:lpstr>'26.09 Kitemu-Buddo-24 HRS'!Print_Titles</vt:lpstr>
      <vt:lpstr>'27.09 Buddo-Kitemu'!Print_Titles</vt:lpstr>
      <vt:lpstr>'27.09 Kitemu-Buddo'!Print_Titles</vt:lpstr>
      <vt:lpstr>'28.09 Buddo-Kitemu-24h'!Print_Titles</vt:lpstr>
      <vt:lpstr>'28.09 Kitemu-Buddo-24HRS'!Print_Titles</vt:lpstr>
      <vt:lpstr>'29.0 Kitemu-Buddo'!Print_Titles</vt:lpstr>
      <vt:lpstr>'29.09 Buddo-Kitemu'!Print_Titles</vt:lpstr>
      <vt:lpstr>'Avg Week Buddo-Kitemu'!Print_Titles</vt:lpstr>
      <vt:lpstr>'Avg Week Kitemu-Buddo'!Print_Titles</vt:lpstr>
      <vt:lpstr>'Avg Week Kitemu-Buddo-2Dir'!Print_Titles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2020-01-16T11:26:19Z</dcterms:modified>
</cp:coreProperties>
</file>