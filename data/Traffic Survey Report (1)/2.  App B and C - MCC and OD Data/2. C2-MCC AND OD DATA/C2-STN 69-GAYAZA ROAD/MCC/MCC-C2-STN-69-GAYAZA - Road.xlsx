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2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3.xml" ContentType="application/vnd.openxmlformats-officedocument.drawing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drawings/drawing14.xml" ContentType="application/vnd.openxmlformats-officedocument.drawing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drawings/drawing15.xml" ContentType="application/vnd.openxmlformats-officedocument.drawing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drawings/drawing16.xml" ContentType="application/vnd.openxmlformats-officedocument.drawing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drawings/drawing17.xml" ContentType="application/vnd.openxmlformats-officedocument.drawing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 69-GAYAZA ROAD\MCC\"/>
    </mc:Choice>
  </mc:AlternateContent>
  <xr:revisionPtr revIDLastSave="0" documentId="13_ncr:1_{8BBF2451-217E-42BC-8649-3EF8CD510854}" xr6:coauthVersionLast="45" xr6:coauthVersionMax="45" xr10:uidLastSave="{00000000-0000-0000-0000-000000000000}"/>
  <bookViews>
    <workbookView xWindow="-120" yWindow="-120" windowWidth="20730" windowHeight="11160" tabRatio="918" firstSheet="13" activeTab="14" xr2:uid="{00000000-000D-0000-FFFF-FFFF00000000}"/>
  </bookViews>
  <sheets>
    <sheet name="23.09. KASANGATI-GAYAZA" sheetId="93" r:id="rId1"/>
    <sheet name="23.09.Gayaza-Kasangati" sheetId="94" r:id="rId2"/>
    <sheet name="24.09 Kasangati-Gayaza" sheetId="95" r:id="rId3"/>
    <sheet name="24.09 Gayaza-Kasangati" sheetId="96" r:id="rId4"/>
    <sheet name="25.09 Kasangati-Gayaza" sheetId="97" r:id="rId5"/>
    <sheet name="25.09 Gayaza-Kasangati" sheetId="98" r:id="rId6"/>
    <sheet name="26.09 Kasangati-Gayaza-24h" sheetId="101" r:id="rId7"/>
    <sheet name="26.09 Gayaza-Kasangati-24h" sheetId="109" r:id="rId8"/>
    <sheet name="27.09 Kasangati-Gayaza" sheetId="99" r:id="rId9"/>
    <sheet name="27.09 Gayaza-Kasangati" sheetId="100" r:id="rId10"/>
    <sheet name="28.09 Kasangati-Gayaza-24h" sheetId="105" r:id="rId11"/>
    <sheet name="28.09 Gayaza-Kasangati-24h" sheetId="110" r:id="rId12"/>
    <sheet name="29.09 Kasangati-Gayaza" sheetId="103" r:id="rId13"/>
    <sheet name="29.09 Gayaza-Kasangati" sheetId="104" r:id="rId14"/>
    <sheet name="Avg Week Kasangati-Gayaza" sheetId="107" r:id="rId15"/>
    <sheet name="Avg Week Gayaza-Ksangati" sheetId="108" r:id="rId16"/>
    <sheet name="Avg Week Kasangati-Gayaza-2Dir" sheetId="111" r:id="rId17"/>
  </sheets>
  <externalReferences>
    <externalReference r:id="rId18"/>
  </externalReferences>
  <definedNames>
    <definedName name="_xlnm.Print_Area" localSheetId="0">'23.09. KASANGATI-GAYAZA'!$A$1:$AF$60</definedName>
    <definedName name="_xlnm.Print_Area" localSheetId="1">'23.09.Gayaza-Kasangati'!$A$1:$AF$60</definedName>
    <definedName name="_xlnm.Print_Area" localSheetId="3">'24.09 Gayaza-Kasangati'!$A$1:$AF$60</definedName>
    <definedName name="_xlnm.Print_Area" localSheetId="2">'24.09 Kasangati-Gayaza'!$A$1:$AF$60</definedName>
    <definedName name="_xlnm.Print_Area" localSheetId="5">'25.09 Gayaza-Kasangati'!$A$1:$AF$60</definedName>
    <definedName name="_xlnm.Print_Area" localSheetId="4">'25.09 Kasangati-Gayaza'!$A$1:$AF$60</definedName>
    <definedName name="_xlnm.Print_Area" localSheetId="7">'26.09 Gayaza-Kasangati-24h'!$A$1:$AF$108</definedName>
    <definedName name="_xlnm.Print_Area" localSheetId="6">'26.09 Kasangati-Gayaza-24h'!$A$1:$AF$108</definedName>
    <definedName name="_xlnm.Print_Area" localSheetId="9">'27.09 Gayaza-Kasangati'!$A$1:$AF$60</definedName>
    <definedName name="_xlnm.Print_Area" localSheetId="8">'27.09 Kasangati-Gayaza'!$A$1:$AF$60</definedName>
    <definedName name="_xlnm.Print_Area" localSheetId="11">'28.09 Gayaza-Kasangati-24h'!$A$1:$AF$108</definedName>
    <definedName name="_xlnm.Print_Area" localSheetId="10">'28.09 Kasangati-Gayaza-24h'!$A$1:$AF$108</definedName>
    <definedName name="_xlnm.Print_Area" localSheetId="13">'29.09 Gayaza-Kasangati'!$A$1:$AF$60</definedName>
    <definedName name="_xlnm.Print_Area" localSheetId="12">'29.09 Kasangati-Gayaza'!$A$1:$AF$60</definedName>
    <definedName name="_xlnm.Print_Area" localSheetId="15">'Avg Week Gayaza-Ksangati'!$A$1:$AF$108</definedName>
    <definedName name="_xlnm.Print_Area" localSheetId="14">'Avg Week Kasangati-Gayaza'!$A$1:$AF$108</definedName>
    <definedName name="_xlnm.Print_Area" localSheetId="16">'Avg Week Kasangati-Gayaza-2Dir'!$A$1:$AF$108</definedName>
    <definedName name="_xlnm.Print_Titles" localSheetId="0">'23.09. KASANGATI-GAYAZA'!$1:$8</definedName>
    <definedName name="_xlnm.Print_Titles" localSheetId="1">'23.09.Gayaza-Kasangati'!$1:$8</definedName>
    <definedName name="_xlnm.Print_Titles" localSheetId="3">'24.09 Gayaza-Kasangati'!$1:$8</definedName>
    <definedName name="_xlnm.Print_Titles" localSheetId="2">'24.09 Kasangati-Gayaza'!$1:$8</definedName>
    <definedName name="_xlnm.Print_Titles" localSheetId="5">'25.09 Gayaza-Kasangati'!$1:$8</definedName>
    <definedName name="_xlnm.Print_Titles" localSheetId="4">'25.09 Kasangati-Gayaza'!$1:$8</definedName>
    <definedName name="_xlnm.Print_Titles" localSheetId="7">'26.09 Gayaza-Kasangati-24h'!$1:$8</definedName>
    <definedName name="_xlnm.Print_Titles" localSheetId="6">'26.09 Kasangati-Gayaza-24h'!$1:$8</definedName>
    <definedName name="_xlnm.Print_Titles" localSheetId="9">'27.09 Gayaza-Kasangati'!$1:$8</definedName>
    <definedName name="_xlnm.Print_Titles" localSheetId="8">'27.09 Kasangati-Gayaza'!$1:$8</definedName>
    <definedName name="_xlnm.Print_Titles" localSheetId="11">'28.09 Gayaza-Kasangati-24h'!$1:$8</definedName>
    <definedName name="_xlnm.Print_Titles" localSheetId="10">'28.09 Kasangati-Gayaza-24h'!$1:$8</definedName>
    <definedName name="_xlnm.Print_Titles" localSheetId="13">'29.09 Gayaza-Kasangati'!$1:$8</definedName>
    <definedName name="_xlnm.Print_Titles" localSheetId="12">'29.09 Kasangati-Gayaza'!$1:$8</definedName>
    <definedName name="_xlnm.Print_Titles" localSheetId="15">'Avg Week Gayaza-Ksangati'!$1:$8</definedName>
    <definedName name="_xlnm.Print_Titles" localSheetId="14">'Avg Week Kasangati-Gayaza'!$1:$8</definedName>
    <definedName name="_xlnm.Print_Titles" localSheetId="16">'Avg Week Kasangati-Gayaza-2Dir'!$1:$8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88" i="111" l="1"/>
  <c r="D94" i="111"/>
  <c r="M99" i="111"/>
  <c r="K105" i="111"/>
  <c r="C87" i="111"/>
  <c r="X22" i="108"/>
  <c r="AA23" i="108"/>
  <c r="AD24" i="108"/>
  <c r="T26" i="108"/>
  <c r="W27" i="108"/>
  <c r="Z28" i="108"/>
  <c r="AC29" i="108"/>
  <c r="V32" i="108"/>
  <c r="Y33" i="108"/>
  <c r="S25" i="108"/>
  <c r="O66" i="108"/>
  <c r="O74" i="108"/>
  <c r="O82" i="108"/>
  <c r="O90" i="108"/>
  <c r="O98" i="108"/>
  <c r="P58" i="108"/>
  <c r="D58" i="108"/>
  <c r="E58" i="108"/>
  <c r="F58" i="108"/>
  <c r="V22" i="108" s="1"/>
  <c r="G58" i="108"/>
  <c r="W22" i="108" s="1"/>
  <c r="H58" i="108"/>
  <c r="I58" i="108"/>
  <c r="J58" i="108"/>
  <c r="Z22" i="108" s="1"/>
  <c r="K58" i="108"/>
  <c r="AA22" i="108" s="1"/>
  <c r="L58" i="108"/>
  <c r="M58" i="108"/>
  <c r="N58" i="108"/>
  <c r="AD22" i="108" s="1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O60" i="108" s="1"/>
  <c r="E60" i="108"/>
  <c r="F60" i="108"/>
  <c r="G60" i="108"/>
  <c r="H60" i="108"/>
  <c r="I60" i="108"/>
  <c r="J60" i="108"/>
  <c r="K60" i="108"/>
  <c r="L60" i="108"/>
  <c r="AB22" i="108" s="1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V23" i="108" s="1"/>
  <c r="G62" i="108"/>
  <c r="H62" i="108"/>
  <c r="I62" i="108"/>
  <c r="J62" i="108"/>
  <c r="Z23" i="108" s="1"/>
  <c r="K62" i="108"/>
  <c r="L62" i="108"/>
  <c r="M62" i="108"/>
  <c r="N62" i="108"/>
  <c r="AD23" i="108" s="1"/>
  <c r="D63" i="108"/>
  <c r="E63" i="108"/>
  <c r="F63" i="108"/>
  <c r="G63" i="108"/>
  <c r="W23" i="108" s="1"/>
  <c r="H63" i="108"/>
  <c r="I63" i="108"/>
  <c r="J63" i="108"/>
  <c r="K63" i="108"/>
  <c r="L63" i="108"/>
  <c r="M63" i="108"/>
  <c r="N63" i="108"/>
  <c r="D64" i="108"/>
  <c r="O64" i="108" s="1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V24" i="108" s="1"/>
  <c r="G66" i="108"/>
  <c r="W24" i="108" s="1"/>
  <c r="H66" i="108"/>
  <c r="I66" i="108"/>
  <c r="J66" i="108"/>
  <c r="Z24" i="108" s="1"/>
  <c r="K66" i="108"/>
  <c r="AA24" i="108" s="1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O68" i="108" s="1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V25" i="108" s="1"/>
  <c r="G70" i="108"/>
  <c r="W25" i="108" s="1"/>
  <c r="H70" i="108"/>
  <c r="I70" i="108"/>
  <c r="J70" i="108"/>
  <c r="Z25" i="108" s="1"/>
  <c r="K70" i="108"/>
  <c r="AA25" i="108" s="1"/>
  <c r="L70" i="108"/>
  <c r="M70" i="108"/>
  <c r="N70" i="108"/>
  <c r="AD25" i="108" s="1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O72" i="108" s="1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U25" i="108" s="1"/>
  <c r="F73" i="108"/>
  <c r="G73" i="108"/>
  <c r="H73" i="108"/>
  <c r="I73" i="108"/>
  <c r="Y25" i="108" s="1"/>
  <c r="J73" i="108"/>
  <c r="K73" i="108"/>
  <c r="L73" i="108"/>
  <c r="M73" i="108"/>
  <c r="AC25" i="108" s="1"/>
  <c r="N73" i="108"/>
  <c r="D74" i="108"/>
  <c r="E74" i="108"/>
  <c r="F74" i="108"/>
  <c r="V26" i="108" s="1"/>
  <c r="G74" i="108"/>
  <c r="W26" i="108" s="1"/>
  <c r="H74" i="108"/>
  <c r="I74" i="108"/>
  <c r="J74" i="108"/>
  <c r="Z26" i="108" s="1"/>
  <c r="K74" i="108"/>
  <c r="AA26" i="108" s="1"/>
  <c r="L74" i="108"/>
  <c r="M74" i="108"/>
  <c r="N74" i="108"/>
  <c r="AD26" i="108" s="1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O76" i="108" s="1"/>
  <c r="E76" i="108"/>
  <c r="F76" i="108"/>
  <c r="G76" i="108"/>
  <c r="H76" i="108"/>
  <c r="X26" i="108" s="1"/>
  <c r="I76" i="108"/>
  <c r="J76" i="108"/>
  <c r="K76" i="108"/>
  <c r="L76" i="108"/>
  <c r="AB26" i="108" s="1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V27" i="108" s="1"/>
  <c r="G78" i="108"/>
  <c r="H78" i="108"/>
  <c r="I78" i="108"/>
  <c r="J78" i="108"/>
  <c r="Z27" i="108" s="1"/>
  <c r="K78" i="108"/>
  <c r="L78" i="108"/>
  <c r="M78" i="108"/>
  <c r="N78" i="108"/>
  <c r="AD27" i="108" s="1"/>
  <c r="D79" i="108"/>
  <c r="E79" i="108"/>
  <c r="F79" i="108"/>
  <c r="G79" i="108"/>
  <c r="H79" i="108"/>
  <c r="I79" i="108"/>
  <c r="J79" i="108"/>
  <c r="K79" i="108"/>
  <c r="AA27" i="108" s="1"/>
  <c r="L79" i="108"/>
  <c r="M79" i="108"/>
  <c r="N79" i="108"/>
  <c r="D80" i="108"/>
  <c r="O80" i="108" s="1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V28" i="108" s="1"/>
  <c r="G82" i="108"/>
  <c r="W28" i="108" s="1"/>
  <c r="H82" i="108"/>
  <c r="I82" i="108"/>
  <c r="J82" i="108"/>
  <c r="K82" i="108"/>
  <c r="AA28" i="108" s="1"/>
  <c r="L82" i="108"/>
  <c r="M82" i="108"/>
  <c r="N82" i="108"/>
  <c r="AD28" i="108" s="1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O84" i="108" s="1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V29" i="108" s="1"/>
  <c r="G86" i="108"/>
  <c r="W29" i="108" s="1"/>
  <c r="H86" i="108"/>
  <c r="I86" i="108"/>
  <c r="J86" i="108"/>
  <c r="Z29" i="108" s="1"/>
  <c r="K86" i="108"/>
  <c r="AA29" i="108" s="1"/>
  <c r="L86" i="108"/>
  <c r="M86" i="108"/>
  <c r="N86" i="108"/>
  <c r="AD29" i="108" s="1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O88" i="108" s="1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U29" i="108" s="1"/>
  <c r="F89" i="108"/>
  <c r="G89" i="108"/>
  <c r="H89" i="108"/>
  <c r="I89" i="108"/>
  <c r="Y29" i="108" s="1"/>
  <c r="J89" i="108"/>
  <c r="K89" i="108"/>
  <c r="L89" i="108"/>
  <c r="M89" i="108"/>
  <c r="N89" i="108"/>
  <c r="D90" i="108"/>
  <c r="E90" i="108"/>
  <c r="F90" i="108"/>
  <c r="V30" i="108" s="1"/>
  <c r="G90" i="108"/>
  <c r="W30" i="108" s="1"/>
  <c r="H90" i="108"/>
  <c r="I90" i="108"/>
  <c r="J90" i="108"/>
  <c r="Z30" i="108" s="1"/>
  <c r="K90" i="108"/>
  <c r="AA30" i="108" s="1"/>
  <c r="L90" i="108"/>
  <c r="M90" i="108"/>
  <c r="N90" i="108"/>
  <c r="AD30" i="108" s="1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T30" i="108" s="1"/>
  <c r="E92" i="108"/>
  <c r="F92" i="108"/>
  <c r="G92" i="108"/>
  <c r="H92" i="108"/>
  <c r="X30" i="108" s="1"/>
  <c r="I92" i="108"/>
  <c r="J92" i="108"/>
  <c r="K92" i="108"/>
  <c r="L92" i="108"/>
  <c r="AB30" i="108" s="1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V31" i="108" s="1"/>
  <c r="G94" i="108"/>
  <c r="H94" i="108"/>
  <c r="I94" i="108"/>
  <c r="J94" i="108"/>
  <c r="Z31" i="108" s="1"/>
  <c r="K94" i="108"/>
  <c r="L94" i="108"/>
  <c r="M94" i="108"/>
  <c r="N94" i="108"/>
  <c r="AD31" i="108" s="1"/>
  <c r="D95" i="108"/>
  <c r="E95" i="108"/>
  <c r="F95" i="108"/>
  <c r="G95" i="108"/>
  <c r="W31" i="108" s="1"/>
  <c r="H95" i="108"/>
  <c r="I95" i="108"/>
  <c r="J95" i="108"/>
  <c r="K95" i="108"/>
  <c r="AA31" i="108" s="1"/>
  <c r="L95" i="108"/>
  <c r="M95" i="108"/>
  <c r="N95" i="108"/>
  <c r="D96" i="108"/>
  <c r="O96" i="108" s="1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W32" i="108" s="1"/>
  <c r="H98" i="108"/>
  <c r="I98" i="108"/>
  <c r="J98" i="108"/>
  <c r="Z32" i="108" s="1"/>
  <c r="K98" i="108"/>
  <c r="AA32" i="108" s="1"/>
  <c r="L98" i="108"/>
  <c r="M98" i="108"/>
  <c r="N98" i="108"/>
  <c r="AD32" i="108" s="1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O100" i="108" s="1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V33" i="108" s="1"/>
  <c r="G102" i="108"/>
  <c r="W33" i="108" s="1"/>
  <c r="H102" i="108"/>
  <c r="I102" i="108"/>
  <c r="J102" i="108"/>
  <c r="Z33" i="108" s="1"/>
  <c r="K102" i="108"/>
  <c r="AA33" i="108" s="1"/>
  <c r="L102" i="108"/>
  <c r="M102" i="108"/>
  <c r="N102" i="108"/>
  <c r="AD33" i="108" s="1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O104" i="108" s="1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U33" i="108" s="1"/>
  <c r="F105" i="108"/>
  <c r="G105" i="108"/>
  <c r="H105" i="108"/>
  <c r="I105" i="108"/>
  <c r="J105" i="108"/>
  <c r="K105" i="108"/>
  <c r="L105" i="108"/>
  <c r="M105" i="108"/>
  <c r="AC33" i="108" s="1"/>
  <c r="N105" i="108"/>
  <c r="C59" i="108"/>
  <c r="O59" i="108" s="1"/>
  <c r="C60" i="108"/>
  <c r="P60" i="108" s="1"/>
  <c r="C61" i="108"/>
  <c r="C62" i="108"/>
  <c r="P62" i="108" s="1"/>
  <c r="C63" i="108"/>
  <c r="C64" i="108"/>
  <c r="C65" i="108"/>
  <c r="C66" i="108"/>
  <c r="S24" i="108" s="1"/>
  <c r="C67" i="108"/>
  <c r="C68" i="108"/>
  <c r="C69" i="108"/>
  <c r="C70" i="108"/>
  <c r="P70" i="108" s="1"/>
  <c r="C71" i="108"/>
  <c r="C72" i="108"/>
  <c r="C73" i="108"/>
  <c r="C74" i="108"/>
  <c r="P74" i="108" s="1"/>
  <c r="C75" i="108"/>
  <c r="C76" i="108"/>
  <c r="C77" i="108"/>
  <c r="C78" i="108"/>
  <c r="P78" i="108" s="1"/>
  <c r="C79" i="108"/>
  <c r="C80" i="108"/>
  <c r="C81" i="108"/>
  <c r="C82" i="108"/>
  <c r="S28" i="108" s="1"/>
  <c r="C83" i="108"/>
  <c r="C84" i="108"/>
  <c r="C85" i="108"/>
  <c r="C86" i="108"/>
  <c r="P86" i="108" s="1"/>
  <c r="C87" i="108"/>
  <c r="C88" i="108"/>
  <c r="C89" i="108"/>
  <c r="C90" i="108"/>
  <c r="P90" i="108" s="1"/>
  <c r="C91" i="108"/>
  <c r="C92" i="108"/>
  <c r="C93" i="108"/>
  <c r="C94" i="108"/>
  <c r="P94" i="108" s="1"/>
  <c r="C95" i="108"/>
  <c r="C96" i="108"/>
  <c r="C97" i="108"/>
  <c r="C98" i="108"/>
  <c r="S32" i="108" s="1"/>
  <c r="C99" i="108"/>
  <c r="C100" i="108"/>
  <c r="C101" i="108"/>
  <c r="C102" i="108"/>
  <c r="P102" i="108" s="1"/>
  <c r="C103" i="108"/>
  <c r="C104" i="108"/>
  <c r="C105" i="108"/>
  <c r="C58" i="108"/>
  <c r="O58" i="108" s="1"/>
  <c r="D58" i="107"/>
  <c r="D58" i="111" s="1"/>
  <c r="E58" i="107"/>
  <c r="F58" i="107"/>
  <c r="G58" i="107"/>
  <c r="H58" i="107"/>
  <c r="H58" i="111" s="1"/>
  <c r="I58" i="107"/>
  <c r="J58" i="107"/>
  <c r="K58" i="107"/>
  <c r="L58" i="107"/>
  <c r="L58" i="111" s="1"/>
  <c r="M58" i="107"/>
  <c r="N58" i="107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M59" i="111" s="1"/>
  <c r="N59" i="107"/>
  <c r="N59" i="111" s="1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D62" i="107"/>
  <c r="E62" i="107"/>
  <c r="F62" i="107"/>
  <c r="G62" i="107"/>
  <c r="G62" i="111" s="1"/>
  <c r="H62" i="107"/>
  <c r="I62" i="107"/>
  <c r="J62" i="107"/>
  <c r="K62" i="107"/>
  <c r="K62" i="111" s="1"/>
  <c r="L62" i="107"/>
  <c r="M62" i="107"/>
  <c r="N62" i="107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D66" i="107"/>
  <c r="E66" i="107"/>
  <c r="F66" i="107"/>
  <c r="F66" i="111" s="1"/>
  <c r="V24" i="111" s="1"/>
  <c r="G66" i="107"/>
  <c r="H66" i="107"/>
  <c r="I66" i="107"/>
  <c r="J66" i="107"/>
  <c r="J66" i="111" s="1"/>
  <c r="Z24" i="111" s="1"/>
  <c r="K66" i="107"/>
  <c r="L66" i="107"/>
  <c r="M66" i="107"/>
  <c r="N66" i="107"/>
  <c r="N66" i="111" s="1"/>
  <c r="AD24" i="111" s="1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D70" i="107"/>
  <c r="E70" i="107"/>
  <c r="E70" i="111" s="1"/>
  <c r="F70" i="107"/>
  <c r="G70" i="107"/>
  <c r="H70" i="107"/>
  <c r="I70" i="107"/>
  <c r="I70" i="111" s="1"/>
  <c r="J70" i="107"/>
  <c r="K70" i="107"/>
  <c r="L70" i="107"/>
  <c r="M70" i="107"/>
  <c r="M70" i="111" s="1"/>
  <c r="N70" i="107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D74" i="107"/>
  <c r="D74" i="111" s="1"/>
  <c r="E74" i="107"/>
  <c r="F74" i="107"/>
  <c r="G74" i="107"/>
  <c r="H74" i="107"/>
  <c r="H74" i="111" s="1"/>
  <c r="I74" i="107"/>
  <c r="J74" i="107"/>
  <c r="K74" i="107"/>
  <c r="L74" i="107"/>
  <c r="L74" i="111" s="1"/>
  <c r="M74" i="107"/>
  <c r="N74" i="107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D78" i="107"/>
  <c r="E78" i="107"/>
  <c r="F78" i="107"/>
  <c r="G78" i="107"/>
  <c r="G78" i="111" s="1"/>
  <c r="H78" i="107"/>
  <c r="I78" i="107"/>
  <c r="J78" i="107"/>
  <c r="K78" i="107"/>
  <c r="K78" i="111" s="1"/>
  <c r="L78" i="107"/>
  <c r="M78" i="107"/>
  <c r="N78" i="107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D82" i="107"/>
  <c r="E82" i="107"/>
  <c r="F82" i="107"/>
  <c r="F82" i="111" s="1"/>
  <c r="V28" i="111" s="1"/>
  <c r="G82" i="107"/>
  <c r="H82" i="107"/>
  <c r="I82" i="107"/>
  <c r="J82" i="107"/>
  <c r="J82" i="111" s="1"/>
  <c r="Z28" i="111" s="1"/>
  <c r="K82" i="107"/>
  <c r="L82" i="107"/>
  <c r="M82" i="107"/>
  <c r="N82" i="107"/>
  <c r="N82" i="111" s="1"/>
  <c r="AD28" i="111" s="1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D86" i="107"/>
  <c r="E86" i="107"/>
  <c r="E86" i="111" s="1"/>
  <c r="F86" i="107"/>
  <c r="P86" i="107" s="1"/>
  <c r="G86" i="107"/>
  <c r="H86" i="107"/>
  <c r="I86" i="107"/>
  <c r="I86" i="111" s="1"/>
  <c r="J86" i="107"/>
  <c r="K86" i="107"/>
  <c r="L86" i="107"/>
  <c r="L86" i="111" s="1"/>
  <c r="AB29" i="111" s="1"/>
  <c r="M86" i="107"/>
  <c r="M86" i="111" s="1"/>
  <c r="N86" i="107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D88" i="107"/>
  <c r="D88" i="111" s="1"/>
  <c r="E88" i="107"/>
  <c r="E88" i="111" s="1"/>
  <c r="F88" i="107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D90" i="107"/>
  <c r="D90" i="111" s="1"/>
  <c r="E90" i="107"/>
  <c r="F90" i="107"/>
  <c r="G90" i="107"/>
  <c r="H90" i="107"/>
  <c r="H90" i="111" s="1"/>
  <c r="I90" i="107"/>
  <c r="J90" i="107"/>
  <c r="K90" i="107"/>
  <c r="L90" i="107"/>
  <c r="L90" i="111" s="1"/>
  <c r="M90" i="107"/>
  <c r="N90" i="107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D94" i="107"/>
  <c r="E94" i="107"/>
  <c r="F94" i="107"/>
  <c r="P94" i="107" s="1"/>
  <c r="G94" i="107"/>
  <c r="G94" i="111" s="1"/>
  <c r="H94" i="107"/>
  <c r="I94" i="107"/>
  <c r="J94" i="107"/>
  <c r="K94" i="107"/>
  <c r="K94" i="111" s="1"/>
  <c r="L94" i="107"/>
  <c r="M94" i="107"/>
  <c r="N94" i="107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D98" i="107"/>
  <c r="E98" i="107"/>
  <c r="F98" i="107"/>
  <c r="F98" i="111" s="1"/>
  <c r="V32" i="111" s="1"/>
  <c r="G98" i="107"/>
  <c r="H98" i="107"/>
  <c r="H98" i="111" s="1"/>
  <c r="X32" i="111" s="1"/>
  <c r="I98" i="107"/>
  <c r="J98" i="107"/>
  <c r="J98" i="111" s="1"/>
  <c r="Z32" i="111" s="1"/>
  <c r="K98" i="107"/>
  <c r="L98" i="107"/>
  <c r="M98" i="107"/>
  <c r="N98" i="107"/>
  <c r="N98" i="111" s="1"/>
  <c r="AD32" i="111" s="1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N99" i="107"/>
  <c r="N99" i="111" s="1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D102" i="107"/>
  <c r="E102" i="107"/>
  <c r="E102" i="111" s="1"/>
  <c r="F102" i="107"/>
  <c r="O102" i="107" s="1"/>
  <c r="G102" i="107"/>
  <c r="H102" i="107"/>
  <c r="I102" i="107"/>
  <c r="I102" i="111" s="1"/>
  <c r="J102" i="107"/>
  <c r="K102" i="107"/>
  <c r="L102" i="107"/>
  <c r="M102" i="107"/>
  <c r="M102" i="111" s="1"/>
  <c r="N102" i="107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L105" i="107"/>
  <c r="L105" i="111" s="1"/>
  <c r="M105" i="107"/>
  <c r="M105" i="111" s="1"/>
  <c r="N105" i="107"/>
  <c r="N105" i="111" s="1"/>
  <c r="C59" i="107"/>
  <c r="C60" i="107"/>
  <c r="O60" i="107" s="1"/>
  <c r="C61" i="107"/>
  <c r="C62" i="107"/>
  <c r="O62" i="107" s="1"/>
  <c r="C63" i="107"/>
  <c r="C64" i="107"/>
  <c r="C65" i="107"/>
  <c r="C66" i="107"/>
  <c r="P66" i="107" s="1"/>
  <c r="C67" i="107"/>
  <c r="C68" i="107"/>
  <c r="C68" i="111" s="1"/>
  <c r="C69" i="107"/>
  <c r="C70" i="107"/>
  <c r="C70" i="111" s="1"/>
  <c r="C71" i="107"/>
  <c r="C72" i="107"/>
  <c r="C72" i="111" s="1"/>
  <c r="C73" i="107"/>
  <c r="C74" i="107"/>
  <c r="P74" i="107" s="1"/>
  <c r="C75" i="107"/>
  <c r="O75" i="107" s="1"/>
  <c r="C76" i="107"/>
  <c r="C76" i="111" s="1"/>
  <c r="C77" i="107"/>
  <c r="P77" i="107" s="1"/>
  <c r="C78" i="107"/>
  <c r="O78" i="107" s="1"/>
  <c r="C79" i="107"/>
  <c r="C80" i="107"/>
  <c r="C80" i="111" s="1"/>
  <c r="C81" i="107"/>
  <c r="O81" i="107" s="1"/>
  <c r="C82" i="107"/>
  <c r="P82" i="107" s="1"/>
  <c r="C83" i="107"/>
  <c r="O83" i="107" s="1"/>
  <c r="C84" i="107"/>
  <c r="C84" i="111" s="1"/>
  <c r="C85" i="107"/>
  <c r="C86" i="107"/>
  <c r="C86" i="111" s="1"/>
  <c r="C87" i="107"/>
  <c r="C88" i="107"/>
  <c r="C88" i="111" s="1"/>
  <c r="C89" i="107"/>
  <c r="S29" i="107" s="1"/>
  <c r="C90" i="107"/>
  <c r="P90" i="107" s="1"/>
  <c r="C91" i="107"/>
  <c r="O91" i="107" s="1"/>
  <c r="C92" i="107"/>
  <c r="C92" i="111" s="1"/>
  <c r="C93" i="107"/>
  <c r="P93" i="107" s="1"/>
  <c r="C94" i="107"/>
  <c r="O94" i="107" s="1"/>
  <c r="C95" i="107"/>
  <c r="C96" i="107"/>
  <c r="C96" i="111" s="1"/>
  <c r="C97" i="107"/>
  <c r="C98" i="107"/>
  <c r="C98" i="111" s="1"/>
  <c r="C99" i="107"/>
  <c r="O99" i="107" s="1"/>
  <c r="C100" i="107"/>
  <c r="C100" i="111" s="1"/>
  <c r="C101" i="107"/>
  <c r="C101" i="111" s="1"/>
  <c r="C102" i="107"/>
  <c r="C102" i="111" s="1"/>
  <c r="C103" i="107"/>
  <c r="O103" i="107" s="1"/>
  <c r="C104" i="107"/>
  <c r="C104" i="111" s="1"/>
  <c r="C105" i="107"/>
  <c r="C105" i="111" s="1"/>
  <c r="C58" i="107"/>
  <c r="AF22" i="108" l="1"/>
  <c r="O105" i="111"/>
  <c r="P105" i="111"/>
  <c r="C97" i="111"/>
  <c r="P97" i="107"/>
  <c r="C85" i="111"/>
  <c r="P85" i="107"/>
  <c r="C73" i="111"/>
  <c r="O73" i="107"/>
  <c r="P73" i="107"/>
  <c r="C61" i="111"/>
  <c r="O61" i="107"/>
  <c r="P61" i="107"/>
  <c r="N102" i="111"/>
  <c r="AD33" i="111" s="1"/>
  <c r="AD33" i="107"/>
  <c r="J90" i="111"/>
  <c r="Z30" i="111" s="1"/>
  <c r="Z30" i="107"/>
  <c r="F90" i="111"/>
  <c r="V30" i="111" s="1"/>
  <c r="V30" i="107"/>
  <c r="J86" i="111"/>
  <c r="Z29" i="111" s="1"/>
  <c r="Z29" i="107"/>
  <c r="F78" i="111"/>
  <c r="V27" i="111" s="1"/>
  <c r="V27" i="107"/>
  <c r="N74" i="111"/>
  <c r="AD26" i="111" s="1"/>
  <c r="AD26" i="107"/>
  <c r="Z25" i="107"/>
  <c r="J70" i="111"/>
  <c r="Z25" i="111" s="1"/>
  <c r="F62" i="111"/>
  <c r="V23" i="111" s="1"/>
  <c r="V23" i="107"/>
  <c r="F58" i="111"/>
  <c r="V22" i="111" s="1"/>
  <c r="V22" i="107"/>
  <c r="O100" i="107"/>
  <c r="O89" i="107"/>
  <c r="P72" i="107"/>
  <c r="AB30" i="107"/>
  <c r="W23" i="107"/>
  <c r="AF33" i="108"/>
  <c r="O87" i="111"/>
  <c r="P87" i="111"/>
  <c r="O88" i="111"/>
  <c r="O72" i="111"/>
  <c r="P72" i="111"/>
  <c r="U33" i="111"/>
  <c r="E94" i="111"/>
  <c r="U31" i="111" s="1"/>
  <c r="U31" i="107"/>
  <c r="M90" i="111"/>
  <c r="AC30" i="111" s="1"/>
  <c r="AC30" i="107"/>
  <c r="AC29" i="111"/>
  <c r="M82" i="111"/>
  <c r="AC28" i="111" s="1"/>
  <c r="AC28" i="107"/>
  <c r="U28" i="107"/>
  <c r="M78" i="111"/>
  <c r="AC27" i="111" s="1"/>
  <c r="AC27" i="107"/>
  <c r="I78" i="111"/>
  <c r="Y27" i="111" s="1"/>
  <c r="Y27" i="107"/>
  <c r="E78" i="111"/>
  <c r="U27" i="111" s="1"/>
  <c r="U27" i="107"/>
  <c r="M74" i="111"/>
  <c r="AC26" i="111" s="1"/>
  <c r="AC26" i="107"/>
  <c r="I74" i="111"/>
  <c r="Y26" i="111" s="1"/>
  <c r="Y26" i="107"/>
  <c r="E74" i="111"/>
  <c r="U26" i="111" s="1"/>
  <c r="U26" i="107"/>
  <c r="AC25" i="111"/>
  <c r="Y25" i="111"/>
  <c r="U25" i="111"/>
  <c r="M66" i="111"/>
  <c r="AC24" i="111" s="1"/>
  <c r="AC24" i="107"/>
  <c r="I66" i="111"/>
  <c r="Y24" i="111" s="1"/>
  <c r="Y24" i="107"/>
  <c r="E66" i="111"/>
  <c r="U24" i="111" s="1"/>
  <c r="U24" i="107"/>
  <c r="M62" i="111"/>
  <c r="AC23" i="111" s="1"/>
  <c r="AC23" i="107"/>
  <c r="I62" i="111"/>
  <c r="Y23" i="111" s="1"/>
  <c r="Y23" i="107"/>
  <c r="E62" i="111"/>
  <c r="U23" i="111" s="1"/>
  <c r="U23" i="107"/>
  <c r="M58" i="111"/>
  <c r="AC22" i="111" s="1"/>
  <c r="AC22" i="107"/>
  <c r="I58" i="111"/>
  <c r="Y22" i="111" s="1"/>
  <c r="Y22" i="107"/>
  <c r="E58" i="111"/>
  <c r="U22" i="111" s="1"/>
  <c r="U22" i="107"/>
  <c r="P105" i="107"/>
  <c r="P103" i="107"/>
  <c r="P101" i="107"/>
  <c r="P96" i="107"/>
  <c r="P88" i="107"/>
  <c r="O86" i="107"/>
  <c r="P80" i="107"/>
  <c r="O72" i="107"/>
  <c r="O68" i="107"/>
  <c r="S33" i="107"/>
  <c r="AD32" i="107"/>
  <c r="AA31" i="107"/>
  <c r="X30" i="107"/>
  <c r="U29" i="107"/>
  <c r="AB26" i="107"/>
  <c r="Y25" i="107"/>
  <c r="V24" i="107"/>
  <c r="O105" i="108"/>
  <c r="P105" i="108"/>
  <c r="O101" i="108"/>
  <c r="P101" i="108"/>
  <c r="O97" i="108"/>
  <c r="P97" i="108"/>
  <c r="O93" i="108"/>
  <c r="P93" i="108"/>
  <c r="O89" i="108"/>
  <c r="P89" i="108"/>
  <c r="O85" i="108"/>
  <c r="P85" i="108"/>
  <c r="O81" i="108"/>
  <c r="P81" i="108"/>
  <c r="O77" i="108"/>
  <c r="P77" i="108"/>
  <c r="O73" i="108"/>
  <c r="P73" i="108"/>
  <c r="O69" i="108"/>
  <c r="P69" i="108"/>
  <c r="O65" i="108"/>
  <c r="P65" i="108"/>
  <c r="O61" i="108"/>
  <c r="P61" i="108"/>
  <c r="S29" i="108"/>
  <c r="T22" i="108"/>
  <c r="C103" i="111"/>
  <c r="C82" i="111"/>
  <c r="C65" i="111"/>
  <c r="O65" i="107"/>
  <c r="P65" i="107"/>
  <c r="J94" i="111"/>
  <c r="Z31" i="111" s="1"/>
  <c r="Z31" i="107"/>
  <c r="J78" i="111"/>
  <c r="Z27" i="111" s="1"/>
  <c r="Z27" i="107"/>
  <c r="N70" i="111"/>
  <c r="AD25" i="111" s="1"/>
  <c r="AD25" i="107"/>
  <c r="F70" i="111"/>
  <c r="V25" i="111" s="1"/>
  <c r="V25" i="107"/>
  <c r="J62" i="111"/>
  <c r="Z23" i="111" s="1"/>
  <c r="Z23" i="107"/>
  <c r="N58" i="111"/>
  <c r="AD22" i="111" s="1"/>
  <c r="AD22" i="107"/>
  <c r="P58" i="107"/>
  <c r="P78" i="107"/>
  <c r="AF27" i="107" s="1"/>
  <c r="P68" i="107"/>
  <c r="V28" i="107"/>
  <c r="Z24" i="107"/>
  <c r="T22" i="107"/>
  <c r="O100" i="111"/>
  <c r="P100" i="111"/>
  <c r="O96" i="111"/>
  <c r="P96" i="111"/>
  <c r="O80" i="111"/>
  <c r="P80" i="111"/>
  <c r="O68" i="111"/>
  <c r="P68" i="111"/>
  <c r="Y33" i="111"/>
  <c r="I98" i="111"/>
  <c r="Y32" i="111" s="1"/>
  <c r="Y32" i="107"/>
  <c r="E98" i="111"/>
  <c r="U32" i="111" s="1"/>
  <c r="U32" i="107"/>
  <c r="M94" i="111"/>
  <c r="AC31" i="111" s="1"/>
  <c r="AC31" i="107"/>
  <c r="I90" i="111"/>
  <c r="Y30" i="111" s="1"/>
  <c r="Y30" i="107"/>
  <c r="E90" i="111"/>
  <c r="U30" i="111" s="1"/>
  <c r="U30" i="107"/>
  <c r="U29" i="111"/>
  <c r="I82" i="111"/>
  <c r="Y28" i="111" s="1"/>
  <c r="Y28" i="107"/>
  <c r="C99" i="111"/>
  <c r="P99" i="107"/>
  <c r="C95" i="111"/>
  <c r="P95" i="107"/>
  <c r="AF31" i="107" s="1"/>
  <c r="C91" i="111"/>
  <c r="P91" i="107"/>
  <c r="AF30" i="107" s="1"/>
  <c r="P87" i="107"/>
  <c r="AF29" i="107" s="1"/>
  <c r="C83" i="111"/>
  <c r="P83" i="107"/>
  <c r="AF28" i="107" s="1"/>
  <c r="C79" i="111"/>
  <c r="P79" i="107"/>
  <c r="C75" i="111"/>
  <c r="P75" i="107"/>
  <c r="AF26" i="107" s="1"/>
  <c r="C71" i="111"/>
  <c r="S25" i="111" s="1"/>
  <c r="O71" i="107"/>
  <c r="P71" i="107"/>
  <c r="O67" i="107"/>
  <c r="C67" i="111"/>
  <c r="P67" i="107"/>
  <c r="C63" i="111"/>
  <c r="O63" i="107"/>
  <c r="AE23" i="107" s="1"/>
  <c r="P63" i="107"/>
  <c r="C59" i="111"/>
  <c r="O59" i="107"/>
  <c r="P59" i="107"/>
  <c r="AB33" i="107"/>
  <c r="H102" i="111"/>
  <c r="X33" i="111" s="1"/>
  <c r="X33" i="107"/>
  <c r="D102" i="111"/>
  <c r="T33" i="111" s="1"/>
  <c r="T33" i="107"/>
  <c r="L98" i="111"/>
  <c r="AB32" i="111" s="1"/>
  <c r="AB32" i="107"/>
  <c r="X32" i="107"/>
  <c r="T32" i="107"/>
  <c r="D98" i="111"/>
  <c r="T32" i="111" s="1"/>
  <c r="AB31" i="107"/>
  <c r="L94" i="111"/>
  <c r="AB31" i="111" s="1"/>
  <c r="H94" i="111"/>
  <c r="X31" i="111" s="1"/>
  <c r="X31" i="107"/>
  <c r="T31" i="107"/>
  <c r="AB30" i="111"/>
  <c r="X30" i="111"/>
  <c r="T30" i="111"/>
  <c r="AB29" i="107"/>
  <c r="H86" i="111"/>
  <c r="X29" i="111" s="1"/>
  <c r="X29" i="107"/>
  <c r="D86" i="111"/>
  <c r="T29" i="111" s="1"/>
  <c r="T29" i="107"/>
  <c r="L82" i="111"/>
  <c r="AB28" i="111" s="1"/>
  <c r="AB28" i="107"/>
  <c r="H82" i="111"/>
  <c r="X28" i="111" s="1"/>
  <c r="X28" i="107"/>
  <c r="D82" i="111"/>
  <c r="T28" i="111" s="1"/>
  <c r="T28" i="107"/>
  <c r="L78" i="111"/>
  <c r="AB27" i="111" s="1"/>
  <c r="AB27" i="107"/>
  <c r="H78" i="111"/>
  <c r="X27" i="111" s="1"/>
  <c r="X27" i="107"/>
  <c r="D78" i="111"/>
  <c r="T27" i="111" s="1"/>
  <c r="T27" i="107"/>
  <c r="AB26" i="111"/>
  <c r="X26" i="111"/>
  <c r="T26" i="111"/>
  <c r="L70" i="111"/>
  <c r="AB25" i="111" s="1"/>
  <c r="AB25" i="107"/>
  <c r="H70" i="111"/>
  <c r="X25" i="111" s="1"/>
  <c r="X25" i="107"/>
  <c r="D70" i="111"/>
  <c r="T25" i="111" s="1"/>
  <c r="T25" i="107"/>
  <c r="L66" i="111"/>
  <c r="AB24" i="111" s="1"/>
  <c r="AB24" i="107"/>
  <c r="H66" i="111"/>
  <c r="X24" i="111" s="1"/>
  <c r="X24" i="107"/>
  <c r="D66" i="111"/>
  <c r="T24" i="111" s="1"/>
  <c r="T24" i="107"/>
  <c r="L62" i="111"/>
  <c r="AB23" i="111" s="1"/>
  <c r="AB23" i="107"/>
  <c r="H62" i="111"/>
  <c r="X23" i="111" s="1"/>
  <c r="X23" i="107"/>
  <c r="D62" i="111"/>
  <c r="T23" i="111" s="1"/>
  <c r="T23" i="107"/>
  <c r="AB22" i="111"/>
  <c r="X22" i="111"/>
  <c r="T22" i="111"/>
  <c r="O105" i="107"/>
  <c r="O101" i="107"/>
  <c r="P98" i="107"/>
  <c r="O96" i="107"/>
  <c r="O93" i="107"/>
  <c r="O88" i="107"/>
  <c r="O85" i="107"/>
  <c r="O80" i="107"/>
  <c r="O77" i="107"/>
  <c r="P70" i="107"/>
  <c r="AF25" i="107" s="1"/>
  <c r="AC33" i="107"/>
  <c r="Z32" i="107"/>
  <c r="W31" i="107"/>
  <c r="T30" i="107"/>
  <c r="AD28" i="107"/>
  <c r="AA27" i="107"/>
  <c r="X26" i="107"/>
  <c r="U25" i="107"/>
  <c r="AB22" i="107"/>
  <c r="P104" i="108"/>
  <c r="P100" i="108"/>
  <c r="P96" i="108"/>
  <c r="P92" i="108"/>
  <c r="P88" i="108"/>
  <c r="P84" i="108"/>
  <c r="P80" i="108"/>
  <c r="P76" i="108"/>
  <c r="P72" i="108"/>
  <c r="P68" i="108"/>
  <c r="P64" i="108"/>
  <c r="AC32" i="108"/>
  <c r="Y32" i="108"/>
  <c r="U32" i="108"/>
  <c r="AC31" i="108"/>
  <c r="Y31" i="108"/>
  <c r="U31" i="108"/>
  <c r="AC30" i="108"/>
  <c r="Y30" i="108"/>
  <c r="U30" i="108"/>
  <c r="AC28" i="108"/>
  <c r="Y28" i="108"/>
  <c r="U28" i="108"/>
  <c r="AC27" i="108"/>
  <c r="Y27" i="108"/>
  <c r="U27" i="108"/>
  <c r="AC26" i="108"/>
  <c r="Y26" i="108"/>
  <c r="U26" i="108"/>
  <c r="AC24" i="108"/>
  <c r="Y24" i="108"/>
  <c r="U24" i="108"/>
  <c r="AC23" i="108"/>
  <c r="Y23" i="108"/>
  <c r="U23" i="108"/>
  <c r="AC22" i="108"/>
  <c r="Y22" i="108"/>
  <c r="U22" i="108"/>
  <c r="O102" i="108"/>
  <c r="AE33" i="108" s="1"/>
  <c r="O94" i="108"/>
  <c r="O86" i="108"/>
  <c r="O78" i="108"/>
  <c r="O70" i="108"/>
  <c r="AE25" i="108" s="1"/>
  <c r="O62" i="108"/>
  <c r="S33" i="108"/>
  <c r="C77" i="111"/>
  <c r="L102" i="111"/>
  <c r="AB33" i="111" s="1"/>
  <c r="O101" i="111"/>
  <c r="P101" i="111"/>
  <c r="C89" i="111"/>
  <c r="P89" i="107"/>
  <c r="C81" i="111"/>
  <c r="P81" i="107"/>
  <c r="O69" i="107"/>
  <c r="P69" i="107"/>
  <c r="AF24" i="107" s="1"/>
  <c r="J102" i="111"/>
  <c r="Z33" i="111" s="1"/>
  <c r="Z33" i="107"/>
  <c r="F102" i="111"/>
  <c r="V33" i="111" s="1"/>
  <c r="V33" i="107"/>
  <c r="N94" i="111"/>
  <c r="AD31" i="111" s="1"/>
  <c r="AD31" i="107"/>
  <c r="F94" i="111"/>
  <c r="V31" i="111" s="1"/>
  <c r="V31" i="107"/>
  <c r="N90" i="111"/>
  <c r="AD30" i="111" s="1"/>
  <c r="AD30" i="107"/>
  <c r="N86" i="111"/>
  <c r="AD29" i="111" s="1"/>
  <c r="AD29" i="107"/>
  <c r="F86" i="111"/>
  <c r="V29" i="111" s="1"/>
  <c r="V29" i="107"/>
  <c r="N78" i="111"/>
  <c r="AD27" i="111" s="1"/>
  <c r="AD27" i="107"/>
  <c r="J74" i="111"/>
  <c r="Z26" i="111" s="1"/>
  <c r="Z26" i="107"/>
  <c r="F74" i="111"/>
  <c r="V26" i="111" s="1"/>
  <c r="V26" i="107"/>
  <c r="N62" i="111"/>
  <c r="AD23" i="111" s="1"/>
  <c r="AD23" i="107"/>
  <c r="J58" i="111"/>
  <c r="Z22" i="111" s="1"/>
  <c r="Z22" i="107"/>
  <c r="O104" i="107"/>
  <c r="AE33" i="107" s="1"/>
  <c r="O97" i="107"/>
  <c r="O92" i="107"/>
  <c r="O84" i="107"/>
  <c r="O76" i="107"/>
  <c r="O64" i="107"/>
  <c r="U33" i="107"/>
  <c r="Y29" i="107"/>
  <c r="AC25" i="107"/>
  <c r="AE22" i="108"/>
  <c r="AF29" i="108"/>
  <c r="AE30" i="108"/>
  <c r="T31" i="111"/>
  <c r="O104" i="111"/>
  <c r="P104" i="111"/>
  <c r="O92" i="111"/>
  <c r="P92" i="111"/>
  <c r="O84" i="111"/>
  <c r="P84" i="111"/>
  <c r="O76" i="111"/>
  <c r="P76" i="111"/>
  <c r="C64" i="111"/>
  <c r="P64" i="107"/>
  <c r="C60" i="111"/>
  <c r="P60" i="107"/>
  <c r="AC33" i="111"/>
  <c r="M98" i="111"/>
  <c r="AC32" i="111" s="1"/>
  <c r="AC32" i="107"/>
  <c r="I94" i="111"/>
  <c r="Y31" i="111" s="1"/>
  <c r="Y31" i="107"/>
  <c r="Y29" i="111"/>
  <c r="C58" i="111"/>
  <c r="S22" i="107"/>
  <c r="S33" i="111"/>
  <c r="O102" i="111"/>
  <c r="S32" i="107"/>
  <c r="C94" i="111"/>
  <c r="S31" i="107"/>
  <c r="C90" i="111"/>
  <c r="S30" i="107"/>
  <c r="S29" i="111"/>
  <c r="O86" i="111"/>
  <c r="S28" i="107"/>
  <c r="C78" i="111"/>
  <c r="S27" i="107"/>
  <c r="C74" i="111"/>
  <c r="S26" i="107"/>
  <c r="O70" i="111"/>
  <c r="C66" i="111"/>
  <c r="S24" i="107"/>
  <c r="C62" i="111"/>
  <c r="P62" i="107"/>
  <c r="S23" i="107"/>
  <c r="K102" i="111"/>
  <c r="AA33" i="111" s="1"/>
  <c r="AA33" i="107"/>
  <c r="G102" i="111"/>
  <c r="W33" i="111" s="1"/>
  <c r="W33" i="107"/>
  <c r="K98" i="111"/>
  <c r="AA32" i="111" s="1"/>
  <c r="AA32" i="107"/>
  <c r="G98" i="111"/>
  <c r="W32" i="111" s="1"/>
  <c r="W32" i="107"/>
  <c r="AA31" i="111"/>
  <c r="W31" i="111"/>
  <c r="K90" i="111"/>
  <c r="AA30" i="111" s="1"/>
  <c r="AA30" i="107"/>
  <c r="G90" i="111"/>
  <c r="W30" i="111" s="1"/>
  <c r="W30" i="107"/>
  <c r="K86" i="111"/>
  <c r="AA29" i="111" s="1"/>
  <c r="AA29" i="107"/>
  <c r="G86" i="111"/>
  <c r="W29" i="111" s="1"/>
  <c r="W29" i="107"/>
  <c r="K82" i="111"/>
  <c r="AA28" i="111" s="1"/>
  <c r="AA28" i="107"/>
  <c r="G82" i="111"/>
  <c r="W28" i="111" s="1"/>
  <c r="W28" i="107"/>
  <c r="AA27" i="111"/>
  <c r="W27" i="111"/>
  <c r="K74" i="111"/>
  <c r="AA26" i="111" s="1"/>
  <c r="AA26" i="107"/>
  <c r="G74" i="111"/>
  <c r="W26" i="111" s="1"/>
  <c r="W26" i="107"/>
  <c r="K70" i="111"/>
  <c r="AA25" i="111" s="1"/>
  <c r="AA25" i="107"/>
  <c r="G70" i="111"/>
  <c r="W25" i="111" s="1"/>
  <c r="W25" i="107"/>
  <c r="K66" i="111"/>
  <c r="AA24" i="111" s="1"/>
  <c r="AA24" i="107"/>
  <c r="G66" i="111"/>
  <c r="W24" i="111" s="1"/>
  <c r="W24" i="107"/>
  <c r="AA23" i="111"/>
  <c r="W23" i="111"/>
  <c r="K58" i="111"/>
  <c r="AA22" i="111" s="1"/>
  <c r="AA22" i="107"/>
  <c r="G58" i="111"/>
  <c r="W22" i="111" s="1"/>
  <c r="W22" i="107"/>
  <c r="O58" i="107"/>
  <c r="AE22" i="107" s="1"/>
  <c r="P104" i="107"/>
  <c r="P102" i="107"/>
  <c r="P100" i="107"/>
  <c r="O98" i="107"/>
  <c r="O95" i="107"/>
  <c r="AE31" i="107" s="1"/>
  <c r="P92" i="107"/>
  <c r="O90" i="107"/>
  <c r="AE30" i="107" s="1"/>
  <c r="O87" i="107"/>
  <c r="P84" i="107"/>
  <c r="O82" i="107"/>
  <c r="O79" i="107"/>
  <c r="AE27" i="107" s="1"/>
  <c r="P76" i="107"/>
  <c r="O74" i="107"/>
  <c r="O70" i="107"/>
  <c r="O66" i="107"/>
  <c r="AE24" i="107" s="1"/>
  <c r="S25" i="107"/>
  <c r="Y33" i="107"/>
  <c r="V32" i="107"/>
  <c r="AC29" i="107"/>
  <c r="Z28" i="107"/>
  <c r="W27" i="107"/>
  <c r="T26" i="107"/>
  <c r="AD24" i="107"/>
  <c r="AA23" i="107"/>
  <c r="X22" i="107"/>
  <c r="O103" i="108"/>
  <c r="O99" i="108"/>
  <c r="AE32" i="108" s="1"/>
  <c r="O95" i="108"/>
  <c r="O91" i="108"/>
  <c r="O87" i="108"/>
  <c r="O83" i="108"/>
  <c r="AE28" i="108" s="1"/>
  <c r="O79" i="108"/>
  <c r="O75" i="108"/>
  <c r="AE26" i="108" s="1"/>
  <c r="O71" i="108"/>
  <c r="O67" i="108"/>
  <c r="AE24" i="108" s="1"/>
  <c r="O63" i="108"/>
  <c r="AB33" i="108"/>
  <c r="X33" i="108"/>
  <c r="T33" i="108"/>
  <c r="AB32" i="108"/>
  <c r="X32" i="108"/>
  <c r="T32" i="108"/>
  <c r="AB31" i="108"/>
  <c r="X31" i="108"/>
  <c r="T31" i="108"/>
  <c r="AB29" i="108"/>
  <c r="X29" i="108"/>
  <c r="T29" i="108"/>
  <c r="AB28" i="108"/>
  <c r="X28" i="108"/>
  <c r="T28" i="108"/>
  <c r="AB27" i="108"/>
  <c r="X27" i="108"/>
  <c r="T27" i="108"/>
  <c r="AB25" i="108"/>
  <c r="X25" i="108"/>
  <c r="T25" i="108"/>
  <c r="AB24" i="108"/>
  <c r="X24" i="108"/>
  <c r="T24" i="108"/>
  <c r="AB23" i="108"/>
  <c r="X23" i="108"/>
  <c r="T23" i="108"/>
  <c r="O92" i="108"/>
  <c r="C93" i="111"/>
  <c r="C69" i="111"/>
  <c r="E82" i="111"/>
  <c r="U28" i="111" s="1"/>
  <c r="P88" i="111"/>
  <c r="P103" i="108"/>
  <c r="P99" i="108"/>
  <c r="P95" i="108"/>
  <c r="AF31" i="108" s="1"/>
  <c r="P91" i="108"/>
  <c r="AF30" i="108" s="1"/>
  <c r="P87" i="108"/>
  <c r="P83" i="108"/>
  <c r="P79" i="108"/>
  <c r="AF27" i="108" s="1"/>
  <c r="P75" i="108"/>
  <c r="AF26" i="108" s="1"/>
  <c r="P71" i="108"/>
  <c r="AF25" i="108" s="1"/>
  <c r="P67" i="108"/>
  <c r="P63" i="108"/>
  <c r="AF23" i="108" s="1"/>
  <c r="P59" i="108"/>
  <c r="S22" i="108"/>
  <c r="S26" i="108"/>
  <c r="S30" i="108"/>
  <c r="S23" i="108"/>
  <c r="S27" i="108"/>
  <c r="S31" i="108"/>
  <c r="P98" i="108"/>
  <c r="AF32" i="108" s="1"/>
  <c r="P82" i="108"/>
  <c r="P66" i="108"/>
  <c r="C11" i="108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E106" i="108" s="1"/>
  <c r="F10" i="108"/>
  <c r="F106" i="108" s="1"/>
  <c r="G10" i="108"/>
  <c r="H10" i="108"/>
  <c r="I10" i="108"/>
  <c r="I106" i="108" s="1"/>
  <c r="J10" i="108"/>
  <c r="J106" i="108" s="1"/>
  <c r="K10" i="108"/>
  <c r="L10" i="108"/>
  <c r="M10" i="108"/>
  <c r="M106" i="108" s="1"/>
  <c r="N10" i="108"/>
  <c r="N106" i="108" s="1"/>
  <c r="C10" i="108"/>
  <c r="D5" i="104"/>
  <c r="S23" i="111" l="1"/>
  <c r="O62" i="111"/>
  <c r="P62" i="111"/>
  <c r="AE33" i="111"/>
  <c r="O79" i="111"/>
  <c r="P79" i="111"/>
  <c r="O65" i="111"/>
  <c r="P65" i="111"/>
  <c r="AE29" i="107"/>
  <c r="D106" i="108"/>
  <c r="O69" i="111"/>
  <c r="P69" i="111"/>
  <c r="AE25" i="107"/>
  <c r="AE28" i="107"/>
  <c r="AF33" i="107"/>
  <c r="S27" i="111"/>
  <c r="O78" i="111"/>
  <c r="P78" i="111"/>
  <c r="S31" i="111"/>
  <c r="O94" i="111"/>
  <c r="P94" i="111"/>
  <c r="O64" i="111"/>
  <c r="P64" i="111"/>
  <c r="O89" i="111"/>
  <c r="AE29" i="111" s="1"/>
  <c r="P89" i="111"/>
  <c r="O77" i="111"/>
  <c r="P77" i="111"/>
  <c r="AE27" i="108"/>
  <c r="O91" i="111"/>
  <c r="P91" i="111"/>
  <c r="O99" i="111"/>
  <c r="P99" i="111"/>
  <c r="AF22" i="107"/>
  <c r="O82" i="111"/>
  <c r="P82" i="111"/>
  <c r="S28" i="111"/>
  <c r="O73" i="111"/>
  <c r="P73" i="111"/>
  <c r="O97" i="111"/>
  <c r="P97" i="111"/>
  <c r="O67" i="111"/>
  <c r="P67" i="111"/>
  <c r="L106" i="108"/>
  <c r="C106" i="108"/>
  <c r="K106" i="108"/>
  <c r="G106" i="108"/>
  <c r="AF24" i="108"/>
  <c r="O93" i="111"/>
  <c r="P93" i="111"/>
  <c r="AE26" i="107"/>
  <c r="O66" i="111"/>
  <c r="AE24" i="111" s="1"/>
  <c r="S24" i="111"/>
  <c r="P66" i="111"/>
  <c r="AE29" i="108"/>
  <c r="O63" i="111"/>
  <c r="P63" i="111"/>
  <c r="O75" i="111"/>
  <c r="P75" i="111"/>
  <c r="O83" i="111"/>
  <c r="P83" i="111"/>
  <c r="O103" i="111"/>
  <c r="P103" i="111"/>
  <c r="O61" i="111"/>
  <c r="P61" i="111"/>
  <c r="S32" i="111"/>
  <c r="O71" i="111"/>
  <c r="AE25" i="111" s="1"/>
  <c r="P71" i="111"/>
  <c r="O98" i="111"/>
  <c r="H106" i="108"/>
  <c r="AF28" i="108"/>
  <c r="AE32" i="107"/>
  <c r="AF23" i="107"/>
  <c r="P70" i="111"/>
  <c r="AF25" i="111" s="1"/>
  <c r="S26" i="111"/>
  <c r="O74" i="111"/>
  <c r="P74" i="111"/>
  <c r="P86" i="111"/>
  <c r="AF29" i="111" s="1"/>
  <c r="S30" i="111"/>
  <c r="O90" i="111"/>
  <c r="AE30" i="111" s="1"/>
  <c r="P90" i="111"/>
  <c r="AF30" i="111" s="1"/>
  <c r="P102" i="111"/>
  <c r="AF33" i="111" s="1"/>
  <c r="S22" i="111"/>
  <c r="P58" i="111"/>
  <c r="O58" i="111"/>
  <c r="O60" i="111"/>
  <c r="P60" i="111"/>
  <c r="O81" i="111"/>
  <c r="P81" i="111"/>
  <c r="AE23" i="108"/>
  <c r="AE31" i="108"/>
  <c r="AF32" i="107"/>
  <c r="O59" i="111"/>
  <c r="P59" i="111"/>
  <c r="O95" i="111"/>
  <c r="P95" i="111"/>
  <c r="O85" i="111"/>
  <c r="P85" i="111"/>
  <c r="P98" i="111"/>
  <c r="AF32" i="111" s="1"/>
  <c r="O11" i="103"/>
  <c r="O12" i="103"/>
  <c r="O13" i="103"/>
  <c r="O14" i="103"/>
  <c r="O15" i="103"/>
  <c r="O16" i="103"/>
  <c r="O17" i="103"/>
  <c r="O18" i="103"/>
  <c r="AE12" i="103" s="1"/>
  <c r="O19" i="103"/>
  <c r="O20" i="103"/>
  <c r="O21" i="103"/>
  <c r="O22" i="103"/>
  <c r="AE13" i="103" s="1"/>
  <c r="O23" i="103"/>
  <c r="O24" i="103"/>
  <c r="O25" i="103"/>
  <c r="O26" i="103"/>
  <c r="AE14" i="103" s="1"/>
  <c r="O27" i="103"/>
  <c r="O28" i="103"/>
  <c r="O29" i="103"/>
  <c r="O30" i="103"/>
  <c r="AE15" i="103" s="1"/>
  <c r="O31" i="103"/>
  <c r="O32" i="103"/>
  <c r="O33" i="103"/>
  <c r="O34" i="103"/>
  <c r="AE16" i="103" s="1"/>
  <c r="O35" i="103"/>
  <c r="O36" i="103"/>
  <c r="O37" i="103"/>
  <c r="O38" i="103"/>
  <c r="AE17" i="103" s="1"/>
  <c r="O39" i="103"/>
  <c r="O40" i="103"/>
  <c r="O41" i="103"/>
  <c r="O42" i="103"/>
  <c r="AE18" i="103" s="1"/>
  <c r="O43" i="103"/>
  <c r="O44" i="103"/>
  <c r="O45" i="103"/>
  <c r="O46" i="103"/>
  <c r="AE19" i="103" s="1"/>
  <c r="O47" i="103"/>
  <c r="O48" i="103"/>
  <c r="O49" i="103"/>
  <c r="O50" i="103"/>
  <c r="AE20" i="103" s="1"/>
  <c r="O51" i="103"/>
  <c r="O52" i="103"/>
  <c r="O53" i="103"/>
  <c r="O54" i="103"/>
  <c r="AE21" i="103" s="1"/>
  <c r="O55" i="103"/>
  <c r="O56" i="103"/>
  <c r="O57" i="103"/>
  <c r="O10" i="103"/>
  <c r="AE10" i="103" s="1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P23" i="103"/>
  <c r="P24" i="103"/>
  <c r="P25" i="103"/>
  <c r="P26" i="103"/>
  <c r="P27" i="103"/>
  <c r="P28" i="103"/>
  <c r="P29" i="103"/>
  <c r="P30" i="103"/>
  <c r="P31" i="103"/>
  <c r="P32" i="103"/>
  <c r="P33" i="103"/>
  <c r="P34" i="103"/>
  <c r="P35" i="103"/>
  <c r="P36" i="103"/>
  <c r="P37" i="103"/>
  <c r="P38" i="103"/>
  <c r="P39" i="103"/>
  <c r="P40" i="103"/>
  <c r="AF17" i="103" s="1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AF21" i="103" s="1"/>
  <c r="P56" i="103"/>
  <c r="P57" i="103"/>
  <c r="P58" i="104"/>
  <c r="O58" i="104"/>
  <c r="J60" i="104" s="1"/>
  <c r="N58" i="104"/>
  <c r="M58" i="104"/>
  <c r="L58" i="104"/>
  <c r="K58" i="104"/>
  <c r="K60" i="104" s="1"/>
  <c r="J58" i="104"/>
  <c r="I58" i="104"/>
  <c r="H58" i="104"/>
  <c r="G58" i="104"/>
  <c r="G60" i="104" s="1"/>
  <c r="F58" i="104"/>
  <c r="E58" i="104"/>
  <c r="D58" i="104"/>
  <c r="C58" i="104"/>
  <c r="C60" i="104" s="1"/>
  <c r="AF21" i="104"/>
  <c r="AE21" i="104"/>
  <c r="AD21" i="104"/>
  <c r="AC21" i="104"/>
  <c r="AB21" i="104"/>
  <c r="AA21" i="104"/>
  <c r="Z21" i="104"/>
  <c r="Y21" i="104"/>
  <c r="X21" i="104"/>
  <c r="W21" i="104"/>
  <c r="V21" i="104"/>
  <c r="U21" i="104"/>
  <c r="T21" i="104"/>
  <c r="S21" i="104"/>
  <c r="AF20" i="104"/>
  <c r="AE20" i="104"/>
  <c r="AE24" i="104" s="1"/>
  <c r="AD20" i="104"/>
  <c r="AC20" i="104"/>
  <c r="AB20" i="104"/>
  <c r="AA20" i="104"/>
  <c r="AA24" i="104" s="1"/>
  <c r="Z20" i="104"/>
  <c r="Y20" i="104"/>
  <c r="X20" i="104"/>
  <c r="W20" i="104"/>
  <c r="W24" i="104" s="1"/>
  <c r="V20" i="104"/>
  <c r="U20" i="104"/>
  <c r="T20" i="104"/>
  <c r="S20" i="104"/>
  <c r="S24" i="104" s="1"/>
  <c r="AF19" i="104"/>
  <c r="AE19" i="104"/>
  <c r="AD19" i="104"/>
  <c r="AD27" i="104" s="1"/>
  <c r="AC19" i="104"/>
  <c r="AC24" i="104" s="1"/>
  <c r="AB19" i="104"/>
  <c r="AA19" i="104"/>
  <c r="Z19" i="104"/>
  <c r="Z27" i="104" s="1"/>
  <c r="Y19" i="104"/>
  <c r="Y24" i="104" s="1"/>
  <c r="X19" i="104"/>
  <c r="W19" i="104"/>
  <c r="V19" i="104"/>
  <c r="V27" i="104" s="1"/>
  <c r="U19" i="104"/>
  <c r="U24" i="104" s="1"/>
  <c r="T19" i="104"/>
  <c r="S19" i="104"/>
  <c r="AF18" i="104"/>
  <c r="AE18" i="104"/>
  <c r="AD18" i="104"/>
  <c r="AC18" i="104"/>
  <c r="AB18" i="104"/>
  <c r="AA18" i="104"/>
  <c r="Z18" i="104"/>
  <c r="Y18" i="104"/>
  <c r="X18" i="104"/>
  <c r="W18" i="104"/>
  <c r="V18" i="104"/>
  <c r="U18" i="104"/>
  <c r="T18" i="104"/>
  <c r="S18" i="104"/>
  <c r="AF17" i="104"/>
  <c r="AE17" i="104"/>
  <c r="AD17" i="104"/>
  <c r="AC17" i="104"/>
  <c r="AB17" i="104"/>
  <c r="AA17" i="104"/>
  <c r="Z17" i="104"/>
  <c r="Y17" i="104"/>
  <c r="X17" i="104"/>
  <c r="W17" i="104"/>
  <c r="V17" i="104"/>
  <c r="U17" i="104"/>
  <c r="T17" i="104"/>
  <c r="S17" i="104"/>
  <c r="AF16" i="104"/>
  <c r="AE16" i="104"/>
  <c r="AD16" i="104"/>
  <c r="AC16" i="104"/>
  <c r="AB16" i="104"/>
  <c r="AA16" i="104"/>
  <c r="Z16" i="104"/>
  <c r="Y16" i="104"/>
  <c r="X16" i="104"/>
  <c r="W16" i="104"/>
  <c r="V16" i="104"/>
  <c r="U16" i="104"/>
  <c r="T16" i="104"/>
  <c r="S16" i="104"/>
  <c r="AF15" i="104"/>
  <c r="AE15" i="104"/>
  <c r="AD15" i="104"/>
  <c r="AC15" i="104"/>
  <c r="AB15" i="104"/>
  <c r="AA15" i="104"/>
  <c r="Z15" i="104"/>
  <c r="Y15" i="104"/>
  <c r="X15" i="104"/>
  <c r="W15" i="104"/>
  <c r="V15" i="104"/>
  <c r="U15" i="104"/>
  <c r="T15" i="104"/>
  <c r="S15" i="104"/>
  <c r="AF14" i="104"/>
  <c r="AE14" i="104"/>
  <c r="AE26" i="104" s="1"/>
  <c r="AD14" i="104"/>
  <c r="AC14" i="104"/>
  <c r="AB14" i="104"/>
  <c r="AA14" i="104"/>
  <c r="AA26" i="104" s="1"/>
  <c r="Z14" i="104"/>
  <c r="Y14" i="104"/>
  <c r="X14" i="104"/>
  <c r="W14" i="104"/>
  <c r="W26" i="104" s="1"/>
  <c r="V14" i="104"/>
  <c r="U14" i="104"/>
  <c r="T14" i="104"/>
  <c r="S14" i="104"/>
  <c r="S26" i="104" s="1"/>
  <c r="AF13" i="104"/>
  <c r="AE13" i="104"/>
  <c r="AD13" i="104"/>
  <c r="AD23" i="104" s="1"/>
  <c r="AC13" i="104"/>
  <c r="AC26" i="104" s="1"/>
  <c r="AB13" i="104"/>
  <c r="AA13" i="104"/>
  <c r="Z13" i="104"/>
  <c r="Z23" i="104" s="1"/>
  <c r="Y13" i="104"/>
  <c r="Y26" i="104" s="1"/>
  <c r="X13" i="104"/>
  <c r="W13" i="104"/>
  <c r="V13" i="104"/>
  <c r="V23" i="104" s="1"/>
  <c r="U13" i="104"/>
  <c r="U26" i="104" s="1"/>
  <c r="T13" i="104"/>
  <c r="S13" i="104"/>
  <c r="AF12" i="104"/>
  <c r="AE12" i="104"/>
  <c r="AD12" i="104"/>
  <c r="AC12" i="104"/>
  <c r="AB12" i="104"/>
  <c r="AA12" i="104"/>
  <c r="Z12" i="104"/>
  <c r="Y12" i="104"/>
  <c r="X12" i="104"/>
  <c r="W12" i="104"/>
  <c r="V12" i="104"/>
  <c r="U12" i="104"/>
  <c r="T12" i="104"/>
  <c r="S12" i="104"/>
  <c r="AF11" i="104"/>
  <c r="AE11" i="104"/>
  <c r="AD11" i="104"/>
  <c r="AC11" i="104"/>
  <c r="AC25" i="104" s="1"/>
  <c r="AB11" i="104"/>
  <c r="AA11" i="104"/>
  <c r="Z11" i="104"/>
  <c r="Y11" i="104"/>
  <c r="Y25" i="104" s="1"/>
  <c r="X11" i="104"/>
  <c r="W11" i="104"/>
  <c r="V11" i="104"/>
  <c r="U11" i="104"/>
  <c r="U25" i="104" s="1"/>
  <c r="T11" i="104"/>
  <c r="S11" i="104"/>
  <c r="AF10" i="104"/>
  <c r="AF28" i="104" s="1"/>
  <c r="AE10" i="104"/>
  <c r="AE25" i="104" s="1"/>
  <c r="AD10" i="104"/>
  <c r="AC10" i="104"/>
  <c r="AB10" i="104"/>
  <c r="AB28" i="104" s="1"/>
  <c r="AA10" i="104"/>
  <c r="AA25" i="104" s="1"/>
  <c r="Z10" i="104"/>
  <c r="Y10" i="104"/>
  <c r="X10" i="104"/>
  <c r="X28" i="104" s="1"/>
  <c r="W10" i="104"/>
  <c r="W25" i="104" s="1"/>
  <c r="V10" i="104"/>
  <c r="U10" i="104"/>
  <c r="T10" i="104"/>
  <c r="T28" i="104" s="1"/>
  <c r="S10" i="104"/>
  <c r="S25" i="104" s="1"/>
  <c r="K6" i="104"/>
  <c r="G6" i="104"/>
  <c r="D6" i="104"/>
  <c r="K5" i="104"/>
  <c r="G5" i="104"/>
  <c r="C3" i="104"/>
  <c r="N58" i="103"/>
  <c r="M58" i="103"/>
  <c r="K58" i="103"/>
  <c r="J58" i="103"/>
  <c r="I58" i="103"/>
  <c r="H58" i="103"/>
  <c r="G58" i="103"/>
  <c r="F58" i="103"/>
  <c r="E58" i="103"/>
  <c r="D58" i="103"/>
  <c r="C58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A19" i="103"/>
  <c r="AA27" i="103" s="1"/>
  <c r="Z19" i="103"/>
  <c r="Z27" i="103" s="1"/>
  <c r="Y19" i="103"/>
  <c r="X19" i="103"/>
  <c r="W19" i="103"/>
  <c r="W27" i="103" s="1"/>
  <c r="V19" i="103"/>
  <c r="V27" i="103" s="1"/>
  <c r="U19" i="103"/>
  <c r="T19" i="103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C16" i="103"/>
  <c r="AB16" i="103"/>
  <c r="AA16" i="103"/>
  <c r="Z16" i="103"/>
  <c r="Y16" i="103"/>
  <c r="X16" i="103"/>
  <c r="W16" i="103"/>
  <c r="V16" i="103"/>
  <c r="U16" i="103"/>
  <c r="T16" i="103"/>
  <c r="S16" i="103"/>
  <c r="AD15" i="103"/>
  <c r="AC15" i="103"/>
  <c r="AB15" i="103"/>
  <c r="AA15" i="103"/>
  <c r="Z15" i="103"/>
  <c r="Y15" i="103"/>
  <c r="X15" i="103"/>
  <c r="W15" i="103"/>
  <c r="V15" i="103"/>
  <c r="U15" i="103"/>
  <c r="T15" i="103"/>
  <c r="S15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AF13" i="103"/>
  <c r="AD13" i="103"/>
  <c r="AC13" i="103"/>
  <c r="AB13" i="103"/>
  <c r="AA13" i="103"/>
  <c r="AA23" i="103" s="1"/>
  <c r="Z13" i="103"/>
  <c r="Y13" i="103"/>
  <c r="X13" i="103"/>
  <c r="W13" i="103"/>
  <c r="W23" i="103" s="1"/>
  <c r="V13" i="103"/>
  <c r="U13" i="103"/>
  <c r="T13" i="103"/>
  <c r="S13" i="103"/>
  <c r="S23" i="103" s="1"/>
  <c r="AD12" i="103"/>
  <c r="AC12" i="103"/>
  <c r="AB12" i="103"/>
  <c r="AA12" i="103"/>
  <c r="Z12" i="103"/>
  <c r="Y12" i="103"/>
  <c r="X12" i="103"/>
  <c r="W12" i="103"/>
  <c r="V12" i="103"/>
  <c r="U12" i="103"/>
  <c r="T12" i="103"/>
  <c r="S12" i="103"/>
  <c r="AD11" i="103"/>
  <c r="AC11" i="103"/>
  <c r="AB11" i="103"/>
  <c r="AA11" i="103"/>
  <c r="Z11" i="103"/>
  <c r="Y11" i="103"/>
  <c r="X11" i="103"/>
  <c r="W11" i="103"/>
  <c r="V11" i="103"/>
  <c r="U11" i="103"/>
  <c r="T11" i="103"/>
  <c r="S11" i="103"/>
  <c r="AD10" i="103"/>
  <c r="AC10" i="103"/>
  <c r="AA10" i="103"/>
  <c r="AA25" i="103" s="1"/>
  <c r="Z10" i="103"/>
  <c r="Y10" i="103"/>
  <c r="X10" i="103"/>
  <c r="W10" i="103"/>
  <c r="W25" i="103" s="1"/>
  <c r="V10" i="103"/>
  <c r="U10" i="103"/>
  <c r="T10" i="103"/>
  <c r="S10" i="103"/>
  <c r="S25" i="103" s="1"/>
  <c r="L10" i="103"/>
  <c r="L58" i="103" s="1"/>
  <c r="K6" i="103"/>
  <c r="G6" i="103"/>
  <c r="D6" i="103"/>
  <c r="K5" i="103"/>
  <c r="G5" i="103"/>
  <c r="C3" i="103"/>
  <c r="N106" i="105"/>
  <c r="M106" i="105"/>
  <c r="L106" i="105"/>
  <c r="K106" i="105"/>
  <c r="J106" i="105"/>
  <c r="I106" i="105"/>
  <c r="H106" i="105"/>
  <c r="G106" i="105"/>
  <c r="F106" i="105"/>
  <c r="E106" i="105"/>
  <c r="D106" i="105"/>
  <c r="C106" i="105"/>
  <c r="P105" i="105"/>
  <c r="O105" i="105"/>
  <c r="P104" i="105"/>
  <c r="O104" i="105"/>
  <c r="P103" i="105"/>
  <c r="O103" i="105"/>
  <c r="P102" i="105"/>
  <c r="O102" i="105"/>
  <c r="AE33" i="105" s="1"/>
  <c r="P101" i="105"/>
  <c r="O101" i="105"/>
  <c r="P100" i="105"/>
  <c r="O100" i="105"/>
  <c r="P99" i="105"/>
  <c r="AF32" i="105" s="1"/>
  <c r="O99" i="105"/>
  <c r="P98" i="105"/>
  <c r="O98" i="105"/>
  <c r="AE32" i="105" s="1"/>
  <c r="P97" i="105"/>
  <c r="O97" i="105"/>
  <c r="P96" i="105"/>
  <c r="O96" i="105"/>
  <c r="P95" i="105"/>
  <c r="AF31" i="105" s="1"/>
  <c r="O95" i="105"/>
  <c r="P94" i="105"/>
  <c r="O94" i="105"/>
  <c r="AE31" i="105" s="1"/>
  <c r="P93" i="105"/>
  <c r="O93" i="105"/>
  <c r="P92" i="105"/>
  <c r="O92" i="105"/>
  <c r="P91" i="105"/>
  <c r="AF30" i="105" s="1"/>
  <c r="O91" i="105"/>
  <c r="P90" i="105"/>
  <c r="O90" i="105"/>
  <c r="AE30" i="105" s="1"/>
  <c r="P89" i="105"/>
  <c r="O89" i="105"/>
  <c r="P88" i="105"/>
  <c r="O88" i="105"/>
  <c r="P87" i="105"/>
  <c r="AF29" i="105" s="1"/>
  <c r="O87" i="105"/>
  <c r="P86" i="105"/>
  <c r="O86" i="105"/>
  <c r="AE29" i="105" s="1"/>
  <c r="P85" i="105"/>
  <c r="O85" i="105"/>
  <c r="P84" i="105"/>
  <c r="O84" i="105"/>
  <c r="P83" i="105"/>
  <c r="AF28" i="105" s="1"/>
  <c r="O83" i="105"/>
  <c r="P82" i="105"/>
  <c r="O82" i="105"/>
  <c r="AE28" i="105" s="1"/>
  <c r="P81" i="105"/>
  <c r="O81" i="105"/>
  <c r="P80" i="105"/>
  <c r="O80" i="105"/>
  <c r="P79" i="105"/>
  <c r="AF27" i="105" s="1"/>
  <c r="O79" i="105"/>
  <c r="P78" i="105"/>
  <c r="O78" i="105"/>
  <c r="AE27" i="105" s="1"/>
  <c r="P77" i="105"/>
  <c r="O77" i="105"/>
  <c r="P76" i="105"/>
  <c r="O76" i="105"/>
  <c r="P75" i="105"/>
  <c r="AF26" i="105" s="1"/>
  <c r="O75" i="105"/>
  <c r="P74" i="105"/>
  <c r="O74" i="105"/>
  <c r="AE26" i="105" s="1"/>
  <c r="P73" i="105"/>
  <c r="O73" i="105"/>
  <c r="P72" i="105"/>
  <c r="O72" i="105"/>
  <c r="P71" i="105"/>
  <c r="AF25" i="105" s="1"/>
  <c r="O71" i="105"/>
  <c r="P70" i="105"/>
  <c r="O70" i="105"/>
  <c r="AE25" i="105" s="1"/>
  <c r="P69" i="105"/>
  <c r="O69" i="105"/>
  <c r="P68" i="105"/>
  <c r="O68" i="105"/>
  <c r="P67" i="105"/>
  <c r="AF24" i="105" s="1"/>
  <c r="O67" i="105"/>
  <c r="P66" i="105"/>
  <c r="O66" i="105"/>
  <c r="AE24" i="105" s="1"/>
  <c r="P65" i="105"/>
  <c r="O65" i="105"/>
  <c r="P64" i="105"/>
  <c r="O64" i="105"/>
  <c r="P63" i="105"/>
  <c r="AF23" i="105" s="1"/>
  <c r="O63" i="105"/>
  <c r="P62" i="105"/>
  <c r="O62" i="105"/>
  <c r="AE23" i="105" s="1"/>
  <c r="P61" i="105"/>
  <c r="O61" i="105"/>
  <c r="P60" i="105"/>
  <c r="O60" i="105"/>
  <c r="P59" i="105"/>
  <c r="AF22" i="105" s="1"/>
  <c r="O59" i="105"/>
  <c r="P58" i="105"/>
  <c r="O58" i="105"/>
  <c r="AE22" i="105" s="1"/>
  <c r="P57" i="105"/>
  <c r="O57" i="105"/>
  <c r="P56" i="105"/>
  <c r="O56" i="105"/>
  <c r="P55" i="105"/>
  <c r="AF21" i="105" s="1"/>
  <c r="O55" i="105"/>
  <c r="P54" i="105"/>
  <c r="O54" i="105"/>
  <c r="AE21" i="105" s="1"/>
  <c r="P53" i="105"/>
  <c r="O53" i="105"/>
  <c r="P52" i="105"/>
  <c r="O52" i="105"/>
  <c r="P51" i="105"/>
  <c r="AF20" i="105" s="1"/>
  <c r="O51" i="105"/>
  <c r="P50" i="105"/>
  <c r="O50" i="105"/>
  <c r="AE20" i="105" s="1"/>
  <c r="P49" i="105"/>
  <c r="O49" i="105"/>
  <c r="P48" i="105"/>
  <c r="O48" i="105"/>
  <c r="P47" i="105"/>
  <c r="AF19" i="105" s="1"/>
  <c r="O47" i="105"/>
  <c r="P46" i="105"/>
  <c r="O46" i="105"/>
  <c r="AE19" i="105" s="1"/>
  <c r="AE39" i="105" s="1"/>
  <c r="P45" i="105"/>
  <c r="O45" i="105"/>
  <c r="P44" i="105"/>
  <c r="O44" i="105"/>
  <c r="P43" i="105"/>
  <c r="AF18" i="105" s="1"/>
  <c r="O43" i="105"/>
  <c r="P42" i="105"/>
  <c r="O42" i="105"/>
  <c r="AE18" i="105" s="1"/>
  <c r="P41" i="105"/>
  <c r="O41" i="105"/>
  <c r="P40" i="105"/>
  <c r="O40" i="105"/>
  <c r="P39" i="105"/>
  <c r="O39" i="105"/>
  <c r="P38" i="105"/>
  <c r="O38" i="105"/>
  <c r="AE17" i="105" s="1"/>
  <c r="P37" i="105"/>
  <c r="O37" i="105"/>
  <c r="P36" i="105"/>
  <c r="O36" i="105"/>
  <c r="P35" i="105"/>
  <c r="AF16" i="105" s="1"/>
  <c r="O35" i="105"/>
  <c r="P34" i="105"/>
  <c r="O34" i="105"/>
  <c r="AE16" i="105" s="1"/>
  <c r="AF33" i="105"/>
  <c r="AD33" i="105"/>
  <c r="AC33" i="105"/>
  <c r="AB33" i="105"/>
  <c r="AA33" i="105"/>
  <c r="Z33" i="105"/>
  <c r="Y33" i="105"/>
  <c r="X33" i="105"/>
  <c r="W33" i="105"/>
  <c r="V33" i="105"/>
  <c r="U33" i="105"/>
  <c r="T33" i="105"/>
  <c r="S33" i="105"/>
  <c r="P33" i="105"/>
  <c r="O33" i="105"/>
  <c r="AD32" i="105"/>
  <c r="AC32" i="105"/>
  <c r="AB32" i="105"/>
  <c r="AA32" i="105"/>
  <c r="Z32" i="105"/>
  <c r="Y32" i="105"/>
  <c r="X32" i="105"/>
  <c r="W32" i="105"/>
  <c r="V32" i="105"/>
  <c r="U32" i="105"/>
  <c r="T32" i="105"/>
  <c r="S32" i="105"/>
  <c r="P32" i="105"/>
  <c r="O32" i="105"/>
  <c r="AD31" i="105"/>
  <c r="AC31" i="105"/>
  <c r="AB31" i="105"/>
  <c r="AA31" i="105"/>
  <c r="Z31" i="105"/>
  <c r="Y31" i="105"/>
  <c r="X31" i="105"/>
  <c r="W31" i="105"/>
  <c r="V31" i="105"/>
  <c r="U31" i="105"/>
  <c r="T31" i="105"/>
  <c r="S31" i="105"/>
  <c r="P31" i="105"/>
  <c r="O31" i="105"/>
  <c r="AD30" i="105"/>
  <c r="AC30" i="105"/>
  <c r="AB30" i="105"/>
  <c r="AA30" i="105"/>
  <c r="Z30" i="105"/>
  <c r="Y30" i="105"/>
  <c r="X30" i="105"/>
  <c r="W30" i="105"/>
  <c r="V30" i="105"/>
  <c r="U30" i="105"/>
  <c r="T30" i="105"/>
  <c r="S30" i="105"/>
  <c r="P30" i="105"/>
  <c r="AF15" i="105" s="1"/>
  <c r="O30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P29" i="105"/>
  <c r="O29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P28" i="105"/>
  <c r="O28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P27" i="105"/>
  <c r="O27" i="105"/>
  <c r="AD26" i="105"/>
  <c r="AC26" i="105"/>
  <c r="AB26" i="105"/>
  <c r="AA26" i="105"/>
  <c r="Z26" i="105"/>
  <c r="Y26" i="105"/>
  <c r="X26" i="105"/>
  <c r="W26" i="105"/>
  <c r="V26" i="105"/>
  <c r="U26" i="105"/>
  <c r="T26" i="105"/>
  <c r="S26" i="105"/>
  <c r="P26" i="105"/>
  <c r="O26" i="105"/>
  <c r="AD25" i="105"/>
  <c r="AC25" i="105"/>
  <c r="AB25" i="105"/>
  <c r="AA25" i="105"/>
  <c r="Z25" i="105"/>
  <c r="Y25" i="105"/>
  <c r="X25" i="105"/>
  <c r="W25" i="105"/>
  <c r="V25" i="105"/>
  <c r="U25" i="105"/>
  <c r="T25" i="105"/>
  <c r="S25" i="105"/>
  <c r="P25" i="105"/>
  <c r="O25" i="105"/>
  <c r="AD24" i="105"/>
  <c r="AC24" i="105"/>
  <c r="AB24" i="105"/>
  <c r="AA24" i="105"/>
  <c r="Z24" i="105"/>
  <c r="Y24" i="105"/>
  <c r="X24" i="105"/>
  <c r="W24" i="105"/>
  <c r="V24" i="105"/>
  <c r="U24" i="105"/>
  <c r="T24" i="105"/>
  <c r="S24" i="105"/>
  <c r="P24" i="105"/>
  <c r="O24" i="105"/>
  <c r="AD23" i="105"/>
  <c r="AC23" i="105"/>
  <c r="AB23" i="105"/>
  <c r="AA23" i="105"/>
  <c r="Z23" i="105"/>
  <c r="Y23" i="105"/>
  <c r="X23" i="105"/>
  <c r="W23" i="105"/>
  <c r="V23" i="105"/>
  <c r="U23" i="105"/>
  <c r="T23" i="105"/>
  <c r="S23" i="105"/>
  <c r="P23" i="105"/>
  <c r="O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P22" i="105"/>
  <c r="O22" i="105"/>
  <c r="AD21" i="105"/>
  <c r="AC21" i="105"/>
  <c r="AB21" i="105"/>
  <c r="AA21" i="105"/>
  <c r="Z21" i="105"/>
  <c r="Y21" i="105"/>
  <c r="X21" i="105"/>
  <c r="W21" i="105"/>
  <c r="V21" i="105"/>
  <c r="U21" i="105"/>
  <c r="T21" i="105"/>
  <c r="S21" i="105"/>
  <c r="P21" i="105"/>
  <c r="O21" i="105"/>
  <c r="AD20" i="105"/>
  <c r="AC20" i="105"/>
  <c r="AB20" i="105"/>
  <c r="AA20" i="105"/>
  <c r="Z20" i="105"/>
  <c r="Y20" i="105"/>
  <c r="X20" i="105"/>
  <c r="W20" i="105"/>
  <c r="V20" i="105"/>
  <c r="U20" i="105"/>
  <c r="T20" i="105"/>
  <c r="S20" i="105"/>
  <c r="P20" i="105"/>
  <c r="O20" i="105"/>
  <c r="AD19" i="105"/>
  <c r="AD39" i="105" s="1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S39" i="105" s="1"/>
  <c r="P19" i="105"/>
  <c r="AF12" i="105" s="1"/>
  <c r="O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P18" i="105"/>
  <c r="O18" i="105"/>
  <c r="AF17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P17" i="105"/>
  <c r="O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P16" i="105"/>
  <c r="AF11" i="105" s="1"/>
  <c r="O16" i="105"/>
  <c r="AD15" i="105"/>
  <c r="AC15" i="105"/>
  <c r="AB15" i="105"/>
  <c r="AA15" i="105"/>
  <c r="Z15" i="105"/>
  <c r="Y15" i="105"/>
  <c r="X15" i="105"/>
  <c r="W15" i="105"/>
  <c r="V15" i="105"/>
  <c r="U15" i="105"/>
  <c r="T15" i="105"/>
  <c r="S15" i="105"/>
  <c r="P15" i="105"/>
  <c r="O15" i="105"/>
  <c r="AF14" i="105"/>
  <c r="AD14" i="105"/>
  <c r="AC14" i="105"/>
  <c r="AB14" i="105"/>
  <c r="AA14" i="105"/>
  <c r="Z14" i="105"/>
  <c r="Y14" i="105"/>
  <c r="X14" i="105"/>
  <c r="W14" i="105"/>
  <c r="V14" i="105"/>
  <c r="U14" i="105"/>
  <c r="T14" i="105"/>
  <c r="S14" i="105"/>
  <c r="P14" i="105"/>
  <c r="O14" i="105"/>
  <c r="AF13" i="105"/>
  <c r="AD13" i="105"/>
  <c r="AD38" i="105" s="1"/>
  <c r="AC13" i="105"/>
  <c r="AB13" i="105"/>
  <c r="AA13" i="105"/>
  <c r="Z13" i="105"/>
  <c r="Z38" i="105" s="1"/>
  <c r="Y13" i="105"/>
  <c r="X13" i="105"/>
  <c r="W13" i="105"/>
  <c r="V13" i="105"/>
  <c r="V38" i="105" s="1"/>
  <c r="U13" i="105"/>
  <c r="T13" i="105"/>
  <c r="S13" i="105"/>
  <c r="P13" i="105"/>
  <c r="O13" i="105"/>
  <c r="AD12" i="105"/>
  <c r="AC12" i="105"/>
  <c r="AB12" i="105"/>
  <c r="AA12" i="105"/>
  <c r="Z12" i="105"/>
  <c r="Y12" i="105"/>
  <c r="X12" i="105"/>
  <c r="W12" i="105"/>
  <c r="V12" i="105"/>
  <c r="U12" i="105"/>
  <c r="T12" i="105"/>
  <c r="S12" i="105"/>
  <c r="P12" i="105"/>
  <c r="O12" i="105"/>
  <c r="AD11" i="105"/>
  <c r="AC11" i="105"/>
  <c r="AB11" i="105"/>
  <c r="AA11" i="105"/>
  <c r="Z11" i="105"/>
  <c r="Y11" i="105"/>
  <c r="X11" i="105"/>
  <c r="W11" i="105"/>
  <c r="V11" i="105"/>
  <c r="U11" i="105"/>
  <c r="T11" i="105"/>
  <c r="S11" i="105"/>
  <c r="P11" i="105"/>
  <c r="O11" i="105"/>
  <c r="AF10" i="105"/>
  <c r="AD10" i="105"/>
  <c r="AC10" i="105"/>
  <c r="AB10" i="105"/>
  <c r="AA10" i="105"/>
  <c r="AA41" i="105" s="1"/>
  <c r="Z10" i="105"/>
  <c r="Y10" i="105"/>
  <c r="X10" i="105"/>
  <c r="W10" i="105"/>
  <c r="W41" i="105" s="1"/>
  <c r="V10" i="105"/>
  <c r="U10" i="105"/>
  <c r="T10" i="105"/>
  <c r="S10" i="105"/>
  <c r="S41" i="105" s="1"/>
  <c r="P10" i="105"/>
  <c r="O10" i="105"/>
  <c r="K6" i="105"/>
  <c r="G6" i="105"/>
  <c r="D6" i="105"/>
  <c r="G5" i="105"/>
  <c r="C3" i="105"/>
  <c r="N106" i="110"/>
  <c r="M106" i="110"/>
  <c r="L106" i="110"/>
  <c r="K106" i="110"/>
  <c r="J106" i="110"/>
  <c r="I106" i="110"/>
  <c r="H106" i="110"/>
  <c r="G106" i="110"/>
  <c r="F106" i="110"/>
  <c r="E106" i="110"/>
  <c r="D106" i="110"/>
  <c r="C106" i="110"/>
  <c r="P105" i="110"/>
  <c r="O105" i="110"/>
  <c r="P104" i="110"/>
  <c r="O104" i="110"/>
  <c r="P103" i="110"/>
  <c r="O103" i="110"/>
  <c r="P102" i="110"/>
  <c r="O102" i="110"/>
  <c r="AE33" i="110" s="1"/>
  <c r="P101" i="110"/>
  <c r="O101" i="110"/>
  <c r="P100" i="110"/>
  <c r="O100" i="110"/>
  <c r="P99" i="110"/>
  <c r="AF32" i="110" s="1"/>
  <c r="O99" i="110"/>
  <c r="P98" i="110"/>
  <c r="O98" i="110"/>
  <c r="AE32" i="110" s="1"/>
  <c r="P97" i="110"/>
  <c r="O97" i="110"/>
  <c r="P96" i="110"/>
  <c r="O96" i="110"/>
  <c r="P95" i="110"/>
  <c r="AF31" i="110" s="1"/>
  <c r="O95" i="110"/>
  <c r="P94" i="110"/>
  <c r="O94" i="110"/>
  <c r="AE31" i="110" s="1"/>
  <c r="P93" i="110"/>
  <c r="O93" i="110"/>
  <c r="P92" i="110"/>
  <c r="O92" i="110"/>
  <c r="P91" i="110"/>
  <c r="AF30" i="110" s="1"/>
  <c r="O91" i="110"/>
  <c r="P90" i="110"/>
  <c r="O90" i="110"/>
  <c r="AE30" i="110" s="1"/>
  <c r="P89" i="110"/>
  <c r="O89" i="110"/>
  <c r="P88" i="110"/>
  <c r="O88" i="110"/>
  <c r="P87" i="110"/>
  <c r="AF29" i="110" s="1"/>
  <c r="O87" i="110"/>
  <c r="P86" i="110"/>
  <c r="O86" i="110"/>
  <c r="AE29" i="110" s="1"/>
  <c r="P85" i="110"/>
  <c r="O85" i="110"/>
  <c r="P84" i="110"/>
  <c r="O84" i="110"/>
  <c r="P83" i="110"/>
  <c r="AF28" i="110" s="1"/>
  <c r="O83" i="110"/>
  <c r="P82" i="110"/>
  <c r="O82" i="110"/>
  <c r="AE28" i="110" s="1"/>
  <c r="P81" i="110"/>
  <c r="O81" i="110"/>
  <c r="P80" i="110"/>
  <c r="O80" i="110"/>
  <c r="P79" i="110"/>
  <c r="AF27" i="110" s="1"/>
  <c r="O79" i="110"/>
  <c r="P78" i="110"/>
  <c r="O78" i="110"/>
  <c r="AE27" i="110" s="1"/>
  <c r="P77" i="110"/>
  <c r="O77" i="110"/>
  <c r="P76" i="110"/>
  <c r="O76" i="110"/>
  <c r="P75" i="110"/>
  <c r="AF26" i="110" s="1"/>
  <c r="O75" i="110"/>
  <c r="P74" i="110"/>
  <c r="O74" i="110"/>
  <c r="AE26" i="110" s="1"/>
  <c r="P73" i="110"/>
  <c r="O73" i="110"/>
  <c r="P72" i="110"/>
  <c r="O72" i="110"/>
  <c r="P71" i="110"/>
  <c r="AF25" i="110" s="1"/>
  <c r="O71" i="110"/>
  <c r="P70" i="110"/>
  <c r="O70" i="110"/>
  <c r="AE25" i="110" s="1"/>
  <c r="P69" i="110"/>
  <c r="O69" i="110"/>
  <c r="P68" i="110"/>
  <c r="O68" i="110"/>
  <c r="P67" i="110"/>
  <c r="AF24" i="110" s="1"/>
  <c r="O67" i="110"/>
  <c r="P66" i="110"/>
  <c r="O66" i="110"/>
  <c r="AE24" i="110" s="1"/>
  <c r="P65" i="110"/>
  <c r="O65" i="110"/>
  <c r="P64" i="110"/>
  <c r="O64" i="110"/>
  <c r="P63" i="110"/>
  <c r="O63" i="110"/>
  <c r="P62" i="110"/>
  <c r="O62" i="110"/>
  <c r="AE23" i="110" s="1"/>
  <c r="P61" i="110"/>
  <c r="O61" i="110"/>
  <c r="P60" i="110"/>
  <c r="O60" i="110"/>
  <c r="P59" i="110"/>
  <c r="AF22" i="110" s="1"/>
  <c r="O59" i="110"/>
  <c r="P58" i="110"/>
  <c r="O58" i="110"/>
  <c r="AE22" i="110" s="1"/>
  <c r="P57" i="110"/>
  <c r="O57" i="110"/>
  <c r="P56" i="110"/>
  <c r="O56" i="110"/>
  <c r="P55" i="110"/>
  <c r="AF21" i="110" s="1"/>
  <c r="O55" i="110"/>
  <c r="P54" i="110"/>
  <c r="O54" i="110"/>
  <c r="AE21" i="110" s="1"/>
  <c r="P53" i="110"/>
  <c r="O53" i="110"/>
  <c r="P52" i="110"/>
  <c r="O52" i="110"/>
  <c r="P51" i="110"/>
  <c r="O51" i="110"/>
  <c r="P50" i="110"/>
  <c r="O50" i="110"/>
  <c r="AE20" i="110" s="1"/>
  <c r="P49" i="110"/>
  <c r="O49" i="110"/>
  <c r="P48" i="110"/>
  <c r="O48" i="110"/>
  <c r="P47" i="110"/>
  <c r="AF19" i="110" s="1"/>
  <c r="O47" i="110"/>
  <c r="P46" i="110"/>
  <c r="O46" i="110"/>
  <c r="AE19" i="110" s="1"/>
  <c r="AE39" i="110" s="1"/>
  <c r="P45" i="110"/>
  <c r="O45" i="110"/>
  <c r="P44" i="110"/>
  <c r="O44" i="110"/>
  <c r="P43" i="110"/>
  <c r="AF18" i="110" s="1"/>
  <c r="O43" i="110"/>
  <c r="P42" i="110"/>
  <c r="O42" i="110"/>
  <c r="AE18" i="110" s="1"/>
  <c r="P41" i="110"/>
  <c r="O41" i="110"/>
  <c r="P40" i="110"/>
  <c r="O40" i="110"/>
  <c r="P39" i="110"/>
  <c r="O39" i="110"/>
  <c r="P38" i="110"/>
  <c r="O38" i="110"/>
  <c r="AE17" i="110" s="1"/>
  <c r="P37" i="110"/>
  <c r="O37" i="110"/>
  <c r="P36" i="110"/>
  <c r="O36" i="110"/>
  <c r="P35" i="110"/>
  <c r="AF16" i="110" s="1"/>
  <c r="O35" i="110"/>
  <c r="P34" i="110"/>
  <c r="O34" i="110"/>
  <c r="AE16" i="110" s="1"/>
  <c r="AF33" i="110"/>
  <c r="AD33" i="110"/>
  <c r="AC33" i="110"/>
  <c r="AB33" i="110"/>
  <c r="AA33" i="110"/>
  <c r="Z33" i="110"/>
  <c r="Y33" i="110"/>
  <c r="X33" i="110"/>
  <c r="W33" i="110"/>
  <c r="V33" i="110"/>
  <c r="U33" i="110"/>
  <c r="T33" i="110"/>
  <c r="S33" i="110"/>
  <c r="P33" i="110"/>
  <c r="O33" i="110"/>
  <c r="AD32" i="110"/>
  <c r="AC32" i="110"/>
  <c r="AB32" i="110"/>
  <c r="AA32" i="110"/>
  <c r="Z32" i="110"/>
  <c r="Y32" i="110"/>
  <c r="X32" i="110"/>
  <c r="W32" i="110"/>
  <c r="V32" i="110"/>
  <c r="U32" i="110"/>
  <c r="T32" i="110"/>
  <c r="S32" i="110"/>
  <c r="P32" i="110"/>
  <c r="O32" i="110"/>
  <c r="AD31" i="110"/>
  <c r="AC31" i="110"/>
  <c r="AB31" i="110"/>
  <c r="AA31" i="110"/>
  <c r="Z31" i="110"/>
  <c r="Y31" i="110"/>
  <c r="X31" i="110"/>
  <c r="W31" i="110"/>
  <c r="V31" i="110"/>
  <c r="U31" i="110"/>
  <c r="T31" i="110"/>
  <c r="S31" i="110"/>
  <c r="P31" i="110"/>
  <c r="AF15" i="110" s="1"/>
  <c r="O31" i="110"/>
  <c r="AD30" i="110"/>
  <c r="AC30" i="110"/>
  <c r="AB30" i="110"/>
  <c r="AA30" i="110"/>
  <c r="Z30" i="110"/>
  <c r="Y30" i="110"/>
  <c r="X30" i="110"/>
  <c r="W30" i="110"/>
  <c r="V30" i="110"/>
  <c r="U30" i="110"/>
  <c r="T30" i="110"/>
  <c r="S30" i="110"/>
  <c r="P30" i="110"/>
  <c r="O30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P29" i="110"/>
  <c r="O29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P28" i="110"/>
  <c r="O28" i="110"/>
  <c r="AD27" i="110"/>
  <c r="AC27" i="110"/>
  <c r="AB27" i="110"/>
  <c r="AA27" i="110"/>
  <c r="Z27" i="110"/>
  <c r="Y27" i="110"/>
  <c r="X27" i="110"/>
  <c r="W27" i="110"/>
  <c r="V27" i="110"/>
  <c r="U27" i="110"/>
  <c r="T27" i="110"/>
  <c r="S27" i="110"/>
  <c r="P27" i="110"/>
  <c r="O27" i="110"/>
  <c r="AD26" i="110"/>
  <c r="AC26" i="110"/>
  <c r="AB26" i="110"/>
  <c r="AA26" i="110"/>
  <c r="Z26" i="110"/>
  <c r="Y26" i="110"/>
  <c r="X26" i="110"/>
  <c r="W26" i="110"/>
  <c r="V26" i="110"/>
  <c r="U26" i="110"/>
  <c r="T26" i="110"/>
  <c r="S26" i="110"/>
  <c r="P26" i="110"/>
  <c r="AF14" i="110" s="1"/>
  <c r="O26" i="110"/>
  <c r="AD25" i="110"/>
  <c r="AC25" i="110"/>
  <c r="AB25" i="110"/>
  <c r="AA25" i="110"/>
  <c r="Z25" i="110"/>
  <c r="Y25" i="110"/>
  <c r="X25" i="110"/>
  <c r="W25" i="110"/>
  <c r="V25" i="110"/>
  <c r="U25" i="110"/>
  <c r="T25" i="110"/>
  <c r="S25" i="110"/>
  <c r="P25" i="110"/>
  <c r="O25" i="110"/>
  <c r="AD24" i="110"/>
  <c r="AC24" i="110"/>
  <c r="AB24" i="110"/>
  <c r="AA24" i="110"/>
  <c r="Z24" i="110"/>
  <c r="Y24" i="110"/>
  <c r="X24" i="110"/>
  <c r="W24" i="110"/>
  <c r="V24" i="110"/>
  <c r="U24" i="110"/>
  <c r="T24" i="110"/>
  <c r="S24" i="110"/>
  <c r="P24" i="110"/>
  <c r="O24" i="110"/>
  <c r="AF23" i="110"/>
  <c r="AD23" i="110"/>
  <c r="AC23" i="110"/>
  <c r="AB23" i="110"/>
  <c r="AA23" i="110"/>
  <c r="Z23" i="110"/>
  <c r="Y23" i="110"/>
  <c r="X23" i="110"/>
  <c r="W23" i="110"/>
  <c r="V23" i="110"/>
  <c r="U23" i="110"/>
  <c r="T23" i="110"/>
  <c r="S23" i="110"/>
  <c r="P23" i="110"/>
  <c r="O23" i="110"/>
  <c r="AD22" i="110"/>
  <c r="AC22" i="110"/>
  <c r="AB22" i="110"/>
  <c r="AA22" i="110"/>
  <c r="Z22" i="110"/>
  <c r="Y22" i="110"/>
  <c r="X22" i="110"/>
  <c r="W22" i="110"/>
  <c r="V22" i="110"/>
  <c r="U22" i="110"/>
  <c r="T22" i="110"/>
  <c r="S22" i="110"/>
  <c r="P22" i="110"/>
  <c r="AF13" i="110" s="1"/>
  <c r="O22" i="110"/>
  <c r="AE13" i="110" s="1"/>
  <c r="AD21" i="110"/>
  <c r="AC21" i="110"/>
  <c r="AB21" i="110"/>
  <c r="AA21" i="110"/>
  <c r="Z21" i="110"/>
  <c r="Y21" i="110"/>
  <c r="X21" i="110"/>
  <c r="W21" i="110"/>
  <c r="V21" i="110"/>
  <c r="U21" i="110"/>
  <c r="T21" i="110"/>
  <c r="S21" i="110"/>
  <c r="P21" i="110"/>
  <c r="O21" i="110"/>
  <c r="AF20" i="110"/>
  <c r="AD20" i="110"/>
  <c r="AC20" i="110"/>
  <c r="AB20" i="110"/>
  <c r="AA20" i="110"/>
  <c r="Z20" i="110"/>
  <c r="Y20" i="110"/>
  <c r="X20" i="110"/>
  <c r="W20" i="110"/>
  <c r="V20" i="110"/>
  <c r="U20" i="110"/>
  <c r="T20" i="110"/>
  <c r="S20" i="110"/>
  <c r="P20" i="110"/>
  <c r="O20" i="110"/>
  <c r="AD19" i="110"/>
  <c r="AD39" i="110" s="1"/>
  <c r="AC19" i="110"/>
  <c r="AB19" i="110"/>
  <c r="AA19" i="110"/>
  <c r="Z19" i="110"/>
  <c r="Z39" i="110" s="1"/>
  <c r="Y19" i="110"/>
  <c r="X19" i="110"/>
  <c r="W19" i="110"/>
  <c r="V19" i="110"/>
  <c r="V39" i="110" s="1"/>
  <c r="U19" i="110"/>
  <c r="T19" i="110"/>
  <c r="S19" i="110"/>
  <c r="P19" i="110"/>
  <c r="AF12" i="110" s="1"/>
  <c r="O19" i="110"/>
  <c r="AD18" i="110"/>
  <c r="AC18" i="110"/>
  <c r="AB18" i="110"/>
  <c r="AA18" i="110"/>
  <c r="Z18" i="110"/>
  <c r="Y18" i="110"/>
  <c r="X18" i="110"/>
  <c r="W18" i="110"/>
  <c r="V18" i="110"/>
  <c r="U18" i="110"/>
  <c r="T18" i="110"/>
  <c r="S18" i="110"/>
  <c r="P18" i="110"/>
  <c r="O18" i="110"/>
  <c r="AE12" i="110" s="1"/>
  <c r="AF17" i="110"/>
  <c r="AD17" i="110"/>
  <c r="AC17" i="110"/>
  <c r="AB17" i="110"/>
  <c r="AA17" i="110"/>
  <c r="Z17" i="110"/>
  <c r="Y17" i="110"/>
  <c r="X17" i="110"/>
  <c r="W17" i="110"/>
  <c r="V17" i="110"/>
  <c r="U17" i="110"/>
  <c r="T17" i="110"/>
  <c r="S17" i="110"/>
  <c r="P17" i="110"/>
  <c r="O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P16" i="110"/>
  <c r="O16" i="110"/>
  <c r="AD15" i="110"/>
  <c r="AC15" i="110"/>
  <c r="AB15" i="110"/>
  <c r="AA15" i="110"/>
  <c r="Z15" i="110"/>
  <c r="Y15" i="110"/>
  <c r="X15" i="110"/>
  <c r="W15" i="110"/>
  <c r="V15" i="110"/>
  <c r="U15" i="110"/>
  <c r="T15" i="110"/>
  <c r="S15" i="110"/>
  <c r="P15" i="110"/>
  <c r="O15" i="110"/>
  <c r="AD14" i="110"/>
  <c r="AC14" i="110"/>
  <c r="AB14" i="110"/>
  <c r="AA14" i="110"/>
  <c r="Z14" i="110"/>
  <c r="Y14" i="110"/>
  <c r="X14" i="110"/>
  <c r="W14" i="110"/>
  <c r="V14" i="110"/>
  <c r="U14" i="110"/>
  <c r="T14" i="110"/>
  <c r="S14" i="110"/>
  <c r="P14" i="110"/>
  <c r="O14" i="110"/>
  <c r="AD13" i="110"/>
  <c r="AC13" i="110"/>
  <c r="AB13" i="110"/>
  <c r="AA13" i="110"/>
  <c r="Z13" i="110"/>
  <c r="Y13" i="110"/>
  <c r="X13" i="110"/>
  <c r="W13" i="110"/>
  <c r="V13" i="110"/>
  <c r="U13" i="110"/>
  <c r="T13" i="110"/>
  <c r="S13" i="110"/>
  <c r="P13" i="110"/>
  <c r="O13" i="110"/>
  <c r="AD12" i="110"/>
  <c r="AC12" i="110"/>
  <c r="AB12" i="110"/>
  <c r="AA12" i="110"/>
  <c r="Z12" i="110"/>
  <c r="Y12" i="110"/>
  <c r="X12" i="110"/>
  <c r="W12" i="110"/>
  <c r="V12" i="110"/>
  <c r="U12" i="110"/>
  <c r="T12" i="110"/>
  <c r="S12" i="110"/>
  <c r="P12" i="110"/>
  <c r="O12" i="110"/>
  <c r="AD11" i="110"/>
  <c r="AC11" i="110"/>
  <c r="AB11" i="110"/>
  <c r="AA11" i="110"/>
  <c r="Z11" i="110"/>
  <c r="Y11" i="110"/>
  <c r="X11" i="110"/>
  <c r="W11" i="110"/>
  <c r="V11" i="110"/>
  <c r="U11" i="110"/>
  <c r="T11" i="110"/>
  <c r="S11" i="110"/>
  <c r="P11" i="110"/>
  <c r="O11" i="110"/>
  <c r="AD10" i="110"/>
  <c r="AC10" i="110"/>
  <c r="AC41" i="110" s="1"/>
  <c r="AB10" i="110"/>
  <c r="AA10" i="110"/>
  <c r="Z10" i="110"/>
  <c r="Y10" i="110"/>
  <c r="Y41" i="110" s="1"/>
  <c r="X10" i="110"/>
  <c r="W10" i="110"/>
  <c r="V10" i="110"/>
  <c r="U10" i="110"/>
  <c r="U41" i="110" s="1"/>
  <c r="T10" i="110"/>
  <c r="S10" i="110"/>
  <c r="P10" i="110"/>
  <c r="O10" i="110"/>
  <c r="O106" i="110" s="1"/>
  <c r="K6" i="110"/>
  <c r="G6" i="110"/>
  <c r="D6" i="110"/>
  <c r="K5" i="110"/>
  <c r="G5" i="110"/>
  <c r="C3" i="110"/>
  <c r="AF39" i="105" l="1"/>
  <c r="AE31" i="111"/>
  <c r="AF10" i="110"/>
  <c r="AF41" i="110" s="1"/>
  <c r="S38" i="110"/>
  <c r="AE11" i="110"/>
  <c r="W39" i="110"/>
  <c r="T41" i="105"/>
  <c r="W38" i="105"/>
  <c r="AC28" i="103"/>
  <c r="AF28" i="111"/>
  <c r="AF23" i="111"/>
  <c r="T35" i="110"/>
  <c r="X38" i="110"/>
  <c r="AB38" i="110"/>
  <c r="AE15" i="110"/>
  <c r="AE35" i="110" s="1"/>
  <c r="P10" i="103"/>
  <c r="AF10" i="103" s="1"/>
  <c r="AF20" i="103"/>
  <c r="AF19" i="103"/>
  <c r="AF24" i="103" s="1"/>
  <c r="AF18" i="103"/>
  <c r="AF16" i="103"/>
  <c r="AF15" i="103"/>
  <c r="AF14" i="103"/>
  <c r="AF12" i="103"/>
  <c r="AF28" i="103" s="1"/>
  <c r="AF11" i="103"/>
  <c r="AE22" i="111"/>
  <c r="AF26" i="111"/>
  <c r="AE32" i="111"/>
  <c r="AF24" i="111"/>
  <c r="AE28" i="111"/>
  <c r="AF27" i="111"/>
  <c r="AE23" i="111"/>
  <c r="W38" i="110"/>
  <c r="AA38" i="110"/>
  <c r="AF11" i="110"/>
  <c r="S39" i="110"/>
  <c r="AA39" i="110"/>
  <c r="X41" i="105"/>
  <c r="AB40" i="105"/>
  <c r="S38" i="105"/>
  <c r="AA38" i="105"/>
  <c r="AE14" i="110"/>
  <c r="AE38" i="110" s="1"/>
  <c r="U39" i="105"/>
  <c r="Y39" i="105"/>
  <c r="AC39" i="105"/>
  <c r="V23" i="103"/>
  <c r="Z23" i="103"/>
  <c r="AD23" i="103"/>
  <c r="AF22" i="111"/>
  <c r="AE26" i="111"/>
  <c r="AF31" i="111"/>
  <c r="AE27" i="111"/>
  <c r="O58" i="103"/>
  <c r="J60" i="103" s="1"/>
  <c r="P58" i="103"/>
  <c r="M59" i="103"/>
  <c r="AE23" i="103"/>
  <c r="AE27" i="103"/>
  <c r="AE11" i="103"/>
  <c r="AE22" i="103" s="1"/>
  <c r="H60" i="103"/>
  <c r="F60" i="103"/>
  <c r="N60" i="103"/>
  <c r="AF38" i="110"/>
  <c r="C108" i="110"/>
  <c r="K108" i="110"/>
  <c r="AF38" i="105"/>
  <c r="V41" i="110"/>
  <c r="AD41" i="110"/>
  <c r="U38" i="110"/>
  <c r="AC38" i="110"/>
  <c r="T38" i="105"/>
  <c r="AB35" i="105"/>
  <c r="AE12" i="105"/>
  <c r="AE13" i="105"/>
  <c r="AE35" i="105" s="1"/>
  <c r="AE14" i="105"/>
  <c r="T28" i="103"/>
  <c r="D60" i="104"/>
  <c r="H60" i="104"/>
  <c r="L60" i="104"/>
  <c r="F59" i="104"/>
  <c r="N59" i="104"/>
  <c r="S41" i="110"/>
  <c r="W41" i="110"/>
  <c r="AA41" i="110"/>
  <c r="V38" i="110"/>
  <c r="Z38" i="110"/>
  <c r="AD38" i="110"/>
  <c r="T39" i="110"/>
  <c r="X39" i="110"/>
  <c r="AB36" i="110"/>
  <c r="U38" i="105"/>
  <c r="Y38" i="105"/>
  <c r="AC38" i="105"/>
  <c r="F60" i="104"/>
  <c r="G108" i="110"/>
  <c r="Z41" i="110"/>
  <c r="Y38" i="110"/>
  <c r="AF39" i="110"/>
  <c r="X38" i="105"/>
  <c r="AE11" i="105"/>
  <c r="AE15" i="105"/>
  <c r="X28" i="103"/>
  <c r="T40" i="110"/>
  <c r="X41" i="110"/>
  <c r="AB41" i="110"/>
  <c r="U39" i="110"/>
  <c r="Y39" i="110"/>
  <c r="AC39" i="110"/>
  <c r="AF37" i="105"/>
  <c r="T39" i="105"/>
  <c r="X36" i="105"/>
  <c r="AB36" i="105"/>
  <c r="P106" i="110"/>
  <c r="G107" i="110" s="1"/>
  <c r="D108" i="110"/>
  <c r="H108" i="110"/>
  <c r="L108" i="110"/>
  <c r="O106" i="105"/>
  <c r="F108" i="105" s="1"/>
  <c r="U41" i="105"/>
  <c r="U42" i="105" s="1"/>
  <c r="Y41" i="105"/>
  <c r="AC41" i="105"/>
  <c r="P106" i="105"/>
  <c r="N107" i="105" s="1"/>
  <c r="U28" i="103"/>
  <c r="Y28" i="103"/>
  <c r="AD22" i="103"/>
  <c r="T25" i="103"/>
  <c r="X25" i="103"/>
  <c r="AF25" i="103"/>
  <c r="T26" i="103"/>
  <c r="X26" i="103"/>
  <c r="AB23" i="103"/>
  <c r="AF26" i="103"/>
  <c r="V26" i="103"/>
  <c r="Z26" i="103"/>
  <c r="AD26" i="103"/>
  <c r="T24" i="103"/>
  <c r="X27" i="103"/>
  <c r="AB24" i="103"/>
  <c r="AF27" i="103"/>
  <c r="V24" i="103"/>
  <c r="Z24" i="103"/>
  <c r="AD24" i="103"/>
  <c r="U28" i="104"/>
  <c r="Y28" i="104"/>
  <c r="AC28" i="104"/>
  <c r="S23" i="104"/>
  <c r="W23" i="104"/>
  <c r="AA23" i="104"/>
  <c r="AE23" i="104"/>
  <c r="S27" i="104"/>
  <c r="W27" i="104"/>
  <c r="AA27" i="104"/>
  <c r="AE27" i="104"/>
  <c r="E60" i="104"/>
  <c r="I60" i="104"/>
  <c r="M59" i="104"/>
  <c r="V41" i="105"/>
  <c r="Z41" i="105"/>
  <c r="AD41" i="105"/>
  <c r="AD42" i="105" s="1"/>
  <c r="V25" i="103"/>
  <c r="Z28" i="103"/>
  <c r="U26" i="103"/>
  <c r="Y26" i="103"/>
  <c r="AC26" i="103"/>
  <c r="U24" i="103"/>
  <c r="Y24" i="103"/>
  <c r="AC24" i="103"/>
  <c r="G60" i="103"/>
  <c r="K60" i="103"/>
  <c r="N59" i="103"/>
  <c r="V25" i="104"/>
  <c r="Z22" i="104"/>
  <c r="AD28" i="104"/>
  <c r="T25" i="104"/>
  <c r="X25" i="104"/>
  <c r="AB25" i="104"/>
  <c r="AF25" i="104"/>
  <c r="T26" i="104"/>
  <c r="X23" i="104"/>
  <c r="AB26" i="104"/>
  <c r="AF23" i="104"/>
  <c r="V26" i="104"/>
  <c r="Z26" i="104"/>
  <c r="AD26" i="104"/>
  <c r="T27" i="104"/>
  <c r="X24" i="104"/>
  <c r="AB24" i="104"/>
  <c r="AF27" i="104"/>
  <c r="V24" i="104"/>
  <c r="Z24" i="104"/>
  <c r="AD24" i="104"/>
  <c r="N60" i="104"/>
  <c r="AD22" i="104"/>
  <c r="T23" i="104"/>
  <c r="AB23" i="104"/>
  <c r="X27" i="104"/>
  <c r="V28" i="104"/>
  <c r="Z28" i="104"/>
  <c r="J59" i="104"/>
  <c r="S22" i="104"/>
  <c r="W22" i="104"/>
  <c r="AA22" i="104"/>
  <c r="AE22" i="104"/>
  <c r="U23" i="104"/>
  <c r="Y23" i="104"/>
  <c r="AC23" i="104"/>
  <c r="U27" i="104"/>
  <c r="Y27" i="104"/>
  <c r="AC27" i="104"/>
  <c r="S28" i="104"/>
  <c r="W28" i="104"/>
  <c r="AA28" i="104"/>
  <c r="AE28" i="104"/>
  <c r="C59" i="104"/>
  <c r="G59" i="104"/>
  <c r="K59" i="104"/>
  <c r="V22" i="104"/>
  <c r="AB27" i="104"/>
  <c r="T22" i="104"/>
  <c r="X22" i="104"/>
  <c r="AB22" i="104"/>
  <c r="AF22" i="104"/>
  <c r="T24" i="104"/>
  <c r="AF24" i="104"/>
  <c r="Z25" i="104"/>
  <c r="AD25" i="104"/>
  <c r="X26" i="104"/>
  <c r="AF26" i="104"/>
  <c r="D59" i="104"/>
  <c r="H59" i="104"/>
  <c r="L59" i="104"/>
  <c r="U22" i="104"/>
  <c r="Y22" i="104"/>
  <c r="AC22" i="104"/>
  <c r="E59" i="104"/>
  <c r="I59" i="104"/>
  <c r="L60" i="103"/>
  <c r="L59" i="103"/>
  <c r="V22" i="103"/>
  <c r="X23" i="103"/>
  <c r="T27" i="103"/>
  <c r="S22" i="103"/>
  <c r="W22" i="103"/>
  <c r="AA22" i="103"/>
  <c r="U23" i="103"/>
  <c r="Y23" i="103"/>
  <c r="AC23" i="103"/>
  <c r="S24" i="103"/>
  <c r="W24" i="103"/>
  <c r="AA24" i="103"/>
  <c r="AE24" i="103"/>
  <c r="U25" i="103"/>
  <c r="Y25" i="103"/>
  <c r="AC25" i="103"/>
  <c r="S26" i="103"/>
  <c r="W26" i="103"/>
  <c r="AA26" i="103"/>
  <c r="AE26" i="103"/>
  <c r="U27" i="103"/>
  <c r="Y27" i="103"/>
  <c r="AC27" i="103"/>
  <c r="S28" i="103"/>
  <c r="W28" i="103"/>
  <c r="AA28" i="103"/>
  <c r="C59" i="103"/>
  <c r="G59" i="103"/>
  <c r="K59" i="103"/>
  <c r="Z22" i="103"/>
  <c r="T23" i="103"/>
  <c r="AF23" i="103"/>
  <c r="AB27" i="103"/>
  <c r="V28" i="103"/>
  <c r="AD28" i="103"/>
  <c r="AB10" i="103"/>
  <c r="T22" i="103"/>
  <c r="X22" i="103"/>
  <c r="X24" i="103"/>
  <c r="Z25" i="103"/>
  <c r="AD25" i="103"/>
  <c r="AB26" i="103"/>
  <c r="D59" i="103"/>
  <c r="H59" i="103"/>
  <c r="F59" i="103"/>
  <c r="J59" i="103"/>
  <c r="U22" i="103"/>
  <c r="Y22" i="103"/>
  <c r="AC22" i="103"/>
  <c r="E59" i="103"/>
  <c r="I59" i="103"/>
  <c r="F107" i="105"/>
  <c r="D108" i="105"/>
  <c r="E108" i="105"/>
  <c r="T34" i="105"/>
  <c r="AB34" i="105"/>
  <c r="X35" i="105"/>
  <c r="AF35" i="105"/>
  <c r="AF36" i="105"/>
  <c r="AB37" i="105"/>
  <c r="AB38" i="105"/>
  <c r="X39" i="105"/>
  <c r="T40" i="105"/>
  <c r="AF40" i="105"/>
  <c r="AB41" i="105"/>
  <c r="AB42" i="105" s="1"/>
  <c r="U34" i="105"/>
  <c r="Y34" i="105"/>
  <c r="AC34" i="105"/>
  <c r="U35" i="105"/>
  <c r="Y35" i="105"/>
  <c r="AC35" i="105"/>
  <c r="U36" i="105"/>
  <c r="Y36" i="105"/>
  <c r="AC36" i="105"/>
  <c r="U37" i="105"/>
  <c r="Y37" i="105"/>
  <c r="AC37" i="105"/>
  <c r="U40" i="105"/>
  <c r="Y40" i="105"/>
  <c r="AC40" i="105"/>
  <c r="AC42" i="105" s="1"/>
  <c r="K107" i="105"/>
  <c r="X34" i="105"/>
  <c r="T35" i="105"/>
  <c r="T37" i="105"/>
  <c r="AB39" i="105"/>
  <c r="X40" i="105"/>
  <c r="X42" i="105" s="1"/>
  <c r="AF41" i="105"/>
  <c r="V34" i="105"/>
  <c r="Z34" i="105"/>
  <c r="AD34" i="105"/>
  <c r="V35" i="105"/>
  <c r="Z35" i="105"/>
  <c r="AD35" i="105"/>
  <c r="V36" i="105"/>
  <c r="Z36" i="105"/>
  <c r="AD36" i="105"/>
  <c r="V37" i="105"/>
  <c r="Z37" i="105"/>
  <c r="AD37" i="105"/>
  <c r="V40" i="105"/>
  <c r="V42" i="105" s="1"/>
  <c r="Z40" i="105"/>
  <c r="Z42" i="105" s="1"/>
  <c r="AD40" i="105"/>
  <c r="L107" i="105"/>
  <c r="AF34" i="105"/>
  <c r="T36" i="105"/>
  <c r="X37" i="105"/>
  <c r="AE10" i="105"/>
  <c r="S34" i="105"/>
  <c r="W34" i="105"/>
  <c r="AA34" i="105"/>
  <c r="S35" i="105"/>
  <c r="W35" i="105"/>
  <c r="AA35" i="105"/>
  <c r="S36" i="105"/>
  <c r="W36" i="105"/>
  <c r="AA36" i="105"/>
  <c r="AE36" i="105"/>
  <c r="S37" i="105"/>
  <c r="W37" i="105"/>
  <c r="AA37" i="105"/>
  <c r="S40" i="105"/>
  <c r="S42" i="105" s="1"/>
  <c r="W40" i="105"/>
  <c r="W42" i="105" s="1"/>
  <c r="AA40" i="105"/>
  <c r="AA42" i="105" s="1"/>
  <c r="F108" i="110"/>
  <c r="J108" i="110"/>
  <c r="E108" i="110"/>
  <c r="I108" i="110"/>
  <c r="M107" i="110"/>
  <c r="N107" i="110"/>
  <c r="J107" i="110"/>
  <c r="N108" i="110"/>
  <c r="AB34" i="110"/>
  <c r="X35" i="110"/>
  <c r="AF35" i="110"/>
  <c r="X36" i="110"/>
  <c r="X37" i="110"/>
  <c r="T38" i="110"/>
  <c r="AB39" i="110"/>
  <c r="X40" i="110"/>
  <c r="X42" i="110" s="1"/>
  <c r="T41" i="110"/>
  <c r="T42" i="110" s="1"/>
  <c r="U34" i="110"/>
  <c r="Y34" i="110"/>
  <c r="AC34" i="110"/>
  <c r="U35" i="110"/>
  <c r="Y35" i="110"/>
  <c r="AC35" i="110"/>
  <c r="U36" i="110"/>
  <c r="Y36" i="110"/>
  <c r="AC36" i="110"/>
  <c r="U37" i="110"/>
  <c r="Y37" i="110"/>
  <c r="AC37" i="110"/>
  <c r="U40" i="110"/>
  <c r="U42" i="110" s="1"/>
  <c r="Y40" i="110"/>
  <c r="Y42" i="110" s="1"/>
  <c r="AC40" i="110"/>
  <c r="AC42" i="110" s="1"/>
  <c r="C107" i="110"/>
  <c r="T34" i="110"/>
  <c r="T36" i="110"/>
  <c r="AF36" i="110"/>
  <c r="AB37" i="110"/>
  <c r="AB40" i="110"/>
  <c r="AB42" i="110" s="1"/>
  <c r="V34" i="110"/>
  <c r="Z34" i="110"/>
  <c r="AD34" i="110"/>
  <c r="V35" i="110"/>
  <c r="Z35" i="110"/>
  <c r="AD35" i="110"/>
  <c r="V36" i="110"/>
  <c r="Z36" i="110"/>
  <c r="AD36" i="110"/>
  <c r="V37" i="110"/>
  <c r="Z37" i="110"/>
  <c r="AD37" i="110"/>
  <c r="V40" i="110"/>
  <c r="V42" i="110" s="1"/>
  <c r="Z40" i="110"/>
  <c r="AD40" i="110"/>
  <c r="D107" i="110"/>
  <c r="X34" i="110"/>
  <c r="AB35" i="110"/>
  <c r="T37" i="110"/>
  <c r="AE10" i="110"/>
  <c r="S34" i="110"/>
  <c r="W34" i="110"/>
  <c r="AA34" i="110"/>
  <c r="S35" i="110"/>
  <c r="W35" i="110"/>
  <c r="AA35" i="110"/>
  <c r="S36" i="110"/>
  <c r="W36" i="110"/>
  <c r="AA36" i="110"/>
  <c r="AE36" i="110"/>
  <c r="S37" i="110"/>
  <c r="W37" i="110"/>
  <c r="AA37" i="110"/>
  <c r="S40" i="110"/>
  <c r="S42" i="110" s="1"/>
  <c r="W40" i="110"/>
  <c r="AA40" i="110"/>
  <c r="AA42" i="110" s="1"/>
  <c r="W42" i="110" l="1"/>
  <c r="AF34" i="110"/>
  <c r="AF22" i="103"/>
  <c r="AF40" i="110"/>
  <c r="AF42" i="110" s="1"/>
  <c r="Y42" i="105"/>
  <c r="T42" i="105"/>
  <c r="AE28" i="103"/>
  <c r="AE25" i="103"/>
  <c r="AF37" i="110"/>
  <c r="AD42" i="110"/>
  <c r="C60" i="103"/>
  <c r="I60" i="103"/>
  <c r="D60" i="103"/>
  <c r="E60" i="103"/>
  <c r="K108" i="105"/>
  <c r="G108" i="105"/>
  <c r="I107" i="110"/>
  <c r="Z42" i="110"/>
  <c r="K107" i="110"/>
  <c r="F107" i="110"/>
  <c r="I107" i="105"/>
  <c r="H107" i="105"/>
  <c r="G107" i="105"/>
  <c r="N108" i="105"/>
  <c r="M107" i="105"/>
  <c r="L108" i="105"/>
  <c r="J107" i="105"/>
  <c r="J108" i="105"/>
  <c r="C108" i="105"/>
  <c r="L107" i="110"/>
  <c r="E107" i="110"/>
  <c r="H107" i="110"/>
  <c r="E107" i="105"/>
  <c r="D107" i="105"/>
  <c r="AF42" i="105"/>
  <c r="C107" i="105"/>
  <c r="I108" i="105"/>
  <c r="H108" i="105"/>
  <c r="AE38" i="105"/>
  <c r="AB28" i="103"/>
  <c r="AB22" i="103"/>
  <c r="AB25" i="103"/>
  <c r="AE41" i="105"/>
  <c r="AE40" i="105"/>
  <c r="AE37" i="105"/>
  <c r="AE34" i="105"/>
  <c r="AE41" i="110"/>
  <c r="AE40" i="110"/>
  <c r="AE37" i="110"/>
  <c r="AE34" i="110"/>
  <c r="AE42" i="105" l="1"/>
  <c r="AE42" i="110"/>
  <c r="O13" i="96" l="1"/>
  <c r="K5" i="94" l="1"/>
  <c r="C3" i="94"/>
  <c r="K6" i="98" l="1"/>
  <c r="K6" i="99" s="1"/>
  <c r="K6" i="100" s="1"/>
  <c r="K6" i="101" s="1"/>
  <c r="K6" i="109" s="1"/>
  <c r="K5" i="101"/>
  <c r="K5" i="109" s="1"/>
  <c r="G5" i="98"/>
  <c r="G5" i="99" s="1"/>
  <c r="G5" i="100" s="1"/>
  <c r="G5" i="101" s="1"/>
  <c r="G5" i="109" s="1"/>
  <c r="K6" i="97"/>
  <c r="G5" i="97"/>
  <c r="K6" i="96"/>
  <c r="K5" i="96"/>
  <c r="G5" i="96"/>
  <c r="K6" i="95"/>
  <c r="K5" i="95"/>
  <c r="G5" i="95"/>
  <c r="K6" i="94"/>
  <c r="G5" i="94"/>
  <c r="G6" i="108"/>
  <c r="G6" i="100"/>
  <c r="G6" i="98"/>
  <c r="G6" i="96"/>
  <c r="G6" i="109" s="1"/>
  <c r="G6" i="107"/>
  <c r="G6" i="101"/>
  <c r="G6" i="99"/>
  <c r="G6" i="97"/>
  <c r="G6" i="95"/>
  <c r="D6" i="108"/>
  <c r="D6" i="109"/>
  <c r="D6" i="100"/>
  <c r="D6" i="98"/>
  <c r="D6" i="96"/>
  <c r="D6" i="107"/>
  <c r="D6" i="101"/>
  <c r="D6" i="99"/>
  <c r="D6" i="97"/>
  <c r="D6" i="95"/>
  <c r="D5" i="109"/>
  <c r="D5" i="100"/>
  <c r="D5" i="98"/>
  <c r="D5" i="96"/>
  <c r="D5" i="94"/>
  <c r="K5" i="108" l="1"/>
  <c r="K5" i="111" s="1"/>
  <c r="K5" i="107"/>
  <c r="K6" i="107"/>
  <c r="K6" i="108"/>
  <c r="K6" i="111" s="1"/>
  <c r="G5" i="107"/>
  <c r="G5" i="108"/>
  <c r="G5" i="111" s="1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1"/>
  <c r="C3" i="100"/>
  <c r="C3" i="99"/>
  <c r="C3" i="98"/>
  <c r="C3" i="97"/>
  <c r="C3" i="96"/>
  <c r="C3" i="95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AA27" i="99" s="1"/>
  <c r="Z19" i="99"/>
  <c r="Y19" i="99"/>
  <c r="X19" i="99"/>
  <c r="W19" i="99"/>
  <c r="W27" i="99" s="1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A19" i="97"/>
  <c r="Z19" i="97"/>
  <c r="Y19" i="97"/>
  <c r="X19" i="97"/>
  <c r="W19" i="97"/>
  <c r="V19" i="97"/>
  <c r="V27" i="97" s="1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B27" i="97" l="1"/>
  <c r="T27" i="97"/>
  <c r="AA26" i="95"/>
  <c r="AA39" i="101"/>
  <c r="X27" i="97"/>
  <c r="X26" i="98"/>
  <c r="V27" i="99"/>
  <c r="AD27" i="99"/>
  <c r="V39" i="101"/>
  <c r="U39" i="109"/>
  <c r="Z27" i="97"/>
  <c r="AD38" i="101"/>
  <c r="Y39" i="109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2" i="109"/>
  <c r="W20" i="96"/>
  <c r="W24" i="96" s="1"/>
  <c r="V14" i="101"/>
  <c r="V38" i="101" s="1"/>
  <c r="Y13" i="95"/>
  <c r="V14" i="97"/>
  <c r="S17" i="101"/>
  <c r="Z27" i="99"/>
  <c r="Y16" i="96"/>
  <c r="AC32" i="109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X20" i="99"/>
  <c r="X27" i="99" s="1"/>
  <c r="AB15" i="95"/>
  <c r="U17" i="97"/>
  <c r="U26" i="97" s="1"/>
  <c r="AA14" i="94"/>
  <c r="AA15" i="94"/>
  <c r="AA16" i="94"/>
  <c r="AA18" i="94"/>
  <c r="Z13" i="109"/>
  <c r="V12" i="109"/>
  <c r="AD12" i="109"/>
  <c r="X16" i="97"/>
  <c r="X26" i="97" s="1"/>
  <c r="S11" i="109"/>
  <c r="AC17" i="109"/>
  <c r="V14" i="109"/>
  <c r="V13" i="109"/>
  <c r="AD13" i="109"/>
  <c r="V15" i="109"/>
  <c r="AD15" i="109"/>
  <c r="AA11" i="109"/>
  <c r="Z12" i="109"/>
  <c r="Z14" i="109"/>
  <c r="AD13" i="99"/>
  <c r="AD26" i="99" s="1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U20" i="95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69" i="101"/>
  <c r="P91" i="101"/>
  <c r="U15" i="94"/>
  <c r="W17" i="96"/>
  <c r="Z19" i="98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AD12" i="101"/>
  <c r="U12" i="101"/>
  <c r="W12" i="101"/>
  <c r="Y12" i="101"/>
  <c r="AA12" i="101"/>
  <c r="AC12" i="101"/>
  <c r="V11" i="101"/>
  <c r="AC36" i="101"/>
  <c r="W18" i="9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T11" i="101"/>
  <c r="X11" i="101"/>
  <c r="Z11" i="101"/>
  <c r="AB11" i="101"/>
  <c r="AD11" i="101"/>
  <c r="Y39" i="101"/>
  <c r="Y36" i="101"/>
  <c r="Z13" i="101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I11" i="111" s="1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I12" i="111" s="1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I13" i="111" s="1"/>
  <c r="J13" i="107"/>
  <c r="K13" i="107"/>
  <c r="L13" i="107"/>
  <c r="M13" i="107"/>
  <c r="N13" i="107"/>
  <c r="C14" i="107"/>
  <c r="C14" i="111" s="1"/>
  <c r="D14" i="107"/>
  <c r="D14" i="111" s="1"/>
  <c r="E14" i="107"/>
  <c r="E14" i="111" s="1"/>
  <c r="F14" i="107"/>
  <c r="F14" i="111" s="1"/>
  <c r="G14" i="107"/>
  <c r="G14" i="111" s="1"/>
  <c r="H14" i="107"/>
  <c r="H14" i="111" s="1"/>
  <c r="I14" i="107"/>
  <c r="I14" i="111" s="1"/>
  <c r="J14" i="107"/>
  <c r="J14" i="111" s="1"/>
  <c r="K14" i="107"/>
  <c r="K14" i="111" s="1"/>
  <c r="L14" i="107"/>
  <c r="L14" i="111" s="1"/>
  <c r="M14" i="107"/>
  <c r="M14" i="111" s="1"/>
  <c r="N14" i="107"/>
  <c r="C15" i="107"/>
  <c r="D15" i="107"/>
  <c r="E15" i="107"/>
  <c r="F15" i="107"/>
  <c r="G15" i="107"/>
  <c r="H15" i="107"/>
  <c r="I15" i="107"/>
  <c r="I15" i="111" s="1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E106" i="107" s="1"/>
  <c r="F10" i="107"/>
  <c r="F106" i="107" s="1"/>
  <c r="G10" i="107"/>
  <c r="H10" i="107"/>
  <c r="I10" i="107"/>
  <c r="I106" i="107" s="1"/>
  <c r="J10" i="107"/>
  <c r="J106" i="107" s="1"/>
  <c r="K10" i="107"/>
  <c r="L10" i="107"/>
  <c r="M10" i="107"/>
  <c r="M106" i="107" s="1"/>
  <c r="N10" i="107"/>
  <c r="N106" i="107" s="1"/>
  <c r="C10" i="107"/>
  <c r="C106" i="107" s="1"/>
  <c r="H106" i="107" l="1"/>
  <c r="D106" i="107"/>
  <c r="K106" i="107"/>
  <c r="G106" i="107"/>
  <c r="L106" i="107"/>
  <c r="X36" i="101"/>
  <c r="AF25" i="101"/>
  <c r="AF28" i="101"/>
  <c r="Z26" i="95"/>
  <c r="V39" i="109"/>
  <c r="AB26" i="98"/>
  <c r="AF32" i="101"/>
  <c r="V19" i="108"/>
  <c r="AF33" i="101"/>
  <c r="T19" i="108"/>
  <c r="AB23" i="96"/>
  <c r="AC26" i="95"/>
  <c r="T23" i="96"/>
  <c r="W27" i="96"/>
  <c r="T23" i="98"/>
  <c r="Z24" i="98"/>
  <c r="V35" i="101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W24" i="94"/>
  <c r="N10" i="111"/>
  <c r="N106" i="111" s="1"/>
  <c r="H10" i="111"/>
  <c r="H106" i="111" s="1"/>
  <c r="F10" i="111"/>
  <c r="F106" i="111" s="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E15" i="111"/>
  <c r="M13" i="111"/>
  <c r="E13" i="111"/>
  <c r="M12" i="111"/>
  <c r="E12" i="111"/>
  <c r="M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V12" i="108"/>
  <c r="V11" i="108"/>
  <c r="AD10" i="108"/>
  <c r="AC35" i="109"/>
  <c r="AD11" i="108"/>
  <c r="K10" i="111"/>
  <c r="K106" i="111" s="1"/>
  <c r="G10" i="111"/>
  <c r="G106" i="111" s="1"/>
  <c r="U26" i="99"/>
  <c r="X24" i="99"/>
  <c r="U23" i="99"/>
  <c r="T38" i="109"/>
  <c r="AD38" i="109"/>
  <c r="Z38" i="109"/>
  <c r="Z11" i="108"/>
  <c r="AA35" i="109"/>
  <c r="V35" i="109"/>
  <c r="X11" i="108"/>
  <c r="Z10" i="108"/>
  <c r="W12" i="108"/>
  <c r="S35" i="109"/>
  <c r="T11" i="108"/>
  <c r="AA12" i="108"/>
  <c r="V24" i="98"/>
  <c r="X23" i="97"/>
  <c r="AD23" i="99"/>
  <c r="AB38" i="109"/>
  <c r="X10" i="108"/>
  <c r="AD36" i="109"/>
  <c r="Z39" i="109"/>
  <c r="S26" i="97"/>
  <c r="T10" i="108"/>
  <c r="AB10" i="108"/>
  <c r="AF12" i="109"/>
  <c r="AD39" i="109"/>
  <c r="Z36" i="109"/>
  <c r="V36" i="109"/>
  <c r="AC38" i="109"/>
  <c r="U35" i="109"/>
  <c r="V38" i="109"/>
  <c r="X35" i="109"/>
  <c r="Z35" i="109"/>
  <c r="AD35" i="109"/>
  <c r="X34" i="109"/>
  <c r="Y38" i="109"/>
  <c r="Z38" i="101"/>
  <c r="Y35" i="109"/>
  <c r="AA38" i="109"/>
  <c r="W38" i="109"/>
  <c r="AF30" i="109"/>
  <c r="X39" i="109"/>
  <c r="X37" i="109"/>
  <c r="AF15" i="109"/>
  <c r="AF14" i="109"/>
  <c r="AF13" i="109"/>
  <c r="AF17" i="109"/>
  <c r="AF16" i="109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B36" i="109"/>
  <c r="X36" i="109"/>
  <c r="X40" i="109"/>
  <c r="V23" i="97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Y34" i="108" s="1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AC15" i="107"/>
  <c r="W15" i="107"/>
  <c r="U15" i="107"/>
  <c r="AC10" i="107"/>
  <c r="W10" i="107"/>
  <c r="U10" i="107"/>
  <c r="O57" i="107"/>
  <c r="Y15" i="107"/>
  <c r="Z11" i="107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AB41" i="107" s="1"/>
  <c r="Z10" i="107"/>
  <c r="Z41" i="107" s="1"/>
  <c r="X10" i="107"/>
  <c r="X41" i="107" s="1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Y41" i="107" s="1"/>
  <c r="AD10" i="107"/>
  <c r="AD41" i="107" s="1"/>
  <c r="V10" i="107"/>
  <c r="V41" i="107" s="1"/>
  <c r="AA10" i="107"/>
  <c r="AA41" i="107" s="1"/>
  <c r="P10" i="107"/>
  <c r="P106" i="107" s="1"/>
  <c r="S10" i="107"/>
  <c r="S41" i="107" s="1"/>
  <c r="O10" i="107"/>
  <c r="AC23" i="95"/>
  <c r="U23" i="96"/>
  <c r="AD26" i="98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V23" i="95"/>
  <c r="W23" i="94"/>
  <c r="AA38" i="101"/>
  <c r="AC38" i="101"/>
  <c r="Y35" i="101"/>
  <c r="U38" i="101"/>
  <c r="Y23" i="100"/>
  <c r="W28" i="100"/>
  <c r="AB26" i="99"/>
  <c r="T26" i="99"/>
  <c r="AF13" i="100"/>
  <c r="Z35" i="101"/>
  <c r="AC26" i="99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S41" i="108" l="1"/>
  <c r="AA41" i="108"/>
  <c r="T41" i="108"/>
  <c r="X41" i="108"/>
  <c r="AD41" i="108"/>
  <c r="C106" i="111"/>
  <c r="J106" i="111"/>
  <c r="U41" i="107"/>
  <c r="W41" i="108"/>
  <c r="Y41" i="108"/>
  <c r="Z41" i="108"/>
  <c r="E106" i="111"/>
  <c r="L106" i="111"/>
  <c r="W41" i="107"/>
  <c r="P106" i="108"/>
  <c r="O106" i="108"/>
  <c r="I106" i="111"/>
  <c r="O106" i="107"/>
  <c r="T41" i="107"/>
  <c r="AC41" i="107"/>
  <c r="U41" i="108"/>
  <c r="AC41" i="108"/>
  <c r="AB41" i="108"/>
  <c r="V41" i="108"/>
  <c r="M106" i="111"/>
  <c r="D106" i="111"/>
  <c r="V36" i="108"/>
  <c r="AD12" i="111"/>
  <c r="S36" i="107"/>
  <c r="U36" i="107"/>
  <c r="T13" i="111"/>
  <c r="V22" i="93"/>
  <c r="V39" i="107"/>
  <c r="AD39" i="107"/>
  <c r="U39" i="107"/>
  <c r="X42" i="109"/>
  <c r="T12" i="111"/>
  <c r="AE24" i="98"/>
  <c r="AF10" i="108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T41" i="111" s="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X41" i="111" s="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P15" i="111"/>
  <c r="O28" i="111"/>
  <c r="O35" i="111"/>
  <c r="O25" i="111"/>
  <c r="O44" i="111"/>
  <c r="O54" i="111"/>
  <c r="AD10" i="111"/>
  <c r="AD41" i="111" s="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AA10" i="111"/>
  <c r="AA41" i="111" s="1"/>
  <c r="X34" i="108"/>
  <c r="Z34" i="108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Z42" i="107" s="1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Y42" i="107" s="1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V40" i="107"/>
  <c r="V42" i="107" s="1"/>
  <c r="Z37" i="107"/>
  <c r="AE10" i="107"/>
  <c r="AF10" i="107"/>
  <c r="AC38" i="107"/>
  <c r="Z34" i="107"/>
  <c r="AE15" i="107"/>
  <c r="S35" i="107"/>
  <c r="U40" i="107"/>
  <c r="AC37" i="107"/>
  <c r="U35" i="107"/>
  <c r="Y35" i="107"/>
  <c r="AC35" i="107"/>
  <c r="AE19" i="107"/>
  <c r="AE21" i="107"/>
  <c r="X40" i="107"/>
  <c r="X42" i="107" s="1"/>
  <c r="AB40" i="107"/>
  <c r="AB42" i="107" s="1"/>
  <c r="X38" i="107"/>
  <c r="Z35" i="107"/>
  <c r="AE17" i="107"/>
  <c r="AE13" i="107"/>
  <c r="AF15" i="107"/>
  <c r="H108" i="107"/>
  <c r="T40" i="107"/>
  <c r="AE11" i="107"/>
  <c r="V35" i="107"/>
  <c r="AD40" i="107"/>
  <c r="AD42" i="107" s="1"/>
  <c r="AB38" i="107"/>
  <c r="X39" i="107"/>
  <c r="Z39" i="107"/>
  <c r="W40" i="107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42" i="107" s="1"/>
  <c r="AA37" i="107"/>
  <c r="AA34" i="107"/>
  <c r="S37" i="107"/>
  <c r="S40" i="107"/>
  <c r="S42" i="107" s="1"/>
  <c r="S34" i="107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H60" i="94"/>
  <c r="AF35" i="101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C41" i="111" l="1"/>
  <c r="V42" i="108"/>
  <c r="AC42" i="107"/>
  <c r="Z42" i="108"/>
  <c r="AD42" i="108"/>
  <c r="S42" i="108"/>
  <c r="AE41" i="108"/>
  <c r="U41" i="111"/>
  <c r="V41" i="111"/>
  <c r="W41" i="111"/>
  <c r="AF41" i="108"/>
  <c r="AB42" i="108"/>
  <c r="T42" i="107"/>
  <c r="Y42" i="108"/>
  <c r="X42" i="108"/>
  <c r="AF41" i="107"/>
  <c r="Y41" i="111"/>
  <c r="S41" i="111"/>
  <c r="AC42" i="108"/>
  <c r="W42" i="108"/>
  <c r="T42" i="108"/>
  <c r="AE41" i="107"/>
  <c r="O106" i="111"/>
  <c r="AB41" i="111"/>
  <c r="P106" i="111"/>
  <c r="Z41" i="111"/>
  <c r="U42" i="108"/>
  <c r="W42" i="107"/>
  <c r="U42" i="107"/>
  <c r="AA42" i="108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AD42" i="111" s="1"/>
  <c r="X40" i="111"/>
  <c r="X42" i="111" s="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T42" i="111" s="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42" i="111" s="1"/>
  <c r="AA34" i="111"/>
  <c r="M107" i="107"/>
  <c r="AF39" i="108"/>
  <c r="F108" i="107"/>
  <c r="J107" i="108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1" i="111" l="1"/>
  <c r="AB42" i="111"/>
  <c r="Y42" i="111"/>
  <c r="V42" i="111"/>
  <c r="AF42" i="107"/>
  <c r="U42" i="111"/>
  <c r="Z42" i="111"/>
  <c r="AF42" i="108"/>
  <c r="AC42" i="111"/>
  <c r="AF41" i="111"/>
  <c r="AE42" i="107"/>
  <c r="S42" i="111"/>
  <c r="W42" i="111"/>
  <c r="AE42" i="108"/>
  <c r="AF34" i="111"/>
  <c r="K107" i="111"/>
  <c r="AF3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F42" i="111" l="1"/>
  <c r="AE42" i="111"/>
</calcChain>
</file>

<file path=xl/sharedStrings.xml><?xml version="1.0" encoding="utf-8"?>
<sst xmlns="http://schemas.openxmlformats.org/spreadsheetml/2006/main" count="2331" uniqueCount="185">
  <si>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</si>
  <si>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</si>
  <si>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</si>
  <si>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</si>
  <si>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</si>
  <si>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</si>
  <si>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</si>
  <si>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</si>
  <si>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</si>
  <si>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</si>
  <si>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</si>
  <si>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</si>
  <si>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</si>
  <si>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</si>
  <si>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</si>
  <si>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</si>
  <si>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</si>
  <si>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</si>
  <si>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</si>
  <si>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</si>
  <si>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</si>
  <si>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</si>
  <si>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</si>
  <si>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</si>
  <si>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</si>
  <si>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</si>
  <si>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</si>
  <si>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</si>
  <si>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</si>
  <si>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</si>
  <si>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</si>
  <si>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</si>
  <si>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</si>
  <si>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</si>
  <si>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</si>
  <si>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</si>
  <si>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</si>
  <si>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</si>
  <si>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</si>
  <si>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</si>
  <si>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</si>
  <si>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</si>
  <si>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</si>
  <si>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</si>
  <si>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</si>
  <si>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</si>
  <si>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</si>
  <si>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</si>
  <si>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</si>
  <si>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</si>
  <si>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</si>
  <si>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</si>
  <si>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</si>
  <si>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</si>
  <si>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</si>
  <si>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</si>
  <si>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</si>
  <si>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</si>
  <si>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</si>
  <si>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</si>
  <si>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</si>
  <si>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</si>
  <si>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</si>
  <si>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</si>
  <si>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</si>
  <si>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</si>
  <si>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</si>
  <si>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</si>
  <si>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</si>
  <si>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</si>
  <si>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</si>
  <si>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</si>
  <si>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</si>
  <si>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</si>
  <si>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</si>
  <si>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</si>
  <si>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</si>
  <si>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</si>
  <si>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</si>
  <si>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</si>
  <si>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</si>
  <si>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</si>
  <si>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</si>
  <si>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</si>
  <si>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</si>
  <si>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</si>
  <si>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</si>
  <si>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</si>
  <si>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</si>
  <si>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</si>
  <si>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</si>
  <si>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</si>
  <si>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</si>
  <si>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</si>
  <si>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</si>
  <si>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</si>
  <si>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</si>
  <si>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</si>
  <si>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</si>
  <si>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</si>
  <si>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</si>
  <si>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</si>
  <si>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</si>
  <si>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</si>
  <si>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</si>
  <si>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</si>
  <si>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</si>
  <si>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</si>
  <si>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</si>
  <si>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</si>
  <si>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</si>
  <si>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</si>
  <si>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</si>
  <si>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</si>
  <si>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</si>
  <si>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</si>
  <si>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</si>
  <si>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</si>
  <si>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</si>
  <si>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</si>
  <si>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</si>
  <si>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</si>
  <si>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</si>
  <si>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</si>
  <si>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</si>
  <si>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</si>
  <si>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</si>
  <si>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</si>
  <si>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</si>
  <si>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</si>
  <si>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</si>
  <si>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</si>
  <si>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</si>
  <si>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</si>
  <si>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</si>
  <si>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</si>
  <si>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</si>
  <si>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</si>
  <si>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</si>
  <si>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</si>
  <si>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</si>
  <si>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</si>
  <si>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</si>
  <si>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</si>
  <si>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</si>
  <si>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</si>
  <si>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</si>
  <si>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</si>
  <si>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</si>
  <si>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</si>
  <si>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</si>
  <si>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</si>
  <si>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</si>
  <si>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</si>
  <si>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</si>
  <si>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</si>
  <si>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</si>
  <si>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</si>
  <si>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</si>
  <si>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</si>
  <si>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</si>
  <si>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</si>
  <si>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</si>
  <si>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KASANGATI</t>
  </si>
  <si>
    <t>TOTAL BULAMU</t>
  </si>
  <si>
    <t>GAYAZA</t>
  </si>
  <si>
    <t>LAWRENCE</t>
  </si>
  <si>
    <t>Gayaza</t>
  </si>
  <si>
    <t>Kasangati</t>
  </si>
  <si>
    <t>SIMON T, ANTHONY, muganga, Nagaina</t>
  </si>
  <si>
    <t>MCC - C2 - STN-69- Gayaza- ROAD</t>
  </si>
  <si>
    <t>23-09.19</t>
  </si>
  <si>
    <t>24.09.19</t>
  </si>
  <si>
    <t>Norman. R</t>
  </si>
  <si>
    <t>25.09.19</t>
  </si>
  <si>
    <t>Muganga. S</t>
  </si>
  <si>
    <t>28.09.19</t>
  </si>
  <si>
    <t>Rwothomiyo.N</t>
  </si>
  <si>
    <t xml:space="preserve"> </t>
  </si>
  <si>
    <t>29.09.19</t>
  </si>
  <si>
    <t>26.09.19</t>
  </si>
  <si>
    <t>27.09.19</t>
  </si>
  <si>
    <t>Rwothomiyo N</t>
  </si>
  <si>
    <t>Mugaga S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</si>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</sst>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0.0%"/>
    <numFmt numFmtId="165" formatCode="0.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9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7" fillId="0" borderId="1" xfId="0" applyFont="1" applyBorder="1"/>
    <xf numFmtId="0" fontId="19" fillId="0" borderId="1" xfId="0" applyFont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/>
    </xf>
    <xf numFmtId="1" fontId="18" fillId="0" borderId="1" xfId="0" applyNumberFormat="1" applyFont="1" applyBorder="1" applyAlignment="1">
      <alignment horizontal="center"/>
    </xf>
    <xf numFmtId="164" fontId="18" fillId="0" borderId="4" xfId="1" applyNumberFormat="1" applyFont="1" applyBorder="1" applyAlignment="1">
      <alignment horizontal="center"/>
    </xf>
    <xf numFmtId="10" fontId="18" fillId="0" borderId="9" xfId="1" applyNumberFormat="1" applyFont="1" applyBorder="1"/>
    <xf numFmtId="0" fontId="17" fillId="0" borderId="0" xfId="0" applyFont="1" applyBorder="1"/>
    <xf numFmtId="0" fontId="0" fillId="2" borderId="4" xfId="0" applyFill="1" applyBorder="1"/>
    <xf numFmtId="0" fontId="0" fillId="0" borderId="5" xfId="0" applyBorder="1"/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0" borderId="9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 KASANGATI-GAYAZA'!$AE$9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'23.09.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 KASANGATI-GAYAZA'!$AE$10:$AE$21</c:f>
              <c:numCache>
                <c:formatCode>0</c:formatCode>
                <c:ptCount val="12"/>
                <c:pt idx="0">
                  <c:v>476</c:v>
                </c:pt>
                <c:pt idx="1">
                  <c:v>380</c:v>
                </c:pt>
                <c:pt idx="2">
                  <c:v>425</c:v>
                </c:pt>
                <c:pt idx="3">
                  <c:v>486</c:v>
                </c:pt>
                <c:pt idx="4">
                  <c:v>473</c:v>
                </c:pt>
                <c:pt idx="5">
                  <c:v>532</c:v>
                </c:pt>
                <c:pt idx="6">
                  <c:v>429</c:v>
                </c:pt>
                <c:pt idx="7">
                  <c:v>471</c:v>
                </c:pt>
                <c:pt idx="8">
                  <c:v>478</c:v>
                </c:pt>
                <c:pt idx="9">
                  <c:v>511</c:v>
                </c:pt>
                <c:pt idx="10">
                  <c:v>624</c:v>
                </c:pt>
                <c:pt idx="11">
                  <c:v>651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'23.09. KASANGATI-GAYAZA'!$AF$9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'23.09.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 KASANGATI-GAYAZA'!$AF$10:$AF$21</c:f>
              <c:numCache>
                <c:formatCode>0</c:formatCode>
                <c:ptCount val="12"/>
                <c:pt idx="0">
                  <c:v>801</c:v>
                </c:pt>
                <c:pt idx="1">
                  <c:v>930</c:v>
                </c:pt>
                <c:pt idx="2">
                  <c:v>911</c:v>
                </c:pt>
                <c:pt idx="3">
                  <c:v>976</c:v>
                </c:pt>
                <c:pt idx="4">
                  <c:v>912</c:v>
                </c:pt>
                <c:pt idx="5">
                  <c:v>825</c:v>
                </c:pt>
                <c:pt idx="6">
                  <c:v>746</c:v>
                </c:pt>
                <c:pt idx="7">
                  <c:v>800</c:v>
                </c:pt>
                <c:pt idx="8">
                  <c:v>801</c:v>
                </c:pt>
                <c:pt idx="9">
                  <c:v>883</c:v>
                </c:pt>
                <c:pt idx="10">
                  <c:v>1047</c:v>
                </c:pt>
                <c:pt idx="11">
                  <c:v>1119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214016"/>
        <c:axId val="134215936"/>
      </c:lineChart>
      <c:catAx>
        <c:axId val="1342140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215936"/>
        <c:crosses val="autoZero"/>
        <c:auto val="1"/>
        <c:lblAlgn val="ctr"/>
        <c:lblOffset val="100"/>
        <c:noMultiLvlLbl val="0"/>
      </c:catAx>
      <c:valAx>
        <c:axId val="134215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214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 KASANGATI-GAYAZA'!$C$59:$N$59</c:f>
              <c:numCache>
                <c:formatCode>0.0%</c:formatCode>
                <c:ptCount val="12"/>
                <c:pt idx="0">
                  <c:v>0.20416705422751372</c:v>
                </c:pt>
                <c:pt idx="1">
                  <c:v>6.1575667379778626E-2</c:v>
                </c:pt>
                <c:pt idx="2">
                  <c:v>3.6275695284159616E-2</c:v>
                </c:pt>
                <c:pt idx="3">
                  <c:v>0.17105385545530649</c:v>
                </c:pt>
                <c:pt idx="4">
                  <c:v>3.3485257185378106E-3</c:v>
                </c:pt>
                <c:pt idx="5">
                  <c:v>2.13933587573249E-3</c:v>
                </c:pt>
                <c:pt idx="6">
                  <c:v>3.4415403218305274E-2</c:v>
                </c:pt>
                <c:pt idx="7">
                  <c:v>2.3253650823179241E-2</c:v>
                </c:pt>
                <c:pt idx="8">
                  <c:v>1.5068365733420148E-2</c:v>
                </c:pt>
                <c:pt idx="9">
                  <c:v>8.3713142963445265E-4</c:v>
                </c:pt>
                <c:pt idx="10">
                  <c:v>0.44786531485443215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 KASANGATI-GAYAZA'!$C$60:$N$60</c:f>
              <c:numCache>
                <c:formatCode>0.00%</c:formatCode>
                <c:ptCount val="12"/>
                <c:pt idx="0">
                  <c:v>0.36977762803234504</c:v>
                </c:pt>
                <c:pt idx="1">
                  <c:v>0.11152291105121294</c:v>
                </c:pt>
                <c:pt idx="2">
                  <c:v>6.5700808625336921E-2</c:v>
                </c:pt>
                <c:pt idx="3">
                  <c:v>0.3098045822102426</c:v>
                </c:pt>
                <c:pt idx="4">
                  <c:v>6.0646900269541778E-3</c:v>
                </c:pt>
                <c:pt idx="5">
                  <c:v>3.8746630727762802E-3</c:v>
                </c:pt>
                <c:pt idx="6">
                  <c:v>6.2331536388140159E-2</c:v>
                </c:pt>
                <c:pt idx="7">
                  <c:v>4.2115902964959567E-2</c:v>
                </c:pt>
                <c:pt idx="8">
                  <c:v>2.7291105121293801E-2</c:v>
                </c:pt>
                <c:pt idx="9">
                  <c:v>1.5161725067385444E-3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'23.09.Gayaza-Kasangati'!$AE$9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'23.09.Gayaza-Kasangati'!$R$10:$R$21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'23.09.Gayaza-Kasangati'!$AE$10:$AE$21</c:f>
              <c:numCache>
                <c:formatCode>0</c:formatCode>
                <c:ptCount val="12"/>
                <c:pt idx="0">
                  <c:v>832</c:v>
                </c:pt>
                <c:pt idx="1">
                  <c:v>588</c:v>
                </c:pt>
                <c:pt idx="2">
                  <c:v>517</c:v>
                </c:pt>
                <c:pt idx="3">
                  <c:v>485</c:v>
                </c:pt>
                <c:pt idx="4">
                  <c:v>404</c:v>
                </c:pt>
                <c:pt idx="5">
                  <c:v>410</c:v>
                </c:pt>
                <c:pt idx="6">
                  <c:v>403</c:v>
                </c:pt>
                <c:pt idx="7">
                  <c:v>406</c:v>
                </c:pt>
                <c:pt idx="8">
                  <c:v>478</c:v>
                </c:pt>
                <c:pt idx="9">
                  <c:v>551</c:v>
                </c:pt>
                <c:pt idx="10">
                  <c:v>553</c:v>
                </c:pt>
                <c:pt idx="11">
                  <c:v>553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'23.09.Gayaza-Kasangati'!$AF$9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'23.09.Gayaza-Kasangati'!$R$10:$R$21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'23.09.Gayaza-Kasangati'!$AF$10:$AF$21</c:f>
              <c:numCache>
                <c:formatCode>0</c:formatCode>
                <c:ptCount val="12"/>
                <c:pt idx="0">
                  <c:v>1661</c:v>
                </c:pt>
                <c:pt idx="1">
                  <c:v>1336</c:v>
                </c:pt>
                <c:pt idx="2">
                  <c:v>1128</c:v>
                </c:pt>
                <c:pt idx="3">
                  <c:v>865</c:v>
                </c:pt>
                <c:pt idx="4">
                  <c:v>657</c:v>
                </c:pt>
                <c:pt idx="5">
                  <c:v>658</c:v>
                </c:pt>
                <c:pt idx="6">
                  <c:v>649</c:v>
                </c:pt>
                <c:pt idx="7">
                  <c:v>643</c:v>
                </c:pt>
                <c:pt idx="8">
                  <c:v>765</c:v>
                </c:pt>
                <c:pt idx="9">
                  <c:v>894</c:v>
                </c:pt>
                <c:pt idx="10">
                  <c:v>935</c:v>
                </c:pt>
                <c:pt idx="11">
                  <c:v>838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297472"/>
        <c:axId val="134328320"/>
      </c:lineChart>
      <c:catAx>
        <c:axId val="1342974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328320"/>
        <c:crosses val="autoZero"/>
        <c:auto val="1"/>
        <c:lblAlgn val="ctr"/>
        <c:lblOffset val="100"/>
        <c:noMultiLvlLbl val="0"/>
      </c:catAx>
      <c:valAx>
        <c:axId val="1343283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29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'23.09.Gayaza-Kasangati'!$C$59:$N$59</c:f>
              <c:numCache>
                <c:formatCode>0.0%</c:formatCode>
                <c:ptCount val="12"/>
                <c:pt idx="0">
                  <c:v>0.25967902801704595</c:v>
                </c:pt>
                <c:pt idx="1">
                  <c:v>3.0374467313446368E-2</c:v>
                </c:pt>
                <c:pt idx="2">
                  <c:v>2.8289056124761992E-2</c:v>
                </c:pt>
                <c:pt idx="3">
                  <c:v>0.1717290778855744</c:v>
                </c:pt>
                <c:pt idx="4">
                  <c:v>6.8909239278266386E-3</c:v>
                </c:pt>
                <c:pt idx="5">
                  <c:v>1.994741137002448E-3</c:v>
                </c:pt>
                <c:pt idx="6">
                  <c:v>4.542569589264666E-2</c:v>
                </c:pt>
                <c:pt idx="7">
                  <c:v>6.1655635143712034E-3</c:v>
                </c:pt>
                <c:pt idx="8">
                  <c:v>8.6136549097832991E-3</c:v>
                </c:pt>
                <c:pt idx="9">
                  <c:v>1.178710671865083E-3</c:v>
                </c:pt>
                <c:pt idx="10">
                  <c:v>0.43965908060567593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87"/>
          <c:y val="2.29602266373237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'23.09.Gayaza-Kasangati'!$S$9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'23.09.Gayaza-Kasangati'!$R$10:$R$21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'23.09.Gayaza-Kasangati'!$S$10:$S$21</c:f>
              <c:numCache>
                <c:formatCode>0</c:formatCode>
                <c:ptCount val="12"/>
                <c:pt idx="0">
                  <c:v>495</c:v>
                </c:pt>
                <c:pt idx="1">
                  <c:v>304</c:v>
                </c:pt>
                <c:pt idx="2">
                  <c:v>242</c:v>
                </c:pt>
                <c:pt idx="3">
                  <c:v>221</c:v>
                </c:pt>
                <c:pt idx="4">
                  <c:v>192</c:v>
                </c:pt>
                <c:pt idx="5">
                  <c:v>166</c:v>
                </c:pt>
                <c:pt idx="6">
                  <c:v>175</c:v>
                </c:pt>
                <c:pt idx="7">
                  <c:v>163</c:v>
                </c:pt>
                <c:pt idx="8">
                  <c:v>191</c:v>
                </c:pt>
                <c:pt idx="9">
                  <c:v>232</c:v>
                </c:pt>
                <c:pt idx="10">
                  <c:v>246</c:v>
                </c:pt>
                <c:pt idx="11">
                  <c:v>237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'23.09.Gayaza-Kasangati'!$T$9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'23.09.Gayaza-Kasangati'!$R$10:$R$21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'23.09.Gayaza-Kasangati'!$T$10:$T$21</c:f>
              <c:numCache>
                <c:formatCode>0</c:formatCode>
                <c:ptCount val="12"/>
                <c:pt idx="0">
                  <c:v>29</c:v>
                </c:pt>
                <c:pt idx="1">
                  <c:v>22</c:v>
                </c:pt>
                <c:pt idx="2">
                  <c:v>37</c:v>
                </c:pt>
                <c:pt idx="3">
                  <c:v>30</c:v>
                </c:pt>
                <c:pt idx="4">
                  <c:v>14</c:v>
                </c:pt>
                <c:pt idx="5">
                  <c:v>20</c:v>
                </c:pt>
                <c:pt idx="6">
                  <c:v>26</c:v>
                </c:pt>
                <c:pt idx="7">
                  <c:v>23</c:v>
                </c:pt>
                <c:pt idx="8">
                  <c:v>40</c:v>
                </c:pt>
                <c:pt idx="9">
                  <c:v>31</c:v>
                </c:pt>
                <c:pt idx="10">
                  <c:v>32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'23.09.Gayaza-Kasangati'!$U$9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'23.09.Gayaza-Kasangati'!$U$10:$U$21</c:f>
              <c:numCache>
                <c:formatCode>0</c:formatCode>
                <c:ptCount val="12"/>
                <c:pt idx="0">
                  <c:v>28</c:v>
                </c:pt>
                <c:pt idx="1">
                  <c:v>21</c:v>
                </c:pt>
                <c:pt idx="2">
                  <c:v>23</c:v>
                </c:pt>
                <c:pt idx="3">
                  <c:v>23</c:v>
                </c:pt>
                <c:pt idx="4">
                  <c:v>21</c:v>
                </c:pt>
                <c:pt idx="5">
                  <c:v>23</c:v>
                </c:pt>
                <c:pt idx="6">
                  <c:v>24</c:v>
                </c:pt>
                <c:pt idx="7">
                  <c:v>30</c:v>
                </c:pt>
                <c:pt idx="8">
                  <c:v>39</c:v>
                </c:pt>
                <c:pt idx="9">
                  <c:v>13</c:v>
                </c:pt>
                <c:pt idx="10">
                  <c:v>34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'23.09.Gayaza-Kasangati'!$V$9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'23.09.Gayaza-Kasangati'!$V$10:$V$21</c:f>
              <c:numCache>
                <c:formatCode>0</c:formatCode>
                <c:ptCount val="12"/>
                <c:pt idx="0">
                  <c:v>220</c:v>
                </c:pt>
                <c:pt idx="1">
                  <c:v>172</c:v>
                </c:pt>
                <c:pt idx="2">
                  <c:v>161</c:v>
                </c:pt>
                <c:pt idx="3">
                  <c:v>156</c:v>
                </c:pt>
                <c:pt idx="4">
                  <c:v>134</c:v>
                </c:pt>
                <c:pt idx="5">
                  <c:v>144</c:v>
                </c:pt>
                <c:pt idx="6">
                  <c:v>123</c:v>
                </c:pt>
                <c:pt idx="7">
                  <c:v>136</c:v>
                </c:pt>
                <c:pt idx="8">
                  <c:v>139</c:v>
                </c:pt>
                <c:pt idx="9">
                  <c:v>144</c:v>
                </c:pt>
                <c:pt idx="10">
                  <c:v>171</c:v>
                </c:pt>
                <c:pt idx="11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'23.09.Gayaza-Kasangati'!$W$9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'23.09.Gayaza-Kasangati'!$W$10:$W$21</c:f>
              <c:numCache>
                <c:formatCode>0</c:formatCode>
                <c:ptCount val="12"/>
                <c:pt idx="0">
                  <c:v>7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44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'23.09.Gayaza-Kasangati'!$X$9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'23.09.Gayaza-Kasangati'!$X$10:$X$21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'23.09.Gayaza-Kasangati'!$Y$9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'23.09.Gayaza-Kasangati'!$Y$10:$Y$21</c:f>
              <c:numCache>
                <c:formatCode>0</c:formatCode>
                <c:ptCount val="12"/>
                <c:pt idx="0">
                  <c:v>37</c:v>
                </c:pt>
                <c:pt idx="1">
                  <c:v>45</c:v>
                </c:pt>
                <c:pt idx="2">
                  <c:v>39</c:v>
                </c:pt>
                <c:pt idx="3">
                  <c:v>27</c:v>
                </c:pt>
                <c:pt idx="4">
                  <c:v>26</c:v>
                </c:pt>
                <c:pt idx="5">
                  <c:v>41</c:v>
                </c:pt>
                <c:pt idx="6">
                  <c:v>32</c:v>
                </c:pt>
                <c:pt idx="7">
                  <c:v>43</c:v>
                </c:pt>
                <c:pt idx="8">
                  <c:v>48</c:v>
                </c:pt>
                <c:pt idx="9">
                  <c:v>67</c:v>
                </c:pt>
                <c:pt idx="10">
                  <c:v>56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'23.09.Gayaza-Kasangati'!$Z$9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'23.09.Gayaza-Kasangati'!$Z$10:$Z$21</c:f>
              <c:numCache>
                <c:formatCode>0</c:formatCode>
                <c:ptCount val="12"/>
                <c:pt idx="0">
                  <c:v>8</c:v>
                </c:pt>
                <c:pt idx="1">
                  <c:v>9</c:v>
                </c:pt>
                <c:pt idx="2">
                  <c:v>9</c:v>
                </c:pt>
                <c:pt idx="3">
                  <c:v>13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'23.09.Gayaza-Kasangati'!$AA$9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'23.09.Gayaza-Kasangati'!$AA$10:$AA$21</c:f>
              <c:numCache>
                <c:formatCode>0</c:formatCode>
                <c:ptCount val="12"/>
                <c:pt idx="0">
                  <c:v>3</c:v>
                </c:pt>
                <c:pt idx="1">
                  <c:v>11</c:v>
                </c:pt>
                <c:pt idx="2">
                  <c:v>3</c:v>
                </c:pt>
                <c:pt idx="3">
                  <c:v>10</c:v>
                </c:pt>
                <c:pt idx="4">
                  <c:v>7</c:v>
                </c:pt>
                <c:pt idx="5">
                  <c:v>7</c:v>
                </c:pt>
                <c:pt idx="6">
                  <c:v>12</c:v>
                </c:pt>
                <c:pt idx="7">
                  <c:v>5</c:v>
                </c:pt>
                <c:pt idx="8">
                  <c:v>8</c:v>
                </c:pt>
                <c:pt idx="9">
                  <c:v>14</c:v>
                </c:pt>
                <c:pt idx="10">
                  <c:v>6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'23.09.Gayaza-Kasangati'!$AB$9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'23.09.Gayaza-Kasangati'!$AB$10:$AB$21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'23.09.Gayaza-Kasangati'!$AC$9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'23.09.Gayaza-Kasangati'!$AC$10:$AC$21</c:f>
              <c:numCache>
                <c:formatCode>0</c:formatCode>
                <c:ptCount val="12"/>
                <c:pt idx="0">
                  <c:v>829</c:v>
                </c:pt>
                <c:pt idx="1">
                  <c:v>748</c:v>
                </c:pt>
                <c:pt idx="2">
                  <c:v>611</c:v>
                </c:pt>
                <c:pt idx="3">
                  <c:v>380</c:v>
                </c:pt>
                <c:pt idx="4">
                  <c:v>253</c:v>
                </c:pt>
                <c:pt idx="5">
                  <c:v>248</c:v>
                </c:pt>
                <c:pt idx="6">
                  <c:v>246</c:v>
                </c:pt>
                <c:pt idx="7">
                  <c:v>237</c:v>
                </c:pt>
                <c:pt idx="8">
                  <c:v>287</c:v>
                </c:pt>
                <c:pt idx="9">
                  <c:v>343</c:v>
                </c:pt>
                <c:pt idx="10">
                  <c:v>382</c:v>
                </c:pt>
                <c:pt idx="11">
                  <c:v>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'23.09.Gayaza-Kasangati'!$AD$9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'23.09.Gayaza-Kasangati'!$AD$10:$AD$21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08608"/>
        <c:axId val="134726784"/>
      </c:lineChart>
      <c:catAx>
        <c:axId val="13470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726784"/>
        <c:crosses val="autoZero"/>
        <c:auto val="1"/>
        <c:lblAlgn val="ctr"/>
        <c:lblOffset val="100"/>
        <c:noMultiLvlLbl val="0"/>
      </c:catAx>
      <c:valAx>
        <c:axId val="13472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70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'23.09.Gayaza-Kasangati'!$C$60:$N$60</c:f>
              <c:numCache>
                <c:formatCode>0.00%</c:formatCode>
                <c:ptCount val="12"/>
                <c:pt idx="0">
                  <c:v>0.4634304207119741</c:v>
                </c:pt>
                <c:pt idx="1">
                  <c:v>5.4207119741100325E-2</c:v>
                </c:pt>
                <c:pt idx="2">
                  <c:v>5.0485436893203881E-2</c:v>
                </c:pt>
                <c:pt idx="3">
                  <c:v>0.30647249190938514</c:v>
                </c:pt>
                <c:pt idx="4">
                  <c:v>1.2297734627831715E-2</c:v>
                </c:pt>
                <c:pt idx="5">
                  <c:v>3.5598705501618125E-3</c:v>
                </c:pt>
                <c:pt idx="6">
                  <c:v>8.1067961165048538E-2</c:v>
                </c:pt>
                <c:pt idx="7">
                  <c:v>1.1003236245954692E-2</c:v>
                </c:pt>
                <c:pt idx="8">
                  <c:v>1.5372168284789644E-2</c:v>
                </c:pt>
                <c:pt idx="9">
                  <c:v>2.103559870550162E-3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Kasangati-Gayaza'!$AE$9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Kasangati-Gayaza'!$AE$10:$AE$21</c:f>
              <c:numCache>
                <c:formatCode>0</c:formatCode>
                <c:ptCount val="12"/>
                <c:pt idx="0">
                  <c:v>458</c:v>
                </c:pt>
                <c:pt idx="1">
                  <c:v>408</c:v>
                </c:pt>
                <c:pt idx="2">
                  <c:v>416</c:v>
                </c:pt>
                <c:pt idx="3">
                  <c:v>403</c:v>
                </c:pt>
                <c:pt idx="4">
                  <c:v>469</c:v>
                </c:pt>
                <c:pt idx="5">
                  <c:v>581</c:v>
                </c:pt>
                <c:pt idx="6">
                  <c:v>416</c:v>
                </c:pt>
                <c:pt idx="7">
                  <c:v>602</c:v>
                </c:pt>
                <c:pt idx="8">
                  <c:v>475</c:v>
                </c:pt>
                <c:pt idx="9">
                  <c:v>494</c:v>
                </c:pt>
                <c:pt idx="10">
                  <c:v>606</c:v>
                </c:pt>
                <c:pt idx="11">
                  <c:v>590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'24.09 Kasangati-Gayaza'!$AF$9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Kasangati-Gayaza'!$AF$10:$AF$21</c:f>
              <c:numCache>
                <c:formatCode>0</c:formatCode>
                <c:ptCount val="12"/>
                <c:pt idx="0">
                  <c:v>910</c:v>
                </c:pt>
                <c:pt idx="1">
                  <c:v>902</c:v>
                </c:pt>
                <c:pt idx="2">
                  <c:v>877</c:v>
                </c:pt>
                <c:pt idx="3">
                  <c:v>868</c:v>
                </c:pt>
                <c:pt idx="4">
                  <c:v>901</c:v>
                </c:pt>
                <c:pt idx="5">
                  <c:v>1018</c:v>
                </c:pt>
                <c:pt idx="6">
                  <c:v>728</c:v>
                </c:pt>
                <c:pt idx="7">
                  <c:v>941</c:v>
                </c:pt>
                <c:pt idx="8">
                  <c:v>813</c:v>
                </c:pt>
                <c:pt idx="9">
                  <c:v>854</c:v>
                </c:pt>
                <c:pt idx="10">
                  <c:v>1029</c:v>
                </c:pt>
                <c:pt idx="11">
                  <c:v>1070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014272"/>
        <c:axId val="135024640"/>
      </c:lineChart>
      <c:catAx>
        <c:axId val="1350142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5024640"/>
        <c:crosses val="autoZero"/>
        <c:auto val="1"/>
        <c:lblAlgn val="ctr"/>
        <c:lblOffset val="100"/>
        <c:noMultiLvlLbl val="0"/>
      </c:catAx>
      <c:valAx>
        <c:axId val="1350246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5014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Kasangati-Gayaza'!$C$59:$N$59</c:f>
              <c:numCache>
                <c:formatCode>0.0%</c:formatCode>
                <c:ptCount val="12"/>
                <c:pt idx="0">
                  <c:v>0.22491064063788838</c:v>
                </c:pt>
                <c:pt idx="1">
                  <c:v>3.9134818073503802E-2</c:v>
                </c:pt>
                <c:pt idx="2">
                  <c:v>3.2810924754834568E-2</c:v>
                </c:pt>
                <c:pt idx="3">
                  <c:v>0.1722115296489781</c:v>
                </c:pt>
                <c:pt idx="4">
                  <c:v>3.1161213454312161E-3</c:v>
                </c:pt>
                <c:pt idx="5">
                  <c:v>3.0244707176244156E-3</c:v>
                </c:pt>
                <c:pt idx="6">
                  <c:v>4.0601228118412609E-2</c:v>
                </c:pt>
                <c:pt idx="7">
                  <c:v>1.4297497937860875E-2</c:v>
                </c:pt>
                <c:pt idx="8">
                  <c:v>1.0814774081202455E-2</c:v>
                </c:pt>
                <c:pt idx="9">
                  <c:v>1.4664100449088076E-3</c:v>
                </c:pt>
                <c:pt idx="10">
                  <c:v>0.45761158463935481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87"/>
          <c:y val="2.29602266373237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Kasangati-Gayaza'!$S$9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Kasangati-Gayaza'!$S$10:$S$21</c:f>
              <c:numCache>
                <c:formatCode>0</c:formatCode>
                <c:ptCount val="12"/>
                <c:pt idx="0">
                  <c:v>166</c:v>
                </c:pt>
                <c:pt idx="1">
                  <c:v>155</c:v>
                </c:pt>
                <c:pt idx="2">
                  <c:v>143</c:v>
                </c:pt>
                <c:pt idx="3">
                  <c:v>157</c:v>
                </c:pt>
                <c:pt idx="4">
                  <c:v>160</c:v>
                </c:pt>
                <c:pt idx="5">
                  <c:v>242</c:v>
                </c:pt>
                <c:pt idx="6">
                  <c:v>154</c:v>
                </c:pt>
                <c:pt idx="7">
                  <c:v>226</c:v>
                </c:pt>
                <c:pt idx="8">
                  <c:v>197</c:v>
                </c:pt>
                <c:pt idx="9">
                  <c:v>242</c:v>
                </c:pt>
                <c:pt idx="10">
                  <c:v>308</c:v>
                </c:pt>
                <c:pt idx="11">
                  <c:v>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'24.09 Kasangati-Gayaza'!$T$9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Kasangati-Gayaza'!$T$10:$T$21</c:f>
              <c:numCache>
                <c:formatCode>0</c:formatCode>
                <c:ptCount val="12"/>
                <c:pt idx="0">
                  <c:v>38</c:v>
                </c:pt>
                <c:pt idx="1">
                  <c:v>30</c:v>
                </c:pt>
                <c:pt idx="2">
                  <c:v>25</c:v>
                </c:pt>
                <c:pt idx="3">
                  <c:v>25</c:v>
                </c:pt>
                <c:pt idx="4">
                  <c:v>37</c:v>
                </c:pt>
                <c:pt idx="5">
                  <c:v>35</c:v>
                </c:pt>
                <c:pt idx="6">
                  <c:v>37</c:v>
                </c:pt>
                <c:pt idx="7">
                  <c:v>53</c:v>
                </c:pt>
                <c:pt idx="8">
                  <c:v>34</c:v>
                </c:pt>
                <c:pt idx="9">
                  <c:v>37</c:v>
                </c:pt>
                <c:pt idx="10">
                  <c:v>47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'24.09 Kasangati-Gayaza'!$U$9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Kasangati-Gayaza'!$U$10:$U$21</c:f>
              <c:numCache>
                <c:formatCode>0</c:formatCode>
                <c:ptCount val="12"/>
                <c:pt idx="0">
                  <c:v>32</c:v>
                </c:pt>
                <c:pt idx="1">
                  <c:v>31</c:v>
                </c:pt>
                <c:pt idx="2">
                  <c:v>40</c:v>
                </c:pt>
                <c:pt idx="3">
                  <c:v>16</c:v>
                </c:pt>
                <c:pt idx="4">
                  <c:v>37</c:v>
                </c:pt>
                <c:pt idx="5">
                  <c:v>31</c:v>
                </c:pt>
                <c:pt idx="6">
                  <c:v>20</c:v>
                </c:pt>
                <c:pt idx="7">
                  <c:v>22</c:v>
                </c:pt>
                <c:pt idx="8">
                  <c:v>29</c:v>
                </c:pt>
                <c:pt idx="9">
                  <c:v>37</c:v>
                </c:pt>
                <c:pt idx="10">
                  <c:v>31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'24.09 Kasangati-Gayaza'!$V$9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Kasangati-Gayaza'!$V$10:$V$21</c:f>
              <c:numCache>
                <c:formatCode>0</c:formatCode>
                <c:ptCount val="12"/>
                <c:pt idx="0">
                  <c:v>165</c:v>
                </c:pt>
                <c:pt idx="1">
                  <c:v>125</c:v>
                </c:pt>
                <c:pt idx="2">
                  <c:v>143</c:v>
                </c:pt>
                <c:pt idx="3">
                  <c:v>147</c:v>
                </c:pt>
                <c:pt idx="4">
                  <c:v>157</c:v>
                </c:pt>
                <c:pt idx="5">
                  <c:v>188</c:v>
                </c:pt>
                <c:pt idx="6">
                  <c:v>132</c:v>
                </c:pt>
                <c:pt idx="7">
                  <c:v>206</c:v>
                </c:pt>
                <c:pt idx="8">
                  <c:v>145</c:v>
                </c:pt>
                <c:pt idx="9">
                  <c:v>119</c:v>
                </c:pt>
                <c:pt idx="10">
                  <c:v>176</c:v>
                </c:pt>
                <c:pt idx="11">
                  <c:v>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'24.09 Kasangati-Gayaza'!$W$9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Kasangati-Gayaza'!$W$10:$W$21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9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'24.09 Kasangati-Gayaza'!$X$9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Kasangati-Gayaza'!$X$10:$X$21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4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'24.09 Kasangati-Gayaza'!$Y$9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Kasangati-Gayaza'!$Y$10:$Y$21</c:f>
              <c:numCache>
                <c:formatCode>0</c:formatCode>
                <c:ptCount val="12"/>
                <c:pt idx="0">
                  <c:v>24</c:v>
                </c:pt>
                <c:pt idx="1">
                  <c:v>28</c:v>
                </c:pt>
                <c:pt idx="2">
                  <c:v>38</c:v>
                </c:pt>
                <c:pt idx="3">
                  <c:v>32</c:v>
                </c:pt>
                <c:pt idx="4">
                  <c:v>38</c:v>
                </c:pt>
                <c:pt idx="5">
                  <c:v>56</c:v>
                </c:pt>
                <c:pt idx="6">
                  <c:v>39</c:v>
                </c:pt>
                <c:pt idx="7">
                  <c:v>48</c:v>
                </c:pt>
                <c:pt idx="8">
                  <c:v>49</c:v>
                </c:pt>
                <c:pt idx="9">
                  <c:v>33</c:v>
                </c:pt>
                <c:pt idx="10">
                  <c:v>25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'24.09 Kasangati-Gayaza'!$Z$9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Kasangati-Gayaza'!$Z$10:$Z$21</c:f>
              <c:numCache>
                <c:formatCode>0</c:formatCode>
                <c:ptCount val="12"/>
                <c:pt idx="0">
                  <c:v>17</c:v>
                </c:pt>
                <c:pt idx="1">
                  <c:v>18</c:v>
                </c:pt>
                <c:pt idx="2">
                  <c:v>18</c:v>
                </c:pt>
                <c:pt idx="3">
                  <c:v>5</c:v>
                </c:pt>
                <c:pt idx="4">
                  <c:v>15</c:v>
                </c:pt>
                <c:pt idx="5">
                  <c:v>17</c:v>
                </c:pt>
                <c:pt idx="6">
                  <c:v>17</c:v>
                </c:pt>
                <c:pt idx="7">
                  <c:v>21</c:v>
                </c:pt>
                <c:pt idx="8">
                  <c:v>13</c:v>
                </c:pt>
                <c:pt idx="9">
                  <c:v>8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'24.09 Kasangati-Gayaza'!$AA$9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Kasangati-Gayaza'!$AA$10:$AA$21</c:f>
              <c:numCache>
                <c:formatCode>0</c:formatCode>
                <c:ptCount val="12"/>
                <c:pt idx="0">
                  <c:v>12</c:v>
                </c:pt>
                <c:pt idx="1">
                  <c:v>15</c:v>
                </c:pt>
                <c:pt idx="2">
                  <c:v>6</c:v>
                </c:pt>
                <c:pt idx="3">
                  <c:v>16</c:v>
                </c:pt>
                <c:pt idx="4">
                  <c:v>12</c:v>
                </c:pt>
                <c:pt idx="5">
                  <c:v>5</c:v>
                </c:pt>
                <c:pt idx="6">
                  <c:v>10</c:v>
                </c:pt>
                <c:pt idx="7">
                  <c:v>19</c:v>
                </c:pt>
                <c:pt idx="8">
                  <c:v>5</c:v>
                </c:pt>
                <c:pt idx="9">
                  <c:v>9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'24.09 Kasangati-Gayaza'!$AB$9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Kasangati-Gayaza'!$AB$10:$AB$21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'24.09 Kasangati-Gayaza'!$AC$9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Kasangati-Gayaza'!$AC$10:$AC$21</c:f>
              <c:numCache>
                <c:formatCode>0</c:formatCode>
                <c:ptCount val="12"/>
                <c:pt idx="0">
                  <c:v>452</c:v>
                </c:pt>
                <c:pt idx="1">
                  <c:v>494</c:v>
                </c:pt>
                <c:pt idx="2">
                  <c:v>461</c:v>
                </c:pt>
                <c:pt idx="3">
                  <c:v>465</c:v>
                </c:pt>
                <c:pt idx="4">
                  <c:v>432</c:v>
                </c:pt>
                <c:pt idx="5">
                  <c:v>437</c:v>
                </c:pt>
                <c:pt idx="6">
                  <c:v>312</c:v>
                </c:pt>
                <c:pt idx="7">
                  <c:v>339</c:v>
                </c:pt>
                <c:pt idx="8">
                  <c:v>338</c:v>
                </c:pt>
                <c:pt idx="9">
                  <c:v>360</c:v>
                </c:pt>
                <c:pt idx="10">
                  <c:v>423</c:v>
                </c:pt>
                <c:pt idx="11">
                  <c:v>480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'24.09 Kasangati-Gayaza'!$AD$9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Kasangati-Gayaza'!$AD$10:$AD$21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79648"/>
        <c:axId val="135197824"/>
      </c:lineChart>
      <c:catAx>
        <c:axId val="135179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5197824"/>
        <c:crosses val="autoZero"/>
        <c:auto val="1"/>
        <c:lblAlgn val="ctr"/>
        <c:lblOffset val="100"/>
        <c:noMultiLvlLbl val="0"/>
      </c:catAx>
      <c:valAx>
        <c:axId val="13519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517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Kasangati-Gayaza'!$C$60:$N$60</c:f>
              <c:numCache>
                <c:formatCode>0.00%</c:formatCode>
                <c:ptCount val="12"/>
                <c:pt idx="0">
                  <c:v>0.41466711726934774</c:v>
                </c:pt>
                <c:pt idx="1">
                  <c:v>7.2152754308888137E-2</c:v>
                </c:pt>
                <c:pt idx="2">
                  <c:v>6.0493409935789118E-2</c:v>
                </c:pt>
                <c:pt idx="3">
                  <c:v>0.31750591416018925</c:v>
                </c:pt>
                <c:pt idx="4">
                  <c:v>5.7451841838458938E-3</c:v>
                </c:pt>
                <c:pt idx="5">
                  <c:v>5.5762081784386614E-3</c:v>
                </c:pt>
                <c:pt idx="6">
                  <c:v>7.4856370395403854E-2</c:v>
                </c:pt>
                <c:pt idx="7">
                  <c:v>2.6360256843528218E-2</c:v>
                </c:pt>
                <c:pt idx="8">
                  <c:v>1.9939168638053395E-2</c:v>
                </c:pt>
                <c:pt idx="9">
                  <c:v>2.7036160865157146E-3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Gayaza-Kasangati'!$AE$9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Gayaza-Kasangati'!$AE$10:$AE$21</c:f>
              <c:numCache>
                <c:formatCode>0</c:formatCode>
                <c:ptCount val="12"/>
                <c:pt idx="0">
                  <c:v>811</c:v>
                </c:pt>
                <c:pt idx="1">
                  <c:v>580</c:v>
                </c:pt>
                <c:pt idx="2">
                  <c:v>536</c:v>
                </c:pt>
                <c:pt idx="3">
                  <c:v>427</c:v>
                </c:pt>
                <c:pt idx="4">
                  <c:v>412</c:v>
                </c:pt>
                <c:pt idx="5">
                  <c:v>392</c:v>
                </c:pt>
                <c:pt idx="6">
                  <c:v>416</c:v>
                </c:pt>
                <c:pt idx="7">
                  <c:v>425</c:v>
                </c:pt>
                <c:pt idx="8">
                  <c:v>495</c:v>
                </c:pt>
                <c:pt idx="9">
                  <c:v>455</c:v>
                </c:pt>
                <c:pt idx="10">
                  <c:v>591</c:v>
                </c:pt>
                <c:pt idx="11">
                  <c:v>633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'24.09 Gayaza-Kasangati'!$AF$9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Gayaza-Kasangati'!$AF$10:$AF$21</c:f>
              <c:numCache>
                <c:formatCode>0</c:formatCode>
                <c:ptCount val="12"/>
                <c:pt idx="0">
                  <c:v>1602</c:v>
                </c:pt>
                <c:pt idx="1">
                  <c:v>1336</c:v>
                </c:pt>
                <c:pt idx="2">
                  <c:v>1051</c:v>
                </c:pt>
                <c:pt idx="3">
                  <c:v>818</c:v>
                </c:pt>
                <c:pt idx="4">
                  <c:v>882</c:v>
                </c:pt>
                <c:pt idx="5">
                  <c:v>740</c:v>
                </c:pt>
                <c:pt idx="6">
                  <c:v>710</c:v>
                </c:pt>
                <c:pt idx="7">
                  <c:v>673</c:v>
                </c:pt>
                <c:pt idx="8">
                  <c:v>760</c:v>
                </c:pt>
                <c:pt idx="9">
                  <c:v>797</c:v>
                </c:pt>
                <c:pt idx="10">
                  <c:v>988</c:v>
                </c:pt>
                <c:pt idx="11">
                  <c:v>1015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371776"/>
        <c:axId val="135369856"/>
      </c:lineChart>
      <c:catAx>
        <c:axId val="1353717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5369856"/>
        <c:crosses val="autoZero"/>
        <c:auto val="1"/>
        <c:lblAlgn val="ctr"/>
        <c:lblOffset val="100"/>
        <c:noMultiLvlLbl val="0"/>
      </c:catAx>
      <c:valAx>
        <c:axId val="1353698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537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Gayaza-Kasangati'!$C$59:$N$59</c:f>
              <c:numCache>
                <c:formatCode>0.0%</c:formatCode>
                <c:ptCount val="12"/>
                <c:pt idx="0">
                  <c:v>0.24788955328877946</c:v>
                </c:pt>
                <c:pt idx="1">
                  <c:v>3.1129088990502991E-2</c:v>
                </c:pt>
                <c:pt idx="2">
                  <c:v>3.2887794583186775E-2</c:v>
                </c:pt>
                <c:pt idx="3">
                  <c:v>0.16021807949349279</c:v>
                </c:pt>
                <c:pt idx="4">
                  <c:v>4.4846992613436507E-3</c:v>
                </c:pt>
                <c:pt idx="5">
                  <c:v>1.494899753781217E-3</c:v>
                </c:pt>
                <c:pt idx="6">
                  <c:v>4.1417516707703134E-2</c:v>
                </c:pt>
                <c:pt idx="7">
                  <c:v>1.3717903622933521E-2</c:v>
                </c:pt>
                <c:pt idx="8">
                  <c:v>9.0573338023214912E-3</c:v>
                </c:pt>
                <c:pt idx="9">
                  <c:v>5.2761167780513546E-4</c:v>
                </c:pt>
                <c:pt idx="10">
                  <c:v>0.45717551881814983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87"/>
          <c:y val="2.29602266373237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Gayaza-Kasangati'!$S$9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Gayaza-Kasangati'!$S$10:$S$21</c:f>
              <c:numCache>
                <c:formatCode>0</c:formatCode>
                <c:ptCount val="12"/>
                <c:pt idx="0">
                  <c:v>451</c:v>
                </c:pt>
                <c:pt idx="1">
                  <c:v>297</c:v>
                </c:pt>
                <c:pt idx="2">
                  <c:v>243</c:v>
                </c:pt>
                <c:pt idx="3">
                  <c:v>203</c:v>
                </c:pt>
                <c:pt idx="4">
                  <c:v>156</c:v>
                </c:pt>
                <c:pt idx="5">
                  <c:v>163</c:v>
                </c:pt>
                <c:pt idx="6">
                  <c:v>196</c:v>
                </c:pt>
                <c:pt idx="7">
                  <c:v>176</c:v>
                </c:pt>
                <c:pt idx="8">
                  <c:v>206</c:v>
                </c:pt>
                <c:pt idx="9">
                  <c:v>190</c:v>
                </c:pt>
                <c:pt idx="10">
                  <c:v>261</c:v>
                </c:pt>
                <c:pt idx="11">
                  <c:v>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'24.09 Gayaza-Kasangati'!$T$9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Gayaza-Kasangati'!$T$10:$T$21</c:f>
              <c:numCache>
                <c:formatCode>0</c:formatCode>
                <c:ptCount val="12"/>
                <c:pt idx="0">
                  <c:v>39</c:v>
                </c:pt>
                <c:pt idx="1">
                  <c:v>31</c:v>
                </c:pt>
                <c:pt idx="2">
                  <c:v>33</c:v>
                </c:pt>
                <c:pt idx="3">
                  <c:v>27</c:v>
                </c:pt>
                <c:pt idx="4">
                  <c:v>26</c:v>
                </c:pt>
                <c:pt idx="5">
                  <c:v>17</c:v>
                </c:pt>
                <c:pt idx="6">
                  <c:v>22</c:v>
                </c:pt>
                <c:pt idx="7">
                  <c:v>30</c:v>
                </c:pt>
                <c:pt idx="8">
                  <c:v>23</c:v>
                </c:pt>
                <c:pt idx="9">
                  <c:v>35</c:v>
                </c:pt>
                <c:pt idx="10">
                  <c:v>32</c:v>
                </c:pt>
                <c:pt idx="11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'24.09 Gayaza-Kasangati'!$U$9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Gayaza-Kasangati'!$U$10:$U$21</c:f>
              <c:numCache>
                <c:formatCode>0</c:formatCode>
                <c:ptCount val="12"/>
                <c:pt idx="0">
                  <c:v>40</c:v>
                </c:pt>
                <c:pt idx="1">
                  <c:v>23</c:v>
                </c:pt>
                <c:pt idx="2">
                  <c:v>27</c:v>
                </c:pt>
                <c:pt idx="3">
                  <c:v>20</c:v>
                </c:pt>
                <c:pt idx="4">
                  <c:v>17</c:v>
                </c:pt>
                <c:pt idx="5">
                  <c:v>18</c:v>
                </c:pt>
                <c:pt idx="6">
                  <c:v>20</c:v>
                </c:pt>
                <c:pt idx="7">
                  <c:v>19</c:v>
                </c:pt>
                <c:pt idx="8">
                  <c:v>89</c:v>
                </c:pt>
                <c:pt idx="9">
                  <c:v>20</c:v>
                </c:pt>
                <c:pt idx="10">
                  <c:v>41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'24.09 Gayaza-Kasangati'!$V$9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Gayaza-Kasangati'!$V$10:$V$21</c:f>
              <c:numCache>
                <c:formatCode>0</c:formatCode>
                <c:ptCount val="12"/>
                <c:pt idx="0">
                  <c:v>200</c:v>
                </c:pt>
                <c:pt idx="1">
                  <c:v>173</c:v>
                </c:pt>
                <c:pt idx="2">
                  <c:v>170</c:v>
                </c:pt>
                <c:pt idx="3">
                  <c:v>132</c:v>
                </c:pt>
                <c:pt idx="4">
                  <c:v>132</c:v>
                </c:pt>
                <c:pt idx="5">
                  <c:v>126</c:v>
                </c:pt>
                <c:pt idx="6">
                  <c:v>126</c:v>
                </c:pt>
                <c:pt idx="7">
                  <c:v>126</c:v>
                </c:pt>
                <c:pt idx="8">
                  <c:v>104</c:v>
                </c:pt>
                <c:pt idx="9">
                  <c:v>134</c:v>
                </c:pt>
                <c:pt idx="10">
                  <c:v>191</c:v>
                </c:pt>
                <c:pt idx="11">
                  <c:v>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'24.09 Gayaza-Kasangati'!$W$9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Gayaza-Kasangati'!$W$10:$W$21</c:f>
              <c:numCache>
                <c:formatCode>0</c:formatCode>
                <c:ptCount val="12"/>
                <c:pt idx="0">
                  <c:v>15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5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5</c:v>
                </c:pt>
                <c:pt idx="10">
                  <c:v>2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'24.09 Gayaza-Kasangati'!$X$9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Gayaza-Kasangati'!$X$10:$X$21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'24.09 Gayaza-Kasangati'!$Y$9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Gayaza-Kasangati'!$Y$10:$Y$21</c:f>
              <c:numCache>
                <c:formatCode>0</c:formatCode>
                <c:ptCount val="12"/>
                <c:pt idx="0">
                  <c:v>46</c:v>
                </c:pt>
                <c:pt idx="1">
                  <c:v>45</c:v>
                </c:pt>
                <c:pt idx="2">
                  <c:v>40</c:v>
                </c:pt>
                <c:pt idx="3">
                  <c:v>31</c:v>
                </c:pt>
                <c:pt idx="4">
                  <c:v>53</c:v>
                </c:pt>
                <c:pt idx="5">
                  <c:v>38</c:v>
                </c:pt>
                <c:pt idx="6">
                  <c:v>29</c:v>
                </c:pt>
                <c:pt idx="7">
                  <c:v>41</c:v>
                </c:pt>
                <c:pt idx="8">
                  <c:v>41</c:v>
                </c:pt>
                <c:pt idx="9">
                  <c:v>36</c:v>
                </c:pt>
                <c:pt idx="10">
                  <c:v>39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'24.09 Gayaza-Kasangati'!$Z$9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Gayaza-Kasangati'!$Z$10:$Z$21</c:f>
              <c:numCache>
                <c:formatCode>0</c:formatCode>
                <c:ptCount val="12"/>
                <c:pt idx="0">
                  <c:v>10</c:v>
                </c:pt>
                <c:pt idx="1">
                  <c:v>4</c:v>
                </c:pt>
                <c:pt idx="2">
                  <c:v>9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14</c:v>
                </c:pt>
                <c:pt idx="7">
                  <c:v>19</c:v>
                </c:pt>
                <c:pt idx="8">
                  <c:v>17</c:v>
                </c:pt>
                <c:pt idx="9">
                  <c:v>22</c:v>
                </c:pt>
                <c:pt idx="10">
                  <c:v>17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'24.09 Gayaza-Kasangati'!$AA$9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Gayaza-Kasangati'!$AA$10:$AA$21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13</c:v>
                </c:pt>
                <c:pt idx="3">
                  <c:v>2</c:v>
                </c:pt>
                <c:pt idx="4">
                  <c:v>13</c:v>
                </c:pt>
                <c:pt idx="5">
                  <c:v>14</c:v>
                </c:pt>
                <c:pt idx="6">
                  <c:v>6</c:v>
                </c:pt>
                <c:pt idx="7">
                  <c:v>10</c:v>
                </c:pt>
                <c:pt idx="8">
                  <c:v>9</c:v>
                </c:pt>
                <c:pt idx="9">
                  <c:v>10</c:v>
                </c:pt>
                <c:pt idx="10">
                  <c:v>6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'24.09 Gayaza-Kasangati'!$AB$9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Gayaza-Kasangati'!$AB$10:$AB$21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'24.09 Gayaza-Kasangati'!$AC$9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Gayaza-Kasangati'!$AC$10:$AC$21</c:f>
              <c:numCache>
                <c:formatCode>0</c:formatCode>
                <c:ptCount val="12"/>
                <c:pt idx="0">
                  <c:v>791</c:v>
                </c:pt>
                <c:pt idx="1">
                  <c:v>756</c:v>
                </c:pt>
                <c:pt idx="2">
                  <c:v>515</c:v>
                </c:pt>
                <c:pt idx="3">
                  <c:v>391</c:v>
                </c:pt>
                <c:pt idx="4">
                  <c:v>470</c:v>
                </c:pt>
                <c:pt idx="5">
                  <c:v>348</c:v>
                </c:pt>
                <c:pt idx="6">
                  <c:v>294</c:v>
                </c:pt>
                <c:pt idx="7">
                  <c:v>248</c:v>
                </c:pt>
                <c:pt idx="8">
                  <c:v>265</c:v>
                </c:pt>
                <c:pt idx="9">
                  <c:v>342</c:v>
                </c:pt>
                <c:pt idx="10">
                  <c:v>397</c:v>
                </c:pt>
                <c:pt idx="11">
                  <c:v>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'24.09 Gayaza-Kasangati'!$AD$9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Gayaza-Kasangati'!$AD$10:$AD$21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81056"/>
        <c:axId val="135591040"/>
      </c:lineChart>
      <c:catAx>
        <c:axId val="13558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5591040"/>
        <c:crosses val="autoZero"/>
        <c:auto val="1"/>
        <c:lblAlgn val="ctr"/>
        <c:lblOffset val="100"/>
        <c:noMultiLvlLbl val="0"/>
      </c:catAx>
      <c:valAx>
        <c:axId val="13559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558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Gayaza-Kasangati'!$C$60:$N$60</c:f>
              <c:numCache>
                <c:formatCode>0.00%</c:formatCode>
                <c:ptCount val="12"/>
                <c:pt idx="0">
                  <c:v>0.45666612668070627</c:v>
                </c:pt>
                <c:pt idx="1">
                  <c:v>5.7346508990766237E-2</c:v>
                </c:pt>
                <c:pt idx="2">
                  <c:v>6.0586424752956426E-2</c:v>
                </c:pt>
                <c:pt idx="3">
                  <c:v>0.29515632593552565</c:v>
                </c:pt>
                <c:pt idx="4">
                  <c:v>8.2617851935849664E-3</c:v>
                </c:pt>
                <c:pt idx="5">
                  <c:v>2.7539283978616556E-3</c:v>
                </c:pt>
                <c:pt idx="6">
                  <c:v>7.630001619957881E-2</c:v>
                </c:pt>
                <c:pt idx="7">
                  <c:v>2.5271342945083427E-2</c:v>
                </c:pt>
                <c:pt idx="8">
                  <c:v>1.6685566175279443E-2</c:v>
                </c:pt>
                <c:pt idx="9">
                  <c:v>9.7197472865705496E-4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Kasangati-Gayaza'!$AE$9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Kasangati-Gayaza'!$AE$10:$AE$21</c:f>
              <c:numCache>
                <c:formatCode>0</c:formatCode>
                <c:ptCount val="12"/>
                <c:pt idx="0">
                  <c:v>483</c:v>
                </c:pt>
                <c:pt idx="1">
                  <c:v>365</c:v>
                </c:pt>
                <c:pt idx="2">
                  <c:v>369</c:v>
                </c:pt>
                <c:pt idx="3">
                  <c:v>452</c:v>
                </c:pt>
                <c:pt idx="4">
                  <c:v>465</c:v>
                </c:pt>
                <c:pt idx="5">
                  <c:v>606</c:v>
                </c:pt>
                <c:pt idx="6">
                  <c:v>493</c:v>
                </c:pt>
                <c:pt idx="7">
                  <c:v>453</c:v>
                </c:pt>
                <c:pt idx="8">
                  <c:v>464</c:v>
                </c:pt>
                <c:pt idx="9">
                  <c:v>482</c:v>
                </c:pt>
                <c:pt idx="10">
                  <c:v>536</c:v>
                </c:pt>
                <c:pt idx="11">
                  <c:v>691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'25.09 Kasangati-Gayaza'!$AF$9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Kasangati-Gayaza'!$AF$10:$AF$21</c:f>
              <c:numCache>
                <c:formatCode>0</c:formatCode>
                <c:ptCount val="12"/>
                <c:pt idx="0">
                  <c:v>900</c:v>
                </c:pt>
                <c:pt idx="1">
                  <c:v>816</c:v>
                </c:pt>
                <c:pt idx="2">
                  <c:v>827</c:v>
                </c:pt>
                <c:pt idx="3">
                  <c:v>884</c:v>
                </c:pt>
                <c:pt idx="4">
                  <c:v>892</c:v>
                </c:pt>
                <c:pt idx="5">
                  <c:v>983</c:v>
                </c:pt>
                <c:pt idx="6">
                  <c:v>929</c:v>
                </c:pt>
                <c:pt idx="7">
                  <c:v>775</c:v>
                </c:pt>
                <c:pt idx="8">
                  <c:v>793</c:v>
                </c:pt>
                <c:pt idx="9">
                  <c:v>829</c:v>
                </c:pt>
                <c:pt idx="10">
                  <c:v>961</c:v>
                </c:pt>
                <c:pt idx="11">
                  <c:v>1199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751552"/>
        <c:axId val="135778304"/>
      </c:lineChart>
      <c:catAx>
        <c:axId val="1357515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5778304"/>
        <c:crosses val="autoZero"/>
        <c:auto val="1"/>
        <c:lblAlgn val="ctr"/>
        <c:lblOffset val="100"/>
        <c:noMultiLvlLbl val="0"/>
      </c:catAx>
      <c:valAx>
        <c:axId val="1357783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575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Kasangati-Gayaza'!$C$59:$N$59</c:f>
              <c:numCache>
                <c:formatCode>0.0%</c:formatCode>
                <c:ptCount val="12"/>
                <c:pt idx="0">
                  <c:v>0.19354838709677419</c:v>
                </c:pt>
                <c:pt idx="1">
                  <c:v>4.5791620318872822E-2</c:v>
                </c:pt>
                <c:pt idx="2">
                  <c:v>3.2906933629959216E-2</c:v>
                </c:pt>
                <c:pt idx="3">
                  <c:v>0.18817204301075269</c:v>
                </c:pt>
                <c:pt idx="4">
                  <c:v>3.2443455691509083E-3</c:v>
                </c:pt>
                <c:pt idx="5">
                  <c:v>2.5027808676307008E-3</c:v>
                </c:pt>
                <c:pt idx="6">
                  <c:v>4.8757879124953656E-2</c:v>
                </c:pt>
                <c:pt idx="7">
                  <c:v>1.4460511679644048E-2</c:v>
                </c:pt>
                <c:pt idx="8">
                  <c:v>1.1865035224323322E-2</c:v>
                </c:pt>
                <c:pt idx="9">
                  <c:v>1.5758249907304412E-3</c:v>
                </c:pt>
                <c:pt idx="10">
                  <c:v>0.45689655172413796</c:v>
                </c:pt>
                <c:pt idx="11">
                  <c:v>2.7808676307007786E-4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87"/>
          <c:y val="2.29602266373237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Kasangati-Gayaza'!$S$9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Kasangati-Gayaza'!$S$10:$S$21</c:f>
              <c:numCache>
                <c:formatCode>0</c:formatCode>
                <c:ptCount val="12"/>
                <c:pt idx="0">
                  <c:v>151</c:v>
                </c:pt>
                <c:pt idx="1">
                  <c:v>98</c:v>
                </c:pt>
                <c:pt idx="2">
                  <c:v>61</c:v>
                </c:pt>
                <c:pt idx="3">
                  <c:v>129</c:v>
                </c:pt>
                <c:pt idx="4">
                  <c:v>122</c:v>
                </c:pt>
                <c:pt idx="5">
                  <c:v>234</c:v>
                </c:pt>
                <c:pt idx="6">
                  <c:v>164</c:v>
                </c:pt>
                <c:pt idx="7">
                  <c:v>196</c:v>
                </c:pt>
                <c:pt idx="8">
                  <c:v>187</c:v>
                </c:pt>
                <c:pt idx="9">
                  <c:v>185</c:v>
                </c:pt>
                <c:pt idx="10">
                  <c:v>264</c:v>
                </c:pt>
                <c:pt idx="11">
                  <c:v>297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'25.09 Kasangati-Gayaza'!$T$9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Kasangati-Gayaza'!$T$10:$T$21</c:f>
              <c:numCache>
                <c:formatCode>0</c:formatCode>
                <c:ptCount val="12"/>
                <c:pt idx="0">
                  <c:v>30</c:v>
                </c:pt>
                <c:pt idx="1">
                  <c:v>30</c:v>
                </c:pt>
                <c:pt idx="2">
                  <c:v>51</c:v>
                </c:pt>
                <c:pt idx="3">
                  <c:v>41</c:v>
                </c:pt>
                <c:pt idx="4">
                  <c:v>59</c:v>
                </c:pt>
                <c:pt idx="5">
                  <c:v>34</c:v>
                </c:pt>
                <c:pt idx="6">
                  <c:v>57</c:v>
                </c:pt>
                <c:pt idx="7">
                  <c:v>21</c:v>
                </c:pt>
                <c:pt idx="8">
                  <c:v>30</c:v>
                </c:pt>
                <c:pt idx="9">
                  <c:v>42</c:v>
                </c:pt>
                <c:pt idx="10">
                  <c:v>30</c:v>
                </c:pt>
                <c:pt idx="11">
                  <c:v>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'25.09 Kasangati-Gayaza'!$U$9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'25.09 Kasangati-Gayaza'!$U$10:$U$21</c:f>
              <c:numCache>
                <c:formatCode>0</c:formatCode>
                <c:ptCount val="12"/>
                <c:pt idx="0">
                  <c:v>31</c:v>
                </c:pt>
                <c:pt idx="1">
                  <c:v>26</c:v>
                </c:pt>
                <c:pt idx="2">
                  <c:v>30</c:v>
                </c:pt>
                <c:pt idx="3">
                  <c:v>25</c:v>
                </c:pt>
                <c:pt idx="4">
                  <c:v>32</c:v>
                </c:pt>
                <c:pt idx="5">
                  <c:v>25</c:v>
                </c:pt>
                <c:pt idx="6">
                  <c:v>27</c:v>
                </c:pt>
                <c:pt idx="7">
                  <c:v>32</c:v>
                </c:pt>
                <c:pt idx="8">
                  <c:v>29</c:v>
                </c:pt>
                <c:pt idx="9">
                  <c:v>45</c:v>
                </c:pt>
                <c:pt idx="10">
                  <c:v>28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'25.09 Kasangati-Gayaza'!$V$9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'25.09 Kasangati-Gayaza'!$V$10:$V$21</c:f>
              <c:numCache>
                <c:formatCode>0</c:formatCode>
                <c:ptCount val="12"/>
                <c:pt idx="0">
                  <c:v>202</c:v>
                </c:pt>
                <c:pt idx="1">
                  <c:v>157</c:v>
                </c:pt>
                <c:pt idx="2">
                  <c:v>146</c:v>
                </c:pt>
                <c:pt idx="3">
                  <c:v>172</c:v>
                </c:pt>
                <c:pt idx="4">
                  <c:v>172</c:v>
                </c:pt>
                <c:pt idx="5">
                  <c:v>209</c:v>
                </c:pt>
                <c:pt idx="6">
                  <c:v>155</c:v>
                </c:pt>
                <c:pt idx="7">
                  <c:v>136</c:v>
                </c:pt>
                <c:pt idx="8">
                  <c:v>137</c:v>
                </c:pt>
                <c:pt idx="9">
                  <c:v>129</c:v>
                </c:pt>
                <c:pt idx="10">
                  <c:v>171</c:v>
                </c:pt>
                <c:pt idx="11">
                  <c:v>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'25.09 Kasangati-Gayaza'!$W$9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'25.09 Kasangati-Gayaza'!$W$10:$W$21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4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'25.09 Kasangati-Gayaza'!$X$9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'25.09 Kasangati-Gayaza'!$X$10:$X$21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6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'25.09 Kasangati-Gayaza'!$Y$9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Kasangati-Gayaza'!$Y$10:$Y$21</c:f>
              <c:numCache>
                <c:formatCode>0</c:formatCode>
                <c:ptCount val="12"/>
                <c:pt idx="0">
                  <c:v>44</c:v>
                </c:pt>
                <c:pt idx="1">
                  <c:v>31</c:v>
                </c:pt>
                <c:pt idx="2">
                  <c:v>51</c:v>
                </c:pt>
                <c:pt idx="3">
                  <c:v>55</c:v>
                </c:pt>
                <c:pt idx="4">
                  <c:v>46</c:v>
                </c:pt>
                <c:pt idx="5">
                  <c:v>50</c:v>
                </c:pt>
                <c:pt idx="6">
                  <c:v>51</c:v>
                </c:pt>
                <c:pt idx="7">
                  <c:v>45</c:v>
                </c:pt>
                <c:pt idx="8">
                  <c:v>53</c:v>
                </c:pt>
                <c:pt idx="9">
                  <c:v>41</c:v>
                </c:pt>
                <c:pt idx="10">
                  <c:v>29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'25.09 Kasangati-Gayaza'!$Z$9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Kasangati-Gayaza'!$Z$10:$Z$21</c:f>
              <c:numCache>
                <c:formatCode>0</c:formatCode>
                <c:ptCount val="12"/>
                <c:pt idx="0">
                  <c:v>9</c:v>
                </c:pt>
                <c:pt idx="1">
                  <c:v>4</c:v>
                </c:pt>
                <c:pt idx="2">
                  <c:v>14</c:v>
                </c:pt>
                <c:pt idx="3">
                  <c:v>13</c:v>
                </c:pt>
                <c:pt idx="4">
                  <c:v>16</c:v>
                </c:pt>
                <c:pt idx="5">
                  <c:v>35</c:v>
                </c:pt>
                <c:pt idx="6">
                  <c:v>19</c:v>
                </c:pt>
                <c:pt idx="7">
                  <c:v>8</c:v>
                </c:pt>
                <c:pt idx="8">
                  <c:v>13</c:v>
                </c:pt>
                <c:pt idx="9">
                  <c:v>17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'25.09 Kasangati-Gayaza'!$AA$9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Kasangati-Gayaza'!$AA$10:$AA$21</c:f>
              <c:numCache>
                <c:formatCode>0</c:formatCode>
                <c:ptCount val="12"/>
                <c:pt idx="0">
                  <c:v>10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15</c:v>
                </c:pt>
                <c:pt idx="5">
                  <c:v>14</c:v>
                </c:pt>
                <c:pt idx="6">
                  <c:v>11</c:v>
                </c:pt>
                <c:pt idx="7">
                  <c:v>10</c:v>
                </c:pt>
                <c:pt idx="8">
                  <c:v>11</c:v>
                </c:pt>
                <c:pt idx="9">
                  <c:v>13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'25.09 Kasangati-Gayaza'!$AB$9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Kasangati-Gayaza'!$AB$10:$AB$21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5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'25.09 Kasangati-Gayaza'!$AC$9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Kasangati-Gayaza'!$AC$10:$AC$21</c:f>
              <c:numCache>
                <c:formatCode>0</c:formatCode>
                <c:ptCount val="12"/>
                <c:pt idx="0">
                  <c:v>417</c:v>
                </c:pt>
                <c:pt idx="1">
                  <c:v>451</c:v>
                </c:pt>
                <c:pt idx="2">
                  <c:v>458</c:v>
                </c:pt>
                <c:pt idx="3">
                  <c:v>432</c:v>
                </c:pt>
                <c:pt idx="4">
                  <c:v>427</c:v>
                </c:pt>
                <c:pt idx="5">
                  <c:v>377</c:v>
                </c:pt>
                <c:pt idx="6">
                  <c:v>436</c:v>
                </c:pt>
                <c:pt idx="7">
                  <c:v>322</c:v>
                </c:pt>
                <c:pt idx="8">
                  <c:v>329</c:v>
                </c:pt>
                <c:pt idx="9">
                  <c:v>347</c:v>
                </c:pt>
                <c:pt idx="10">
                  <c:v>425</c:v>
                </c:pt>
                <c:pt idx="11">
                  <c:v>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'25.09 Kasangati-Gayaza'!$AD$9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Kasangati-Gayaza'!$AD$10:$AD$21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150400"/>
        <c:axId val="136176768"/>
      </c:lineChart>
      <c:catAx>
        <c:axId val="13615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6176768"/>
        <c:crosses val="autoZero"/>
        <c:auto val="1"/>
        <c:lblAlgn val="ctr"/>
        <c:lblOffset val="100"/>
        <c:noMultiLvlLbl val="0"/>
      </c:catAx>
      <c:valAx>
        <c:axId val="13617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615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Kasangati-Gayaza'!$C$60:$N$60</c:f>
              <c:numCache>
                <c:formatCode>0.00%</c:formatCode>
                <c:ptCount val="12"/>
                <c:pt idx="0">
                  <c:v>0.35637480798771121</c:v>
                </c:pt>
                <c:pt idx="1">
                  <c:v>8.4314729476019798E-2</c:v>
                </c:pt>
                <c:pt idx="2">
                  <c:v>6.0590544461512207E-2</c:v>
                </c:pt>
                <c:pt idx="3">
                  <c:v>0.34647550776583036</c:v>
                </c:pt>
                <c:pt idx="4">
                  <c:v>5.9737156511350063E-3</c:v>
                </c:pt>
                <c:pt idx="5">
                  <c:v>4.608294930875576E-3</c:v>
                </c:pt>
                <c:pt idx="6">
                  <c:v>8.9776412357057522E-2</c:v>
                </c:pt>
                <c:pt idx="7">
                  <c:v>2.6625704045058884E-2</c:v>
                </c:pt>
                <c:pt idx="8">
                  <c:v>2.184673152415088E-2</c:v>
                </c:pt>
                <c:pt idx="9">
                  <c:v>2.9015190305512885E-3</c:v>
                </c:pt>
                <c:pt idx="11">
                  <c:v>5.1203277009728623E-4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Gayaza-Kasangati'!$AE$9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Gayaza-Kasangati'!$AE$10:$AE$21</c:f>
              <c:numCache>
                <c:formatCode>0</c:formatCode>
                <c:ptCount val="12"/>
                <c:pt idx="0">
                  <c:v>729</c:v>
                </c:pt>
                <c:pt idx="1">
                  <c:v>550</c:v>
                </c:pt>
                <c:pt idx="2">
                  <c:v>466</c:v>
                </c:pt>
                <c:pt idx="3">
                  <c:v>447</c:v>
                </c:pt>
                <c:pt idx="4">
                  <c:v>472</c:v>
                </c:pt>
                <c:pt idx="5">
                  <c:v>396</c:v>
                </c:pt>
                <c:pt idx="6">
                  <c:v>377</c:v>
                </c:pt>
                <c:pt idx="7">
                  <c:v>420</c:v>
                </c:pt>
                <c:pt idx="8">
                  <c:v>442</c:v>
                </c:pt>
                <c:pt idx="9">
                  <c:v>540</c:v>
                </c:pt>
                <c:pt idx="10">
                  <c:v>524</c:v>
                </c:pt>
                <c:pt idx="11">
                  <c:v>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'25.09 Gayaza-Kasangati'!$AF$9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Gayaza-Kasangati'!$AF$10:$AF$21</c:f>
              <c:numCache>
                <c:formatCode>0</c:formatCode>
                <c:ptCount val="12"/>
                <c:pt idx="0">
                  <c:v>1374</c:v>
                </c:pt>
                <c:pt idx="1">
                  <c:v>1239</c:v>
                </c:pt>
                <c:pt idx="2">
                  <c:v>923</c:v>
                </c:pt>
                <c:pt idx="3">
                  <c:v>772</c:v>
                </c:pt>
                <c:pt idx="4">
                  <c:v>855</c:v>
                </c:pt>
                <c:pt idx="5">
                  <c:v>715</c:v>
                </c:pt>
                <c:pt idx="6">
                  <c:v>707</c:v>
                </c:pt>
                <c:pt idx="7">
                  <c:v>707</c:v>
                </c:pt>
                <c:pt idx="8">
                  <c:v>696</c:v>
                </c:pt>
                <c:pt idx="9">
                  <c:v>911</c:v>
                </c:pt>
                <c:pt idx="10">
                  <c:v>991</c:v>
                </c:pt>
                <c:pt idx="11">
                  <c:v>962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358912"/>
        <c:axId val="136356992"/>
      </c:lineChart>
      <c:catAx>
        <c:axId val="1363589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6356992"/>
        <c:crosses val="autoZero"/>
        <c:auto val="1"/>
        <c:lblAlgn val="ctr"/>
        <c:lblOffset val="100"/>
        <c:noMultiLvlLbl val="0"/>
      </c:catAx>
      <c:valAx>
        <c:axId val="136356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635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Gayaza-Kasangati'!$C$59:$N$59</c:f>
              <c:numCache>
                <c:formatCode>0.0%</c:formatCode>
                <c:ptCount val="12"/>
                <c:pt idx="0">
                  <c:v>0.25239587172871358</c:v>
                </c:pt>
                <c:pt idx="1">
                  <c:v>3.2897161813490602E-2</c:v>
                </c:pt>
                <c:pt idx="2">
                  <c:v>2.9671949870991522E-2</c:v>
                </c:pt>
                <c:pt idx="3">
                  <c:v>0.16061555473645411</c:v>
                </c:pt>
                <c:pt idx="4">
                  <c:v>2.9487652045705861E-3</c:v>
                </c:pt>
                <c:pt idx="5">
                  <c:v>2.3037228160707702E-3</c:v>
                </c:pt>
                <c:pt idx="6">
                  <c:v>3.5385182454847036E-2</c:v>
                </c:pt>
                <c:pt idx="7">
                  <c:v>1.7047548838923701E-2</c:v>
                </c:pt>
                <c:pt idx="8">
                  <c:v>1.1057869517139697E-2</c:v>
                </c:pt>
                <c:pt idx="9">
                  <c:v>8.293402137854773E-4</c:v>
                </c:pt>
                <c:pt idx="10">
                  <c:v>0.45475488389237007</c:v>
                </c:pt>
                <c:pt idx="11">
                  <c:v>9.2148912642830814E-5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Gayaza-Kasangati'!$C$60:$N$60</c:f>
              <c:numCache>
                <c:formatCode>0.00%</c:formatCode>
                <c:ptCount val="12"/>
                <c:pt idx="0">
                  <c:v>0.46290349839445666</c:v>
                </c:pt>
                <c:pt idx="1">
                  <c:v>6.0334629034983947E-2</c:v>
                </c:pt>
                <c:pt idx="2">
                  <c:v>5.4419469325671793E-2</c:v>
                </c:pt>
                <c:pt idx="3">
                  <c:v>0.29457495352374513</c:v>
                </c:pt>
                <c:pt idx="4">
                  <c:v>5.408146019942538E-3</c:v>
                </c:pt>
                <c:pt idx="5">
                  <c:v>4.2251140780801078E-3</c:v>
                </c:pt>
                <c:pt idx="6">
                  <c:v>6.4897752239310463E-2</c:v>
                </c:pt>
                <c:pt idx="7">
                  <c:v>3.1265844177792802E-2</c:v>
                </c:pt>
                <c:pt idx="8">
                  <c:v>2.0280547574784518E-2</c:v>
                </c:pt>
                <c:pt idx="9">
                  <c:v>1.521041068108839E-3</c:v>
                </c:pt>
                <c:pt idx="11">
                  <c:v>1.6900456312320431E-4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Kasangati-Gayaza-24h'!$AE$9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Kasangati-Gayaza-24h'!$R$10:$R$33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Kasangati-Gayaza-24h'!$AE$10:$AE$33</c:f>
              <c:numCache>
                <c:formatCode>0</c:formatCode>
                <c:ptCount val="24"/>
                <c:pt idx="0">
                  <c:v>465</c:v>
                </c:pt>
                <c:pt idx="1">
                  <c:v>467</c:v>
                </c:pt>
                <c:pt idx="2">
                  <c:v>378</c:v>
                </c:pt>
                <c:pt idx="3">
                  <c:v>477</c:v>
                </c:pt>
                <c:pt idx="4">
                  <c:v>490</c:v>
                </c:pt>
                <c:pt idx="5">
                  <c:v>455</c:v>
                </c:pt>
                <c:pt idx="6">
                  <c:v>454</c:v>
                </c:pt>
                <c:pt idx="7">
                  <c:v>438</c:v>
                </c:pt>
                <c:pt idx="8">
                  <c:v>346</c:v>
                </c:pt>
                <c:pt idx="9">
                  <c:v>526</c:v>
                </c:pt>
                <c:pt idx="10">
                  <c:v>528</c:v>
                </c:pt>
                <c:pt idx="11">
                  <c:v>555</c:v>
                </c:pt>
                <c:pt idx="12">
                  <c:v>546</c:v>
                </c:pt>
                <c:pt idx="13">
                  <c:v>564</c:v>
                </c:pt>
                <c:pt idx="14">
                  <c:v>589</c:v>
                </c:pt>
                <c:pt idx="15">
                  <c:v>439</c:v>
                </c:pt>
                <c:pt idx="16">
                  <c:v>244</c:v>
                </c:pt>
                <c:pt idx="17">
                  <c:v>84</c:v>
                </c:pt>
                <c:pt idx="18">
                  <c:v>58</c:v>
                </c:pt>
                <c:pt idx="19">
                  <c:v>29</c:v>
                </c:pt>
                <c:pt idx="20">
                  <c:v>23</c:v>
                </c:pt>
                <c:pt idx="21">
                  <c:v>36</c:v>
                </c:pt>
                <c:pt idx="22">
                  <c:v>99</c:v>
                </c:pt>
                <c:pt idx="23">
                  <c:v>159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'26.09 Kasangati-Gayaza-24h'!$AF$9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Kasangati-Gayaza-24h'!$R$10:$R$33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Kasangati-Gayaza-24h'!$AF$10:$AF$33</c:f>
              <c:numCache>
                <c:formatCode>0</c:formatCode>
                <c:ptCount val="24"/>
                <c:pt idx="0">
                  <c:v>896</c:v>
                </c:pt>
                <c:pt idx="1">
                  <c:v>896</c:v>
                </c:pt>
                <c:pt idx="2">
                  <c:v>842</c:v>
                </c:pt>
                <c:pt idx="3">
                  <c:v>872</c:v>
                </c:pt>
                <c:pt idx="4">
                  <c:v>915</c:v>
                </c:pt>
                <c:pt idx="5">
                  <c:v>850</c:v>
                </c:pt>
                <c:pt idx="6">
                  <c:v>756</c:v>
                </c:pt>
                <c:pt idx="7">
                  <c:v>744</c:v>
                </c:pt>
                <c:pt idx="8">
                  <c:v>648</c:v>
                </c:pt>
                <c:pt idx="9">
                  <c:v>832</c:v>
                </c:pt>
                <c:pt idx="10">
                  <c:v>949</c:v>
                </c:pt>
                <c:pt idx="11">
                  <c:v>1008</c:v>
                </c:pt>
                <c:pt idx="12">
                  <c:v>1132</c:v>
                </c:pt>
                <c:pt idx="13">
                  <c:v>1073</c:v>
                </c:pt>
                <c:pt idx="14">
                  <c:v>989</c:v>
                </c:pt>
                <c:pt idx="15">
                  <c:v>752</c:v>
                </c:pt>
                <c:pt idx="16">
                  <c:v>407</c:v>
                </c:pt>
                <c:pt idx="17">
                  <c:v>170</c:v>
                </c:pt>
                <c:pt idx="18">
                  <c:v>133</c:v>
                </c:pt>
                <c:pt idx="19">
                  <c:v>54</c:v>
                </c:pt>
                <c:pt idx="20">
                  <c:v>50</c:v>
                </c:pt>
                <c:pt idx="21">
                  <c:v>66</c:v>
                </c:pt>
                <c:pt idx="22">
                  <c:v>144</c:v>
                </c:pt>
                <c:pt idx="23">
                  <c:v>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67520"/>
        <c:axId val="136669440"/>
      </c:lineChart>
      <c:catAx>
        <c:axId val="1366675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6669440"/>
        <c:crosses val="autoZero"/>
        <c:auto val="1"/>
        <c:lblAlgn val="ctr"/>
        <c:lblOffset val="100"/>
        <c:noMultiLvlLbl val="0"/>
      </c:catAx>
      <c:valAx>
        <c:axId val="1366694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666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Kasangati-Gayaza-24h'!$C$9:$N$9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Kasangati-Gayaza-24h'!$C$107:$N$107</c:f>
              <c:numCache>
                <c:formatCode>0.0%</c:formatCode>
                <c:ptCount val="12"/>
                <c:pt idx="0">
                  <c:v>0.19406570575249968</c:v>
                </c:pt>
                <c:pt idx="1">
                  <c:v>5.181145305804441E-2</c:v>
                </c:pt>
                <c:pt idx="2">
                  <c:v>3.084015062978834E-2</c:v>
                </c:pt>
                <c:pt idx="3">
                  <c:v>0.19328658615764185</c:v>
                </c:pt>
                <c:pt idx="4">
                  <c:v>5.6486170627191275E-3</c:v>
                </c:pt>
                <c:pt idx="5">
                  <c:v>2.5321386832878848E-3</c:v>
                </c:pt>
                <c:pt idx="6">
                  <c:v>4.4799376704324115E-2</c:v>
                </c:pt>
                <c:pt idx="7">
                  <c:v>1.3374886378392417E-2</c:v>
                </c:pt>
                <c:pt idx="8">
                  <c:v>9.4143617711985456E-3</c:v>
                </c:pt>
                <c:pt idx="9">
                  <c:v>2.5970653161927022E-3</c:v>
                </c:pt>
                <c:pt idx="10">
                  <c:v>0.45143487858719644</c:v>
                </c:pt>
                <c:pt idx="11">
                  <c:v>1.9477989871445267E-4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Kasangati-Gayaza-24h'!$C$9:$N$9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Kasangati-Gayaza-24h'!$C$108:$N$108</c:f>
              <c:numCache>
                <c:formatCode>0.00%</c:formatCode>
                <c:ptCount val="12"/>
                <c:pt idx="0">
                  <c:v>0.35376967688483846</c:v>
                </c:pt>
                <c:pt idx="1">
                  <c:v>9.4449047224523616E-2</c:v>
                </c:pt>
                <c:pt idx="2">
                  <c:v>5.6219670966978344E-2</c:v>
                </c:pt>
                <c:pt idx="3">
                  <c:v>0.35234939046040953</c:v>
                </c:pt>
                <c:pt idx="4">
                  <c:v>1.0297076577109716E-2</c:v>
                </c:pt>
                <c:pt idx="5">
                  <c:v>4.6159308793940115E-3</c:v>
                </c:pt>
                <c:pt idx="6">
                  <c:v>8.1666469404663281E-2</c:v>
                </c:pt>
                <c:pt idx="7">
                  <c:v>2.438158361936324E-2</c:v>
                </c:pt>
                <c:pt idx="8">
                  <c:v>1.7161794295182862E-2</c:v>
                </c:pt>
                <c:pt idx="9">
                  <c:v>4.734288081429755E-3</c:v>
                </c:pt>
                <c:pt idx="11">
                  <c:v>3.5507160610723161E-4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Gayaza-Kasangati-24h'!$AE$9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Gayaza-Kasangati-24h'!$R$10:$R$33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Gayaza-Kasangati-24h'!$AE$10:$AE$33</c:f>
              <c:numCache>
                <c:formatCode>0</c:formatCode>
                <c:ptCount val="24"/>
                <c:pt idx="0">
                  <c:v>746</c:v>
                </c:pt>
                <c:pt idx="1">
                  <c:v>541</c:v>
                </c:pt>
                <c:pt idx="2">
                  <c:v>490</c:v>
                </c:pt>
                <c:pt idx="3">
                  <c:v>481</c:v>
                </c:pt>
                <c:pt idx="4">
                  <c:v>418</c:v>
                </c:pt>
                <c:pt idx="5">
                  <c:v>407</c:v>
                </c:pt>
                <c:pt idx="6">
                  <c:v>448</c:v>
                </c:pt>
                <c:pt idx="7">
                  <c:v>375</c:v>
                </c:pt>
                <c:pt idx="8">
                  <c:v>444</c:v>
                </c:pt>
                <c:pt idx="9">
                  <c:v>494</c:v>
                </c:pt>
                <c:pt idx="10">
                  <c:v>892</c:v>
                </c:pt>
                <c:pt idx="11">
                  <c:v>513</c:v>
                </c:pt>
                <c:pt idx="12">
                  <c:v>451</c:v>
                </c:pt>
                <c:pt idx="13">
                  <c:v>412</c:v>
                </c:pt>
                <c:pt idx="14">
                  <c:v>297</c:v>
                </c:pt>
                <c:pt idx="15">
                  <c:v>228</c:v>
                </c:pt>
                <c:pt idx="16">
                  <c:v>115</c:v>
                </c:pt>
                <c:pt idx="17">
                  <c:v>61</c:v>
                </c:pt>
                <c:pt idx="18">
                  <c:v>21</c:v>
                </c:pt>
                <c:pt idx="19">
                  <c:v>25</c:v>
                </c:pt>
                <c:pt idx="20">
                  <c:v>28</c:v>
                </c:pt>
                <c:pt idx="21">
                  <c:v>33</c:v>
                </c:pt>
                <c:pt idx="22">
                  <c:v>166</c:v>
                </c:pt>
                <c:pt idx="23">
                  <c:v>734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'26.09 Gayaza-Kasangati-24h'!$AF$9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Gayaza-Kasangati-24h'!$R$10:$R$33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Gayaza-Kasangati-24h'!$AF$10:$AF$33</c:f>
              <c:numCache>
                <c:formatCode>0</c:formatCode>
                <c:ptCount val="24"/>
                <c:pt idx="0">
                  <c:v>1454</c:v>
                </c:pt>
                <c:pt idx="1">
                  <c:v>1095</c:v>
                </c:pt>
                <c:pt idx="2">
                  <c:v>1026</c:v>
                </c:pt>
                <c:pt idx="3">
                  <c:v>971</c:v>
                </c:pt>
                <c:pt idx="4">
                  <c:v>888</c:v>
                </c:pt>
                <c:pt idx="5">
                  <c:v>756</c:v>
                </c:pt>
                <c:pt idx="6">
                  <c:v>819</c:v>
                </c:pt>
                <c:pt idx="7">
                  <c:v>618</c:v>
                </c:pt>
                <c:pt idx="8">
                  <c:v>692</c:v>
                </c:pt>
                <c:pt idx="9">
                  <c:v>815</c:v>
                </c:pt>
                <c:pt idx="10">
                  <c:v>1292</c:v>
                </c:pt>
                <c:pt idx="11">
                  <c:v>915</c:v>
                </c:pt>
                <c:pt idx="12">
                  <c:v>816</c:v>
                </c:pt>
                <c:pt idx="13">
                  <c:v>646</c:v>
                </c:pt>
                <c:pt idx="14">
                  <c:v>454</c:v>
                </c:pt>
                <c:pt idx="15">
                  <c:v>333</c:v>
                </c:pt>
                <c:pt idx="16">
                  <c:v>156</c:v>
                </c:pt>
                <c:pt idx="17">
                  <c:v>74</c:v>
                </c:pt>
                <c:pt idx="18">
                  <c:v>47</c:v>
                </c:pt>
                <c:pt idx="19">
                  <c:v>45</c:v>
                </c:pt>
                <c:pt idx="20">
                  <c:v>45</c:v>
                </c:pt>
                <c:pt idx="21">
                  <c:v>56</c:v>
                </c:pt>
                <c:pt idx="22">
                  <c:v>222</c:v>
                </c:pt>
                <c:pt idx="23">
                  <c:v>796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86912"/>
        <c:axId val="136868224"/>
      </c:lineChart>
      <c:catAx>
        <c:axId val="1368869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6868224"/>
        <c:crosses val="autoZero"/>
        <c:auto val="1"/>
        <c:lblAlgn val="ctr"/>
        <c:lblOffset val="100"/>
        <c:noMultiLvlLbl val="0"/>
      </c:catAx>
      <c:valAx>
        <c:axId val="136868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688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Gayaza-Kasangati-24h'!$C$9:$N$9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Gayaza-Kasangati-24h'!$C$107:$N$107</c:f>
              <c:numCache>
                <c:formatCode>0.0%</c:formatCode>
                <c:ptCount val="12"/>
                <c:pt idx="0">
                  <c:v>0.25028274898543013</c:v>
                </c:pt>
                <c:pt idx="1">
                  <c:v>3.319805734814716E-2</c:v>
                </c:pt>
                <c:pt idx="2">
                  <c:v>3.0270773734282483E-2</c:v>
                </c:pt>
                <c:pt idx="3">
                  <c:v>0.19952098995409487</c:v>
                </c:pt>
                <c:pt idx="4">
                  <c:v>4.9896879781784311E-3</c:v>
                </c:pt>
                <c:pt idx="5">
                  <c:v>1.2640542878052025E-3</c:v>
                </c:pt>
                <c:pt idx="6">
                  <c:v>4.6437362783580599E-2</c:v>
                </c:pt>
                <c:pt idx="7">
                  <c:v>9.5802009181025875E-3</c:v>
                </c:pt>
                <c:pt idx="8">
                  <c:v>1.011243430244162E-2</c:v>
                </c:pt>
                <c:pt idx="9">
                  <c:v>1.1309959417204443E-3</c:v>
                </c:pt>
                <c:pt idx="10">
                  <c:v>0.4132126937662165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Gayaza-Kasangati-24h'!$C$9:$N$9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Gayaza-Kasangati-24h'!$C$108:$N$108</c:f>
              <c:numCache>
                <c:formatCode>0.00%</c:formatCode>
                <c:ptCount val="12"/>
                <c:pt idx="0">
                  <c:v>0.42653061224489797</c:v>
                </c:pt>
                <c:pt idx="1">
                  <c:v>5.6575963718820864E-2</c:v>
                </c:pt>
                <c:pt idx="2">
                  <c:v>5.1587301587301584E-2</c:v>
                </c:pt>
                <c:pt idx="3">
                  <c:v>0.34002267573696143</c:v>
                </c:pt>
                <c:pt idx="4">
                  <c:v>8.5034013605442185E-3</c:v>
                </c:pt>
                <c:pt idx="5">
                  <c:v>2.1541950113378684E-3</c:v>
                </c:pt>
                <c:pt idx="6">
                  <c:v>7.9138321995464847E-2</c:v>
                </c:pt>
                <c:pt idx="7">
                  <c:v>1.6326530612244899E-2</c:v>
                </c:pt>
                <c:pt idx="8">
                  <c:v>1.7233560090702947E-2</c:v>
                </c:pt>
                <c:pt idx="9">
                  <c:v>1.927437641723356E-3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Kasangati-Gayaza'!$AE$9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Kasangati-Gayaza'!$AE$10:$AE$21</c:f>
              <c:numCache>
                <c:formatCode>0</c:formatCode>
                <c:ptCount val="12"/>
                <c:pt idx="0">
                  <c:v>483</c:v>
                </c:pt>
                <c:pt idx="1">
                  <c:v>452</c:v>
                </c:pt>
                <c:pt idx="2">
                  <c:v>617</c:v>
                </c:pt>
                <c:pt idx="3">
                  <c:v>597</c:v>
                </c:pt>
                <c:pt idx="4">
                  <c:v>628</c:v>
                </c:pt>
                <c:pt idx="5">
                  <c:v>486</c:v>
                </c:pt>
                <c:pt idx="6">
                  <c:v>466</c:v>
                </c:pt>
                <c:pt idx="7">
                  <c:v>583</c:v>
                </c:pt>
                <c:pt idx="8">
                  <c:v>511</c:v>
                </c:pt>
                <c:pt idx="9">
                  <c:v>595</c:v>
                </c:pt>
                <c:pt idx="10">
                  <c:v>590</c:v>
                </c:pt>
                <c:pt idx="11">
                  <c:v>592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'27.09 Kasangati-Gayaza'!$AF$9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Kasangati-Gayaza'!$AF$10:$AF$21</c:f>
              <c:numCache>
                <c:formatCode>0</c:formatCode>
                <c:ptCount val="12"/>
                <c:pt idx="0">
                  <c:v>840</c:v>
                </c:pt>
                <c:pt idx="1">
                  <c:v>826</c:v>
                </c:pt>
                <c:pt idx="2">
                  <c:v>985</c:v>
                </c:pt>
                <c:pt idx="3">
                  <c:v>921</c:v>
                </c:pt>
                <c:pt idx="4">
                  <c:v>876</c:v>
                </c:pt>
                <c:pt idx="5">
                  <c:v>694</c:v>
                </c:pt>
                <c:pt idx="6">
                  <c:v>574</c:v>
                </c:pt>
                <c:pt idx="7">
                  <c:v>774</c:v>
                </c:pt>
                <c:pt idx="8">
                  <c:v>721</c:v>
                </c:pt>
                <c:pt idx="9">
                  <c:v>853</c:v>
                </c:pt>
                <c:pt idx="10">
                  <c:v>957</c:v>
                </c:pt>
                <c:pt idx="11">
                  <c:v>1070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65152"/>
        <c:axId val="137265920"/>
      </c:lineChart>
      <c:catAx>
        <c:axId val="137265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265920"/>
        <c:crosses val="autoZero"/>
        <c:auto val="1"/>
        <c:lblAlgn val="ctr"/>
        <c:lblOffset val="100"/>
        <c:noMultiLvlLbl val="0"/>
      </c:catAx>
      <c:valAx>
        <c:axId val="137265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26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Kasangati-Gayaza'!$C$59:$N$59</c:f>
              <c:numCache>
                <c:formatCode>0.0%</c:formatCode>
                <c:ptCount val="12"/>
                <c:pt idx="0">
                  <c:v>0.23367357050837378</c:v>
                </c:pt>
                <c:pt idx="1">
                  <c:v>6.3720146665345354E-2</c:v>
                </c:pt>
                <c:pt idx="2">
                  <c:v>4.4891487464076903E-2</c:v>
                </c:pt>
                <c:pt idx="3">
                  <c:v>0.22356555346348231</c:v>
                </c:pt>
                <c:pt idx="4">
                  <c:v>4.8558121098008127E-3</c:v>
                </c:pt>
                <c:pt idx="5">
                  <c:v>3.2702408086413637E-3</c:v>
                </c:pt>
                <c:pt idx="6">
                  <c:v>4.2513130512337724E-2</c:v>
                </c:pt>
                <c:pt idx="7">
                  <c:v>1.8134971757011197E-2</c:v>
                </c:pt>
                <c:pt idx="8">
                  <c:v>1.8927757407590923E-2</c:v>
                </c:pt>
                <c:pt idx="9">
                  <c:v>4.954910316123278E-4</c:v>
                </c:pt>
                <c:pt idx="10">
                  <c:v>0.34595183827172726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87"/>
          <c:y val="2.29602266373237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Kasangati-Gayaza'!$S$9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Kasangati-Gayaza'!$S$10:$S$21</c:f>
              <c:numCache>
                <c:formatCode>0</c:formatCode>
                <c:ptCount val="12"/>
                <c:pt idx="0">
                  <c:v>190</c:v>
                </c:pt>
                <c:pt idx="1">
                  <c:v>162</c:v>
                </c:pt>
                <c:pt idx="2">
                  <c:v>245</c:v>
                </c:pt>
                <c:pt idx="3">
                  <c:v>198</c:v>
                </c:pt>
                <c:pt idx="4">
                  <c:v>172</c:v>
                </c:pt>
                <c:pt idx="5">
                  <c:v>188</c:v>
                </c:pt>
                <c:pt idx="6">
                  <c:v>156</c:v>
                </c:pt>
                <c:pt idx="7">
                  <c:v>182</c:v>
                </c:pt>
                <c:pt idx="8">
                  <c:v>124</c:v>
                </c:pt>
                <c:pt idx="9">
                  <c:v>183</c:v>
                </c:pt>
                <c:pt idx="10">
                  <c:v>268</c:v>
                </c:pt>
                <c:pt idx="11">
                  <c:v>290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'27.09 Kasangati-Gayaza'!$T$9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Kasangati-Gayaza'!$T$10:$T$21</c:f>
              <c:numCache>
                <c:formatCode>0</c:formatCode>
                <c:ptCount val="12"/>
                <c:pt idx="0">
                  <c:v>28</c:v>
                </c:pt>
                <c:pt idx="1">
                  <c:v>33</c:v>
                </c:pt>
                <c:pt idx="2">
                  <c:v>36</c:v>
                </c:pt>
                <c:pt idx="3">
                  <c:v>41</c:v>
                </c:pt>
                <c:pt idx="4">
                  <c:v>79</c:v>
                </c:pt>
                <c:pt idx="5">
                  <c:v>30</c:v>
                </c:pt>
                <c:pt idx="6">
                  <c:v>43</c:v>
                </c:pt>
                <c:pt idx="7">
                  <c:v>60</c:v>
                </c:pt>
                <c:pt idx="8">
                  <c:v>126</c:v>
                </c:pt>
                <c:pt idx="9">
                  <c:v>76</c:v>
                </c:pt>
                <c:pt idx="10">
                  <c:v>46</c:v>
                </c:pt>
                <c:pt idx="11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'27.09 Kasangati-Gayaza'!$U$9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Kasangati-Gayaza'!$U$10:$U$21</c:f>
              <c:numCache>
                <c:formatCode>0</c:formatCode>
                <c:ptCount val="12"/>
                <c:pt idx="0">
                  <c:v>26</c:v>
                </c:pt>
                <c:pt idx="1">
                  <c:v>25</c:v>
                </c:pt>
                <c:pt idx="2">
                  <c:v>31</c:v>
                </c:pt>
                <c:pt idx="3">
                  <c:v>50</c:v>
                </c:pt>
                <c:pt idx="4">
                  <c:v>30</c:v>
                </c:pt>
                <c:pt idx="5">
                  <c:v>38</c:v>
                </c:pt>
                <c:pt idx="6">
                  <c:v>18</c:v>
                </c:pt>
                <c:pt idx="7">
                  <c:v>45</c:v>
                </c:pt>
                <c:pt idx="8">
                  <c:v>28</c:v>
                </c:pt>
                <c:pt idx="9">
                  <c:v>65</c:v>
                </c:pt>
                <c:pt idx="10">
                  <c:v>40</c:v>
                </c:pt>
                <c:pt idx="11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'27.09 Kasangati-Gayaza'!$V$9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Kasangati-Gayaza'!$V$10:$V$21</c:f>
              <c:numCache>
                <c:formatCode>0</c:formatCode>
                <c:ptCount val="12"/>
                <c:pt idx="0">
                  <c:v>166</c:v>
                </c:pt>
                <c:pt idx="1">
                  <c:v>176</c:v>
                </c:pt>
                <c:pt idx="2">
                  <c:v>212</c:v>
                </c:pt>
                <c:pt idx="3">
                  <c:v>226</c:v>
                </c:pt>
                <c:pt idx="4">
                  <c:v>244</c:v>
                </c:pt>
                <c:pt idx="5">
                  <c:v>174</c:v>
                </c:pt>
                <c:pt idx="6">
                  <c:v>192</c:v>
                </c:pt>
                <c:pt idx="7">
                  <c:v>198</c:v>
                </c:pt>
                <c:pt idx="8">
                  <c:v>156</c:v>
                </c:pt>
                <c:pt idx="9">
                  <c:v>195</c:v>
                </c:pt>
                <c:pt idx="10">
                  <c:v>166</c:v>
                </c:pt>
                <c:pt idx="11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'27.09 Kasangati-Gayaza'!$W$9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Kasangati-Gayaza'!$W$10:$W$21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7">
                  <c:v>8</c:v>
                </c:pt>
                <c:pt idx="8">
                  <c:v>0</c:v>
                </c:pt>
                <c:pt idx="9">
                  <c:v>6</c:v>
                </c:pt>
                <c:pt idx="10">
                  <c:v>1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'27.09 Kasangati-Gayaza'!$X$9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Kasangati-Gayaza'!$X$10:$X$21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7</c:v>
                </c:pt>
                <c:pt idx="8">
                  <c:v>4</c:v>
                </c:pt>
                <c:pt idx="9">
                  <c:v>5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'27.09 Kasangati-Gayaza'!$Y$9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Kasangati-Gayaza'!$Y$10:$Y$21</c:f>
              <c:numCache>
                <c:formatCode>0</c:formatCode>
                <c:ptCount val="12"/>
                <c:pt idx="0">
                  <c:v>48</c:v>
                </c:pt>
                <c:pt idx="1">
                  <c:v>32</c:v>
                </c:pt>
                <c:pt idx="2">
                  <c:v>52</c:v>
                </c:pt>
                <c:pt idx="3">
                  <c:v>42</c:v>
                </c:pt>
                <c:pt idx="4">
                  <c:v>49</c:v>
                </c:pt>
                <c:pt idx="5">
                  <c:v>20</c:v>
                </c:pt>
                <c:pt idx="6">
                  <c:v>21</c:v>
                </c:pt>
                <c:pt idx="7">
                  <c:v>41</c:v>
                </c:pt>
                <c:pt idx="8">
                  <c:v>33</c:v>
                </c:pt>
                <c:pt idx="9">
                  <c:v>34</c:v>
                </c:pt>
                <c:pt idx="10">
                  <c:v>33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'27.09 Kasangati-Gayaza'!$Z$9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Kasangati-Gayaza'!$Z$10:$Z$21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18</c:v>
                </c:pt>
                <c:pt idx="3">
                  <c:v>19</c:v>
                </c:pt>
                <c:pt idx="4">
                  <c:v>29</c:v>
                </c:pt>
                <c:pt idx="5">
                  <c:v>15</c:v>
                </c:pt>
                <c:pt idx="6">
                  <c:v>18</c:v>
                </c:pt>
                <c:pt idx="7">
                  <c:v>15</c:v>
                </c:pt>
                <c:pt idx="8">
                  <c:v>19</c:v>
                </c:pt>
                <c:pt idx="9">
                  <c:v>15</c:v>
                </c:pt>
                <c:pt idx="10">
                  <c:v>16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'27.09 Kasangati-Gayaza'!$AA$9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Kasangati-Gayaza'!$AA$10:$AA$21</c:f>
              <c:numCache>
                <c:formatCode>0</c:formatCode>
                <c:ptCount val="12"/>
                <c:pt idx="0">
                  <c:v>15</c:v>
                </c:pt>
                <c:pt idx="1">
                  <c:v>9</c:v>
                </c:pt>
                <c:pt idx="2">
                  <c:v>14</c:v>
                </c:pt>
                <c:pt idx="3">
                  <c:v>16</c:v>
                </c:pt>
                <c:pt idx="4">
                  <c:v>22</c:v>
                </c:pt>
                <c:pt idx="5">
                  <c:v>17</c:v>
                </c:pt>
                <c:pt idx="6">
                  <c:v>12</c:v>
                </c:pt>
                <c:pt idx="7">
                  <c:v>27</c:v>
                </c:pt>
                <c:pt idx="8">
                  <c:v>21</c:v>
                </c:pt>
                <c:pt idx="9">
                  <c:v>16</c:v>
                </c:pt>
                <c:pt idx="10">
                  <c:v>17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'27.09 Kasangati-Gayaza'!$AB$9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Kasangati-Gayaza'!$AB$10:$AB$21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'27.09 Kasangati-Gayaza'!$AC$9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Kasangati-Gayaza'!$AC$10:$AC$21</c:f>
              <c:numCache>
                <c:formatCode>0</c:formatCode>
                <c:ptCount val="12"/>
                <c:pt idx="0">
                  <c:v>357</c:v>
                </c:pt>
                <c:pt idx="1">
                  <c:v>374</c:v>
                </c:pt>
                <c:pt idx="2">
                  <c:v>368</c:v>
                </c:pt>
                <c:pt idx="3">
                  <c:v>324</c:v>
                </c:pt>
                <c:pt idx="4">
                  <c:v>248</c:v>
                </c:pt>
                <c:pt idx="5">
                  <c:v>208</c:v>
                </c:pt>
                <c:pt idx="6">
                  <c:v>108</c:v>
                </c:pt>
                <c:pt idx="7">
                  <c:v>191</c:v>
                </c:pt>
                <c:pt idx="8">
                  <c:v>210</c:v>
                </c:pt>
                <c:pt idx="9">
                  <c:v>258</c:v>
                </c:pt>
                <c:pt idx="10">
                  <c:v>367</c:v>
                </c:pt>
                <c:pt idx="11">
                  <c:v>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'27.09 Kasangati-Gayaza'!$AD$9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Kasangati-Gayaza'!$AD$10:$AD$21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82624"/>
        <c:axId val="137484160"/>
      </c:lineChart>
      <c:catAx>
        <c:axId val="137482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484160"/>
        <c:crosses val="autoZero"/>
        <c:auto val="1"/>
        <c:lblAlgn val="ctr"/>
        <c:lblOffset val="100"/>
        <c:noMultiLvlLbl val="0"/>
      </c:catAx>
      <c:valAx>
        <c:axId val="13748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48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Kasangati-Gayaza'!$C$60:$N$60</c:f>
              <c:numCache>
                <c:formatCode>0.00%</c:formatCode>
                <c:ptCount val="12"/>
                <c:pt idx="0">
                  <c:v>0.3572727272727273</c:v>
                </c:pt>
                <c:pt idx="1">
                  <c:v>9.7424242424242427E-2</c:v>
                </c:pt>
                <c:pt idx="2">
                  <c:v>6.8636363636363634E-2</c:v>
                </c:pt>
                <c:pt idx="3">
                  <c:v>0.3418181818181818</c:v>
                </c:pt>
                <c:pt idx="4">
                  <c:v>7.4242424242424243E-3</c:v>
                </c:pt>
                <c:pt idx="5">
                  <c:v>5.0000000000000001E-3</c:v>
                </c:pt>
                <c:pt idx="6">
                  <c:v>6.5000000000000002E-2</c:v>
                </c:pt>
                <c:pt idx="7">
                  <c:v>2.7727272727272729E-2</c:v>
                </c:pt>
                <c:pt idx="8">
                  <c:v>2.8939393939393938E-2</c:v>
                </c:pt>
                <c:pt idx="9">
                  <c:v>7.5757575757575758E-4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Gayaza-Kasangati'!$AE$9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Gayaza-Kasangati'!$AE$10:$AE$21</c:f>
              <c:numCache>
                <c:formatCode>0</c:formatCode>
                <c:ptCount val="12"/>
                <c:pt idx="0">
                  <c:v>684</c:v>
                </c:pt>
                <c:pt idx="1">
                  <c:v>572</c:v>
                </c:pt>
                <c:pt idx="2">
                  <c:v>545</c:v>
                </c:pt>
                <c:pt idx="3">
                  <c:v>472</c:v>
                </c:pt>
                <c:pt idx="4">
                  <c:v>447</c:v>
                </c:pt>
                <c:pt idx="5">
                  <c:v>423</c:v>
                </c:pt>
                <c:pt idx="6">
                  <c:v>402</c:v>
                </c:pt>
                <c:pt idx="7">
                  <c:v>432</c:v>
                </c:pt>
                <c:pt idx="8">
                  <c:v>488</c:v>
                </c:pt>
                <c:pt idx="9">
                  <c:v>543</c:v>
                </c:pt>
                <c:pt idx="10">
                  <c:v>604</c:v>
                </c:pt>
                <c:pt idx="11">
                  <c:v>611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'27.09 Gayaza-Kasangati'!$AF$9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Gayaza-Kasangati'!$AF$10:$AF$21</c:f>
              <c:numCache>
                <c:formatCode>0</c:formatCode>
                <c:ptCount val="12"/>
                <c:pt idx="0">
                  <c:v>1399</c:v>
                </c:pt>
                <c:pt idx="1">
                  <c:v>1312</c:v>
                </c:pt>
                <c:pt idx="2">
                  <c:v>1233</c:v>
                </c:pt>
                <c:pt idx="3">
                  <c:v>977</c:v>
                </c:pt>
                <c:pt idx="4">
                  <c:v>776</c:v>
                </c:pt>
                <c:pt idx="5">
                  <c:v>618</c:v>
                </c:pt>
                <c:pt idx="6">
                  <c:v>499</c:v>
                </c:pt>
                <c:pt idx="7">
                  <c:v>593</c:v>
                </c:pt>
                <c:pt idx="8">
                  <c:v>843</c:v>
                </c:pt>
                <c:pt idx="9">
                  <c:v>943</c:v>
                </c:pt>
                <c:pt idx="10">
                  <c:v>1026</c:v>
                </c:pt>
                <c:pt idx="11">
                  <c:v>1095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706112"/>
        <c:axId val="137736960"/>
      </c:lineChart>
      <c:catAx>
        <c:axId val="137706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736960"/>
        <c:crosses val="autoZero"/>
        <c:auto val="1"/>
        <c:lblAlgn val="ctr"/>
        <c:lblOffset val="100"/>
        <c:noMultiLvlLbl val="0"/>
      </c:catAx>
      <c:valAx>
        <c:axId val="137736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70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Gayaza-Kasangati'!$C$59:$N$59</c:f>
              <c:numCache>
                <c:formatCode>0.0%</c:formatCode>
                <c:ptCount val="12"/>
                <c:pt idx="0">
                  <c:v>0.25472865476400919</c:v>
                </c:pt>
                <c:pt idx="1">
                  <c:v>3.7917624182428847E-2</c:v>
                </c:pt>
                <c:pt idx="2">
                  <c:v>3.1730599257557009E-2</c:v>
                </c:pt>
                <c:pt idx="3">
                  <c:v>0.15423369277001944</c:v>
                </c:pt>
                <c:pt idx="4">
                  <c:v>3.6238288845677922E-3</c:v>
                </c:pt>
                <c:pt idx="5">
                  <c:v>1.944493547816864E-3</c:v>
                </c:pt>
                <c:pt idx="6">
                  <c:v>4.5783984444051615E-2</c:v>
                </c:pt>
                <c:pt idx="7">
                  <c:v>1.0606328442637441E-2</c:v>
                </c:pt>
                <c:pt idx="8">
                  <c:v>8.7502209651758884E-3</c:v>
                </c:pt>
                <c:pt idx="9">
                  <c:v>5.3031642213187207E-4</c:v>
                </c:pt>
                <c:pt idx="10">
                  <c:v>0.44997348417889338</c:v>
                </c:pt>
                <c:pt idx="11">
                  <c:v>1.7677214071062401E-4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87"/>
          <c:y val="2.29602266373237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Gayaza-Kasangati'!$S$9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Gayaza-Kasangati'!$S$10:$S$21</c:f>
              <c:numCache>
                <c:formatCode>0</c:formatCode>
                <c:ptCount val="12"/>
                <c:pt idx="0">
                  <c:v>391</c:v>
                </c:pt>
                <c:pt idx="1">
                  <c:v>309</c:v>
                </c:pt>
                <c:pt idx="2">
                  <c:v>277</c:v>
                </c:pt>
                <c:pt idx="3">
                  <c:v>218</c:v>
                </c:pt>
                <c:pt idx="4">
                  <c:v>193</c:v>
                </c:pt>
                <c:pt idx="5">
                  <c:v>179</c:v>
                </c:pt>
                <c:pt idx="6">
                  <c:v>182</c:v>
                </c:pt>
                <c:pt idx="7">
                  <c:v>191</c:v>
                </c:pt>
                <c:pt idx="8">
                  <c:v>203</c:v>
                </c:pt>
                <c:pt idx="9">
                  <c:v>239</c:v>
                </c:pt>
                <c:pt idx="10">
                  <c:v>260</c:v>
                </c:pt>
                <c:pt idx="11">
                  <c:v>240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'27.09 Gayaza-Kasangati'!$T$9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Gayaza-Kasangati'!$T$10:$T$21</c:f>
              <c:numCache>
                <c:formatCode>0</c:formatCode>
                <c:ptCount val="12"/>
                <c:pt idx="0">
                  <c:v>34</c:v>
                </c:pt>
                <c:pt idx="1">
                  <c:v>31</c:v>
                </c:pt>
                <c:pt idx="2">
                  <c:v>43</c:v>
                </c:pt>
                <c:pt idx="3">
                  <c:v>25</c:v>
                </c:pt>
                <c:pt idx="4">
                  <c:v>31</c:v>
                </c:pt>
                <c:pt idx="5">
                  <c:v>28</c:v>
                </c:pt>
                <c:pt idx="6">
                  <c:v>37</c:v>
                </c:pt>
                <c:pt idx="7">
                  <c:v>42</c:v>
                </c:pt>
                <c:pt idx="8">
                  <c:v>30</c:v>
                </c:pt>
                <c:pt idx="9">
                  <c:v>47</c:v>
                </c:pt>
                <c:pt idx="10">
                  <c:v>37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'27.09 Gayaza-Kasangati'!$U$9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Gayaza-Kasangati'!$U$10:$U$21</c:f>
              <c:numCache>
                <c:formatCode>0</c:formatCode>
                <c:ptCount val="12"/>
                <c:pt idx="0">
                  <c:v>38</c:v>
                </c:pt>
                <c:pt idx="1">
                  <c:v>16</c:v>
                </c:pt>
                <c:pt idx="2">
                  <c:v>24</c:v>
                </c:pt>
                <c:pt idx="3">
                  <c:v>21</c:v>
                </c:pt>
                <c:pt idx="4">
                  <c:v>33</c:v>
                </c:pt>
                <c:pt idx="5">
                  <c:v>26</c:v>
                </c:pt>
                <c:pt idx="6">
                  <c:v>21</c:v>
                </c:pt>
                <c:pt idx="7">
                  <c:v>25</c:v>
                </c:pt>
                <c:pt idx="8">
                  <c:v>43</c:v>
                </c:pt>
                <c:pt idx="9">
                  <c:v>31</c:v>
                </c:pt>
                <c:pt idx="10">
                  <c:v>42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'27.09 Gayaza-Kasangati'!$V$9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Gayaza-Kasangati'!$V$10:$V$21</c:f>
              <c:numCache>
                <c:formatCode>0</c:formatCode>
                <c:ptCount val="12"/>
                <c:pt idx="0">
                  <c:v>174</c:v>
                </c:pt>
                <c:pt idx="1">
                  <c:v>167</c:v>
                </c:pt>
                <c:pt idx="2">
                  <c:v>144</c:v>
                </c:pt>
                <c:pt idx="3">
                  <c:v>138</c:v>
                </c:pt>
                <c:pt idx="4">
                  <c:v>134</c:v>
                </c:pt>
                <c:pt idx="5">
                  <c:v>127</c:v>
                </c:pt>
                <c:pt idx="6">
                  <c:v>110</c:v>
                </c:pt>
                <c:pt idx="7">
                  <c:v>113</c:v>
                </c:pt>
                <c:pt idx="8">
                  <c:v>129</c:v>
                </c:pt>
                <c:pt idx="9">
                  <c:v>144</c:v>
                </c:pt>
                <c:pt idx="10">
                  <c:v>185</c:v>
                </c:pt>
                <c:pt idx="11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'27.09 Gayaza-Kasangati'!$W$9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Gayaza-Kasangati'!$W$10:$W$21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'27.09 Gayaza-Kasangati'!$X$9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Gayaza-Kasangati'!$X$10:$X$21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'27.09 Gayaza-Kasangati'!$Y$9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Gayaza-Kasangati'!$Y$10:$Y$21</c:f>
              <c:numCache>
                <c:formatCode>0</c:formatCode>
                <c:ptCount val="12"/>
                <c:pt idx="0">
                  <c:v>36</c:v>
                </c:pt>
                <c:pt idx="1">
                  <c:v>23</c:v>
                </c:pt>
                <c:pt idx="2">
                  <c:v>32</c:v>
                </c:pt>
                <c:pt idx="3">
                  <c:v>38</c:v>
                </c:pt>
                <c:pt idx="4">
                  <c:v>35</c:v>
                </c:pt>
                <c:pt idx="5">
                  <c:v>41</c:v>
                </c:pt>
                <c:pt idx="6">
                  <c:v>28</c:v>
                </c:pt>
                <c:pt idx="7">
                  <c:v>48</c:v>
                </c:pt>
                <c:pt idx="8">
                  <c:v>60</c:v>
                </c:pt>
                <c:pt idx="9">
                  <c:v>57</c:v>
                </c:pt>
                <c:pt idx="10">
                  <c:v>51</c:v>
                </c:pt>
                <c:pt idx="11">
                  <c:v>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'27.09 Gayaza-Kasangati'!$Z$9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Gayaza-Kasangati'!$Z$10:$Z$21</c:f>
              <c:numCache>
                <c:formatCode>0</c:formatCode>
                <c:ptCount val="12"/>
                <c:pt idx="0">
                  <c:v>1</c:v>
                </c:pt>
                <c:pt idx="1">
                  <c:v>13</c:v>
                </c:pt>
                <c:pt idx="2">
                  <c:v>12</c:v>
                </c:pt>
                <c:pt idx="3">
                  <c:v>17</c:v>
                </c:pt>
                <c:pt idx="4">
                  <c:v>11</c:v>
                </c:pt>
                <c:pt idx="5">
                  <c:v>10</c:v>
                </c:pt>
                <c:pt idx="6">
                  <c:v>10</c:v>
                </c:pt>
                <c:pt idx="7">
                  <c:v>5</c:v>
                </c:pt>
                <c:pt idx="8">
                  <c:v>7</c:v>
                </c:pt>
                <c:pt idx="9">
                  <c:v>17</c:v>
                </c:pt>
                <c:pt idx="10">
                  <c:v>2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'27.09 Gayaza-Kasangati'!$AA$9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Gayaza-Kasangati'!$AA$10:$AA$21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13</c:v>
                </c:pt>
                <c:pt idx="7">
                  <c:v>6</c:v>
                </c:pt>
                <c:pt idx="8">
                  <c:v>14</c:v>
                </c:pt>
                <c:pt idx="9">
                  <c:v>5</c:v>
                </c:pt>
                <c:pt idx="10">
                  <c:v>19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'27.09 Gayaza-Kasangati'!$AB$9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Gayaza-Kasangati'!$AB$10:$AB$21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'27.09 Gayaza-Kasangati'!$AC$9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Gayaza-Kasangati'!$AC$10:$AC$21</c:f>
              <c:numCache>
                <c:formatCode>0</c:formatCode>
                <c:ptCount val="12"/>
                <c:pt idx="0">
                  <c:v>715</c:v>
                </c:pt>
                <c:pt idx="1">
                  <c:v>740</c:v>
                </c:pt>
                <c:pt idx="2">
                  <c:v>688</c:v>
                </c:pt>
                <c:pt idx="3">
                  <c:v>505</c:v>
                </c:pt>
                <c:pt idx="4">
                  <c:v>329</c:v>
                </c:pt>
                <c:pt idx="5">
                  <c:v>195</c:v>
                </c:pt>
                <c:pt idx="6">
                  <c:v>97</c:v>
                </c:pt>
                <c:pt idx="7">
                  <c:v>161</c:v>
                </c:pt>
                <c:pt idx="8">
                  <c:v>355</c:v>
                </c:pt>
                <c:pt idx="9">
                  <c:v>400</c:v>
                </c:pt>
                <c:pt idx="10">
                  <c:v>422</c:v>
                </c:pt>
                <c:pt idx="11">
                  <c:v>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'27.09 Gayaza-Kasangati'!$AD$9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Gayaza-Kasangati'!$AD$10:$AD$21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847168"/>
        <c:axId val="137848704"/>
      </c:lineChart>
      <c:catAx>
        <c:axId val="137847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848704"/>
        <c:crosses val="autoZero"/>
        <c:auto val="1"/>
        <c:lblAlgn val="ctr"/>
        <c:lblOffset val="100"/>
        <c:noMultiLvlLbl val="0"/>
      </c:catAx>
      <c:valAx>
        <c:axId val="13784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847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Gayaza-Kasangati'!$C$60:$N$60</c:f>
              <c:numCache>
                <c:formatCode>0.00%</c:formatCode>
                <c:ptCount val="12"/>
                <c:pt idx="0">
                  <c:v>0.46312068134340351</c:v>
                </c:pt>
                <c:pt idx="1">
                  <c:v>6.8937811345010439E-2</c:v>
                </c:pt>
                <c:pt idx="2">
                  <c:v>5.7689217419251163E-2</c:v>
                </c:pt>
                <c:pt idx="3">
                  <c:v>0.28041137714928493</c:v>
                </c:pt>
                <c:pt idx="4">
                  <c:v>6.5884621565161497E-3</c:v>
                </c:pt>
                <c:pt idx="5">
                  <c:v>3.5352723766672025E-3</c:v>
                </c:pt>
                <c:pt idx="6">
                  <c:v>8.3239595050618675E-2</c:v>
                </c:pt>
                <c:pt idx="7">
                  <c:v>1.9283303872730195E-2</c:v>
                </c:pt>
                <c:pt idx="8">
                  <c:v>1.5908725695002412E-2</c:v>
                </c:pt>
                <c:pt idx="9">
                  <c:v>9.6416519363650972E-4</c:v>
                </c:pt>
                <c:pt idx="11">
                  <c:v>3.2138839787883657E-4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Kasangati-Gayaza-24h'!$AE$9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Kasangati-Gayaza-24h'!$R$10:$R$33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Kasangati-Gayaza-24h'!$AE$10:$AE$33</c:f>
              <c:numCache>
                <c:formatCode>0</c:formatCode>
                <c:ptCount val="24"/>
                <c:pt idx="0">
                  <c:v>452</c:v>
                </c:pt>
                <c:pt idx="1">
                  <c:v>621</c:v>
                </c:pt>
                <c:pt idx="2">
                  <c:v>638</c:v>
                </c:pt>
                <c:pt idx="3">
                  <c:v>762</c:v>
                </c:pt>
                <c:pt idx="4">
                  <c:v>709</c:v>
                </c:pt>
                <c:pt idx="5">
                  <c:v>951</c:v>
                </c:pt>
                <c:pt idx="6">
                  <c:v>714</c:v>
                </c:pt>
                <c:pt idx="7">
                  <c:v>791</c:v>
                </c:pt>
                <c:pt idx="8">
                  <c:v>527</c:v>
                </c:pt>
                <c:pt idx="9">
                  <c:v>512</c:v>
                </c:pt>
                <c:pt idx="10">
                  <c:v>633</c:v>
                </c:pt>
                <c:pt idx="11">
                  <c:v>532</c:v>
                </c:pt>
                <c:pt idx="12">
                  <c:v>501</c:v>
                </c:pt>
                <c:pt idx="13">
                  <c:v>514</c:v>
                </c:pt>
                <c:pt idx="14">
                  <c:v>653</c:v>
                </c:pt>
                <c:pt idx="15">
                  <c:v>532</c:v>
                </c:pt>
                <c:pt idx="16">
                  <c:v>344</c:v>
                </c:pt>
                <c:pt idx="17">
                  <c:v>182</c:v>
                </c:pt>
                <c:pt idx="18">
                  <c:v>88</c:v>
                </c:pt>
                <c:pt idx="19">
                  <c:v>41</c:v>
                </c:pt>
                <c:pt idx="20">
                  <c:v>39</c:v>
                </c:pt>
                <c:pt idx="21">
                  <c:v>20</c:v>
                </c:pt>
                <c:pt idx="22">
                  <c:v>83</c:v>
                </c:pt>
                <c:pt idx="23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'28.09 Kasangati-Gayaza-24h'!$AF$9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Kasangati-Gayaza-24h'!$R$10:$R$33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Kasangati-Gayaza-24h'!$AF$10:$AF$33</c:f>
              <c:numCache>
                <c:formatCode>0</c:formatCode>
                <c:ptCount val="24"/>
                <c:pt idx="0">
                  <c:v>756</c:v>
                </c:pt>
                <c:pt idx="1">
                  <c:v>1054</c:v>
                </c:pt>
                <c:pt idx="2">
                  <c:v>1113</c:v>
                </c:pt>
                <c:pt idx="3">
                  <c:v>1233</c:v>
                </c:pt>
                <c:pt idx="4">
                  <c:v>1145</c:v>
                </c:pt>
                <c:pt idx="5">
                  <c:v>1359</c:v>
                </c:pt>
                <c:pt idx="6">
                  <c:v>1085</c:v>
                </c:pt>
                <c:pt idx="7">
                  <c:v>1191</c:v>
                </c:pt>
                <c:pt idx="8">
                  <c:v>890</c:v>
                </c:pt>
                <c:pt idx="9">
                  <c:v>921</c:v>
                </c:pt>
                <c:pt idx="10">
                  <c:v>1008</c:v>
                </c:pt>
                <c:pt idx="11">
                  <c:v>857</c:v>
                </c:pt>
                <c:pt idx="12">
                  <c:v>1042</c:v>
                </c:pt>
                <c:pt idx="13">
                  <c:v>982</c:v>
                </c:pt>
                <c:pt idx="14">
                  <c:v>1001</c:v>
                </c:pt>
                <c:pt idx="15">
                  <c:v>793</c:v>
                </c:pt>
                <c:pt idx="16">
                  <c:v>546</c:v>
                </c:pt>
                <c:pt idx="17">
                  <c:v>325</c:v>
                </c:pt>
                <c:pt idx="18">
                  <c:v>206</c:v>
                </c:pt>
                <c:pt idx="19">
                  <c:v>106</c:v>
                </c:pt>
                <c:pt idx="20">
                  <c:v>74</c:v>
                </c:pt>
                <c:pt idx="21">
                  <c:v>82</c:v>
                </c:pt>
                <c:pt idx="22">
                  <c:v>140</c:v>
                </c:pt>
                <c:pt idx="23">
                  <c:v>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079616"/>
        <c:axId val="138188288"/>
      </c:lineChart>
      <c:catAx>
        <c:axId val="1380796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188288"/>
        <c:crosses val="autoZero"/>
        <c:auto val="1"/>
        <c:lblAlgn val="ctr"/>
        <c:lblOffset val="100"/>
        <c:noMultiLvlLbl val="0"/>
      </c:catAx>
      <c:valAx>
        <c:axId val="138188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07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Kasangati-Gayaza-24h'!$C$9:$N$9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Kasangati-Gayaza-24h'!$C$107:$N$107</c:f>
              <c:numCache>
                <c:formatCode>0.0%</c:formatCode>
                <c:ptCount val="12"/>
                <c:pt idx="0">
                  <c:v>0.24464579901153213</c:v>
                </c:pt>
                <c:pt idx="1">
                  <c:v>5.3651839648544752E-2</c:v>
                </c:pt>
                <c:pt idx="2">
                  <c:v>3.058758923668314E-2</c:v>
                </c:pt>
                <c:pt idx="3">
                  <c:v>0.21394838001098299</c:v>
                </c:pt>
                <c:pt idx="4">
                  <c:v>4.2284459088412956E-3</c:v>
                </c:pt>
                <c:pt idx="5">
                  <c:v>2.1965952773201538E-3</c:v>
                </c:pt>
                <c:pt idx="6">
                  <c:v>3.558484349258649E-2</c:v>
                </c:pt>
                <c:pt idx="7">
                  <c:v>9.1158704008786375E-3</c:v>
                </c:pt>
                <c:pt idx="8">
                  <c:v>7.5782537067545308E-3</c:v>
                </c:pt>
                <c:pt idx="9">
                  <c:v>2.2515101592531575E-3</c:v>
                </c:pt>
                <c:pt idx="10">
                  <c:v>0.39621087314662273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Kasangati-Gayaza-24h'!$C$9:$N$9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Kasangati-Gayaza-24h'!$C$108:$N$108</c:f>
              <c:numCache>
                <c:formatCode>0.00%</c:formatCode>
                <c:ptCount val="12"/>
                <c:pt idx="0">
                  <c:v>0.40518417462482947</c:v>
                </c:pt>
                <c:pt idx="1">
                  <c:v>8.8858572078217374E-2</c:v>
                </c:pt>
                <c:pt idx="2">
                  <c:v>5.0659390632105505E-2</c:v>
                </c:pt>
                <c:pt idx="3">
                  <c:v>0.35434288312869489</c:v>
                </c:pt>
                <c:pt idx="4">
                  <c:v>7.0031832651205094E-3</c:v>
                </c:pt>
                <c:pt idx="5">
                  <c:v>3.6380172805820826E-3</c:v>
                </c:pt>
                <c:pt idx="6">
                  <c:v>5.8935879945429738E-2</c:v>
                </c:pt>
                <c:pt idx="7">
                  <c:v>1.5097771714415644E-2</c:v>
                </c:pt>
                <c:pt idx="8">
                  <c:v>1.2551159618008186E-2</c:v>
                </c:pt>
                <c:pt idx="9">
                  <c:v>3.728967712596635E-3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6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'[1]28.09 Kasangati-Gayaza'!$AE$9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'[1]28.09 Kasangati-Gayaza'!$R$10:$R$33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'[1]28.09 Kasangati-Gayaza'!$AE$10:$AE$33</c:f>
              <c:numCache>
                <c:formatCode>General</c:formatCode>
                <c:ptCount val="24"/>
                <c:pt idx="0">
                  <c:v>452</c:v>
                </c:pt>
                <c:pt idx="1">
                  <c:v>621</c:v>
                </c:pt>
                <c:pt idx="2">
                  <c:v>638</c:v>
                </c:pt>
                <c:pt idx="3">
                  <c:v>762</c:v>
                </c:pt>
                <c:pt idx="4">
                  <c:v>709</c:v>
                </c:pt>
                <c:pt idx="5">
                  <c:v>951</c:v>
                </c:pt>
                <c:pt idx="6">
                  <c:v>714</c:v>
                </c:pt>
                <c:pt idx="7">
                  <c:v>791</c:v>
                </c:pt>
                <c:pt idx="8">
                  <c:v>527</c:v>
                </c:pt>
                <c:pt idx="9">
                  <c:v>512</c:v>
                </c:pt>
                <c:pt idx="10">
                  <c:v>633</c:v>
                </c:pt>
                <c:pt idx="11">
                  <c:v>532</c:v>
                </c:pt>
                <c:pt idx="12">
                  <c:v>501</c:v>
                </c:pt>
                <c:pt idx="13">
                  <c:v>514</c:v>
                </c:pt>
                <c:pt idx="14">
                  <c:v>653</c:v>
                </c:pt>
                <c:pt idx="15">
                  <c:v>532</c:v>
                </c:pt>
                <c:pt idx="16">
                  <c:v>344</c:v>
                </c:pt>
                <c:pt idx="17">
                  <c:v>182</c:v>
                </c:pt>
                <c:pt idx="18">
                  <c:v>88</c:v>
                </c:pt>
                <c:pt idx="19">
                  <c:v>41</c:v>
                </c:pt>
                <c:pt idx="20">
                  <c:v>39</c:v>
                </c:pt>
                <c:pt idx="21">
                  <c:v>20</c:v>
                </c:pt>
                <c:pt idx="22">
                  <c:v>83</c:v>
                </c:pt>
                <c:pt idx="23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D4E-4047-A634-7D87386B5621}"/>
            </c:ext>
          </c:extLst>
        </c:ser>
        <c:ser>
          <c:idx val="1"/>
          <c:order val="1"/>
          <c:tx>
            <c:strRef>
              <c:f>'[1]28.09 Kasangati-Gayaza'!$AF$9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'[1]28.09 Kasangati-Gayaza'!$R$10:$R$33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'[1]28.09 Kasangati-Gayaza'!$AF$10:$AF$33</c:f>
              <c:numCache>
                <c:formatCode>General</c:formatCode>
                <c:ptCount val="24"/>
                <c:pt idx="0">
                  <c:v>756</c:v>
                </c:pt>
                <c:pt idx="1">
                  <c:v>1054</c:v>
                </c:pt>
                <c:pt idx="2">
                  <c:v>1113</c:v>
                </c:pt>
                <c:pt idx="3">
                  <c:v>1233</c:v>
                </c:pt>
                <c:pt idx="4">
                  <c:v>1145</c:v>
                </c:pt>
                <c:pt idx="5">
                  <c:v>1359</c:v>
                </c:pt>
                <c:pt idx="6">
                  <c:v>1085</c:v>
                </c:pt>
                <c:pt idx="7">
                  <c:v>1191</c:v>
                </c:pt>
                <c:pt idx="8">
                  <c:v>890</c:v>
                </c:pt>
                <c:pt idx="9">
                  <c:v>921</c:v>
                </c:pt>
                <c:pt idx="10">
                  <c:v>1008</c:v>
                </c:pt>
                <c:pt idx="11">
                  <c:v>857</c:v>
                </c:pt>
                <c:pt idx="12">
                  <c:v>1042</c:v>
                </c:pt>
                <c:pt idx="13">
                  <c:v>982</c:v>
                </c:pt>
                <c:pt idx="14">
                  <c:v>1001</c:v>
                </c:pt>
                <c:pt idx="15">
                  <c:v>793</c:v>
                </c:pt>
                <c:pt idx="16">
                  <c:v>546</c:v>
                </c:pt>
                <c:pt idx="17">
                  <c:v>325</c:v>
                </c:pt>
                <c:pt idx="18">
                  <c:v>206</c:v>
                </c:pt>
                <c:pt idx="19">
                  <c:v>106</c:v>
                </c:pt>
                <c:pt idx="20">
                  <c:v>74</c:v>
                </c:pt>
                <c:pt idx="21">
                  <c:v>82</c:v>
                </c:pt>
                <c:pt idx="22">
                  <c:v>140</c:v>
                </c:pt>
                <c:pt idx="23">
                  <c:v>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D4E-4047-A634-7D87386B5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374528"/>
        <c:axId val="138401280"/>
      </c:lineChart>
      <c:catAx>
        <c:axId val="1383745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401280"/>
        <c:crosses val="autoZero"/>
        <c:auto val="1"/>
        <c:lblAlgn val="ctr"/>
        <c:lblOffset val="100"/>
        <c:noMultiLvlLbl val="0"/>
      </c:catAx>
      <c:valAx>
        <c:axId val="138401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37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839-47A9-86D1-8C029242513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839-47A9-86D1-8C029242513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839-47A9-86D1-8C029242513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839-47A9-86D1-8C029242513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839-47A9-86D1-8C029242513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839-47A9-86D1-8C029242513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839-47A9-86D1-8C029242513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839-47A9-86D1-8C029242513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839-47A9-86D1-8C029242513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839-47A9-86D1-8C029242513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839-47A9-86D1-8C029242513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839-47A9-86D1-8C029242513D}"/>
              </c:ext>
            </c:extLst>
          </c:dPt>
          <c:dLbls>
            <c:dLbl>
              <c:idx val="10"/>
              <c:layout>
                <c:manualLayout>
                  <c:x val="-2.617530457693974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839-47A9-86D1-8C029242513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'[1]28.09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'[1]28.09 Kasangati-Gayaza'!$C$107:$N$107</c:f>
              <c:numCache>
                <c:formatCode>General</c:formatCode>
                <c:ptCount val="12"/>
                <c:pt idx="0">
                  <c:v>0.24464579901153213</c:v>
                </c:pt>
                <c:pt idx="1">
                  <c:v>5.3651839648544752E-2</c:v>
                </c:pt>
                <c:pt idx="2">
                  <c:v>3.058758923668314E-2</c:v>
                </c:pt>
                <c:pt idx="3">
                  <c:v>0.21394838001098299</c:v>
                </c:pt>
                <c:pt idx="4">
                  <c:v>4.2284459088412956E-3</c:v>
                </c:pt>
                <c:pt idx="5">
                  <c:v>2.1965952773201538E-3</c:v>
                </c:pt>
                <c:pt idx="6">
                  <c:v>3.558484349258649E-2</c:v>
                </c:pt>
                <c:pt idx="7">
                  <c:v>9.1158704008786375E-3</c:v>
                </c:pt>
                <c:pt idx="8">
                  <c:v>7.5782537067545308E-3</c:v>
                </c:pt>
                <c:pt idx="9">
                  <c:v>2.2515101592531575E-3</c:v>
                </c:pt>
                <c:pt idx="10">
                  <c:v>0.39621087314662273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839-47A9-86D1-8C0292425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A0-456E-92D9-4F3FCBD471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A0-456E-92D9-4F3FCBD471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A0-456E-92D9-4F3FCBD471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A0-456E-92D9-4F3FCBD4714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A0-456E-92D9-4F3FCBD4714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A0-456E-92D9-4F3FCBD4714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A0-456E-92D9-4F3FCBD4714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A0-456E-92D9-4F3FCBD4714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A0-456E-92D9-4F3FCBD4714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A0-456E-92D9-4F3FCBD4714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A0-456E-92D9-4F3FCBD4714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A0-456E-92D9-4F3FCBD47148}"/>
              </c:ext>
            </c:extLst>
          </c:dPt>
          <c:dLbls>
            <c:dLbl>
              <c:idx val="10"/>
              <c:layout>
                <c:manualLayout>
                  <c:x val="-2.617530457693974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A0-456E-92D9-4F3FCBD471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'[1]28.09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'[1]28.09 Kasangati-Gayaza'!$C$108:$N$108</c:f>
              <c:numCache>
                <c:formatCode>General</c:formatCode>
                <c:ptCount val="12"/>
                <c:pt idx="0">
                  <c:v>0.40518417462482947</c:v>
                </c:pt>
                <c:pt idx="1">
                  <c:v>8.8858572078217374E-2</c:v>
                </c:pt>
                <c:pt idx="2">
                  <c:v>5.0659390632105505E-2</c:v>
                </c:pt>
                <c:pt idx="3">
                  <c:v>0.35434288312869489</c:v>
                </c:pt>
                <c:pt idx="4">
                  <c:v>7.0031832651205094E-3</c:v>
                </c:pt>
                <c:pt idx="5">
                  <c:v>3.6380172805820826E-3</c:v>
                </c:pt>
                <c:pt idx="6">
                  <c:v>5.8935879945429738E-2</c:v>
                </c:pt>
                <c:pt idx="7">
                  <c:v>1.5097771714415644E-2</c:v>
                </c:pt>
                <c:pt idx="8">
                  <c:v>1.2551159618008186E-2</c:v>
                </c:pt>
                <c:pt idx="9">
                  <c:v>3.728967712596635E-3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A0-456E-92D9-4F3FCBD47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Gayaza-Kasangati-24h'!$AE$9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Gayaza-Kasangati-24h'!$R$10:$R$33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Gayaza-Kasangati-24h'!$AE$10:$AE$33</c:f>
              <c:numCache>
                <c:formatCode>0</c:formatCode>
                <c:ptCount val="24"/>
                <c:pt idx="0">
                  <c:v>579</c:v>
                </c:pt>
                <c:pt idx="1">
                  <c:v>679</c:v>
                </c:pt>
                <c:pt idx="2">
                  <c:v>659</c:v>
                </c:pt>
                <c:pt idx="3">
                  <c:v>629</c:v>
                </c:pt>
                <c:pt idx="4">
                  <c:v>615</c:v>
                </c:pt>
                <c:pt idx="5">
                  <c:v>539</c:v>
                </c:pt>
                <c:pt idx="6">
                  <c:v>531</c:v>
                </c:pt>
                <c:pt idx="7">
                  <c:v>548</c:v>
                </c:pt>
                <c:pt idx="8">
                  <c:v>616</c:v>
                </c:pt>
                <c:pt idx="9">
                  <c:v>580</c:v>
                </c:pt>
                <c:pt idx="10">
                  <c:v>661</c:v>
                </c:pt>
                <c:pt idx="11">
                  <c:v>729</c:v>
                </c:pt>
                <c:pt idx="12">
                  <c:v>614</c:v>
                </c:pt>
                <c:pt idx="13">
                  <c:v>702</c:v>
                </c:pt>
                <c:pt idx="14">
                  <c:v>500</c:v>
                </c:pt>
                <c:pt idx="15">
                  <c:v>273</c:v>
                </c:pt>
                <c:pt idx="16">
                  <c:v>182</c:v>
                </c:pt>
                <c:pt idx="17">
                  <c:v>100</c:v>
                </c:pt>
                <c:pt idx="18">
                  <c:v>38</c:v>
                </c:pt>
                <c:pt idx="19">
                  <c:v>33</c:v>
                </c:pt>
                <c:pt idx="20">
                  <c:v>38</c:v>
                </c:pt>
                <c:pt idx="21">
                  <c:v>33</c:v>
                </c:pt>
                <c:pt idx="22">
                  <c:v>90</c:v>
                </c:pt>
                <c:pt idx="23">
                  <c:v>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'28.09 Gayaza-Kasangati-24h'!$AF$9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Gayaza-Kasangati-24h'!$R$10:$R$33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Gayaza-Kasangati-24h'!$AF$10:$AF$33</c:f>
              <c:numCache>
                <c:formatCode>0</c:formatCode>
                <c:ptCount val="24"/>
                <c:pt idx="0">
                  <c:v>1189</c:v>
                </c:pt>
                <c:pt idx="1">
                  <c:v>1447</c:v>
                </c:pt>
                <c:pt idx="2">
                  <c:v>1201</c:v>
                </c:pt>
                <c:pt idx="3">
                  <c:v>1101</c:v>
                </c:pt>
                <c:pt idx="4">
                  <c:v>1043</c:v>
                </c:pt>
                <c:pt idx="5">
                  <c:v>839</c:v>
                </c:pt>
                <c:pt idx="6">
                  <c:v>885</c:v>
                </c:pt>
                <c:pt idx="7">
                  <c:v>900</c:v>
                </c:pt>
                <c:pt idx="8">
                  <c:v>970</c:v>
                </c:pt>
                <c:pt idx="9">
                  <c:v>978</c:v>
                </c:pt>
                <c:pt idx="10">
                  <c:v>1151</c:v>
                </c:pt>
                <c:pt idx="11">
                  <c:v>1177</c:v>
                </c:pt>
                <c:pt idx="12">
                  <c:v>946</c:v>
                </c:pt>
                <c:pt idx="13">
                  <c:v>949</c:v>
                </c:pt>
                <c:pt idx="14">
                  <c:v>677</c:v>
                </c:pt>
                <c:pt idx="15">
                  <c:v>396</c:v>
                </c:pt>
                <c:pt idx="16">
                  <c:v>269</c:v>
                </c:pt>
                <c:pt idx="17">
                  <c:v>164</c:v>
                </c:pt>
                <c:pt idx="18">
                  <c:v>87</c:v>
                </c:pt>
                <c:pt idx="19">
                  <c:v>60</c:v>
                </c:pt>
                <c:pt idx="20">
                  <c:v>60</c:v>
                </c:pt>
                <c:pt idx="21">
                  <c:v>86</c:v>
                </c:pt>
                <c:pt idx="22">
                  <c:v>151</c:v>
                </c:pt>
                <c:pt idx="23">
                  <c:v>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33056"/>
        <c:axId val="138734976"/>
      </c:lineChart>
      <c:catAx>
        <c:axId val="1387330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734976"/>
        <c:crosses val="autoZero"/>
        <c:auto val="1"/>
        <c:lblAlgn val="ctr"/>
        <c:lblOffset val="100"/>
        <c:noMultiLvlLbl val="0"/>
      </c:catAx>
      <c:valAx>
        <c:axId val="1387349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73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Gayaza-Kasangati-24h'!$C$9:$N$9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Gayaza-Kasangati-24h'!$C$107:$N$107</c:f>
              <c:numCache>
                <c:formatCode>0.0%</c:formatCode>
                <c:ptCount val="12"/>
                <c:pt idx="0">
                  <c:v>0.29567854435178165</c:v>
                </c:pt>
                <c:pt idx="1">
                  <c:v>4.0940106141015918E-2</c:v>
                </c:pt>
                <c:pt idx="2">
                  <c:v>2.892634280048988E-2</c:v>
                </c:pt>
                <c:pt idx="3">
                  <c:v>0.16078614334869074</c:v>
                </c:pt>
                <c:pt idx="4">
                  <c:v>3.6741120895783519E-3</c:v>
                </c:pt>
                <c:pt idx="5">
                  <c:v>1.2830232693765674E-3</c:v>
                </c:pt>
                <c:pt idx="6">
                  <c:v>4.4205983553974454E-2</c:v>
                </c:pt>
                <c:pt idx="7">
                  <c:v>6.8816702630197703E-3</c:v>
                </c:pt>
                <c:pt idx="8">
                  <c:v>9.564355280807138E-3</c:v>
                </c:pt>
                <c:pt idx="9">
                  <c:v>1.1080655508252173E-3</c:v>
                </c:pt>
                <c:pt idx="10">
                  <c:v>0.40695165335044031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Gayaza-Kasangati-24h'!$C$9:$N$9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Gayaza-Kasangati-24h'!$C$108:$N$108</c:f>
              <c:numCache>
                <c:formatCode>0.00%</c:formatCode>
                <c:ptCount val="12"/>
                <c:pt idx="0">
                  <c:v>0.49857409774805783</c:v>
                </c:pt>
                <c:pt idx="1">
                  <c:v>6.903333661126955E-2</c:v>
                </c:pt>
                <c:pt idx="2">
                  <c:v>4.8775690825056547E-2</c:v>
                </c:pt>
                <c:pt idx="3">
                  <c:v>0.27111810404169534</c:v>
                </c:pt>
                <c:pt idx="4">
                  <c:v>6.1952994394729082E-3</c:v>
                </c:pt>
                <c:pt idx="5">
                  <c:v>2.163437899498476E-3</c:v>
                </c:pt>
                <c:pt idx="6">
                  <c:v>7.4540269446356569E-2</c:v>
                </c:pt>
                <c:pt idx="7">
                  <c:v>1.1603894188219097E-2</c:v>
                </c:pt>
                <c:pt idx="8">
                  <c:v>1.6127446159897727E-2</c:v>
                </c:pt>
                <c:pt idx="9">
                  <c:v>1.8684236404759563E-3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6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'[1]28.09 Gayaza-Kasangati'!$AE$9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'[1]28.09 Gayaza-Kasangati'!$R$10:$R$33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'[1]28.09 Gayaza-Kasangati'!$AE$10:$AE$33</c:f>
              <c:numCache>
                <c:formatCode>General</c:formatCode>
                <c:ptCount val="24"/>
                <c:pt idx="0">
                  <c:v>579</c:v>
                </c:pt>
                <c:pt idx="1">
                  <c:v>679</c:v>
                </c:pt>
                <c:pt idx="2">
                  <c:v>659</c:v>
                </c:pt>
                <c:pt idx="3">
                  <c:v>629</c:v>
                </c:pt>
                <c:pt idx="4">
                  <c:v>615</c:v>
                </c:pt>
                <c:pt idx="5">
                  <c:v>539</c:v>
                </c:pt>
                <c:pt idx="6">
                  <c:v>531</c:v>
                </c:pt>
                <c:pt idx="7">
                  <c:v>548</c:v>
                </c:pt>
                <c:pt idx="8">
                  <c:v>616</c:v>
                </c:pt>
                <c:pt idx="9">
                  <c:v>580</c:v>
                </c:pt>
                <c:pt idx="10">
                  <c:v>661</c:v>
                </c:pt>
                <c:pt idx="11">
                  <c:v>729</c:v>
                </c:pt>
                <c:pt idx="12">
                  <c:v>614</c:v>
                </c:pt>
                <c:pt idx="13">
                  <c:v>702</c:v>
                </c:pt>
                <c:pt idx="14">
                  <c:v>500</c:v>
                </c:pt>
                <c:pt idx="15">
                  <c:v>273</c:v>
                </c:pt>
                <c:pt idx="16">
                  <c:v>182</c:v>
                </c:pt>
                <c:pt idx="17">
                  <c:v>100</c:v>
                </c:pt>
                <c:pt idx="18">
                  <c:v>38</c:v>
                </c:pt>
                <c:pt idx="19">
                  <c:v>33</c:v>
                </c:pt>
                <c:pt idx="20">
                  <c:v>38</c:v>
                </c:pt>
                <c:pt idx="21">
                  <c:v>33</c:v>
                </c:pt>
                <c:pt idx="22">
                  <c:v>90</c:v>
                </c:pt>
                <c:pt idx="23">
                  <c:v>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18-4995-91F0-AA47F377552C}"/>
            </c:ext>
          </c:extLst>
        </c:ser>
        <c:ser>
          <c:idx val="1"/>
          <c:order val="1"/>
          <c:tx>
            <c:strRef>
              <c:f>'[1]28.09 Gayaza-Kasangati'!$AF$9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'[1]28.09 Gayaza-Kasangati'!$R$10:$R$33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'[1]28.09 Gayaza-Kasangati'!$AF$10:$AF$33</c:f>
              <c:numCache>
                <c:formatCode>General</c:formatCode>
                <c:ptCount val="24"/>
                <c:pt idx="0">
                  <c:v>1189</c:v>
                </c:pt>
                <c:pt idx="1">
                  <c:v>1447</c:v>
                </c:pt>
                <c:pt idx="2">
                  <c:v>1201</c:v>
                </c:pt>
                <c:pt idx="3">
                  <c:v>1101</c:v>
                </c:pt>
                <c:pt idx="4">
                  <c:v>1043</c:v>
                </c:pt>
                <c:pt idx="5">
                  <c:v>839</c:v>
                </c:pt>
                <c:pt idx="6">
                  <c:v>885</c:v>
                </c:pt>
                <c:pt idx="7">
                  <c:v>900</c:v>
                </c:pt>
                <c:pt idx="8">
                  <c:v>970</c:v>
                </c:pt>
                <c:pt idx="9">
                  <c:v>978</c:v>
                </c:pt>
                <c:pt idx="10">
                  <c:v>1151</c:v>
                </c:pt>
                <c:pt idx="11">
                  <c:v>1177</c:v>
                </c:pt>
                <c:pt idx="12">
                  <c:v>946</c:v>
                </c:pt>
                <c:pt idx="13">
                  <c:v>949</c:v>
                </c:pt>
                <c:pt idx="14">
                  <c:v>677</c:v>
                </c:pt>
                <c:pt idx="15">
                  <c:v>396</c:v>
                </c:pt>
                <c:pt idx="16">
                  <c:v>269</c:v>
                </c:pt>
                <c:pt idx="17">
                  <c:v>164</c:v>
                </c:pt>
                <c:pt idx="18">
                  <c:v>87</c:v>
                </c:pt>
                <c:pt idx="19">
                  <c:v>60</c:v>
                </c:pt>
                <c:pt idx="20">
                  <c:v>60</c:v>
                </c:pt>
                <c:pt idx="21">
                  <c:v>86</c:v>
                </c:pt>
                <c:pt idx="22">
                  <c:v>151</c:v>
                </c:pt>
                <c:pt idx="23">
                  <c:v>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318-4995-91F0-AA47F3775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896896"/>
        <c:axId val="138898816"/>
      </c:lineChart>
      <c:catAx>
        <c:axId val="138896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898816"/>
        <c:crosses val="autoZero"/>
        <c:auto val="1"/>
        <c:lblAlgn val="ctr"/>
        <c:lblOffset val="100"/>
        <c:noMultiLvlLbl val="0"/>
      </c:catAx>
      <c:valAx>
        <c:axId val="1388988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89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5B-43E5-85DD-7AE41BE6F3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5B-43E5-85DD-7AE41BE6F3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5B-43E5-85DD-7AE41BE6F3C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5B-43E5-85DD-7AE41BE6F3C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5B-43E5-85DD-7AE41BE6F3C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5B-43E5-85DD-7AE41BE6F3C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5B-43E5-85DD-7AE41BE6F3C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5B-43E5-85DD-7AE41BE6F3C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5B-43E5-85DD-7AE41BE6F3C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5B-43E5-85DD-7AE41BE6F3C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5B-43E5-85DD-7AE41BE6F3C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5B-43E5-85DD-7AE41BE6F3C0}"/>
              </c:ext>
            </c:extLst>
          </c:dPt>
          <c:dLbls>
            <c:dLbl>
              <c:idx val="10"/>
              <c:layout>
                <c:manualLayout>
                  <c:x val="-2.617530457693974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5B-43E5-85DD-7AE41BE6F3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'[1]28.09 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'[1]28.09 Gayaza-Kasangati'!$C$107:$N$107</c:f>
              <c:numCache>
                <c:formatCode>General</c:formatCode>
                <c:ptCount val="12"/>
                <c:pt idx="0">
                  <c:v>0.29567854435178165</c:v>
                </c:pt>
                <c:pt idx="1">
                  <c:v>4.0940106141015918E-2</c:v>
                </c:pt>
                <c:pt idx="2">
                  <c:v>2.892634280048988E-2</c:v>
                </c:pt>
                <c:pt idx="3">
                  <c:v>0.16078614334869074</c:v>
                </c:pt>
                <c:pt idx="4">
                  <c:v>3.6741120895783519E-3</c:v>
                </c:pt>
                <c:pt idx="5">
                  <c:v>1.2830232693765674E-3</c:v>
                </c:pt>
                <c:pt idx="6">
                  <c:v>4.4205983553974454E-2</c:v>
                </c:pt>
                <c:pt idx="7">
                  <c:v>6.8816702630197703E-3</c:v>
                </c:pt>
                <c:pt idx="8">
                  <c:v>9.564355280807138E-3</c:v>
                </c:pt>
                <c:pt idx="9">
                  <c:v>1.1080655508252173E-3</c:v>
                </c:pt>
                <c:pt idx="10">
                  <c:v>0.40695165335044031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5B-43E5-85DD-7AE41BE6F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6E0-4A7D-8648-444FF02DF00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6E0-4A7D-8648-444FF02DF00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6E0-4A7D-8648-444FF02DF00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6E0-4A7D-8648-444FF02DF00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6E0-4A7D-8648-444FF02DF00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6E0-4A7D-8648-444FF02DF00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6E0-4A7D-8648-444FF02DF00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6E0-4A7D-8648-444FF02DF00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6E0-4A7D-8648-444FF02DF00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6E0-4A7D-8648-444FF02DF00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6E0-4A7D-8648-444FF02DF00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6E0-4A7D-8648-444FF02DF008}"/>
              </c:ext>
            </c:extLst>
          </c:dPt>
          <c:dLbls>
            <c:dLbl>
              <c:idx val="10"/>
              <c:layout>
                <c:manualLayout>
                  <c:x val="-2.617530457693974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6E0-4A7D-8648-444FF02DF0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'[1]28.09 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'[1]28.09 Gayaza-Kasangati'!$C$108:$N$108</c:f>
              <c:numCache>
                <c:formatCode>General</c:formatCode>
                <c:ptCount val="12"/>
                <c:pt idx="0">
                  <c:v>0.49857409774805783</c:v>
                </c:pt>
                <c:pt idx="1">
                  <c:v>6.903333661126955E-2</c:v>
                </c:pt>
                <c:pt idx="2">
                  <c:v>4.8775690825056547E-2</c:v>
                </c:pt>
                <c:pt idx="3">
                  <c:v>0.27111810404169534</c:v>
                </c:pt>
                <c:pt idx="4">
                  <c:v>6.1952994394729082E-3</c:v>
                </c:pt>
                <c:pt idx="5">
                  <c:v>2.163437899498476E-3</c:v>
                </c:pt>
                <c:pt idx="6">
                  <c:v>7.4540269446356569E-2</c:v>
                </c:pt>
                <c:pt idx="7">
                  <c:v>1.1603894188219097E-2</c:v>
                </c:pt>
                <c:pt idx="8">
                  <c:v>1.6127446159897727E-2</c:v>
                </c:pt>
                <c:pt idx="9">
                  <c:v>1.8684236404759563E-3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6E0-4A7D-8648-444FF02DF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Kasangati-Gayaza'!$AE$9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Kasangati-Gayaza'!$AE$10:$AE$21</c:f>
              <c:numCache>
                <c:formatCode>0</c:formatCode>
                <c:ptCount val="12"/>
                <c:pt idx="0">
                  <c:v>328</c:v>
                </c:pt>
                <c:pt idx="1">
                  <c:v>414</c:v>
                </c:pt>
                <c:pt idx="2">
                  <c:v>550</c:v>
                </c:pt>
                <c:pt idx="3">
                  <c:v>580</c:v>
                </c:pt>
                <c:pt idx="4">
                  <c:v>669</c:v>
                </c:pt>
                <c:pt idx="5">
                  <c:v>679</c:v>
                </c:pt>
                <c:pt idx="6">
                  <c:v>847</c:v>
                </c:pt>
                <c:pt idx="7">
                  <c:v>730</c:v>
                </c:pt>
                <c:pt idx="8">
                  <c:v>649</c:v>
                </c:pt>
                <c:pt idx="9">
                  <c:v>700</c:v>
                </c:pt>
                <c:pt idx="10">
                  <c:v>774</c:v>
                </c:pt>
                <c:pt idx="11">
                  <c:v>612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'29.09 Kasangati-Gayaza'!$AF$9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Kasangati-Gayaza'!$AF$10:$AF$21</c:f>
              <c:numCache>
                <c:formatCode>0</c:formatCode>
                <c:ptCount val="12"/>
                <c:pt idx="0">
                  <c:v>653</c:v>
                </c:pt>
                <c:pt idx="1">
                  <c:v>840</c:v>
                </c:pt>
                <c:pt idx="2">
                  <c:v>990</c:v>
                </c:pt>
                <c:pt idx="3">
                  <c:v>1075</c:v>
                </c:pt>
                <c:pt idx="4">
                  <c:v>1114</c:v>
                </c:pt>
                <c:pt idx="5">
                  <c:v>1007</c:v>
                </c:pt>
                <c:pt idx="6">
                  <c:v>1164</c:v>
                </c:pt>
                <c:pt idx="7">
                  <c:v>1094</c:v>
                </c:pt>
                <c:pt idx="8">
                  <c:v>1041</c:v>
                </c:pt>
                <c:pt idx="9">
                  <c:v>1133</c:v>
                </c:pt>
                <c:pt idx="10">
                  <c:v>1167</c:v>
                </c:pt>
                <c:pt idx="11">
                  <c:v>1035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136000"/>
        <c:axId val="139191424"/>
      </c:lineChart>
      <c:catAx>
        <c:axId val="1391360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9191424"/>
        <c:crosses val="autoZero"/>
        <c:auto val="1"/>
        <c:lblAlgn val="ctr"/>
        <c:lblOffset val="100"/>
        <c:noMultiLvlLbl val="0"/>
      </c:catAx>
      <c:valAx>
        <c:axId val="1391914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913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Kasangati-Gayaza'!$C$59:$N$59</c:f>
              <c:numCache>
                <c:formatCode>0.0%</c:formatCode>
                <c:ptCount val="12"/>
                <c:pt idx="0">
                  <c:v>0.24981726630390644</c:v>
                </c:pt>
                <c:pt idx="1">
                  <c:v>4.3693657110371154E-2</c:v>
                </c:pt>
                <c:pt idx="2">
                  <c:v>3.1267765776009093E-2</c:v>
                </c:pt>
                <c:pt idx="3">
                  <c:v>0.24250791846016406</c:v>
                </c:pt>
                <c:pt idx="4">
                  <c:v>1.7055144968732233E-3</c:v>
                </c:pt>
                <c:pt idx="5">
                  <c:v>7.3093478437423866E-4</c:v>
                </c:pt>
                <c:pt idx="6">
                  <c:v>2.834402663851214E-2</c:v>
                </c:pt>
                <c:pt idx="7">
                  <c:v>5.9286932510354906E-3</c:v>
                </c:pt>
                <c:pt idx="8">
                  <c:v>7.3093478437423857E-3</c:v>
                </c:pt>
                <c:pt idx="9">
                  <c:v>4.0607488020791033E-4</c:v>
                </c:pt>
                <c:pt idx="10">
                  <c:v>0.38828880045480385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87"/>
          <c:y val="2.29602266373237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Kasangati-Gayaza'!$S$9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Kasangati-Gayaza'!$S$10:$S$21</c:f>
              <c:numCache>
                <c:formatCode>0</c:formatCode>
                <c:ptCount val="12"/>
                <c:pt idx="0">
                  <c:v>115</c:v>
                </c:pt>
                <c:pt idx="1">
                  <c:v>169</c:v>
                </c:pt>
                <c:pt idx="2">
                  <c:v>226</c:v>
                </c:pt>
                <c:pt idx="3">
                  <c:v>235</c:v>
                </c:pt>
                <c:pt idx="4">
                  <c:v>225</c:v>
                </c:pt>
                <c:pt idx="5">
                  <c:v>229</c:v>
                </c:pt>
                <c:pt idx="6">
                  <c:v>395</c:v>
                </c:pt>
                <c:pt idx="7">
                  <c:v>278</c:v>
                </c:pt>
                <c:pt idx="8">
                  <c:v>339</c:v>
                </c:pt>
                <c:pt idx="9">
                  <c:v>295</c:v>
                </c:pt>
                <c:pt idx="10">
                  <c:v>310</c:v>
                </c:pt>
                <c:pt idx="11">
                  <c:v>260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'29.09 Kasangati-Gayaza'!$T$9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Kasangati-Gayaza'!$T$10:$T$21</c:f>
              <c:numCache>
                <c:formatCode>0</c:formatCode>
                <c:ptCount val="12"/>
                <c:pt idx="0">
                  <c:v>21</c:v>
                </c:pt>
                <c:pt idx="1">
                  <c:v>27</c:v>
                </c:pt>
                <c:pt idx="2">
                  <c:v>35</c:v>
                </c:pt>
                <c:pt idx="3">
                  <c:v>55</c:v>
                </c:pt>
                <c:pt idx="4">
                  <c:v>62</c:v>
                </c:pt>
                <c:pt idx="5">
                  <c:v>49</c:v>
                </c:pt>
                <c:pt idx="6">
                  <c:v>47</c:v>
                </c:pt>
                <c:pt idx="7">
                  <c:v>74</c:v>
                </c:pt>
                <c:pt idx="8">
                  <c:v>45</c:v>
                </c:pt>
                <c:pt idx="9">
                  <c:v>45</c:v>
                </c:pt>
                <c:pt idx="10">
                  <c:v>34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'29.09 Kasangati-Gayaza'!$U$9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Kasangati-Gayaza'!$U$10:$U$21</c:f>
              <c:numCache>
                <c:formatCode>0</c:formatCode>
                <c:ptCount val="12"/>
                <c:pt idx="0">
                  <c:v>12</c:v>
                </c:pt>
                <c:pt idx="1">
                  <c:v>20</c:v>
                </c:pt>
                <c:pt idx="2">
                  <c:v>23</c:v>
                </c:pt>
                <c:pt idx="3">
                  <c:v>27</c:v>
                </c:pt>
                <c:pt idx="4">
                  <c:v>47</c:v>
                </c:pt>
                <c:pt idx="5">
                  <c:v>36</c:v>
                </c:pt>
                <c:pt idx="6">
                  <c:v>39</c:v>
                </c:pt>
                <c:pt idx="7">
                  <c:v>25</c:v>
                </c:pt>
                <c:pt idx="8">
                  <c:v>39</c:v>
                </c:pt>
                <c:pt idx="9">
                  <c:v>34</c:v>
                </c:pt>
                <c:pt idx="10">
                  <c:v>15</c:v>
                </c:pt>
                <c:pt idx="11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'29.09 Kasangati-Gayaza'!$V$9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Kasangati-Gayaza'!$V$10:$V$21</c:f>
              <c:numCache>
                <c:formatCode>0</c:formatCode>
                <c:ptCount val="12"/>
                <c:pt idx="0">
                  <c:v>143</c:v>
                </c:pt>
                <c:pt idx="1">
                  <c:v>146</c:v>
                </c:pt>
                <c:pt idx="2">
                  <c:v>215</c:v>
                </c:pt>
                <c:pt idx="3">
                  <c:v>213</c:v>
                </c:pt>
                <c:pt idx="4">
                  <c:v>276</c:v>
                </c:pt>
                <c:pt idx="5">
                  <c:v>305</c:v>
                </c:pt>
                <c:pt idx="6">
                  <c:v>313</c:v>
                </c:pt>
                <c:pt idx="7">
                  <c:v>305</c:v>
                </c:pt>
                <c:pt idx="8">
                  <c:v>191</c:v>
                </c:pt>
                <c:pt idx="9">
                  <c:v>289</c:v>
                </c:pt>
                <c:pt idx="10">
                  <c:v>381</c:v>
                </c:pt>
                <c:pt idx="11">
                  <c:v>209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'29.09 Kasangati-Gayaza'!$W$9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Kasangati-Gayaza'!$W$10:$W$21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8</c:v>
                </c:pt>
                <c:pt idx="6">
                  <c:v>5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'29.09 Kasangati-Gayaza'!$X$9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Kasangati-Gayaza'!$X$10:$X$21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'29.09 Kasangati-Gayaza'!$Y$9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Kasangati-Gayaza'!$Y$10:$Y$21</c:f>
              <c:numCache>
                <c:formatCode>0</c:formatCode>
                <c:ptCount val="12"/>
                <c:pt idx="0">
                  <c:v>19</c:v>
                </c:pt>
                <c:pt idx="1">
                  <c:v>29</c:v>
                </c:pt>
                <c:pt idx="2">
                  <c:v>31</c:v>
                </c:pt>
                <c:pt idx="3">
                  <c:v>36</c:v>
                </c:pt>
                <c:pt idx="4">
                  <c:v>38</c:v>
                </c:pt>
                <c:pt idx="5">
                  <c:v>35</c:v>
                </c:pt>
                <c:pt idx="6">
                  <c:v>37</c:v>
                </c:pt>
                <c:pt idx="7">
                  <c:v>24</c:v>
                </c:pt>
                <c:pt idx="8">
                  <c:v>30</c:v>
                </c:pt>
                <c:pt idx="9">
                  <c:v>28</c:v>
                </c:pt>
                <c:pt idx="10">
                  <c:v>23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'29.09 Kasangati-Gayaza'!$Z$9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Kasangati-Gayaza'!$Z$10:$Z$21</c:f>
              <c:numCache>
                <c:formatCode>0</c:formatCode>
                <c:ptCount val="12"/>
                <c:pt idx="0">
                  <c:v>9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'29.09 Kasangati-Gayaza'!$AA$9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Kasangati-Gayaza'!$AA$10:$AA$21</c:f>
              <c:numCache>
                <c:formatCode>0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7</c:v>
                </c:pt>
                <c:pt idx="4">
                  <c:v>9</c:v>
                </c:pt>
                <c:pt idx="5">
                  <c:v>6</c:v>
                </c:pt>
                <c:pt idx="6">
                  <c:v>3</c:v>
                </c:pt>
                <c:pt idx="7">
                  <c:v>14</c:v>
                </c:pt>
                <c:pt idx="8">
                  <c:v>2</c:v>
                </c:pt>
                <c:pt idx="9">
                  <c:v>3</c:v>
                </c:pt>
                <c:pt idx="10">
                  <c:v>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'29.09 Kasangati-Gayaza'!$AB$9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Kasangati-Gayaza'!$AB$10:$AB$21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'29.09 Kasangati-Gayaza'!$AC$9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Kasangati-Gayaza'!$AC$10:$AC$21</c:f>
              <c:numCache>
                <c:formatCode>0</c:formatCode>
                <c:ptCount val="12"/>
                <c:pt idx="0">
                  <c:v>325</c:v>
                </c:pt>
                <c:pt idx="1">
                  <c:v>426</c:v>
                </c:pt>
                <c:pt idx="2">
                  <c:v>440</c:v>
                </c:pt>
                <c:pt idx="3">
                  <c:v>495</c:v>
                </c:pt>
                <c:pt idx="4">
                  <c:v>445</c:v>
                </c:pt>
                <c:pt idx="5">
                  <c:v>328</c:v>
                </c:pt>
                <c:pt idx="6">
                  <c:v>317</c:v>
                </c:pt>
                <c:pt idx="7">
                  <c:v>364</c:v>
                </c:pt>
                <c:pt idx="8">
                  <c:v>392</c:v>
                </c:pt>
                <c:pt idx="9">
                  <c:v>433</c:v>
                </c:pt>
                <c:pt idx="10">
                  <c:v>393</c:v>
                </c:pt>
                <c:pt idx="11">
                  <c:v>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'29.09 Kasangati-Gayaza'!$AD$9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Kasangati-Gayaza'!$AD$10:$AD$21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432704"/>
        <c:axId val="139434240"/>
      </c:lineChart>
      <c:catAx>
        <c:axId val="13943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9434240"/>
        <c:crosses val="autoZero"/>
        <c:auto val="1"/>
        <c:lblAlgn val="ctr"/>
        <c:lblOffset val="100"/>
        <c:noMultiLvlLbl val="0"/>
      </c:catAx>
      <c:valAx>
        <c:axId val="13943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943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Kasangati-Gayaza'!$C$60:$N$60</c:f>
              <c:numCache>
                <c:formatCode>0.00%</c:formatCode>
                <c:ptCount val="12"/>
                <c:pt idx="0">
                  <c:v>0.40839086563993626</c:v>
                </c:pt>
                <c:pt idx="1">
                  <c:v>7.1428571428571425E-2</c:v>
                </c:pt>
                <c:pt idx="2">
                  <c:v>5.111524163568773E-2</c:v>
                </c:pt>
                <c:pt idx="3">
                  <c:v>0.39644184811471056</c:v>
                </c:pt>
                <c:pt idx="4">
                  <c:v>2.7881040892193307E-3</c:v>
                </c:pt>
                <c:pt idx="5">
                  <c:v>1.1949017525225705E-3</c:v>
                </c:pt>
                <c:pt idx="6">
                  <c:v>4.6335634625597449E-2</c:v>
                </c:pt>
                <c:pt idx="7">
                  <c:v>9.6919808815719589E-3</c:v>
                </c:pt>
                <c:pt idx="8">
                  <c:v>1.1949017525225704E-2</c:v>
                </c:pt>
                <c:pt idx="9">
                  <c:v>6.6383430695698357E-4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37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'[1]29.09 Kasangati-Gayaza'!$AE$9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'[1]29.09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'[1]29.09 Kasangati-Gayaza'!$AE$10:$AE$21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467-4A57-AF3C-B14EDB052F0F}"/>
            </c:ext>
          </c:extLst>
        </c:ser>
        <c:ser>
          <c:idx val="1"/>
          <c:order val="1"/>
          <c:tx>
            <c:strRef>
              <c:f>'[1]29.09 Kasangati-Gayaza'!$AF$9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'[1]29.09 Kasangati-Gayaza'!$R$10:$R$21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'[1]29.09 Kasangati-Gayaza'!$AF$10:$AF$21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467-4A57-AF3C-B14EDB052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527680"/>
        <c:axId val="139529600"/>
      </c:lineChart>
      <c:catAx>
        <c:axId val="1395276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9529600"/>
        <c:crosses val="autoZero"/>
        <c:auto val="1"/>
        <c:lblAlgn val="ctr"/>
        <c:lblOffset val="100"/>
        <c:noMultiLvlLbl val="0"/>
      </c:catAx>
      <c:valAx>
        <c:axId val="139529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952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FB9-41AF-BCDF-E5F97FEF82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FB9-41AF-BCDF-E5F97FEF823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FB9-41AF-BCDF-E5F97FEF823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FB9-41AF-BCDF-E5F97FEF823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FB9-41AF-BCDF-E5F97FEF823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FB9-41AF-BCDF-E5F97FEF823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FB9-41AF-BCDF-E5F97FEF823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FB9-41AF-BCDF-E5F97FEF823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FB9-41AF-BCDF-E5F97FEF82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FB9-41AF-BCDF-E5F97FEF823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FB9-41AF-BCDF-E5F97FEF823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FB9-41AF-BCDF-E5F97FEF823F}"/>
              </c:ext>
            </c:extLst>
          </c:dPt>
          <c:dLbls>
            <c:dLbl>
              <c:idx val="10"/>
              <c:layout>
                <c:manualLayout>
                  <c:x val="-2.6175304576939732E-2"/>
                  <c:y val="-3.2434080003295188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FB9-41AF-BCDF-E5F97FEF82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'[1]29.09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'[1]29.09 Kasangati-Gayaza'!$C$59:$N$59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FB9-41AF-BCDF-E5F97FEF82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A46-4B73-97EE-E3744F85B0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A46-4B73-97EE-E3744F85B0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A46-4B73-97EE-E3744F85B0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A46-4B73-97EE-E3744F85B0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A46-4B73-97EE-E3744F85B0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A46-4B73-97EE-E3744F85B0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A46-4B73-97EE-E3744F85B0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A46-4B73-97EE-E3744F85B0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A46-4B73-97EE-E3744F85B0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A46-4B73-97EE-E3744F85B0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A46-4B73-97EE-E3744F85B0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A46-4B73-97EE-E3744F85B00B}"/>
              </c:ext>
            </c:extLst>
          </c:dPt>
          <c:dLbls>
            <c:dLbl>
              <c:idx val="10"/>
              <c:layout>
                <c:manualLayout>
                  <c:x val="-2.6175304576939732E-2"/>
                  <c:y val="-3.2434080003295188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A46-4B73-97EE-E3744F85B0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'[1]29.09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'[1]29.09 Kasangati-Gayaza'!$C$60:$N$60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A46-4B73-97EE-E3744F85B0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Gayaza-Kasangati'!$AE$9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Gayaza-Kasangati'!$AE$10:$AE$21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'29.09 Gayaza-Kasangati'!$AF$9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Gayaza-Kasangati'!$AF$10:$AF$21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07072"/>
        <c:axId val="139908992"/>
      </c:lineChart>
      <c:catAx>
        <c:axId val="1399070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9908992"/>
        <c:crosses val="autoZero"/>
        <c:auto val="1"/>
        <c:lblAlgn val="ctr"/>
        <c:lblOffset val="100"/>
        <c:noMultiLvlLbl val="0"/>
      </c:catAx>
      <c:valAx>
        <c:axId val="139908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990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Gayaza-Kasangati'!$C$59:$N$59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87"/>
          <c:y val="2.29602266373237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Gayaza-Kasangati'!$S$9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Gayaza-Kasangati'!$S$10:$S$21</c:f>
              <c:numCache>
                <c:formatCode>0</c:formatCode>
                <c:ptCount val="12"/>
                <c:pt idx="0">
                  <c:v>111</c:v>
                </c:pt>
                <c:pt idx="1">
                  <c:v>150</c:v>
                </c:pt>
                <c:pt idx="2">
                  <c:v>189</c:v>
                </c:pt>
                <c:pt idx="3">
                  <c:v>228</c:v>
                </c:pt>
                <c:pt idx="4">
                  <c:v>201</c:v>
                </c:pt>
                <c:pt idx="5">
                  <c:v>195</c:v>
                </c:pt>
                <c:pt idx="6">
                  <c:v>106</c:v>
                </c:pt>
                <c:pt idx="7">
                  <c:v>149</c:v>
                </c:pt>
                <c:pt idx="8">
                  <c:v>156</c:v>
                </c:pt>
                <c:pt idx="9">
                  <c:v>225</c:v>
                </c:pt>
                <c:pt idx="10">
                  <c:v>190</c:v>
                </c:pt>
                <c:pt idx="11">
                  <c:v>146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'29.09 Gayaza-Kasangati'!$T$9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Gayaza-Kasangati'!$T$10:$T$21</c:f>
              <c:numCache>
                <c:formatCode>0</c:formatCode>
                <c:ptCount val="12"/>
                <c:pt idx="0">
                  <c:v>26</c:v>
                </c:pt>
                <c:pt idx="1">
                  <c:v>35</c:v>
                </c:pt>
                <c:pt idx="2">
                  <c:v>66</c:v>
                </c:pt>
                <c:pt idx="3">
                  <c:v>65</c:v>
                </c:pt>
                <c:pt idx="4">
                  <c:v>55</c:v>
                </c:pt>
                <c:pt idx="5">
                  <c:v>80</c:v>
                </c:pt>
                <c:pt idx="6">
                  <c:v>78</c:v>
                </c:pt>
                <c:pt idx="7">
                  <c:v>89</c:v>
                </c:pt>
                <c:pt idx="8">
                  <c:v>84</c:v>
                </c:pt>
                <c:pt idx="9">
                  <c:v>103</c:v>
                </c:pt>
                <c:pt idx="10">
                  <c:v>76</c:v>
                </c:pt>
                <c:pt idx="11">
                  <c:v>106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'29.09 Gayaza-Kasangati'!$U$9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Gayaza-Kasangati'!$U$10:$U$21</c:f>
              <c:numCache>
                <c:formatCode>0</c:formatCode>
                <c:ptCount val="12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18</c:v>
                </c:pt>
                <c:pt idx="4">
                  <c:v>20</c:v>
                </c:pt>
                <c:pt idx="5">
                  <c:v>26</c:v>
                </c:pt>
                <c:pt idx="6">
                  <c:v>19</c:v>
                </c:pt>
                <c:pt idx="7">
                  <c:v>21</c:v>
                </c:pt>
                <c:pt idx="8">
                  <c:v>19</c:v>
                </c:pt>
                <c:pt idx="9">
                  <c:v>22</c:v>
                </c:pt>
                <c:pt idx="10">
                  <c:v>12</c:v>
                </c:pt>
                <c:pt idx="1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'29.09 Gayaza-Kasangati'!$V$9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Gayaza-Kasangati'!$V$10:$V$21</c:f>
              <c:numCache>
                <c:formatCode>0</c:formatCode>
                <c:ptCount val="12"/>
                <c:pt idx="0">
                  <c:v>136</c:v>
                </c:pt>
                <c:pt idx="1">
                  <c:v>156</c:v>
                </c:pt>
                <c:pt idx="2">
                  <c:v>146</c:v>
                </c:pt>
                <c:pt idx="3">
                  <c:v>157</c:v>
                </c:pt>
                <c:pt idx="4">
                  <c:v>130</c:v>
                </c:pt>
                <c:pt idx="5">
                  <c:v>139</c:v>
                </c:pt>
                <c:pt idx="6">
                  <c:v>93</c:v>
                </c:pt>
                <c:pt idx="7">
                  <c:v>110</c:v>
                </c:pt>
                <c:pt idx="8">
                  <c:v>167</c:v>
                </c:pt>
                <c:pt idx="9">
                  <c:v>164</c:v>
                </c:pt>
                <c:pt idx="10">
                  <c:v>184</c:v>
                </c:pt>
                <c:pt idx="1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'29.09 Gayaza-Kasangati'!$W$9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Gayaza-Kasangati'!$W$10:$W$21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'29.09 Gayaza-Kasangati'!$X$9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Gayaza-Kasangati'!$X$10:$X$21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'29.09 Gayaza-Kasangati'!$Y$9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Gayaza-Kasangati'!$Y$10:$Y$21</c:f>
              <c:numCache>
                <c:formatCode>0</c:formatCode>
                <c:ptCount val="12"/>
                <c:pt idx="0">
                  <c:v>29</c:v>
                </c:pt>
                <c:pt idx="1">
                  <c:v>27</c:v>
                </c:pt>
                <c:pt idx="2">
                  <c:v>31</c:v>
                </c:pt>
                <c:pt idx="3">
                  <c:v>27</c:v>
                </c:pt>
                <c:pt idx="4">
                  <c:v>49</c:v>
                </c:pt>
                <c:pt idx="5">
                  <c:v>31</c:v>
                </c:pt>
                <c:pt idx="6">
                  <c:v>28</c:v>
                </c:pt>
                <c:pt idx="7">
                  <c:v>39</c:v>
                </c:pt>
                <c:pt idx="8">
                  <c:v>36</c:v>
                </c:pt>
                <c:pt idx="9">
                  <c:v>28</c:v>
                </c:pt>
                <c:pt idx="10">
                  <c:v>40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'29.09 Gayaza-Kasangati'!$Z$9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Gayaza-Kasangati'!$Z$10:$Z$21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'29.09 Gayaza-Kasangati'!$AA$9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Gayaza-Kasangati'!$AA$10:$AA$21</c:f>
              <c:numCache>
                <c:formatCode>0</c:formatCode>
                <c:ptCount val="12"/>
                <c:pt idx="0">
                  <c:v>3</c:v>
                </c:pt>
                <c:pt idx="1">
                  <c:v>9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10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4</c:v>
                </c:pt>
                <c:pt idx="10">
                  <c:v>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'29.09 Gayaza-Kasangati'!$AB$9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Gayaza-Kasangati'!$AB$10:$AB$21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'29.09 Gayaza-Kasangati'!$AC$9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Gayaza-Kasangati'!$AC$10:$AC$21</c:f>
              <c:numCache>
                <c:formatCode>0</c:formatCode>
                <c:ptCount val="12"/>
                <c:pt idx="0">
                  <c:v>428</c:v>
                </c:pt>
                <c:pt idx="1">
                  <c:v>450</c:v>
                </c:pt>
                <c:pt idx="2">
                  <c:v>462</c:v>
                </c:pt>
                <c:pt idx="3">
                  <c:v>373</c:v>
                </c:pt>
                <c:pt idx="4">
                  <c:v>401</c:v>
                </c:pt>
                <c:pt idx="5">
                  <c:v>309</c:v>
                </c:pt>
                <c:pt idx="6">
                  <c:v>144</c:v>
                </c:pt>
                <c:pt idx="7">
                  <c:v>315</c:v>
                </c:pt>
                <c:pt idx="8">
                  <c:v>375</c:v>
                </c:pt>
                <c:pt idx="9">
                  <c:v>419</c:v>
                </c:pt>
                <c:pt idx="10">
                  <c:v>428</c:v>
                </c:pt>
                <c:pt idx="11">
                  <c:v>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'29.09 Gayaza-Kasangati'!$AD$9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Gayaza-Kasangati'!$AD$10:$AD$21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146176"/>
        <c:axId val="140147712"/>
      </c:lineChart>
      <c:catAx>
        <c:axId val="140146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147712"/>
        <c:crosses val="autoZero"/>
        <c:auto val="1"/>
        <c:lblAlgn val="ctr"/>
        <c:lblOffset val="100"/>
        <c:noMultiLvlLbl val="0"/>
      </c:catAx>
      <c:valAx>
        <c:axId val="14014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146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Gayaza-Kasangati'!$C$60:$N$60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37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'[1]29.09 Gayaza-Kasangati'!$AE$9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'[1]29.09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'[1]29.09 Gayaza-Kasangati'!$AE$10:$AE$21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3B7-4738-ABD6-4BB95340DC13}"/>
            </c:ext>
          </c:extLst>
        </c:ser>
        <c:ser>
          <c:idx val="1"/>
          <c:order val="1"/>
          <c:tx>
            <c:strRef>
              <c:f>'[1]29.09 Gayaza-Kasangati'!$AF$9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'[1]29.09 Gayaza-Kasangati'!$R$10:$R$21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'[1]29.09 Gayaza-Kasangati'!$AF$10:$AF$21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3B7-4738-ABD6-4BB95340D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110080"/>
        <c:axId val="140353920"/>
      </c:lineChart>
      <c:catAx>
        <c:axId val="1401100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353920"/>
        <c:crosses val="autoZero"/>
        <c:auto val="1"/>
        <c:lblAlgn val="ctr"/>
        <c:lblOffset val="100"/>
        <c:noMultiLvlLbl val="0"/>
      </c:catAx>
      <c:valAx>
        <c:axId val="140353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11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E8-4530-89E6-944ACEED21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E8-4530-89E6-944ACEED21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E8-4530-89E6-944ACEED21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E8-4530-89E6-944ACEED21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E8-4530-89E6-944ACEED21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E8-4530-89E6-944ACEED21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E8-4530-89E6-944ACEED21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E8-4530-89E6-944ACEED21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E8-4530-89E6-944ACEED21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E8-4530-89E6-944ACEED21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E8-4530-89E6-944ACEED21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E8-4530-89E6-944ACEED2110}"/>
              </c:ext>
            </c:extLst>
          </c:dPt>
          <c:dLbls>
            <c:dLbl>
              <c:idx val="10"/>
              <c:layout>
                <c:manualLayout>
                  <c:x val="-2.6175304576939732E-2"/>
                  <c:y val="-3.2434080003295188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E8-4530-89E6-944ACEED21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'[1]29.09 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'[1]29.09 Gayaza-Kasangati'!$C$59:$N$59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E8-4530-89E6-944ACEED21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65B-4646-A2AD-7E1CFD8CB9E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65B-4646-A2AD-7E1CFD8CB9E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65B-4646-A2AD-7E1CFD8CB9E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65B-4646-A2AD-7E1CFD8CB9E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65B-4646-A2AD-7E1CFD8CB9E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65B-4646-A2AD-7E1CFD8CB9E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65B-4646-A2AD-7E1CFD8CB9E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65B-4646-A2AD-7E1CFD8CB9E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65B-4646-A2AD-7E1CFD8CB9E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65B-4646-A2AD-7E1CFD8CB9E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65B-4646-A2AD-7E1CFD8CB9E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65B-4646-A2AD-7E1CFD8CB9E3}"/>
              </c:ext>
            </c:extLst>
          </c:dPt>
          <c:dLbls>
            <c:dLbl>
              <c:idx val="10"/>
              <c:layout>
                <c:manualLayout>
                  <c:x val="-2.6175304576939732E-2"/>
                  <c:y val="-3.2434080003295188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65B-4646-A2AD-7E1CFD8CB9E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'[1]29.09 Gayaza-Kasangati'!$C$9:$N$9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'[1]29.09 Gayaza-Kasangati'!$C$60:$N$60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65B-4646-A2AD-7E1CFD8CB9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Kasangati-Gayaza'!$AE$9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Kasangati-Gayaza'!$R$10:$R$33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Kasangati-Gayaza'!$AE$10:$AE$33</c:f>
              <c:numCache>
                <c:formatCode>0</c:formatCode>
                <c:ptCount val="24"/>
                <c:pt idx="0">
                  <c:v>449.28571428571428</c:v>
                </c:pt>
                <c:pt idx="1">
                  <c:v>443.85714285714289</c:v>
                </c:pt>
                <c:pt idx="2">
                  <c:v>484.71428571428572</c:v>
                </c:pt>
                <c:pt idx="3">
                  <c:v>536.71428571428567</c:v>
                </c:pt>
                <c:pt idx="4">
                  <c:v>557.57142857142856</c:v>
                </c:pt>
                <c:pt idx="5">
                  <c:v>612.85714285714289</c:v>
                </c:pt>
                <c:pt idx="6">
                  <c:v>545.57142857142867</c:v>
                </c:pt>
                <c:pt idx="7">
                  <c:v>581.14285714285711</c:v>
                </c:pt>
                <c:pt idx="8">
                  <c:v>492.85714285714278</c:v>
                </c:pt>
                <c:pt idx="9">
                  <c:v>545.71428571428567</c:v>
                </c:pt>
                <c:pt idx="10">
                  <c:v>613</c:v>
                </c:pt>
                <c:pt idx="11">
                  <c:v>603.28571428571422</c:v>
                </c:pt>
                <c:pt idx="12">
                  <c:v>523.5</c:v>
                </c:pt>
                <c:pt idx="13">
                  <c:v>539</c:v>
                </c:pt>
                <c:pt idx="14">
                  <c:v>621</c:v>
                </c:pt>
                <c:pt idx="15">
                  <c:v>485.5</c:v>
                </c:pt>
                <c:pt idx="16">
                  <c:v>294</c:v>
                </c:pt>
                <c:pt idx="17">
                  <c:v>133</c:v>
                </c:pt>
                <c:pt idx="18">
                  <c:v>73</c:v>
                </c:pt>
                <c:pt idx="19">
                  <c:v>35</c:v>
                </c:pt>
                <c:pt idx="20">
                  <c:v>31</c:v>
                </c:pt>
                <c:pt idx="21">
                  <c:v>28</c:v>
                </c:pt>
                <c:pt idx="22">
                  <c:v>91</c:v>
                </c:pt>
                <c:pt idx="23">
                  <c:v>157.5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Kasangati-Gayaza'!$AF$9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Kasangati-Gayaza'!$R$10:$R$33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Kasangati-Gayaza'!$AF$10:$AF$33</c:f>
              <c:numCache>
                <c:formatCode>0</c:formatCode>
                <c:ptCount val="24"/>
                <c:pt idx="0">
                  <c:v>822.28571428571433</c:v>
                </c:pt>
                <c:pt idx="1">
                  <c:v>894.85714285714278</c:v>
                </c:pt>
                <c:pt idx="2">
                  <c:v>935</c:v>
                </c:pt>
                <c:pt idx="3">
                  <c:v>975.57142857142856</c:v>
                </c:pt>
                <c:pt idx="4">
                  <c:v>965</c:v>
                </c:pt>
                <c:pt idx="5">
                  <c:v>962.28571428571422</c:v>
                </c:pt>
                <c:pt idx="6">
                  <c:v>854.57142857142867</c:v>
                </c:pt>
                <c:pt idx="7">
                  <c:v>902.71428571428578</c:v>
                </c:pt>
                <c:pt idx="8">
                  <c:v>815.28571428571422</c:v>
                </c:pt>
                <c:pt idx="9">
                  <c:v>900.71428571428567</c:v>
                </c:pt>
                <c:pt idx="10">
                  <c:v>1016.8571428571429</c:v>
                </c:pt>
                <c:pt idx="11">
                  <c:v>1051.1428571428569</c:v>
                </c:pt>
                <c:pt idx="12">
                  <c:v>1087</c:v>
                </c:pt>
                <c:pt idx="13">
                  <c:v>1027.5</c:v>
                </c:pt>
                <c:pt idx="14">
                  <c:v>995</c:v>
                </c:pt>
                <c:pt idx="15">
                  <c:v>772.5</c:v>
                </c:pt>
                <c:pt idx="16">
                  <c:v>476.5</c:v>
                </c:pt>
                <c:pt idx="17">
                  <c:v>247.5</c:v>
                </c:pt>
                <c:pt idx="18">
                  <c:v>169.5</c:v>
                </c:pt>
                <c:pt idx="19">
                  <c:v>80</c:v>
                </c:pt>
                <c:pt idx="20">
                  <c:v>62</c:v>
                </c:pt>
                <c:pt idx="21">
                  <c:v>74</c:v>
                </c:pt>
                <c:pt idx="22">
                  <c:v>142</c:v>
                </c:pt>
                <c:pt idx="23">
                  <c:v>262.5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727040"/>
        <c:axId val="140728960"/>
      </c:lineChart>
      <c:catAx>
        <c:axId val="140727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728960"/>
        <c:crosses val="autoZero"/>
        <c:auto val="1"/>
        <c:lblAlgn val="ctr"/>
        <c:lblOffset val="100"/>
        <c:noMultiLvlLbl val="0"/>
      </c:catAx>
      <c:valAx>
        <c:axId val="140728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72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Kasangati-Gayaza'!$C$107:$N$107</c:f>
              <c:numCache>
                <c:formatCode>0.0%</c:formatCode>
                <c:ptCount val="12"/>
                <c:pt idx="0">
                  <c:v>0.22319959115084109</c:v>
                </c:pt>
                <c:pt idx="1">
                  <c:v>5.2158584966131342E-2</c:v>
                </c:pt>
                <c:pt idx="2">
                  <c:v>3.1296017185523967E-2</c:v>
                </c:pt>
                <c:pt idx="3">
                  <c:v>0.19884188278502501</c:v>
                </c:pt>
                <c:pt idx="4">
                  <c:v>4.863745820556797E-3</c:v>
                </c:pt>
                <c:pt idx="5">
                  <c:v>2.2651282850856672E-3</c:v>
                </c:pt>
                <c:pt idx="6">
                  <c:v>3.8199677771425591E-2</c:v>
                </c:pt>
                <c:pt idx="7">
                  <c:v>1.2668260485421757E-2</c:v>
                </c:pt>
                <c:pt idx="8">
                  <c:v>8.6577274223446476E-3</c:v>
                </c:pt>
                <c:pt idx="9">
                  <c:v>2.4730176879233581E-3</c:v>
                </c:pt>
                <c:pt idx="10">
                  <c:v>0.4253027389428824</c:v>
                </c:pt>
                <c:pt idx="11">
                  <c:v>7.3627496838348666E-5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3442319073639623E-2"/>
          <c:y val="0.14702443924294084"/>
          <c:w val="0.82892687948664379"/>
          <c:h val="0.7619916197159798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Kasangati-Gayaza'!$C$9:$N$9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Kasangati-Gayaza'!$C$108:$N$108</c:f>
              <c:numCache>
                <c:formatCode>0.00%</c:formatCode>
                <c:ptCount val="12"/>
                <c:pt idx="0">
                  <c:v>0.38837768382657717</c:v>
                </c:pt>
                <c:pt idx="1">
                  <c:v>9.0758367057795053E-2</c:v>
                </c:pt>
                <c:pt idx="2">
                  <c:v>5.4456527473189999E-2</c:v>
                </c:pt>
                <c:pt idx="3">
                  <c:v>0.34599413684218461</c:v>
                </c:pt>
                <c:pt idx="4">
                  <c:v>8.463144250261883E-3</c:v>
                </c:pt>
                <c:pt idx="5">
                  <c:v>3.9414287113864327E-3</c:v>
                </c:pt>
                <c:pt idx="6">
                  <c:v>6.6469218421469092E-2</c:v>
                </c:pt>
                <c:pt idx="7">
                  <c:v>2.204336325201782E-2</c:v>
                </c:pt>
                <c:pt idx="8">
                  <c:v>1.5064848937020042E-2</c:v>
                </c:pt>
                <c:pt idx="9">
                  <c:v>4.30316595449647E-3</c:v>
                </c:pt>
                <c:pt idx="11">
                  <c:v>1.2811527360147106E-4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26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Gayaza-Ksangati'!$AE$9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Gayaza-Ksangati'!$R$10:$R$32</c:f>
              <c:strCache>
                <c:ptCount val="23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</c:strCache>
            </c:strRef>
          </c:cat>
          <c:val>
            <c:numRef>
              <c:f>'Avg Week Gayaza-Ksangati'!$AE$10:$AE$32</c:f>
              <c:numCache>
                <c:formatCode>0</c:formatCode>
                <c:ptCount val="23"/>
                <c:pt idx="0">
                  <c:v>626.125</c:v>
                </c:pt>
                <c:pt idx="1">
                  <c:v>537.5</c:v>
                </c:pt>
                <c:pt idx="2">
                  <c:v>516.125</c:v>
                </c:pt>
                <c:pt idx="3">
                  <c:v>493.375</c:v>
                </c:pt>
                <c:pt idx="4">
                  <c:v>463</c:v>
                </c:pt>
                <c:pt idx="5">
                  <c:v>443.125</c:v>
                </c:pt>
                <c:pt idx="6">
                  <c:v>406.125</c:v>
                </c:pt>
                <c:pt idx="7">
                  <c:v>430</c:v>
                </c:pt>
                <c:pt idx="8">
                  <c:v>488.625</c:v>
                </c:pt>
                <c:pt idx="9">
                  <c:v>533.625</c:v>
                </c:pt>
                <c:pt idx="10">
                  <c:v>607.625</c:v>
                </c:pt>
                <c:pt idx="11">
                  <c:v>578.875</c:v>
                </c:pt>
                <c:pt idx="12">
                  <c:v>532.5</c:v>
                </c:pt>
                <c:pt idx="13">
                  <c:v>557</c:v>
                </c:pt>
                <c:pt idx="14">
                  <c:v>398.5</c:v>
                </c:pt>
                <c:pt idx="15">
                  <c:v>250.5</c:v>
                </c:pt>
                <c:pt idx="16">
                  <c:v>148.5</c:v>
                </c:pt>
                <c:pt idx="17">
                  <c:v>80.5</c:v>
                </c:pt>
                <c:pt idx="18">
                  <c:v>29.5</c:v>
                </c:pt>
                <c:pt idx="19">
                  <c:v>29</c:v>
                </c:pt>
                <c:pt idx="20">
                  <c:v>33</c:v>
                </c:pt>
                <c:pt idx="21">
                  <c:v>33</c:v>
                </c:pt>
                <c:pt idx="22">
                  <c:v>128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Gayaza-Ksangati'!$AF$9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Gayaza-Ksangati'!$R$10:$R$32</c:f>
              <c:strCache>
                <c:ptCount val="23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</c:strCache>
            </c:strRef>
          </c:cat>
          <c:val>
            <c:numRef>
              <c:f>'Avg Week Gayaza-Ksangati'!$AF$10:$AF$32</c:f>
              <c:numCache>
                <c:formatCode>0</c:formatCode>
                <c:ptCount val="23"/>
                <c:pt idx="0">
                  <c:v>1270.375</c:v>
                </c:pt>
                <c:pt idx="1">
                  <c:v>1181.875</c:v>
                </c:pt>
                <c:pt idx="2">
                  <c:v>1050.25</c:v>
                </c:pt>
                <c:pt idx="3">
                  <c:v>907</c:v>
                </c:pt>
                <c:pt idx="4">
                  <c:v>854.875</c:v>
                </c:pt>
                <c:pt idx="5">
                  <c:v>740.25</c:v>
                </c:pt>
                <c:pt idx="6">
                  <c:v>653.625</c:v>
                </c:pt>
                <c:pt idx="7">
                  <c:v>699.75</c:v>
                </c:pt>
                <c:pt idx="8">
                  <c:v>802.75</c:v>
                </c:pt>
                <c:pt idx="9">
                  <c:v>910.25</c:v>
                </c:pt>
                <c:pt idx="10">
                  <c:v>1034.375</c:v>
                </c:pt>
                <c:pt idx="11">
                  <c:v>985.75</c:v>
                </c:pt>
                <c:pt idx="12">
                  <c:v>881</c:v>
                </c:pt>
                <c:pt idx="13">
                  <c:v>797.5</c:v>
                </c:pt>
                <c:pt idx="14">
                  <c:v>565.5</c:v>
                </c:pt>
                <c:pt idx="15">
                  <c:v>364.5</c:v>
                </c:pt>
                <c:pt idx="16">
                  <c:v>212.5</c:v>
                </c:pt>
                <c:pt idx="17">
                  <c:v>119</c:v>
                </c:pt>
                <c:pt idx="18">
                  <c:v>67</c:v>
                </c:pt>
                <c:pt idx="19">
                  <c:v>52.5</c:v>
                </c:pt>
                <c:pt idx="20">
                  <c:v>52.5</c:v>
                </c:pt>
                <c:pt idx="21">
                  <c:v>71</c:v>
                </c:pt>
                <c:pt idx="22">
                  <c:v>186.5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185792"/>
        <c:axId val="141187712"/>
      </c:lineChart>
      <c:catAx>
        <c:axId val="14118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187712"/>
        <c:crosses val="autoZero"/>
        <c:auto val="1"/>
        <c:lblAlgn val="ctr"/>
        <c:lblOffset val="100"/>
        <c:noMultiLvlLbl val="0"/>
      </c:catAx>
      <c:valAx>
        <c:axId val="141187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18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Gayaza-Ksangati'!$C$9:$N$9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Gayaza-Ksangati'!$C$107:$N$107</c:f>
              <c:numCache>
                <c:formatCode>0.0%</c:formatCode>
                <c:ptCount val="12"/>
                <c:pt idx="0">
                  <c:v>0.26049953132647052</c:v>
                </c:pt>
                <c:pt idx="1">
                  <c:v>4.5548430980564568E-2</c:v>
                </c:pt>
                <c:pt idx="2">
                  <c:v>2.9754547792257346E-2</c:v>
                </c:pt>
                <c:pt idx="3">
                  <c:v>0.1806259487528307</c:v>
                </c:pt>
                <c:pt idx="4">
                  <c:v>4.8194570023143346E-3</c:v>
                </c:pt>
                <c:pt idx="5">
                  <c:v>1.1944953671828987E-3</c:v>
                </c:pt>
                <c:pt idx="6">
                  <c:v>4.3773278143223314E-2</c:v>
                </c:pt>
                <c:pt idx="7">
                  <c:v>9.0582565344703159E-3</c:v>
                </c:pt>
                <c:pt idx="8">
                  <c:v>8.4444186374457702E-3</c:v>
                </c:pt>
                <c:pt idx="9">
                  <c:v>1.0037079127022969E-3</c:v>
                </c:pt>
                <c:pt idx="10">
                  <c:v>0.41525304223038828</c:v>
                </c:pt>
                <c:pt idx="11">
                  <c:v>2.4885320149643724E-5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Gayaza-Ksangati'!$C$9:$N$9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Gayaza-Ksangati'!$C$108:$N$108</c:f>
              <c:numCache>
                <c:formatCode>0.00%</c:formatCode>
                <c:ptCount val="12"/>
                <c:pt idx="0">
                  <c:v>0.44549104166371128</c:v>
                </c:pt>
                <c:pt idx="1">
                  <c:v>7.7894259004440164E-2</c:v>
                </c:pt>
                <c:pt idx="2">
                  <c:v>5.0884484984324685E-2</c:v>
                </c:pt>
                <c:pt idx="3">
                  <c:v>0.30889591874370503</c:v>
                </c:pt>
                <c:pt idx="4">
                  <c:v>8.2419531017264118E-3</c:v>
                </c:pt>
                <c:pt idx="5">
                  <c:v>2.042756018328061E-3</c:v>
                </c:pt>
                <c:pt idx="6">
                  <c:v>7.4858496588313728E-2</c:v>
                </c:pt>
                <c:pt idx="7">
                  <c:v>1.5490899805654462E-2</c:v>
                </c:pt>
                <c:pt idx="8">
                  <c:v>1.4441150185124764E-2</c:v>
                </c:pt>
                <c:pt idx="9">
                  <c:v>1.7164824876228846E-3</c:v>
                </c:pt>
                <c:pt idx="11">
                  <c:v>4.2557417048501269E-5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Kasangati-Gayaza-2Dir'!$C$9:$N$9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Kasangati-Gayaza-2Dir'!$C$107:$N$107</c:f>
              <c:numCache>
                <c:formatCode>0.0%</c:formatCode>
                <c:ptCount val="12"/>
                <c:pt idx="0">
                  <c:v>0.2410086005797088</c:v>
                </c:pt>
                <c:pt idx="1">
                  <c:v>4.9002539833057884E-2</c:v>
                </c:pt>
                <c:pt idx="2">
                  <c:v>3.0560036301111378E-2</c:v>
                </c:pt>
                <c:pt idx="3">
                  <c:v>0.19014461036561933</c:v>
                </c:pt>
                <c:pt idx="4">
                  <c:v>4.8425999426288556E-3</c:v>
                </c:pt>
                <c:pt idx="5">
                  <c:v>1.7539502070509927E-3</c:v>
                </c:pt>
                <c:pt idx="6">
                  <c:v>4.0860816130005063E-2</c:v>
                </c:pt>
                <c:pt idx="7">
                  <c:v>1.0944649291998195E-2</c:v>
                </c:pt>
                <c:pt idx="8">
                  <c:v>8.5558822680726187E-3</c:v>
                </c:pt>
                <c:pt idx="9">
                  <c:v>1.7714897091215024E-3</c:v>
                </c:pt>
                <c:pt idx="10">
                  <c:v>0.42050447002697122</c:v>
                </c:pt>
                <c:pt idx="11">
                  <c:v>5.0355344654044631E-5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722E-2"/>
                  <c:y val="-3.243408000329518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Kasangati-Gayaza-2Dir'!$C$9:$N$9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Kasangati-Gayaza-2Dir'!$C$108:$N$108</c:f>
              <c:numCache>
                <c:formatCode>0.00%</c:formatCode>
                <c:ptCount val="12"/>
                <c:pt idx="0">
                  <c:v>0.4158938043765858</c:v>
                </c:pt>
                <c:pt idx="1">
                  <c:v>8.4560686491125442E-2</c:v>
                </c:pt>
                <c:pt idx="2">
                  <c:v>5.2735585902679377E-2</c:v>
                </c:pt>
                <c:pt idx="3">
                  <c:v>0.32812092679035698</c:v>
                </c:pt>
                <c:pt idx="4">
                  <c:v>8.3565785966532666E-3</c:v>
                </c:pt>
                <c:pt idx="5">
                  <c:v>3.0266846184864027E-3</c:v>
                </c:pt>
                <c:pt idx="6">
                  <c:v>7.0511011762086961E-2</c:v>
                </c:pt>
                <c:pt idx="7">
                  <c:v>1.8886512019355154E-2</c:v>
                </c:pt>
                <c:pt idx="8">
                  <c:v>1.4764362838952062E-2</c:v>
                </c:pt>
                <c:pt idx="9">
                  <c:v>3.0569514646712663E-3</c:v>
                </c:pt>
                <c:pt idx="11">
                  <c:v>8.6895139046867689E-5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Kasangati-Gayaza-2Dir'!$AE$9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Kasangati-Gayaza-2Dir'!$R$10:$R$33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Kasangati-Gayaza-2Dir'!$AE$10:$AE$33</c:f>
              <c:numCache>
                <c:formatCode>0</c:formatCode>
                <c:ptCount val="24"/>
                <c:pt idx="0">
                  <c:v>1075.4107142857142</c:v>
                </c:pt>
                <c:pt idx="1">
                  <c:v>981.35714285714289</c:v>
                </c:pt>
                <c:pt idx="2">
                  <c:v>1000.8392857142857</c:v>
                </c:pt>
                <c:pt idx="3">
                  <c:v>1030.0892857142858</c:v>
                </c:pt>
                <c:pt idx="4">
                  <c:v>1020.5714285714287</c:v>
                </c:pt>
                <c:pt idx="5">
                  <c:v>1055.9821428571429</c:v>
                </c:pt>
                <c:pt idx="6">
                  <c:v>951.69642857142856</c:v>
                </c:pt>
                <c:pt idx="7">
                  <c:v>1011.1428571428571</c:v>
                </c:pt>
                <c:pt idx="8">
                  <c:v>981.48214285714289</c:v>
                </c:pt>
                <c:pt idx="9">
                  <c:v>1079.3392857142856</c:v>
                </c:pt>
                <c:pt idx="10">
                  <c:v>1220.6250000000002</c:v>
                </c:pt>
                <c:pt idx="11">
                  <c:v>1182.1607142857142</c:v>
                </c:pt>
                <c:pt idx="12">
                  <c:v>1056</c:v>
                </c:pt>
                <c:pt idx="13">
                  <c:v>1096</c:v>
                </c:pt>
                <c:pt idx="14">
                  <c:v>1019.5</c:v>
                </c:pt>
                <c:pt idx="15">
                  <c:v>736</c:v>
                </c:pt>
                <c:pt idx="16">
                  <c:v>442.5</c:v>
                </c:pt>
                <c:pt idx="17">
                  <c:v>213.5</c:v>
                </c:pt>
                <c:pt idx="18">
                  <c:v>102.5</c:v>
                </c:pt>
                <c:pt idx="19">
                  <c:v>64</c:v>
                </c:pt>
                <c:pt idx="20">
                  <c:v>64</c:v>
                </c:pt>
                <c:pt idx="21">
                  <c:v>61</c:v>
                </c:pt>
                <c:pt idx="22">
                  <c:v>219</c:v>
                </c:pt>
                <c:pt idx="23">
                  <c:v>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CF-4FD2-85AB-5F4E4D529B05}"/>
            </c:ext>
          </c:extLst>
        </c:ser>
        <c:ser>
          <c:idx val="1"/>
          <c:order val="1"/>
          <c:tx>
            <c:strRef>
              <c:f>'Avg Week Kasangati-Gayaza-2Dir'!$AF$9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Kasangati-Gayaza-2Dir'!$R$10:$R$33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Kasangati-Gayaza-2Dir'!$AF$10:$AF$33</c:f>
              <c:numCache>
                <c:formatCode>0</c:formatCode>
                <c:ptCount val="24"/>
                <c:pt idx="0">
                  <c:v>2092.6607142857147</c:v>
                </c:pt>
                <c:pt idx="1">
                  <c:v>2076.7321428571427</c:v>
                </c:pt>
                <c:pt idx="2">
                  <c:v>1985.25</c:v>
                </c:pt>
                <c:pt idx="3">
                  <c:v>1882.5714285714284</c:v>
                </c:pt>
                <c:pt idx="4">
                  <c:v>1819.875</c:v>
                </c:pt>
                <c:pt idx="5">
                  <c:v>1702.5357142857142</c:v>
                </c:pt>
                <c:pt idx="6">
                  <c:v>1508.1964285714287</c:v>
                </c:pt>
                <c:pt idx="7">
                  <c:v>1602.4642857142858</c:v>
                </c:pt>
                <c:pt idx="8">
                  <c:v>1618.0357142857142</c:v>
                </c:pt>
                <c:pt idx="9">
                  <c:v>1810.9642857142856</c:v>
                </c:pt>
                <c:pt idx="10">
                  <c:v>2051.2321428571431</c:v>
                </c:pt>
                <c:pt idx="11">
                  <c:v>2036.8928571428569</c:v>
                </c:pt>
                <c:pt idx="12">
                  <c:v>1968</c:v>
                </c:pt>
                <c:pt idx="13">
                  <c:v>1825</c:v>
                </c:pt>
                <c:pt idx="14">
                  <c:v>1560.5</c:v>
                </c:pt>
                <c:pt idx="15">
                  <c:v>1137</c:v>
                </c:pt>
                <c:pt idx="16">
                  <c:v>689</c:v>
                </c:pt>
                <c:pt idx="17">
                  <c:v>366.5</c:v>
                </c:pt>
                <c:pt idx="18">
                  <c:v>236.5</c:v>
                </c:pt>
                <c:pt idx="19">
                  <c:v>132.5</c:v>
                </c:pt>
                <c:pt idx="20">
                  <c:v>114.5</c:v>
                </c:pt>
                <c:pt idx="21">
                  <c:v>145</c:v>
                </c:pt>
                <c:pt idx="22">
                  <c:v>328.5</c:v>
                </c:pt>
                <c:pt idx="23">
                  <c:v>871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DCF-4FD2-85AB-5F4E4D529B05}"/>
            </c:ext>
          </c:extLst>
        </c:ser>
        <c:ser>
          <c:idx val="5"/>
          <c:order val="2"/>
          <c:tx>
            <c:strRef>
              <c:f>'Avg Week Kasangati-Gayaza-2Dir'!$AC$9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Kasangati-Gayaza-2Dir'!$R$10:$R$33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Kasangati-Gayaza-2Dir'!$AC$10:$AC$33</c:f>
              <c:numCache>
                <c:formatCode>0</c:formatCode>
                <c:ptCount val="24"/>
                <c:pt idx="0">
                  <c:v>1017.25</c:v>
                </c:pt>
                <c:pt idx="1">
                  <c:v>1095.375</c:v>
                </c:pt>
                <c:pt idx="2">
                  <c:v>984.41071428571422</c:v>
                </c:pt>
                <c:pt idx="3">
                  <c:v>852.48214285714278</c:v>
                </c:pt>
                <c:pt idx="4">
                  <c:v>799.30357142857133</c:v>
                </c:pt>
                <c:pt idx="5">
                  <c:v>646.55357142857144</c:v>
                </c:pt>
                <c:pt idx="6">
                  <c:v>556.5</c:v>
                </c:pt>
                <c:pt idx="7">
                  <c:v>591.32142857142856</c:v>
                </c:pt>
                <c:pt idx="8">
                  <c:v>636.55357142857144</c:v>
                </c:pt>
                <c:pt idx="9">
                  <c:v>731.625</c:v>
                </c:pt>
                <c:pt idx="10">
                  <c:v>830.60714285714289</c:v>
                </c:pt>
                <c:pt idx="11">
                  <c:v>854.73214285714289</c:v>
                </c:pt>
                <c:pt idx="12">
                  <c:v>912</c:v>
                </c:pt>
                <c:pt idx="13">
                  <c:v>729</c:v>
                </c:pt>
                <c:pt idx="14">
                  <c:v>541</c:v>
                </c:pt>
                <c:pt idx="15">
                  <c:v>401</c:v>
                </c:pt>
                <c:pt idx="16">
                  <c:v>246.5</c:v>
                </c:pt>
                <c:pt idx="17">
                  <c:v>153</c:v>
                </c:pt>
                <c:pt idx="18">
                  <c:v>134</c:v>
                </c:pt>
                <c:pt idx="19">
                  <c:v>68.5</c:v>
                </c:pt>
                <c:pt idx="20">
                  <c:v>50.5</c:v>
                </c:pt>
                <c:pt idx="21">
                  <c:v>84</c:v>
                </c:pt>
                <c:pt idx="22">
                  <c:v>109.5</c:v>
                </c:pt>
                <c:pt idx="23">
                  <c:v>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CF-4FD2-85AB-5F4E4D529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505792"/>
        <c:axId val="157506944"/>
      </c:lineChart>
      <c:catAx>
        <c:axId val="15750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6944"/>
        <c:crosses val="autoZero"/>
        <c:auto val="1"/>
        <c:lblAlgn val="ctr"/>
        <c:lblOffset val="100"/>
        <c:noMultiLvlLbl val="0"/>
      </c:catAx>
      <c:valAx>
        <c:axId val="157506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579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Kasangati-Gayaza-2Dir'!$S$9:$AF$9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Kasangati-Gayaza-2Dir'!$S$41:$AF$41</c:f>
              <c:numCache>
                <c:formatCode>_(* #,##0_);_(* \(#,##0\);_(* "-"_);_(@_)</c:formatCode>
                <c:ptCount val="14"/>
                <c:pt idx="0">
                  <c:v>7606.5714285714275</c:v>
                </c:pt>
                <c:pt idx="1">
                  <c:v>1546.5892857142858</c:v>
                </c:pt>
                <c:pt idx="2">
                  <c:v>964.51785714285711</c:v>
                </c:pt>
                <c:pt idx="3">
                  <c:v>6001.2321428571431</c:v>
                </c:pt>
                <c:pt idx="4">
                  <c:v>152.83928571428572</c:v>
                </c:pt>
                <c:pt idx="5">
                  <c:v>55.357142857142847</c:v>
                </c:pt>
                <c:pt idx="6">
                  <c:v>1289.625</c:v>
                </c:pt>
                <c:pt idx="7">
                  <c:v>345.42857142857144</c:v>
                </c:pt>
                <c:pt idx="8">
                  <c:v>270.03571428571433</c:v>
                </c:pt>
                <c:pt idx="9">
                  <c:v>55.910714285714292</c:v>
                </c:pt>
                <c:pt idx="10">
                  <c:v>13271.714285714286</c:v>
                </c:pt>
                <c:pt idx="11">
                  <c:v>1.5892857142857142</c:v>
                </c:pt>
                <c:pt idx="12">
                  <c:v>18289.696428571428</c:v>
                </c:pt>
                <c:pt idx="13">
                  <c:v>31561.41071428571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8-41A2-8206-BFFA19DBB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15168"/>
        <c:axId val="157816704"/>
      </c:barChart>
      <c:catAx>
        <c:axId val="1578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6704"/>
        <c:crosses val="autoZero"/>
        <c:auto val="1"/>
        <c:lblAlgn val="ctr"/>
        <c:lblOffset val="100"/>
        <c:noMultiLvlLbl val="0"/>
      </c:catAx>
      <c:valAx>
        <c:axId val="15781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5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Kasangati-Gayaza-2Dir'!$S$9:$AF$9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Kasangati-Gayaza-2Dir'!$S$42:$AF$42</c:f>
              <c:numCache>
                <c:formatCode>0.000</c:formatCode>
                <c:ptCount val="14"/>
                <c:pt idx="0">
                  <c:v>1.4684298341170146</c:v>
                </c:pt>
                <c:pt idx="1">
                  <c:v>1.4473187279624338</c:v>
                </c:pt>
                <c:pt idx="2">
                  <c:v>1.3719677919174986</c:v>
                </c:pt>
                <c:pt idx="3">
                  <c:v>1.4657772039934227</c:v>
                </c:pt>
                <c:pt idx="4">
                  <c:v>2.1275167785234896</c:v>
                </c:pt>
                <c:pt idx="5">
                  <c:v>1.2767710049423395</c:v>
                </c:pt>
                <c:pt idx="6">
                  <c:v>1.4169756901524517</c:v>
                </c:pt>
                <c:pt idx="7">
                  <c:v>1.3470752089136491</c:v>
                </c:pt>
                <c:pt idx="8">
                  <c:v>1.120314120610461</c:v>
                </c:pt>
                <c:pt idx="9">
                  <c:v>2.6737830913748932</c:v>
                </c:pt>
                <c:pt idx="10">
                  <c:v>1.3829435669946559</c:v>
                </c:pt>
                <c:pt idx="11">
                  <c:v>1.459016393442623</c:v>
                </c:pt>
                <c:pt idx="12">
                  <c:v>1.4526358039311906</c:v>
                </c:pt>
                <c:pt idx="13">
                  <c:v>1.4224918410134448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5A-498F-8AD8-78009A72E41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61376"/>
        <c:axId val="157862912"/>
      </c:barChart>
      <c:catAx>
        <c:axId val="15786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2912"/>
        <c:crosses val="autoZero"/>
        <c:auto val="1"/>
        <c:lblAlgn val="ctr"/>
        <c:lblOffset val="100"/>
        <c:noMultiLvlLbl val="0"/>
      </c:catAx>
      <c:valAx>
        <c:axId val="1578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8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image" Target="../media/image16.jpeg"/><Relationship Id="rId2" Type="http://schemas.openxmlformats.org/officeDocument/2006/relationships/image" Target="../media/image1.emf"/><Relationship Id="rId16" Type="http://schemas.openxmlformats.org/officeDocument/2006/relationships/chart" Target="../charts/chart40.xml"/><Relationship Id="rId20" Type="http://schemas.openxmlformats.org/officeDocument/2006/relationships/chart" Target="../charts/chart42.xml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19" Type="http://schemas.openxmlformats.org/officeDocument/2006/relationships/chart" Target="../charts/chart41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47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image" Target="../media/image17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19" Type="http://schemas.openxmlformats.org/officeDocument/2006/relationships/chart" Target="../charts/chart48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54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53.xml"/><Relationship Id="rId2" Type="http://schemas.openxmlformats.org/officeDocument/2006/relationships/image" Target="../media/image1.emf"/><Relationship Id="rId16" Type="http://schemas.openxmlformats.org/officeDocument/2006/relationships/chart" Target="../charts/chart52.xml"/><Relationship Id="rId1" Type="http://schemas.openxmlformats.org/officeDocument/2006/relationships/chart" Target="../charts/chart4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1.xml"/><Relationship Id="rId10" Type="http://schemas.openxmlformats.org/officeDocument/2006/relationships/image" Target="../media/image9.jpeg"/><Relationship Id="rId19" Type="http://schemas.openxmlformats.org/officeDocument/2006/relationships/chart" Target="../charts/chart55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0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1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60.xml"/><Relationship Id="rId2" Type="http://schemas.openxmlformats.org/officeDocument/2006/relationships/image" Target="../media/image1.emf"/><Relationship Id="rId16" Type="http://schemas.openxmlformats.org/officeDocument/2006/relationships/chart" Target="../charts/chart59.xml"/><Relationship Id="rId1" Type="http://schemas.openxmlformats.org/officeDocument/2006/relationships/chart" Target="../charts/chart5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8.xml"/><Relationship Id="rId10" Type="http://schemas.openxmlformats.org/officeDocument/2006/relationships/image" Target="../media/image9.jpeg"/><Relationship Id="rId19" Type="http://schemas.openxmlformats.org/officeDocument/2006/relationships/chart" Target="../charts/chart62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7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6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4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6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7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69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5.jpeg"/><Relationship Id="rId17" Type="http://schemas.openxmlformats.org/officeDocument/2006/relationships/chart" Target="../charts/chart73.xml"/><Relationship Id="rId2" Type="http://schemas.openxmlformats.org/officeDocument/2006/relationships/image" Target="../media/image2.emf"/><Relationship Id="rId16" Type="http://schemas.openxmlformats.org/officeDocument/2006/relationships/chart" Target="../charts/chart72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71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7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EFFF1A-628D-4BE7-AB82-B492712113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3BDFC4B-8A01-4B65-A164-17673DCC84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D620A7D-B5B3-4FDA-A8DF-A73E82B8C2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16679C4-714B-486A-BE95-4EC535E221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6110F9E-E18A-42F3-9E5C-62D659B38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E66CDE41-8575-4EEE-837D-EB08ECE339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F4B912D-02E1-45C2-AA4B-D7331CB378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9ECC042-40FD-4952-8CCD-386087B207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5E4F33D-5A14-4E7C-B167-4163B711A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DB201880-3CB6-4677-896A-C4A5253B9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94C194EF-65B7-41A7-B03E-DF425ADE20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741E5BC-9C75-43C8-BA10-64E4D09C5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E1516567-2395-4CD4-ABD8-E5843D818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7617A420-69F4-484B-885D-4AF50735E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F2674BA-BB58-41A9-966B-CA8EBA53B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70840A0-3BC5-4FE8-87FD-9E147B472D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7301E45D-AA71-4F50-A9B3-3B8EE1C4B7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95CCABE-1919-4753-BB11-42E0EA072E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123400</xdr:colOff>
      <xdr:row>7</xdr:row>
      <xdr:rowOff>138114</xdr:rowOff>
    </xdr:from>
    <xdr:to>
      <xdr:col>5</xdr:col>
      <xdr:colOff>827662</xdr:colOff>
      <xdr:row>7</xdr:row>
      <xdr:rowOff>538837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2BB4B41F-9695-493D-94FA-928C75DFE1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38200" y="19669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FA9C8693-2EEA-4905-A792-5E0E67004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A482073-771B-405A-AFBB-654CACEA16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A07D88D-5923-44B0-A94A-869CC1633B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4E0F4AE-E996-40B3-B2CA-95DE20AA9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638F8C3-49EA-4CF4-9D15-9CECAD7DF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C4B55B4-5EE9-44A3-B8D5-DF06377183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204175D3-C9F9-4D47-8339-DAF7403D86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EFB0D0AC-7DA9-4BB4-845C-A615C985E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2EB42E8A-FAD3-4013-AE22-41D53693A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4A2467A1-84CF-4737-863D-E849E2556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47249AC9-5607-4E9C-9754-262FB4CAE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9C7A041-B80F-4D82-92C9-175C2F2A10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D6B387D-4AFC-4B36-8EF8-884DC596D6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131807E-D0BC-44C6-BAD6-FA01E97932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6BB9EB79-95D1-4A6E-B75C-15F27D0E30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E598D640-EA8F-4A6D-A8F9-BBF320879E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FE3255D-7A34-4893-A80C-0BCAA4F425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CAD6B84-A022-4DBC-9E53-95C6BC7793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57F3DA2-6521-4772-8FFA-2903A33B32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E9ECB1C-D6A2-4F52-B9A9-7BAF7AB509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3D35EB0-28CD-4547-B145-E23B0FAE3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A6EBD0D3-74EB-4BA6-8849-B60C098BC1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FD80F09-FEC8-4914-8037-12A34384E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E6CA151-867C-4FDA-AB91-B27C9A840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E658BEFC-F872-467F-81D4-C14E51E29A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8E54457F-6A7F-43FB-9B75-E3755F4642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5E17302-BA2D-4A39-9274-EF22CB224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E4354BE-CF74-4532-9E5D-D94C44E2B9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2A7756E7-0A86-464E-B1EC-00DFC76FBE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86E0CCA-4DEE-4CF8-94B9-9C4FEF2312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2E03466-2285-4969-A96D-DFE81B95A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4A2E35E2-4E32-4A1C-8D04-A870D1F3AF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068826A-CE7F-4206-B8D8-DC0D3533DB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1F54F54-BF92-4142-800A-324C1D5D41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2642946-C08F-4BFC-97AB-2392B62EA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1EB9EC13-910E-4EAB-BECB-1E6DFE7687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E949406C-6E62-4D8E-94B8-535F4CA3C9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1A576CBB-FD0E-4F77-80F4-37FCDA239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8D44546-BA7A-4C20-B497-A5054AD4C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E60E63E-927E-4C90-B7D2-2B531CC2FD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4E7AFB-EA51-4436-A2E2-B0F6E0A7C9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22224</xdr:rowOff>
    </xdr:from>
    <xdr:to>
      <xdr:col>28</xdr:col>
      <xdr:colOff>15875</xdr:colOff>
      <xdr:row>57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9525</xdr:rowOff>
    </xdr:from>
    <xdr:to>
      <xdr:col>23</xdr:col>
      <xdr:colOff>0</xdr:colOff>
      <xdr:row>73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58</xdr:row>
      <xdr:rowOff>0</xdr:rowOff>
    </xdr:from>
    <xdr:to>
      <xdr:col>30</xdr:col>
      <xdr:colOff>698500</xdr:colOff>
      <xdr:row>73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22224</xdr:rowOff>
    </xdr:from>
    <xdr:to>
      <xdr:col>28</xdr:col>
      <xdr:colOff>0</xdr:colOff>
      <xdr:row>57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57</xdr:row>
      <xdr:rowOff>279399</xdr:rowOff>
    </xdr:from>
    <xdr:to>
      <xdr:col>23</xdr:col>
      <xdr:colOff>15875</xdr:colOff>
      <xdr:row>72</xdr:row>
      <xdr:rowOff>269874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22224</xdr:colOff>
      <xdr:row>58</xdr:row>
      <xdr:rowOff>0</xdr:rowOff>
    </xdr:from>
    <xdr:to>
      <xdr:col>31</xdr:col>
      <xdr:colOff>1</xdr:colOff>
      <xdr:row>72</xdr:row>
      <xdr:rowOff>269876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25400</xdr:rowOff>
    </xdr:from>
    <xdr:to>
      <xdr:col>23</xdr:col>
      <xdr:colOff>682625</xdr:colOff>
      <xdr:row>72</xdr:row>
      <xdr:rowOff>111125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15876</xdr:colOff>
      <xdr:row>72</xdr:row>
      <xdr:rowOff>111126</xdr:rowOff>
    </xdr:from>
    <xdr:to>
      <xdr:col>23</xdr:col>
      <xdr:colOff>682626</xdr:colOff>
      <xdr:row>86</xdr:row>
      <xdr:rowOff>254000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15876</xdr:colOff>
      <xdr:row>43</xdr:row>
      <xdr:rowOff>15876</xdr:rowOff>
    </xdr:from>
    <xdr:to>
      <xdr:col>28</xdr:col>
      <xdr:colOff>31751</xdr:colOff>
      <xdr:row>58</xdr:row>
      <xdr:rowOff>15876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682625</xdr:colOff>
      <xdr:row>58</xdr:row>
      <xdr:rowOff>31751</xdr:rowOff>
    </xdr:from>
    <xdr:to>
      <xdr:col>30</xdr:col>
      <xdr:colOff>698500</xdr:colOff>
      <xdr:row>72</xdr:row>
      <xdr:rowOff>127000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682625</xdr:colOff>
      <xdr:row>72</xdr:row>
      <xdr:rowOff>126999</xdr:rowOff>
    </xdr:from>
    <xdr:to>
      <xdr:col>30</xdr:col>
      <xdr:colOff>666750</xdr:colOff>
      <xdr:row>86</xdr:row>
      <xdr:rowOff>254000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Preliminary%20Data%20For%20Review\EDMP-DATA-1.10%20KITANDWE%20JOEL\MCC-C2-STN-69-GAYAZA%20-%20Road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. KASANGATI-GAYAZA"/>
      <sheetName val="23.09.Gayaza-Kasangati"/>
      <sheetName val="24.09 Kasangati-Gayaza"/>
      <sheetName val="24.09 Gayaza-Kasangati"/>
      <sheetName val="25.09 Kasangati-Gayaza"/>
      <sheetName val="25.09 Gayaza-Kasangati"/>
      <sheetName val="25.07 Kibuye-Makindye"/>
      <sheetName val="25.07 Makindye-Kibuye"/>
      <sheetName val="26.07 Kibuye-Makindye-24h"/>
      <sheetName val="26.07 Makindye-Kibuye-24h"/>
      <sheetName val="27.07 Kibuye-Makindye-24h"/>
      <sheetName val="27.07 Makindye-Kibuye-24h"/>
      <sheetName val="28.07 Makindye-Kibuye"/>
      <sheetName val="28.07 Kibuye-Makindye"/>
      <sheetName val="28.09 Gayaza-Kasangati"/>
      <sheetName val="28.09 Kasangati-Gayaza"/>
      <sheetName val="29.09 Kasangati-Gayaza"/>
      <sheetName val="29.09 Gayaza-Kasangati"/>
      <sheetName val="Avg Week Makindye-Kibuye-2Dir"/>
      <sheetName val="Sheet1"/>
    </sheetNames>
    <sheetDataSet>
      <sheetData sheetId="0">
        <row r="3">
          <cell r="C3" t="str">
            <v>MCC - C2 - STN-69- Gayaza- ROAD</v>
          </cell>
        </row>
        <row r="6">
          <cell r="D6" t="str">
            <v>KASANGATI</v>
          </cell>
          <cell r="G6" t="str">
            <v>GAYAZA</v>
          </cell>
        </row>
      </sheetData>
      <sheetData sheetId="1">
        <row r="6">
          <cell r="D6" t="str">
            <v>Gayaza</v>
          </cell>
        </row>
      </sheetData>
      <sheetData sheetId="2">
        <row r="10">
          <cell r="L10">
            <v>0</v>
          </cell>
        </row>
      </sheetData>
      <sheetData sheetId="3">
        <row r="6">
          <cell r="G6" t="str">
            <v>Kasangati</v>
          </cell>
        </row>
      </sheetData>
      <sheetData sheetId="4">
        <row r="10">
          <cell r="L10">
            <v>0</v>
          </cell>
        </row>
      </sheetData>
      <sheetData sheetId="5" refreshError="1"/>
      <sheetData sheetId="6">
        <row r="10">
          <cell r="L10">
            <v>0</v>
          </cell>
        </row>
      </sheetData>
      <sheetData sheetId="7">
        <row r="5">
          <cell r="G5" t="str">
            <v>TOTAL BULAMU</v>
          </cell>
        </row>
        <row r="6">
          <cell r="K6" t="str">
            <v>LAWRENCE</v>
          </cell>
        </row>
      </sheetData>
      <sheetData sheetId="8">
        <row r="5">
          <cell r="G5" t="str">
            <v>TOTAL BULAMU</v>
          </cell>
          <cell r="K5" t="str">
            <v>Muganga. S</v>
          </cell>
        </row>
        <row r="6">
          <cell r="K6" t="str">
            <v>LAWRENCE</v>
          </cell>
        </row>
        <row r="10">
          <cell r="L10">
            <v>0</v>
          </cell>
        </row>
      </sheetData>
      <sheetData sheetId="9" refreshError="1"/>
      <sheetData sheetId="10">
        <row r="10">
          <cell r="L10">
            <v>0</v>
          </cell>
        </row>
      </sheetData>
      <sheetData sheetId="11" refreshError="1"/>
      <sheetData sheetId="12">
        <row r="3">
          <cell r="C3" t="str">
            <v>MCC - C2 - STN-69- Gayaza- ROAD</v>
          </cell>
        </row>
        <row r="5">
          <cell r="G5" t="str">
            <v>TOTAL BULAMU</v>
          </cell>
          <cell r="K5" t="str">
            <v>Muganga. S</v>
          </cell>
        </row>
        <row r="6">
          <cell r="D6" t="str">
            <v>Gayaza</v>
          </cell>
          <cell r="G6" t="str">
            <v>Kasangati</v>
          </cell>
          <cell r="K6" t="str">
            <v>LAWRENCE</v>
          </cell>
        </row>
      </sheetData>
      <sheetData sheetId="13">
        <row r="5">
          <cell r="G5" t="str">
            <v>TOTAL BULAMU</v>
          </cell>
          <cell r="K5" t="str">
            <v>Muganga. S</v>
          </cell>
        </row>
        <row r="6">
          <cell r="D6" t="str">
            <v>KASANGATI</v>
          </cell>
          <cell r="G6" t="str">
            <v>GAYAZA</v>
          </cell>
          <cell r="K6" t="str">
            <v>LAWRENCE</v>
          </cell>
        </row>
        <row r="10">
          <cell r="L10">
            <v>0</v>
          </cell>
        </row>
      </sheetData>
      <sheetData sheetId="14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579</v>
          </cell>
          <cell r="AF10">
            <v>1189</v>
          </cell>
        </row>
        <row r="11">
          <cell r="R11" t="str">
            <v>0800-0900</v>
          </cell>
          <cell r="AE11">
            <v>679</v>
          </cell>
          <cell r="AF11">
            <v>1447</v>
          </cell>
        </row>
        <row r="12">
          <cell r="R12" t="str">
            <v>0900-1000</v>
          </cell>
          <cell r="AE12">
            <v>659</v>
          </cell>
          <cell r="AF12">
            <v>1201</v>
          </cell>
        </row>
        <row r="13">
          <cell r="R13" t="str">
            <v>1000-1100</v>
          </cell>
          <cell r="AE13">
            <v>629</v>
          </cell>
          <cell r="AF13">
            <v>1101</v>
          </cell>
        </row>
        <row r="14">
          <cell r="R14" t="str">
            <v>1100-1200</v>
          </cell>
          <cell r="AE14">
            <v>615</v>
          </cell>
          <cell r="AF14">
            <v>1043</v>
          </cell>
        </row>
        <row r="15">
          <cell r="R15" t="str">
            <v>1200-1300</v>
          </cell>
          <cell r="AE15">
            <v>539</v>
          </cell>
          <cell r="AF15">
            <v>839</v>
          </cell>
        </row>
        <row r="16">
          <cell r="R16" t="str">
            <v>1300-1400</v>
          </cell>
          <cell r="AE16">
            <v>531</v>
          </cell>
          <cell r="AF16">
            <v>885</v>
          </cell>
        </row>
        <row r="17">
          <cell r="R17" t="str">
            <v>1400-1500</v>
          </cell>
          <cell r="AE17">
            <v>548</v>
          </cell>
          <cell r="AF17">
            <v>900</v>
          </cell>
        </row>
        <row r="18">
          <cell r="R18" t="str">
            <v>1500-1600</v>
          </cell>
          <cell r="AE18">
            <v>616</v>
          </cell>
          <cell r="AF18">
            <v>970</v>
          </cell>
        </row>
        <row r="19">
          <cell r="R19" t="str">
            <v>1600-1700</v>
          </cell>
          <cell r="AE19">
            <v>580</v>
          </cell>
          <cell r="AF19">
            <v>978</v>
          </cell>
        </row>
        <row r="20">
          <cell r="R20" t="str">
            <v>1700-1800</v>
          </cell>
          <cell r="AE20">
            <v>661</v>
          </cell>
          <cell r="AF20">
            <v>1151</v>
          </cell>
        </row>
        <row r="21">
          <cell r="R21" t="str">
            <v>1800-1900</v>
          </cell>
          <cell r="AE21">
            <v>729</v>
          </cell>
          <cell r="AF21">
            <v>1177</v>
          </cell>
        </row>
        <row r="22">
          <cell r="R22" t="str">
            <v>1900-2000</v>
          </cell>
          <cell r="AE22">
            <v>614</v>
          </cell>
          <cell r="AF22">
            <v>946</v>
          </cell>
        </row>
        <row r="23">
          <cell r="R23" t="str">
            <v>2000-2100</v>
          </cell>
          <cell r="AE23">
            <v>702</v>
          </cell>
          <cell r="AF23">
            <v>949</v>
          </cell>
        </row>
        <row r="24">
          <cell r="R24" t="str">
            <v>2100-2200</v>
          </cell>
          <cell r="AE24">
            <v>500</v>
          </cell>
          <cell r="AF24">
            <v>677</v>
          </cell>
        </row>
        <row r="25">
          <cell r="R25" t="str">
            <v>2200-2300</v>
          </cell>
          <cell r="AE25">
            <v>273</v>
          </cell>
          <cell r="AF25">
            <v>396</v>
          </cell>
        </row>
        <row r="26">
          <cell r="R26" t="str">
            <v>2300-0000</v>
          </cell>
          <cell r="AE26">
            <v>182</v>
          </cell>
          <cell r="AF26">
            <v>269</v>
          </cell>
        </row>
        <row r="27">
          <cell r="R27" t="str">
            <v>0000-0100</v>
          </cell>
          <cell r="AE27">
            <v>100</v>
          </cell>
          <cell r="AF27">
            <v>164</v>
          </cell>
        </row>
        <row r="28">
          <cell r="R28" t="str">
            <v>0100-0200</v>
          </cell>
          <cell r="AE28">
            <v>38</v>
          </cell>
          <cell r="AF28">
            <v>87</v>
          </cell>
        </row>
        <row r="29">
          <cell r="R29" t="str">
            <v>0200-0300</v>
          </cell>
          <cell r="AE29">
            <v>33</v>
          </cell>
          <cell r="AF29">
            <v>60</v>
          </cell>
        </row>
        <row r="30">
          <cell r="R30" t="str">
            <v>0300-0400</v>
          </cell>
          <cell r="AE30">
            <v>38</v>
          </cell>
          <cell r="AF30">
            <v>60</v>
          </cell>
        </row>
        <row r="31">
          <cell r="R31" t="str">
            <v>0400-0500</v>
          </cell>
          <cell r="AE31">
            <v>33</v>
          </cell>
          <cell r="AF31">
            <v>86</v>
          </cell>
        </row>
        <row r="32">
          <cell r="R32" t="str">
            <v>0500-0600</v>
          </cell>
          <cell r="AE32">
            <v>90</v>
          </cell>
          <cell r="AF32">
            <v>151</v>
          </cell>
        </row>
        <row r="33">
          <cell r="R33" t="str">
            <v>0600-0700</v>
          </cell>
          <cell r="AE33">
            <v>201</v>
          </cell>
          <cell r="AF33">
            <v>421</v>
          </cell>
        </row>
        <row r="107">
          <cell r="C107">
            <v>0.29567854435178165</v>
          </cell>
          <cell r="D107">
            <v>4.0940106141015918E-2</v>
          </cell>
          <cell r="E107">
            <v>2.892634280048988E-2</v>
          </cell>
          <cell r="F107">
            <v>0.16078614334869074</v>
          </cell>
          <cell r="G107">
            <v>3.6741120895783519E-3</v>
          </cell>
          <cell r="H107">
            <v>1.2830232693765674E-3</v>
          </cell>
          <cell r="I107">
            <v>4.4205983553974454E-2</v>
          </cell>
          <cell r="J107">
            <v>6.8816702630197703E-3</v>
          </cell>
          <cell r="K107">
            <v>9.564355280807138E-3</v>
          </cell>
          <cell r="L107">
            <v>1.1080655508252173E-3</v>
          </cell>
          <cell r="M107">
            <v>0.40695165335044031</v>
          </cell>
          <cell r="N107">
            <v>0</v>
          </cell>
        </row>
        <row r="108">
          <cell r="C108">
            <v>0.49857409774805783</v>
          </cell>
          <cell r="D108">
            <v>6.903333661126955E-2</v>
          </cell>
          <cell r="E108">
            <v>4.8775690825056547E-2</v>
          </cell>
          <cell r="F108">
            <v>0.27111810404169534</v>
          </cell>
          <cell r="G108">
            <v>6.1952994394729082E-3</v>
          </cell>
          <cell r="H108">
            <v>2.163437899498476E-3</v>
          </cell>
          <cell r="I108">
            <v>7.4540269446356569E-2</v>
          </cell>
          <cell r="J108">
            <v>1.1603894188219097E-2</v>
          </cell>
          <cell r="K108">
            <v>1.6127446159897727E-2</v>
          </cell>
          <cell r="L108">
            <v>1.8684236404759563E-3</v>
          </cell>
          <cell r="N108">
            <v>0</v>
          </cell>
        </row>
      </sheetData>
      <sheetData sheetId="15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452</v>
          </cell>
          <cell r="AF10">
            <v>756</v>
          </cell>
        </row>
        <row r="11">
          <cell r="R11" t="str">
            <v>0800-0900</v>
          </cell>
          <cell r="AE11">
            <v>621</v>
          </cell>
          <cell r="AF11">
            <v>1054</v>
          </cell>
        </row>
        <row r="12">
          <cell r="R12" t="str">
            <v>0900-1000</v>
          </cell>
          <cell r="AE12">
            <v>638</v>
          </cell>
          <cell r="AF12">
            <v>1113</v>
          </cell>
        </row>
        <row r="13">
          <cell r="R13" t="str">
            <v>1000-1100</v>
          </cell>
          <cell r="AE13">
            <v>762</v>
          </cell>
          <cell r="AF13">
            <v>1233</v>
          </cell>
        </row>
        <row r="14">
          <cell r="R14" t="str">
            <v>1100-1200</v>
          </cell>
          <cell r="AE14">
            <v>709</v>
          </cell>
          <cell r="AF14">
            <v>1145</v>
          </cell>
        </row>
        <row r="15">
          <cell r="R15" t="str">
            <v>1200-1300</v>
          </cell>
          <cell r="AE15">
            <v>951</v>
          </cell>
          <cell r="AF15">
            <v>1359</v>
          </cell>
        </row>
        <row r="16">
          <cell r="R16" t="str">
            <v>1300-1400</v>
          </cell>
          <cell r="AE16">
            <v>714</v>
          </cell>
          <cell r="AF16">
            <v>1085</v>
          </cell>
        </row>
        <row r="17">
          <cell r="R17" t="str">
            <v>1400-1500</v>
          </cell>
          <cell r="AE17">
            <v>791</v>
          </cell>
          <cell r="AF17">
            <v>1191</v>
          </cell>
        </row>
        <row r="18">
          <cell r="R18" t="str">
            <v>1500-1600</v>
          </cell>
          <cell r="AE18">
            <v>527</v>
          </cell>
          <cell r="AF18">
            <v>890</v>
          </cell>
        </row>
        <row r="19">
          <cell r="R19" t="str">
            <v>1600-1700</v>
          </cell>
          <cell r="AE19">
            <v>512</v>
          </cell>
          <cell r="AF19">
            <v>921</v>
          </cell>
        </row>
        <row r="20">
          <cell r="R20" t="str">
            <v>1700-1800</v>
          </cell>
          <cell r="AE20">
            <v>633</v>
          </cell>
          <cell r="AF20">
            <v>1008</v>
          </cell>
        </row>
        <row r="21">
          <cell r="R21" t="str">
            <v>1800-1900</v>
          </cell>
          <cell r="AE21">
            <v>532</v>
          </cell>
          <cell r="AF21">
            <v>857</v>
          </cell>
        </row>
        <row r="22">
          <cell r="R22" t="str">
            <v>1900-2000</v>
          </cell>
          <cell r="AE22">
            <v>501</v>
          </cell>
          <cell r="AF22">
            <v>1042</v>
          </cell>
        </row>
        <row r="23">
          <cell r="R23" t="str">
            <v>2000-2100</v>
          </cell>
          <cell r="AE23">
            <v>514</v>
          </cell>
          <cell r="AF23">
            <v>982</v>
          </cell>
        </row>
        <row r="24">
          <cell r="R24" t="str">
            <v>2100-2200</v>
          </cell>
          <cell r="AE24">
            <v>653</v>
          </cell>
          <cell r="AF24">
            <v>1001</v>
          </cell>
        </row>
        <row r="25">
          <cell r="R25" t="str">
            <v>2200-2300</v>
          </cell>
          <cell r="AE25">
            <v>532</v>
          </cell>
          <cell r="AF25">
            <v>793</v>
          </cell>
        </row>
        <row r="26">
          <cell r="R26" t="str">
            <v>2300-0000</v>
          </cell>
          <cell r="AE26">
            <v>344</v>
          </cell>
          <cell r="AF26">
            <v>546</v>
          </cell>
        </row>
        <row r="27">
          <cell r="R27" t="str">
            <v>0000-0100</v>
          </cell>
          <cell r="AE27">
            <v>182</v>
          </cell>
          <cell r="AF27">
            <v>325</v>
          </cell>
        </row>
        <row r="28">
          <cell r="R28" t="str">
            <v>0100-0200</v>
          </cell>
          <cell r="AE28">
            <v>88</v>
          </cell>
          <cell r="AF28">
            <v>206</v>
          </cell>
        </row>
        <row r="29">
          <cell r="R29" t="str">
            <v>0200-0300</v>
          </cell>
          <cell r="AE29">
            <v>41</v>
          </cell>
          <cell r="AF29">
            <v>106</v>
          </cell>
        </row>
        <row r="30">
          <cell r="R30" t="str">
            <v>0300-0400</v>
          </cell>
          <cell r="AE30">
            <v>39</v>
          </cell>
          <cell r="AF30">
            <v>74</v>
          </cell>
        </row>
        <row r="31">
          <cell r="R31" t="str">
            <v>0400-0500</v>
          </cell>
          <cell r="AE31">
            <v>20</v>
          </cell>
          <cell r="AF31">
            <v>82</v>
          </cell>
        </row>
        <row r="32">
          <cell r="R32" t="str">
            <v>0500-0600</v>
          </cell>
          <cell r="AE32">
            <v>83</v>
          </cell>
          <cell r="AF32">
            <v>140</v>
          </cell>
        </row>
        <row r="33">
          <cell r="R33" t="str">
            <v>0600-0700</v>
          </cell>
          <cell r="AE33">
            <v>156</v>
          </cell>
          <cell r="AF33">
            <v>301</v>
          </cell>
        </row>
        <row r="107">
          <cell r="C107">
            <v>0.24464579901153213</v>
          </cell>
          <cell r="D107">
            <v>5.3651839648544752E-2</v>
          </cell>
          <cell r="E107">
            <v>3.058758923668314E-2</v>
          </cell>
          <cell r="F107">
            <v>0.21394838001098299</v>
          </cell>
          <cell r="G107">
            <v>4.2284459088412956E-3</v>
          </cell>
          <cell r="H107">
            <v>2.1965952773201538E-3</v>
          </cell>
          <cell r="I107">
            <v>3.558484349258649E-2</v>
          </cell>
          <cell r="J107">
            <v>9.1158704008786375E-3</v>
          </cell>
          <cell r="K107">
            <v>7.5782537067545308E-3</v>
          </cell>
          <cell r="L107">
            <v>2.2515101592531575E-3</v>
          </cell>
          <cell r="M107">
            <v>0.39621087314662273</v>
          </cell>
          <cell r="N107">
            <v>0</v>
          </cell>
        </row>
        <row r="108">
          <cell r="C108">
            <v>0.40518417462482947</v>
          </cell>
          <cell r="D108">
            <v>8.8858572078217374E-2</v>
          </cell>
          <cell r="E108">
            <v>5.0659390632105505E-2</v>
          </cell>
          <cell r="F108">
            <v>0.35434288312869489</v>
          </cell>
          <cell r="G108">
            <v>7.0031832651205094E-3</v>
          </cell>
          <cell r="H108">
            <v>3.6380172805820826E-3</v>
          </cell>
          <cell r="I108">
            <v>5.8935879945429738E-2</v>
          </cell>
          <cell r="J108">
            <v>1.5097771714415644E-2</v>
          </cell>
          <cell r="K108">
            <v>1.2551159618008186E-2</v>
          </cell>
          <cell r="L108">
            <v>3.728967712596635E-3</v>
          </cell>
          <cell r="N108">
            <v>0</v>
          </cell>
        </row>
      </sheetData>
      <sheetData sheetId="16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0</v>
          </cell>
          <cell r="AF10">
            <v>0</v>
          </cell>
        </row>
        <row r="11">
          <cell r="R11" t="str">
            <v>0800-0900</v>
          </cell>
          <cell r="AE11">
            <v>0</v>
          </cell>
          <cell r="AF11">
            <v>0</v>
          </cell>
        </row>
        <row r="12">
          <cell r="R12" t="str">
            <v>0900-1000</v>
          </cell>
          <cell r="AE12">
            <v>0</v>
          </cell>
          <cell r="AF12">
            <v>0</v>
          </cell>
        </row>
        <row r="13">
          <cell r="R13" t="str">
            <v>1000-1100</v>
          </cell>
          <cell r="AE13">
            <v>0</v>
          </cell>
          <cell r="AF13">
            <v>0</v>
          </cell>
        </row>
        <row r="14">
          <cell r="R14" t="str">
            <v>1100-1200</v>
          </cell>
          <cell r="AE14">
            <v>0</v>
          </cell>
          <cell r="AF14">
            <v>0</v>
          </cell>
        </row>
        <row r="15">
          <cell r="R15" t="str">
            <v>1200-1300</v>
          </cell>
          <cell r="AE15">
            <v>0</v>
          </cell>
          <cell r="AF15">
            <v>0</v>
          </cell>
        </row>
        <row r="16">
          <cell r="R16" t="str">
            <v>1300-1400</v>
          </cell>
          <cell r="AE16">
            <v>0</v>
          </cell>
          <cell r="AF16">
            <v>0</v>
          </cell>
        </row>
        <row r="17">
          <cell r="R17" t="str">
            <v>1400-1500</v>
          </cell>
          <cell r="AE17">
            <v>0</v>
          </cell>
          <cell r="AF17">
            <v>0</v>
          </cell>
        </row>
        <row r="18">
          <cell r="R18" t="str">
            <v>1500-1600</v>
          </cell>
          <cell r="AE18">
            <v>0</v>
          </cell>
          <cell r="AF18">
            <v>0</v>
          </cell>
        </row>
        <row r="19">
          <cell r="R19" t="str">
            <v>1600-1700</v>
          </cell>
          <cell r="AE19">
            <v>0</v>
          </cell>
          <cell r="AF19">
            <v>0</v>
          </cell>
        </row>
        <row r="20">
          <cell r="R20" t="str">
            <v>1700-1800</v>
          </cell>
          <cell r="AE20">
            <v>0</v>
          </cell>
          <cell r="AF20">
            <v>0</v>
          </cell>
        </row>
        <row r="21">
          <cell r="R21" t="str">
            <v>1800-1900</v>
          </cell>
          <cell r="AE21">
            <v>0</v>
          </cell>
          <cell r="AF21">
            <v>0</v>
          </cell>
        </row>
        <row r="59">
          <cell r="C59" t="e">
            <v>#DIV/0!</v>
          </cell>
          <cell r="D59" t="e">
            <v>#DIV/0!</v>
          </cell>
          <cell r="E59" t="e">
            <v>#DIV/0!</v>
          </cell>
          <cell r="F59" t="e">
            <v>#DIV/0!</v>
          </cell>
          <cell r="G59" t="e">
            <v>#DIV/0!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</row>
        <row r="60">
          <cell r="C60" t="e">
            <v>#DIV/0!</v>
          </cell>
          <cell r="D60" t="e">
            <v>#DIV/0!</v>
          </cell>
          <cell r="E60" t="e">
            <v>#DIV/0!</v>
          </cell>
          <cell r="F60" t="e">
            <v>#DIV/0!</v>
          </cell>
          <cell r="G60" t="e">
            <v>#DIV/0!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N60" t="e">
            <v>#DIV/0!</v>
          </cell>
        </row>
      </sheetData>
      <sheetData sheetId="17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0</v>
          </cell>
          <cell r="AF10">
            <v>0</v>
          </cell>
        </row>
        <row r="11">
          <cell r="R11" t="str">
            <v>0800-0900</v>
          </cell>
          <cell r="AE11">
            <v>0</v>
          </cell>
          <cell r="AF11">
            <v>0</v>
          </cell>
        </row>
        <row r="12">
          <cell r="R12" t="str">
            <v>0900-1000</v>
          </cell>
          <cell r="AE12">
            <v>0</v>
          </cell>
          <cell r="AF12">
            <v>0</v>
          </cell>
        </row>
        <row r="13">
          <cell r="R13" t="str">
            <v>1000-1100</v>
          </cell>
          <cell r="AE13">
            <v>0</v>
          </cell>
          <cell r="AF13">
            <v>0</v>
          </cell>
        </row>
        <row r="14">
          <cell r="R14" t="str">
            <v>1100-1200</v>
          </cell>
          <cell r="AE14">
            <v>0</v>
          </cell>
          <cell r="AF14">
            <v>0</v>
          </cell>
        </row>
        <row r="15">
          <cell r="R15" t="str">
            <v>1200-1300</v>
          </cell>
          <cell r="AE15">
            <v>0</v>
          </cell>
          <cell r="AF15">
            <v>0</v>
          </cell>
        </row>
        <row r="16">
          <cell r="R16" t="str">
            <v>1300-1400</v>
          </cell>
          <cell r="AE16">
            <v>0</v>
          </cell>
          <cell r="AF16">
            <v>0</v>
          </cell>
        </row>
        <row r="17">
          <cell r="R17" t="str">
            <v>1400-1500</v>
          </cell>
          <cell r="AE17">
            <v>0</v>
          </cell>
          <cell r="AF17">
            <v>0</v>
          </cell>
        </row>
        <row r="18">
          <cell r="R18" t="str">
            <v>1500-1600</v>
          </cell>
          <cell r="AE18">
            <v>0</v>
          </cell>
          <cell r="AF18">
            <v>0</v>
          </cell>
        </row>
        <row r="19">
          <cell r="R19" t="str">
            <v>1600-1700</v>
          </cell>
          <cell r="AE19">
            <v>0</v>
          </cell>
          <cell r="AF19">
            <v>0</v>
          </cell>
        </row>
        <row r="20">
          <cell r="R20" t="str">
            <v>1700-1800</v>
          </cell>
          <cell r="AE20">
            <v>0</v>
          </cell>
          <cell r="AF20">
            <v>0</v>
          </cell>
        </row>
        <row r="21">
          <cell r="R21" t="str">
            <v>1800-1900</v>
          </cell>
          <cell r="AE21">
            <v>0</v>
          </cell>
          <cell r="AF21">
            <v>0</v>
          </cell>
        </row>
        <row r="59">
          <cell r="C59" t="e">
            <v>#DIV/0!</v>
          </cell>
          <cell r="D59" t="e">
            <v>#DIV/0!</v>
          </cell>
          <cell r="E59" t="e">
            <v>#DIV/0!</v>
          </cell>
          <cell r="F59" t="e">
            <v>#DIV/0!</v>
          </cell>
          <cell r="G59" t="e">
            <v>#DIV/0!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</row>
        <row r="60">
          <cell r="C60" t="e">
            <v>#DIV/0!</v>
          </cell>
          <cell r="D60" t="e">
            <v>#DIV/0!</v>
          </cell>
          <cell r="E60" t="e">
            <v>#DIV/0!</v>
          </cell>
          <cell r="F60" t="e">
            <v>#DIV/0!</v>
          </cell>
          <cell r="G60" t="e">
            <v>#DIV/0!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N60" t="e">
            <v>#DIV/0!</v>
          </cell>
        </row>
      </sheetData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7" zoomScaleSheetLayoutView="67" workbookViewId="0">
      <selection activeCell="P6" sqref="P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1" t="s">
        <v>96</v>
      </c>
      <c r="C3" s="78" t="s">
        <v>170</v>
      </c>
      <c r="D3" s="78"/>
      <c r="E3" s="78"/>
      <c r="F3" s="78"/>
      <c r="G3" s="78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73" t="s">
        <v>164</v>
      </c>
      <c r="H5" s="74"/>
      <c r="I5" s="14"/>
      <c r="J5" s="2" t="s">
        <v>5</v>
      </c>
      <c r="K5" s="73" t="s">
        <v>169</v>
      </c>
      <c r="L5" s="74"/>
      <c r="M5" s="10"/>
      <c r="N5" s="10"/>
      <c r="O5" s="3"/>
      <c r="P5" s="3"/>
    </row>
    <row r="6" spans="2:32" ht="23.25" customHeight="1" x14ac:dyDescent="0.25">
      <c r="C6" s="2" t="s">
        <v>4</v>
      </c>
      <c r="D6" s="73" t="s">
        <v>163</v>
      </c>
      <c r="E6" s="74"/>
      <c r="F6" s="2" t="s">
        <v>2</v>
      </c>
      <c r="G6" s="73" t="s">
        <v>165</v>
      </c>
      <c r="H6" s="74"/>
      <c r="J6" s="2" t="s">
        <v>21</v>
      </c>
      <c r="K6" s="73" t="s">
        <v>166</v>
      </c>
      <c r="L6" s="7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27</v>
      </c>
      <c r="D10" s="50">
        <v>18</v>
      </c>
      <c r="E10" s="50">
        <v>8</v>
      </c>
      <c r="F10" s="50">
        <v>29</v>
      </c>
      <c r="G10" s="50">
        <v>2</v>
      </c>
      <c r="H10" s="50">
        <v>0</v>
      </c>
      <c r="I10" s="50">
        <v>8</v>
      </c>
      <c r="J10" s="50">
        <v>15</v>
      </c>
      <c r="K10" s="50">
        <v>5</v>
      </c>
      <c r="L10" s="50"/>
      <c r="M10" s="50">
        <v>89</v>
      </c>
      <c r="N10" s="50">
        <v>0</v>
      </c>
      <c r="O10" s="15">
        <f t="shared" ref="O10:O57" si="0">SUM(C10:L10,N10)</f>
        <v>112</v>
      </c>
      <c r="P10" s="15">
        <f t="shared" ref="P10:P57" si="1">SUM(C10:N10)</f>
        <v>201</v>
      </c>
      <c r="R10" s="1" t="s">
        <v>6</v>
      </c>
      <c r="S10" s="17">
        <f t="shared" ref="S10:AF10" si="2">SUM(C10:C13)</f>
        <v>111</v>
      </c>
      <c r="T10" s="17">
        <f t="shared" si="2"/>
        <v>82</v>
      </c>
      <c r="U10" s="17">
        <f t="shared" si="2"/>
        <v>50</v>
      </c>
      <c r="V10" s="17">
        <f t="shared" si="2"/>
        <v>136</v>
      </c>
      <c r="W10" s="17">
        <f t="shared" si="2"/>
        <v>3</v>
      </c>
      <c r="X10" s="17">
        <f t="shared" si="2"/>
        <v>0</v>
      </c>
      <c r="Y10" s="17">
        <f t="shared" si="2"/>
        <v>27</v>
      </c>
      <c r="Z10" s="17">
        <f t="shared" si="2"/>
        <v>51</v>
      </c>
      <c r="AA10" s="17">
        <f t="shared" si="2"/>
        <v>16</v>
      </c>
      <c r="AB10" s="17">
        <f t="shared" si="2"/>
        <v>0</v>
      </c>
      <c r="AC10" s="17">
        <f t="shared" si="2"/>
        <v>325</v>
      </c>
      <c r="AD10" s="17">
        <f t="shared" si="2"/>
        <v>0</v>
      </c>
      <c r="AE10" s="31">
        <f t="shared" si="2"/>
        <v>476</v>
      </c>
      <c r="AF10" s="31">
        <f t="shared" si="2"/>
        <v>801</v>
      </c>
    </row>
    <row r="11" spans="2:32" s="6" customFormat="1" ht="23.1" customHeight="1" x14ac:dyDescent="0.25">
      <c r="B11" s="23" t="s">
        <v>38</v>
      </c>
      <c r="C11" s="50">
        <v>21</v>
      </c>
      <c r="D11" s="50">
        <v>22</v>
      </c>
      <c r="E11" s="50">
        <v>14</v>
      </c>
      <c r="F11" s="50">
        <v>27</v>
      </c>
      <c r="G11" s="50">
        <v>0</v>
      </c>
      <c r="H11" s="50">
        <v>0</v>
      </c>
      <c r="I11" s="50">
        <v>6</v>
      </c>
      <c r="J11" s="50">
        <v>13</v>
      </c>
      <c r="K11" s="50">
        <v>4</v>
      </c>
      <c r="L11" s="50">
        <v>0</v>
      </c>
      <c r="M11" s="50">
        <v>65</v>
      </c>
      <c r="N11" s="50">
        <v>0</v>
      </c>
      <c r="O11" s="15">
        <f t="shared" si="0"/>
        <v>107</v>
      </c>
      <c r="P11" s="15">
        <f t="shared" si="1"/>
        <v>172</v>
      </c>
      <c r="R11" s="1" t="s">
        <v>7</v>
      </c>
      <c r="S11" s="17">
        <f t="shared" ref="S11:AF11" si="3">SUM(C14:C17)</f>
        <v>118</v>
      </c>
      <c r="T11" s="17">
        <f t="shared" si="3"/>
        <v>42</v>
      </c>
      <c r="U11" s="17">
        <f t="shared" si="3"/>
        <v>27</v>
      </c>
      <c r="V11" s="17">
        <f t="shared" si="3"/>
        <v>147</v>
      </c>
      <c r="W11" s="17">
        <f t="shared" si="3"/>
        <v>2</v>
      </c>
      <c r="X11" s="17">
        <f t="shared" si="3"/>
        <v>1</v>
      </c>
      <c r="Y11" s="17">
        <f t="shared" si="3"/>
        <v>19</v>
      </c>
      <c r="Z11" s="17">
        <f t="shared" si="3"/>
        <v>14</v>
      </c>
      <c r="AA11" s="17">
        <f t="shared" si="3"/>
        <v>10</v>
      </c>
      <c r="AB11" s="17">
        <f t="shared" si="3"/>
        <v>0</v>
      </c>
      <c r="AC11" s="17">
        <f t="shared" si="3"/>
        <v>550</v>
      </c>
      <c r="AD11" s="17">
        <f t="shared" si="3"/>
        <v>0</v>
      </c>
      <c r="AE11" s="31">
        <f t="shared" si="3"/>
        <v>380</v>
      </c>
      <c r="AF11" s="31">
        <f t="shared" si="3"/>
        <v>930</v>
      </c>
    </row>
    <row r="12" spans="2:32" ht="23.1" customHeight="1" x14ac:dyDescent="0.25">
      <c r="B12" s="23" t="s">
        <v>39</v>
      </c>
      <c r="C12" s="50">
        <v>34</v>
      </c>
      <c r="D12" s="50">
        <v>18</v>
      </c>
      <c r="E12" s="50">
        <v>18</v>
      </c>
      <c r="F12" s="50">
        <v>44</v>
      </c>
      <c r="G12" s="50">
        <v>0</v>
      </c>
      <c r="H12" s="50">
        <v>0</v>
      </c>
      <c r="I12" s="50">
        <v>8</v>
      </c>
      <c r="J12" s="50">
        <v>10</v>
      </c>
      <c r="K12" s="50">
        <v>3</v>
      </c>
      <c r="L12" s="50">
        <v>0</v>
      </c>
      <c r="M12" s="50">
        <v>79</v>
      </c>
      <c r="N12" s="50">
        <v>0</v>
      </c>
      <c r="O12" s="15">
        <f t="shared" si="0"/>
        <v>135</v>
      </c>
      <c r="P12" s="15">
        <f t="shared" si="1"/>
        <v>214</v>
      </c>
      <c r="R12" s="1" t="s">
        <v>8</v>
      </c>
      <c r="S12" s="17">
        <f t="shared" ref="S12:AF12" si="4">SUM(C18:C21)</f>
        <v>142</v>
      </c>
      <c r="T12" s="17">
        <f t="shared" si="4"/>
        <v>34</v>
      </c>
      <c r="U12" s="17">
        <f t="shared" si="4"/>
        <v>27</v>
      </c>
      <c r="V12" s="17">
        <f t="shared" si="4"/>
        <v>153</v>
      </c>
      <c r="W12" s="17">
        <f t="shared" si="4"/>
        <v>2</v>
      </c>
      <c r="X12" s="17">
        <f t="shared" si="4"/>
        <v>0</v>
      </c>
      <c r="Y12" s="17">
        <f t="shared" si="4"/>
        <v>28</v>
      </c>
      <c r="Z12" s="17">
        <f t="shared" si="4"/>
        <v>19</v>
      </c>
      <c r="AA12" s="17">
        <f t="shared" si="4"/>
        <v>20</v>
      </c>
      <c r="AB12" s="17">
        <f t="shared" si="4"/>
        <v>0</v>
      </c>
      <c r="AC12" s="17">
        <f t="shared" si="4"/>
        <v>486</v>
      </c>
      <c r="AD12" s="17">
        <f t="shared" si="4"/>
        <v>0</v>
      </c>
      <c r="AE12" s="31">
        <f t="shared" si="4"/>
        <v>425</v>
      </c>
      <c r="AF12" s="31">
        <f t="shared" si="4"/>
        <v>911</v>
      </c>
    </row>
    <row r="13" spans="2:32" ht="23.1" customHeight="1" x14ac:dyDescent="0.25">
      <c r="B13" s="23" t="s">
        <v>40</v>
      </c>
      <c r="C13" s="50">
        <v>29</v>
      </c>
      <c r="D13" s="50">
        <v>24</v>
      </c>
      <c r="E13" s="50">
        <v>10</v>
      </c>
      <c r="F13" s="50">
        <v>36</v>
      </c>
      <c r="G13" s="50">
        <v>1</v>
      </c>
      <c r="H13" s="50">
        <v>0</v>
      </c>
      <c r="I13" s="50">
        <v>5</v>
      </c>
      <c r="J13" s="50">
        <v>13</v>
      </c>
      <c r="K13" s="50">
        <v>4</v>
      </c>
      <c r="L13" s="50">
        <v>0</v>
      </c>
      <c r="M13" s="50">
        <v>92</v>
      </c>
      <c r="N13" s="50">
        <v>0</v>
      </c>
      <c r="O13" s="15">
        <f t="shared" si="0"/>
        <v>122</v>
      </c>
      <c r="P13" s="15">
        <f t="shared" si="1"/>
        <v>214</v>
      </c>
      <c r="R13" s="1" t="s">
        <v>9</v>
      </c>
      <c r="S13" s="17">
        <f t="shared" ref="S13:AF13" si="5">SUM(C22:C25)</f>
        <v>146</v>
      </c>
      <c r="T13" s="17">
        <f t="shared" si="5"/>
        <v>43</v>
      </c>
      <c r="U13" s="17">
        <f t="shared" si="5"/>
        <v>32</v>
      </c>
      <c r="V13" s="17">
        <f t="shared" si="5"/>
        <v>190</v>
      </c>
      <c r="W13" s="17">
        <f t="shared" si="5"/>
        <v>2</v>
      </c>
      <c r="X13" s="17">
        <f t="shared" si="5"/>
        <v>1</v>
      </c>
      <c r="Y13" s="17">
        <f t="shared" si="5"/>
        <v>34</v>
      </c>
      <c r="Z13" s="17">
        <f t="shared" si="5"/>
        <v>23</v>
      </c>
      <c r="AA13" s="17">
        <f t="shared" si="5"/>
        <v>14</v>
      </c>
      <c r="AB13" s="17">
        <f t="shared" si="5"/>
        <v>1</v>
      </c>
      <c r="AC13" s="17">
        <f t="shared" si="5"/>
        <v>490</v>
      </c>
      <c r="AD13" s="17">
        <f t="shared" si="5"/>
        <v>0</v>
      </c>
      <c r="AE13" s="31">
        <f t="shared" si="5"/>
        <v>486</v>
      </c>
      <c r="AF13" s="31">
        <f t="shared" si="5"/>
        <v>976</v>
      </c>
    </row>
    <row r="14" spans="2:32" ht="23.1" customHeight="1" x14ac:dyDescent="0.25">
      <c r="B14" s="23" t="s">
        <v>41</v>
      </c>
      <c r="C14" s="50">
        <v>37</v>
      </c>
      <c r="D14" s="50">
        <v>9</v>
      </c>
      <c r="E14" s="50">
        <v>3</v>
      </c>
      <c r="F14" s="50">
        <v>29</v>
      </c>
      <c r="G14" s="50">
        <v>0</v>
      </c>
      <c r="H14" s="50">
        <v>1</v>
      </c>
      <c r="I14" s="50">
        <v>5</v>
      </c>
      <c r="J14" s="50">
        <v>3</v>
      </c>
      <c r="K14" s="50">
        <v>3</v>
      </c>
      <c r="L14" s="50">
        <v>0</v>
      </c>
      <c r="M14" s="50">
        <v>135</v>
      </c>
      <c r="N14" s="50">
        <v>0</v>
      </c>
      <c r="O14" s="15">
        <f t="shared" si="0"/>
        <v>90</v>
      </c>
      <c r="P14" s="15">
        <f t="shared" si="1"/>
        <v>225</v>
      </c>
      <c r="R14" s="1" t="s">
        <v>10</v>
      </c>
      <c r="S14" s="17">
        <f t="shared" ref="S14:AF14" si="6">SUM(C26:C29)</f>
        <v>170</v>
      </c>
      <c r="T14" s="17">
        <f t="shared" si="6"/>
        <v>38</v>
      </c>
      <c r="U14" s="17">
        <f t="shared" si="6"/>
        <v>42</v>
      </c>
      <c r="V14" s="17">
        <f t="shared" si="6"/>
        <v>138</v>
      </c>
      <c r="W14" s="17">
        <f t="shared" si="6"/>
        <v>4</v>
      </c>
      <c r="X14" s="17">
        <f t="shared" si="6"/>
        <v>2</v>
      </c>
      <c r="Y14" s="17">
        <f t="shared" si="6"/>
        <v>39</v>
      </c>
      <c r="Z14" s="17">
        <f t="shared" si="6"/>
        <v>18</v>
      </c>
      <c r="AA14" s="17">
        <f t="shared" si="6"/>
        <v>21</v>
      </c>
      <c r="AB14" s="17">
        <f t="shared" si="6"/>
        <v>1</v>
      </c>
      <c r="AC14" s="17">
        <f t="shared" si="6"/>
        <v>439</v>
      </c>
      <c r="AD14" s="17">
        <f t="shared" si="6"/>
        <v>0</v>
      </c>
      <c r="AE14" s="31">
        <f t="shared" si="6"/>
        <v>473</v>
      </c>
      <c r="AF14" s="31">
        <f t="shared" si="6"/>
        <v>912</v>
      </c>
    </row>
    <row r="15" spans="2:32" ht="23.1" customHeight="1" x14ac:dyDescent="0.25">
      <c r="B15" s="23" t="s">
        <v>42</v>
      </c>
      <c r="C15" s="50">
        <v>27</v>
      </c>
      <c r="D15" s="50">
        <v>12</v>
      </c>
      <c r="E15" s="50">
        <v>9</v>
      </c>
      <c r="F15" s="50">
        <v>35</v>
      </c>
      <c r="G15" s="50">
        <v>0</v>
      </c>
      <c r="H15" s="50">
        <v>0</v>
      </c>
      <c r="I15" s="50">
        <v>6</v>
      </c>
      <c r="J15" s="50">
        <v>2</v>
      </c>
      <c r="K15" s="50">
        <v>1</v>
      </c>
      <c r="L15" s="50">
        <v>0</v>
      </c>
      <c r="M15" s="50">
        <v>140</v>
      </c>
      <c r="N15" s="50">
        <v>0</v>
      </c>
      <c r="O15" s="15">
        <f t="shared" si="0"/>
        <v>92</v>
      </c>
      <c r="P15" s="15">
        <f t="shared" si="1"/>
        <v>232</v>
      </c>
      <c r="R15" s="1" t="s">
        <v>11</v>
      </c>
      <c r="S15" s="17">
        <f t="shared" ref="S15:AF15" si="7">SUM(C30:C33)</f>
        <v>171</v>
      </c>
      <c r="T15" s="17">
        <f t="shared" si="7"/>
        <v>52</v>
      </c>
      <c r="U15" s="17">
        <f t="shared" si="7"/>
        <v>33</v>
      </c>
      <c r="V15" s="17">
        <f t="shared" si="7"/>
        <v>202</v>
      </c>
      <c r="W15" s="17">
        <f t="shared" si="7"/>
        <v>8</v>
      </c>
      <c r="X15" s="17">
        <f t="shared" si="7"/>
        <v>1</v>
      </c>
      <c r="Y15" s="17">
        <f t="shared" si="7"/>
        <v>19</v>
      </c>
      <c r="Z15" s="17">
        <f t="shared" si="7"/>
        <v>26</v>
      </c>
      <c r="AA15" s="17">
        <f t="shared" si="7"/>
        <v>18</v>
      </c>
      <c r="AB15" s="17">
        <f t="shared" si="7"/>
        <v>2</v>
      </c>
      <c r="AC15" s="17">
        <f t="shared" si="7"/>
        <v>293</v>
      </c>
      <c r="AD15" s="17">
        <f t="shared" si="7"/>
        <v>0</v>
      </c>
      <c r="AE15" s="31">
        <f t="shared" si="7"/>
        <v>532</v>
      </c>
      <c r="AF15" s="31">
        <f t="shared" si="7"/>
        <v>825</v>
      </c>
    </row>
    <row r="16" spans="2:32" ht="23.1" customHeight="1" x14ac:dyDescent="0.25">
      <c r="B16" s="23" t="s">
        <v>43</v>
      </c>
      <c r="C16" s="50">
        <v>25</v>
      </c>
      <c r="D16" s="50">
        <v>7</v>
      </c>
      <c r="E16" s="50">
        <v>10</v>
      </c>
      <c r="F16" s="50">
        <v>36</v>
      </c>
      <c r="G16" s="50">
        <v>1</v>
      </c>
      <c r="H16" s="50">
        <v>0</v>
      </c>
      <c r="I16" s="50">
        <v>3</v>
      </c>
      <c r="J16" s="50">
        <v>5</v>
      </c>
      <c r="K16" s="50">
        <v>2</v>
      </c>
      <c r="L16" s="50">
        <v>0</v>
      </c>
      <c r="M16" s="50">
        <v>137</v>
      </c>
      <c r="N16" s="50">
        <v>0</v>
      </c>
      <c r="O16" s="15">
        <f t="shared" si="0"/>
        <v>89</v>
      </c>
      <c r="P16" s="15">
        <f t="shared" si="1"/>
        <v>226</v>
      </c>
      <c r="R16" s="1" t="s">
        <v>12</v>
      </c>
      <c r="S16" s="17">
        <f t="shared" ref="S16:AF16" si="8">SUM(C34:C37)</f>
        <v>139</v>
      </c>
      <c r="T16" s="17">
        <f t="shared" si="8"/>
        <v>60</v>
      </c>
      <c r="U16" s="17">
        <f t="shared" si="8"/>
        <v>26</v>
      </c>
      <c r="V16" s="17">
        <f t="shared" si="8"/>
        <v>136</v>
      </c>
      <c r="W16" s="17">
        <f t="shared" si="8"/>
        <v>3</v>
      </c>
      <c r="X16" s="17">
        <f t="shared" si="8"/>
        <v>2</v>
      </c>
      <c r="Y16" s="17">
        <f t="shared" si="8"/>
        <v>41</v>
      </c>
      <c r="Z16" s="17">
        <f t="shared" si="8"/>
        <v>10</v>
      </c>
      <c r="AA16" s="17">
        <f t="shared" si="8"/>
        <v>10</v>
      </c>
      <c r="AB16" s="17">
        <f t="shared" si="8"/>
        <v>2</v>
      </c>
      <c r="AC16" s="17">
        <f t="shared" si="8"/>
        <v>317</v>
      </c>
      <c r="AD16" s="17">
        <f t="shared" si="8"/>
        <v>0</v>
      </c>
      <c r="AE16" s="31">
        <f t="shared" si="8"/>
        <v>429</v>
      </c>
      <c r="AF16" s="31">
        <f t="shared" si="8"/>
        <v>746</v>
      </c>
    </row>
    <row r="17" spans="2:32" ht="23.1" customHeight="1" x14ac:dyDescent="0.25">
      <c r="B17" s="23" t="s">
        <v>44</v>
      </c>
      <c r="C17" s="50">
        <v>29</v>
      </c>
      <c r="D17" s="50">
        <v>14</v>
      </c>
      <c r="E17" s="50">
        <v>5</v>
      </c>
      <c r="F17" s="50">
        <v>47</v>
      </c>
      <c r="G17" s="50">
        <v>1</v>
      </c>
      <c r="H17" s="50">
        <v>0</v>
      </c>
      <c r="I17" s="50">
        <v>5</v>
      </c>
      <c r="J17" s="50">
        <v>4</v>
      </c>
      <c r="K17" s="50">
        <v>4</v>
      </c>
      <c r="L17" s="50">
        <v>0</v>
      </c>
      <c r="M17" s="50">
        <v>138</v>
      </c>
      <c r="N17" s="50">
        <v>0</v>
      </c>
      <c r="O17" s="15">
        <f t="shared" si="0"/>
        <v>109</v>
      </c>
      <c r="P17" s="15">
        <f t="shared" si="1"/>
        <v>247</v>
      </c>
      <c r="R17" s="1" t="s">
        <v>13</v>
      </c>
      <c r="S17" s="17">
        <f t="shared" ref="S17:AF17" si="9">SUM(C38:C41)</f>
        <v>150</v>
      </c>
      <c r="T17" s="17">
        <f t="shared" si="9"/>
        <v>65</v>
      </c>
      <c r="U17" s="17">
        <f t="shared" si="9"/>
        <v>32</v>
      </c>
      <c r="V17" s="17">
        <f t="shared" si="9"/>
        <v>142</v>
      </c>
      <c r="W17" s="17">
        <f t="shared" si="9"/>
        <v>1</v>
      </c>
      <c r="X17" s="17">
        <f t="shared" si="9"/>
        <v>3</v>
      </c>
      <c r="Y17" s="17">
        <f t="shared" si="9"/>
        <v>34</v>
      </c>
      <c r="Z17" s="17">
        <f t="shared" si="9"/>
        <v>21</v>
      </c>
      <c r="AA17" s="17">
        <f t="shared" si="9"/>
        <v>21</v>
      </c>
      <c r="AB17" s="17">
        <f t="shared" si="9"/>
        <v>2</v>
      </c>
      <c r="AC17" s="17">
        <f t="shared" si="9"/>
        <v>329</v>
      </c>
      <c r="AD17" s="17">
        <f t="shared" si="9"/>
        <v>0</v>
      </c>
      <c r="AE17" s="31">
        <f t="shared" si="9"/>
        <v>471</v>
      </c>
      <c r="AF17" s="31">
        <f t="shared" si="9"/>
        <v>800</v>
      </c>
    </row>
    <row r="18" spans="2:32" ht="23.1" customHeight="1" x14ac:dyDescent="0.25">
      <c r="B18" s="23" t="s">
        <v>45</v>
      </c>
      <c r="C18" s="50">
        <v>30</v>
      </c>
      <c r="D18" s="50">
        <v>11</v>
      </c>
      <c r="E18" s="50">
        <v>7</v>
      </c>
      <c r="F18" s="50">
        <v>45</v>
      </c>
      <c r="G18" s="50">
        <v>0</v>
      </c>
      <c r="H18" s="50">
        <v>0</v>
      </c>
      <c r="I18" s="50">
        <v>6</v>
      </c>
      <c r="J18" s="50">
        <v>3</v>
      </c>
      <c r="K18" s="50">
        <v>3</v>
      </c>
      <c r="L18" s="50">
        <v>0</v>
      </c>
      <c r="M18" s="50">
        <v>144</v>
      </c>
      <c r="N18" s="50">
        <v>0</v>
      </c>
      <c r="O18" s="15">
        <f t="shared" si="0"/>
        <v>105</v>
      </c>
      <c r="P18" s="15">
        <f t="shared" si="1"/>
        <v>249</v>
      </c>
      <c r="R18" s="1" t="s">
        <v>14</v>
      </c>
      <c r="S18" s="17">
        <f t="shared" ref="S18:AF18" si="10">SUM(C42:C45)</f>
        <v>196</v>
      </c>
      <c r="T18" s="17">
        <f t="shared" si="10"/>
        <v>56</v>
      </c>
      <c r="U18" s="17">
        <f t="shared" si="10"/>
        <v>24</v>
      </c>
      <c r="V18" s="17">
        <f t="shared" si="10"/>
        <v>145</v>
      </c>
      <c r="W18" s="17">
        <f t="shared" si="10"/>
        <v>1</v>
      </c>
      <c r="X18" s="17">
        <f t="shared" si="10"/>
        <v>2</v>
      </c>
      <c r="Y18" s="17">
        <f t="shared" si="10"/>
        <v>20</v>
      </c>
      <c r="Z18" s="17">
        <f t="shared" si="10"/>
        <v>23</v>
      </c>
      <c r="AA18" s="17">
        <f t="shared" si="10"/>
        <v>10</v>
      </c>
      <c r="AB18" s="17">
        <f t="shared" si="10"/>
        <v>1</v>
      </c>
      <c r="AC18" s="17">
        <f t="shared" si="10"/>
        <v>323</v>
      </c>
      <c r="AD18" s="17">
        <f t="shared" si="10"/>
        <v>0</v>
      </c>
      <c r="AE18" s="31">
        <f t="shared" si="10"/>
        <v>478</v>
      </c>
      <c r="AF18" s="31">
        <f t="shared" si="10"/>
        <v>801</v>
      </c>
    </row>
    <row r="19" spans="2:32" ht="23.1" customHeight="1" x14ac:dyDescent="0.25">
      <c r="B19" s="23" t="s">
        <v>46</v>
      </c>
      <c r="C19" s="50">
        <v>28</v>
      </c>
      <c r="D19" s="50">
        <v>4</v>
      </c>
      <c r="E19" s="50">
        <v>4</v>
      </c>
      <c r="F19" s="50">
        <v>41</v>
      </c>
      <c r="G19" s="50">
        <v>0</v>
      </c>
      <c r="H19" s="50">
        <v>0</v>
      </c>
      <c r="I19" s="50">
        <v>6</v>
      </c>
      <c r="J19" s="50">
        <v>5</v>
      </c>
      <c r="K19" s="50">
        <v>5</v>
      </c>
      <c r="L19" s="50">
        <v>0</v>
      </c>
      <c r="M19" s="50">
        <v>99</v>
      </c>
      <c r="N19" s="50">
        <v>0</v>
      </c>
      <c r="O19" s="15">
        <f t="shared" si="0"/>
        <v>93</v>
      </c>
      <c r="P19" s="15">
        <f t="shared" si="1"/>
        <v>192</v>
      </c>
      <c r="R19" s="1" t="s">
        <v>15</v>
      </c>
      <c r="S19" s="17">
        <f t="shared" ref="S19:AF19" si="11">SUM(C46:C49)</f>
        <v>250</v>
      </c>
      <c r="T19" s="17">
        <f t="shared" si="11"/>
        <v>62</v>
      </c>
      <c r="U19" s="17">
        <f t="shared" si="11"/>
        <v>29</v>
      </c>
      <c r="V19" s="17">
        <f t="shared" si="11"/>
        <v>107</v>
      </c>
      <c r="W19" s="17">
        <f t="shared" si="11"/>
        <v>5</v>
      </c>
      <c r="X19" s="17">
        <f t="shared" si="11"/>
        <v>3</v>
      </c>
      <c r="Y19" s="17">
        <f t="shared" si="11"/>
        <v>34</v>
      </c>
      <c r="Z19" s="17">
        <f t="shared" si="11"/>
        <v>10</v>
      </c>
      <c r="AA19" s="17">
        <f t="shared" si="11"/>
        <v>11</v>
      </c>
      <c r="AB19" s="17">
        <f t="shared" si="11"/>
        <v>0</v>
      </c>
      <c r="AC19" s="17">
        <f t="shared" si="11"/>
        <v>372</v>
      </c>
      <c r="AD19" s="17">
        <f t="shared" si="11"/>
        <v>0</v>
      </c>
      <c r="AE19" s="31">
        <f t="shared" si="11"/>
        <v>511</v>
      </c>
      <c r="AF19" s="31">
        <f t="shared" si="11"/>
        <v>883</v>
      </c>
    </row>
    <row r="20" spans="2:32" ht="23.1" customHeight="1" x14ac:dyDescent="0.25">
      <c r="B20" s="23" t="s">
        <v>47</v>
      </c>
      <c r="C20" s="50">
        <v>35</v>
      </c>
      <c r="D20" s="50">
        <v>6</v>
      </c>
      <c r="E20" s="50">
        <v>11</v>
      </c>
      <c r="F20" s="50">
        <v>31</v>
      </c>
      <c r="G20" s="50">
        <v>0</v>
      </c>
      <c r="H20" s="50">
        <v>0</v>
      </c>
      <c r="I20" s="50">
        <v>11</v>
      </c>
      <c r="J20" s="50">
        <v>2</v>
      </c>
      <c r="K20" s="50">
        <v>10</v>
      </c>
      <c r="L20" s="50">
        <v>0</v>
      </c>
      <c r="M20" s="50">
        <v>127</v>
      </c>
      <c r="N20" s="50">
        <v>0</v>
      </c>
      <c r="O20" s="15">
        <f t="shared" si="0"/>
        <v>106</v>
      </c>
      <c r="P20" s="15">
        <f t="shared" si="1"/>
        <v>233</v>
      </c>
      <c r="R20" s="1" t="s">
        <v>16</v>
      </c>
      <c r="S20" s="17">
        <f t="shared" ref="S20:AF20" si="12">SUM(C50:C53)</f>
        <v>304</v>
      </c>
      <c r="T20" s="17">
        <f t="shared" si="12"/>
        <v>52</v>
      </c>
      <c r="U20" s="17">
        <f t="shared" si="12"/>
        <v>38</v>
      </c>
      <c r="V20" s="17">
        <f t="shared" si="12"/>
        <v>154</v>
      </c>
      <c r="W20" s="17">
        <f t="shared" si="12"/>
        <v>3</v>
      </c>
      <c r="X20" s="17">
        <f t="shared" si="12"/>
        <v>4</v>
      </c>
      <c r="Y20" s="17">
        <f t="shared" si="12"/>
        <v>44</v>
      </c>
      <c r="Z20" s="17">
        <f t="shared" si="12"/>
        <v>16</v>
      </c>
      <c r="AA20" s="17">
        <f t="shared" si="12"/>
        <v>9</v>
      </c>
      <c r="AB20" s="17">
        <f t="shared" si="12"/>
        <v>0</v>
      </c>
      <c r="AC20" s="17">
        <f t="shared" si="12"/>
        <v>423</v>
      </c>
      <c r="AD20" s="17">
        <f t="shared" si="12"/>
        <v>0</v>
      </c>
      <c r="AE20" s="31">
        <f t="shared" si="12"/>
        <v>624</v>
      </c>
      <c r="AF20" s="31">
        <f t="shared" si="12"/>
        <v>1047</v>
      </c>
    </row>
    <row r="21" spans="2:32" ht="23.1" customHeight="1" x14ac:dyDescent="0.25">
      <c r="B21" s="23" t="s">
        <v>48</v>
      </c>
      <c r="C21" s="50">
        <v>49</v>
      </c>
      <c r="D21" s="50">
        <v>13</v>
      </c>
      <c r="E21" s="50">
        <v>5</v>
      </c>
      <c r="F21" s="50">
        <v>36</v>
      </c>
      <c r="G21" s="50">
        <v>2</v>
      </c>
      <c r="H21" s="50">
        <v>0</v>
      </c>
      <c r="I21" s="50">
        <v>5</v>
      </c>
      <c r="J21" s="50">
        <v>9</v>
      </c>
      <c r="K21" s="50">
        <v>2</v>
      </c>
      <c r="L21" s="50">
        <v>0</v>
      </c>
      <c r="M21" s="50">
        <v>116</v>
      </c>
      <c r="N21" s="50">
        <v>0</v>
      </c>
      <c r="O21" s="15">
        <f t="shared" si="0"/>
        <v>121</v>
      </c>
      <c r="P21" s="15">
        <f t="shared" si="1"/>
        <v>237</v>
      </c>
      <c r="R21" s="36" t="s">
        <v>20</v>
      </c>
      <c r="S21" s="34">
        <f t="shared" ref="S21:AF21" si="13">SUM(C54:C57)</f>
        <v>298</v>
      </c>
      <c r="T21" s="17">
        <f t="shared" si="13"/>
        <v>76</v>
      </c>
      <c r="U21" s="17">
        <f t="shared" si="13"/>
        <v>30</v>
      </c>
      <c r="V21" s="17">
        <f t="shared" si="13"/>
        <v>189</v>
      </c>
      <c r="W21" s="17">
        <f t="shared" si="13"/>
        <v>2</v>
      </c>
      <c r="X21" s="17">
        <f t="shared" si="13"/>
        <v>4</v>
      </c>
      <c r="Y21" s="17">
        <f t="shared" si="13"/>
        <v>31</v>
      </c>
      <c r="Z21" s="17">
        <f t="shared" si="13"/>
        <v>19</v>
      </c>
      <c r="AA21" s="17">
        <f t="shared" si="13"/>
        <v>2</v>
      </c>
      <c r="AB21" s="17">
        <f t="shared" si="13"/>
        <v>0</v>
      </c>
      <c r="AC21" s="17">
        <f t="shared" si="13"/>
        <v>468</v>
      </c>
      <c r="AD21" s="17">
        <f t="shared" si="13"/>
        <v>0</v>
      </c>
      <c r="AE21" s="31">
        <f t="shared" si="13"/>
        <v>651</v>
      </c>
      <c r="AF21" s="31">
        <f t="shared" si="13"/>
        <v>1119</v>
      </c>
    </row>
    <row r="22" spans="2:32" ht="23.1" customHeight="1" x14ac:dyDescent="0.25">
      <c r="B22" s="23" t="s">
        <v>49</v>
      </c>
      <c r="C22" s="50">
        <v>33</v>
      </c>
      <c r="D22" s="50">
        <v>11</v>
      </c>
      <c r="E22" s="50">
        <v>5</v>
      </c>
      <c r="F22" s="50">
        <v>45</v>
      </c>
      <c r="G22" s="50">
        <v>0</v>
      </c>
      <c r="H22" s="50">
        <v>0</v>
      </c>
      <c r="I22" s="50">
        <v>8</v>
      </c>
      <c r="J22" s="50">
        <v>4</v>
      </c>
      <c r="K22" s="50">
        <v>4</v>
      </c>
      <c r="L22" s="50">
        <v>0</v>
      </c>
      <c r="M22" s="50">
        <v>123</v>
      </c>
      <c r="N22" s="50">
        <v>0</v>
      </c>
      <c r="O22" s="15">
        <f t="shared" si="0"/>
        <v>110</v>
      </c>
      <c r="P22" s="15">
        <f t="shared" si="1"/>
        <v>233</v>
      </c>
      <c r="R22" s="38" t="s">
        <v>90</v>
      </c>
      <c r="S22" s="39">
        <f>MAX(S10:S12)</f>
        <v>142</v>
      </c>
      <c r="T22" s="39">
        <f t="shared" ref="T22:AF22" si="14">MAX(T10:T12)</f>
        <v>82</v>
      </c>
      <c r="U22" s="39">
        <f t="shared" si="14"/>
        <v>50</v>
      </c>
      <c r="V22" s="39">
        <f t="shared" si="14"/>
        <v>153</v>
      </c>
      <c r="W22" s="39">
        <f t="shared" si="14"/>
        <v>3</v>
      </c>
      <c r="X22" s="39">
        <f t="shared" si="14"/>
        <v>1</v>
      </c>
      <c r="Y22" s="39">
        <f t="shared" si="14"/>
        <v>28</v>
      </c>
      <c r="Z22" s="39">
        <f t="shared" si="14"/>
        <v>51</v>
      </c>
      <c r="AA22" s="39">
        <f t="shared" si="14"/>
        <v>20</v>
      </c>
      <c r="AB22" s="39">
        <f t="shared" si="14"/>
        <v>0</v>
      </c>
      <c r="AC22" s="39">
        <f t="shared" si="14"/>
        <v>550</v>
      </c>
      <c r="AD22" s="39">
        <f t="shared" si="14"/>
        <v>0</v>
      </c>
      <c r="AE22" s="40">
        <f t="shared" si="14"/>
        <v>476</v>
      </c>
      <c r="AF22" s="40">
        <f t="shared" si="14"/>
        <v>930</v>
      </c>
    </row>
    <row r="23" spans="2:32" ht="23.1" customHeight="1" x14ac:dyDescent="0.25">
      <c r="B23" s="23" t="s">
        <v>50</v>
      </c>
      <c r="C23" s="50">
        <v>31</v>
      </c>
      <c r="D23" s="50">
        <v>8</v>
      </c>
      <c r="E23" s="50">
        <v>8</v>
      </c>
      <c r="F23" s="50">
        <v>52</v>
      </c>
      <c r="G23" s="50">
        <v>1</v>
      </c>
      <c r="H23" s="50">
        <v>1</v>
      </c>
      <c r="I23" s="50">
        <v>10</v>
      </c>
      <c r="J23" s="50">
        <v>6</v>
      </c>
      <c r="K23" s="50">
        <v>5</v>
      </c>
      <c r="L23" s="50">
        <v>0</v>
      </c>
      <c r="M23" s="50">
        <v>129</v>
      </c>
      <c r="N23" s="50">
        <v>0</v>
      </c>
      <c r="O23" s="15">
        <f t="shared" si="0"/>
        <v>122</v>
      </c>
      <c r="P23" s="15">
        <f t="shared" si="1"/>
        <v>251</v>
      </c>
      <c r="R23" s="38" t="s">
        <v>91</v>
      </c>
      <c r="S23" s="39">
        <f>MAX(S13:S18)</f>
        <v>196</v>
      </c>
      <c r="T23" s="39">
        <f t="shared" ref="T23:AF23" si="15">MAX(T13:T18)</f>
        <v>65</v>
      </c>
      <c r="U23" s="39">
        <f t="shared" si="15"/>
        <v>42</v>
      </c>
      <c r="V23" s="39">
        <f t="shared" si="15"/>
        <v>202</v>
      </c>
      <c r="W23" s="39">
        <f t="shared" si="15"/>
        <v>8</v>
      </c>
      <c r="X23" s="39">
        <f t="shared" si="15"/>
        <v>3</v>
      </c>
      <c r="Y23" s="39">
        <f t="shared" si="15"/>
        <v>41</v>
      </c>
      <c r="Z23" s="39">
        <f t="shared" si="15"/>
        <v>26</v>
      </c>
      <c r="AA23" s="39">
        <f t="shared" si="15"/>
        <v>21</v>
      </c>
      <c r="AB23" s="39">
        <f t="shared" si="15"/>
        <v>2</v>
      </c>
      <c r="AC23" s="39">
        <f t="shared" si="15"/>
        <v>490</v>
      </c>
      <c r="AD23" s="39">
        <f t="shared" si="15"/>
        <v>0</v>
      </c>
      <c r="AE23" s="40">
        <f t="shared" si="15"/>
        <v>532</v>
      </c>
      <c r="AF23" s="40">
        <f t="shared" si="15"/>
        <v>976</v>
      </c>
    </row>
    <row r="24" spans="2:32" ht="23.1" customHeight="1" x14ac:dyDescent="0.25">
      <c r="B24" s="23" t="s">
        <v>51</v>
      </c>
      <c r="C24" s="50">
        <v>36</v>
      </c>
      <c r="D24" s="50">
        <v>13</v>
      </c>
      <c r="E24" s="50">
        <v>10</v>
      </c>
      <c r="F24" s="50">
        <v>40</v>
      </c>
      <c r="G24" s="50">
        <v>1</v>
      </c>
      <c r="H24" s="50">
        <v>0</v>
      </c>
      <c r="I24" s="50">
        <v>11</v>
      </c>
      <c r="J24" s="50">
        <v>10</v>
      </c>
      <c r="K24" s="50">
        <v>3</v>
      </c>
      <c r="L24" s="50">
        <v>1</v>
      </c>
      <c r="M24" s="50">
        <v>107</v>
      </c>
      <c r="N24" s="50">
        <v>0</v>
      </c>
      <c r="O24" s="15">
        <f t="shared" si="0"/>
        <v>125</v>
      </c>
      <c r="P24" s="15">
        <f t="shared" si="1"/>
        <v>232</v>
      </c>
      <c r="R24" s="38" t="s">
        <v>92</v>
      </c>
      <c r="S24" s="39">
        <f>MAX(S19:S21)</f>
        <v>304</v>
      </c>
      <c r="T24" s="39">
        <f t="shared" ref="T24:AF24" si="16">MAX(T19:T21)</f>
        <v>76</v>
      </c>
      <c r="U24" s="39">
        <f t="shared" si="16"/>
        <v>38</v>
      </c>
      <c r="V24" s="39">
        <f t="shared" si="16"/>
        <v>189</v>
      </c>
      <c r="W24" s="39">
        <f t="shared" si="16"/>
        <v>5</v>
      </c>
      <c r="X24" s="39">
        <f t="shared" si="16"/>
        <v>4</v>
      </c>
      <c r="Y24" s="39">
        <f t="shared" si="16"/>
        <v>44</v>
      </c>
      <c r="Z24" s="39">
        <f t="shared" si="16"/>
        <v>19</v>
      </c>
      <c r="AA24" s="39">
        <f t="shared" si="16"/>
        <v>11</v>
      </c>
      <c r="AB24" s="39">
        <f t="shared" si="16"/>
        <v>0</v>
      </c>
      <c r="AC24" s="39">
        <f t="shared" si="16"/>
        <v>468</v>
      </c>
      <c r="AD24" s="39">
        <f t="shared" si="16"/>
        <v>0</v>
      </c>
      <c r="AE24" s="40">
        <f t="shared" si="16"/>
        <v>651</v>
      </c>
      <c r="AF24" s="40">
        <f t="shared" si="16"/>
        <v>1119</v>
      </c>
    </row>
    <row r="25" spans="2:32" ht="23.1" customHeight="1" x14ac:dyDescent="0.25">
      <c r="B25" s="23" t="s">
        <v>52</v>
      </c>
      <c r="C25" s="50">
        <v>46</v>
      </c>
      <c r="D25" s="50">
        <v>11</v>
      </c>
      <c r="E25" s="50">
        <v>9</v>
      </c>
      <c r="F25" s="50">
        <v>53</v>
      </c>
      <c r="G25" s="50">
        <v>0</v>
      </c>
      <c r="H25" s="50">
        <v>0</v>
      </c>
      <c r="I25" s="50">
        <v>5</v>
      </c>
      <c r="J25" s="50">
        <v>3</v>
      </c>
      <c r="K25" s="50">
        <v>2</v>
      </c>
      <c r="L25" s="50">
        <v>0</v>
      </c>
      <c r="M25" s="50">
        <v>131</v>
      </c>
      <c r="N25" s="50">
        <v>0</v>
      </c>
      <c r="O25" s="15">
        <f t="shared" si="0"/>
        <v>129</v>
      </c>
      <c r="P25" s="15">
        <f t="shared" si="1"/>
        <v>260</v>
      </c>
      <c r="R25" s="37" t="s">
        <v>85</v>
      </c>
      <c r="S25" s="35">
        <f t="shared" ref="S25:AF25" si="17">SUM(S10:S12)</f>
        <v>371</v>
      </c>
      <c r="T25" s="16">
        <f t="shared" si="17"/>
        <v>158</v>
      </c>
      <c r="U25" s="16">
        <f t="shared" si="17"/>
        <v>104</v>
      </c>
      <c r="V25" s="16">
        <f t="shared" si="17"/>
        <v>436</v>
      </c>
      <c r="W25" s="16">
        <f t="shared" si="17"/>
        <v>7</v>
      </c>
      <c r="X25" s="16">
        <f t="shared" si="17"/>
        <v>1</v>
      </c>
      <c r="Y25" s="16">
        <f t="shared" si="17"/>
        <v>74</v>
      </c>
      <c r="Z25" s="16">
        <f t="shared" si="17"/>
        <v>84</v>
      </c>
      <c r="AA25" s="16">
        <f t="shared" si="17"/>
        <v>46</v>
      </c>
      <c r="AB25" s="16">
        <f t="shared" si="17"/>
        <v>0</v>
      </c>
      <c r="AC25" s="16">
        <f t="shared" si="17"/>
        <v>1361</v>
      </c>
      <c r="AD25" s="16">
        <f t="shared" si="17"/>
        <v>0</v>
      </c>
      <c r="AE25" s="32">
        <f t="shared" si="17"/>
        <v>1281</v>
      </c>
      <c r="AF25" s="32">
        <f t="shared" si="17"/>
        <v>2642</v>
      </c>
    </row>
    <row r="26" spans="2:32" ht="23.1" customHeight="1" x14ac:dyDescent="0.25">
      <c r="B26" s="23" t="s">
        <v>53</v>
      </c>
      <c r="C26" s="50">
        <v>33</v>
      </c>
      <c r="D26" s="50">
        <v>14</v>
      </c>
      <c r="E26" s="50">
        <v>9</v>
      </c>
      <c r="F26" s="50">
        <v>37</v>
      </c>
      <c r="G26" s="50">
        <v>0</v>
      </c>
      <c r="H26" s="50">
        <v>1</v>
      </c>
      <c r="I26" s="50">
        <v>8</v>
      </c>
      <c r="J26" s="50">
        <v>2</v>
      </c>
      <c r="K26" s="50">
        <v>4</v>
      </c>
      <c r="L26" s="50">
        <v>0</v>
      </c>
      <c r="M26" s="50">
        <v>103</v>
      </c>
      <c r="N26" s="50">
        <v>0</v>
      </c>
      <c r="O26" s="15">
        <f t="shared" si="0"/>
        <v>108</v>
      </c>
      <c r="P26" s="15">
        <f t="shared" si="1"/>
        <v>211</v>
      </c>
      <c r="R26" s="28" t="s">
        <v>86</v>
      </c>
      <c r="S26" s="16">
        <f t="shared" ref="S26:AF26" si="18">SUM(S13:S18)</f>
        <v>972</v>
      </c>
      <c r="T26" s="16">
        <f t="shared" si="18"/>
        <v>314</v>
      </c>
      <c r="U26" s="16">
        <f t="shared" si="18"/>
        <v>189</v>
      </c>
      <c r="V26" s="16">
        <f t="shared" si="18"/>
        <v>953</v>
      </c>
      <c r="W26" s="16">
        <f t="shared" si="18"/>
        <v>19</v>
      </c>
      <c r="X26" s="16">
        <f t="shared" si="18"/>
        <v>11</v>
      </c>
      <c r="Y26" s="16">
        <f t="shared" si="18"/>
        <v>187</v>
      </c>
      <c r="Z26" s="16">
        <f t="shared" si="18"/>
        <v>121</v>
      </c>
      <c r="AA26" s="16">
        <f t="shared" si="18"/>
        <v>94</v>
      </c>
      <c r="AB26" s="16">
        <f t="shared" si="18"/>
        <v>9</v>
      </c>
      <c r="AC26" s="16">
        <f t="shared" si="18"/>
        <v>2191</v>
      </c>
      <c r="AD26" s="16">
        <f t="shared" si="18"/>
        <v>0</v>
      </c>
      <c r="AE26" s="32">
        <f t="shared" si="18"/>
        <v>2869</v>
      </c>
      <c r="AF26" s="32">
        <f t="shared" si="18"/>
        <v>5060</v>
      </c>
    </row>
    <row r="27" spans="2:32" ht="23.1" customHeight="1" x14ac:dyDescent="0.25">
      <c r="B27" s="23" t="s">
        <v>54</v>
      </c>
      <c r="C27" s="50">
        <v>46</v>
      </c>
      <c r="D27" s="50">
        <v>8</v>
      </c>
      <c r="E27" s="50">
        <v>14</v>
      </c>
      <c r="F27" s="50">
        <v>35</v>
      </c>
      <c r="G27" s="50">
        <v>1</v>
      </c>
      <c r="H27" s="50">
        <v>1</v>
      </c>
      <c r="I27" s="50">
        <v>13</v>
      </c>
      <c r="J27" s="50">
        <v>7</v>
      </c>
      <c r="K27" s="50">
        <v>6</v>
      </c>
      <c r="L27" s="50">
        <v>0</v>
      </c>
      <c r="M27" s="50">
        <v>96</v>
      </c>
      <c r="N27" s="50">
        <v>0</v>
      </c>
      <c r="O27" s="15">
        <f t="shared" si="0"/>
        <v>131</v>
      </c>
      <c r="P27" s="15">
        <f t="shared" si="1"/>
        <v>227</v>
      </c>
      <c r="R27" s="29" t="s">
        <v>87</v>
      </c>
      <c r="S27" s="16">
        <f t="shared" ref="S27:AF27" si="19">SUM(S19:S21)</f>
        <v>852</v>
      </c>
      <c r="T27" s="16">
        <f t="shared" si="19"/>
        <v>190</v>
      </c>
      <c r="U27" s="16">
        <f t="shared" si="19"/>
        <v>97</v>
      </c>
      <c r="V27" s="16">
        <f t="shared" si="19"/>
        <v>450</v>
      </c>
      <c r="W27" s="16">
        <f t="shared" si="19"/>
        <v>10</v>
      </c>
      <c r="X27" s="16">
        <f t="shared" si="19"/>
        <v>11</v>
      </c>
      <c r="Y27" s="16">
        <f t="shared" si="19"/>
        <v>109</v>
      </c>
      <c r="Z27" s="16">
        <f t="shared" si="19"/>
        <v>45</v>
      </c>
      <c r="AA27" s="16">
        <f t="shared" si="19"/>
        <v>22</v>
      </c>
      <c r="AB27" s="16">
        <f t="shared" si="19"/>
        <v>0</v>
      </c>
      <c r="AC27" s="16">
        <f t="shared" si="19"/>
        <v>1263</v>
      </c>
      <c r="AD27" s="16">
        <f t="shared" si="19"/>
        <v>0</v>
      </c>
      <c r="AE27" s="32">
        <f t="shared" si="19"/>
        <v>1786</v>
      </c>
      <c r="AF27" s="32">
        <f t="shared" si="19"/>
        <v>3049</v>
      </c>
    </row>
    <row r="28" spans="2:32" ht="23.1" customHeight="1" x14ac:dyDescent="0.25">
      <c r="B28" s="23" t="s">
        <v>55</v>
      </c>
      <c r="C28" s="50">
        <v>41</v>
      </c>
      <c r="D28" s="50">
        <v>13</v>
      </c>
      <c r="E28" s="50">
        <v>8</v>
      </c>
      <c r="F28" s="50">
        <v>43</v>
      </c>
      <c r="G28" s="50">
        <v>1</v>
      </c>
      <c r="H28" s="50">
        <v>0</v>
      </c>
      <c r="I28" s="50">
        <v>13</v>
      </c>
      <c r="J28" s="50">
        <v>8</v>
      </c>
      <c r="K28" s="50">
        <v>9</v>
      </c>
      <c r="L28" s="50">
        <v>1</v>
      </c>
      <c r="M28" s="50">
        <v>126</v>
      </c>
      <c r="N28" s="50">
        <v>0</v>
      </c>
      <c r="O28" s="15">
        <f t="shared" si="0"/>
        <v>137</v>
      </c>
      <c r="P28" s="15">
        <f t="shared" si="1"/>
        <v>263</v>
      </c>
      <c r="R28" s="5" t="s">
        <v>17</v>
      </c>
      <c r="S28" s="16">
        <f t="shared" ref="S28:AF28" si="20">SUM(S10:S21)</f>
        <v>2195</v>
      </c>
      <c r="T28" s="16">
        <f t="shared" si="20"/>
        <v>662</v>
      </c>
      <c r="U28" s="16">
        <f t="shared" si="20"/>
        <v>390</v>
      </c>
      <c r="V28" s="16">
        <f t="shared" si="20"/>
        <v>1839</v>
      </c>
      <c r="W28" s="16">
        <f t="shared" si="20"/>
        <v>36</v>
      </c>
      <c r="X28" s="16">
        <f t="shared" si="20"/>
        <v>23</v>
      </c>
      <c r="Y28" s="16">
        <f t="shared" si="20"/>
        <v>370</v>
      </c>
      <c r="Z28" s="16">
        <f t="shared" si="20"/>
        <v>250</v>
      </c>
      <c r="AA28" s="16">
        <f t="shared" si="20"/>
        <v>162</v>
      </c>
      <c r="AB28" s="16">
        <f t="shared" si="20"/>
        <v>9</v>
      </c>
      <c r="AC28" s="16">
        <f t="shared" si="20"/>
        <v>4815</v>
      </c>
      <c r="AD28" s="16">
        <f t="shared" si="20"/>
        <v>0</v>
      </c>
      <c r="AE28" s="32">
        <f t="shared" si="20"/>
        <v>5936</v>
      </c>
      <c r="AF28" s="32">
        <f t="shared" si="20"/>
        <v>10751</v>
      </c>
    </row>
    <row r="29" spans="2:32" ht="23.1" customHeight="1" x14ac:dyDescent="0.25">
      <c r="B29" s="23" t="s">
        <v>56</v>
      </c>
      <c r="C29" s="50">
        <v>50</v>
      </c>
      <c r="D29" s="50">
        <v>3</v>
      </c>
      <c r="E29" s="50">
        <v>11</v>
      </c>
      <c r="F29" s="50">
        <v>23</v>
      </c>
      <c r="G29" s="50">
        <v>2</v>
      </c>
      <c r="H29" s="50">
        <v>0</v>
      </c>
      <c r="I29" s="50">
        <v>5</v>
      </c>
      <c r="J29" s="50">
        <v>1</v>
      </c>
      <c r="K29" s="50">
        <v>2</v>
      </c>
      <c r="L29" s="50">
        <v>0</v>
      </c>
      <c r="M29" s="50">
        <v>114</v>
      </c>
      <c r="N29" s="50">
        <v>0</v>
      </c>
      <c r="O29" s="15">
        <f t="shared" si="0"/>
        <v>97</v>
      </c>
      <c r="P29" s="15">
        <f t="shared" si="1"/>
        <v>211</v>
      </c>
      <c r="R29"/>
      <c r="S29" s="20"/>
      <c r="T29" s="19"/>
    </row>
    <row r="30" spans="2:32" ht="23.1" customHeight="1" x14ac:dyDescent="0.25">
      <c r="B30" s="23" t="s">
        <v>57</v>
      </c>
      <c r="C30" s="50">
        <v>40</v>
      </c>
      <c r="D30" s="50">
        <v>11</v>
      </c>
      <c r="E30" s="50">
        <v>8</v>
      </c>
      <c r="F30" s="50">
        <v>63</v>
      </c>
      <c r="G30" s="50">
        <v>2</v>
      </c>
      <c r="H30" s="50">
        <v>0</v>
      </c>
      <c r="I30" s="50">
        <v>7</v>
      </c>
      <c r="J30" s="50">
        <v>2</v>
      </c>
      <c r="K30" s="50">
        <v>5</v>
      </c>
      <c r="L30" s="50">
        <v>0</v>
      </c>
      <c r="M30" s="50">
        <v>110</v>
      </c>
      <c r="N30" s="50">
        <v>0</v>
      </c>
      <c r="O30" s="15">
        <f t="shared" si="0"/>
        <v>138</v>
      </c>
      <c r="P30" s="15">
        <f t="shared" si="1"/>
        <v>248</v>
      </c>
    </row>
    <row r="31" spans="2:32" ht="23.1" customHeight="1" x14ac:dyDescent="0.25">
      <c r="B31" s="24" t="s">
        <v>58</v>
      </c>
      <c r="C31" s="50">
        <v>49</v>
      </c>
      <c r="D31" s="50">
        <v>8</v>
      </c>
      <c r="E31" s="50">
        <v>6</v>
      </c>
      <c r="F31" s="50">
        <v>42</v>
      </c>
      <c r="G31" s="50">
        <v>3</v>
      </c>
      <c r="H31" s="50">
        <v>0</v>
      </c>
      <c r="I31" s="50">
        <v>6</v>
      </c>
      <c r="J31" s="50">
        <v>5</v>
      </c>
      <c r="K31" s="50">
        <v>6</v>
      </c>
      <c r="L31" s="50">
        <v>0</v>
      </c>
      <c r="M31" s="50">
        <v>93</v>
      </c>
      <c r="N31" s="50">
        <v>0</v>
      </c>
      <c r="O31" s="15">
        <f t="shared" si="0"/>
        <v>125</v>
      </c>
      <c r="P31" s="15">
        <f t="shared" si="1"/>
        <v>218</v>
      </c>
    </row>
    <row r="32" spans="2:32" ht="23.1" customHeight="1" x14ac:dyDescent="0.25">
      <c r="B32" s="24" t="s">
        <v>59</v>
      </c>
      <c r="C32" s="50">
        <v>44</v>
      </c>
      <c r="D32" s="50">
        <v>11</v>
      </c>
      <c r="E32" s="50">
        <v>8</v>
      </c>
      <c r="F32" s="50">
        <v>32</v>
      </c>
      <c r="G32" s="50">
        <v>1</v>
      </c>
      <c r="H32" s="50">
        <v>0</v>
      </c>
      <c r="I32" s="50">
        <v>6</v>
      </c>
      <c r="J32" s="50">
        <v>6</v>
      </c>
      <c r="K32" s="50">
        <v>4</v>
      </c>
      <c r="L32" s="50">
        <v>1</v>
      </c>
      <c r="M32" s="50">
        <v>89</v>
      </c>
      <c r="N32" s="50">
        <v>0</v>
      </c>
      <c r="O32" s="15">
        <f t="shared" si="0"/>
        <v>113</v>
      </c>
      <c r="P32" s="15">
        <f t="shared" si="1"/>
        <v>202</v>
      </c>
    </row>
    <row r="33" spans="2:20" ht="23.1" customHeight="1" x14ac:dyDescent="0.25">
      <c r="B33" s="23" t="s">
        <v>60</v>
      </c>
      <c r="C33" s="50">
        <v>38</v>
      </c>
      <c r="D33" s="50">
        <v>22</v>
      </c>
      <c r="E33" s="50">
        <v>11</v>
      </c>
      <c r="F33" s="50">
        <v>65</v>
      </c>
      <c r="G33" s="50">
        <v>2</v>
      </c>
      <c r="H33" s="50">
        <v>1</v>
      </c>
      <c r="I33" s="50">
        <v>0</v>
      </c>
      <c r="J33" s="50">
        <v>13</v>
      </c>
      <c r="K33" s="50">
        <v>3</v>
      </c>
      <c r="L33" s="50">
        <v>1</v>
      </c>
      <c r="M33" s="50">
        <v>1</v>
      </c>
      <c r="N33" s="50">
        <v>0</v>
      </c>
      <c r="O33" s="15">
        <f t="shared" si="0"/>
        <v>156</v>
      </c>
      <c r="P33" s="15">
        <f t="shared" si="1"/>
        <v>157</v>
      </c>
    </row>
    <row r="34" spans="2:20" ht="23.1" customHeight="1" x14ac:dyDescent="0.25">
      <c r="B34" s="24" t="s">
        <v>61</v>
      </c>
      <c r="C34" s="50">
        <v>44</v>
      </c>
      <c r="D34" s="50">
        <v>18</v>
      </c>
      <c r="E34" s="50">
        <v>3</v>
      </c>
      <c r="F34" s="50">
        <v>37</v>
      </c>
      <c r="G34" s="50">
        <v>1</v>
      </c>
      <c r="H34" s="50">
        <v>0</v>
      </c>
      <c r="I34" s="50">
        <v>9</v>
      </c>
      <c r="J34" s="50">
        <v>3</v>
      </c>
      <c r="K34" s="50">
        <v>2</v>
      </c>
      <c r="L34" s="50">
        <v>0</v>
      </c>
      <c r="M34" s="50">
        <v>62</v>
      </c>
      <c r="N34" s="50">
        <v>0</v>
      </c>
      <c r="O34" s="15">
        <f t="shared" si="0"/>
        <v>117</v>
      </c>
      <c r="P34" s="15">
        <f t="shared" si="1"/>
        <v>179</v>
      </c>
    </row>
    <row r="35" spans="2:20" ht="23.1" customHeight="1" x14ac:dyDescent="0.25">
      <c r="B35" s="24" t="s">
        <v>62</v>
      </c>
      <c r="C35" s="50">
        <v>24</v>
      </c>
      <c r="D35" s="50">
        <v>9</v>
      </c>
      <c r="E35" s="50">
        <v>4</v>
      </c>
      <c r="F35" s="50">
        <v>24</v>
      </c>
      <c r="G35" s="50">
        <v>0</v>
      </c>
      <c r="H35" s="50">
        <v>1</v>
      </c>
      <c r="I35" s="50">
        <v>12</v>
      </c>
      <c r="J35" s="50">
        <v>3</v>
      </c>
      <c r="K35" s="50">
        <v>2</v>
      </c>
      <c r="L35" s="50">
        <v>0</v>
      </c>
      <c r="M35" s="50">
        <v>81</v>
      </c>
      <c r="N35" s="50">
        <v>0</v>
      </c>
      <c r="O35" s="15">
        <f t="shared" si="0"/>
        <v>79</v>
      </c>
      <c r="P35" s="15">
        <f t="shared" si="1"/>
        <v>160</v>
      </c>
    </row>
    <row r="36" spans="2:20" ht="23.1" customHeight="1" x14ac:dyDescent="0.25">
      <c r="B36" s="24" t="s">
        <v>63</v>
      </c>
      <c r="C36" s="50">
        <v>40</v>
      </c>
      <c r="D36" s="50">
        <v>23</v>
      </c>
      <c r="E36" s="50">
        <v>12</v>
      </c>
      <c r="F36" s="50">
        <v>50</v>
      </c>
      <c r="G36" s="50">
        <v>0</v>
      </c>
      <c r="H36" s="50">
        <v>0</v>
      </c>
      <c r="I36" s="50">
        <v>12</v>
      </c>
      <c r="J36" s="50">
        <v>1</v>
      </c>
      <c r="K36" s="50">
        <v>5</v>
      </c>
      <c r="L36" s="50">
        <v>1</v>
      </c>
      <c r="M36" s="50">
        <v>116</v>
      </c>
      <c r="N36" s="50">
        <v>0</v>
      </c>
      <c r="O36" s="15">
        <f t="shared" si="0"/>
        <v>144</v>
      </c>
      <c r="P36" s="15">
        <f t="shared" si="1"/>
        <v>260</v>
      </c>
    </row>
    <row r="37" spans="2:20" ht="23.1" customHeight="1" x14ac:dyDescent="0.25">
      <c r="B37" s="23" t="s">
        <v>64</v>
      </c>
      <c r="C37" s="50">
        <v>31</v>
      </c>
      <c r="D37" s="50">
        <v>10</v>
      </c>
      <c r="E37" s="50">
        <v>7</v>
      </c>
      <c r="F37" s="50">
        <v>25</v>
      </c>
      <c r="G37" s="50">
        <v>2</v>
      </c>
      <c r="H37" s="50">
        <v>1</v>
      </c>
      <c r="I37" s="50">
        <v>8</v>
      </c>
      <c r="J37" s="50">
        <v>3</v>
      </c>
      <c r="K37" s="50">
        <v>1</v>
      </c>
      <c r="L37" s="50">
        <v>1</v>
      </c>
      <c r="M37" s="50">
        <v>58</v>
      </c>
      <c r="N37" s="50">
        <v>0</v>
      </c>
      <c r="O37" s="15">
        <f t="shared" si="0"/>
        <v>89</v>
      </c>
      <c r="P37" s="15">
        <f t="shared" si="1"/>
        <v>147</v>
      </c>
    </row>
    <row r="38" spans="2:20" ht="23.1" customHeight="1" x14ac:dyDescent="0.25">
      <c r="B38" s="24" t="s">
        <v>65</v>
      </c>
      <c r="C38" s="50">
        <v>33</v>
      </c>
      <c r="D38" s="50">
        <v>14</v>
      </c>
      <c r="E38" s="50">
        <v>5</v>
      </c>
      <c r="F38" s="50">
        <v>35</v>
      </c>
      <c r="G38" s="50">
        <v>0</v>
      </c>
      <c r="H38" s="50">
        <v>0</v>
      </c>
      <c r="I38" s="50">
        <v>4</v>
      </c>
      <c r="J38" s="50">
        <v>5</v>
      </c>
      <c r="K38" s="50">
        <v>6</v>
      </c>
      <c r="L38" s="50">
        <v>1</v>
      </c>
      <c r="M38" s="50">
        <v>76</v>
      </c>
      <c r="N38" s="50">
        <v>0</v>
      </c>
      <c r="O38" s="15">
        <f t="shared" si="0"/>
        <v>103</v>
      </c>
      <c r="P38" s="15">
        <f t="shared" si="1"/>
        <v>179</v>
      </c>
    </row>
    <row r="39" spans="2:20" ht="23.1" customHeight="1" x14ac:dyDescent="0.25">
      <c r="B39" s="24" t="s">
        <v>66</v>
      </c>
      <c r="C39" s="50">
        <v>42</v>
      </c>
      <c r="D39" s="50">
        <v>15</v>
      </c>
      <c r="E39" s="50">
        <v>8</v>
      </c>
      <c r="F39" s="50">
        <v>35</v>
      </c>
      <c r="G39" s="50">
        <v>1</v>
      </c>
      <c r="H39" s="50">
        <v>1</v>
      </c>
      <c r="I39" s="50">
        <v>7</v>
      </c>
      <c r="J39" s="50">
        <v>6</v>
      </c>
      <c r="K39" s="50">
        <v>5</v>
      </c>
      <c r="L39" s="50">
        <v>1</v>
      </c>
      <c r="M39" s="50">
        <v>73</v>
      </c>
      <c r="N39" s="50">
        <v>0</v>
      </c>
      <c r="O39" s="15">
        <f t="shared" si="0"/>
        <v>121</v>
      </c>
      <c r="P39" s="15">
        <f t="shared" si="1"/>
        <v>194</v>
      </c>
    </row>
    <row r="40" spans="2:20" ht="23.1" customHeight="1" x14ac:dyDescent="0.25">
      <c r="B40" s="24" t="s">
        <v>67</v>
      </c>
      <c r="C40" s="50">
        <v>47</v>
      </c>
      <c r="D40" s="50">
        <v>16</v>
      </c>
      <c r="E40" s="50">
        <v>12</v>
      </c>
      <c r="F40" s="50">
        <v>33</v>
      </c>
      <c r="G40" s="50">
        <v>0</v>
      </c>
      <c r="H40" s="50">
        <v>0</v>
      </c>
      <c r="I40" s="50">
        <v>16</v>
      </c>
      <c r="J40" s="50">
        <v>5</v>
      </c>
      <c r="K40" s="50">
        <v>6</v>
      </c>
      <c r="L40" s="50">
        <v>0</v>
      </c>
      <c r="M40" s="50">
        <v>92</v>
      </c>
      <c r="N40" s="50">
        <v>0</v>
      </c>
      <c r="O40" s="15">
        <f t="shared" si="0"/>
        <v>135</v>
      </c>
      <c r="P40" s="15">
        <f t="shared" si="1"/>
        <v>227</v>
      </c>
    </row>
    <row r="41" spans="2:20" ht="23.1" customHeight="1" x14ac:dyDescent="0.25">
      <c r="B41" s="23" t="s">
        <v>68</v>
      </c>
      <c r="C41" s="50">
        <v>28</v>
      </c>
      <c r="D41" s="50">
        <v>20</v>
      </c>
      <c r="E41" s="50">
        <v>7</v>
      </c>
      <c r="F41" s="50">
        <v>39</v>
      </c>
      <c r="G41" s="50">
        <v>0</v>
      </c>
      <c r="H41" s="50">
        <v>2</v>
      </c>
      <c r="I41" s="50">
        <v>7</v>
      </c>
      <c r="J41" s="50">
        <v>5</v>
      </c>
      <c r="K41" s="50">
        <v>4</v>
      </c>
      <c r="L41" s="50">
        <v>0</v>
      </c>
      <c r="M41" s="50">
        <v>88</v>
      </c>
      <c r="N41" s="50">
        <v>0</v>
      </c>
      <c r="O41" s="15">
        <f t="shared" si="0"/>
        <v>112</v>
      </c>
      <c r="P41" s="15">
        <f t="shared" si="1"/>
        <v>200</v>
      </c>
    </row>
    <row r="42" spans="2:20" ht="23.1" customHeight="1" x14ac:dyDescent="0.25">
      <c r="B42" s="24" t="s">
        <v>69</v>
      </c>
      <c r="C42" s="50">
        <v>51</v>
      </c>
      <c r="D42" s="50">
        <v>12</v>
      </c>
      <c r="E42" s="50">
        <v>5</v>
      </c>
      <c r="F42" s="50">
        <v>37</v>
      </c>
      <c r="G42" s="50">
        <v>0</v>
      </c>
      <c r="H42" s="50">
        <v>0</v>
      </c>
      <c r="I42" s="50">
        <v>4</v>
      </c>
      <c r="J42" s="50">
        <v>5</v>
      </c>
      <c r="K42" s="50">
        <v>2</v>
      </c>
      <c r="L42" s="50">
        <v>0</v>
      </c>
      <c r="M42" s="50">
        <v>88</v>
      </c>
      <c r="N42" s="50">
        <v>0</v>
      </c>
      <c r="O42" s="15">
        <f t="shared" si="0"/>
        <v>116</v>
      </c>
      <c r="P42" s="15">
        <f t="shared" si="1"/>
        <v>204</v>
      </c>
    </row>
    <row r="43" spans="2:20" ht="23.1" customHeight="1" x14ac:dyDescent="0.25">
      <c r="B43" s="23" t="s">
        <v>70</v>
      </c>
      <c r="C43" s="50">
        <v>47</v>
      </c>
      <c r="D43" s="50">
        <v>12</v>
      </c>
      <c r="E43" s="50">
        <v>8</v>
      </c>
      <c r="F43" s="50">
        <v>28</v>
      </c>
      <c r="G43" s="50">
        <v>0</v>
      </c>
      <c r="H43" s="50">
        <v>0</v>
      </c>
      <c r="I43" s="50">
        <v>5</v>
      </c>
      <c r="J43" s="50">
        <v>7</v>
      </c>
      <c r="K43" s="50">
        <v>4</v>
      </c>
      <c r="L43" s="50">
        <v>0</v>
      </c>
      <c r="M43" s="50">
        <v>89</v>
      </c>
      <c r="N43" s="50">
        <v>0</v>
      </c>
      <c r="O43" s="15">
        <f t="shared" si="0"/>
        <v>111</v>
      </c>
      <c r="P43" s="15">
        <f t="shared" si="1"/>
        <v>200</v>
      </c>
    </row>
    <row r="44" spans="2:20" ht="23.1" customHeight="1" x14ac:dyDescent="0.25">
      <c r="B44" s="25" t="s">
        <v>71</v>
      </c>
      <c r="C44" s="50">
        <v>60</v>
      </c>
      <c r="D44" s="50">
        <v>20</v>
      </c>
      <c r="E44" s="50">
        <v>6</v>
      </c>
      <c r="F44" s="50">
        <v>51</v>
      </c>
      <c r="G44" s="50">
        <v>0</v>
      </c>
      <c r="H44" s="50">
        <v>2</v>
      </c>
      <c r="I44" s="50">
        <v>7</v>
      </c>
      <c r="J44" s="50">
        <v>6</v>
      </c>
      <c r="K44" s="50">
        <v>3</v>
      </c>
      <c r="L44" s="50">
        <v>0</v>
      </c>
      <c r="M44" s="50">
        <v>97</v>
      </c>
      <c r="N44" s="50">
        <v>0</v>
      </c>
      <c r="O44" s="15">
        <f t="shared" si="0"/>
        <v>155</v>
      </c>
      <c r="P44" s="15">
        <f t="shared" si="1"/>
        <v>252</v>
      </c>
    </row>
    <row r="45" spans="2:20" ht="23.1" customHeight="1" x14ac:dyDescent="0.25">
      <c r="B45" s="23" t="s">
        <v>72</v>
      </c>
      <c r="C45" s="50">
        <v>38</v>
      </c>
      <c r="D45" s="50">
        <v>12</v>
      </c>
      <c r="E45" s="50">
        <v>5</v>
      </c>
      <c r="F45" s="50">
        <v>29</v>
      </c>
      <c r="G45" s="50">
        <v>1</v>
      </c>
      <c r="H45" s="50">
        <v>0</v>
      </c>
      <c r="I45" s="50">
        <v>4</v>
      </c>
      <c r="J45" s="50">
        <v>5</v>
      </c>
      <c r="K45" s="50">
        <v>1</v>
      </c>
      <c r="L45" s="50">
        <v>1</v>
      </c>
      <c r="M45" s="50">
        <v>49</v>
      </c>
      <c r="N45" s="50">
        <v>0</v>
      </c>
      <c r="O45" s="15">
        <f t="shared" si="0"/>
        <v>96</v>
      </c>
      <c r="P45" s="15">
        <f t="shared" si="1"/>
        <v>145</v>
      </c>
    </row>
    <row r="46" spans="2:20" ht="23.1" customHeight="1" x14ac:dyDescent="0.25">
      <c r="B46" s="24" t="s">
        <v>73</v>
      </c>
      <c r="C46" s="50">
        <v>71</v>
      </c>
      <c r="D46" s="50">
        <v>18</v>
      </c>
      <c r="E46" s="50">
        <v>8</v>
      </c>
      <c r="F46" s="50">
        <v>36</v>
      </c>
      <c r="G46" s="50">
        <v>0</v>
      </c>
      <c r="H46" s="50">
        <v>0</v>
      </c>
      <c r="I46" s="50">
        <v>6</v>
      </c>
      <c r="J46" s="50">
        <v>3</v>
      </c>
      <c r="K46" s="50">
        <v>3</v>
      </c>
      <c r="L46" s="50">
        <v>0</v>
      </c>
      <c r="M46" s="50">
        <v>95</v>
      </c>
      <c r="N46" s="50">
        <v>0</v>
      </c>
      <c r="O46" s="15">
        <f t="shared" si="0"/>
        <v>145</v>
      </c>
      <c r="P46" s="15">
        <f t="shared" si="1"/>
        <v>240</v>
      </c>
      <c r="R46" s="8"/>
      <c r="T46"/>
    </row>
    <row r="47" spans="2:20" ht="23.1" customHeight="1" x14ac:dyDescent="0.25">
      <c r="B47" s="24" t="s">
        <v>74</v>
      </c>
      <c r="C47" s="50">
        <v>67</v>
      </c>
      <c r="D47" s="50">
        <v>17</v>
      </c>
      <c r="E47" s="50">
        <v>4</v>
      </c>
      <c r="F47" s="50">
        <v>35</v>
      </c>
      <c r="G47" s="50">
        <v>0</v>
      </c>
      <c r="H47" s="50">
        <v>0</v>
      </c>
      <c r="I47" s="50">
        <v>14</v>
      </c>
      <c r="J47" s="50">
        <v>3</v>
      </c>
      <c r="K47" s="50">
        <v>2</v>
      </c>
      <c r="L47" s="50">
        <v>0</v>
      </c>
      <c r="M47" s="50">
        <v>88</v>
      </c>
      <c r="N47" s="50">
        <v>0</v>
      </c>
      <c r="O47" s="15">
        <f t="shared" si="0"/>
        <v>142</v>
      </c>
      <c r="P47" s="15">
        <f t="shared" si="1"/>
        <v>230</v>
      </c>
      <c r="R47" s="8"/>
      <c r="T47"/>
    </row>
    <row r="48" spans="2:20" ht="23.1" customHeight="1" x14ac:dyDescent="0.25">
      <c r="B48" s="24" t="s">
        <v>75</v>
      </c>
      <c r="C48" s="50">
        <v>54</v>
      </c>
      <c r="D48" s="50">
        <v>10</v>
      </c>
      <c r="E48" s="50">
        <v>7</v>
      </c>
      <c r="F48" s="50">
        <v>35</v>
      </c>
      <c r="G48" s="50">
        <v>3</v>
      </c>
      <c r="H48" s="50">
        <v>3</v>
      </c>
      <c r="I48" s="50">
        <v>6</v>
      </c>
      <c r="J48" s="50">
        <v>0</v>
      </c>
      <c r="K48" s="50">
        <v>3</v>
      </c>
      <c r="L48" s="50">
        <v>0</v>
      </c>
      <c r="M48" s="50">
        <v>93</v>
      </c>
      <c r="N48" s="50">
        <v>0</v>
      </c>
      <c r="O48" s="15">
        <f t="shared" si="0"/>
        <v>121</v>
      </c>
      <c r="P48" s="15">
        <f t="shared" si="1"/>
        <v>214</v>
      </c>
      <c r="R48" s="8"/>
      <c r="T48"/>
    </row>
    <row r="49" spans="2:20" ht="23.1" customHeight="1" x14ac:dyDescent="0.25">
      <c r="B49" s="23" t="s">
        <v>76</v>
      </c>
      <c r="C49" s="50">
        <v>58</v>
      </c>
      <c r="D49" s="50">
        <v>17</v>
      </c>
      <c r="E49" s="50">
        <v>10</v>
      </c>
      <c r="F49" s="50">
        <v>1</v>
      </c>
      <c r="G49" s="50">
        <v>2</v>
      </c>
      <c r="H49" s="50">
        <v>0</v>
      </c>
      <c r="I49" s="50">
        <v>8</v>
      </c>
      <c r="J49" s="50">
        <v>4</v>
      </c>
      <c r="K49" s="50">
        <v>3</v>
      </c>
      <c r="L49" s="50">
        <v>0</v>
      </c>
      <c r="M49" s="50">
        <v>96</v>
      </c>
      <c r="N49" s="50">
        <v>0</v>
      </c>
      <c r="O49" s="15">
        <f t="shared" si="0"/>
        <v>103</v>
      </c>
      <c r="P49" s="15">
        <f t="shared" si="1"/>
        <v>199</v>
      </c>
      <c r="R49" s="8"/>
      <c r="T49"/>
    </row>
    <row r="50" spans="2:20" ht="23.1" customHeight="1" x14ac:dyDescent="0.25">
      <c r="B50" s="24" t="s">
        <v>77</v>
      </c>
      <c r="C50" s="50">
        <v>76</v>
      </c>
      <c r="D50" s="50">
        <v>13</v>
      </c>
      <c r="E50" s="50">
        <v>13</v>
      </c>
      <c r="F50" s="50">
        <v>45</v>
      </c>
      <c r="G50" s="50">
        <v>0</v>
      </c>
      <c r="H50" s="50">
        <v>1</v>
      </c>
      <c r="I50" s="50">
        <v>7</v>
      </c>
      <c r="J50" s="50">
        <v>7</v>
      </c>
      <c r="K50" s="50">
        <v>5</v>
      </c>
      <c r="L50" s="50">
        <v>0</v>
      </c>
      <c r="M50" s="50">
        <v>112</v>
      </c>
      <c r="N50" s="50">
        <v>0</v>
      </c>
      <c r="O50" s="15">
        <f t="shared" si="0"/>
        <v>167</v>
      </c>
      <c r="P50" s="15">
        <f t="shared" si="1"/>
        <v>279</v>
      </c>
      <c r="R50" s="8"/>
      <c r="T50"/>
    </row>
    <row r="51" spans="2:20" ht="23.1" customHeight="1" x14ac:dyDescent="0.25">
      <c r="B51" s="24" t="s">
        <v>78</v>
      </c>
      <c r="C51" s="50">
        <v>75</v>
      </c>
      <c r="D51" s="50">
        <v>7</v>
      </c>
      <c r="E51" s="50">
        <v>12</v>
      </c>
      <c r="F51" s="50">
        <v>44</v>
      </c>
      <c r="G51" s="50">
        <v>0</v>
      </c>
      <c r="H51" s="50">
        <v>3</v>
      </c>
      <c r="I51" s="50">
        <v>11</v>
      </c>
      <c r="J51" s="50">
        <v>8</v>
      </c>
      <c r="K51" s="50">
        <v>3</v>
      </c>
      <c r="L51" s="50">
        <v>0</v>
      </c>
      <c r="M51" s="50">
        <v>119</v>
      </c>
      <c r="N51" s="50">
        <v>0</v>
      </c>
      <c r="O51" s="15">
        <f t="shared" si="0"/>
        <v>163</v>
      </c>
      <c r="P51" s="15">
        <f t="shared" si="1"/>
        <v>282</v>
      </c>
      <c r="R51" s="8"/>
      <c r="T51"/>
    </row>
    <row r="52" spans="2:20" ht="23.1" customHeight="1" x14ac:dyDescent="0.25">
      <c r="B52" s="24" t="s">
        <v>79</v>
      </c>
      <c r="C52" s="50">
        <v>75</v>
      </c>
      <c r="D52" s="50">
        <v>10</v>
      </c>
      <c r="E52" s="50">
        <v>6</v>
      </c>
      <c r="F52" s="50">
        <v>31</v>
      </c>
      <c r="G52" s="50">
        <v>1</v>
      </c>
      <c r="H52" s="50">
        <v>0</v>
      </c>
      <c r="I52" s="50">
        <v>15</v>
      </c>
      <c r="J52" s="50">
        <v>1</v>
      </c>
      <c r="K52" s="50">
        <v>0</v>
      </c>
      <c r="L52" s="50">
        <v>0</v>
      </c>
      <c r="M52" s="50">
        <v>80</v>
      </c>
      <c r="N52" s="50">
        <v>0</v>
      </c>
      <c r="O52" s="15">
        <f t="shared" si="0"/>
        <v>139</v>
      </c>
      <c r="P52" s="15">
        <f t="shared" si="1"/>
        <v>219</v>
      </c>
      <c r="R52" s="8"/>
      <c r="T52"/>
    </row>
    <row r="53" spans="2:20" ht="23.1" customHeight="1" x14ac:dyDescent="0.25">
      <c r="B53" s="23" t="s">
        <v>80</v>
      </c>
      <c r="C53" s="50">
        <v>78</v>
      </c>
      <c r="D53" s="50">
        <v>22</v>
      </c>
      <c r="E53" s="50">
        <v>7</v>
      </c>
      <c r="F53" s="50">
        <v>34</v>
      </c>
      <c r="G53" s="50">
        <v>2</v>
      </c>
      <c r="H53" s="50">
        <v>0</v>
      </c>
      <c r="I53" s="50">
        <v>11</v>
      </c>
      <c r="J53" s="50">
        <v>0</v>
      </c>
      <c r="K53" s="50">
        <v>1</v>
      </c>
      <c r="L53" s="50">
        <v>0</v>
      </c>
      <c r="M53" s="50">
        <v>112</v>
      </c>
      <c r="N53" s="50">
        <v>0</v>
      </c>
      <c r="O53" s="15">
        <f t="shared" si="0"/>
        <v>155</v>
      </c>
      <c r="P53" s="15">
        <f t="shared" si="1"/>
        <v>267</v>
      </c>
      <c r="R53" s="8"/>
      <c r="T53"/>
    </row>
    <row r="54" spans="2:20" ht="23.1" customHeight="1" x14ac:dyDescent="0.25">
      <c r="B54" s="23" t="s">
        <v>81</v>
      </c>
      <c r="C54" s="50">
        <v>65</v>
      </c>
      <c r="D54" s="50">
        <v>13</v>
      </c>
      <c r="E54" s="50">
        <v>7</v>
      </c>
      <c r="F54" s="50">
        <v>34</v>
      </c>
      <c r="G54" s="50">
        <v>0</v>
      </c>
      <c r="H54" s="50">
        <v>3</v>
      </c>
      <c r="I54" s="50">
        <v>15</v>
      </c>
      <c r="J54" s="50">
        <v>4</v>
      </c>
      <c r="K54" s="50">
        <v>0</v>
      </c>
      <c r="L54" s="50">
        <v>0</v>
      </c>
      <c r="M54" s="50">
        <v>117</v>
      </c>
      <c r="N54" s="50">
        <v>0</v>
      </c>
      <c r="O54" s="15">
        <f t="shared" si="0"/>
        <v>141</v>
      </c>
      <c r="P54" s="15">
        <f t="shared" si="1"/>
        <v>258</v>
      </c>
      <c r="R54" s="8"/>
      <c r="T54"/>
    </row>
    <row r="55" spans="2:20" ht="23.1" customHeight="1" x14ac:dyDescent="0.25">
      <c r="B55" s="23" t="s">
        <v>82</v>
      </c>
      <c r="C55" s="50">
        <v>74</v>
      </c>
      <c r="D55" s="50">
        <v>23</v>
      </c>
      <c r="E55" s="50">
        <v>10</v>
      </c>
      <c r="F55" s="50">
        <v>51</v>
      </c>
      <c r="G55" s="50">
        <v>1</v>
      </c>
      <c r="H55" s="50">
        <v>0</v>
      </c>
      <c r="I55" s="50">
        <v>6</v>
      </c>
      <c r="J55" s="50">
        <v>5</v>
      </c>
      <c r="K55" s="50">
        <v>0</v>
      </c>
      <c r="L55" s="50">
        <v>0</v>
      </c>
      <c r="M55" s="50">
        <v>110</v>
      </c>
      <c r="N55" s="50">
        <v>0</v>
      </c>
      <c r="O55" s="15">
        <f t="shared" si="0"/>
        <v>170</v>
      </c>
      <c r="P55" s="15">
        <f t="shared" si="1"/>
        <v>280</v>
      </c>
      <c r="R55" s="8"/>
      <c r="T55"/>
    </row>
    <row r="56" spans="2:20" ht="23.1" customHeight="1" x14ac:dyDescent="0.25">
      <c r="B56" s="23" t="s">
        <v>83</v>
      </c>
      <c r="C56" s="50">
        <v>75</v>
      </c>
      <c r="D56" s="50">
        <v>15</v>
      </c>
      <c r="E56" s="50">
        <v>9</v>
      </c>
      <c r="F56" s="50">
        <v>58</v>
      </c>
      <c r="G56" s="50">
        <v>0</v>
      </c>
      <c r="H56" s="50">
        <v>0</v>
      </c>
      <c r="I56" s="50">
        <v>3</v>
      </c>
      <c r="J56" s="50">
        <v>6</v>
      </c>
      <c r="K56" s="50">
        <v>0</v>
      </c>
      <c r="L56" s="50">
        <v>0</v>
      </c>
      <c r="M56" s="50">
        <v>99</v>
      </c>
      <c r="N56" s="50">
        <v>0</v>
      </c>
      <c r="O56" s="15">
        <f t="shared" si="0"/>
        <v>166</v>
      </c>
      <c r="P56" s="15">
        <f t="shared" si="1"/>
        <v>265</v>
      </c>
      <c r="R56" s="8"/>
      <c r="T56"/>
    </row>
    <row r="57" spans="2:20" ht="23.1" customHeight="1" x14ac:dyDescent="0.25">
      <c r="B57" s="23" t="s">
        <v>84</v>
      </c>
      <c r="C57" s="50">
        <v>84</v>
      </c>
      <c r="D57" s="50">
        <v>25</v>
      </c>
      <c r="E57" s="50">
        <v>4</v>
      </c>
      <c r="F57" s="50">
        <v>46</v>
      </c>
      <c r="G57" s="50">
        <v>1</v>
      </c>
      <c r="H57" s="50">
        <v>1</v>
      </c>
      <c r="I57" s="50">
        <v>7</v>
      </c>
      <c r="J57" s="50">
        <v>4</v>
      </c>
      <c r="K57" s="50">
        <v>2</v>
      </c>
      <c r="L57" s="50">
        <v>0</v>
      </c>
      <c r="M57" s="50">
        <v>142</v>
      </c>
      <c r="N57" s="50">
        <v>0</v>
      </c>
      <c r="O57" s="15">
        <f t="shared" si="0"/>
        <v>174</v>
      </c>
      <c r="P57" s="15">
        <f t="shared" si="1"/>
        <v>316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2195</v>
      </c>
      <c r="D58" s="16">
        <f t="shared" si="21"/>
        <v>662</v>
      </c>
      <c r="E58" s="16">
        <f t="shared" si="21"/>
        <v>390</v>
      </c>
      <c r="F58" s="16">
        <f t="shared" si="21"/>
        <v>1839</v>
      </c>
      <c r="G58" s="16">
        <f t="shared" si="21"/>
        <v>36</v>
      </c>
      <c r="H58" s="16">
        <f t="shared" si="21"/>
        <v>23</v>
      </c>
      <c r="I58" s="16">
        <f t="shared" si="21"/>
        <v>370</v>
      </c>
      <c r="J58" s="16">
        <f t="shared" si="21"/>
        <v>250</v>
      </c>
      <c r="K58" s="16">
        <f t="shared" si="21"/>
        <v>162</v>
      </c>
      <c r="L58" s="16">
        <f t="shared" si="21"/>
        <v>9</v>
      </c>
      <c r="M58" s="16">
        <f t="shared" si="21"/>
        <v>4815</v>
      </c>
      <c r="N58" s="16">
        <f t="shared" si="21"/>
        <v>0</v>
      </c>
      <c r="O58" s="16">
        <f t="shared" si="21"/>
        <v>5936</v>
      </c>
      <c r="P58" s="16">
        <f t="shared" si="21"/>
        <v>10751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0.20416705422751372</v>
      </c>
      <c r="D59" s="43">
        <f t="shared" si="22"/>
        <v>6.1575667379778626E-2</v>
      </c>
      <c r="E59" s="43">
        <f t="shared" si="22"/>
        <v>3.6275695284159616E-2</v>
      </c>
      <c r="F59" s="43">
        <f t="shared" si="22"/>
        <v>0.17105385545530649</v>
      </c>
      <c r="G59" s="43">
        <f t="shared" si="22"/>
        <v>3.3485257185378106E-3</v>
      </c>
      <c r="H59" s="43">
        <f t="shared" si="22"/>
        <v>2.13933587573249E-3</v>
      </c>
      <c r="I59" s="43">
        <f t="shared" si="22"/>
        <v>3.4415403218305274E-2</v>
      </c>
      <c r="J59" s="43">
        <f t="shared" si="22"/>
        <v>2.3253650823179241E-2</v>
      </c>
      <c r="K59" s="43">
        <f t="shared" si="22"/>
        <v>1.5068365733420148E-2</v>
      </c>
      <c r="L59" s="43">
        <f t="shared" si="22"/>
        <v>8.3713142963445265E-4</v>
      </c>
      <c r="M59" s="43">
        <f t="shared" si="22"/>
        <v>0.44786531485443215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0.36977762803234504</v>
      </c>
      <c r="D60" s="44">
        <f t="shared" ref="D60:N60" si="23">D58/$O$58</f>
        <v>0.11152291105121294</v>
      </c>
      <c r="E60" s="44">
        <f t="shared" si="23"/>
        <v>6.5700808625336921E-2</v>
      </c>
      <c r="F60" s="44">
        <f t="shared" si="23"/>
        <v>0.3098045822102426</v>
      </c>
      <c r="G60" s="44">
        <f t="shared" si="23"/>
        <v>6.0646900269541778E-3</v>
      </c>
      <c r="H60" s="44">
        <f t="shared" si="23"/>
        <v>3.8746630727762802E-3</v>
      </c>
      <c r="I60" s="44">
        <f t="shared" si="23"/>
        <v>6.2331536388140159E-2</v>
      </c>
      <c r="J60" s="44">
        <f t="shared" si="23"/>
        <v>4.2115902964959567E-2</v>
      </c>
      <c r="K60" s="44">
        <f t="shared" si="23"/>
        <v>2.7291105121293801E-2</v>
      </c>
      <c r="L60" s="44">
        <f t="shared" si="23"/>
        <v>1.5161725067385444E-3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46" zoomScale="66" zoomScaleSheetLayoutView="66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81" t="str">
        <f>'23.09. KASANGATI-GAYAZA'!C3:G3</f>
        <v>MCC - C2 - STN-69- Gayaza- ROAD</v>
      </c>
      <c r="D3" s="81"/>
      <c r="E3" s="81"/>
      <c r="F3" s="81"/>
      <c r="G3" s="8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'23.09. KASANGATI-GAYAZA'!D5</f>
        <v>23-09.19</v>
      </c>
      <c r="E5" s="3"/>
      <c r="F5" s="41" t="s">
        <v>1</v>
      </c>
      <c r="G5" s="79" t="str">
        <f>'23.09. KASANGATI-GAYAZA'!G5:H5</f>
        <v>TOTAL BULAMU</v>
      </c>
      <c r="H5" s="80"/>
      <c r="I5" s="14"/>
      <c r="J5" s="2" t="s">
        <v>5</v>
      </c>
      <c r="K5" s="79" t="str">
        <f>'23.09. KASANGATI-GAYAZA'!K5:L5</f>
        <v>SIMON T, ANTHONY, muganga, Nagaina</v>
      </c>
      <c r="L5" s="80"/>
      <c r="M5" s="10"/>
      <c r="N5" s="10"/>
      <c r="O5" s="3"/>
      <c r="P5" s="3"/>
    </row>
    <row r="6" spans="2:32" ht="23.25" customHeight="1" x14ac:dyDescent="0.25">
      <c r="C6" s="2" t="s">
        <v>4</v>
      </c>
      <c r="D6" s="73" t="s">
        <v>167</v>
      </c>
      <c r="E6" s="74"/>
      <c r="F6" s="2" t="s">
        <v>2</v>
      </c>
      <c r="G6" s="73" t="s">
        <v>168</v>
      </c>
      <c r="H6" s="74"/>
      <c r="J6" s="2" t="s">
        <v>21</v>
      </c>
      <c r="K6" s="79" t="str">
        <f>'23.09. KASANGATI-GAYAZA'!K6:L6</f>
        <v>LAWRENCE</v>
      </c>
      <c r="L6" s="8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135</v>
      </c>
      <c r="D10" s="50">
        <v>6</v>
      </c>
      <c r="E10" s="50">
        <v>4</v>
      </c>
      <c r="F10" s="50">
        <v>53</v>
      </c>
      <c r="G10" s="50">
        <v>2</v>
      </c>
      <c r="H10" s="50">
        <v>1</v>
      </c>
      <c r="I10" s="50">
        <v>12</v>
      </c>
      <c r="J10" s="50">
        <v>1</v>
      </c>
      <c r="K10" s="50">
        <v>0</v>
      </c>
      <c r="L10" s="50">
        <v>0</v>
      </c>
      <c r="M10" s="50">
        <v>177</v>
      </c>
      <c r="N10" s="50">
        <v>0</v>
      </c>
      <c r="O10" s="15">
        <f t="shared" ref="O10:O57" si="0">SUM(C10:L10,N10)</f>
        <v>214</v>
      </c>
      <c r="P10" s="15">
        <f t="shared" ref="P10:P57" si="1">SUM(C10:N10)</f>
        <v>391</v>
      </c>
      <c r="R10" s="1" t="s">
        <v>6</v>
      </c>
      <c r="S10" s="17">
        <f t="shared" ref="S10:AF10" si="2">SUM(C10:C13)</f>
        <v>495</v>
      </c>
      <c r="T10" s="17">
        <f t="shared" si="2"/>
        <v>29</v>
      </c>
      <c r="U10" s="17">
        <f t="shared" si="2"/>
        <v>28</v>
      </c>
      <c r="V10" s="17">
        <f t="shared" si="2"/>
        <v>220</v>
      </c>
      <c r="W10" s="17">
        <f t="shared" si="2"/>
        <v>7</v>
      </c>
      <c r="X10" s="17">
        <f t="shared" si="2"/>
        <v>4</v>
      </c>
      <c r="Y10" s="17">
        <f t="shared" si="2"/>
        <v>37</v>
      </c>
      <c r="Z10" s="17">
        <f t="shared" si="2"/>
        <v>8</v>
      </c>
      <c r="AA10" s="17">
        <f t="shared" si="2"/>
        <v>3</v>
      </c>
      <c r="AB10" s="17">
        <f t="shared" si="2"/>
        <v>1</v>
      </c>
      <c r="AC10" s="17">
        <f t="shared" si="2"/>
        <v>829</v>
      </c>
      <c r="AD10" s="17">
        <f t="shared" si="2"/>
        <v>0</v>
      </c>
      <c r="AE10" s="31">
        <f t="shared" si="2"/>
        <v>832</v>
      </c>
      <c r="AF10" s="31">
        <f t="shared" si="2"/>
        <v>1661</v>
      </c>
    </row>
    <row r="11" spans="2:32" s="6" customFormat="1" ht="23.1" customHeight="1" x14ac:dyDescent="0.25">
      <c r="B11" s="23" t="s">
        <v>38</v>
      </c>
      <c r="C11" s="50">
        <v>115</v>
      </c>
      <c r="D11" s="50">
        <v>5</v>
      </c>
      <c r="E11" s="50">
        <v>7</v>
      </c>
      <c r="F11" s="50">
        <v>60</v>
      </c>
      <c r="G11" s="50">
        <v>4</v>
      </c>
      <c r="H11" s="50">
        <v>1</v>
      </c>
      <c r="I11" s="50">
        <v>10</v>
      </c>
      <c r="J11" s="50">
        <v>0</v>
      </c>
      <c r="K11" s="50">
        <v>1</v>
      </c>
      <c r="L11" s="50">
        <v>1</v>
      </c>
      <c r="M11" s="50">
        <v>238</v>
      </c>
      <c r="N11" s="50">
        <v>0</v>
      </c>
      <c r="O11" s="15">
        <f t="shared" si="0"/>
        <v>204</v>
      </c>
      <c r="P11" s="15">
        <f t="shared" si="1"/>
        <v>442</v>
      </c>
      <c r="R11" s="1" t="s">
        <v>7</v>
      </c>
      <c r="S11" s="17">
        <f t="shared" ref="S11:AF11" si="3">SUM(C14:C17)</f>
        <v>304</v>
      </c>
      <c r="T11" s="17">
        <f t="shared" si="3"/>
        <v>22</v>
      </c>
      <c r="U11" s="17">
        <f t="shared" si="3"/>
        <v>21</v>
      </c>
      <c r="V11" s="17">
        <f t="shared" si="3"/>
        <v>172</v>
      </c>
      <c r="W11" s="17">
        <f t="shared" si="3"/>
        <v>1</v>
      </c>
      <c r="X11" s="17">
        <f t="shared" si="3"/>
        <v>3</v>
      </c>
      <c r="Y11" s="17">
        <f>SUM(I14:I17)</f>
        <v>45</v>
      </c>
      <c r="Z11" s="17">
        <f t="shared" si="3"/>
        <v>9</v>
      </c>
      <c r="AA11" s="17">
        <f t="shared" si="3"/>
        <v>11</v>
      </c>
      <c r="AB11" s="17">
        <f t="shared" si="3"/>
        <v>0</v>
      </c>
      <c r="AC11" s="17">
        <f t="shared" si="3"/>
        <v>748</v>
      </c>
      <c r="AD11" s="17">
        <f t="shared" si="3"/>
        <v>0</v>
      </c>
      <c r="AE11" s="31">
        <f t="shared" si="3"/>
        <v>588</v>
      </c>
      <c r="AF11" s="31">
        <f t="shared" si="3"/>
        <v>1336</v>
      </c>
    </row>
    <row r="12" spans="2:32" ht="23.1" customHeight="1" x14ac:dyDescent="0.25">
      <c r="B12" s="23" t="s">
        <v>39</v>
      </c>
      <c r="C12" s="50">
        <v>122</v>
      </c>
      <c r="D12" s="50">
        <v>8</v>
      </c>
      <c r="E12" s="50">
        <v>10</v>
      </c>
      <c r="F12" s="50">
        <v>55</v>
      </c>
      <c r="G12" s="50">
        <v>1</v>
      </c>
      <c r="H12" s="50">
        <v>2</v>
      </c>
      <c r="I12" s="50">
        <v>6</v>
      </c>
      <c r="J12" s="50">
        <v>3</v>
      </c>
      <c r="K12" s="50">
        <v>0</v>
      </c>
      <c r="L12" s="50">
        <v>0</v>
      </c>
      <c r="M12" s="50">
        <v>190</v>
      </c>
      <c r="N12" s="50">
        <v>0</v>
      </c>
      <c r="O12" s="15">
        <f t="shared" si="0"/>
        <v>207</v>
      </c>
      <c r="P12" s="15">
        <f t="shared" si="1"/>
        <v>397</v>
      </c>
      <c r="R12" s="1" t="s">
        <v>8</v>
      </c>
      <c r="S12" s="17">
        <f t="shared" ref="S12:AF12" si="4">SUM(C18:C21)</f>
        <v>242</v>
      </c>
      <c r="T12" s="17">
        <f t="shared" si="4"/>
        <v>37</v>
      </c>
      <c r="U12" s="17">
        <f t="shared" si="4"/>
        <v>23</v>
      </c>
      <c r="V12" s="17">
        <f t="shared" si="4"/>
        <v>161</v>
      </c>
      <c r="W12" s="17">
        <f t="shared" si="4"/>
        <v>1</v>
      </c>
      <c r="X12" s="17">
        <f t="shared" si="4"/>
        <v>1</v>
      </c>
      <c r="Y12" s="17">
        <f t="shared" si="4"/>
        <v>39</v>
      </c>
      <c r="Z12" s="17">
        <f t="shared" si="4"/>
        <v>9</v>
      </c>
      <c r="AA12" s="17">
        <f t="shared" si="4"/>
        <v>3</v>
      </c>
      <c r="AB12" s="17">
        <f t="shared" si="4"/>
        <v>1</v>
      </c>
      <c r="AC12" s="17">
        <f t="shared" si="4"/>
        <v>611</v>
      </c>
      <c r="AD12" s="17">
        <f t="shared" si="4"/>
        <v>0</v>
      </c>
      <c r="AE12" s="31">
        <f t="shared" si="4"/>
        <v>517</v>
      </c>
      <c r="AF12" s="31">
        <f t="shared" si="4"/>
        <v>1128</v>
      </c>
    </row>
    <row r="13" spans="2:32" ht="23.1" customHeight="1" x14ac:dyDescent="0.25">
      <c r="B13" s="23" t="s">
        <v>40</v>
      </c>
      <c r="C13" s="50">
        <v>123</v>
      </c>
      <c r="D13" s="50">
        <v>10</v>
      </c>
      <c r="E13" s="50">
        <v>7</v>
      </c>
      <c r="F13" s="50">
        <v>52</v>
      </c>
      <c r="G13" s="50">
        <v>0</v>
      </c>
      <c r="H13" s="50">
        <v>0</v>
      </c>
      <c r="I13" s="50">
        <v>9</v>
      </c>
      <c r="J13" s="50">
        <v>4</v>
      </c>
      <c r="K13" s="50">
        <v>2</v>
      </c>
      <c r="L13" s="50">
        <v>0</v>
      </c>
      <c r="M13" s="50">
        <v>224</v>
      </c>
      <c r="N13" s="50">
        <v>0</v>
      </c>
      <c r="O13" s="15">
        <f t="shared" si="0"/>
        <v>207</v>
      </c>
      <c r="P13" s="15">
        <f t="shared" si="1"/>
        <v>431</v>
      </c>
      <c r="R13" s="1" t="s">
        <v>9</v>
      </c>
      <c r="S13" s="17">
        <f t="shared" ref="S13:AF13" si="5">SUM(C22:C25)</f>
        <v>221</v>
      </c>
      <c r="T13" s="17">
        <f t="shared" si="5"/>
        <v>30</v>
      </c>
      <c r="U13" s="17">
        <f t="shared" si="5"/>
        <v>23</v>
      </c>
      <c r="V13" s="17">
        <f t="shared" si="5"/>
        <v>156</v>
      </c>
      <c r="W13" s="17">
        <f t="shared" si="5"/>
        <v>2</v>
      </c>
      <c r="X13" s="17">
        <f t="shared" si="5"/>
        <v>1</v>
      </c>
      <c r="Y13" s="17">
        <f t="shared" si="5"/>
        <v>27</v>
      </c>
      <c r="Z13" s="17">
        <f t="shared" si="5"/>
        <v>13</v>
      </c>
      <c r="AA13" s="17">
        <f t="shared" si="5"/>
        <v>10</v>
      </c>
      <c r="AB13" s="17">
        <f t="shared" si="5"/>
        <v>2</v>
      </c>
      <c r="AC13" s="17">
        <f t="shared" si="5"/>
        <v>380</v>
      </c>
      <c r="AD13" s="17">
        <f t="shared" si="5"/>
        <v>0</v>
      </c>
      <c r="AE13" s="31">
        <f t="shared" si="5"/>
        <v>485</v>
      </c>
      <c r="AF13" s="31">
        <f t="shared" si="5"/>
        <v>865</v>
      </c>
    </row>
    <row r="14" spans="2:32" ht="23.1" customHeight="1" x14ac:dyDescent="0.25">
      <c r="B14" s="23" t="s">
        <v>41</v>
      </c>
      <c r="C14" s="50">
        <v>100</v>
      </c>
      <c r="D14" s="50">
        <v>7</v>
      </c>
      <c r="E14" s="50">
        <v>10</v>
      </c>
      <c r="F14" s="50">
        <v>47</v>
      </c>
      <c r="G14" s="50">
        <v>0</v>
      </c>
      <c r="H14" s="50">
        <v>2</v>
      </c>
      <c r="I14" s="50">
        <v>13</v>
      </c>
      <c r="J14" s="50">
        <v>3</v>
      </c>
      <c r="K14" s="51">
        <v>0</v>
      </c>
      <c r="L14" s="50">
        <v>0</v>
      </c>
      <c r="M14" s="50">
        <v>195</v>
      </c>
      <c r="N14" s="50">
        <v>0</v>
      </c>
      <c r="O14" s="15">
        <f t="shared" si="0"/>
        <v>182</v>
      </c>
      <c r="P14" s="15">
        <f t="shared" si="1"/>
        <v>377</v>
      </c>
      <c r="R14" s="1" t="s">
        <v>10</v>
      </c>
      <c r="S14" s="17">
        <f t="shared" ref="S14:AF14" si="6">SUM(C26:C29)</f>
        <v>192</v>
      </c>
      <c r="T14" s="17">
        <f t="shared" si="6"/>
        <v>14</v>
      </c>
      <c r="U14" s="17">
        <f t="shared" si="6"/>
        <v>21</v>
      </c>
      <c r="V14" s="17">
        <f t="shared" si="6"/>
        <v>134</v>
      </c>
      <c r="W14" s="17">
        <f t="shared" si="6"/>
        <v>2</v>
      </c>
      <c r="X14" s="17">
        <f t="shared" si="6"/>
        <v>1</v>
      </c>
      <c r="Y14" s="17">
        <f t="shared" si="6"/>
        <v>26</v>
      </c>
      <c r="Z14" s="17">
        <f t="shared" si="6"/>
        <v>7</v>
      </c>
      <c r="AA14" s="17">
        <f t="shared" si="6"/>
        <v>7</v>
      </c>
      <c r="AB14" s="17">
        <f t="shared" si="6"/>
        <v>0</v>
      </c>
      <c r="AC14" s="17">
        <f t="shared" si="6"/>
        <v>253</v>
      </c>
      <c r="AD14" s="17">
        <f t="shared" si="6"/>
        <v>0</v>
      </c>
      <c r="AE14" s="31">
        <f t="shared" si="6"/>
        <v>404</v>
      </c>
      <c r="AF14" s="31">
        <f t="shared" si="6"/>
        <v>657</v>
      </c>
    </row>
    <row r="15" spans="2:32" ht="23.1" customHeight="1" x14ac:dyDescent="0.25">
      <c r="B15" s="23" t="s">
        <v>42</v>
      </c>
      <c r="C15" s="50">
        <v>67</v>
      </c>
      <c r="D15" s="50">
        <v>5</v>
      </c>
      <c r="E15" s="50">
        <v>3</v>
      </c>
      <c r="F15" s="50">
        <v>40</v>
      </c>
      <c r="G15" s="50">
        <v>0</v>
      </c>
      <c r="H15" s="50">
        <v>0</v>
      </c>
      <c r="I15" s="50">
        <v>7</v>
      </c>
      <c r="J15" s="50">
        <v>2</v>
      </c>
      <c r="K15" s="50">
        <v>5</v>
      </c>
      <c r="L15" s="50">
        <v>0</v>
      </c>
      <c r="M15" s="50">
        <v>187</v>
      </c>
      <c r="N15" s="50">
        <v>0</v>
      </c>
      <c r="O15" s="15">
        <f t="shared" si="0"/>
        <v>129</v>
      </c>
      <c r="P15" s="15">
        <f t="shared" si="1"/>
        <v>316</v>
      </c>
      <c r="R15" s="1" t="s">
        <v>11</v>
      </c>
      <c r="S15" s="17">
        <f t="shared" ref="S15:AF15" si="7">SUM(C30:C33)</f>
        <v>166</v>
      </c>
      <c r="T15" s="17">
        <f t="shared" si="7"/>
        <v>20</v>
      </c>
      <c r="U15" s="17">
        <f t="shared" si="7"/>
        <v>23</v>
      </c>
      <c r="V15" s="17">
        <f t="shared" si="7"/>
        <v>144</v>
      </c>
      <c r="W15" s="17">
        <f t="shared" si="7"/>
        <v>1</v>
      </c>
      <c r="X15" s="17">
        <f t="shared" si="7"/>
        <v>1</v>
      </c>
      <c r="Y15" s="17">
        <f t="shared" si="7"/>
        <v>41</v>
      </c>
      <c r="Z15" s="17">
        <f t="shared" si="7"/>
        <v>7</v>
      </c>
      <c r="AA15" s="17">
        <f t="shared" si="7"/>
        <v>7</v>
      </c>
      <c r="AB15" s="17">
        <f t="shared" si="7"/>
        <v>0</v>
      </c>
      <c r="AC15" s="17">
        <f t="shared" si="7"/>
        <v>248</v>
      </c>
      <c r="AD15" s="17">
        <f t="shared" si="7"/>
        <v>0</v>
      </c>
      <c r="AE15" s="31">
        <f t="shared" si="7"/>
        <v>410</v>
      </c>
      <c r="AF15" s="31">
        <f t="shared" si="7"/>
        <v>658</v>
      </c>
    </row>
    <row r="16" spans="2:32" ht="23.1" customHeight="1" x14ac:dyDescent="0.25">
      <c r="B16" s="23" t="s">
        <v>43</v>
      </c>
      <c r="C16" s="50">
        <v>57</v>
      </c>
      <c r="D16" s="50">
        <v>5</v>
      </c>
      <c r="E16" s="50">
        <v>4</v>
      </c>
      <c r="F16" s="50">
        <v>44</v>
      </c>
      <c r="G16" s="50">
        <v>0</v>
      </c>
      <c r="H16" s="50">
        <v>1</v>
      </c>
      <c r="I16" s="50">
        <v>15</v>
      </c>
      <c r="J16" s="50">
        <v>4</v>
      </c>
      <c r="K16" s="50">
        <v>2</v>
      </c>
      <c r="L16" s="50">
        <v>0</v>
      </c>
      <c r="M16" s="50">
        <v>218</v>
      </c>
      <c r="N16" s="50">
        <v>0</v>
      </c>
      <c r="O16" s="15">
        <f t="shared" si="0"/>
        <v>132</v>
      </c>
      <c r="P16" s="15">
        <f t="shared" si="1"/>
        <v>350</v>
      </c>
      <c r="R16" s="1" t="s">
        <v>12</v>
      </c>
      <c r="S16" s="17">
        <f t="shared" ref="S16:AF16" si="8">SUM(C34:C37)</f>
        <v>175</v>
      </c>
      <c r="T16" s="17">
        <f t="shared" si="8"/>
        <v>26</v>
      </c>
      <c r="U16" s="17">
        <f t="shared" si="8"/>
        <v>24</v>
      </c>
      <c r="V16" s="17">
        <f t="shared" si="8"/>
        <v>123</v>
      </c>
      <c r="W16" s="17">
        <f t="shared" si="8"/>
        <v>3</v>
      </c>
      <c r="X16" s="17">
        <f t="shared" si="8"/>
        <v>3</v>
      </c>
      <c r="Y16" s="17">
        <f t="shared" si="8"/>
        <v>32</v>
      </c>
      <c r="Z16" s="17">
        <f t="shared" si="8"/>
        <v>4</v>
      </c>
      <c r="AA16" s="17">
        <f t="shared" si="8"/>
        <v>12</v>
      </c>
      <c r="AB16" s="17">
        <f t="shared" si="8"/>
        <v>1</v>
      </c>
      <c r="AC16" s="17">
        <f t="shared" si="8"/>
        <v>246</v>
      </c>
      <c r="AD16" s="17">
        <f t="shared" si="8"/>
        <v>0</v>
      </c>
      <c r="AE16" s="31">
        <f t="shared" si="8"/>
        <v>403</v>
      </c>
      <c r="AF16" s="31">
        <f t="shared" si="8"/>
        <v>649</v>
      </c>
    </row>
    <row r="17" spans="2:32" ht="23.1" customHeight="1" x14ac:dyDescent="0.25">
      <c r="B17" s="23" t="s">
        <v>44</v>
      </c>
      <c r="C17" s="50">
        <v>80</v>
      </c>
      <c r="D17" s="50">
        <v>5</v>
      </c>
      <c r="E17" s="50">
        <v>4</v>
      </c>
      <c r="F17" s="50">
        <v>41</v>
      </c>
      <c r="G17" s="50">
        <v>1</v>
      </c>
      <c r="H17" s="50">
        <v>0</v>
      </c>
      <c r="I17" s="50">
        <v>10</v>
      </c>
      <c r="J17" s="50">
        <v>0</v>
      </c>
      <c r="K17" s="50">
        <v>4</v>
      </c>
      <c r="L17" s="50">
        <v>0</v>
      </c>
      <c r="M17" s="50">
        <v>148</v>
      </c>
      <c r="N17" s="50">
        <v>0</v>
      </c>
      <c r="O17" s="15">
        <f t="shared" si="0"/>
        <v>145</v>
      </c>
      <c r="P17" s="15">
        <f t="shared" si="1"/>
        <v>293</v>
      </c>
      <c r="R17" s="1" t="s">
        <v>13</v>
      </c>
      <c r="S17" s="17">
        <f t="shared" ref="S17:AF17" si="9">SUM(C38:C41)</f>
        <v>163</v>
      </c>
      <c r="T17" s="17">
        <f t="shared" si="9"/>
        <v>23</v>
      </c>
      <c r="U17" s="17">
        <f t="shared" si="9"/>
        <v>30</v>
      </c>
      <c r="V17" s="17">
        <f t="shared" si="9"/>
        <v>136</v>
      </c>
      <c r="W17" s="17">
        <f t="shared" si="9"/>
        <v>2</v>
      </c>
      <c r="X17" s="17">
        <f t="shared" si="9"/>
        <v>0</v>
      </c>
      <c r="Y17" s="17">
        <f t="shared" si="9"/>
        <v>43</v>
      </c>
      <c r="Z17" s="17">
        <f t="shared" si="9"/>
        <v>3</v>
      </c>
      <c r="AA17" s="17">
        <f t="shared" si="9"/>
        <v>5</v>
      </c>
      <c r="AB17" s="17">
        <f t="shared" si="9"/>
        <v>1</v>
      </c>
      <c r="AC17" s="17">
        <f t="shared" si="9"/>
        <v>237</v>
      </c>
      <c r="AD17" s="17">
        <f t="shared" si="9"/>
        <v>0</v>
      </c>
      <c r="AE17" s="31">
        <f t="shared" si="9"/>
        <v>406</v>
      </c>
      <c r="AF17" s="31">
        <f t="shared" si="9"/>
        <v>643</v>
      </c>
    </row>
    <row r="18" spans="2:32" ht="23.1" customHeight="1" x14ac:dyDescent="0.25">
      <c r="B18" s="23" t="s">
        <v>45</v>
      </c>
      <c r="C18" s="50">
        <v>70</v>
      </c>
      <c r="D18" s="50">
        <v>8</v>
      </c>
      <c r="E18" s="50">
        <v>4</v>
      </c>
      <c r="F18" s="50">
        <v>41</v>
      </c>
      <c r="G18" s="50">
        <v>0</v>
      </c>
      <c r="H18" s="50">
        <v>1</v>
      </c>
      <c r="I18" s="50">
        <v>13</v>
      </c>
      <c r="J18" s="50">
        <v>0</v>
      </c>
      <c r="K18" s="50">
        <v>1</v>
      </c>
      <c r="L18" s="50">
        <v>0</v>
      </c>
      <c r="M18" s="50">
        <v>165</v>
      </c>
      <c r="N18" s="50">
        <v>0</v>
      </c>
      <c r="O18" s="15">
        <f t="shared" si="0"/>
        <v>138</v>
      </c>
      <c r="P18" s="15">
        <f t="shared" si="1"/>
        <v>303</v>
      </c>
      <c r="R18" s="1" t="s">
        <v>14</v>
      </c>
      <c r="S18" s="17">
        <f t="shared" ref="S18:AF18" si="10">SUM(C42:C45)</f>
        <v>191</v>
      </c>
      <c r="T18" s="17">
        <f t="shared" si="10"/>
        <v>40</v>
      </c>
      <c r="U18" s="17">
        <f t="shared" si="10"/>
        <v>39</v>
      </c>
      <c r="V18" s="17">
        <f t="shared" si="10"/>
        <v>139</v>
      </c>
      <c r="W18" s="17">
        <f t="shared" si="10"/>
        <v>4</v>
      </c>
      <c r="X18" s="17">
        <f t="shared" si="10"/>
        <v>2</v>
      </c>
      <c r="Y18" s="17">
        <f t="shared" si="10"/>
        <v>48</v>
      </c>
      <c r="Z18" s="17">
        <f t="shared" si="10"/>
        <v>6</v>
      </c>
      <c r="AA18" s="17">
        <f t="shared" si="10"/>
        <v>8</v>
      </c>
      <c r="AB18" s="17">
        <f t="shared" si="10"/>
        <v>1</v>
      </c>
      <c r="AC18" s="17">
        <f t="shared" si="10"/>
        <v>287</v>
      </c>
      <c r="AD18" s="17">
        <f t="shared" si="10"/>
        <v>0</v>
      </c>
      <c r="AE18" s="31">
        <f t="shared" si="10"/>
        <v>478</v>
      </c>
      <c r="AF18" s="31">
        <f t="shared" si="10"/>
        <v>765</v>
      </c>
    </row>
    <row r="19" spans="2:32" ht="23.1" customHeight="1" x14ac:dyDescent="0.25">
      <c r="B19" s="23" t="s">
        <v>46</v>
      </c>
      <c r="C19" s="50">
        <v>59</v>
      </c>
      <c r="D19" s="50">
        <v>12</v>
      </c>
      <c r="E19" s="50">
        <v>7</v>
      </c>
      <c r="F19" s="50">
        <v>40</v>
      </c>
      <c r="G19" s="50">
        <v>0</v>
      </c>
      <c r="H19" s="50">
        <v>0</v>
      </c>
      <c r="I19" s="50">
        <v>6</v>
      </c>
      <c r="J19" s="50">
        <v>3</v>
      </c>
      <c r="K19" s="50">
        <v>1</v>
      </c>
      <c r="L19" s="50">
        <v>1</v>
      </c>
      <c r="M19" s="50">
        <v>174</v>
      </c>
      <c r="N19" s="50">
        <v>0</v>
      </c>
      <c r="O19" s="15">
        <f t="shared" si="0"/>
        <v>129</v>
      </c>
      <c r="P19" s="15">
        <f t="shared" si="1"/>
        <v>303</v>
      </c>
      <c r="R19" s="1" t="s">
        <v>15</v>
      </c>
      <c r="S19" s="17">
        <f t="shared" ref="S19:AF19" si="11">SUM(C46:C49)</f>
        <v>232</v>
      </c>
      <c r="T19" s="17">
        <f t="shared" si="11"/>
        <v>31</v>
      </c>
      <c r="U19" s="17">
        <f t="shared" si="11"/>
        <v>13</v>
      </c>
      <c r="V19" s="17">
        <f t="shared" si="11"/>
        <v>144</v>
      </c>
      <c r="W19" s="17">
        <f t="shared" si="11"/>
        <v>44</v>
      </c>
      <c r="X19" s="17">
        <f t="shared" si="11"/>
        <v>3</v>
      </c>
      <c r="Y19" s="17">
        <f t="shared" si="11"/>
        <v>67</v>
      </c>
      <c r="Z19" s="17">
        <f t="shared" si="11"/>
        <v>0</v>
      </c>
      <c r="AA19" s="17">
        <f t="shared" si="11"/>
        <v>14</v>
      </c>
      <c r="AB19" s="17">
        <f t="shared" si="11"/>
        <v>3</v>
      </c>
      <c r="AC19" s="17">
        <f t="shared" si="11"/>
        <v>343</v>
      </c>
      <c r="AD19" s="17">
        <f t="shared" si="11"/>
        <v>0</v>
      </c>
      <c r="AE19" s="31">
        <f t="shared" si="11"/>
        <v>551</v>
      </c>
      <c r="AF19" s="31">
        <f t="shared" si="11"/>
        <v>894</v>
      </c>
    </row>
    <row r="20" spans="2:32" ht="23.1" customHeight="1" x14ac:dyDescent="0.25">
      <c r="B20" s="23" t="s">
        <v>47</v>
      </c>
      <c r="C20" s="50">
        <v>55</v>
      </c>
      <c r="D20" s="50">
        <v>11</v>
      </c>
      <c r="E20" s="50">
        <v>4</v>
      </c>
      <c r="F20" s="50">
        <v>42</v>
      </c>
      <c r="G20" s="50">
        <v>0</v>
      </c>
      <c r="H20" s="50">
        <v>0</v>
      </c>
      <c r="I20" s="50">
        <v>8</v>
      </c>
      <c r="J20" s="50">
        <v>1</v>
      </c>
      <c r="K20" s="50">
        <v>1</v>
      </c>
      <c r="L20" s="50">
        <v>0</v>
      </c>
      <c r="M20" s="50">
        <v>126</v>
      </c>
      <c r="N20" s="50">
        <v>0</v>
      </c>
      <c r="O20" s="15">
        <f t="shared" si="0"/>
        <v>122</v>
      </c>
      <c r="P20" s="15">
        <f t="shared" si="1"/>
        <v>248</v>
      </c>
      <c r="R20" s="1" t="s">
        <v>16</v>
      </c>
      <c r="S20" s="17">
        <f t="shared" ref="S20:AF20" si="12">SUM(C50:C53)</f>
        <v>246</v>
      </c>
      <c r="T20" s="17">
        <f t="shared" si="12"/>
        <v>32</v>
      </c>
      <c r="U20" s="17">
        <f t="shared" si="12"/>
        <v>34</v>
      </c>
      <c r="V20" s="17">
        <f t="shared" si="12"/>
        <v>171</v>
      </c>
      <c r="W20" s="17">
        <f t="shared" si="12"/>
        <v>3</v>
      </c>
      <c r="X20" s="17">
        <f t="shared" si="12"/>
        <v>2</v>
      </c>
      <c r="Y20" s="17">
        <f t="shared" si="12"/>
        <v>56</v>
      </c>
      <c r="Z20" s="17">
        <f t="shared" si="12"/>
        <v>1</v>
      </c>
      <c r="AA20" s="17">
        <f t="shared" si="12"/>
        <v>6</v>
      </c>
      <c r="AB20" s="17">
        <f t="shared" si="12"/>
        <v>2</v>
      </c>
      <c r="AC20" s="17">
        <f t="shared" si="12"/>
        <v>382</v>
      </c>
      <c r="AD20" s="17">
        <f t="shared" si="12"/>
        <v>0</v>
      </c>
      <c r="AE20" s="31">
        <f t="shared" si="12"/>
        <v>553</v>
      </c>
      <c r="AF20" s="31">
        <f t="shared" si="12"/>
        <v>935</v>
      </c>
    </row>
    <row r="21" spans="2:32" ht="23.1" customHeight="1" x14ac:dyDescent="0.25">
      <c r="B21" s="23" t="s">
        <v>48</v>
      </c>
      <c r="C21" s="50">
        <v>58</v>
      </c>
      <c r="D21" s="50">
        <v>6</v>
      </c>
      <c r="E21" s="50">
        <v>8</v>
      </c>
      <c r="F21" s="50">
        <v>38</v>
      </c>
      <c r="G21" s="50">
        <v>1</v>
      </c>
      <c r="H21" s="50">
        <v>0</v>
      </c>
      <c r="I21" s="50">
        <v>12</v>
      </c>
      <c r="J21" s="50">
        <v>5</v>
      </c>
      <c r="K21" s="50">
        <v>0</v>
      </c>
      <c r="L21" s="50">
        <v>0</v>
      </c>
      <c r="M21" s="50">
        <v>146</v>
      </c>
      <c r="N21" s="50">
        <v>0</v>
      </c>
      <c r="O21" s="15">
        <f t="shared" si="0"/>
        <v>128</v>
      </c>
      <c r="P21" s="15">
        <f t="shared" si="1"/>
        <v>274</v>
      </c>
      <c r="R21" s="36" t="s">
        <v>20</v>
      </c>
      <c r="S21" s="34">
        <f t="shared" ref="S21:AF21" si="13">SUM(C54:C57)</f>
        <v>237</v>
      </c>
      <c r="T21" s="17">
        <f t="shared" si="13"/>
        <v>31</v>
      </c>
      <c r="U21" s="17">
        <f t="shared" si="13"/>
        <v>33</v>
      </c>
      <c r="V21" s="17">
        <f t="shared" si="13"/>
        <v>194</v>
      </c>
      <c r="W21" s="17">
        <f t="shared" si="13"/>
        <v>6</v>
      </c>
      <c r="X21" s="17">
        <f t="shared" si="13"/>
        <v>1</v>
      </c>
      <c r="Y21" s="17">
        <f t="shared" si="13"/>
        <v>40</v>
      </c>
      <c r="Z21" s="17">
        <f t="shared" si="13"/>
        <v>1</v>
      </c>
      <c r="AA21" s="17">
        <f t="shared" si="13"/>
        <v>9</v>
      </c>
      <c r="AB21" s="17">
        <f t="shared" si="13"/>
        <v>1</v>
      </c>
      <c r="AC21" s="17">
        <f t="shared" si="13"/>
        <v>285</v>
      </c>
      <c r="AD21" s="17">
        <f t="shared" si="13"/>
        <v>0</v>
      </c>
      <c r="AE21" s="31">
        <f t="shared" si="13"/>
        <v>553</v>
      </c>
      <c r="AF21" s="31">
        <f t="shared" si="13"/>
        <v>838</v>
      </c>
    </row>
    <row r="22" spans="2:32" ht="23.1" customHeight="1" x14ac:dyDescent="0.25">
      <c r="B22" s="23" t="s">
        <v>49</v>
      </c>
      <c r="C22" s="50">
        <v>54</v>
      </c>
      <c r="D22" s="50">
        <v>7</v>
      </c>
      <c r="E22" s="50">
        <v>5</v>
      </c>
      <c r="F22" s="50">
        <v>46</v>
      </c>
      <c r="G22" s="50">
        <v>2</v>
      </c>
      <c r="H22" s="50">
        <v>0</v>
      </c>
      <c r="I22" s="50">
        <v>10</v>
      </c>
      <c r="J22" s="50">
        <v>3</v>
      </c>
      <c r="K22" s="50">
        <v>4</v>
      </c>
      <c r="L22" s="50">
        <v>0</v>
      </c>
      <c r="M22" s="50">
        <v>107</v>
      </c>
      <c r="N22" s="50">
        <v>0</v>
      </c>
      <c r="O22" s="15">
        <f t="shared" si="0"/>
        <v>131</v>
      </c>
      <c r="P22" s="15">
        <f t="shared" si="1"/>
        <v>238</v>
      </c>
      <c r="R22" s="38" t="s">
        <v>90</v>
      </c>
      <c r="S22" s="39">
        <f>MAX(S10:S12)</f>
        <v>495</v>
      </c>
      <c r="T22" s="39">
        <f t="shared" ref="T22:AF22" si="14">MAX(T10:T12)</f>
        <v>37</v>
      </c>
      <c r="U22" s="39">
        <f t="shared" si="14"/>
        <v>28</v>
      </c>
      <c r="V22" s="39">
        <f t="shared" si="14"/>
        <v>220</v>
      </c>
      <c r="W22" s="39">
        <f t="shared" si="14"/>
        <v>7</v>
      </c>
      <c r="X22" s="39">
        <f t="shared" si="14"/>
        <v>4</v>
      </c>
      <c r="Y22" s="39">
        <f t="shared" si="14"/>
        <v>45</v>
      </c>
      <c r="Z22" s="39">
        <f t="shared" si="14"/>
        <v>9</v>
      </c>
      <c r="AA22" s="39">
        <f t="shared" si="14"/>
        <v>11</v>
      </c>
      <c r="AB22" s="39">
        <f t="shared" si="14"/>
        <v>1</v>
      </c>
      <c r="AC22" s="39">
        <f t="shared" si="14"/>
        <v>829</v>
      </c>
      <c r="AD22" s="39">
        <f t="shared" si="14"/>
        <v>0</v>
      </c>
      <c r="AE22" s="40">
        <f t="shared" si="14"/>
        <v>832</v>
      </c>
      <c r="AF22" s="40">
        <f t="shared" si="14"/>
        <v>1661</v>
      </c>
    </row>
    <row r="23" spans="2:32" ht="23.1" customHeight="1" x14ac:dyDescent="0.25">
      <c r="B23" s="23" t="s">
        <v>50</v>
      </c>
      <c r="C23" s="50">
        <v>49</v>
      </c>
      <c r="D23" s="50">
        <v>6</v>
      </c>
      <c r="E23" s="50">
        <v>7</v>
      </c>
      <c r="F23" s="50">
        <v>35</v>
      </c>
      <c r="G23" s="50">
        <v>0</v>
      </c>
      <c r="H23" s="50">
        <v>0</v>
      </c>
      <c r="I23" s="50">
        <v>5</v>
      </c>
      <c r="J23" s="50">
        <v>2</v>
      </c>
      <c r="K23" s="50">
        <v>2</v>
      </c>
      <c r="L23" s="50">
        <v>0</v>
      </c>
      <c r="M23" s="50">
        <v>70</v>
      </c>
      <c r="N23" s="50">
        <v>0</v>
      </c>
      <c r="O23" s="15">
        <f t="shared" si="0"/>
        <v>106</v>
      </c>
      <c r="P23" s="15">
        <f t="shared" si="1"/>
        <v>176</v>
      </c>
      <c r="R23" s="38" t="s">
        <v>91</v>
      </c>
      <c r="S23" s="39">
        <f>MAX(S13:S18)</f>
        <v>221</v>
      </c>
      <c r="T23" s="39">
        <f t="shared" ref="T23:AF23" si="15">MAX(T13:T18)</f>
        <v>40</v>
      </c>
      <c r="U23" s="39">
        <f t="shared" si="15"/>
        <v>39</v>
      </c>
      <c r="V23" s="39">
        <f t="shared" si="15"/>
        <v>156</v>
      </c>
      <c r="W23" s="39">
        <f t="shared" si="15"/>
        <v>4</v>
      </c>
      <c r="X23" s="39">
        <f t="shared" si="15"/>
        <v>3</v>
      </c>
      <c r="Y23" s="39">
        <f t="shared" si="15"/>
        <v>48</v>
      </c>
      <c r="Z23" s="39">
        <f t="shared" si="15"/>
        <v>13</v>
      </c>
      <c r="AA23" s="39">
        <f t="shared" si="15"/>
        <v>12</v>
      </c>
      <c r="AB23" s="39">
        <f t="shared" si="15"/>
        <v>2</v>
      </c>
      <c r="AC23" s="39">
        <f t="shared" si="15"/>
        <v>380</v>
      </c>
      <c r="AD23" s="39">
        <f t="shared" si="15"/>
        <v>0</v>
      </c>
      <c r="AE23" s="40">
        <f t="shared" si="15"/>
        <v>485</v>
      </c>
      <c r="AF23" s="40">
        <f t="shared" si="15"/>
        <v>865</v>
      </c>
    </row>
    <row r="24" spans="2:32" ht="23.1" customHeight="1" x14ac:dyDescent="0.25">
      <c r="B24" s="23" t="s">
        <v>51</v>
      </c>
      <c r="C24" s="50">
        <v>57</v>
      </c>
      <c r="D24" s="50">
        <v>8</v>
      </c>
      <c r="E24" s="50">
        <v>2</v>
      </c>
      <c r="F24" s="50">
        <v>31</v>
      </c>
      <c r="G24" s="50">
        <v>0</v>
      </c>
      <c r="H24" s="50">
        <v>0</v>
      </c>
      <c r="I24" s="50">
        <v>7</v>
      </c>
      <c r="J24" s="50">
        <v>5</v>
      </c>
      <c r="K24" s="50">
        <v>1</v>
      </c>
      <c r="L24" s="50">
        <v>0</v>
      </c>
      <c r="M24" s="50">
        <v>87</v>
      </c>
      <c r="N24" s="50">
        <v>0</v>
      </c>
      <c r="O24" s="15">
        <f t="shared" si="0"/>
        <v>111</v>
      </c>
      <c r="P24" s="15">
        <f t="shared" si="1"/>
        <v>198</v>
      </c>
      <c r="R24" s="38" t="s">
        <v>92</v>
      </c>
      <c r="S24" s="39">
        <f>MAX(S19:S21)</f>
        <v>246</v>
      </c>
      <c r="T24" s="39">
        <f t="shared" ref="T24:AF24" si="16">MAX(T19:T21)</f>
        <v>32</v>
      </c>
      <c r="U24" s="39">
        <f t="shared" si="16"/>
        <v>34</v>
      </c>
      <c r="V24" s="39">
        <f t="shared" si="16"/>
        <v>194</v>
      </c>
      <c r="W24" s="39">
        <f t="shared" si="16"/>
        <v>44</v>
      </c>
      <c r="X24" s="39">
        <f t="shared" si="16"/>
        <v>3</v>
      </c>
      <c r="Y24" s="39">
        <f t="shared" si="16"/>
        <v>67</v>
      </c>
      <c r="Z24" s="39">
        <f t="shared" si="16"/>
        <v>1</v>
      </c>
      <c r="AA24" s="39">
        <f t="shared" si="16"/>
        <v>14</v>
      </c>
      <c r="AB24" s="39">
        <f t="shared" si="16"/>
        <v>3</v>
      </c>
      <c r="AC24" s="39">
        <f t="shared" si="16"/>
        <v>382</v>
      </c>
      <c r="AD24" s="39">
        <f t="shared" si="16"/>
        <v>0</v>
      </c>
      <c r="AE24" s="40">
        <f t="shared" si="16"/>
        <v>553</v>
      </c>
      <c r="AF24" s="40">
        <f t="shared" si="16"/>
        <v>935</v>
      </c>
    </row>
    <row r="25" spans="2:32" ht="23.1" customHeight="1" x14ac:dyDescent="0.25">
      <c r="B25" s="23" t="s">
        <v>52</v>
      </c>
      <c r="C25" s="50">
        <v>61</v>
      </c>
      <c r="D25" s="50">
        <v>9</v>
      </c>
      <c r="E25" s="50">
        <v>9</v>
      </c>
      <c r="F25" s="50">
        <v>44</v>
      </c>
      <c r="G25" s="50">
        <v>0</v>
      </c>
      <c r="H25" s="50">
        <v>1</v>
      </c>
      <c r="I25" s="50">
        <v>5</v>
      </c>
      <c r="J25" s="50">
        <v>3</v>
      </c>
      <c r="K25" s="50">
        <v>3</v>
      </c>
      <c r="L25" s="50">
        <v>2</v>
      </c>
      <c r="M25" s="50">
        <v>116</v>
      </c>
      <c r="N25" s="50">
        <v>0</v>
      </c>
      <c r="O25" s="15">
        <f t="shared" si="0"/>
        <v>137</v>
      </c>
      <c r="P25" s="15">
        <f t="shared" si="1"/>
        <v>253</v>
      </c>
      <c r="R25" s="37" t="s">
        <v>85</v>
      </c>
      <c r="S25" s="35">
        <f t="shared" ref="S25:AF25" si="17">SUM(S10:S12)</f>
        <v>1041</v>
      </c>
      <c r="T25" s="16">
        <f t="shared" si="17"/>
        <v>88</v>
      </c>
      <c r="U25" s="16">
        <f t="shared" si="17"/>
        <v>72</v>
      </c>
      <c r="V25" s="16">
        <f t="shared" si="17"/>
        <v>553</v>
      </c>
      <c r="W25" s="16">
        <f t="shared" si="17"/>
        <v>9</v>
      </c>
      <c r="X25" s="16">
        <f t="shared" si="17"/>
        <v>8</v>
      </c>
      <c r="Y25" s="16">
        <f t="shared" si="17"/>
        <v>121</v>
      </c>
      <c r="Z25" s="16">
        <f t="shared" si="17"/>
        <v>26</v>
      </c>
      <c r="AA25" s="16">
        <f t="shared" si="17"/>
        <v>17</v>
      </c>
      <c r="AB25" s="16">
        <f t="shared" si="17"/>
        <v>2</v>
      </c>
      <c r="AC25" s="16">
        <f t="shared" si="17"/>
        <v>2188</v>
      </c>
      <c r="AD25" s="16">
        <f t="shared" si="17"/>
        <v>0</v>
      </c>
      <c r="AE25" s="32">
        <f t="shared" si="17"/>
        <v>1937</v>
      </c>
      <c r="AF25" s="32">
        <f t="shared" si="17"/>
        <v>4125</v>
      </c>
    </row>
    <row r="26" spans="2:32" ht="23.1" customHeight="1" x14ac:dyDescent="0.25">
      <c r="B26" s="23" t="s">
        <v>53</v>
      </c>
      <c r="C26" s="50">
        <v>51</v>
      </c>
      <c r="D26" s="50">
        <v>5</v>
      </c>
      <c r="E26" s="50">
        <v>7</v>
      </c>
      <c r="F26" s="50">
        <v>37</v>
      </c>
      <c r="G26" s="50">
        <v>2</v>
      </c>
      <c r="H26" s="50">
        <v>1</v>
      </c>
      <c r="I26" s="50">
        <v>10</v>
      </c>
      <c r="J26" s="50">
        <v>5</v>
      </c>
      <c r="K26" s="50">
        <v>2</v>
      </c>
      <c r="L26" s="50">
        <v>0</v>
      </c>
      <c r="M26" s="50">
        <v>80</v>
      </c>
      <c r="N26" s="50">
        <v>0</v>
      </c>
      <c r="O26" s="15">
        <f t="shared" si="0"/>
        <v>120</v>
      </c>
      <c r="P26" s="15">
        <f t="shared" si="1"/>
        <v>200</v>
      </c>
      <c r="R26" s="28" t="s">
        <v>86</v>
      </c>
      <c r="S26" s="16">
        <f t="shared" ref="S26:AF26" si="18">SUM(S13:S18)</f>
        <v>1108</v>
      </c>
      <c r="T26" s="16">
        <f t="shared" si="18"/>
        <v>153</v>
      </c>
      <c r="U26" s="16">
        <f t="shared" si="18"/>
        <v>160</v>
      </c>
      <c r="V26" s="16">
        <f t="shared" si="18"/>
        <v>832</v>
      </c>
      <c r="W26" s="16">
        <f t="shared" si="18"/>
        <v>14</v>
      </c>
      <c r="X26" s="16">
        <f t="shared" si="18"/>
        <v>8</v>
      </c>
      <c r="Y26" s="16">
        <f t="shared" si="18"/>
        <v>217</v>
      </c>
      <c r="Z26" s="16">
        <f t="shared" si="18"/>
        <v>40</v>
      </c>
      <c r="AA26" s="16">
        <f t="shared" si="18"/>
        <v>49</v>
      </c>
      <c r="AB26" s="16">
        <f t="shared" si="18"/>
        <v>5</v>
      </c>
      <c r="AC26" s="16">
        <f t="shared" si="18"/>
        <v>1651</v>
      </c>
      <c r="AD26" s="16">
        <f t="shared" si="18"/>
        <v>0</v>
      </c>
      <c r="AE26" s="32">
        <f t="shared" si="18"/>
        <v>2586</v>
      </c>
      <c r="AF26" s="32">
        <f t="shared" si="18"/>
        <v>4237</v>
      </c>
    </row>
    <row r="27" spans="2:32" ht="23.1" customHeight="1" x14ac:dyDescent="0.25">
      <c r="B27" s="23" t="s">
        <v>54</v>
      </c>
      <c r="C27" s="50">
        <v>52</v>
      </c>
      <c r="D27" s="50">
        <v>2</v>
      </c>
      <c r="E27" s="50">
        <v>4</v>
      </c>
      <c r="F27" s="50">
        <v>35</v>
      </c>
      <c r="G27" s="50">
        <v>0</v>
      </c>
      <c r="H27" s="50">
        <v>0</v>
      </c>
      <c r="I27" s="50">
        <v>7</v>
      </c>
      <c r="J27" s="50">
        <v>1</v>
      </c>
      <c r="K27" s="50">
        <v>1</v>
      </c>
      <c r="L27" s="50">
        <v>0</v>
      </c>
      <c r="M27" s="50">
        <v>41</v>
      </c>
      <c r="N27" s="50">
        <v>0</v>
      </c>
      <c r="O27" s="15">
        <f t="shared" si="0"/>
        <v>102</v>
      </c>
      <c r="P27" s="15">
        <f t="shared" si="1"/>
        <v>143</v>
      </c>
      <c r="R27" s="29" t="s">
        <v>87</v>
      </c>
      <c r="S27" s="16">
        <f t="shared" ref="S27:AF27" si="19">SUM(S19:S21)</f>
        <v>715</v>
      </c>
      <c r="T27" s="16">
        <f t="shared" si="19"/>
        <v>94</v>
      </c>
      <c r="U27" s="16">
        <f t="shared" si="19"/>
        <v>80</v>
      </c>
      <c r="V27" s="16">
        <f t="shared" si="19"/>
        <v>509</v>
      </c>
      <c r="W27" s="16">
        <f t="shared" si="19"/>
        <v>53</v>
      </c>
      <c r="X27" s="16">
        <f t="shared" si="19"/>
        <v>6</v>
      </c>
      <c r="Y27" s="16">
        <f t="shared" si="19"/>
        <v>163</v>
      </c>
      <c r="Z27" s="16">
        <f t="shared" si="19"/>
        <v>2</v>
      </c>
      <c r="AA27" s="16">
        <f t="shared" si="19"/>
        <v>29</v>
      </c>
      <c r="AB27" s="16">
        <f t="shared" si="19"/>
        <v>6</v>
      </c>
      <c r="AC27" s="16">
        <f t="shared" si="19"/>
        <v>1010</v>
      </c>
      <c r="AD27" s="16">
        <f t="shared" si="19"/>
        <v>0</v>
      </c>
      <c r="AE27" s="32">
        <f t="shared" si="19"/>
        <v>1657</v>
      </c>
      <c r="AF27" s="32">
        <f t="shared" si="19"/>
        <v>2667</v>
      </c>
    </row>
    <row r="28" spans="2:32" ht="23.1" customHeight="1" x14ac:dyDescent="0.25">
      <c r="B28" s="23" t="s">
        <v>55</v>
      </c>
      <c r="C28" s="50">
        <v>46</v>
      </c>
      <c r="D28" s="50">
        <v>3</v>
      </c>
      <c r="E28" s="50">
        <v>5</v>
      </c>
      <c r="F28" s="50">
        <v>40</v>
      </c>
      <c r="G28" s="50">
        <v>0</v>
      </c>
      <c r="H28" s="50">
        <v>0</v>
      </c>
      <c r="I28" s="50">
        <v>5</v>
      </c>
      <c r="J28" s="50">
        <v>0</v>
      </c>
      <c r="K28" s="50">
        <v>2</v>
      </c>
      <c r="L28" s="50">
        <v>0</v>
      </c>
      <c r="M28" s="50">
        <v>66</v>
      </c>
      <c r="N28" s="50">
        <v>0</v>
      </c>
      <c r="O28" s="15">
        <f t="shared" si="0"/>
        <v>101</v>
      </c>
      <c r="P28" s="15">
        <f t="shared" si="1"/>
        <v>167</v>
      </c>
      <c r="R28" s="5" t="s">
        <v>17</v>
      </c>
      <c r="S28" s="16">
        <f t="shared" ref="S28:AF28" si="20">SUM(S10:S21)</f>
        <v>2864</v>
      </c>
      <c r="T28" s="16">
        <f t="shared" si="20"/>
        <v>335</v>
      </c>
      <c r="U28" s="16">
        <f t="shared" si="20"/>
        <v>312</v>
      </c>
      <c r="V28" s="16">
        <f t="shared" si="20"/>
        <v>1894</v>
      </c>
      <c r="W28" s="16">
        <f t="shared" si="20"/>
        <v>76</v>
      </c>
      <c r="X28" s="16">
        <f t="shared" si="20"/>
        <v>22</v>
      </c>
      <c r="Y28" s="16">
        <f t="shared" si="20"/>
        <v>501</v>
      </c>
      <c r="Z28" s="16">
        <f t="shared" si="20"/>
        <v>68</v>
      </c>
      <c r="AA28" s="16">
        <f t="shared" si="20"/>
        <v>95</v>
      </c>
      <c r="AB28" s="16">
        <f t="shared" si="20"/>
        <v>13</v>
      </c>
      <c r="AC28" s="16">
        <f t="shared" si="20"/>
        <v>4849</v>
      </c>
      <c r="AD28" s="16">
        <f t="shared" si="20"/>
        <v>0</v>
      </c>
      <c r="AE28" s="32">
        <f t="shared" si="20"/>
        <v>6180</v>
      </c>
      <c r="AF28" s="32">
        <f t="shared" si="20"/>
        <v>11029</v>
      </c>
    </row>
    <row r="29" spans="2:32" ht="23.1" customHeight="1" x14ac:dyDescent="0.25">
      <c r="B29" s="23" t="s">
        <v>56</v>
      </c>
      <c r="C29" s="50">
        <v>43</v>
      </c>
      <c r="D29" s="50">
        <v>4</v>
      </c>
      <c r="E29" s="50">
        <v>5</v>
      </c>
      <c r="F29" s="50">
        <v>22</v>
      </c>
      <c r="G29" s="50">
        <v>0</v>
      </c>
      <c r="H29" s="50">
        <v>0</v>
      </c>
      <c r="I29" s="50">
        <v>4</v>
      </c>
      <c r="J29" s="50">
        <v>1</v>
      </c>
      <c r="K29" s="50">
        <v>2</v>
      </c>
      <c r="L29" s="50">
        <v>0</v>
      </c>
      <c r="M29" s="50">
        <v>66</v>
      </c>
      <c r="N29" s="50">
        <v>0</v>
      </c>
      <c r="O29" s="15">
        <f t="shared" si="0"/>
        <v>81</v>
      </c>
      <c r="P29" s="15">
        <f t="shared" si="1"/>
        <v>147</v>
      </c>
      <c r="R29"/>
      <c r="S29" s="20"/>
      <c r="T29" s="19"/>
    </row>
    <row r="30" spans="2:32" ht="23.1" customHeight="1" x14ac:dyDescent="0.25">
      <c r="B30" s="23" t="s">
        <v>57</v>
      </c>
      <c r="C30" s="50">
        <v>41</v>
      </c>
      <c r="D30" s="50">
        <v>4</v>
      </c>
      <c r="E30" s="50">
        <v>11</v>
      </c>
      <c r="F30" s="50">
        <v>31</v>
      </c>
      <c r="G30" s="50">
        <v>1</v>
      </c>
      <c r="H30" s="50">
        <v>1</v>
      </c>
      <c r="I30" s="50">
        <v>10</v>
      </c>
      <c r="J30" s="50">
        <v>5</v>
      </c>
      <c r="K30" s="50">
        <v>2</v>
      </c>
      <c r="L30" s="50">
        <v>0</v>
      </c>
      <c r="M30" s="50">
        <v>86</v>
      </c>
      <c r="N30" s="50">
        <v>0</v>
      </c>
      <c r="O30" s="15">
        <f t="shared" si="0"/>
        <v>106</v>
      </c>
      <c r="P30" s="15">
        <f t="shared" si="1"/>
        <v>192</v>
      </c>
    </row>
    <row r="31" spans="2:32" ht="23.1" customHeight="1" x14ac:dyDescent="0.25">
      <c r="B31" s="24" t="s">
        <v>58</v>
      </c>
      <c r="C31" s="50">
        <v>46</v>
      </c>
      <c r="D31" s="50">
        <v>5</v>
      </c>
      <c r="E31" s="50">
        <v>6</v>
      </c>
      <c r="F31" s="50">
        <v>40</v>
      </c>
      <c r="G31" s="50">
        <v>0</v>
      </c>
      <c r="H31" s="50">
        <v>0</v>
      </c>
      <c r="I31" s="50">
        <v>10</v>
      </c>
      <c r="J31" s="50">
        <v>2</v>
      </c>
      <c r="K31" s="50">
        <v>0</v>
      </c>
      <c r="L31" s="50">
        <v>0</v>
      </c>
      <c r="M31" s="50">
        <v>51</v>
      </c>
      <c r="N31" s="50">
        <v>0</v>
      </c>
      <c r="O31" s="15">
        <f t="shared" si="0"/>
        <v>109</v>
      </c>
      <c r="P31" s="15">
        <f t="shared" si="1"/>
        <v>160</v>
      </c>
    </row>
    <row r="32" spans="2:32" ht="23.1" customHeight="1" x14ac:dyDescent="0.25">
      <c r="B32" s="24" t="s">
        <v>59</v>
      </c>
      <c r="C32" s="50">
        <v>32</v>
      </c>
      <c r="D32" s="50">
        <v>3</v>
      </c>
      <c r="E32" s="50">
        <v>6</v>
      </c>
      <c r="F32" s="50">
        <v>44</v>
      </c>
      <c r="G32" s="50">
        <v>0</v>
      </c>
      <c r="H32" s="50">
        <v>0</v>
      </c>
      <c r="I32" s="50">
        <v>12</v>
      </c>
      <c r="J32" s="50">
        <v>0</v>
      </c>
      <c r="K32" s="50">
        <v>2</v>
      </c>
      <c r="L32" s="50">
        <v>0</v>
      </c>
      <c r="M32" s="50">
        <v>50</v>
      </c>
      <c r="N32" s="50">
        <v>0</v>
      </c>
      <c r="O32" s="15">
        <f t="shared" si="0"/>
        <v>99</v>
      </c>
      <c r="P32" s="15">
        <f t="shared" si="1"/>
        <v>149</v>
      </c>
    </row>
    <row r="33" spans="2:20" ht="23.1" customHeight="1" x14ac:dyDescent="0.25">
      <c r="B33" s="23" t="s">
        <v>60</v>
      </c>
      <c r="C33" s="50">
        <v>47</v>
      </c>
      <c r="D33" s="50">
        <v>8</v>
      </c>
      <c r="E33" s="50">
        <v>0</v>
      </c>
      <c r="F33" s="50">
        <v>29</v>
      </c>
      <c r="G33" s="50">
        <v>0</v>
      </c>
      <c r="H33" s="50">
        <v>0</v>
      </c>
      <c r="I33" s="50">
        <v>9</v>
      </c>
      <c r="J33" s="50">
        <v>0</v>
      </c>
      <c r="K33" s="50">
        <v>3</v>
      </c>
      <c r="L33" s="50">
        <v>0</v>
      </c>
      <c r="M33" s="50">
        <v>61</v>
      </c>
      <c r="N33" s="50">
        <v>0</v>
      </c>
      <c r="O33" s="15">
        <f t="shared" si="0"/>
        <v>96</v>
      </c>
      <c r="P33" s="15">
        <f t="shared" si="1"/>
        <v>157</v>
      </c>
    </row>
    <row r="34" spans="2:20" ht="23.1" customHeight="1" x14ac:dyDescent="0.25">
      <c r="B34" s="24" t="s">
        <v>61</v>
      </c>
      <c r="C34" s="50">
        <v>54</v>
      </c>
      <c r="D34" s="50">
        <v>4</v>
      </c>
      <c r="E34" s="50">
        <v>9</v>
      </c>
      <c r="F34" s="50">
        <v>32</v>
      </c>
      <c r="G34" s="50">
        <v>2</v>
      </c>
      <c r="H34" s="50">
        <v>1</v>
      </c>
      <c r="I34" s="50">
        <v>6</v>
      </c>
      <c r="J34" s="50">
        <v>3</v>
      </c>
      <c r="K34" s="50">
        <v>3</v>
      </c>
      <c r="L34" s="50">
        <v>0</v>
      </c>
      <c r="M34" s="50">
        <v>66</v>
      </c>
      <c r="N34" s="50">
        <v>0</v>
      </c>
      <c r="O34" s="15">
        <f t="shared" si="0"/>
        <v>114</v>
      </c>
      <c r="P34" s="15">
        <f t="shared" si="1"/>
        <v>180</v>
      </c>
    </row>
    <row r="35" spans="2:20" ht="23.1" customHeight="1" x14ac:dyDescent="0.25">
      <c r="B35" s="24" t="s">
        <v>62</v>
      </c>
      <c r="C35" s="50">
        <v>39</v>
      </c>
      <c r="D35" s="50">
        <v>5</v>
      </c>
      <c r="E35" s="50">
        <v>6</v>
      </c>
      <c r="F35" s="50">
        <v>29</v>
      </c>
      <c r="G35" s="50">
        <v>0</v>
      </c>
      <c r="H35" s="50">
        <v>1</v>
      </c>
      <c r="I35" s="50">
        <v>4</v>
      </c>
      <c r="J35" s="50">
        <v>1</v>
      </c>
      <c r="K35" s="50">
        <v>1</v>
      </c>
      <c r="L35" s="50">
        <v>0</v>
      </c>
      <c r="M35" s="50">
        <v>57</v>
      </c>
      <c r="N35" s="50">
        <v>0</v>
      </c>
      <c r="O35" s="15">
        <f t="shared" si="0"/>
        <v>86</v>
      </c>
      <c r="P35" s="15">
        <f t="shared" si="1"/>
        <v>143</v>
      </c>
    </row>
    <row r="36" spans="2:20" ht="23.1" customHeight="1" x14ac:dyDescent="0.25">
      <c r="B36" s="24" t="s">
        <v>63</v>
      </c>
      <c r="C36" s="50">
        <v>49</v>
      </c>
      <c r="D36" s="50">
        <v>9</v>
      </c>
      <c r="E36" s="50">
        <v>3</v>
      </c>
      <c r="F36" s="50">
        <v>31</v>
      </c>
      <c r="G36" s="50">
        <v>1</v>
      </c>
      <c r="H36" s="50">
        <v>1</v>
      </c>
      <c r="I36" s="50">
        <v>7</v>
      </c>
      <c r="J36" s="50">
        <v>0</v>
      </c>
      <c r="K36" s="50">
        <v>3</v>
      </c>
      <c r="L36" s="50">
        <v>1</v>
      </c>
      <c r="M36" s="50">
        <v>58</v>
      </c>
      <c r="N36" s="50">
        <v>0</v>
      </c>
      <c r="O36" s="15">
        <f t="shared" si="0"/>
        <v>105</v>
      </c>
      <c r="P36" s="15">
        <f t="shared" si="1"/>
        <v>163</v>
      </c>
    </row>
    <row r="37" spans="2:20" ht="23.1" customHeight="1" x14ac:dyDescent="0.25">
      <c r="B37" s="23" t="s">
        <v>64</v>
      </c>
      <c r="C37" s="50">
        <v>33</v>
      </c>
      <c r="D37" s="50">
        <v>8</v>
      </c>
      <c r="E37" s="50">
        <v>6</v>
      </c>
      <c r="F37" s="50">
        <v>31</v>
      </c>
      <c r="G37" s="50">
        <v>0</v>
      </c>
      <c r="H37" s="50">
        <v>0</v>
      </c>
      <c r="I37" s="50">
        <v>15</v>
      </c>
      <c r="J37" s="50">
        <v>0</v>
      </c>
      <c r="K37" s="50">
        <v>5</v>
      </c>
      <c r="L37" s="50">
        <v>0</v>
      </c>
      <c r="M37" s="50">
        <v>65</v>
      </c>
      <c r="N37" s="50">
        <v>0</v>
      </c>
      <c r="O37" s="15">
        <f t="shared" si="0"/>
        <v>98</v>
      </c>
      <c r="P37" s="15">
        <f t="shared" si="1"/>
        <v>163</v>
      </c>
    </row>
    <row r="38" spans="2:20" ht="23.1" customHeight="1" x14ac:dyDescent="0.25">
      <c r="B38" s="24" t="s">
        <v>65</v>
      </c>
      <c r="C38" s="50">
        <v>43</v>
      </c>
      <c r="D38" s="50">
        <v>9</v>
      </c>
      <c r="E38" s="50">
        <v>13</v>
      </c>
      <c r="F38" s="50">
        <v>30</v>
      </c>
      <c r="G38" s="50">
        <v>1</v>
      </c>
      <c r="H38" s="50">
        <v>0</v>
      </c>
      <c r="I38" s="50">
        <v>15</v>
      </c>
      <c r="J38" s="50">
        <v>1</v>
      </c>
      <c r="K38" s="50">
        <v>1</v>
      </c>
      <c r="L38" s="50">
        <v>1</v>
      </c>
      <c r="M38" s="50">
        <v>66</v>
      </c>
      <c r="N38" s="50">
        <v>0</v>
      </c>
      <c r="O38" s="15">
        <f t="shared" si="0"/>
        <v>114</v>
      </c>
      <c r="P38" s="15">
        <f t="shared" si="1"/>
        <v>180</v>
      </c>
    </row>
    <row r="39" spans="2:20" ht="23.1" customHeight="1" x14ac:dyDescent="0.25">
      <c r="B39" s="24" t="s">
        <v>66</v>
      </c>
      <c r="C39" s="50">
        <v>35</v>
      </c>
      <c r="D39" s="50">
        <v>2</v>
      </c>
      <c r="E39" s="50">
        <v>4</v>
      </c>
      <c r="F39" s="50">
        <v>33</v>
      </c>
      <c r="G39" s="50">
        <v>0</v>
      </c>
      <c r="H39" s="50">
        <v>0</v>
      </c>
      <c r="I39" s="50">
        <v>10</v>
      </c>
      <c r="J39" s="50">
        <v>0</v>
      </c>
      <c r="K39" s="50">
        <v>0</v>
      </c>
      <c r="L39" s="50">
        <v>0</v>
      </c>
      <c r="M39" s="50">
        <v>43</v>
      </c>
      <c r="N39" s="50">
        <v>0</v>
      </c>
      <c r="O39" s="15">
        <f t="shared" si="0"/>
        <v>84</v>
      </c>
      <c r="P39" s="15">
        <f t="shared" si="1"/>
        <v>127</v>
      </c>
    </row>
    <row r="40" spans="2:20" ht="23.1" customHeight="1" x14ac:dyDescent="0.25">
      <c r="B40" s="24" t="s">
        <v>67</v>
      </c>
      <c r="C40" s="50">
        <v>44</v>
      </c>
      <c r="D40" s="50">
        <v>7</v>
      </c>
      <c r="E40" s="50">
        <v>5</v>
      </c>
      <c r="F40" s="50">
        <v>39</v>
      </c>
      <c r="G40" s="50">
        <v>1</v>
      </c>
      <c r="H40" s="50">
        <v>0</v>
      </c>
      <c r="I40" s="50">
        <v>11</v>
      </c>
      <c r="J40" s="50">
        <v>2</v>
      </c>
      <c r="K40" s="50">
        <v>4</v>
      </c>
      <c r="L40" s="50">
        <v>0</v>
      </c>
      <c r="M40" s="50">
        <v>78</v>
      </c>
      <c r="N40" s="50">
        <v>0</v>
      </c>
      <c r="O40" s="15">
        <f t="shared" si="0"/>
        <v>113</v>
      </c>
      <c r="P40" s="15">
        <f t="shared" si="1"/>
        <v>191</v>
      </c>
    </row>
    <row r="41" spans="2:20" ht="23.1" customHeight="1" x14ac:dyDescent="0.25">
      <c r="B41" s="23" t="s">
        <v>68</v>
      </c>
      <c r="C41" s="50">
        <v>41</v>
      </c>
      <c r="D41" s="50">
        <v>5</v>
      </c>
      <c r="E41" s="50">
        <v>8</v>
      </c>
      <c r="F41" s="50">
        <v>34</v>
      </c>
      <c r="G41" s="50">
        <v>0</v>
      </c>
      <c r="H41" s="50">
        <v>0</v>
      </c>
      <c r="I41" s="50">
        <v>7</v>
      </c>
      <c r="J41" s="50">
        <v>0</v>
      </c>
      <c r="K41" s="50">
        <v>0</v>
      </c>
      <c r="L41" s="50">
        <v>0</v>
      </c>
      <c r="M41" s="50">
        <v>50</v>
      </c>
      <c r="N41" s="50">
        <v>0</v>
      </c>
      <c r="O41" s="15">
        <f t="shared" si="0"/>
        <v>95</v>
      </c>
      <c r="P41" s="15">
        <f t="shared" si="1"/>
        <v>145</v>
      </c>
    </row>
    <row r="42" spans="2:20" ht="23.1" customHeight="1" x14ac:dyDescent="0.25">
      <c r="B42" s="24" t="s">
        <v>69</v>
      </c>
      <c r="C42" s="50">
        <v>46</v>
      </c>
      <c r="D42" s="50">
        <v>5</v>
      </c>
      <c r="E42" s="50">
        <v>5</v>
      </c>
      <c r="F42" s="50">
        <v>34</v>
      </c>
      <c r="G42" s="50">
        <v>1</v>
      </c>
      <c r="H42" s="50">
        <v>1</v>
      </c>
      <c r="I42" s="50">
        <v>14</v>
      </c>
      <c r="J42" s="50">
        <v>2</v>
      </c>
      <c r="K42" s="50">
        <v>1</v>
      </c>
      <c r="L42" s="50">
        <v>0</v>
      </c>
      <c r="M42" s="50">
        <v>71</v>
      </c>
      <c r="N42" s="50">
        <v>0</v>
      </c>
      <c r="O42" s="15">
        <f t="shared" si="0"/>
        <v>109</v>
      </c>
      <c r="P42" s="15">
        <f t="shared" si="1"/>
        <v>180</v>
      </c>
    </row>
    <row r="43" spans="2:20" ht="23.1" customHeight="1" x14ac:dyDescent="0.25">
      <c r="B43" s="23" t="s">
        <v>70</v>
      </c>
      <c r="C43" s="50">
        <v>44</v>
      </c>
      <c r="D43" s="50">
        <v>10</v>
      </c>
      <c r="E43" s="50">
        <v>11</v>
      </c>
      <c r="F43" s="50">
        <v>34</v>
      </c>
      <c r="G43" s="50">
        <v>1</v>
      </c>
      <c r="H43" s="50">
        <v>0</v>
      </c>
      <c r="I43" s="50">
        <v>7</v>
      </c>
      <c r="J43" s="50">
        <v>1</v>
      </c>
      <c r="K43" s="50">
        <v>4</v>
      </c>
      <c r="L43" s="50">
        <v>0</v>
      </c>
      <c r="M43" s="50">
        <v>69</v>
      </c>
      <c r="N43" s="50">
        <v>0</v>
      </c>
      <c r="O43" s="15">
        <f t="shared" si="0"/>
        <v>112</v>
      </c>
      <c r="P43" s="15">
        <f t="shared" si="1"/>
        <v>181</v>
      </c>
    </row>
    <row r="44" spans="2:20" ht="23.1" customHeight="1" x14ac:dyDescent="0.25">
      <c r="B44" s="25" t="s">
        <v>71</v>
      </c>
      <c r="C44" s="50">
        <v>51</v>
      </c>
      <c r="D44" s="50">
        <v>14</v>
      </c>
      <c r="E44" s="50">
        <v>14</v>
      </c>
      <c r="F44" s="50">
        <v>30</v>
      </c>
      <c r="G44" s="50">
        <v>0</v>
      </c>
      <c r="H44" s="50">
        <v>1</v>
      </c>
      <c r="I44" s="50">
        <v>11</v>
      </c>
      <c r="J44" s="50">
        <v>3</v>
      </c>
      <c r="K44" s="50">
        <v>0</v>
      </c>
      <c r="L44" s="50">
        <v>0</v>
      </c>
      <c r="M44" s="50">
        <v>70</v>
      </c>
      <c r="N44" s="50">
        <v>0</v>
      </c>
      <c r="O44" s="15">
        <f t="shared" si="0"/>
        <v>124</v>
      </c>
      <c r="P44" s="15">
        <f t="shared" si="1"/>
        <v>194</v>
      </c>
    </row>
    <row r="45" spans="2:20" ht="23.1" customHeight="1" x14ac:dyDescent="0.25">
      <c r="B45" s="23" t="s">
        <v>72</v>
      </c>
      <c r="C45" s="50">
        <v>50</v>
      </c>
      <c r="D45" s="50">
        <v>11</v>
      </c>
      <c r="E45" s="50">
        <v>9</v>
      </c>
      <c r="F45" s="50">
        <v>41</v>
      </c>
      <c r="G45" s="50">
        <v>2</v>
      </c>
      <c r="H45" s="50">
        <v>0</v>
      </c>
      <c r="I45" s="50">
        <v>16</v>
      </c>
      <c r="J45" s="50">
        <v>0</v>
      </c>
      <c r="K45" s="50">
        <v>3</v>
      </c>
      <c r="L45" s="50">
        <v>1</v>
      </c>
      <c r="M45" s="50">
        <v>77</v>
      </c>
      <c r="N45" s="50">
        <v>0</v>
      </c>
      <c r="O45" s="15">
        <f t="shared" si="0"/>
        <v>133</v>
      </c>
      <c r="P45" s="15">
        <f t="shared" si="1"/>
        <v>210</v>
      </c>
    </row>
    <row r="46" spans="2:20" ht="23.1" customHeight="1" x14ac:dyDescent="0.25">
      <c r="B46" s="24" t="s">
        <v>73</v>
      </c>
      <c r="C46" s="50">
        <v>52</v>
      </c>
      <c r="D46" s="50">
        <v>1</v>
      </c>
      <c r="E46" s="50">
        <v>4</v>
      </c>
      <c r="F46" s="50">
        <v>48</v>
      </c>
      <c r="G46" s="50">
        <v>0</v>
      </c>
      <c r="H46" s="50">
        <v>0</v>
      </c>
      <c r="I46" s="50">
        <v>20</v>
      </c>
      <c r="J46" s="50">
        <v>0</v>
      </c>
      <c r="K46" s="50">
        <v>3</v>
      </c>
      <c r="L46" s="50">
        <v>0</v>
      </c>
      <c r="M46" s="50">
        <v>80</v>
      </c>
      <c r="N46" s="50">
        <v>0</v>
      </c>
      <c r="O46" s="15">
        <f t="shared" si="0"/>
        <v>128</v>
      </c>
      <c r="P46" s="15">
        <f t="shared" si="1"/>
        <v>208</v>
      </c>
      <c r="R46" s="8"/>
      <c r="T46"/>
    </row>
    <row r="47" spans="2:20" ht="23.1" customHeight="1" x14ac:dyDescent="0.25">
      <c r="B47" s="24" t="s">
        <v>74</v>
      </c>
      <c r="C47" s="50">
        <v>53</v>
      </c>
      <c r="D47" s="50">
        <v>13</v>
      </c>
      <c r="E47" s="50">
        <v>0</v>
      </c>
      <c r="F47" s="50">
        <v>5</v>
      </c>
      <c r="G47" s="50">
        <v>35</v>
      </c>
      <c r="H47" s="50">
        <v>1</v>
      </c>
      <c r="I47" s="50">
        <v>16</v>
      </c>
      <c r="J47" s="50">
        <v>0</v>
      </c>
      <c r="K47" s="50">
        <v>6</v>
      </c>
      <c r="L47" s="50">
        <v>3</v>
      </c>
      <c r="M47" s="50">
        <v>65</v>
      </c>
      <c r="N47" s="50">
        <v>0</v>
      </c>
      <c r="O47" s="15">
        <f t="shared" si="0"/>
        <v>132</v>
      </c>
      <c r="P47" s="15">
        <f t="shared" si="1"/>
        <v>197</v>
      </c>
      <c r="R47" s="8"/>
      <c r="T47"/>
    </row>
    <row r="48" spans="2:20" ht="23.1" customHeight="1" x14ac:dyDescent="0.25">
      <c r="B48" s="24" t="s">
        <v>75</v>
      </c>
      <c r="C48" s="50">
        <v>67</v>
      </c>
      <c r="D48" s="50">
        <v>9</v>
      </c>
      <c r="E48" s="50">
        <v>8</v>
      </c>
      <c r="F48" s="50">
        <v>46</v>
      </c>
      <c r="G48" s="50">
        <v>2</v>
      </c>
      <c r="H48" s="50">
        <v>0</v>
      </c>
      <c r="I48" s="50">
        <v>12</v>
      </c>
      <c r="J48" s="50">
        <v>0</v>
      </c>
      <c r="K48" s="50">
        <v>3</v>
      </c>
      <c r="L48" s="50">
        <v>0</v>
      </c>
      <c r="M48" s="50">
        <v>97</v>
      </c>
      <c r="N48" s="50">
        <v>0</v>
      </c>
      <c r="O48" s="15">
        <f t="shared" si="0"/>
        <v>147</v>
      </c>
      <c r="P48" s="15">
        <f t="shared" si="1"/>
        <v>244</v>
      </c>
      <c r="R48" s="8"/>
      <c r="T48"/>
    </row>
    <row r="49" spans="2:20" ht="23.1" customHeight="1" x14ac:dyDescent="0.25">
      <c r="B49" s="23" t="s">
        <v>76</v>
      </c>
      <c r="C49" s="50">
        <v>60</v>
      </c>
      <c r="D49" s="50">
        <v>8</v>
      </c>
      <c r="E49" s="50">
        <v>1</v>
      </c>
      <c r="F49" s="50">
        <v>45</v>
      </c>
      <c r="G49" s="50">
        <v>7</v>
      </c>
      <c r="H49" s="50">
        <v>2</v>
      </c>
      <c r="I49" s="50">
        <v>19</v>
      </c>
      <c r="J49" s="50">
        <v>0</v>
      </c>
      <c r="K49" s="50">
        <v>2</v>
      </c>
      <c r="L49" s="50">
        <v>0</v>
      </c>
      <c r="M49" s="50">
        <v>101</v>
      </c>
      <c r="N49" s="50">
        <v>0</v>
      </c>
      <c r="O49" s="15">
        <f t="shared" si="0"/>
        <v>144</v>
      </c>
      <c r="P49" s="15">
        <f t="shared" si="1"/>
        <v>245</v>
      </c>
      <c r="R49" s="8"/>
      <c r="T49"/>
    </row>
    <row r="50" spans="2:20" ht="23.1" customHeight="1" x14ac:dyDescent="0.25">
      <c r="B50" s="24" t="s">
        <v>77</v>
      </c>
      <c r="C50" s="50">
        <v>52</v>
      </c>
      <c r="D50" s="50">
        <v>12</v>
      </c>
      <c r="E50" s="50">
        <v>9</v>
      </c>
      <c r="F50" s="50">
        <v>47</v>
      </c>
      <c r="G50" s="50">
        <v>1</v>
      </c>
      <c r="H50" s="50">
        <v>1</v>
      </c>
      <c r="I50" s="50">
        <v>15</v>
      </c>
      <c r="J50" s="50">
        <v>0</v>
      </c>
      <c r="K50" s="50">
        <v>0</v>
      </c>
      <c r="L50" s="50">
        <v>0</v>
      </c>
      <c r="M50" s="50">
        <v>92</v>
      </c>
      <c r="N50" s="50">
        <v>0</v>
      </c>
      <c r="O50" s="15">
        <f t="shared" si="0"/>
        <v>137</v>
      </c>
      <c r="P50" s="15">
        <f t="shared" si="1"/>
        <v>229</v>
      </c>
      <c r="R50" s="8"/>
      <c r="T50"/>
    </row>
    <row r="51" spans="2:20" ht="23.1" customHeight="1" x14ac:dyDescent="0.25">
      <c r="B51" s="24" t="s">
        <v>78</v>
      </c>
      <c r="C51" s="50">
        <v>62</v>
      </c>
      <c r="D51" s="50">
        <v>7</v>
      </c>
      <c r="E51" s="50">
        <v>4</v>
      </c>
      <c r="F51" s="50">
        <v>37</v>
      </c>
      <c r="G51" s="50">
        <v>0</v>
      </c>
      <c r="H51" s="50">
        <v>1</v>
      </c>
      <c r="I51" s="50">
        <v>18</v>
      </c>
      <c r="J51" s="50">
        <v>1</v>
      </c>
      <c r="K51" s="50">
        <v>1</v>
      </c>
      <c r="L51" s="50">
        <v>2</v>
      </c>
      <c r="M51" s="50">
        <v>86</v>
      </c>
      <c r="N51" s="50">
        <v>0</v>
      </c>
      <c r="O51" s="15">
        <f t="shared" si="0"/>
        <v>133</v>
      </c>
      <c r="P51" s="15">
        <f t="shared" si="1"/>
        <v>219</v>
      </c>
      <c r="R51" s="8"/>
      <c r="T51"/>
    </row>
    <row r="52" spans="2:20" ht="23.1" customHeight="1" x14ac:dyDescent="0.25">
      <c r="B52" s="24" t="s">
        <v>79</v>
      </c>
      <c r="C52" s="50">
        <v>68</v>
      </c>
      <c r="D52" s="50">
        <v>6</v>
      </c>
      <c r="E52" s="50">
        <v>12</v>
      </c>
      <c r="F52" s="50">
        <v>49</v>
      </c>
      <c r="G52" s="50">
        <v>1</v>
      </c>
      <c r="H52" s="50">
        <v>0</v>
      </c>
      <c r="I52" s="50">
        <v>10</v>
      </c>
      <c r="J52" s="50">
        <v>0</v>
      </c>
      <c r="K52" s="50">
        <v>2</v>
      </c>
      <c r="L52" s="50">
        <v>0</v>
      </c>
      <c r="M52" s="50">
        <v>92</v>
      </c>
      <c r="N52" s="50">
        <v>0</v>
      </c>
      <c r="O52" s="15">
        <f t="shared" si="0"/>
        <v>148</v>
      </c>
      <c r="P52" s="15">
        <f t="shared" si="1"/>
        <v>240</v>
      </c>
      <c r="R52" s="8"/>
      <c r="T52"/>
    </row>
    <row r="53" spans="2:20" ht="23.1" customHeight="1" x14ac:dyDescent="0.25">
      <c r="B53" s="23" t="s">
        <v>80</v>
      </c>
      <c r="C53" s="50">
        <v>64</v>
      </c>
      <c r="D53" s="50">
        <v>7</v>
      </c>
      <c r="E53" s="50">
        <v>9</v>
      </c>
      <c r="F53" s="50">
        <v>38</v>
      </c>
      <c r="G53" s="50">
        <v>1</v>
      </c>
      <c r="H53" s="50">
        <v>0</v>
      </c>
      <c r="I53" s="50">
        <v>13</v>
      </c>
      <c r="J53" s="50">
        <v>0</v>
      </c>
      <c r="K53" s="50">
        <v>3</v>
      </c>
      <c r="L53" s="50">
        <v>0</v>
      </c>
      <c r="M53" s="50">
        <v>112</v>
      </c>
      <c r="N53" s="50">
        <v>0</v>
      </c>
      <c r="O53" s="15">
        <f t="shared" si="0"/>
        <v>135</v>
      </c>
      <c r="P53" s="15">
        <f t="shared" si="1"/>
        <v>247</v>
      </c>
      <c r="R53" s="8"/>
      <c r="T53"/>
    </row>
    <row r="54" spans="2:20" ht="23.1" customHeight="1" x14ac:dyDescent="0.25">
      <c r="B54" s="23" t="s">
        <v>81</v>
      </c>
      <c r="C54" s="50">
        <v>70</v>
      </c>
      <c r="D54" s="50">
        <v>5</v>
      </c>
      <c r="E54" s="50">
        <v>10</v>
      </c>
      <c r="F54" s="50">
        <v>46</v>
      </c>
      <c r="G54" s="50">
        <v>1</v>
      </c>
      <c r="H54" s="50">
        <v>1</v>
      </c>
      <c r="I54" s="50">
        <v>17</v>
      </c>
      <c r="J54" s="50">
        <v>0</v>
      </c>
      <c r="K54" s="50">
        <v>2</v>
      </c>
      <c r="L54" s="50">
        <v>1</v>
      </c>
      <c r="M54" s="50">
        <v>78</v>
      </c>
      <c r="N54" s="50">
        <v>0</v>
      </c>
      <c r="O54" s="15">
        <f t="shared" si="0"/>
        <v>153</v>
      </c>
      <c r="P54" s="15">
        <f t="shared" si="1"/>
        <v>231</v>
      </c>
      <c r="R54" s="8"/>
      <c r="T54"/>
    </row>
    <row r="55" spans="2:20" ht="23.1" customHeight="1" x14ac:dyDescent="0.25">
      <c r="B55" s="23" t="s">
        <v>82</v>
      </c>
      <c r="C55" s="50">
        <v>50</v>
      </c>
      <c r="D55" s="50">
        <v>6</v>
      </c>
      <c r="E55" s="50">
        <v>4</v>
      </c>
      <c r="F55" s="50">
        <v>48</v>
      </c>
      <c r="G55" s="50">
        <v>0</v>
      </c>
      <c r="H55" s="50">
        <v>0</v>
      </c>
      <c r="I55" s="50">
        <v>7</v>
      </c>
      <c r="J55" s="50">
        <v>1</v>
      </c>
      <c r="K55" s="50">
        <v>5</v>
      </c>
      <c r="L55" s="50">
        <v>0</v>
      </c>
      <c r="M55" s="50">
        <v>85</v>
      </c>
      <c r="N55" s="50">
        <v>0</v>
      </c>
      <c r="O55" s="15">
        <f t="shared" si="0"/>
        <v>121</v>
      </c>
      <c r="P55" s="15">
        <f t="shared" si="1"/>
        <v>206</v>
      </c>
      <c r="R55" s="8"/>
      <c r="T55"/>
    </row>
    <row r="56" spans="2:20" ht="23.1" customHeight="1" x14ac:dyDescent="0.25">
      <c r="B56" s="23" t="s">
        <v>83</v>
      </c>
      <c r="C56" s="50">
        <v>65</v>
      </c>
      <c r="D56" s="50">
        <v>13</v>
      </c>
      <c r="E56" s="50">
        <v>12</v>
      </c>
      <c r="F56" s="50">
        <v>52</v>
      </c>
      <c r="G56" s="50">
        <v>3</v>
      </c>
      <c r="H56" s="50">
        <v>0</v>
      </c>
      <c r="I56" s="50">
        <v>10</v>
      </c>
      <c r="J56" s="50">
        <v>0</v>
      </c>
      <c r="K56" s="50">
        <v>2</v>
      </c>
      <c r="L56" s="50">
        <v>0</v>
      </c>
      <c r="M56" s="50">
        <v>72</v>
      </c>
      <c r="N56" s="50">
        <v>0</v>
      </c>
      <c r="O56" s="15">
        <f t="shared" si="0"/>
        <v>157</v>
      </c>
      <c r="P56" s="15">
        <f t="shared" si="1"/>
        <v>229</v>
      </c>
      <c r="R56" s="8"/>
      <c r="T56"/>
    </row>
    <row r="57" spans="2:20" ht="23.1" customHeight="1" x14ac:dyDescent="0.25">
      <c r="B57" s="23" t="s">
        <v>84</v>
      </c>
      <c r="C57" s="50">
        <v>52</v>
      </c>
      <c r="D57" s="50">
        <v>7</v>
      </c>
      <c r="E57" s="50">
        <v>7</v>
      </c>
      <c r="F57" s="50">
        <v>48</v>
      </c>
      <c r="G57" s="50">
        <v>2</v>
      </c>
      <c r="H57" s="50">
        <v>0</v>
      </c>
      <c r="I57" s="50">
        <v>6</v>
      </c>
      <c r="J57" s="50">
        <v>0</v>
      </c>
      <c r="K57" s="50">
        <v>0</v>
      </c>
      <c r="L57" s="50">
        <v>0</v>
      </c>
      <c r="M57" s="50">
        <v>50</v>
      </c>
      <c r="N57" s="50">
        <v>0</v>
      </c>
      <c r="O57" s="15">
        <f t="shared" si="0"/>
        <v>122</v>
      </c>
      <c r="P57" s="15">
        <f t="shared" si="1"/>
        <v>172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2864</v>
      </c>
      <c r="D58" s="16">
        <f t="shared" si="21"/>
        <v>335</v>
      </c>
      <c r="E58" s="16">
        <f t="shared" si="21"/>
        <v>312</v>
      </c>
      <c r="F58" s="16">
        <f t="shared" si="21"/>
        <v>1894</v>
      </c>
      <c r="G58" s="16">
        <f t="shared" si="21"/>
        <v>76</v>
      </c>
      <c r="H58" s="16">
        <f t="shared" si="21"/>
        <v>22</v>
      </c>
      <c r="I58" s="16">
        <f t="shared" si="21"/>
        <v>501</v>
      </c>
      <c r="J58" s="16">
        <f t="shared" si="21"/>
        <v>68</v>
      </c>
      <c r="K58" s="16">
        <f t="shared" si="21"/>
        <v>95</v>
      </c>
      <c r="L58" s="16">
        <f t="shared" si="21"/>
        <v>13</v>
      </c>
      <c r="M58" s="16">
        <f t="shared" si="21"/>
        <v>4849</v>
      </c>
      <c r="N58" s="16">
        <f t="shared" si="21"/>
        <v>0</v>
      </c>
      <c r="O58" s="16">
        <f t="shared" si="21"/>
        <v>6180</v>
      </c>
      <c r="P58" s="16">
        <f t="shared" si="21"/>
        <v>11029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0.25967902801704595</v>
      </c>
      <c r="D59" s="43">
        <f t="shared" si="22"/>
        <v>3.0374467313446368E-2</v>
      </c>
      <c r="E59" s="43">
        <f t="shared" si="22"/>
        <v>2.8289056124761992E-2</v>
      </c>
      <c r="F59" s="43">
        <f t="shared" si="22"/>
        <v>0.1717290778855744</v>
      </c>
      <c r="G59" s="43">
        <f t="shared" si="22"/>
        <v>6.8909239278266386E-3</v>
      </c>
      <c r="H59" s="43">
        <f t="shared" si="22"/>
        <v>1.994741137002448E-3</v>
      </c>
      <c r="I59" s="43">
        <f t="shared" si="22"/>
        <v>4.542569589264666E-2</v>
      </c>
      <c r="J59" s="43">
        <f t="shared" si="22"/>
        <v>6.1655635143712034E-3</v>
      </c>
      <c r="K59" s="43">
        <f t="shared" si="22"/>
        <v>8.6136549097832991E-3</v>
      </c>
      <c r="L59" s="43">
        <f t="shared" si="22"/>
        <v>1.178710671865083E-3</v>
      </c>
      <c r="M59" s="43">
        <f t="shared" si="22"/>
        <v>0.43965908060567593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0.4634304207119741</v>
      </c>
      <c r="D60" s="44">
        <f t="shared" ref="D60:N60" si="23">D58/$O$58</f>
        <v>5.4207119741100325E-2</v>
      </c>
      <c r="E60" s="44">
        <f t="shared" si="23"/>
        <v>5.0485436893203881E-2</v>
      </c>
      <c r="F60" s="44">
        <f t="shared" si="23"/>
        <v>0.30647249190938514</v>
      </c>
      <c r="G60" s="44">
        <f t="shared" si="23"/>
        <v>1.2297734627831715E-2</v>
      </c>
      <c r="H60" s="44">
        <f t="shared" si="23"/>
        <v>3.5598705501618125E-3</v>
      </c>
      <c r="I60" s="44">
        <f t="shared" si="23"/>
        <v>8.1067961165048538E-2</v>
      </c>
      <c r="J60" s="44">
        <f t="shared" si="23"/>
        <v>1.1003236245954692E-2</v>
      </c>
      <c r="K60" s="44">
        <f t="shared" si="23"/>
        <v>1.5372168284789644E-2</v>
      </c>
      <c r="L60" s="44">
        <f t="shared" si="23"/>
        <v>2.103559870550162E-3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B1" zoomScale="60" workbookViewId="0">
      <selection activeCell="J15" sqref="J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style="53" customWidth="1"/>
    <col min="9" max="9" width="11" style="53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81" t="str">
        <f>'23.09. KASANGATI-GAYAZA'!C3:G3</f>
        <v>MCC - C2 - STN-69- Gayaza- ROAD</v>
      </c>
      <c r="D3" s="81"/>
      <c r="E3" s="81"/>
      <c r="F3" s="81"/>
      <c r="G3" s="8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82" t="str">
        <f>'23.09. KASANGATI-GAYAZA'!G5:H5</f>
        <v>TOTAL BULAMU</v>
      </c>
      <c r="H5" s="83"/>
      <c r="I5" s="52"/>
      <c r="J5" s="2" t="s">
        <v>5</v>
      </c>
      <c r="K5" s="82" t="str">
        <f>'23.09. KASANGATI-GAYAZA'!K5:L5</f>
        <v>SIMON T, ANTHONY, muganga, Nagaina</v>
      </c>
      <c r="L5" s="83"/>
      <c r="M5" s="10"/>
      <c r="N5" s="10"/>
      <c r="O5" s="3"/>
      <c r="P5" s="3"/>
    </row>
    <row r="6" spans="2:32" ht="23.25" customHeight="1" x14ac:dyDescent="0.25">
      <c r="C6" s="2" t="s">
        <v>4</v>
      </c>
      <c r="D6" s="82" t="str">
        <f>'23.09. KASANGATI-GAYAZA'!D6:E6</f>
        <v>KASANGATI</v>
      </c>
      <c r="E6" s="83"/>
      <c r="F6" s="2" t="s">
        <v>2</v>
      </c>
      <c r="G6" s="82" t="str">
        <f>'23.09. KASANGATI-GAYAZA'!G6:H6</f>
        <v>GAYAZA</v>
      </c>
      <c r="H6" s="83"/>
      <c r="J6" s="2" t="s">
        <v>21</v>
      </c>
      <c r="K6" s="82" t="str">
        <f>'23.09. KASANGATI-GAYAZA'!K6:L6</f>
        <v>LAWRENCE</v>
      </c>
      <c r="L6" s="8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54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55"/>
      <c r="I8" s="55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56" t="s">
        <v>29</v>
      </c>
      <c r="I9" s="56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24</v>
      </c>
      <c r="E10" s="50">
        <v>5</v>
      </c>
      <c r="F10" s="50">
        <v>49</v>
      </c>
      <c r="G10" s="50">
        <v>0</v>
      </c>
      <c r="H10" s="57">
        <v>0</v>
      </c>
      <c r="I10" s="57">
        <v>6</v>
      </c>
      <c r="J10" s="50">
        <v>1</v>
      </c>
      <c r="K10" s="50">
        <v>3</v>
      </c>
      <c r="L10" s="50">
        <v>0</v>
      </c>
      <c r="M10" s="50">
        <v>112</v>
      </c>
      <c r="N10" s="50">
        <v>0</v>
      </c>
      <c r="O10" s="15">
        <f t="shared" ref="O10:O57" si="0">SUM(C10:L10,N10)</f>
        <v>118</v>
      </c>
      <c r="P10" s="15">
        <f t="shared" ref="P10:P57" si="1">SUM(C10:N10)</f>
        <v>230</v>
      </c>
      <c r="R10" s="1" t="s">
        <v>6</v>
      </c>
      <c r="S10" s="17">
        <f t="shared" ref="S10:AF10" si="2">SUM(C10:C13)</f>
        <v>166</v>
      </c>
      <c r="T10" s="17">
        <f t="shared" si="2"/>
        <v>38</v>
      </c>
      <c r="U10" s="17">
        <f t="shared" si="2"/>
        <v>32</v>
      </c>
      <c r="V10" s="17">
        <f t="shared" si="2"/>
        <v>165</v>
      </c>
      <c r="W10" s="17">
        <f t="shared" si="2"/>
        <v>2</v>
      </c>
      <c r="X10" s="17">
        <f t="shared" si="2"/>
        <v>1</v>
      </c>
      <c r="Y10" s="17">
        <f t="shared" si="2"/>
        <v>24</v>
      </c>
      <c r="Z10" s="17">
        <f t="shared" si="2"/>
        <v>17</v>
      </c>
      <c r="AA10" s="17">
        <f t="shared" si="2"/>
        <v>12</v>
      </c>
      <c r="AB10" s="17">
        <f t="shared" si="2"/>
        <v>1</v>
      </c>
      <c r="AC10" s="17">
        <f t="shared" si="2"/>
        <v>452</v>
      </c>
      <c r="AD10" s="17">
        <f t="shared" si="2"/>
        <v>0</v>
      </c>
      <c r="AE10" s="31">
        <f t="shared" si="2"/>
        <v>458</v>
      </c>
      <c r="AF10" s="31">
        <f t="shared" si="2"/>
        <v>910</v>
      </c>
    </row>
    <row r="11" spans="2:32" s="6" customFormat="1" ht="23.1" customHeight="1" x14ac:dyDescent="0.25">
      <c r="B11" s="23" t="s">
        <v>38</v>
      </c>
      <c r="C11" s="50">
        <v>46</v>
      </c>
      <c r="D11" s="50">
        <v>9</v>
      </c>
      <c r="E11" s="50">
        <v>14</v>
      </c>
      <c r="F11" s="50">
        <v>30</v>
      </c>
      <c r="G11" s="50">
        <v>1</v>
      </c>
      <c r="H11" s="57">
        <v>0</v>
      </c>
      <c r="I11" s="57">
        <v>7</v>
      </c>
      <c r="J11" s="50">
        <v>4</v>
      </c>
      <c r="K11" s="50">
        <v>4</v>
      </c>
      <c r="L11" s="50">
        <v>0</v>
      </c>
      <c r="M11" s="50">
        <v>102</v>
      </c>
      <c r="N11" s="50">
        <v>0</v>
      </c>
      <c r="O11" s="15">
        <f t="shared" si="0"/>
        <v>115</v>
      </c>
      <c r="P11" s="15">
        <f t="shared" si="1"/>
        <v>217</v>
      </c>
      <c r="R11" s="1" t="s">
        <v>7</v>
      </c>
      <c r="S11" s="17">
        <f t="shared" ref="S11:AF11" si="3">SUM(C14:C17)</f>
        <v>155</v>
      </c>
      <c r="T11" s="17">
        <f t="shared" si="3"/>
        <v>30</v>
      </c>
      <c r="U11" s="17">
        <f t="shared" si="3"/>
        <v>31</v>
      </c>
      <c r="V11" s="17">
        <f t="shared" si="3"/>
        <v>125</v>
      </c>
      <c r="W11" s="17">
        <f t="shared" si="3"/>
        <v>2</v>
      </c>
      <c r="X11" s="17">
        <f t="shared" si="3"/>
        <v>1</v>
      </c>
      <c r="Y11" s="17">
        <f t="shared" si="3"/>
        <v>28</v>
      </c>
      <c r="Z11" s="17">
        <f t="shared" si="3"/>
        <v>18</v>
      </c>
      <c r="AA11" s="17">
        <f t="shared" si="3"/>
        <v>15</v>
      </c>
      <c r="AB11" s="17">
        <f t="shared" si="3"/>
        <v>3</v>
      </c>
      <c r="AC11" s="17">
        <f t="shared" si="3"/>
        <v>494</v>
      </c>
      <c r="AD11" s="17">
        <f t="shared" si="3"/>
        <v>0</v>
      </c>
      <c r="AE11" s="31">
        <f t="shared" si="3"/>
        <v>408</v>
      </c>
      <c r="AF11" s="31">
        <f t="shared" si="3"/>
        <v>902</v>
      </c>
    </row>
    <row r="12" spans="2:32" ht="23.1" customHeight="1" x14ac:dyDescent="0.25">
      <c r="B12" s="23" t="s">
        <v>39</v>
      </c>
      <c r="C12" s="50">
        <v>46</v>
      </c>
      <c r="D12" s="50">
        <v>3</v>
      </c>
      <c r="E12" s="50">
        <v>8</v>
      </c>
      <c r="F12" s="50">
        <v>43</v>
      </c>
      <c r="G12" s="50">
        <v>0</v>
      </c>
      <c r="H12" s="57">
        <v>1</v>
      </c>
      <c r="I12" s="57">
        <v>4</v>
      </c>
      <c r="J12" s="50">
        <v>6</v>
      </c>
      <c r="K12" s="50">
        <v>2</v>
      </c>
      <c r="L12" s="50">
        <v>0</v>
      </c>
      <c r="M12" s="50">
        <v>116</v>
      </c>
      <c r="N12" s="50">
        <v>0</v>
      </c>
      <c r="O12" s="15">
        <f t="shared" si="0"/>
        <v>113</v>
      </c>
      <c r="P12" s="15">
        <f t="shared" si="1"/>
        <v>229</v>
      </c>
      <c r="R12" s="1" t="s">
        <v>8</v>
      </c>
      <c r="S12" s="17">
        <f t="shared" ref="S12:AF12" si="4">SUM(C18:C21)</f>
        <v>143</v>
      </c>
      <c r="T12" s="17">
        <f t="shared" si="4"/>
        <v>25</v>
      </c>
      <c r="U12" s="17">
        <f t="shared" si="4"/>
        <v>40</v>
      </c>
      <c r="V12" s="17">
        <f t="shared" si="4"/>
        <v>143</v>
      </c>
      <c r="W12" s="17">
        <f t="shared" si="4"/>
        <v>1</v>
      </c>
      <c r="X12" s="17">
        <f t="shared" si="4"/>
        <v>1</v>
      </c>
      <c r="Y12" s="17">
        <f t="shared" si="4"/>
        <v>38</v>
      </c>
      <c r="Z12" s="17">
        <f t="shared" si="4"/>
        <v>18</v>
      </c>
      <c r="AA12" s="17">
        <f t="shared" si="4"/>
        <v>6</v>
      </c>
      <c r="AB12" s="17">
        <f t="shared" si="4"/>
        <v>1</v>
      </c>
      <c r="AC12" s="17">
        <f t="shared" si="4"/>
        <v>461</v>
      </c>
      <c r="AD12" s="17">
        <f t="shared" si="4"/>
        <v>0</v>
      </c>
      <c r="AE12" s="31">
        <f t="shared" si="4"/>
        <v>416</v>
      </c>
      <c r="AF12" s="31">
        <f t="shared" si="4"/>
        <v>877</v>
      </c>
    </row>
    <row r="13" spans="2:32" ht="23.1" customHeight="1" x14ac:dyDescent="0.25">
      <c r="B13" s="23" t="s">
        <v>40</v>
      </c>
      <c r="C13" s="50">
        <v>44</v>
      </c>
      <c r="D13" s="50">
        <v>2</v>
      </c>
      <c r="E13" s="50">
        <v>5</v>
      </c>
      <c r="F13" s="50">
        <v>43</v>
      </c>
      <c r="G13" s="50">
        <v>1</v>
      </c>
      <c r="H13" s="57">
        <v>0</v>
      </c>
      <c r="I13" s="57">
        <v>7</v>
      </c>
      <c r="J13" s="50">
        <v>6</v>
      </c>
      <c r="K13" s="50">
        <v>3</v>
      </c>
      <c r="L13" s="50">
        <v>1</v>
      </c>
      <c r="M13" s="50">
        <v>122</v>
      </c>
      <c r="N13" s="50">
        <v>0</v>
      </c>
      <c r="O13" s="15">
        <f t="shared" si="0"/>
        <v>112</v>
      </c>
      <c r="P13" s="15">
        <f t="shared" si="1"/>
        <v>234</v>
      </c>
      <c r="R13" s="1" t="s">
        <v>9</v>
      </c>
      <c r="S13" s="17">
        <f t="shared" ref="S13:AF13" si="5">SUM(C22:C25)</f>
        <v>157</v>
      </c>
      <c r="T13" s="17">
        <f t="shared" si="5"/>
        <v>25</v>
      </c>
      <c r="U13" s="17">
        <f t="shared" si="5"/>
        <v>16</v>
      </c>
      <c r="V13" s="17">
        <f t="shared" si="5"/>
        <v>147</v>
      </c>
      <c r="W13" s="17">
        <f t="shared" si="5"/>
        <v>2</v>
      </c>
      <c r="X13" s="17">
        <f t="shared" si="5"/>
        <v>3</v>
      </c>
      <c r="Y13" s="17">
        <f t="shared" si="5"/>
        <v>32</v>
      </c>
      <c r="Z13" s="17">
        <f t="shared" si="5"/>
        <v>5</v>
      </c>
      <c r="AA13" s="17">
        <f t="shared" si="5"/>
        <v>16</v>
      </c>
      <c r="AB13" s="17">
        <f t="shared" si="5"/>
        <v>0</v>
      </c>
      <c r="AC13" s="17">
        <f t="shared" si="5"/>
        <v>465</v>
      </c>
      <c r="AD13" s="17">
        <f t="shared" si="5"/>
        <v>0</v>
      </c>
      <c r="AE13" s="31">
        <f t="shared" si="5"/>
        <v>403</v>
      </c>
      <c r="AF13" s="31">
        <f t="shared" si="5"/>
        <v>868</v>
      </c>
    </row>
    <row r="14" spans="2:32" ht="23.1" customHeight="1" x14ac:dyDescent="0.25">
      <c r="B14" s="23" t="s">
        <v>41</v>
      </c>
      <c r="C14" s="50">
        <v>44</v>
      </c>
      <c r="D14" s="50">
        <v>6</v>
      </c>
      <c r="E14" s="50">
        <v>8</v>
      </c>
      <c r="F14" s="50">
        <v>22</v>
      </c>
      <c r="G14" s="50">
        <v>0</v>
      </c>
      <c r="H14" s="57">
        <v>1</v>
      </c>
      <c r="I14" s="57">
        <v>10</v>
      </c>
      <c r="J14" s="50">
        <v>3</v>
      </c>
      <c r="K14" s="50">
        <v>6</v>
      </c>
      <c r="L14" s="50">
        <v>0</v>
      </c>
      <c r="M14" s="50">
        <v>126</v>
      </c>
      <c r="N14" s="50">
        <v>0</v>
      </c>
      <c r="O14" s="15">
        <f t="shared" si="0"/>
        <v>100</v>
      </c>
      <c r="P14" s="15">
        <f t="shared" si="1"/>
        <v>226</v>
      </c>
      <c r="R14" s="1" t="s">
        <v>10</v>
      </c>
      <c r="S14" s="17">
        <f t="shared" ref="S14:AF14" si="6">SUM(C26:C29)</f>
        <v>160</v>
      </c>
      <c r="T14" s="17">
        <f t="shared" si="6"/>
        <v>37</v>
      </c>
      <c r="U14" s="17">
        <f t="shared" si="6"/>
        <v>37</v>
      </c>
      <c r="V14" s="17">
        <f t="shared" si="6"/>
        <v>157</v>
      </c>
      <c r="W14" s="17">
        <f t="shared" si="6"/>
        <v>9</v>
      </c>
      <c r="X14" s="17">
        <f t="shared" si="6"/>
        <v>0</v>
      </c>
      <c r="Y14" s="17">
        <f t="shared" si="6"/>
        <v>38</v>
      </c>
      <c r="Z14" s="17">
        <f t="shared" si="6"/>
        <v>15</v>
      </c>
      <c r="AA14" s="17">
        <f t="shared" si="6"/>
        <v>12</v>
      </c>
      <c r="AB14" s="17">
        <f t="shared" si="6"/>
        <v>4</v>
      </c>
      <c r="AC14" s="17">
        <f t="shared" si="6"/>
        <v>432</v>
      </c>
      <c r="AD14" s="17">
        <f t="shared" si="6"/>
        <v>0</v>
      </c>
      <c r="AE14" s="31">
        <f t="shared" si="6"/>
        <v>469</v>
      </c>
      <c r="AF14" s="31">
        <f t="shared" si="6"/>
        <v>901</v>
      </c>
    </row>
    <row r="15" spans="2:32" ht="23.1" customHeight="1" x14ac:dyDescent="0.25">
      <c r="B15" s="23" t="s">
        <v>42</v>
      </c>
      <c r="C15" s="50">
        <v>35</v>
      </c>
      <c r="D15" s="50">
        <v>19</v>
      </c>
      <c r="E15" s="50">
        <v>9</v>
      </c>
      <c r="F15" s="50">
        <v>39</v>
      </c>
      <c r="G15" s="50">
        <v>0</v>
      </c>
      <c r="H15" s="57">
        <v>0</v>
      </c>
      <c r="I15" s="57">
        <v>9</v>
      </c>
      <c r="J15" s="50">
        <v>7</v>
      </c>
      <c r="K15" s="50">
        <v>3</v>
      </c>
      <c r="L15" s="50">
        <v>0</v>
      </c>
      <c r="M15" s="50">
        <v>125</v>
      </c>
      <c r="N15" s="50">
        <v>0</v>
      </c>
      <c r="O15" s="15">
        <f t="shared" si="0"/>
        <v>121</v>
      </c>
      <c r="P15" s="15">
        <f t="shared" si="1"/>
        <v>246</v>
      </c>
      <c r="R15" s="1" t="s">
        <v>11</v>
      </c>
      <c r="S15" s="17">
        <f t="shared" ref="S15:AF15" si="7">SUM(C30:C33)</f>
        <v>242</v>
      </c>
      <c r="T15" s="17">
        <f t="shared" si="7"/>
        <v>35</v>
      </c>
      <c r="U15" s="17">
        <f t="shared" si="7"/>
        <v>31</v>
      </c>
      <c r="V15" s="17">
        <f t="shared" si="7"/>
        <v>188</v>
      </c>
      <c r="W15" s="17">
        <f t="shared" si="7"/>
        <v>4</v>
      </c>
      <c r="X15" s="17">
        <f t="shared" si="7"/>
        <v>2</v>
      </c>
      <c r="Y15" s="17">
        <f t="shared" si="7"/>
        <v>56</v>
      </c>
      <c r="Z15" s="17">
        <f t="shared" si="7"/>
        <v>17</v>
      </c>
      <c r="AA15" s="17">
        <f t="shared" si="7"/>
        <v>5</v>
      </c>
      <c r="AB15" s="17">
        <f t="shared" si="7"/>
        <v>1</v>
      </c>
      <c r="AC15" s="17">
        <f t="shared" si="7"/>
        <v>437</v>
      </c>
      <c r="AD15" s="17">
        <f t="shared" si="7"/>
        <v>0</v>
      </c>
      <c r="AE15" s="31">
        <f t="shared" si="7"/>
        <v>581</v>
      </c>
      <c r="AF15" s="31">
        <f t="shared" si="7"/>
        <v>1018</v>
      </c>
    </row>
    <row r="16" spans="2:32" ht="23.1" customHeight="1" x14ac:dyDescent="0.25">
      <c r="B16" s="23" t="s">
        <v>43</v>
      </c>
      <c r="C16" s="50">
        <v>40</v>
      </c>
      <c r="D16" s="50">
        <v>3</v>
      </c>
      <c r="E16" s="50">
        <v>8</v>
      </c>
      <c r="F16" s="50">
        <v>30</v>
      </c>
      <c r="G16" s="50">
        <v>1</v>
      </c>
      <c r="H16" s="57">
        <v>0</v>
      </c>
      <c r="I16" s="57">
        <v>3</v>
      </c>
      <c r="J16" s="50">
        <v>4</v>
      </c>
      <c r="K16" s="50">
        <v>3</v>
      </c>
      <c r="L16" s="50">
        <v>0</v>
      </c>
      <c r="M16" s="50">
        <v>117</v>
      </c>
      <c r="N16" s="50">
        <v>0</v>
      </c>
      <c r="O16" s="15">
        <f t="shared" si="0"/>
        <v>92</v>
      </c>
      <c r="P16" s="15">
        <f t="shared" si="1"/>
        <v>209</v>
      </c>
      <c r="R16" s="1" t="s">
        <v>12</v>
      </c>
      <c r="S16" s="17">
        <f t="shared" ref="S16:AF16" si="8">SUM(C34:C37)</f>
        <v>154</v>
      </c>
      <c r="T16" s="17">
        <f t="shared" si="8"/>
        <v>37</v>
      </c>
      <c r="U16" s="17">
        <f t="shared" si="8"/>
        <v>20</v>
      </c>
      <c r="V16" s="17">
        <f t="shared" si="8"/>
        <v>132</v>
      </c>
      <c r="W16" s="17">
        <f t="shared" si="8"/>
        <v>3</v>
      </c>
      <c r="X16" s="17">
        <f t="shared" si="8"/>
        <v>4</v>
      </c>
      <c r="Y16" s="17">
        <f t="shared" si="8"/>
        <v>39</v>
      </c>
      <c r="Z16" s="17">
        <f t="shared" si="8"/>
        <v>17</v>
      </c>
      <c r="AA16" s="17">
        <f t="shared" si="8"/>
        <v>10</v>
      </c>
      <c r="AB16" s="17">
        <f t="shared" si="8"/>
        <v>0</v>
      </c>
      <c r="AC16" s="17">
        <f t="shared" si="8"/>
        <v>312</v>
      </c>
      <c r="AD16" s="17">
        <f t="shared" si="8"/>
        <v>0</v>
      </c>
      <c r="AE16" s="31">
        <f t="shared" si="8"/>
        <v>416</v>
      </c>
      <c r="AF16" s="31">
        <f t="shared" si="8"/>
        <v>728</v>
      </c>
    </row>
    <row r="17" spans="2:32" ht="23.1" customHeight="1" x14ac:dyDescent="0.25">
      <c r="B17" s="23" t="s">
        <v>44</v>
      </c>
      <c r="C17" s="50">
        <v>36</v>
      </c>
      <c r="D17" s="50">
        <v>2</v>
      </c>
      <c r="E17" s="50">
        <v>6</v>
      </c>
      <c r="F17" s="50">
        <v>34</v>
      </c>
      <c r="G17" s="50">
        <v>1</v>
      </c>
      <c r="H17" s="57">
        <v>0</v>
      </c>
      <c r="I17" s="57">
        <v>6</v>
      </c>
      <c r="J17" s="50">
        <v>4</v>
      </c>
      <c r="K17" s="50">
        <v>3</v>
      </c>
      <c r="L17" s="50">
        <v>3</v>
      </c>
      <c r="M17" s="50">
        <v>126</v>
      </c>
      <c r="N17" s="50">
        <v>0</v>
      </c>
      <c r="O17" s="15">
        <f t="shared" si="0"/>
        <v>95</v>
      </c>
      <c r="P17" s="15">
        <f t="shared" si="1"/>
        <v>221</v>
      </c>
      <c r="R17" s="1" t="s">
        <v>13</v>
      </c>
      <c r="S17" s="17">
        <f t="shared" ref="S17:AF17" si="9">SUM(C38:C41)</f>
        <v>226</v>
      </c>
      <c r="T17" s="17">
        <f t="shared" si="9"/>
        <v>53</v>
      </c>
      <c r="U17" s="17">
        <f t="shared" si="9"/>
        <v>22</v>
      </c>
      <c r="V17" s="17">
        <f t="shared" si="9"/>
        <v>206</v>
      </c>
      <c r="W17" s="17">
        <f t="shared" si="9"/>
        <v>2</v>
      </c>
      <c r="X17" s="17">
        <f t="shared" si="9"/>
        <v>3</v>
      </c>
      <c r="Y17" s="17">
        <f t="shared" si="9"/>
        <v>48</v>
      </c>
      <c r="Z17" s="17">
        <f t="shared" si="9"/>
        <v>21</v>
      </c>
      <c r="AA17" s="17">
        <f t="shared" si="9"/>
        <v>19</v>
      </c>
      <c r="AB17" s="17">
        <f t="shared" si="9"/>
        <v>2</v>
      </c>
      <c r="AC17" s="17">
        <f t="shared" si="9"/>
        <v>339</v>
      </c>
      <c r="AD17" s="17">
        <f t="shared" si="9"/>
        <v>0</v>
      </c>
      <c r="AE17" s="31">
        <f t="shared" si="9"/>
        <v>602</v>
      </c>
      <c r="AF17" s="31">
        <f t="shared" si="9"/>
        <v>941</v>
      </c>
    </row>
    <row r="18" spans="2:32" ht="23.1" customHeight="1" x14ac:dyDescent="0.25">
      <c r="B18" s="23" t="s">
        <v>45</v>
      </c>
      <c r="C18" s="50">
        <v>40</v>
      </c>
      <c r="D18" s="50">
        <v>4</v>
      </c>
      <c r="E18" s="50">
        <v>13</v>
      </c>
      <c r="F18" s="50">
        <v>32</v>
      </c>
      <c r="G18" s="50">
        <v>1</v>
      </c>
      <c r="H18" s="57">
        <v>0</v>
      </c>
      <c r="I18" s="57">
        <v>11</v>
      </c>
      <c r="J18" s="50">
        <v>3</v>
      </c>
      <c r="K18" s="50">
        <v>2</v>
      </c>
      <c r="L18" s="50">
        <v>0</v>
      </c>
      <c r="M18" s="50">
        <v>90</v>
      </c>
      <c r="N18" s="50">
        <v>0</v>
      </c>
      <c r="O18" s="15">
        <f t="shared" si="0"/>
        <v>106</v>
      </c>
      <c r="P18" s="15">
        <f t="shared" si="1"/>
        <v>196</v>
      </c>
      <c r="R18" s="1" t="s">
        <v>14</v>
      </c>
      <c r="S18" s="17">
        <f t="shared" ref="S18:AF18" si="10">SUM(C42:C45)</f>
        <v>197</v>
      </c>
      <c r="T18" s="17">
        <f t="shared" si="10"/>
        <v>34</v>
      </c>
      <c r="U18" s="17">
        <f t="shared" si="10"/>
        <v>29</v>
      </c>
      <c r="V18" s="17">
        <f t="shared" si="10"/>
        <v>145</v>
      </c>
      <c r="W18" s="17">
        <f t="shared" si="10"/>
        <v>0</v>
      </c>
      <c r="X18" s="17">
        <f t="shared" si="10"/>
        <v>3</v>
      </c>
      <c r="Y18" s="17">
        <f t="shared" si="10"/>
        <v>49</v>
      </c>
      <c r="Z18" s="17">
        <f t="shared" si="10"/>
        <v>13</v>
      </c>
      <c r="AA18" s="17">
        <f t="shared" si="10"/>
        <v>5</v>
      </c>
      <c r="AB18" s="17">
        <f t="shared" si="10"/>
        <v>0</v>
      </c>
      <c r="AC18" s="17">
        <f t="shared" si="10"/>
        <v>338</v>
      </c>
      <c r="AD18" s="17">
        <f t="shared" si="10"/>
        <v>0</v>
      </c>
      <c r="AE18" s="31">
        <f t="shared" si="10"/>
        <v>475</v>
      </c>
      <c r="AF18" s="31">
        <f t="shared" si="10"/>
        <v>813</v>
      </c>
    </row>
    <row r="19" spans="2:32" ht="23.1" customHeight="1" x14ac:dyDescent="0.25">
      <c r="B19" s="23" t="s">
        <v>46</v>
      </c>
      <c r="C19" s="50">
        <v>42</v>
      </c>
      <c r="D19" s="50">
        <v>10</v>
      </c>
      <c r="E19" s="50">
        <v>5</v>
      </c>
      <c r="F19" s="50">
        <v>38</v>
      </c>
      <c r="G19" s="50">
        <v>0</v>
      </c>
      <c r="H19" s="57">
        <v>0</v>
      </c>
      <c r="I19" s="57">
        <v>5</v>
      </c>
      <c r="J19" s="50">
        <v>2</v>
      </c>
      <c r="K19" s="50">
        <v>1</v>
      </c>
      <c r="L19" s="50">
        <v>0</v>
      </c>
      <c r="M19" s="50">
        <v>109</v>
      </c>
      <c r="N19" s="50">
        <v>0</v>
      </c>
      <c r="O19" s="15">
        <f t="shared" si="0"/>
        <v>103</v>
      </c>
      <c r="P19" s="15">
        <f t="shared" si="1"/>
        <v>212</v>
      </c>
      <c r="R19" s="1" t="s">
        <v>15</v>
      </c>
      <c r="S19" s="17">
        <f t="shared" ref="S19:AF19" si="11">SUM(C46:C49)</f>
        <v>242</v>
      </c>
      <c r="T19" s="17">
        <f t="shared" si="11"/>
        <v>37</v>
      </c>
      <c r="U19" s="17">
        <f t="shared" si="11"/>
        <v>37</v>
      </c>
      <c r="V19" s="17">
        <f t="shared" si="11"/>
        <v>119</v>
      </c>
      <c r="W19" s="17">
        <f t="shared" si="11"/>
        <v>2</v>
      </c>
      <c r="X19" s="17">
        <f t="shared" si="11"/>
        <v>4</v>
      </c>
      <c r="Y19" s="17">
        <f t="shared" si="11"/>
        <v>33</v>
      </c>
      <c r="Z19" s="17">
        <f t="shared" si="11"/>
        <v>8</v>
      </c>
      <c r="AA19" s="17">
        <f t="shared" si="11"/>
        <v>9</v>
      </c>
      <c r="AB19" s="17">
        <f t="shared" si="11"/>
        <v>3</v>
      </c>
      <c r="AC19" s="17">
        <f t="shared" si="11"/>
        <v>360</v>
      </c>
      <c r="AD19" s="17">
        <f t="shared" si="11"/>
        <v>0</v>
      </c>
      <c r="AE19" s="31">
        <f t="shared" si="11"/>
        <v>494</v>
      </c>
      <c r="AF19" s="31">
        <f t="shared" si="11"/>
        <v>854</v>
      </c>
    </row>
    <row r="20" spans="2:32" ht="23.1" customHeight="1" x14ac:dyDescent="0.25">
      <c r="B20" s="23" t="s">
        <v>47</v>
      </c>
      <c r="C20" s="50">
        <v>32</v>
      </c>
      <c r="D20" s="50">
        <v>9</v>
      </c>
      <c r="E20" s="50">
        <v>13</v>
      </c>
      <c r="F20" s="50">
        <v>45</v>
      </c>
      <c r="G20" s="50">
        <v>0</v>
      </c>
      <c r="H20" s="57">
        <v>0</v>
      </c>
      <c r="I20" s="57">
        <v>13</v>
      </c>
      <c r="J20" s="50">
        <v>8</v>
      </c>
      <c r="K20" s="50">
        <v>0</v>
      </c>
      <c r="L20" s="50">
        <v>0</v>
      </c>
      <c r="M20" s="50">
        <v>123</v>
      </c>
      <c r="N20" s="50">
        <v>0</v>
      </c>
      <c r="O20" s="15">
        <f t="shared" si="0"/>
        <v>120</v>
      </c>
      <c r="P20" s="15">
        <f t="shared" si="1"/>
        <v>243</v>
      </c>
      <c r="R20" s="1" t="s">
        <v>16</v>
      </c>
      <c r="S20" s="17">
        <f t="shared" ref="S20:AF20" si="12">SUM(C50:C53)</f>
        <v>308</v>
      </c>
      <c r="T20" s="17">
        <f t="shared" si="12"/>
        <v>47</v>
      </c>
      <c r="U20" s="17">
        <f t="shared" si="12"/>
        <v>31</v>
      </c>
      <c r="V20" s="17">
        <f t="shared" si="12"/>
        <v>176</v>
      </c>
      <c r="W20" s="17">
        <f t="shared" si="12"/>
        <v>3</v>
      </c>
      <c r="X20" s="17">
        <f t="shared" si="12"/>
        <v>6</v>
      </c>
      <c r="Y20" s="17">
        <f t="shared" si="12"/>
        <v>25</v>
      </c>
      <c r="Z20" s="17">
        <f t="shared" si="12"/>
        <v>3</v>
      </c>
      <c r="AA20" s="17">
        <f t="shared" si="12"/>
        <v>6</v>
      </c>
      <c r="AB20" s="17">
        <f t="shared" si="12"/>
        <v>1</v>
      </c>
      <c r="AC20" s="17">
        <f t="shared" si="12"/>
        <v>423</v>
      </c>
      <c r="AD20" s="17">
        <f t="shared" si="12"/>
        <v>0</v>
      </c>
      <c r="AE20" s="31">
        <f t="shared" si="12"/>
        <v>606</v>
      </c>
      <c r="AF20" s="31">
        <f t="shared" si="12"/>
        <v>1029</v>
      </c>
    </row>
    <row r="21" spans="2:32" ht="23.1" customHeight="1" x14ac:dyDescent="0.25">
      <c r="B21" s="23" t="s">
        <v>48</v>
      </c>
      <c r="C21" s="50">
        <v>29</v>
      </c>
      <c r="D21" s="50">
        <v>2</v>
      </c>
      <c r="E21" s="50">
        <v>9</v>
      </c>
      <c r="F21" s="50">
        <v>28</v>
      </c>
      <c r="G21" s="50">
        <v>0</v>
      </c>
      <c r="H21" s="57">
        <v>1</v>
      </c>
      <c r="I21" s="57">
        <v>9</v>
      </c>
      <c r="J21" s="50">
        <v>5</v>
      </c>
      <c r="K21" s="50">
        <v>3</v>
      </c>
      <c r="L21" s="50">
        <v>1</v>
      </c>
      <c r="M21" s="50">
        <v>139</v>
      </c>
      <c r="N21" s="50">
        <v>0</v>
      </c>
      <c r="O21" s="15">
        <f t="shared" si="0"/>
        <v>87</v>
      </c>
      <c r="P21" s="15">
        <f t="shared" si="1"/>
        <v>226</v>
      </c>
      <c r="R21" s="36" t="s">
        <v>20</v>
      </c>
      <c r="S21" s="34">
        <f t="shared" ref="S21:AF21" si="13">SUM(C54:C57)</f>
        <v>304</v>
      </c>
      <c r="T21" s="17">
        <f t="shared" si="13"/>
        <v>29</v>
      </c>
      <c r="U21" s="17">
        <f t="shared" si="13"/>
        <v>32</v>
      </c>
      <c r="V21" s="17">
        <f t="shared" si="13"/>
        <v>176</v>
      </c>
      <c r="W21" s="17">
        <f t="shared" si="13"/>
        <v>4</v>
      </c>
      <c r="X21" s="17">
        <f t="shared" si="13"/>
        <v>5</v>
      </c>
      <c r="Y21" s="17">
        <f t="shared" si="13"/>
        <v>33</v>
      </c>
      <c r="Z21" s="17">
        <f t="shared" si="13"/>
        <v>4</v>
      </c>
      <c r="AA21" s="17">
        <f t="shared" si="13"/>
        <v>3</v>
      </c>
      <c r="AB21" s="17">
        <f t="shared" si="13"/>
        <v>0</v>
      </c>
      <c r="AC21" s="17">
        <f t="shared" si="13"/>
        <v>480</v>
      </c>
      <c r="AD21" s="17">
        <f t="shared" si="13"/>
        <v>0</v>
      </c>
      <c r="AE21" s="31">
        <f t="shared" si="13"/>
        <v>590</v>
      </c>
      <c r="AF21" s="31">
        <f t="shared" si="13"/>
        <v>1070</v>
      </c>
    </row>
    <row r="22" spans="2:32" ht="23.1" customHeight="1" x14ac:dyDescent="0.25">
      <c r="B22" s="23" t="s">
        <v>49</v>
      </c>
      <c r="C22" s="50">
        <v>29</v>
      </c>
      <c r="D22" s="50">
        <v>8</v>
      </c>
      <c r="E22" s="50">
        <v>5</v>
      </c>
      <c r="F22" s="50">
        <v>40</v>
      </c>
      <c r="G22" s="50">
        <v>0</v>
      </c>
      <c r="H22" s="57">
        <v>2</v>
      </c>
      <c r="I22" s="57">
        <v>9</v>
      </c>
      <c r="J22" s="50">
        <v>1</v>
      </c>
      <c r="K22" s="50">
        <v>8</v>
      </c>
      <c r="L22" s="50">
        <v>0</v>
      </c>
      <c r="M22" s="50">
        <v>115</v>
      </c>
      <c r="N22" s="50">
        <v>0</v>
      </c>
      <c r="O22" s="15">
        <f t="shared" si="0"/>
        <v>102</v>
      </c>
      <c r="P22" s="15">
        <f t="shared" si="1"/>
        <v>217</v>
      </c>
      <c r="R22" s="38" t="s">
        <v>90</v>
      </c>
      <c r="S22" s="39">
        <f>MAX(S10:S12)</f>
        <v>166</v>
      </c>
      <c r="T22" s="39">
        <f t="shared" ref="T22:AF22" si="14">MAX(T10:T12)</f>
        <v>38</v>
      </c>
      <c r="U22" s="39">
        <f t="shared" si="14"/>
        <v>40</v>
      </c>
      <c r="V22" s="39">
        <f t="shared" si="14"/>
        <v>165</v>
      </c>
      <c r="W22" s="39">
        <f t="shared" si="14"/>
        <v>2</v>
      </c>
      <c r="X22" s="39">
        <f t="shared" si="14"/>
        <v>1</v>
      </c>
      <c r="Y22" s="39">
        <f t="shared" si="14"/>
        <v>38</v>
      </c>
      <c r="Z22" s="39">
        <f t="shared" si="14"/>
        <v>18</v>
      </c>
      <c r="AA22" s="39">
        <f t="shared" si="14"/>
        <v>15</v>
      </c>
      <c r="AB22" s="39">
        <f t="shared" si="14"/>
        <v>3</v>
      </c>
      <c r="AC22" s="39">
        <f t="shared" si="14"/>
        <v>494</v>
      </c>
      <c r="AD22" s="39">
        <f t="shared" si="14"/>
        <v>0</v>
      </c>
      <c r="AE22" s="40">
        <f t="shared" si="14"/>
        <v>458</v>
      </c>
      <c r="AF22" s="40">
        <f t="shared" si="14"/>
        <v>910</v>
      </c>
    </row>
    <row r="23" spans="2:32" ht="23.1" customHeight="1" x14ac:dyDescent="0.25">
      <c r="B23" s="23" t="s">
        <v>50</v>
      </c>
      <c r="C23" s="50">
        <v>35</v>
      </c>
      <c r="D23" s="50">
        <v>9</v>
      </c>
      <c r="E23" s="50">
        <v>2</v>
      </c>
      <c r="F23" s="50">
        <v>29</v>
      </c>
      <c r="G23" s="50">
        <v>1</v>
      </c>
      <c r="H23" s="57">
        <v>0</v>
      </c>
      <c r="I23" s="57">
        <v>7</v>
      </c>
      <c r="J23" s="50">
        <v>1</v>
      </c>
      <c r="K23" s="50">
        <v>4</v>
      </c>
      <c r="L23" s="50">
        <v>0</v>
      </c>
      <c r="M23" s="50">
        <v>125</v>
      </c>
      <c r="N23" s="50">
        <v>0</v>
      </c>
      <c r="O23" s="15">
        <f t="shared" si="0"/>
        <v>88</v>
      </c>
      <c r="P23" s="15">
        <f t="shared" si="1"/>
        <v>213</v>
      </c>
      <c r="R23" s="38" t="s">
        <v>91</v>
      </c>
      <c r="S23" s="39">
        <f>MAX(S13:S18)</f>
        <v>242</v>
      </c>
      <c r="T23" s="39">
        <f t="shared" ref="T23:AF23" si="15">MAX(T13:T18)</f>
        <v>53</v>
      </c>
      <c r="U23" s="39">
        <f t="shared" si="15"/>
        <v>37</v>
      </c>
      <c r="V23" s="39">
        <f t="shared" si="15"/>
        <v>206</v>
      </c>
      <c r="W23" s="39">
        <f t="shared" si="15"/>
        <v>9</v>
      </c>
      <c r="X23" s="39">
        <f t="shared" si="15"/>
        <v>4</v>
      </c>
      <c r="Y23" s="39">
        <f t="shared" si="15"/>
        <v>56</v>
      </c>
      <c r="Z23" s="39">
        <f t="shared" si="15"/>
        <v>21</v>
      </c>
      <c r="AA23" s="39">
        <f t="shared" si="15"/>
        <v>19</v>
      </c>
      <c r="AB23" s="39">
        <f t="shared" si="15"/>
        <v>4</v>
      </c>
      <c r="AC23" s="39">
        <f t="shared" si="15"/>
        <v>465</v>
      </c>
      <c r="AD23" s="39">
        <f t="shared" si="15"/>
        <v>0</v>
      </c>
      <c r="AE23" s="40">
        <f t="shared" si="15"/>
        <v>602</v>
      </c>
      <c r="AF23" s="40">
        <f t="shared" si="15"/>
        <v>1018</v>
      </c>
    </row>
    <row r="24" spans="2:32" ht="23.1" customHeight="1" x14ac:dyDescent="0.25">
      <c r="B24" s="23" t="s">
        <v>51</v>
      </c>
      <c r="C24" s="50">
        <v>53</v>
      </c>
      <c r="D24" s="50">
        <v>4</v>
      </c>
      <c r="E24" s="50">
        <v>6</v>
      </c>
      <c r="F24" s="50">
        <v>46</v>
      </c>
      <c r="G24" s="50">
        <v>0</v>
      </c>
      <c r="H24" s="57">
        <v>1</v>
      </c>
      <c r="I24" s="57">
        <v>8</v>
      </c>
      <c r="J24" s="50">
        <v>2</v>
      </c>
      <c r="K24" s="50">
        <v>2</v>
      </c>
      <c r="L24" s="50">
        <v>0</v>
      </c>
      <c r="M24" s="50">
        <v>105</v>
      </c>
      <c r="N24" s="50">
        <v>0</v>
      </c>
      <c r="O24" s="15">
        <f t="shared" si="0"/>
        <v>122</v>
      </c>
      <c r="P24" s="15">
        <f t="shared" si="1"/>
        <v>227</v>
      </c>
      <c r="R24" s="38" t="s">
        <v>92</v>
      </c>
      <c r="S24" s="39">
        <f>MAX(S19:S21)</f>
        <v>308</v>
      </c>
      <c r="T24" s="39">
        <f t="shared" ref="T24:AF24" si="16">MAX(T19:T21)</f>
        <v>47</v>
      </c>
      <c r="U24" s="39">
        <f t="shared" si="16"/>
        <v>37</v>
      </c>
      <c r="V24" s="39">
        <f t="shared" si="16"/>
        <v>176</v>
      </c>
      <c r="W24" s="39">
        <f t="shared" si="16"/>
        <v>4</v>
      </c>
      <c r="X24" s="39">
        <f t="shared" si="16"/>
        <v>6</v>
      </c>
      <c r="Y24" s="39">
        <f t="shared" si="16"/>
        <v>33</v>
      </c>
      <c r="Z24" s="39">
        <f t="shared" si="16"/>
        <v>8</v>
      </c>
      <c r="AA24" s="39">
        <f t="shared" si="16"/>
        <v>9</v>
      </c>
      <c r="AB24" s="39">
        <f t="shared" si="16"/>
        <v>3</v>
      </c>
      <c r="AC24" s="39">
        <f t="shared" si="16"/>
        <v>480</v>
      </c>
      <c r="AD24" s="39">
        <f t="shared" si="16"/>
        <v>0</v>
      </c>
      <c r="AE24" s="40">
        <f t="shared" si="16"/>
        <v>606</v>
      </c>
      <c r="AF24" s="40">
        <f t="shared" si="16"/>
        <v>1070</v>
      </c>
    </row>
    <row r="25" spans="2:32" ht="23.1" customHeight="1" x14ac:dyDescent="0.25">
      <c r="B25" s="23" t="s">
        <v>52</v>
      </c>
      <c r="C25" s="50">
        <v>40</v>
      </c>
      <c r="D25" s="50">
        <v>4</v>
      </c>
      <c r="E25" s="50">
        <v>3</v>
      </c>
      <c r="F25" s="50">
        <v>32</v>
      </c>
      <c r="G25" s="50">
        <v>1</v>
      </c>
      <c r="H25" s="57">
        <v>0</v>
      </c>
      <c r="I25" s="57">
        <v>8</v>
      </c>
      <c r="J25" s="50">
        <v>1</v>
      </c>
      <c r="K25" s="50">
        <v>2</v>
      </c>
      <c r="L25" s="50">
        <v>0</v>
      </c>
      <c r="M25" s="50">
        <v>120</v>
      </c>
      <c r="N25" s="50">
        <v>0</v>
      </c>
      <c r="O25" s="15">
        <f t="shared" si="0"/>
        <v>91</v>
      </c>
      <c r="P25" s="15">
        <f t="shared" si="1"/>
        <v>211</v>
      </c>
      <c r="R25" s="37" t="s">
        <v>85</v>
      </c>
      <c r="S25" s="35">
        <f t="shared" ref="S25:AF25" si="17">SUM(S10:S12)</f>
        <v>464</v>
      </c>
      <c r="T25" s="16">
        <f t="shared" si="17"/>
        <v>93</v>
      </c>
      <c r="U25" s="16">
        <f t="shared" si="17"/>
        <v>103</v>
      </c>
      <c r="V25" s="16">
        <f t="shared" si="17"/>
        <v>433</v>
      </c>
      <c r="W25" s="16">
        <f t="shared" si="17"/>
        <v>5</v>
      </c>
      <c r="X25" s="16">
        <f t="shared" si="17"/>
        <v>3</v>
      </c>
      <c r="Y25" s="16">
        <f t="shared" si="17"/>
        <v>90</v>
      </c>
      <c r="Z25" s="16">
        <f t="shared" si="17"/>
        <v>53</v>
      </c>
      <c r="AA25" s="16">
        <f t="shared" si="17"/>
        <v>33</v>
      </c>
      <c r="AB25" s="16">
        <f t="shared" si="17"/>
        <v>5</v>
      </c>
      <c r="AC25" s="16">
        <f t="shared" si="17"/>
        <v>1407</v>
      </c>
      <c r="AD25" s="16">
        <f t="shared" si="17"/>
        <v>0</v>
      </c>
      <c r="AE25" s="32">
        <f t="shared" si="17"/>
        <v>1282</v>
      </c>
      <c r="AF25" s="32">
        <f t="shared" si="17"/>
        <v>2689</v>
      </c>
    </row>
    <row r="26" spans="2:32" ht="23.1" customHeight="1" x14ac:dyDescent="0.25">
      <c r="B26" s="23" t="s">
        <v>53</v>
      </c>
      <c r="C26" s="50">
        <v>65</v>
      </c>
      <c r="D26" s="50">
        <v>14</v>
      </c>
      <c r="E26" s="50">
        <v>20</v>
      </c>
      <c r="F26" s="50">
        <v>59</v>
      </c>
      <c r="G26" s="50">
        <v>4</v>
      </c>
      <c r="H26" s="57">
        <v>0</v>
      </c>
      <c r="I26" s="57">
        <v>17</v>
      </c>
      <c r="J26" s="50">
        <v>5</v>
      </c>
      <c r="K26" s="50">
        <v>4</v>
      </c>
      <c r="L26" s="50">
        <v>0</v>
      </c>
      <c r="M26" s="50">
        <v>161</v>
      </c>
      <c r="N26" s="50">
        <v>0</v>
      </c>
      <c r="O26" s="15">
        <f t="shared" si="0"/>
        <v>188</v>
      </c>
      <c r="P26" s="15">
        <f t="shared" si="1"/>
        <v>349</v>
      </c>
      <c r="R26" s="28" t="s">
        <v>86</v>
      </c>
      <c r="S26" s="16">
        <f t="shared" ref="S26:AF26" si="18">SUM(S13:S18)</f>
        <v>1136</v>
      </c>
      <c r="T26" s="16">
        <f t="shared" si="18"/>
        <v>221</v>
      </c>
      <c r="U26" s="16">
        <f t="shared" si="18"/>
        <v>155</v>
      </c>
      <c r="V26" s="16">
        <f t="shared" si="18"/>
        <v>975</v>
      </c>
      <c r="W26" s="16">
        <f t="shared" si="18"/>
        <v>20</v>
      </c>
      <c r="X26" s="16">
        <f t="shared" si="18"/>
        <v>15</v>
      </c>
      <c r="Y26" s="16">
        <f t="shared" si="18"/>
        <v>262</v>
      </c>
      <c r="Z26" s="16">
        <f t="shared" si="18"/>
        <v>88</v>
      </c>
      <c r="AA26" s="16">
        <f t="shared" si="18"/>
        <v>67</v>
      </c>
      <c r="AB26" s="16">
        <f t="shared" si="18"/>
        <v>7</v>
      </c>
      <c r="AC26" s="16">
        <f t="shared" si="18"/>
        <v>2323</v>
      </c>
      <c r="AD26" s="16">
        <f t="shared" si="18"/>
        <v>0</v>
      </c>
      <c r="AE26" s="32">
        <f t="shared" si="18"/>
        <v>2946</v>
      </c>
      <c r="AF26" s="32">
        <f t="shared" si="18"/>
        <v>5269</v>
      </c>
    </row>
    <row r="27" spans="2:32" ht="23.1" customHeight="1" x14ac:dyDescent="0.25">
      <c r="B27" s="23" t="s">
        <v>54</v>
      </c>
      <c r="C27" s="50">
        <v>15</v>
      </c>
      <c r="D27" s="50">
        <v>4</v>
      </c>
      <c r="E27" s="50">
        <v>3</v>
      </c>
      <c r="F27" s="50">
        <v>13</v>
      </c>
      <c r="G27" s="50">
        <v>1</v>
      </c>
      <c r="H27" s="57">
        <v>0</v>
      </c>
      <c r="I27" s="57">
        <v>10</v>
      </c>
      <c r="J27" s="50">
        <v>5</v>
      </c>
      <c r="K27" s="50">
        <v>2</v>
      </c>
      <c r="L27" s="50">
        <v>2</v>
      </c>
      <c r="M27" s="50">
        <v>86</v>
      </c>
      <c r="N27" s="50">
        <v>0</v>
      </c>
      <c r="O27" s="15">
        <f t="shared" si="0"/>
        <v>55</v>
      </c>
      <c r="P27" s="15">
        <f t="shared" si="1"/>
        <v>141</v>
      </c>
      <c r="R27" s="29" t="s">
        <v>87</v>
      </c>
      <c r="S27" s="16">
        <f t="shared" ref="S27:AF27" si="19">SUM(S19:S21)</f>
        <v>854</v>
      </c>
      <c r="T27" s="16">
        <f t="shared" si="19"/>
        <v>113</v>
      </c>
      <c r="U27" s="16">
        <f t="shared" si="19"/>
        <v>100</v>
      </c>
      <c r="V27" s="16">
        <f t="shared" si="19"/>
        <v>471</v>
      </c>
      <c r="W27" s="16">
        <f t="shared" si="19"/>
        <v>9</v>
      </c>
      <c r="X27" s="16">
        <f t="shared" si="19"/>
        <v>15</v>
      </c>
      <c r="Y27" s="16">
        <f t="shared" si="19"/>
        <v>91</v>
      </c>
      <c r="Z27" s="16">
        <f t="shared" si="19"/>
        <v>15</v>
      </c>
      <c r="AA27" s="16">
        <f t="shared" si="19"/>
        <v>18</v>
      </c>
      <c r="AB27" s="16">
        <f t="shared" si="19"/>
        <v>4</v>
      </c>
      <c r="AC27" s="16">
        <f t="shared" si="19"/>
        <v>1263</v>
      </c>
      <c r="AD27" s="16">
        <f t="shared" si="19"/>
        <v>0</v>
      </c>
      <c r="AE27" s="32">
        <f t="shared" si="19"/>
        <v>1690</v>
      </c>
      <c r="AF27" s="32">
        <f t="shared" si="19"/>
        <v>2953</v>
      </c>
    </row>
    <row r="28" spans="2:32" ht="23.1" customHeight="1" x14ac:dyDescent="0.25">
      <c r="B28" s="23" t="s">
        <v>55</v>
      </c>
      <c r="C28" s="50">
        <v>30</v>
      </c>
      <c r="D28" s="50">
        <v>8</v>
      </c>
      <c r="E28" s="50">
        <v>7</v>
      </c>
      <c r="F28" s="50">
        <v>36</v>
      </c>
      <c r="G28" s="50">
        <v>2</v>
      </c>
      <c r="H28" s="57">
        <v>0</v>
      </c>
      <c r="I28" s="57">
        <v>5</v>
      </c>
      <c r="J28" s="50">
        <v>1</v>
      </c>
      <c r="K28" s="50">
        <v>3</v>
      </c>
      <c r="L28" s="50">
        <v>2</v>
      </c>
      <c r="M28" s="50">
        <v>72</v>
      </c>
      <c r="N28" s="50">
        <v>0</v>
      </c>
      <c r="O28" s="15">
        <f t="shared" si="0"/>
        <v>94</v>
      </c>
      <c r="P28" s="15">
        <f t="shared" si="1"/>
        <v>166</v>
      </c>
      <c r="R28" s="5" t="s">
        <v>17</v>
      </c>
      <c r="S28" s="16">
        <f t="shared" ref="S28:AF28" si="20">SUM(S10:S21)</f>
        <v>2454</v>
      </c>
      <c r="T28" s="16">
        <f t="shared" si="20"/>
        <v>427</v>
      </c>
      <c r="U28" s="16">
        <f t="shared" si="20"/>
        <v>358</v>
      </c>
      <c r="V28" s="16">
        <f t="shared" si="20"/>
        <v>1879</v>
      </c>
      <c r="W28" s="16">
        <f t="shared" si="20"/>
        <v>34</v>
      </c>
      <c r="X28" s="16">
        <f t="shared" si="20"/>
        <v>33</v>
      </c>
      <c r="Y28" s="16">
        <f t="shared" si="20"/>
        <v>443</v>
      </c>
      <c r="Z28" s="16">
        <f t="shared" si="20"/>
        <v>156</v>
      </c>
      <c r="AA28" s="16">
        <f t="shared" si="20"/>
        <v>118</v>
      </c>
      <c r="AB28" s="16">
        <f t="shared" si="20"/>
        <v>16</v>
      </c>
      <c r="AC28" s="16">
        <f t="shared" si="20"/>
        <v>4993</v>
      </c>
      <c r="AD28" s="16">
        <f t="shared" si="20"/>
        <v>0</v>
      </c>
      <c r="AE28" s="32">
        <f t="shared" si="20"/>
        <v>5918</v>
      </c>
      <c r="AF28" s="32">
        <f t="shared" si="20"/>
        <v>10911</v>
      </c>
    </row>
    <row r="29" spans="2:32" ht="23.1" customHeight="1" x14ac:dyDescent="0.25">
      <c r="B29" s="23" t="s">
        <v>56</v>
      </c>
      <c r="C29" s="50">
        <v>50</v>
      </c>
      <c r="D29" s="50">
        <v>11</v>
      </c>
      <c r="E29" s="50">
        <v>7</v>
      </c>
      <c r="F29" s="50">
        <v>49</v>
      </c>
      <c r="G29" s="50">
        <v>2</v>
      </c>
      <c r="H29" s="57">
        <v>0</v>
      </c>
      <c r="I29" s="57">
        <v>6</v>
      </c>
      <c r="J29" s="50">
        <v>4</v>
      </c>
      <c r="K29" s="50">
        <v>3</v>
      </c>
      <c r="L29" s="50">
        <v>0</v>
      </c>
      <c r="M29" s="50">
        <v>113</v>
      </c>
      <c r="N29" s="50">
        <v>0</v>
      </c>
      <c r="O29" s="15">
        <f t="shared" si="0"/>
        <v>132</v>
      </c>
      <c r="P29" s="15">
        <f t="shared" si="1"/>
        <v>245</v>
      </c>
      <c r="R29"/>
      <c r="S29" s="20"/>
      <c r="T29" s="19"/>
    </row>
    <row r="30" spans="2:32" ht="23.1" customHeight="1" x14ac:dyDescent="0.25">
      <c r="B30" s="23" t="s">
        <v>57</v>
      </c>
      <c r="C30" s="50">
        <v>59</v>
      </c>
      <c r="D30" s="50">
        <v>10</v>
      </c>
      <c r="E30" s="50">
        <v>8</v>
      </c>
      <c r="F30" s="50">
        <v>38</v>
      </c>
      <c r="G30" s="50">
        <v>1</v>
      </c>
      <c r="H30" s="57">
        <v>1</v>
      </c>
      <c r="I30" s="57">
        <v>21</v>
      </c>
      <c r="J30" s="50">
        <v>8</v>
      </c>
      <c r="K30" s="50">
        <v>1</v>
      </c>
      <c r="L30" s="50">
        <v>0</v>
      </c>
      <c r="M30" s="50">
        <v>115</v>
      </c>
      <c r="N30" s="50">
        <v>0</v>
      </c>
      <c r="O30" s="15">
        <f t="shared" si="0"/>
        <v>147</v>
      </c>
      <c r="P30" s="15">
        <f t="shared" si="1"/>
        <v>262</v>
      </c>
    </row>
    <row r="31" spans="2:32" ht="23.1" customHeight="1" x14ac:dyDescent="0.25">
      <c r="B31" s="24" t="s">
        <v>58</v>
      </c>
      <c r="C31" s="50">
        <v>75</v>
      </c>
      <c r="D31" s="50">
        <v>10</v>
      </c>
      <c r="E31" s="50">
        <v>10</v>
      </c>
      <c r="F31" s="50">
        <v>56</v>
      </c>
      <c r="G31" s="50">
        <v>0</v>
      </c>
      <c r="H31" s="57">
        <v>0</v>
      </c>
      <c r="I31" s="57">
        <v>12</v>
      </c>
      <c r="J31" s="50">
        <v>4</v>
      </c>
      <c r="K31" s="50">
        <v>1</v>
      </c>
      <c r="L31" s="50">
        <v>0</v>
      </c>
      <c r="M31" s="50">
        <v>105</v>
      </c>
      <c r="N31" s="50">
        <v>0</v>
      </c>
      <c r="O31" s="15">
        <f t="shared" si="0"/>
        <v>168</v>
      </c>
      <c r="P31" s="15">
        <f t="shared" si="1"/>
        <v>273</v>
      </c>
    </row>
    <row r="32" spans="2:32" ht="23.1" customHeight="1" x14ac:dyDescent="0.25">
      <c r="B32" s="24" t="s">
        <v>59</v>
      </c>
      <c r="C32" s="50">
        <v>56</v>
      </c>
      <c r="D32" s="50">
        <v>7</v>
      </c>
      <c r="E32" s="50">
        <v>10</v>
      </c>
      <c r="F32" s="50">
        <v>45</v>
      </c>
      <c r="G32" s="50">
        <v>1</v>
      </c>
      <c r="H32" s="57">
        <v>0</v>
      </c>
      <c r="I32" s="57">
        <v>16</v>
      </c>
      <c r="J32" s="50">
        <v>3</v>
      </c>
      <c r="K32" s="50">
        <v>0</v>
      </c>
      <c r="L32" s="50">
        <v>1</v>
      </c>
      <c r="M32" s="50">
        <v>131</v>
      </c>
      <c r="N32" s="50">
        <v>0</v>
      </c>
      <c r="O32" s="15">
        <f t="shared" si="0"/>
        <v>139</v>
      </c>
      <c r="P32" s="15">
        <f t="shared" si="1"/>
        <v>270</v>
      </c>
    </row>
    <row r="33" spans="2:20" ht="23.1" customHeight="1" x14ac:dyDescent="0.25">
      <c r="B33" s="23" t="s">
        <v>60</v>
      </c>
      <c r="C33" s="50">
        <v>52</v>
      </c>
      <c r="D33" s="50">
        <v>8</v>
      </c>
      <c r="E33" s="50">
        <v>3</v>
      </c>
      <c r="F33" s="50">
        <v>49</v>
      </c>
      <c r="G33" s="50">
        <v>2</v>
      </c>
      <c r="H33" s="57">
        <v>1</v>
      </c>
      <c r="I33" s="57">
        <v>7</v>
      </c>
      <c r="J33" s="50">
        <v>2</v>
      </c>
      <c r="K33" s="50">
        <v>3</v>
      </c>
      <c r="L33" s="50">
        <v>0</v>
      </c>
      <c r="M33" s="50">
        <v>86</v>
      </c>
      <c r="N33" s="50">
        <v>0</v>
      </c>
      <c r="O33" s="15">
        <f t="shared" si="0"/>
        <v>127</v>
      </c>
      <c r="P33" s="15">
        <f t="shared" si="1"/>
        <v>213</v>
      </c>
    </row>
    <row r="34" spans="2:20" ht="23.1" customHeight="1" x14ac:dyDescent="0.25">
      <c r="B34" s="24" t="s">
        <v>61</v>
      </c>
      <c r="C34" s="50">
        <v>35</v>
      </c>
      <c r="D34" s="50">
        <v>14</v>
      </c>
      <c r="E34" s="50">
        <v>2</v>
      </c>
      <c r="F34" s="50">
        <v>32</v>
      </c>
      <c r="G34" s="50">
        <v>1</v>
      </c>
      <c r="H34" s="57">
        <v>1</v>
      </c>
      <c r="I34" s="57">
        <v>10</v>
      </c>
      <c r="J34" s="50">
        <v>2</v>
      </c>
      <c r="K34" s="50">
        <v>1</v>
      </c>
      <c r="L34" s="50">
        <v>0</v>
      </c>
      <c r="M34" s="50">
        <v>64</v>
      </c>
      <c r="N34" s="50">
        <v>0</v>
      </c>
      <c r="O34" s="15">
        <f t="shared" si="0"/>
        <v>98</v>
      </c>
      <c r="P34" s="15">
        <f t="shared" si="1"/>
        <v>162</v>
      </c>
    </row>
    <row r="35" spans="2:20" ht="23.1" customHeight="1" x14ac:dyDescent="0.25">
      <c r="B35" s="24" t="s">
        <v>62</v>
      </c>
      <c r="C35" s="50">
        <v>35</v>
      </c>
      <c r="D35" s="50">
        <v>5</v>
      </c>
      <c r="E35" s="50">
        <v>7</v>
      </c>
      <c r="F35" s="50">
        <v>37</v>
      </c>
      <c r="G35" s="50">
        <v>0</v>
      </c>
      <c r="H35" s="57">
        <v>2</v>
      </c>
      <c r="I35" s="57">
        <v>8</v>
      </c>
      <c r="J35" s="50">
        <v>5</v>
      </c>
      <c r="K35" s="50">
        <v>1</v>
      </c>
      <c r="L35" s="50">
        <v>0</v>
      </c>
      <c r="M35" s="50">
        <v>84</v>
      </c>
      <c r="N35" s="50">
        <v>0</v>
      </c>
      <c r="O35" s="15">
        <f t="shared" si="0"/>
        <v>100</v>
      </c>
      <c r="P35" s="15">
        <f t="shared" si="1"/>
        <v>184</v>
      </c>
    </row>
    <row r="36" spans="2:20" ht="23.1" customHeight="1" x14ac:dyDescent="0.25">
      <c r="B36" s="24" t="s">
        <v>63</v>
      </c>
      <c r="C36" s="50">
        <v>45</v>
      </c>
      <c r="D36" s="50">
        <v>11</v>
      </c>
      <c r="E36" s="50">
        <v>5</v>
      </c>
      <c r="F36" s="50">
        <v>29</v>
      </c>
      <c r="G36" s="50">
        <v>0</v>
      </c>
      <c r="H36" s="57">
        <v>1</v>
      </c>
      <c r="I36" s="57">
        <v>8</v>
      </c>
      <c r="J36" s="50">
        <v>3</v>
      </c>
      <c r="K36" s="50">
        <v>4</v>
      </c>
      <c r="L36" s="50">
        <v>0</v>
      </c>
      <c r="M36" s="50">
        <v>81</v>
      </c>
      <c r="N36" s="50">
        <v>0</v>
      </c>
      <c r="O36" s="15">
        <f t="shared" si="0"/>
        <v>106</v>
      </c>
      <c r="P36" s="15">
        <f t="shared" si="1"/>
        <v>187</v>
      </c>
    </row>
    <row r="37" spans="2:20" ht="23.1" customHeight="1" x14ac:dyDescent="0.25">
      <c r="B37" s="23" t="s">
        <v>64</v>
      </c>
      <c r="C37" s="50">
        <v>39</v>
      </c>
      <c r="D37" s="50">
        <v>7</v>
      </c>
      <c r="E37" s="50">
        <v>6</v>
      </c>
      <c r="F37" s="50">
        <v>34</v>
      </c>
      <c r="G37" s="50">
        <v>2</v>
      </c>
      <c r="H37" s="57">
        <v>0</v>
      </c>
      <c r="I37" s="57">
        <v>13</v>
      </c>
      <c r="J37" s="50">
        <v>7</v>
      </c>
      <c r="K37" s="50">
        <v>4</v>
      </c>
      <c r="L37" s="50">
        <v>0</v>
      </c>
      <c r="M37" s="50">
        <v>83</v>
      </c>
      <c r="N37" s="50">
        <v>0</v>
      </c>
      <c r="O37" s="15">
        <f t="shared" si="0"/>
        <v>112</v>
      </c>
      <c r="P37" s="15">
        <f t="shared" si="1"/>
        <v>195</v>
      </c>
    </row>
    <row r="38" spans="2:20" ht="23.1" customHeight="1" x14ac:dyDescent="0.25">
      <c r="B38" s="24" t="s">
        <v>65</v>
      </c>
      <c r="C38" s="50">
        <v>56</v>
      </c>
      <c r="D38" s="50">
        <v>17</v>
      </c>
      <c r="E38" s="50">
        <v>3</v>
      </c>
      <c r="F38" s="50">
        <v>54</v>
      </c>
      <c r="G38" s="50">
        <v>0</v>
      </c>
      <c r="H38" s="57">
        <v>1</v>
      </c>
      <c r="I38" s="57">
        <v>10</v>
      </c>
      <c r="J38" s="50">
        <v>6</v>
      </c>
      <c r="K38" s="50">
        <v>5</v>
      </c>
      <c r="L38" s="50">
        <v>0</v>
      </c>
      <c r="M38" s="50">
        <v>95</v>
      </c>
      <c r="N38" s="50">
        <v>0</v>
      </c>
      <c r="O38" s="15">
        <f t="shared" si="0"/>
        <v>152</v>
      </c>
      <c r="P38" s="15">
        <f t="shared" si="1"/>
        <v>247</v>
      </c>
    </row>
    <row r="39" spans="2:20" ht="23.1" customHeight="1" x14ac:dyDescent="0.25">
      <c r="B39" s="24" t="s">
        <v>66</v>
      </c>
      <c r="C39" s="50">
        <v>50</v>
      </c>
      <c r="D39" s="50">
        <v>13</v>
      </c>
      <c r="E39" s="50">
        <v>8</v>
      </c>
      <c r="F39" s="50">
        <v>65</v>
      </c>
      <c r="G39" s="50">
        <v>1</v>
      </c>
      <c r="H39" s="57">
        <v>0</v>
      </c>
      <c r="I39" s="57">
        <v>15</v>
      </c>
      <c r="J39" s="50">
        <v>3</v>
      </c>
      <c r="K39" s="50">
        <v>5</v>
      </c>
      <c r="L39" s="50">
        <v>0</v>
      </c>
      <c r="M39" s="50">
        <v>79</v>
      </c>
      <c r="N39" s="50">
        <v>0</v>
      </c>
      <c r="O39" s="15">
        <f t="shared" si="0"/>
        <v>160</v>
      </c>
      <c r="P39" s="15">
        <f t="shared" si="1"/>
        <v>239</v>
      </c>
    </row>
    <row r="40" spans="2:20" ht="23.1" customHeight="1" x14ac:dyDescent="0.25">
      <c r="B40" s="24" t="s">
        <v>67</v>
      </c>
      <c r="C40" s="50">
        <v>64</v>
      </c>
      <c r="D40" s="50">
        <v>4</v>
      </c>
      <c r="E40" s="50">
        <v>4</v>
      </c>
      <c r="F40" s="50">
        <v>41</v>
      </c>
      <c r="G40" s="50">
        <v>1</v>
      </c>
      <c r="H40" s="57">
        <v>1</v>
      </c>
      <c r="I40" s="57">
        <v>12</v>
      </c>
      <c r="J40" s="50">
        <v>6</v>
      </c>
      <c r="K40" s="50">
        <v>6</v>
      </c>
      <c r="L40" s="50">
        <v>1</v>
      </c>
      <c r="M40" s="50">
        <v>78</v>
      </c>
      <c r="N40" s="50">
        <v>0</v>
      </c>
      <c r="O40" s="15">
        <f t="shared" si="0"/>
        <v>140</v>
      </c>
      <c r="P40" s="15">
        <f t="shared" si="1"/>
        <v>218</v>
      </c>
    </row>
    <row r="41" spans="2:20" ht="23.1" customHeight="1" x14ac:dyDescent="0.25">
      <c r="B41" s="23" t="s">
        <v>68</v>
      </c>
      <c r="C41" s="50">
        <v>56</v>
      </c>
      <c r="D41" s="50">
        <v>19</v>
      </c>
      <c r="E41" s="50">
        <v>7</v>
      </c>
      <c r="F41" s="50">
        <v>46</v>
      </c>
      <c r="G41" s="50">
        <v>0</v>
      </c>
      <c r="H41" s="57">
        <v>1</v>
      </c>
      <c r="I41" s="57">
        <v>11</v>
      </c>
      <c r="J41" s="50">
        <v>6</v>
      </c>
      <c r="K41" s="50">
        <v>3</v>
      </c>
      <c r="L41" s="50">
        <v>1</v>
      </c>
      <c r="M41" s="50">
        <v>87</v>
      </c>
      <c r="N41" s="50">
        <v>0</v>
      </c>
      <c r="O41" s="15">
        <f t="shared" si="0"/>
        <v>150</v>
      </c>
      <c r="P41" s="15">
        <f t="shared" si="1"/>
        <v>237</v>
      </c>
    </row>
    <row r="42" spans="2:20" ht="23.1" customHeight="1" x14ac:dyDescent="0.25">
      <c r="B42" s="24" t="s">
        <v>69</v>
      </c>
      <c r="C42" s="50">
        <v>54</v>
      </c>
      <c r="D42" s="50">
        <v>7</v>
      </c>
      <c r="E42" s="50">
        <v>9</v>
      </c>
      <c r="F42" s="50">
        <v>25</v>
      </c>
      <c r="G42" s="50">
        <v>0</v>
      </c>
      <c r="H42" s="57">
        <v>1</v>
      </c>
      <c r="I42" s="57">
        <v>17</v>
      </c>
      <c r="J42" s="50">
        <v>1</v>
      </c>
      <c r="K42" s="50">
        <v>2</v>
      </c>
      <c r="L42" s="50">
        <v>0</v>
      </c>
      <c r="M42" s="50">
        <v>89</v>
      </c>
      <c r="N42" s="50">
        <v>0</v>
      </c>
      <c r="O42" s="15">
        <f t="shared" si="0"/>
        <v>116</v>
      </c>
      <c r="P42" s="15">
        <f t="shared" si="1"/>
        <v>205</v>
      </c>
    </row>
    <row r="43" spans="2:20" ht="23.1" customHeight="1" x14ac:dyDescent="0.25">
      <c r="B43" s="23" t="s">
        <v>70</v>
      </c>
      <c r="C43" s="50">
        <v>53</v>
      </c>
      <c r="D43" s="50">
        <v>9</v>
      </c>
      <c r="E43" s="50">
        <v>7</v>
      </c>
      <c r="F43" s="50">
        <v>35</v>
      </c>
      <c r="G43" s="50">
        <v>0</v>
      </c>
      <c r="H43" s="57">
        <v>0</v>
      </c>
      <c r="I43" s="57">
        <v>14</v>
      </c>
      <c r="J43" s="50">
        <v>5</v>
      </c>
      <c r="K43" s="50">
        <v>1</v>
      </c>
      <c r="L43" s="50">
        <v>0</v>
      </c>
      <c r="M43" s="50">
        <v>92</v>
      </c>
      <c r="N43" s="50">
        <v>0</v>
      </c>
      <c r="O43" s="15">
        <f t="shared" si="0"/>
        <v>124</v>
      </c>
      <c r="P43" s="15">
        <f t="shared" si="1"/>
        <v>216</v>
      </c>
    </row>
    <row r="44" spans="2:20" ht="23.1" customHeight="1" x14ac:dyDescent="0.25">
      <c r="B44" s="25" t="s">
        <v>71</v>
      </c>
      <c r="C44" s="50">
        <v>47</v>
      </c>
      <c r="D44" s="50">
        <v>9</v>
      </c>
      <c r="E44" s="50">
        <v>8</v>
      </c>
      <c r="F44" s="50">
        <v>39</v>
      </c>
      <c r="G44" s="50">
        <v>0</v>
      </c>
      <c r="H44" s="57">
        <v>2</v>
      </c>
      <c r="I44" s="57">
        <v>9</v>
      </c>
      <c r="J44" s="50">
        <v>6</v>
      </c>
      <c r="K44" s="50">
        <v>1</v>
      </c>
      <c r="L44" s="50">
        <v>0</v>
      </c>
      <c r="M44" s="50">
        <v>88</v>
      </c>
      <c r="N44" s="50">
        <v>0</v>
      </c>
      <c r="O44" s="15">
        <f t="shared" si="0"/>
        <v>121</v>
      </c>
      <c r="P44" s="15">
        <f t="shared" si="1"/>
        <v>209</v>
      </c>
    </row>
    <row r="45" spans="2:20" ht="23.1" customHeight="1" x14ac:dyDescent="0.25">
      <c r="B45" s="23" t="s">
        <v>72</v>
      </c>
      <c r="C45" s="50">
        <v>43</v>
      </c>
      <c r="D45" s="50">
        <v>9</v>
      </c>
      <c r="E45" s="50">
        <v>5</v>
      </c>
      <c r="F45" s="50">
        <v>46</v>
      </c>
      <c r="G45" s="50">
        <v>0</v>
      </c>
      <c r="H45" s="57">
        <v>0</v>
      </c>
      <c r="I45" s="57">
        <v>9</v>
      </c>
      <c r="J45" s="50">
        <v>1</v>
      </c>
      <c r="K45" s="50">
        <v>1</v>
      </c>
      <c r="L45" s="50">
        <v>0</v>
      </c>
      <c r="M45" s="50">
        <v>69</v>
      </c>
      <c r="N45" s="50">
        <v>0</v>
      </c>
      <c r="O45" s="15">
        <f t="shared" si="0"/>
        <v>114</v>
      </c>
      <c r="P45" s="15">
        <f t="shared" si="1"/>
        <v>183</v>
      </c>
    </row>
    <row r="46" spans="2:20" ht="23.1" customHeight="1" x14ac:dyDescent="0.25">
      <c r="B46" s="24" t="s">
        <v>73</v>
      </c>
      <c r="C46" s="50">
        <v>56</v>
      </c>
      <c r="D46" s="50">
        <v>5</v>
      </c>
      <c r="E46" s="50">
        <v>10</v>
      </c>
      <c r="F46" s="50">
        <v>24</v>
      </c>
      <c r="G46" s="50">
        <v>0</v>
      </c>
      <c r="H46" s="57">
        <v>0</v>
      </c>
      <c r="I46" s="57">
        <v>8</v>
      </c>
      <c r="J46" s="50">
        <v>4</v>
      </c>
      <c r="K46" s="50">
        <v>2</v>
      </c>
      <c r="L46" s="50">
        <v>0</v>
      </c>
      <c r="M46" s="50">
        <v>88</v>
      </c>
      <c r="N46" s="50">
        <v>0</v>
      </c>
      <c r="O46" s="15">
        <f t="shared" si="0"/>
        <v>109</v>
      </c>
      <c r="P46" s="15">
        <f t="shared" si="1"/>
        <v>197</v>
      </c>
      <c r="R46" s="8"/>
      <c r="T46"/>
    </row>
    <row r="47" spans="2:20" ht="23.1" customHeight="1" x14ac:dyDescent="0.25">
      <c r="B47" s="24" t="s">
        <v>74</v>
      </c>
      <c r="C47" s="50">
        <v>68</v>
      </c>
      <c r="D47" s="50">
        <v>7</v>
      </c>
      <c r="E47" s="50">
        <v>6</v>
      </c>
      <c r="F47" s="50">
        <v>34</v>
      </c>
      <c r="G47" s="50">
        <v>0</v>
      </c>
      <c r="H47" s="57">
        <v>0</v>
      </c>
      <c r="I47" s="57">
        <v>6</v>
      </c>
      <c r="J47" s="50">
        <v>1</v>
      </c>
      <c r="K47" s="50">
        <v>3</v>
      </c>
      <c r="L47" s="50">
        <v>0</v>
      </c>
      <c r="M47" s="50">
        <v>94</v>
      </c>
      <c r="N47" s="50">
        <v>0</v>
      </c>
      <c r="O47" s="15">
        <f t="shared" si="0"/>
        <v>125</v>
      </c>
      <c r="P47" s="15">
        <f t="shared" si="1"/>
        <v>219</v>
      </c>
      <c r="R47" s="8"/>
      <c r="T47"/>
    </row>
    <row r="48" spans="2:20" ht="23.1" customHeight="1" x14ac:dyDescent="0.25">
      <c r="B48" s="24" t="s">
        <v>75</v>
      </c>
      <c r="C48" s="50">
        <v>50</v>
      </c>
      <c r="D48" s="50">
        <v>12</v>
      </c>
      <c r="E48" s="50">
        <v>10</v>
      </c>
      <c r="F48" s="50">
        <v>28</v>
      </c>
      <c r="G48" s="50">
        <v>1</v>
      </c>
      <c r="H48" s="57">
        <v>0</v>
      </c>
      <c r="I48" s="57">
        <v>10</v>
      </c>
      <c r="J48" s="50">
        <v>3</v>
      </c>
      <c r="K48" s="50">
        <v>3</v>
      </c>
      <c r="L48" s="50">
        <v>1</v>
      </c>
      <c r="M48" s="50">
        <v>93</v>
      </c>
      <c r="N48" s="50">
        <v>0</v>
      </c>
      <c r="O48" s="15">
        <f t="shared" si="0"/>
        <v>118</v>
      </c>
      <c r="P48" s="15">
        <f t="shared" si="1"/>
        <v>211</v>
      </c>
      <c r="R48" s="8"/>
      <c r="T48"/>
    </row>
    <row r="49" spans="2:20" ht="23.1" customHeight="1" x14ac:dyDescent="0.25">
      <c r="B49" s="23" t="s">
        <v>76</v>
      </c>
      <c r="C49" s="50">
        <v>68</v>
      </c>
      <c r="D49" s="50">
        <v>13</v>
      </c>
      <c r="E49" s="50">
        <v>11</v>
      </c>
      <c r="F49" s="50">
        <v>33</v>
      </c>
      <c r="G49" s="50">
        <v>1</v>
      </c>
      <c r="H49" s="57">
        <v>4</v>
      </c>
      <c r="I49" s="57">
        <v>9</v>
      </c>
      <c r="J49" s="50">
        <v>0</v>
      </c>
      <c r="K49" s="50">
        <v>1</v>
      </c>
      <c r="L49" s="50">
        <v>2</v>
      </c>
      <c r="M49" s="50">
        <v>85</v>
      </c>
      <c r="N49" s="50">
        <v>0</v>
      </c>
      <c r="O49" s="15">
        <f t="shared" si="0"/>
        <v>142</v>
      </c>
      <c r="P49" s="15">
        <f t="shared" si="1"/>
        <v>227</v>
      </c>
      <c r="R49" s="8"/>
      <c r="T49"/>
    </row>
    <row r="50" spans="2:20" ht="23.1" customHeight="1" x14ac:dyDescent="0.25">
      <c r="B50" s="24" t="s">
        <v>77</v>
      </c>
      <c r="C50" s="50">
        <v>78</v>
      </c>
      <c r="D50" s="50">
        <v>12</v>
      </c>
      <c r="E50" s="50">
        <v>13</v>
      </c>
      <c r="F50" s="50">
        <v>51</v>
      </c>
      <c r="G50" s="50">
        <v>0</v>
      </c>
      <c r="H50" s="57">
        <v>2</v>
      </c>
      <c r="I50" s="57">
        <v>8</v>
      </c>
      <c r="J50" s="50">
        <v>1</v>
      </c>
      <c r="K50" s="50">
        <v>1</v>
      </c>
      <c r="L50" s="50">
        <v>0</v>
      </c>
      <c r="M50" s="50">
        <v>99</v>
      </c>
      <c r="N50" s="50">
        <v>0</v>
      </c>
      <c r="O50" s="15">
        <f t="shared" si="0"/>
        <v>166</v>
      </c>
      <c r="P50" s="15">
        <f t="shared" si="1"/>
        <v>265</v>
      </c>
      <c r="R50" s="8"/>
      <c r="T50"/>
    </row>
    <row r="51" spans="2:20" ht="23.1" customHeight="1" x14ac:dyDescent="0.25">
      <c r="B51" s="24" t="s">
        <v>78</v>
      </c>
      <c r="C51" s="50">
        <v>70</v>
      </c>
      <c r="D51" s="50">
        <v>7</v>
      </c>
      <c r="E51" s="50">
        <v>7</v>
      </c>
      <c r="F51" s="50">
        <v>32</v>
      </c>
      <c r="G51" s="50">
        <v>1</v>
      </c>
      <c r="H51" s="57">
        <v>0</v>
      </c>
      <c r="I51" s="57">
        <v>5</v>
      </c>
      <c r="J51" s="50">
        <v>1</v>
      </c>
      <c r="K51" s="50">
        <v>2</v>
      </c>
      <c r="L51" s="50">
        <v>1</v>
      </c>
      <c r="M51" s="50">
        <v>117</v>
      </c>
      <c r="N51" s="50">
        <v>0</v>
      </c>
      <c r="O51" s="15">
        <f t="shared" si="0"/>
        <v>126</v>
      </c>
      <c r="P51" s="15">
        <f t="shared" si="1"/>
        <v>243</v>
      </c>
      <c r="R51" s="8"/>
      <c r="T51"/>
    </row>
    <row r="52" spans="2:20" ht="23.1" customHeight="1" x14ac:dyDescent="0.25">
      <c r="B52" s="24" t="s">
        <v>79</v>
      </c>
      <c r="C52" s="50">
        <v>65</v>
      </c>
      <c r="D52" s="50">
        <v>8</v>
      </c>
      <c r="E52" s="50">
        <v>6</v>
      </c>
      <c r="F52" s="50">
        <v>35</v>
      </c>
      <c r="G52" s="50">
        <v>1</v>
      </c>
      <c r="H52" s="57">
        <v>2</v>
      </c>
      <c r="I52" s="57">
        <v>8</v>
      </c>
      <c r="J52" s="50">
        <v>0</v>
      </c>
      <c r="K52" s="50">
        <v>1</v>
      </c>
      <c r="L52" s="50">
        <v>0</v>
      </c>
      <c r="M52" s="50">
        <v>115</v>
      </c>
      <c r="N52" s="50">
        <v>0</v>
      </c>
      <c r="O52" s="15">
        <f t="shared" si="0"/>
        <v>126</v>
      </c>
      <c r="P52" s="15">
        <f t="shared" si="1"/>
        <v>241</v>
      </c>
      <c r="R52" s="8"/>
      <c r="T52"/>
    </row>
    <row r="53" spans="2:20" ht="23.1" customHeight="1" x14ac:dyDescent="0.25">
      <c r="B53" s="23" t="s">
        <v>80</v>
      </c>
      <c r="C53" s="50">
        <v>95</v>
      </c>
      <c r="D53" s="50">
        <v>20</v>
      </c>
      <c r="E53" s="50">
        <v>5</v>
      </c>
      <c r="F53" s="50">
        <v>58</v>
      </c>
      <c r="G53" s="50">
        <v>1</v>
      </c>
      <c r="H53" s="57">
        <v>2</v>
      </c>
      <c r="I53" s="57">
        <v>4</v>
      </c>
      <c r="J53" s="50">
        <v>1</v>
      </c>
      <c r="K53" s="50">
        <v>2</v>
      </c>
      <c r="L53" s="50">
        <v>0</v>
      </c>
      <c r="M53" s="50">
        <v>92</v>
      </c>
      <c r="N53" s="50">
        <v>0</v>
      </c>
      <c r="O53" s="15">
        <f t="shared" si="0"/>
        <v>188</v>
      </c>
      <c r="P53" s="15">
        <f t="shared" si="1"/>
        <v>280</v>
      </c>
      <c r="R53" s="8"/>
      <c r="T53"/>
    </row>
    <row r="54" spans="2:20" ht="23.1" customHeight="1" x14ac:dyDescent="0.25">
      <c r="B54" s="23" t="s">
        <v>81</v>
      </c>
      <c r="C54" s="50">
        <v>82</v>
      </c>
      <c r="D54" s="50">
        <v>7</v>
      </c>
      <c r="E54" s="50">
        <v>8</v>
      </c>
      <c r="F54" s="50">
        <v>44</v>
      </c>
      <c r="G54" s="50">
        <v>0</v>
      </c>
      <c r="H54" s="57">
        <v>3</v>
      </c>
      <c r="I54" s="57">
        <v>11</v>
      </c>
      <c r="J54" s="50">
        <v>1</v>
      </c>
      <c r="K54" s="50">
        <v>0</v>
      </c>
      <c r="L54" s="50">
        <v>0</v>
      </c>
      <c r="M54" s="50">
        <v>120</v>
      </c>
      <c r="N54" s="50">
        <v>0</v>
      </c>
      <c r="O54" s="15">
        <f t="shared" si="0"/>
        <v>156</v>
      </c>
      <c r="P54" s="15">
        <f t="shared" si="1"/>
        <v>276</v>
      </c>
      <c r="R54" s="8"/>
      <c r="T54"/>
    </row>
    <row r="55" spans="2:20" ht="23.1" customHeight="1" x14ac:dyDescent="0.25">
      <c r="B55" s="23" t="s">
        <v>82</v>
      </c>
      <c r="C55" s="50">
        <v>79</v>
      </c>
      <c r="D55" s="50">
        <v>13</v>
      </c>
      <c r="E55" s="50">
        <v>10</v>
      </c>
      <c r="F55" s="50">
        <v>58</v>
      </c>
      <c r="G55" s="50">
        <v>2</v>
      </c>
      <c r="H55" s="57">
        <v>0</v>
      </c>
      <c r="I55" s="57">
        <v>11</v>
      </c>
      <c r="J55" s="50">
        <v>1</v>
      </c>
      <c r="K55" s="50">
        <v>2</v>
      </c>
      <c r="L55" s="50">
        <v>0</v>
      </c>
      <c r="M55" s="50">
        <v>125</v>
      </c>
      <c r="N55" s="50">
        <v>0</v>
      </c>
      <c r="O55" s="15">
        <f t="shared" si="0"/>
        <v>176</v>
      </c>
      <c r="P55" s="15">
        <f t="shared" si="1"/>
        <v>301</v>
      </c>
      <c r="R55" s="8"/>
      <c r="T55"/>
    </row>
    <row r="56" spans="2:20" ht="23.1" customHeight="1" x14ac:dyDescent="0.25">
      <c r="B56" s="23" t="s">
        <v>83</v>
      </c>
      <c r="C56" s="50">
        <v>77</v>
      </c>
      <c r="D56" s="50">
        <v>6</v>
      </c>
      <c r="E56" s="50">
        <v>9</v>
      </c>
      <c r="F56" s="50">
        <v>49</v>
      </c>
      <c r="G56" s="50">
        <v>2</v>
      </c>
      <c r="H56" s="57">
        <v>0</v>
      </c>
      <c r="I56" s="57">
        <v>6</v>
      </c>
      <c r="J56" s="50">
        <v>1</v>
      </c>
      <c r="K56" s="50">
        <v>1</v>
      </c>
      <c r="L56" s="50">
        <v>0</v>
      </c>
      <c r="M56" s="50">
        <v>105</v>
      </c>
      <c r="N56" s="50">
        <v>0</v>
      </c>
      <c r="O56" s="15">
        <f t="shared" si="0"/>
        <v>151</v>
      </c>
      <c r="P56" s="15">
        <f t="shared" si="1"/>
        <v>256</v>
      </c>
      <c r="R56" s="8"/>
      <c r="T56"/>
    </row>
    <row r="57" spans="2:20" ht="23.1" customHeight="1" x14ac:dyDescent="0.25">
      <c r="B57" s="23" t="s">
        <v>84</v>
      </c>
      <c r="C57" s="50">
        <v>66</v>
      </c>
      <c r="D57" s="50">
        <v>3</v>
      </c>
      <c r="E57" s="50">
        <v>5</v>
      </c>
      <c r="F57" s="50">
        <v>25</v>
      </c>
      <c r="G57" s="50">
        <v>0</v>
      </c>
      <c r="H57" s="57">
        <v>2</v>
      </c>
      <c r="I57" s="57">
        <v>5</v>
      </c>
      <c r="J57" s="50">
        <v>1</v>
      </c>
      <c r="K57" s="50">
        <v>0</v>
      </c>
      <c r="L57" s="50">
        <v>0</v>
      </c>
      <c r="M57" s="50">
        <v>130</v>
      </c>
      <c r="N57" s="50">
        <v>0</v>
      </c>
      <c r="O57" s="15">
        <f t="shared" si="0"/>
        <v>107</v>
      </c>
      <c r="P57" s="15">
        <f t="shared" si="1"/>
        <v>237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2454</v>
      </c>
      <c r="D58" s="16">
        <f t="shared" si="21"/>
        <v>427</v>
      </c>
      <c r="E58" s="16">
        <f t="shared" si="21"/>
        <v>358</v>
      </c>
      <c r="F58" s="16">
        <f t="shared" si="21"/>
        <v>1879</v>
      </c>
      <c r="G58" s="16">
        <f t="shared" si="21"/>
        <v>34</v>
      </c>
      <c r="H58" s="58">
        <f t="shared" si="21"/>
        <v>33</v>
      </c>
      <c r="I58" s="58">
        <f t="shared" si="21"/>
        <v>443</v>
      </c>
      <c r="J58" s="16">
        <f t="shared" si="21"/>
        <v>156</v>
      </c>
      <c r="K58" s="16">
        <f t="shared" si="21"/>
        <v>118</v>
      </c>
      <c r="L58" s="16">
        <f t="shared" si="21"/>
        <v>16</v>
      </c>
      <c r="M58" s="16">
        <f t="shared" si="21"/>
        <v>4993</v>
      </c>
      <c r="N58" s="16">
        <f t="shared" si="21"/>
        <v>0</v>
      </c>
      <c r="O58" s="16">
        <f t="shared" si="21"/>
        <v>5918</v>
      </c>
      <c r="P58" s="16">
        <f t="shared" si="21"/>
        <v>10911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0.22491064063788838</v>
      </c>
      <c r="D59" s="43">
        <f t="shared" si="22"/>
        <v>3.9134818073503802E-2</v>
      </c>
      <c r="E59" s="43">
        <f t="shared" si="22"/>
        <v>3.2810924754834568E-2</v>
      </c>
      <c r="F59" s="43">
        <f t="shared" si="22"/>
        <v>0.1722115296489781</v>
      </c>
      <c r="G59" s="43">
        <f t="shared" si="22"/>
        <v>3.1161213454312161E-3</v>
      </c>
      <c r="H59" s="59">
        <f t="shared" si="22"/>
        <v>3.0244707176244156E-3</v>
      </c>
      <c r="I59" s="59">
        <f t="shared" si="22"/>
        <v>4.0601228118412609E-2</v>
      </c>
      <c r="J59" s="43">
        <f t="shared" si="22"/>
        <v>1.4297497937860875E-2</v>
      </c>
      <c r="K59" s="43">
        <f t="shared" si="22"/>
        <v>1.0814774081202455E-2</v>
      </c>
      <c r="L59" s="43">
        <f t="shared" si="22"/>
        <v>1.4664100449088076E-3</v>
      </c>
      <c r="M59" s="43">
        <f t="shared" si="22"/>
        <v>0.45761158463935481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0.41466711726934774</v>
      </c>
      <c r="D60" s="44">
        <f t="shared" ref="D60:N60" si="23">D58/$O$58</f>
        <v>7.2152754308888137E-2</v>
      </c>
      <c r="E60" s="44">
        <f t="shared" si="23"/>
        <v>6.0493409935789118E-2</v>
      </c>
      <c r="F60" s="44">
        <f t="shared" si="23"/>
        <v>0.31750591416018925</v>
      </c>
      <c r="G60" s="44">
        <f t="shared" si="23"/>
        <v>5.7451841838458938E-3</v>
      </c>
      <c r="H60" s="60">
        <f t="shared" si="23"/>
        <v>5.5762081784386614E-3</v>
      </c>
      <c r="I60" s="60">
        <f t="shared" si="23"/>
        <v>7.4856370395403854E-2</v>
      </c>
      <c r="J60" s="44">
        <f t="shared" si="23"/>
        <v>2.6360256843528218E-2</v>
      </c>
      <c r="K60" s="44">
        <f t="shared" si="23"/>
        <v>1.9939168638053395E-2</v>
      </c>
      <c r="L60" s="44">
        <f t="shared" si="23"/>
        <v>2.7036160865157146E-3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61"/>
      <c r="I61" s="61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61"/>
      <c r="I62" s="61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61"/>
      <c r="I63" s="61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61"/>
      <c r="I64" s="61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61"/>
      <c r="I65" s="61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61"/>
      <c r="I66" s="61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61"/>
      <c r="I67" s="61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61"/>
      <c r="I68" s="61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61"/>
      <c r="I69" s="61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61"/>
      <c r="I70" s="61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61"/>
      <c r="I71" s="61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61"/>
      <c r="I72" s="61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61"/>
      <c r="I73" s="61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61"/>
      <c r="I74" s="61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61"/>
      <c r="I75" s="61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61"/>
      <c r="I76" s="61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61"/>
      <c r="I77" s="61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61"/>
      <c r="I78" s="61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61"/>
      <c r="I79" s="61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61"/>
      <c r="I80" s="61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61"/>
      <c r="I81" s="61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61"/>
      <c r="I82" s="61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61"/>
      <c r="I83" s="61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61"/>
      <c r="I84" s="61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61"/>
      <c r="I85" s="61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61"/>
      <c r="I86" s="61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61"/>
      <c r="I87" s="61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61"/>
      <c r="I88" s="61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61"/>
      <c r="I89" s="61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61"/>
      <c r="I90" s="61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61"/>
      <c r="I91" s="61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61"/>
      <c r="I92" s="61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61"/>
      <c r="I93" s="61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61"/>
      <c r="I94" s="61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61"/>
      <c r="I95" s="61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61"/>
      <c r="I96" s="61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61"/>
      <c r="I97" s="61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61"/>
      <c r="I98" s="61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61"/>
      <c r="I99" s="61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61"/>
      <c r="I100" s="61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61"/>
      <c r="I101" s="61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61"/>
      <c r="I102" s="61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61"/>
      <c r="I103" s="61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61"/>
      <c r="I104" s="61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61"/>
      <c r="I105" s="61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61"/>
      <c r="I106" s="61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61"/>
      <c r="I107" s="61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61"/>
      <c r="I108" s="61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61"/>
      <c r="I109" s="61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61"/>
      <c r="I110" s="61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61"/>
      <c r="I111" s="61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61"/>
      <c r="I112" s="61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61"/>
      <c r="I113" s="61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61"/>
      <c r="I114" s="61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61"/>
      <c r="I115" s="61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61"/>
      <c r="I116" s="61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61"/>
      <c r="I117" s="61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61"/>
      <c r="I118" s="61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61"/>
      <c r="I119" s="61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61"/>
      <c r="I120" s="61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61"/>
      <c r="I121" s="61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61"/>
      <c r="I122" s="61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61"/>
      <c r="I123" s="61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61"/>
      <c r="I124" s="61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61"/>
      <c r="I125" s="61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61"/>
      <c r="I126" s="61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L13" sqref="L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style="53" customWidth="1"/>
    <col min="9" max="9" width="11" style="53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81" t="str">
        <f>'23.09.Gayaza-Kasangati'!C3:G3</f>
        <v>MCC - C2 - STN-69- Gayaza- ROAD</v>
      </c>
      <c r="D3" s="81"/>
      <c r="E3" s="81"/>
      <c r="F3" s="81"/>
      <c r="G3" s="8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'24.09 Kasangati-Gayaza'!D5</f>
        <v>24.09.19</v>
      </c>
      <c r="E5" s="3"/>
      <c r="F5" s="41" t="s">
        <v>1</v>
      </c>
      <c r="G5" s="82" t="str">
        <f>'23.09. KASANGATI-GAYAZA'!G5:H5</f>
        <v>TOTAL BULAMU</v>
      </c>
      <c r="H5" s="83"/>
      <c r="I5" s="52"/>
      <c r="J5" s="2" t="s">
        <v>5</v>
      </c>
      <c r="K5" s="82" t="str">
        <f>'23.09. KASANGATI-GAYAZA'!K5:L5</f>
        <v>SIMON T, ANTHONY, muganga, Nagaina</v>
      </c>
      <c r="L5" s="83"/>
      <c r="M5" s="10"/>
      <c r="N5" s="10"/>
      <c r="O5" s="3"/>
      <c r="P5" s="3"/>
    </row>
    <row r="6" spans="2:32" ht="23.25" customHeight="1" x14ac:dyDescent="0.25">
      <c r="C6" s="2" t="s">
        <v>4</v>
      </c>
      <c r="D6" s="82" t="str">
        <f>'23.09.Gayaza-Kasangati'!D6:E6</f>
        <v>Gayaza</v>
      </c>
      <c r="E6" s="83"/>
      <c r="F6" s="2" t="s">
        <v>2</v>
      </c>
      <c r="G6" s="82" t="str">
        <f>'23.09.Gayaza-Kasangati'!G6:H6</f>
        <v>Kasangati</v>
      </c>
      <c r="H6" s="83"/>
      <c r="J6" s="2" t="s">
        <v>21</v>
      </c>
      <c r="K6" s="82" t="str">
        <f>'23.09. KASANGATI-GAYAZA'!K6:L6</f>
        <v>LAWRENCE</v>
      </c>
      <c r="L6" s="8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54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55"/>
      <c r="I8" s="55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56" t="s">
        <v>29</v>
      </c>
      <c r="I9" s="56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130</v>
      </c>
      <c r="D10" s="50">
        <v>13</v>
      </c>
      <c r="E10" s="50">
        <v>9</v>
      </c>
      <c r="F10" s="50">
        <v>53</v>
      </c>
      <c r="G10" s="50">
        <v>11</v>
      </c>
      <c r="H10" s="57">
        <v>1</v>
      </c>
      <c r="I10" s="57">
        <v>11</v>
      </c>
      <c r="J10" s="50">
        <v>0</v>
      </c>
      <c r="K10" s="50">
        <v>2</v>
      </c>
      <c r="L10" s="50">
        <v>0</v>
      </c>
      <c r="M10" s="50">
        <v>190</v>
      </c>
      <c r="N10" s="50">
        <v>0</v>
      </c>
      <c r="O10" s="15">
        <f t="shared" ref="O10:O57" si="0">SUM(C10:L10,N10)</f>
        <v>230</v>
      </c>
      <c r="P10" s="15">
        <f t="shared" ref="P10:P57" si="1">SUM(C10:N10)</f>
        <v>420</v>
      </c>
      <c r="R10" s="1" t="s">
        <v>6</v>
      </c>
      <c r="S10" s="17">
        <f t="shared" ref="S10:AF10" si="2">SUM(C10:C13)</f>
        <v>451</v>
      </c>
      <c r="T10" s="17">
        <f t="shared" si="2"/>
        <v>39</v>
      </c>
      <c r="U10" s="17">
        <f t="shared" si="2"/>
        <v>40</v>
      </c>
      <c r="V10" s="17">
        <f t="shared" si="2"/>
        <v>200</v>
      </c>
      <c r="W10" s="17">
        <f t="shared" si="2"/>
        <v>15</v>
      </c>
      <c r="X10" s="17">
        <f t="shared" si="2"/>
        <v>3</v>
      </c>
      <c r="Y10" s="17">
        <f t="shared" si="2"/>
        <v>46</v>
      </c>
      <c r="Z10" s="17">
        <f t="shared" si="2"/>
        <v>10</v>
      </c>
      <c r="AA10" s="17">
        <f t="shared" si="2"/>
        <v>6</v>
      </c>
      <c r="AB10" s="17">
        <f t="shared" si="2"/>
        <v>1</v>
      </c>
      <c r="AC10" s="17">
        <f t="shared" si="2"/>
        <v>791</v>
      </c>
      <c r="AD10" s="17">
        <f t="shared" si="2"/>
        <v>0</v>
      </c>
      <c r="AE10" s="31">
        <f t="shared" si="2"/>
        <v>811</v>
      </c>
      <c r="AF10" s="31">
        <f t="shared" si="2"/>
        <v>1602</v>
      </c>
    </row>
    <row r="11" spans="2:32" s="6" customFormat="1" ht="23.1" customHeight="1" x14ac:dyDescent="0.25">
      <c r="B11" s="23" t="s">
        <v>38</v>
      </c>
      <c r="C11" s="50">
        <v>121</v>
      </c>
      <c r="D11" s="50">
        <v>6</v>
      </c>
      <c r="E11" s="50">
        <v>7</v>
      </c>
      <c r="F11" s="50">
        <v>47</v>
      </c>
      <c r="G11" s="50">
        <v>2</v>
      </c>
      <c r="H11" s="57">
        <v>1</v>
      </c>
      <c r="I11" s="57">
        <v>8</v>
      </c>
      <c r="J11" s="50">
        <v>3</v>
      </c>
      <c r="K11" s="50">
        <v>0</v>
      </c>
      <c r="L11" s="50">
        <v>0</v>
      </c>
      <c r="M11" s="50">
        <v>201</v>
      </c>
      <c r="N11" s="50">
        <v>0</v>
      </c>
      <c r="O11" s="15">
        <f t="shared" si="0"/>
        <v>195</v>
      </c>
      <c r="P11" s="15">
        <f t="shared" si="1"/>
        <v>396</v>
      </c>
      <c r="R11" s="1" t="s">
        <v>7</v>
      </c>
      <c r="S11" s="17">
        <f t="shared" ref="S11:AF11" si="3">SUM(C14:C17)</f>
        <v>297</v>
      </c>
      <c r="T11" s="17">
        <f t="shared" si="3"/>
        <v>31</v>
      </c>
      <c r="U11" s="17">
        <f t="shared" si="3"/>
        <v>23</v>
      </c>
      <c r="V11" s="17">
        <f t="shared" si="3"/>
        <v>173</v>
      </c>
      <c r="W11" s="17">
        <f t="shared" si="3"/>
        <v>1</v>
      </c>
      <c r="X11" s="17">
        <f t="shared" si="3"/>
        <v>1</v>
      </c>
      <c r="Y11" s="17">
        <f t="shared" si="3"/>
        <v>45</v>
      </c>
      <c r="Z11" s="17">
        <f t="shared" si="3"/>
        <v>4</v>
      </c>
      <c r="AA11" s="17">
        <f t="shared" si="3"/>
        <v>5</v>
      </c>
      <c r="AB11" s="17">
        <f t="shared" si="3"/>
        <v>0</v>
      </c>
      <c r="AC11" s="17">
        <f t="shared" si="3"/>
        <v>756</v>
      </c>
      <c r="AD11" s="17">
        <f t="shared" si="3"/>
        <v>0</v>
      </c>
      <c r="AE11" s="31">
        <f t="shared" si="3"/>
        <v>580</v>
      </c>
      <c r="AF11" s="31">
        <f t="shared" si="3"/>
        <v>1336</v>
      </c>
    </row>
    <row r="12" spans="2:32" ht="23.1" customHeight="1" x14ac:dyDescent="0.25">
      <c r="B12" s="23" t="s">
        <v>39</v>
      </c>
      <c r="C12" s="50">
        <v>105</v>
      </c>
      <c r="D12" s="50">
        <v>9</v>
      </c>
      <c r="E12" s="50">
        <v>10</v>
      </c>
      <c r="F12" s="50">
        <v>54</v>
      </c>
      <c r="G12" s="50">
        <v>1</v>
      </c>
      <c r="H12" s="57">
        <v>0</v>
      </c>
      <c r="I12" s="57">
        <v>16</v>
      </c>
      <c r="J12" s="50">
        <v>4</v>
      </c>
      <c r="K12" s="50">
        <v>4</v>
      </c>
      <c r="L12" s="50">
        <v>0</v>
      </c>
      <c r="M12" s="50">
        <v>218</v>
      </c>
      <c r="N12" s="50">
        <v>0</v>
      </c>
      <c r="O12" s="15">
        <f t="shared" si="0"/>
        <v>203</v>
      </c>
      <c r="P12" s="15">
        <f t="shared" si="1"/>
        <v>421</v>
      </c>
      <c r="R12" s="1" t="s">
        <v>8</v>
      </c>
      <c r="S12" s="17">
        <f t="shared" ref="S12:AF12" si="4">SUM(C18:C21)</f>
        <v>243</v>
      </c>
      <c r="T12" s="17">
        <f t="shared" si="4"/>
        <v>33</v>
      </c>
      <c r="U12" s="17">
        <f t="shared" si="4"/>
        <v>27</v>
      </c>
      <c r="V12" s="17">
        <f t="shared" si="4"/>
        <v>170</v>
      </c>
      <c r="W12" s="17">
        <f t="shared" si="4"/>
        <v>1</v>
      </c>
      <c r="X12" s="17">
        <f t="shared" si="4"/>
        <v>0</v>
      </c>
      <c r="Y12" s="17">
        <f t="shared" si="4"/>
        <v>40</v>
      </c>
      <c r="Z12" s="17">
        <f t="shared" si="4"/>
        <v>9</v>
      </c>
      <c r="AA12" s="17">
        <f t="shared" si="4"/>
        <v>13</v>
      </c>
      <c r="AB12" s="17">
        <f t="shared" si="4"/>
        <v>0</v>
      </c>
      <c r="AC12" s="17">
        <f t="shared" si="4"/>
        <v>515</v>
      </c>
      <c r="AD12" s="17">
        <f t="shared" si="4"/>
        <v>0</v>
      </c>
      <c r="AE12" s="31">
        <f t="shared" si="4"/>
        <v>536</v>
      </c>
      <c r="AF12" s="31">
        <f t="shared" si="4"/>
        <v>1051</v>
      </c>
    </row>
    <row r="13" spans="2:32" ht="23.1" customHeight="1" x14ac:dyDescent="0.25">
      <c r="B13" s="23" t="s">
        <v>40</v>
      </c>
      <c r="C13" s="50">
        <v>95</v>
      </c>
      <c r="D13" s="50">
        <v>11</v>
      </c>
      <c r="E13" s="50">
        <v>14</v>
      </c>
      <c r="F13" s="50">
        <v>46</v>
      </c>
      <c r="G13" s="50">
        <v>1</v>
      </c>
      <c r="H13" s="57">
        <v>1</v>
      </c>
      <c r="I13" s="57">
        <v>11</v>
      </c>
      <c r="J13" s="50">
        <v>3</v>
      </c>
      <c r="K13" s="50">
        <v>0</v>
      </c>
      <c r="L13" s="50">
        <v>1</v>
      </c>
      <c r="M13" s="50">
        <v>182</v>
      </c>
      <c r="N13" s="50">
        <v>0</v>
      </c>
      <c r="O13" s="15">
        <f t="shared" si="0"/>
        <v>183</v>
      </c>
      <c r="P13" s="15">
        <f t="shared" si="1"/>
        <v>365</v>
      </c>
      <c r="R13" s="1" t="s">
        <v>9</v>
      </c>
      <c r="S13" s="17">
        <f t="shared" ref="S13:AF13" si="5">SUM(C22:C25)</f>
        <v>203</v>
      </c>
      <c r="T13" s="17">
        <f t="shared" si="5"/>
        <v>27</v>
      </c>
      <c r="U13" s="17">
        <f t="shared" si="5"/>
        <v>20</v>
      </c>
      <c r="V13" s="17">
        <f t="shared" si="5"/>
        <v>132</v>
      </c>
      <c r="W13" s="17">
        <f t="shared" si="5"/>
        <v>1</v>
      </c>
      <c r="X13" s="17">
        <f t="shared" si="5"/>
        <v>2</v>
      </c>
      <c r="Y13" s="17">
        <f t="shared" si="5"/>
        <v>31</v>
      </c>
      <c r="Z13" s="17">
        <f t="shared" si="5"/>
        <v>9</v>
      </c>
      <c r="AA13" s="17">
        <f t="shared" si="5"/>
        <v>2</v>
      </c>
      <c r="AB13" s="17">
        <f t="shared" si="5"/>
        <v>0</v>
      </c>
      <c r="AC13" s="17">
        <f t="shared" si="5"/>
        <v>391</v>
      </c>
      <c r="AD13" s="17">
        <f t="shared" si="5"/>
        <v>0</v>
      </c>
      <c r="AE13" s="31">
        <f t="shared" si="5"/>
        <v>427</v>
      </c>
      <c r="AF13" s="31">
        <f t="shared" si="5"/>
        <v>818</v>
      </c>
    </row>
    <row r="14" spans="2:32" ht="23.1" customHeight="1" x14ac:dyDescent="0.25">
      <c r="B14" s="23" t="s">
        <v>41</v>
      </c>
      <c r="C14" s="50">
        <v>84</v>
      </c>
      <c r="D14" s="50">
        <v>3</v>
      </c>
      <c r="E14" s="50">
        <v>9</v>
      </c>
      <c r="F14" s="50">
        <v>52</v>
      </c>
      <c r="G14" s="50">
        <v>1</v>
      </c>
      <c r="H14" s="57">
        <v>0</v>
      </c>
      <c r="I14" s="57">
        <v>11</v>
      </c>
      <c r="J14" s="50">
        <v>2</v>
      </c>
      <c r="K14" s="50">
        <v>2</v>
      </c>
      <c r="L14" s="50">
        <v>0</v>
      </c>
      <c r="M14" s="50">
        <v>195</v>
      </c>
      <c r="N14" s="50">
        <v>0</v>
      </c>
      <c r="O14" s="15">
        <f t="shared" si="0"/>
        <v>164</v>
      </c>
      <c r="P14" s="15">
        <f t="shared" si="1"/>
        <v>359</v>
      </c>
      <c r="R14" s="1" t="s">
        <v>10</v>
      </c>
      <c r="S14" s="17">
        <f t="shared" ref="S14:AF14" si="6">SUM(C26:C29)</f>
        <v>156</v>
      </c>
      <c r="T14" s="17">
        <f t="shared" si="6"/>
        <v>26</v>
      </c>
      <c r="U14" s="17">
        <f t="shared" si="6"/>
        <v>17</v>
      </c>
      <c r="V14" s="17">
        <f t="shared" si="6"/>
        <v>132</v>
      </c>
      <c r="W14" s="17">
        <f t="shared" si="6"/>
        <v>5</v>
      </c>
      <c r="X14" s="17">
        <f t="shared" si="6"/>
        <v>0</v>
      </c>
      <c r="Y14" s="17">
        <f t="shared" si="6"/>
        <v>53</v>
      </c>
      <c r="Z14" s="17">
        <f t="shared" si="6"/>
        <v>10</v>
      </c>
      <c r="AA14" s="17">
        <f t="shared" si="6"/>
        <v>13</v>
      </c>
      <c r="AB14" s="17">
        <f t="shared" si="6"/>
        <v>0</v>
      </c>
      <c r="AC14" s="17">
        <f t="shared" si="6"/>
        <v>470</v>
      </c>
      <c r="AD14" s="17">
        <f t="shared" si="6"/>
        <v>0</v>
      </c>
      <c r="AE14" s="31">
        <f t="shared" si="6"/>
        <v>412</v>
      </c>
      <c r="AF14" s="31">
        <f t="shared" si="6"/>
        <v>882</v>
      </c>
    </row>
    <row r="15" spans="2:32" ht="23.1" customHeight="1" x14ac:dyDescent="0.25">
      <c r="B15" s="23" t="s">
        <v>42</v>
      </c>
      <c r="C15" s="50">
        <v>72</v>
      </c>
      <c r="D15" s="50">
        <v>11</v>
      </c>
      <c r="E15" s="50">
        <v>6</v>
      </c>
      <c r="F15" s="50">
        <v>36</v>
      </c>
      <c r="G15" s="50">
        <v>0</v>
      </c>
      <c r="H15" s="57">
        <v>0</v>
      </c>
      <c r="I15" s="57">
        <v>10</v>
      </c>
      <c r="J15" s="50">
        <v>0</v>
      </c>
      <c r="K15" s="50">
        <v>2</v>
      </c>
      <c r="L15" s="50">
        <v>0</v>
      </c>
      <c r="M15" s="50">
        <v>160</v>
      </c>
      <c r="N15" s="50">
        <v>0</v>
      </c>
      <c r="O15" s="15">
        <f t="shared" si="0"/>
        <v>137</v>
      </c>
      <c r="P15" s="15">
        <f t="shared" si="1"/>
        <v>297</v>
      </c>
      <c r="R15" s="1" t="s">
        <v>11</v>
      </c>
      <c r="S15" s="17">
        <f t="shared" ref="S15:AF15" si="7">SUM(C30:C33)</f>
        <v>163</v>
      </c>
      <c r="T15" s="17">
        <f t="shared" si="7"/>
        <v>17</v>
      </c>
      <c r="U15" s="17">
        <f t="shared" si="7"/>
        <v>18</v>
      </c>
      <c r="V15" s="17">
        <f t="shared" si="7"/>
        <v>126</v>
      </c>
      <c r="W15" s="17">
        <f t="shared" si="7"/>
        <v>3</v>
      </c>
      <c r="X15" s="17">
        <f t="shared" si="7"/>
        <v>2</v>
      </c>
      <c r="Y15" s="17">
        <f t="shared" si="7"/>
        <v>38</v>
      </c>
      <c r="Z15" s="17">
        <f t="shared" si="7"/>
        <v>10</v>
      </c>
      <c r="AA15" s="17">
        <f t="shared" si="7"/>
        <v>14</v>
      </c>
      <c r="AB15" s="17">
        <f t="shared" si="7"/>
        <v>1</v>
      </c>
      <c r="AC15" s="17">
        <f t="shared" si="7"/>
        <v>348</v>
      </c>
      <c r="AD15" s="17">
        <f t="shared" si="7"/>
        <v>0</v>
      </c>
      <c r="AE15" s="31">
        <f t="shared" si="7"/>
        <v>392</v>
      </c>
      <c r="AF15" s="31">
        <f t="shared" si="7"/>
        <v>740</v>
      </c>
    </row>
    <row r="16" spans="2:32" ht="23.1" customHeight="1" x14ac:dyDescent="0.25">
      <c r="B16" s="23" t="s">
        <v>43</v>
      </c>
      <c r="C16" s="50">
        <v>73</v>
      </c>
      <c r="D16" s="50">
        <v>11</v>
      </c>
      <c r="E16" s="50">
        <v>5</v>
      </c>
      <c r="F16" s="50">
        <v>48</v>
      </c>
      <c r="G16" s="50">
        <v>0</v>
      </c>
      <c r="H16" s="57">
        <v>1</v>
      </c>
      <c r="I16" s="57">
        <v>10</v>
      </c>
      <c r="J16" s="50">
        <v>2</v>
      </c>
      <c r="K16" s="50">
        <v>0</v>
      </c>
      <c r="L16" s="50">
        <v>0</v>
      </c>
      <c r="M16" s="50">
        <v>199</v>
      </c>
      <c r="N16" s="50">
        <v>0</v>
      </c>
      <c r="O16" s="15">
        <f t="shared" si="0"/>
        <v>150</v>
      </c>
      <c r="P16" s="15">
        <f t="shared" si="1"/>
        <v>349</v>
      </c>
      <c r="R16" s="1" t="s">
        <v>12</v>
      </c>
      <c r="S16" s="17">
        <f t="shared" ref="S16:AF16" si="8">SUM(C34:C37)</f>
        <v>196</v>
      </c>
      <c r="T16" s="17">
        <f t="shared" si="8"/>
        <v>22</v>
      </c>
      <c r="U16" s="17">
        <f t="shared" si="8"/>
        <v>20</v>
      </c>
      <c r="V16" s="17">
        <f t="shared" si="8"/>
        <v>126</v>
      </c>
      <c r="W16" s="17">
        <f t="shared" si="8"/>
        <v>2</v>
      </c>
      <c r="X16" s="17">
        <f t="shared" si="8"/>
        <v>1</v>
      </c>
      <c r="Y16" s="17">
        <f t="shared" si="8"/>
        <v>29</v>
      </c>
      <c r="Z16" s="17">
        <f t="shared" si="8"/>
        <v>14</v>
      </c>
      <c r="AA16" s="17">
        <f t="shared" si="8"/>
        <v>6</v>
      </c>
      <c r="AB16" s="17">
        <f t="shared" si="8"/>
        <v>0</v>
      </c>
      <c r="AC16" s="17">
        <f t="shared" si="8"/>
        <v>294</v>
      </c>
      <c r="AD16" s="17">
        <f t="shared" si="8"/>
        <v>0</v>
      </c>
      <c r="AE16" s="31">
        <f t="shared" si="8"/>
        <v>416</v>
      </c>
      <c r="AF16" s="31">
        <f t="shared" si="8"/>
        <v>710</v>
      </c>
    </row>
    <row r="17" spans="2:32" ht="23.1" customHeight="1" x14ac:dyDescent="0.25">
      <c r="B17" s="23" t="s">
        <v>44</v>
      </c>
      <c r="C17" s="50">
        <v>68</v>
      </c>
      <c r="D17" s="50">
        <v>6</v>
      </c>
      <c r="E17" s="50">
        <v>3</v>
      </c>
      <c r="F17" s="50">
        <v>37</v>
      </c>
      <c r="G17" s="50">
        <v>0</v>
      </c>
      <c r="H17" s="57">
        <v>0</v>
      </c>
      <c r="I17" s="57">
        <v>14</v>
      </c>
      <c r="J17" s="50">
        <v>0</v>
      </c>
      <c r="K17" s="50">
        <v>1</v>
      </c>
      <c r="L17" s="50">
        <v>0</v>
      </c>
      <c r="M17" s="50">
        <v>202</v>
      </c>
      <c r="N17" s="50">
        <v>0</v>
      </c>
      <c r="O17" s="15">
        <f t="shared" si="0"/>
        <v>129</v>
      </c>
      <c r="P17" s="15">
        <f t="shared" si="1"/>
        <v>331</v>
      </c>
      <c r="R17" s="1" t="s">
        <v>13</v>
      </c>
      <c r="S17" s="17">
        <f t="shared" ref="S17:AF17" si="9">SUM(C38:C41)</f>
        <v>176</v>
      </c>
      <c r="T17" s="17">
        <f t="shared" si="9"/>
        <v>30</v>
      </c>
      <c r="U17" s="17">
        <f t="shared" si="9"/>
        <v>19</v>
      </c>
      <c r="V17" s="17">
        <f t="shared" si="9"/>
        <v>126</v>
      </c>
      <c r="W17" s="17">
        <f t="shared" si="9"/>
        <v>2</v>
      </c>
      <c r="X17" s="17">
        <f t="shared" si="9"/>
        <v>1</v>
      </c>
      <c r="Y17" s="17">
        <f t="shared" si="9"/>
        <v>41</v>
      </c>
      <c r="Z17" s="17">
        <f t="shared" si="9"/>
        <v>19</v>
      </c>
      <c r="AA17" s="17">
        <f t="shared" si="9"/>
        <v>10</v>
      </c>
      <c r="AB17" s="17">
        <f t="shared" si="9"/>
        <v>1</v>
      </c>
      <c r="AC17" s="17">
        <f t="shared" si="9"/>
        <v>248</v>
      </c>
      <c r="AD17" s="17">
        <f t="shared" si="9"/>
        <v>0</v>
      </c>
      <c r="AE17" s="31">
        <f t="shared" si="9"/>
        <v>425</v>
      </c>
      <c r="AF17" s="31">
        <f t="shared" si="9"/>
        <v>673</v>
      </c>
    </row>
    <row r="18" spans="2:32" ht="23.1" customHeight="1" x14ac:dyDescent="0.25">
      <c r="B18" s="23" t="s">
        <v>45</v>
      </c>
      <c r="C18" s="50">
        <v>73</v>
      </c>
      <c r="D18" s="50">
        <v>6</v>
      </c>
      <c r="E18" s="50">
        <v>8</v>
      </c>
      <c r="F18" s="50">
        <v>39</v>
      </c>
      <c r="G18" s="50">
        <v>1</v>
      </c>
      <c r="H18" s="57">
        <v>0</v>
      </c>
      <c r="I18" s="57">
        <v>7</v>
      </c>
      <c r="J18" s="50">
        <v>6</v>
      </c>
      <c r="K18" s="50">
        <v>5</v>
      </c>
      <c r="L18" s="50">
        <v>0</v>
      </c>
      <c r="M18" s="50">
        <v>130</v>
      </c>
      <c r="N18" s="50">
        <v>0</v>
      </c>
      <c r="O18" s="15">
        <f t="shared" si="0"/>
        <v>145</v>
      </c>
      <c r="P18" s="15">
        <f t="shared" si="1"/>
        <v>275</v>
      </c>
      <c r="R18" s="1" t="s">
        <v>14</v>
      </c>
      <c r="S18" s="17">
        <f t="shared" ref="S18:AF18" si="10">SUM(C42:C45)</f>
        <v>206</v>
      </c>
      <c r="T18" s="17">
        <f t="shared" si="10"/>
        <v>23</v>
      </c>
      <c r="U18" s="17">
        <f t="shared" si="10"/>
        <v>89</v>
      </c>
      <c r="V18" s="17">
        <f t="shared" si="10"/>
        <v>104</v>
      </c>
      <c r="W18" s="17">
        <f t="shared" si="10"/>
        <v>2</v>
      </c>
      <c r="X18" s="17">
        <f t="shared" si="10"/>
        <v>2</v>
      </c>
      <c r="Y18" s="17">
        <f t="shared" si="10"/>
        <v>41</v>
      </c>
      <c r="Z18" s="17">
        <f t="shared" si="10"/>
        <v>17</v>
      </c>
      <c r="AA18" s="17">
        <f t="shared" si="10"/>
        <v>9</v>
      </c>
      <c r="AB18" s="17">
        <f t="shared" si="10"/>
        <v>2</v>
      </c>
      <c r="AC18" s="17">
        <f t="shared" si="10"/>
        <v>265</v>
      </c>
      <c r="AD18" s="17">
        <f t="shared" si="10"/>
        <v>0</v>
      </c>
      <c r="AE18" s="31">
        <f t="shared" si="10"/>
        <v>495</v>
      </c>
      <c r="AF18" s="31">
        <f t="shared" si="10"/>
        <v>760</v>
      </c>
    </row>
    <row r="19" spans="2:32" ht="23.1" customHeight="1" x14ac:dyDescent="0.25">
      <c r="B19" s="23" t="s">
        <v>46</v>
      </c>
      <c r="C19" s="50">
        <v>63</v>
      </c>
      <c r="D19" s="50">
        <v>9</v>
      </c>
      <c r="E19" s="50">
        <v>11</v>
      </c>
      <c r="F19" s="50">
        <v>55</v>
      </c>
      <c r="G19" s="50">
        <v>0</v>
      </c>
      <c r="H19" s="57">
        <v>0</v>
      </c>
      <c r="I19" s="57">
        <v>6</v>
      </c>
      <c r="J19" s="50">
        <v>0</v>
      </c>
      <c r="K19" s="50">
        <v>7</v>
      </c>
      <c r="L19" s="50">
        <v>0</v>
      </c>
      <c r="M19" s="50">
        <v>117</v>
      </c>
      <c r="N19" s="50">
        <v>0</v>
      </c>
      <c r="O19" s="15">
        <f t="shared" si="0"/>
        <v>151</v>
      </c>
      <c r="P19" s="15">
        <f t="shared" si="1"/>
        <v>268</v>
      </c>
      <c r="R19" s="1" t="s">
        <v>15</v>
      </c>
      <c r="S19" s="17">
        <f t="shared" ref="S19:AF19" si="11">SUM(C46:C49)</f>
        <v>190</v>
      </c>
      <c r="T19" s="17">
        <f t="shared" si="11"/>
        <v>35</v>
      </c>
      <c r="U19" s="17">
        <f t="shared" si="11"/>
        <v>20</v>
      </c>
      <c r="V19" s="17">
        <f t="shared" si="11"/>
        <v>134</v>
      </c>
      <c r="W19" s="17">
        <f t="shared" si="11"/>
        <v>5</v>
      </c>
      <c r="X19" s="17">
        <f t="shared" si="11"/>
        <v>2</v>
      </c>
      <c r="Y19" s="17">
        <f t="shared" si="11"/>
        <v>36</v>
      </c>
      <c r="Z19" s="17">
        <f t="shared" si="11"/>
        <v>22</v>
      </c>
      <c r="AA19" s="17">
        <f t="shared" si="11"/>
        <v>10</v>
      </c>
      <c r="AB19" s="17">
        <f t="shared" si="11"/>
        <v>1</v>
      </c>
      <c r="AC19" s="17">
        <f t="shared" si="11"/>
        <v>342</v>
      </c>
      <c r="AD19" s="17">
        <f t="shared" si="11"/>
        <v>0</v>
      </c>
      <c r="AE19" s="31">
        <f t="shared" si="11"/>
        <v>455</v>
      </c>
      <c r="AF19" s="31">
        <f t="shared" si="11"/>
        <v>797</v>
      </c>
    </row>
    <row r="20" spans="2:32" ht="23.1" customHeight="1" x14ac:dyDescent="0.25">
      <c r="B20" s="23" t="s">
        <v>47</v>
      </c>
      <c r="C20" s="50">
        <v>50</v>
      </c>
      <c r="D20" s="50">
        <v>10</v>
      </c>
      <c r="E20" s="50">
        <v>5</v>
      </c>
      <c r="F20" s="50">
        <v>39</v>
      </c>
      <c r="G20" s="50">
        <v>0</v>
      </c>
      <c r="H20" s="57">
        <v>0</v>
      </c>
      <c r="I20" s="57">
        <v>13</v>
      </c>
      <c r="J20" s="50">
        <v>0</v>
      </c>
      <c r="K20" s="50">
        <v>0</v>
      </c>
      <c r="L20" s="50">
        <v>0</v>
      </c>
      <c r="M20" s="50">
        <v>129</v>
      </c>
      <c r="N20" s="50">
        <v>0</v>
      </c>
      <c r="O20" s="15">
        <f t="shared" si="0"/>
        <v>117</v>
      </c>
      <c r="P20" s="15">
        <f t="shared" si="1"/>
        <v>246</v>
      </c>
      <c r="R20" s="1" t="s">
        <v>16</v>
      </c>
      <c r="S20" s="17">
        <f t="shared" ref="S20:AF20" si="12">SUM(C50:C53)</f>
        <v>261</v>
      </c>
      <c r="T20" s="17">
        <f t="shared" si="12"/>
        <v>32</v>
      </c>
      <c r="U20" s="17">
        <f t="shared" si="12"/>
        <v>41</v>
      </c>
      <c r="V20" s="17">
        <f t="shared" si="12"/>
        <v>191</v>
      </c>
      <c r="W20" s="17">
        <f t="shared" si="12"/>
        <v>2</v>
      </c>
      <c r="X20" s="17">
        <f t="shared" si="12"/>
        <v>2</v>
      </c>
      <c r="Y20" s="17">
        <f t="shared" si="12"/>
        <v>39</v>
      </c>
      <c r="Z20" s="17">
        <f t="shared" si="12"/>
        <v>17</v>
      </c>
      <c r="AA20" s="17">
        <f t="shared" si="12"/>
        <v>6</v>
      </c>
      <c r="AB20" s="17">
        <f t="shared" si="12"/>
        <v>0</v>
      </c>
      <c r="AC20" s="17">
        <f t="shared" si="12"/>
        <v>397</v>
      </c>
      <c r="AD20" s="17">
        <f t="shared" si="12"/>
        <v>0</v>
      </c>
      <c r="AE20" s="31">
        <f t="shared" si="12"/>
        <v>591</v>
      </c>
      <c r="AF20" s="31">
        <f t="shared" si="12"/>
        <v>988</v>
      </c>
    </row>
    <row r="21" spans="2:32" ht="23.1" customHeight="1" x14ac:dyDescent="0.25">
      <c r="B21" s="23" t="s">
        <v>48</v>
      </c>
      <c r="C21" s="50">
        <v>57</v>
      </c>
      <c r="D21" s="50">
        <v>8</v>
      </c>
      <c r="E21" s="50">
        <v>3</v>
      </c>
      <c r="F21" s="50">
        <v>37</v>
      </c>
      <c r="G21" s="50">
        <v>0</v>
      </c>
      <c r="H21" s="57">
        <v>0</v>
      </c>
      <c r="I21" s="57">
        <v>14</v>
      </c>
      <c r="J21" s="50">
        <v>3</v>
      </c>
      <c r="K21" s="50">
        <v>1</v>
      </c>
      <c r="L21" s="50">
        <v>0</v>
      </c>
      <c r="M21" s="50">
        <v>139</v>
      </c>
      <c r="N21" s="50">
        <v>0</v>
      </c>
      <c r="O21" s="15">
        <f t="shared" si="0"/>
        <v>123</v>
      </c>
      <c r="P21" s="15">
        <f t="shared" si="1"/>
        <v>262</v>
      </c>
      <c r="R21" s="36" t="s">
        <v>20</v>
      </c>
      <c r="S21" s="34">
        <f t="shared" ref="S21:AF21" si="13">SUM(C54:C57)</f>
        <v>277</v>
      </c>
      <c r="T21" s="17">
        <f t="shared" si="13"/>
        <v>39</v>
      </c>
      <c r="U21" s="17">
        <f t="shared" si="13"/>
        <v>40</v>
      </c>
      <c r="V21" s="17">
        <f t="shared" si="13"/>
        <v>208</v>
      </c>
      <c r="W21" s="17">
        <f t="shared" si="13"/>
        <v>12</v>
      </c>
      <c r="X21" s="17">
        <f t="shared" si="13"/>
        <v>1</v>
      </c>
      <c r="Y21" s="17">
        <f t="shared" si="13"/>
        <v>32</v>
      </c>
      <c r="Z21" s="17">
        <f t="shared" si="13"/>
        <v>15</v>
      </c>
      <c r="AA21" s="17">
        <f t="shared" si="13"/>
        <v>9</v>
      </c>
      <c r="AB21" s="17">
        <f t="shared" si="13"/>
        <v>0</v>
      </c>
      <c r="AC21" s="17">
        <f t="shared" si="13"/>
        <v>382</v>
      </c>
      <c r="AD21" s="17">
        <f t="shared" si="13"/>
        <v>0</v>
      </c>
      <c r="AE21" s="31">
        <f t="shared" si="13"/>
        <v>633</v>
      </c>
      <c r="AF21" s="31">
        <f t="shared" si="13"/>
        <v>1015</v>
      </c>
    </row>
    <row r="22" spans="2:32" ht="23.1" customHeight="1" x14ac:dyDescent="0.25">
      <c r="B22" s="23" t="s">
        <v>49</v>
      </c>
      <c r="C22" s="50">
        <v>67</v>
      </c>
      <c r="D22" s="50">
        <v>6</v>
      </c>
      <c r="E22" s="50">
        <v>4</v>
      </c>
      <c r="F22" s="50">
        <v>33</v>
      </c>
      <c r="G22" s="50">
        <v>1</v>
      </c>
      <c r="H22" s="57">
        <v>2</v>
      </c>
      <c r="I22" s="57">
        <v>9</v>
      </c>
      <c r="J22" s="50">
        <v>2</v>
      </c>
      <c r="K22" s="50">
        <v>0</v>
      </c>
      <c r="L22" s="50">
        <v>0</v>
      </c>
      <c r="M22" s="50">
        <v>80</v>
      </c>
      <c r="N22" s="50">
        <v>0</v>
      </c>
      <c r="O22" s="15">
        <f t="shared" si="0"/>
        <v>124</v>
      </c>
      <c r="P22" s="15">
        <f t="shared" si="1"/>
        <v>204</v>
      </c>
      <c r="R22" s="38" t="s">
        <v>90</v>
      </c>
      <c r="S22" s="39">
        <f>MAX(S10:S12)</f>
        <v>451</v>
      </c>
      <c r="T22" s="39">
        <f t="shared" ref="T22:AF22" si="14">MAX(T10:T12)</f>
        <v>39</v>
      </c>
      <c r="U22" s="39">
        <f t="shared" si="14"/>
        <v>40</v>
      </c>
      <c r="V22" s="39">
        <f t="shared" si="14"/>
        <v>200</v>
      </c>
      <c r="W22" s="39">
        <f t="shared" si="14"/>
        <v>15</v>
      </c>
      <c r="X22" s="39">
        <f t="shared" si="14"/>
        <v>3</v>
      </c>
      <c r="Y22" s="39">
        <f t="shared" si="14"/>
        <v>46</v>
      </c>
      <c r="Z22" s="39">
        <f t="shared" si="14"/>
        <v>10</v>
      </c>
      <c r="AA22" s="39">
        <f t="shared" si="14"/>
        <v>13</v>
      </c>
      <c r="AB22" s="39">
        <f t="shared" si="14"/>
        <v>1</v>
      </c>
      <c r="AC22" s="39">
        <f t="shared" si="14"/>
        <v>791</v>
      </c>
      <c r="AD22" s="39">
        <f t="shared" si="14"/>
        <v>0</v>
      </c>
      <c r="AE22" s="40">
        <f t="shared" si="14"/>
        <v>811</v>
      </c>
      <c r="AF22" s="40">
        <f t="shared" si="14"/>
        <v>1602</v>
      </c>
    </row>
    <row r="23" spans="2:32" ht="23.1" customHeight="1" x14ac:dyDescent="0.25">
      <c r="B23" s="23" t="s">
        <v>50</v>
      </c>
      <c r="C23" s="50">
        <v>46</v>
      </c>
      <c r="D23" s="50">
        <v>7</v>
      </c>
      <c r="E23" s="50">
        <v>5</v>
      </c>
      <c r="F23" s="50">
        <v>32</v>
      </c>
      <c r="G23" s="50">
        <v>0</v>
      </c>
      <c r="H23" s="57">
        <v>0</v>
      </c>
      <c r="I23" s="57">
        <v>6</v>
      </c>
      <c r="J23" s="50">
        <v>1</v>
      </c>
      <c r="K23" s="50">
        <v>2</v>
      </c>
      <c r="L23" s="50">
        <v>0</v>
      </c>
      <c r="M23" s="50">
        <v>123</v>
      </c>
      <c r="N23" s="50">
        <v>0</v>
      </c>
      <c r="O23" s="15">
        <f t="shared" si="0"/>
        <v>99</v>
      </c>
      <c r="P23" s="15">
        <f t="shared" si="1"/>
        <v>222</v>
      </c>
      <c r="R23" s="38" t="s">
        <v>91</v>
      </c>
      <c r="S23" s="39">
        <f>MAX(S13:S18)</f>
        <v>206</v>
      </c>
      <c r="T23" s="39">
        <f t="shared" ref="T23:AF23" si="15">MAX(T13:T18)</f>
        <v>30</v>
      </c>
      <c r="U23" s="39">
        <f t="shared" si="15"/>
        <v>89</v>
      </c>
      <c r="V23" s="39">
        <f t="shared" si="15"/>
        <v>132</v>
      </c>
      <c r="W23" s="39">
        <f t="shared" si="15"/>
        <v>5</v>
      </c>
      <c r="X23" s="39">
        <f t="shared" si="15"/>
        <v>2</v>
      </c>
      <c r="Y23" s="39">
        <f t="shared" si="15"/>
        <v>53</v>
      </c>
      <c r="Z23" s="39">
        <f t="shared" si="15"/>
        <v>19</v>
      </c>
      <c r="AA23" s="39">
        <f t="shared" si="15"/>
        <v>14</v>
      </c>
      <c r="AB23" s="39">
        <f t="shared" si="15"/>
        <v>2</v>
      </c>
      <c r="AC23" s="39">
        <f t="shared" si="15"/>
        <v>470</v>
      </c>
      <c r="AD23" s="39">
        <f t="shared" si="15"/>
        <v>0</v>
      </c>
      <c r="AE23" s="40">
        <f t="shared" si="15"/>
        <v>495</v>
      </c>
      <c r="AF23" s="40">
        <f t="shared" si="15"/>
        <v>882</v>
      </c>
    </row>
    <row r="24" spans="2:32" ht="23.1" customHeight="1" x14ac:dyDescent="0.25">
      <c r="B24" s="23" t="s">
        <v>51</v>
      </c>
      <c r="C24" s="50">
        <v>50</v>
      </c>
      <c r="D24" s="50">
        <v>7</v>
      </c>
      <c r="E24" s="50">
        <v>6</v>
      </c>
      <c r="F24" s="50">
        <v>39</v>
      </c>
      <c r="G24" s="50">
        <v>0</v>
      </c>
      <c r="H24" s="57">
        <v>0</v>
      </c>
      <c r="I24" s="57">
        <v>5</v>
      </c>
      <c r="J24" s="50">
        <v>4</v>
      </c>
      <c r="K24" s="50">
        <v>0</v>
      </c>
      <c r="L24" s="50">
        <v>0</v>
      </c>
      <c r="M24" s="50">
        <v>92</v>
      </c>
      <c r="N24" s="50">
        <v>0</v>
      </c>
      <c r="O24" s="15">
        <f t="shared" si="0"/>
        <v>111</v>
      </c>
      <c r="P24" s="15">
        <f t="shared" si="1"/>
        <v>203</v>
      </c>
      <c r="R24" s="38" t="s">
        <v>92</v>
      </c>
      <c r="S24" s="39">
        <f>MAX(S19:S21)</f>
        <v>277</v>
      </c>
      <c r="T24" s="39">
        <f t="shared" ref="T24:AF24" si="16">MAX(T19:T21)</f>
        <v>39</v>
      </c>
      <c r="U24" s="39">
        <f t="shared" si="16"/>
        <v>41</v>
      </c>
      <c r="V24" s="39">
        <f t="shared" si="16"/>
        <v>208</v>
      </c>
      <c r="W24" s="39">
        <f t="shared" si="16"/>
        <v>12</v>
      </c>
      <c r="X24" s="39">
        <f t="shared" si="16"/>
        <v>2</v>
      </c>
      <c r="Y24" s="39">
        <f t="shared" si="16"/>
        <v>39</v>
      </c>
      <c r="Z24" s="39">
        <f t="shared" si="16"/>
        <v>22</v>
      </c>
      <c r="AA24" s="39">
        <f t="shared" si="16"/>
        <v>10</v>
      </c>
      <c r="AB24" s="39">
        <f t="shared" si="16"/>
        <v>1</v>
      </c>
      <c r="AC24" s="39">
        <f t="shared" si="16"/>
        <v>397</v>
      </c>
      <c r="AD24" s="39">
        <f t="shared" si="16"/>
        <v>0</v>
      </c>
      <c r="AE24" s="40">
        <f t="shared" si="16"/>
        <v>633</v>
      </c>
      <c r="AF24" s="40">
        <f t="shared" si="16"/>
        <v>1015</v>
      </c>
    </row>
    <row r="25" spans="2:32" ht="23.1" customHeight="1" x14ac:dyDescent="0.25">
      <c r="B25" s="23" t="s">
        <v>52</v>
      </c>
      <c r="C25" s="50">
        <v>40</v>
      </c>
      <c r="D25" s="50">
        <v>7</v>
      </c>
      <c r="E25" s="50">
        <v>5</v>
      </c>
      <c r="F25" s="50">
        <v>28</v>
      </c>
      <c r="G25" s="50">
        <v>0</v>
      </c>
      <c r="H25" s="57">
        <v>0</v>
      </c>
      <c r="I25" s="57">
        <v>11</v>
      </c>
      <c r="J25" s="50">
        <v>2</v>
      </c>
      <c r="K25" s="50">
        <v>0</v>
      </c>
      <c r="L25" s="50">
        <v>0</v>
      </c>
      <c r="M25" s="50">
        <v>96</v>
      </c>
      <c r="N25" s="50">
        <v>0</v>
      </c>
      <c r="O25" s="15">
        <f t="shared" si="0"/>
        <v>93</v>
      </c>
      <c r="P25" s="15">
        <f t="shared" si="1"/>
        <v>189</v>
      </c>
      <c r="R25" s="37" t="s">
        <v>85</v>
      </c>
      <c r="S25" s="35">
        <f t="shared" ref="S25:AF25" si="17">SUM(S10:S12)</f>
        <v>991</v>
      </c>
      <c r="T25" s="16">
        <f t="shared" si="17"/>
        <v>103</v>
      </c>
      <c r="U25" s="16">
        <f t="shared" si="17"/>
        <v>90</v>
      </c>
      <c r="V25" s="16">
        <f t="shared" si="17"/>
        <v>543</v>
      </c>
      <c r="W25" s="16">
        <f t="shared" si="17"/>
        <v>17</v>
      </c>
      <c r="X25" s="16">
        <f t="shared" si="17"/>
        <v>4</v>
      </c>
      <c r="Y25" s="16">
        <f t="shared" si="17"/>
        <v>131</v>
      </c>
      <c r="Z25" s="16">
        <f t="shared" si="17"/>
        <v>23</v>
      </c>
      <c r="AA25" s="16">
        <f t="shared" si="17"/>
        <v>24</v>
      </c>
      <c r="AB25" s="16">
        <f t="shared" si="17"/>
        <v>1</v>
      </c>
      <c r="AC25" s="16">
        <f t="shared" si="17"/>
        <v>2062</v>
      </c>
      <c r="AD25" s="16">
        <f t="shared" si="17"/>
        <v>0</v>
      </c>
      <c r="AE25" s="32">
        <f t="shared" si="17"/>
        <v>1927</v>
      </c>
      <c r="AF25" s="32">
        <f t="shared" si="17"/>
        <v>3989</v>
      </c>
    </row>
    <row r="26" spans="2:32" ht="23.1" customHeight="1" x14ac:dyDescent="0.25">
      <c r="B26" s="23" t="s">
        <v>53</v>
      </c>
      <c r="C26" s="50">
        <v>34</v>
      </c>
      <c r="D26" s="50">
        <v>6</v>
      </c>
      <c r="E26" s="50">
        <v>4</v>
      </c>
      <c r="F26" s="50">
        <v>34</v>
      </c>
      <c r="G26" s="50">
        <v>2</v>
      </c>
      <c r="H26" s="57">
        <v>0</v>
      </c>
      <c r="I26" s="57">
        <v>16</v>
      </c>
      <c r="J26" s="50">
        <v>2</v>
      </c>
      <c r="K26" s="50">
        <v>2</v>
      </c>
      <c r="L26" s="50">
        <v>0</v>
      </c>
      <c r="M26" s="50">
        <v>120</v>
      </c>
      <c r="N26" s="50">
        <v>0</v>
      </c>
      <c r="O26" s="15">
        <f t="shared" si="0"/>
        <v>100</v>
      </c>
      <c r="P26" s="15">
        <f t="shared" si="1"/>
        <v>220</v>
      </c>
      <c r="R26" s="28" t="s">
        <v>86</v>
      </c>
      <c r="S26" s="16">
        <f t="shared" ref="S26:AF26" si="18">SUM(S13:S18)</f>
        <v>1100</v>
      </c>
      <c r="T26" s="16">
        <f t="shared" si="18"/>
        <v>145</v>
      </c>
      <c r="U26" s="16">
        <f t="shared" si="18"/>
        <v>183</v>
      </c>
      <c r="V26" s="16">
        <f t="shared" si="18"/>
        <v>746</v>
      </c>
      <c r="W26" s="16">
        <f t="shared" si="18"/>
        <v>15</v>
      </c>
      <c r="X26" s="16">
        <f t="shared" si="18"/>
        <v>8</v>
      </c>
      <c r="Y26" s="16">
        <f t="shared" si="18"/>
        <v>233</v>
      </c>
      <c r="Z26" s="16">
        <f t="shared" si="18"/>
        <v>79</v>
      </c>
      <c r="AA26" s="16">
        <f t="shared" si="18"/>
        <v>54</v>
      </c>
      <c r="AB26" s="16">
        <f t="shared" si="18"/>
        <v>4</v>
      </c>
      <c r="AC26" s="16">
        <f t="shared" si="18"/>
        <v>2016</v>
      </c>
      <c r="AD26" s="16">
        <f t="shared" si="18"/>
        <v>0</v>
      </c>
      <c r="AE26" s="32">
        <f t="shared" si="18"/>
        <v>2567</v>
      </c>
      <c r="AF26" s="32">
        <f t="shared" si="18"/>
        <v>4583</v>
      </c>
    </row>
    <row r="27" spans="2:32" ht="23.1" customHeight="1" x14ac:dyDescent="0.25">
      <c r="B27" s="23" t="s">
        <v>54</v>
      </c>
      <c r="C27" s="50">
        <v>45</v>
      </c>
      <c r="D27" s="50">
        <v>10</v>
      </c>
      <c r="E27" s="50">
        <v>8</v>
      </c>
      <c r="F27" s="50">
        <v>35</v>
      </c>
      <c r="G27" s="50">
        <v>1</v>
      </c>
      <c r="H27" s="57">
        <v>0</v>
      </c>
      <c r="I27" s="57">
        <v>11</v>
      </c>
      <c r="J27" s="50">
        <v>2</v>
      </c>
      <c r="K27" s="50">
        <v>4</v>
      </c>
      <c r="L27" s="50">
        <v>0</v>
      </c>
      <c r="M27" s="50">
        <v>121</v>
      </c>
      <c r="N27" s="50">
        <v>0</v>
      </c>
      <c r="O27" s="15">
        <f t="shared" si="0"/>
        <v>116</v>
      </c>
      <c r="P27" s="15">
        <f t="shared" si="1"/>
        <v>237</v>
      </c>
      <c r="R27" s="29" t="s">
        <v>87</v>
      </c>
      <c r="S27" s="16">
        <f t="shared" ref="S27:AF27" si="19">SUM(S19:S21)</f>
        <v>728</v>
      </c>
      <c r="T27" s="16">
        <f t="shared" si="19"/>
        <v>106</v>
      </c>
      <c r="U27" s="16">
        <f t="shared" si="19"/>
        <v>101</v>
      </c>
      <c r="V27" s="16">
        <f t="shared" si="19"/>
        <v>533</v>
      </c>
      <c r="W27" s="16">
        <f t="shared" si="19"/>
        <v>19</v>
      </c>
      <c r="X27" s="16">
        <f t="shared" si="19"/>
        <v>5</v>
      </c>
      <c r="Y27" s="16">
        <f t="shared" si="19"/>
        <v>107</v>
      </c>
      <c r="Z27" s="16">
        <f t="shared" si="19"/>
        <v>54</v>
      </c>
      <c r="AA27" s="16">
        <f t="shared" si="19"/>
        <v>25</v>
      </c>
      <c r="AB27" s="16">
        <f t="shared" si="19"/>
        <v>1</v>
      </c>
      <c r="AC27" s="16">
        <f t="shared" si="19"/>
        <v>1121</v>
      </c>
      <c r="AD27" s="16">
        <f t="shared" si="19"/>
        <v>0</v>
      </c>
      <c r="AE27" s="32">
        <f t="shared" si="19"/>
        <v>1679</v>
      </c>
      <c r="AF27" s="32">
        <f t="shared" si="19"/>
        <v>2800</v>
      </c>
    </row>
    <row r="28" spans="2:32" ht="23.1" customHeight="1" x14ac:dyDescent="0.25">
      <c r="B28" s="23" t="s">
        <v>55</v>
      </c>
      <c r="C28" s="50">
        <v>28</v>
      </c>
      <c r="D28" s="50">
        <v>5</v>
      </c>
      <c r="E28" s="50">
        <v>3</v>
      </c>
      <c r="F28" s="50">
        <v>30</v>
      </c>
      <c r="G28" s="50">
        <v>1</v>
      </c>
      <c r="H28" s="57">
        <v>0</v>
      </c>
      <c r="I28" s="57">
        <v>11</v>
      </c>
      <c r="J28" s="50">
        <v>5</v>
      </c>
      <c r="K28" s="50">
        <v>2</v>
      </c>
      <c r="L28" s="50">
        <v>0</v>
      </c>
      <c r="M28" s="50">
        <v>114</v>
      </c>
      <c r="N28" s="50">
        <v>0</v>
      </c>
      <c r="O28" s="15">
        <f t="shared" si="0"/>
        <v>85</v>
      </c>
      <c r="P28" s="15">
        <f t="shared" si="1"/>
        <v>199</v>
      </c>
      <c r="R28" s="5" t="s">
        <v>17</v>
      </c>
      <c r="S28" s="16">
        <f t="shared" ref="S28:AF28" si="20">SUM(S10:S21)</f>
        <v>2819</v>
      </c>
      <c r="T28" s="16">
        <f t="shared" si="20"/>
        <v>354</v>
      </c>
      <c r="U28" s="16">
        <f t="shared" si="20"/>
        <v>374</v>
      </c>
      <c r="V28" s="16">
        <f t="shared" si="20"/>
        <v>1822</v>
      </c>
      <c r="W28" s="16">
        <f t="shared" si="20"/>
        <v>51</v>
      </c>
      <c r="X28" s="16">
        <f t="shared" si="20"/>
        <v>17</v>
      </c>
      <c r="Y28" s="16">
        <f t="shared" si="20"/>
        <v>471</v>
      </c>
      <c r="Z28" s="16">
        <f t="shared" si="20"/>
        <v>156</v>
      </c>
      <c r="AA28" s="16">
        <f t="shared" si="20"/>
        <v>103</v>
      </c>
      <c r="AB28" s="16">
        <f t="shared" si="20"/>
        <v>6</v>
      </c>
      <c r="AC28" s="16">
        <f t="shared" si="20"/>
        <v>5199</v>
      </c>
      <c r="AD28" s="16">
        <f t="shared" si="20"/>
        <v>0</v>
      </c>
      <c r="AE28" s="32">
        <f t="shared" si="20"/>
        <v>6173</v>
      </c>
      <c r="AF28" s="32">
        <f t="shared" si="20"/>
        <v>11372</v>
      </c>
    </row>
    <row r="29" spans="2:32" ht="23.1" customHeight="1" x14ac:dyDescent="0.25">
      <c r="B29" s="23" t="s">
        <v>56</v>
      </c>
      <c r="C29" s="50">
        <v>49</v>
      </c>
      <c r="D29" s="50">
        <v>5</v>
      </c>
      <c r="E29" s="50">
        <v>2</v>
      </c>
      <c r="F29" s="50">
        <v>33</v>
      </c>
      <c r="G29" s="50">
        <v>1</v>
      </c>
      <c r="H29" s="57">
        <v>0</v>
      </c>
      <c r="I29" s="57">
        <v>15</v>
      </c>
      <c r="J29" s="50">
        <v>1</v>
      </c>
      <c r="K29" s="50">
        <v>5</v>
      </c>
      <c r="L29" s="50">
        <v>0</v>
      </c>
      <c r="M29" s="50">
        <v>115</v>
      </c>
      <c r="N29" s="50">
        <v>0</v>
      </c>
      <c r="O29" s="15">
        <f t="shared" si="0"/>
        <v>111</v>
      </c>
      <c r="P29" s="15">
        <f t="shared" si="1"/>
        <v>226</v>
      </c>
      <c r="R29"/>
      <c r="S29" s="20"/>
      <c r="T29" s="19"/>
    </row>
    <row r="30" spans="2:32" ht="23.1" customHeight="1" x14ac:dyDescent="0.25">
      <c r="B30" s="23" t="s">
        <v>57</v>
      </c>
      <c r="C30" s="50">
        <v>44</v>
      </c>
      <c r="D30" s="50">
        <v>3</v>
      </c>
      <c r="E30" s="50">
        <v>5</v>
      </c>
      <c r="F30" s="50">
        <v>34</v>
      </c>
      <c r="G30" s="50">
        <v>0</v>
      </c>
      <c r="H30" s="57">
        <v>1</v>
      </c>
      <c r="I30" s="57">
        <v>11</v>
      </c>
      <c r="J30" s="50">
        <v>1</v>
      </c>
      <c r="K30" s="50">
        <v>4</v>
      </c>
      <c r="L30" s="50">
        <v>0</v>
      </c>
      <c r="M30" s="50">
        <v>98</v>
      </c>
      <c r="N30" s="50">
        <v>0</v>
      </c>
      <c r="O30" s="15">
        <f t="shared" si="0"/>
        <v>103</v>
      </c>
      <c r="P30" s="15">
        <f t="shared" si="1"/>
        <v>201</v>
      </c>
    </row>
    <row r="31" spans="2:32" ht="23.1" customHeight="1" x14ac:dyDescent="0.25">
      <c r="B31" s="24" t="s">
        <v>58</v>
      </c>
      <c r="C31" s="50">
        <v>34</v>
      </c>
      <c r="D31" s="50">
        <v>6</v>
      </c>
      <c r="E31" s="50">
        <v>4</v>
      </c>
      <c r="F31" s="50">
        <v>31</v>
      </c>
      <c r="G31" s="50">
        <v>0</v>
      </c>
      <c r="H31" s="57">
        <v>0</v>
      </c>
      <c r="I31" s="57">
        <v>9</v>
      </c>
      <c r="J31" s="50">
        <v>1</v>
      </c>
      <c r="K31" s="50">
        <v>3</v>
      </c>
      <c r="L31" s="50">
        <v>1</v>
      </c>
      <c r="M31" s="50">
        <v>73</v>
      </c>
      <c r="N31" s="50">
        <v>0</v>
      </c>
      <c r="O31" s="15">
        <f t="shared" si="0"/>
        <v>89</v>
      </c>
      <c r="P31" s="15">
        <f t="shared" si="1"/>
        <v>162</v>
      </c>
    </row>
    <row r="32" spans="2:32" ht="23.1" customHeight="1" x14ac:dyDescent="0.25">
      <c r="B32" s="24" t="s">
        <v>59</v>
      </c>
      <c r="C32" s="50">
        <v>47</v>
      </c>
      <c r="D32" s="50">
        <v>5</v>
      </c>
      <c r="E32" s="50">
        <v>4</v>
      </c>
      <c r="F32" s="50">
        <v>29</v>
      </c>
      <c r="G32" s="50">
        <v>0</v>
      </c>
      <c r="H32" s="57">
        <v>0</v>
      </c>
      <c r="I32" s="57">
        <v>13</v>
      </c>
      <c r="J32" s="50">
        <v>3</v>
      </c>
      <c r="K32" s="50">
        <v>3</v>
      </c>
      <c r="L32" s="50">
        <v>0</v>
      </c>
      <c r="M32" s="50">
        <v>80</v>
      </c>
      <c r="N32" s="50">
        <v>0</v>
      </c>
      <c r="O32" s="15">
        <f t="shared" si="0"/>
        <v>104</v>
      </c>
      <c r="P32" s="15">
        <f t="shared" si="1"/>
        <v>184</v>
      </c>
    </row>
    <row r="33" spans="2:20" ht="23.1" customHeight="1" x14ac:dyDescent="0.25">
      <c r="B33" s="23" t="s">
        <v>60</v>
      </c>
      <c r="C33" s="50">
        <v>38</v>
      </c>
      <c r="D33" s="50">
        <v>3</v>
      </c>
      <c r="E33" s="50">
        <v>5</v>
      </c>
      <c r="F33" s="50">
        <v>32</v>
      </c>
      <c r="G33" s="50">
        <v>3</v>
      </c>
      <c r="H33" s="57">
        <v>1</v>
      </c>
      <c r="I33" s="57">
        <v>5</v>
      </c>
      <c r="J33" s="50">
        <v>5</v>
      </c>
      <c r="K33" s="50">
        <v>4</v>
      </c>
      <c r="L33" s="50">
        <v>0</v>
      </c>
      <c r="M33" s="50">
        <v>97</v>
      </c>
      <c r="N33" s="50">
        <v>0</v>
      </c>
      <c r="O33" s="15">
        <f t="shared" si="0"/>
        <v>96</v>
      </c>
      <c r="P33" s="15">
        <f t="shared" si="1"/>
        <v>193</v>
      </c>
    </row>
    <row r="34" spans="2:20" ht="23.1" customHeight="1" x14ac:dyDescent="0.25">
      <c r="B34" s="24" t="s">
        <v>61</v>
      </c>
      <c r="C34" s="50">
        <v>43</v>
      </c>
      <c r="D34" s="50">
        <v>3</v>
      </c>
      <c r="E34" s="50">
        <v>3</v>
      </c>
      <c r="F34" s="50">
        <v>35</v>
      </c>
      <c r="G34" s="50">
        <v>0</v>
      </c>
      <c r="H34" s="57">
        <v>1</v>
      </c>
      <c r="I34" s="57">
        <v>9</v>
      </c>
      <c r="J34" s="50">
        <v>5</v>
      </c>
      <c r="K34" s="50">
        <v>2</v>
      </c>
      <c r="L34" s="50">
        <v>0</v>
      </c>
      <c r="M34" s="50">
        <v>73</v>
      </c>
      <c r="N34" s="50">
        <v>0</v>
      </c>
      <c r="O34" s="15">
        <f t="shared" si="0"/>
        <v>101</v>
      </c>
      <c r="P34" s="15">
        <f t="shared" si="1"/>
        <v>174</v>
      </c>
    </row>
    <row r="35" spans="2:20" ht="23.1" customHeight="1" x14ac:dyDescent="0.25">
      <c r="B35" s="24" t="s">
        <v>62</v>
      </c>
      <c r="C35" s="50">
        <v>57</v>
      </c>
      <c r="D35" s="50">
        <v>7</v>
      </c>
      <c r="E35" s="50">
        <v>8</v>
      </c>
      <c r="F35" s="50">
        <v>35</v>
      </c>
      <c r="G35" s="50">
        <v>0</v>
      </c>
      <c r="H35" s="57">
        <v>0</v>
      </c>
      <c r="I35" s="57">
        <v>8</v>
      </c>
      <c r="J35" s="50">
        <v>3</v>
      </c>
      <c r="K35" s="50">
        <v>2</v>
      </c>
      <c r="L35" s="50">
        <v>0</v>
      </c>
      <c r="M35" s="50">
        <v>81</v>
      </c>
      <c r="N35" s="50">
        <v>0</v>
      </c>
      <c r="O35" s="15">
        <f t="shared" si="0"/>
        <v>120</v>
      </c>
      <c r="P35" s="15">
        <f t="shared" si="1"/>
        <v>201</v>
      </c>
    </row>
    <row r="36" spans="2:20" ht="23.1" customHeight="1" x14ac:dyDescent="0.25">
      <c r="B36" s="24" t="s">
        <v>63</v>
      </c>
      <c r="C36" s="50">
        <v>57</v>
      </c>
      <c r="D36" s="50">
        <v>6</v>
      </c>
      <c r="E36" s="50">
        <v>2</v>
      </c>
      <c r="F36" s="50">
        <v>29</v>
      </c>
      <c r="G36" s="50">
        <v>0</v>
      </c>
      <c r="H36" s="57">
        <v>0</v>
      </c>
      <c r="I36" s="57">
        <v>6</v>
      </c>
      <c r="J36" s="50">
        <v>1</v>
      </c>
      <c r="K36" s="50">
        <v>1</v>
      </c>
      <c r="L36" s="50">
        <v>0</v>
      </c>
      <c r="M36" s="50">
        <v>80</v>
      </c>
      <c r="N36" s="50">
        <v>0</v>
      </c>
      <c r="O36" s="15">
        <f t="shared" si="0"/>
        <v>102</v>
      </c>
      <c r="P36" s="15">
        <f t="shared" si="1"/>
        <v>182</v>
      </c>
    </row>
    <row r="37" spans="2:20" ht="23.1" customHeight="1" x14ac:dyDescent="0.25">
      <c r="B37" s="23" t="s">
        <v>64</v>
      </c>
      <c r="C37" s="50">
        <v>39</v>
      </c>
      <c r="D37" s="50">
        <v>6</v>
      </c>
      <c r="E37" s="50">
        <v>7</v>
      </c>
      <c r="F37" s="50">
        <v>27</v>
      </c>
      <c r="G37" s="50">
        <v>2</v>
      </c>
      <c r="H37" s="57">
        <v>0</v>
      </c>
      <c r="I37" s="57">
        <v>6</v>
      </c>
      <c r="J37" s="50">
        <v>5</v>
      </c>
      <c r="K37" s="50">
        <v>1</v>
      </c>
      <c r="L37" s="50">
        <v>0</v>
      </c>
      <c r="M37" s="50">
        <v>60</v>
      </c>
      <c r="N37" s="50">
        <v>0</v>
      </c>
      <c r="O37" s="15">
        <f t="shared" si="0"/>
        <v>93</v>
      </c>
      <c r="P37" s="15">
        <f t="shared" si="1"/>
        <v>153</v>
      </c>
    </row>
    <row r="38" spans="2:20" ht="23.1" customHeight="1" x14ac:dyDescent="0.25">
      <c r="B38" s="24" t="s">
        <v>65</v>
      </c>
      <c r="C38" s="50">
        <v>37</v>
      </c>
      <c r="D38" s="50">
        <v>10</v>
      </c>
      <c r="E38" s="50">
        <v>4</v>
      </c>
      <c r="F38" s="50">
        <v>31</v>
      </c>
      <c r="G38" s="50">
        <v>0</v>
      </c>
      <c r="H38" s="57">
        <v>1</v>
      </c>
      <c r="I38" s="57">
        <v>17</v>
      </c>
      <c r="J38" s="50">
        <v>6</v>
      </c>
      <c r="K38" s="50">
        <v>1</v>
      </c>
      <c r="L38" s="50">
        <v>0</v>
      </c>
      <c r="M38" s="50">
        <v>70</v>
      </c>
      <c r="N38" s="50">
        <v>0</v>
      </c>
      <c r="O38" s="15">
        <f t="shared" si="0"/>
        <v>107</v>
      </c>
      <c r="P38" s="15">
        <f t="shared" si="1"/>
        <v>177</v>
      </c>
    </row>
    <row r="39" spans="2:20" ht="23.1" customHeight="1" x14ac:dyDescent="0.25">
      <c r="B39" s="24" t="s">
        <v>66</v>
      </c>
      <c r="C39" s="50">
        <v>40</v>
      </c>
      <c r="D39" s="50">
        <v>6</v>
      </c>
      <c r="E39" s="50">
        <v>2</v>
      </c>
      <c r="F39" s="50">
        <v>31</v>
      </c>
      <c r="G39" s="50">
        <v>1</v>
      </c>
      <c r="H39" s="57">
        <v>0</v>
      </c>
      <c r="I39" s="57">
        <v>7</v>
      </c>
      <c r="J39" s="50">
        <v>1</v>
      </c>
      <c r="K39" s="50">
        <v>2</v>
      </c>
      <c r="L39" s="50">
        <v>0</v>
      </c>
      <c r="M39" s="50">
        <v>44</v>
      </c>
      <c r="N39" s="50">
        <v>0</v>
      </c>
      <c r="O39" s="15">
        <f t="shared" si="0"/>
        <v>90</v>
      </c>
      <c r="P39" s="15">
        <f t="shared" si="1"/>
        <v>134</v>
      </c>
    </row>
    <row r="40" spans="2:20" ht="23.1" customHeight="1" x14ac:dyDescent="0.25">
      <c r="B40" s="24" t="s">
        <v>67</v>
      </c>
      <c r="C40" s="50">
        <v>56</v>
      </c>
      <c r="D40" s="50">
        <v>7</v>
      </c>
      <c r="E40" s="50">
        <v>6</v>
      </c>
      <c r="F40" s="50">
        <v>35</v>
      </c>
      <c r="G40" s="50">
        <v>0</v>
      </c>
      <c r="H40" s="57">
        <v>0</v>
      </c>
      <c r="I40" s="57">
        <v>10</v>
      </c>
      <c r="J40" s="50">
        <v>6</v>
      </c>
      <c r="K40" s="50">
        <v>1</v>
      </c>
      <c r="L40" s="50">
        <v>0</v>
      </c>
      <c r="M40" s="50">
        <v>70</v>
      </c>
      <c r="N40" s="50">
        <v>0</v>
      </c>
      <c r="O40" s="15">
        <f t="shared" si="0"/>
        <v>121</v>
      </c>
      <c r="P40" s="15">
        <f t="shared" si="1"/>
        <v>191</v>
      </c>
    </row>
    <row r="41" spans="2:20" ht="23.1" customHeight="1" x14ac:dyDescent="0.25">
      <c r="B41" s="23" t="s">
        <v>68</v>
      </c>
      <c r="C41" s="50">
        <v>43</v>
      </c>
      <c r="D41" s="50">
        <v>7</v>
      </c>
      <c r="E41" s="50">
        <v>7</v>
      </c>
      <c r="F41" s="50">
        <v>29</v>
      </c>
      <c r="G41" s="50">
        <v>1</v>
      </c>
      <c r="H41" s="57">
        <v>0</v>
      </c>
      <c r="I41" s="57">
        <v>7</v>
      </c>
      <c r="J41" s="50">
        <v>6</v>
      </c>
      <c r="K41" s="50">
        <v>6</v>
      </c>
      <c r="L41" s="50">
        <v>1</v>
      </c>
      <c r="M41" s="50">
        <v>64</v>
      </c>
      <c r="N41" s="50">
        <v>0</v>
      </c>
      <c r="O41" s="15">
        <f t="shared" si="0"/>
        <v>107</v>
      </c>
      <c r="P41" s="15">
        <f t="shared" si="1"/>
        <v>171</v>
      </c>
    </row>
    <row r="42" spans="2:20" ht="23.1" customHeight="1" x14ac:dyDescent="0.25">
      <c r="B42" s="24" t="s">
        <v>69</v>
      </c>
      <c r="C42" s="50">
        <v>51</v>
      </c>
      <c r="D42" s="50">
        <v>2</v>
      </c>
      <c r="E42" s="50">
        <v>10</v>
      </c>
      <c r="F42" s="50">
        <v>26</v>
      </c>
      <c r="G42" s="50">
        <v>0</v>
      </c>
      <c r="H42" s="57">
        <v>2</v>
      </c>
      <c r="I42" s="57">
        <v>11</v>
      </c>
      <c r="J42" s="50">
        <v>5</v>
      </c>
      <c r="K42" s="50">
        <v>1</v>
      </c>
      <c r="L42" s="50">
        <v>0</v>
      </c>
      <c r="M42" s="50">
        <v>63</v>
      </c>
      <c r="N42" s="50">
        <v>0</v>
      </c>
      <c r="O42" s="15">
        <f t="shared" si="0"/>
        <v>108</v>
      </c>
      <c r="P42" s="15">
        <f t="shared" si="1"/>
        <v>171</v>
      </c>
    </row>
    <row r="43" spans="2:20" ht="23.1" customHeight="1" x14ac:dyDescent="0.25">
      <c r="B43" s="23" t="s">
        <v>70</v>
      </c>
      <c r="C43" s="50">
        <v>53</v>
      </c>
      <c r="D43" s="50">
        <v>7</v>
      </c>
      <c r="E43" s="50">
        <v>4</v>
      </c>
      <c r="F43" s="50">
        <v>17</v>
      </c>
      <c r="G43" s="50">
        <v>0</v>
      </c>
      <c r="H43" s="57">
        <v>0</v>
      </c>
      <c r="I43" s="57">
        <v>10</v>
      </c>
      <c r="J43" s="50">
        <v>4</v>
      </c>
      <c r="K43" s="50">
        <v>2</v>
      </c>
      <c r="L43" s="50">
        <v>0</v>
      </c>
      <c r="M43" s="50">
        <v>72</v>
      </c>
      <c r="N43" s="50">
        <v>0</v>
      </c>
      <c r="O43" s="15">
        <f t="shared" si="0"/>
        <v>97</v>
      </c>
      <c r="P43" s="15">
        <f t="shared" si="1"/>
        <v>169</v>
      </c>
    </row>
    <row r="44" spans="2:20" ht="23.1" customHeight="1" x14ac:dyDescent="0.25">
      <c r="B44" s="25" t="s">
        <v>71</v>
      </c>
      <c r="C44" s="50">
        <v>45</v>
      </c>
      <c r="D44" s="50">
        <v>5</v>
      </c>
      <c r="E44" s="50">
        <v>4</v>
      </c>
      <c r="F44" s="50">
        <v>27</v>
      </c>
      <c r="G44" s="50">
        <v>0</v>
      </c>
      <c r="H44" s="57">
        <v>0</v>
      </c>
      <c r="I44" s="57">
        <v>11</v>
      </c>
      <c r="J44" s="50">
        <v>4</v>
      </c>
      <c r="K44" s="50">
        <v>6</v>
      </c>
      <c r="L44" s="50">
        <v>2</v>
      </c>
      <c r="M44" s="50">
        <v>72</v>
      </c>
      <c r="N44" s="50">
        <v>0</v>
      </c>
      <c r="O44" s="15">
        <f t="shared" si="0"/>
        <v>104</v>
      </c>
      <c r="P44" s="15">
        <f t="shared" si="1"/>
        <v>176</v>
      </c>
    </row>
    <row r="45" spans="2:20" ht="23.1" customHeight="1" x14ac:dyDescent="0.25">
      <c r="B45" s="23" t="s">
        <v>72</v>
      </c>
      <c r="C45" s="50">
        <v>57</v>
      </c>
      <c r="D45" s="50">
        <v>9</v>
      </c>
      <c r="E45" s="50">
        <v>71</v>
      </c>
      <c r="F45" s="50">
        <v>34</v>
      </c>
      <c r="G45" s="50">
        <v>2</v>
      </c>
      <c r="H45" s="57">
        <v>0</v>
      </c>
      <c r="I45" s="57">
        <v>9</v>
      </c>
      <c r="J45" s="50">
        <v>4</v>
      </c>
      <c r="K45" s="50">
        <v>0</v>
      </c>
      <c r="L45" s="50">
        <v>0</v>
      </c>
      <c r="M45" s="50">
        <v>58</v>
      </c>
      <c r="N45" s="50">
        <v>0</v>
      </c>
      <c r="O45" s="15">
        <f t="shared" si="0"/>
        <v>186</v>
      </c>
      <c r="P45" s="15">
        <f t="shared" si="1"/>
        <v>244</v>
      </c>
    </row>
    <row r="46" spans="2:20" ht="23.1" customHeight="1" x14ac:dyDescent="0.25">
      <c r="B46" s="24" t="s">
        <v>73</v>
      </c>
      <c r="C46" s="50">
        <v>42</v>
      </c>
      <c r="D46" s="50">
        <v>6</v>
      </c>
      <c r="E46" s="50">
        <v>4</v>
      </c>
      <c r="F46" s="50">
        <v>35</v>
      </c>
      <c r="G46" s="50">
        <v>1</v>
      </c>
      <c r="H46" s="57">
        <v>2</v>
      </c>
      <c r="I46" s="57">
        <v>9</v>
      </c>
      <c r="J46" s="50">
        <v>5</v>
      </c>
      <c r="K46" s="50">
        <v>2</v>
      </c>
      <c r="L46" s="50">
        <v>0</v>
      </c>
      <c r="M46" s="50">
        <v>81</v>
      </c>
      <c r="N46" s="50">
        <v>0</v>
      </c>
      <c r="O46" s="15">
        <f t="shared" si="0"/>
        <v>106</v>
      </c>
      <c r="P46" s="15">
        <f t="shared" si="1"/>
        <v>187</v>
      </c>
      <c r="R46" s="8"/>
      <c r="T46"/>
    </row>
    <row r="47" spans="2:20" ht="23.1" customHeight="1" x14ac:dyDescent="0.25">
      <c r="B47" s="24" t="s">
        <v>74</v>
      </c>
      <c r="C47" s="50">
        <v>52</v>
      </c>
      <c r="D47" s="50">
        <v>12</v>
      </c>
      <c r="E47" s="50">
        <v>6</v>
      </c>
      <c r="F47" s="50">
        <v>31</v>
      </c>
      <c r="G47" s="50">
        <v>0</v>
      </c>
      <c r="H47" s="57">
        <v>0</v>
      </c>
      <c r="I47" s="57">
        <v>7</v>
      </c>
      <c r="J47" s="50">
        <v>5</v>
      </c>
      <c r="K47" s="50">
        <v>0</v>
      </c>
      <c r="L47" s="50">
        <v>0</v>
      </c>
      <c r="M47" s="50">
        <v>79</v>
      </c>
      <c r="N47" s="50">
        <v>0</v>
      </c>
      <c r="O47" s="15">
        <f t="shared" si="0"/>
        <v>113</v>
      </c>
      <c r="P47" s="15">
        <f t="shared" si="1"/>
        <v>192</v>
      </c>
      <c r="R47" s="8"/>
      <c r="T47"/>
    </row>
    <row r="48" spans="2:20" ht="23.1" customHeight="1" x14ac:dyDescent="0.25">
      <c r="B48" s="24" t="s">
        <v>75</v>
      </c>
      <c r="C48" s="50">
        <v>51</v>
      </c>
      <c r="D48" s="50">
        <v>10</v>
      </c>
      <c r="E48" s="50">
        <v>6</v>
      </c>
      <c r="F48" s="50">
        <v>38</v>
      </c>
      <c r="G48" s="50">
        <v>2</v>
      </c>
      <c r="H48" s="57">
        <v>0</v>
      </c>
      <c r="I48" s="57">
        <v>11</v>
      </c>
      <c r="J48" s="50">
        <v>6</v>
      </c>
      <c r="K48" s="50">
        <v>4</v>
      </c>
      <c r="L48" s="50">
        <v>0</v>
      </c>
      <c r="M48" s="50">
        <v>84</v>
      </c>
      <c r="N48" s="50">
        <v>0</v>
      </c>
      <c r="O48" s="15">
        <f t="shared" si="0"/>
        <v>128</v>
      </c>
      <c r="P48" s="15">
        <f t="shared" si="1"/>
        <v>212</v>
      </c>
      <c r="R48" s="8"/>
      <c r="T48"/>
    </row>
    <row r="49" spans="2:20" ht="23.1" customHeight="1" x14ac:dyDescent="0.25">
      <c r="B49" s="23" t="s">
        <v>76</v>
      </c>
      <c r="C49" s="50">
        <v>45</v>
      </c>
      <c r="D49" s="50">
        <v>7</v>
      </c>
      <c r="E49" s="50">
        <v>4</v>
      </c>
      <c r="F49" s="50">
        <v>30</v>
      </c>
      <c r="G49" s="50">
        <v>2</v>
      </c>
      <c r="H49" s="57">
        <v>0</v>
      </c>
      <c r="I49" s="57">
        <v>9</v>
      </c>
      <c r="J49" s="50">
        <v>6</v>
      </c>
      <c r="K49" s="50">
        <v>4</v>
      </c>
      <c r="L49" s="50">
        <v>1</v>
      </c>
      <c r="M49" s="50">
        <v>98</v>
      </c>
      <c r="N49" s="50">
        <v>0</v>
      </c>
      <c r="O49" s="15">
        <f t="shared" si="0"/>
        <v>108</v>
      </c>
      <c r="P49" s="15">
        <f t="shared" si="1"/>
        <v>206</v>
      </c>
      <c r="R49" s="8"/>
      <c r="T49"/>
    </row>
    <row r="50" spans="2:20" ht="23.1" customHeight="1" x14ac:dyDescent="0.25">
      <c r="B50" s="24" t="s">
        <v>77</v>
      </c>
      <c r="C50" s="50">
        <v>54</v>
      </c>
      <c r="D50" s="50">
        <v>10</v>
      </c>
      <c r="E50" s="50">
        <v>11</v>
      </c>
      <c r="F50" s="50">
        <v>41</v>
      </c>
      <c r="G50" s="50">
        <v>0</v>
      </c>
      <c r="H50" s="57">
        <v>0</v>
      </c>
      <c r="I50" s="57">
        <v>9</v>
      </c>
      <c r="J50" s="50">
        <v>10</v>
      </c>
      <c r="K50" s="50">
        <v>1</v>
      </c>
      <c r="L50" s="50">
        <v>0</v>
      </c>
      <c r="M50" s="50">
        <v>91</v>
      </c>
      <c r="N50" s="50">
        <v>0</v>
      </c>
      <c r="O50" s="15">
        <f t="shared" si="0"/>
        <v>136</v>
      </c>
      <c r="P50" s="15">
        <f t="shared" si="1"/>
        <v>227</v>
      </c>
      <c r="R50" s="8"/>
      <c r="T50"/>
    </row>
    <row r="51" spans="2:20" ht="23.1" customHeight="1" x14ac:dyDescent="0.25">
      <c r="B51" s="24" t="s">
        <v>78</v>
      </c>
      <c r="C51" s="50">
        <v>70</v>
      </c>
      <c r="D51" s="50">
        <v>9</v>
      </c>
      <c r="E51" s="50">
        <v>12</v>
      </c>
      <c r="F51" s="50">
        <v>41</v>
      </c>
      <c r="G51" s="50">
        <v>0</v>
      </c>
      <c r="H51" s="57">
        <v>1</v>
      </c>
      <c r="I51" s="57">
        <v>12</v>
      </c>
      <c r="J51" s="50">
        <v>0</v>
      </c>
      <c r="K51" s="50">
        <v>2</v>
      </c>
      <c r="L51" s="50">
        <v>0</v>
      </c>
      <c r="M51" s="50">
        <v>102</v>
      </c>
      <c r="N51" s="50">
        <v>0</v>
      </c>
      <c r="O51" s="15">
        <f t="shared" si="0"/>
        <v>147</v>
      </c>
      <c r="P51" s="15">
        <f t="shared" si="1"/>
        <v>249</v>
      </c>
      <c r="R51" s="8"/>
      <c r="T51"/>
    </row>
    <row r="52" spans="2:20" ht="23.1" customHeight="1" x14ac:dyDescent="0.25">
      <c r="B52" s="24" t="s">
        <v>79</v>
      </c>
      <c r="C52" s="50">
        <v>56</v>
      </c>
      <c r="D52" s="50">
        <v>5</v>
      </c>
      <c r="E52" s="50">
        <v>12</v>
      </c>
      <c r="F52" s="50">
        <v>56</v>
      </c>
      <c r="G52" s="50">
        <v>2</v>
      </c>
      <c r="H52" s="57">
        <v>1</v>
      </c>
      <c r="I52" s="57">
        <v>10</v>
      </c>
      <c r="J52" s="50">
        <v>4</v>
      </c>
      <c r="K52" s="50">
        <v>2</v>
      </c>
      <c r="L52" s="50">
        <v>0</v>
      </c>
      <c r="M52" s="50">
        <v>87</v>
      </c>
      <c r="N52" s="50">
        <v>0</v>
      </c>
      <c r="O52" s="15">
        <f t="shared" si="0"/>
        <v>148</v>
      </c>
      <c r="P52" s="15">
        <f t="shared" si="1"/>
        <v>235</v>
      </c>
      <c r="R52" s="8"/>
      <c r="T52"/>
    </row>
    <row r="53" spans="2:20" ht="23.1" customHeight="1" x14ac:dyDescent="0.25">
      <c r="B53" s="23" t="s">
        <v>80</v>
      </c>
      <c r="C53" s="50">
        <v>81</v>
      </c>
      <c r="D53" s="50">
        <v>8</v>
      </c>
      <c r="E53" s="50">
        <v>6</v>
      </c>
      <c r="F53" s="50">
        <v>53</v>
      </c>
      <c r="G53" s="50">
        <v>0</v>
      </c>
      <c r="H53" s="57">
        <v>0</v>
      </c>
      <c r="I53" s="57">
        <v>8</v>
      </c>
      <c r="J53" s="50">
        <v>3</v>
      </c>
      <c r="K53" s="50">
        <v>1</v>
      </c>
      <c r="L53" s="50">
        <v>0</v>
      </c>
      <c r="M53" s="50">
        <v>117</v>
      </c>
      <c r="N53" s="50">
        <v>0</v>
      </c>
      <c r="O53" s="15">
        <f t="shared" si="0"/>
        <v>160</v>
      </c>
      <c r="P53" s="15">
        <f t="shared" si="1"/>
        <v>277</v>
      </c>
      <c r="R53" s="8"/>
      <c r="T53"/>
    </row>
    <row r="54" spans="2:20" ht="23.1" customHeight="1" x14ac:dyDescent="0.25">
      <c r="B54" s="23" t="s">
        <v>81</v>
      </c>
      <c r="C54" s="50">
        <v>75</v>
      </c>
      <c r="D54" s="50">
        <v>9</v>
      </c>
      <c r="E54" s="50">
        <v>7</v>
      </c>
      <c r="F54" s="50">
        <v>50</v>
      </c>
      <c r="G54" s="50">
        <v>0</v>
      </c>
      <c r="H54" s="57">
        <v>1</v>
      </c>
      <c r="I54" s="57">
        <v>6</v>
      </c>
      <c r="J54" s="50">
        <v>6</v>
      </c>
      <c r="K54" s="50">
        <v>3</v>
      </c>
      <c r="L54" s="50">
        <v>0</v>
      </c>
      <c r="M54" s="50">
        <v>103</v>
      </c>
      <c r="N54" s="50">
        <v>0</v>
      </c>
      <c r="O54" s="15">
        <f t="shared" si="0"/>
        <v>157</v>
      </c>
      <c r="P54" s="15">
        <f t="shared" si="1"/>
        <v>260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6</v>
      </c>
      <c r="E55" s="50">
        <v>13</v>
      </c>
      <c r="F55" s="50">
        <v>51</v>
      </c>
      <c r="G55" s="50">
        <v>4</v>
      </c>
      <c r="H55" s="57">
        <v>0</v>
      </c>
      <c r="I55" s="57">
        <v>3</v>
      </c>
      <c r="J55" s="50">
        <v>4</v>
      </c>
      <c r="K55" s="50">
        <v>1</v>
      </c>
      <c r="L55" s="50">
        <v>0</v>
      </c>
      <c r="M55" s="50">
        <v>91</v>
      </c>
      <c r="N55" s="50">
        <v>0</v>
      </c>
      <c r="O55" s="15">
        <f t="shared" si="0"/>
        <v>142</v>
      </c>
      <c r="P55" s="15">
        <f t="shared" si="1"/>
        <v>233</v>
      </c>
      <c r="R55" s="8"/>
      <c r="T55"/>
    </row>
    <row r="56" spans="2:20" ht="23.1" customHeight="1" x14ac:dyDescent="0.25">
      <c r="B56" s="23" t="s">
        <v>83</v>
      </c>
      <c r="C56" s="50">
        <v>67</v>
      </c>
      <c r="D56" s="50">
        <v>9</v>
      </c>
      <c r="E56" s="50">
        <v>4</v>
      </c>
      <c r="F56" s="50">
        <v>56</v>
      </c>
      <c r="G56" s="50">
        <v>6</v>
      </c>
      <c r="H56" s="57">
        <v>0</v>
      </c>
      <c r="I56" s="57">
        <v>16</v>
      </c>
      <c r="J56" s="50">
        <v>3</v>
      </c>
      <c r="K56" s="50">
        <v>5</v>
      </c>
      <c r="L56" s="50">
        <v>0</v>
      </c>
      <c r="M56" s="50">
        <v>106</v>
      </c>
      <c r="N56" s="50">
        <v>0</v>
      </c>
      <c r="O56" s="15">
        <f t="shared" si="0"/>
        <v>166</v>
      </c>
      <c r="P56" s="15">
        <f t="shared" si="1"/>
        <v>272</v>
      </c>
      <c r="R56" s="8"/>
      <c r="T56"/>
    </row>
    <row r="57" spans="2:20" ht="23.1" customHeight="1" x14ac:dyDescent="0.25">
      <c r="B57" s="23" t="s">
        <v>84</v>
      </c>
      <c r="C57" s="50">
        <v>75</v>
      </c>
      <c r="D57" s="50">
        <v>15</v>
      </c>
      <c r="E57" s="50">
        <v>16</v>
      </c>
      <c r="F57" s="50">
        <v>51</v>
      </c>
      <c r="G57" s="50">
        <v>2</v>
      </c>
      <c r="H57" s="57">
        <v>0</v>
      </c>
      <c r="I57" s="57">
        <v>7</v>
      </c>
      <c r="J57" s="50">
        <v>2</v>
      </c>
      <c r="K57" s="50">
        <v>0</v>
      </c>
      <c r="L57" s="50">
        <v>0</v>
      </c>
      <c r="M57" s="50">
        <v>82</v>
      </c>
      <c r="N57" s="50">
        <v>0</v>
      </c>
      <c r="O57" s="15">
        <f t="shared" si="0"/>
        <v>168</v>
      </c>
      <c r="P57" s="15">
        <f t="shared" si="1"/>
        <v>250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2819</v>
      </c>
      <c r="D58" s="16">
        <f t="shared" si="21"/>
        <v>354</v>
      </c>
      <c r="E58" s="16">
        <f t="shared" si="21"/>
        <v>374</v>
      </c>
      <c r="F58" s="16">
        <f t="shared" si="21"/>
        <v>1822</v>
      </c>
      <c r="G58" s="16">
        <f t="shared" si="21"/>
        <v>51</v>
      </c>
      <c r="H58" s="58">
        <f t="shared" si="21"/>
        <v>17</v>
      </c>
      <c r="I58" s="58">
        <f t="shared" si="21"/>
        <v>471</v>
      </c>
      <c r="J58" s="16">
        <f t="shared" si="21"/>
        <v>156</v>
      </c>
      <c r="K58" s="16">
        <f t="shared" si="21"/>
        <v>103</v>
      </c>
      <c r="L58" s="16">
        <f t="shared" si="21"/>
        <v>6</v>
      </c>
      <c r="M58" s="16">
        <f t="shared" si="21"/>
        <v>5199</v>
      </c>
      <c r="N58" s="16">
        <f t="shared" si="21"/>
        <v>0</v>
      </c>
      <c r="O58" s="16">
        <f t="shared" si="21"/>
        <v>6173</v>
      </c>
      <c r="P58" s="16">
        <f t="shared" si="21"/>
        <v>11372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0.24788955328877946</v>
      </c>
      <c r="D59" s="43">
        <f t="shared" si="22"/>
        <v>3.1129088990502991E-2</v>
      </c>
      <c r="E59" s="43">
        <f t="shared" si="22"/>
        <v>3.2887794583186775E-2</v>
      </c>
      <c r="F59" s="43">
        <f t="shared" si="22"/>
        <v>0.16021807949349279</v>
      </c>
      <c r="G59" s="43">
        <f t="shared" si="22"/>
        <v>4.4846992613436507E-3</v>
      </c>
      <c r="H59" s="59">
        <f t="shared" si="22"/>
        <v>1.494899753781217E-3</v>
      </c>
      <c r="I59" s="59">
        <f t="shared" si="22"/>
        <v>4.1417516707703134E-2</v>
      </c>
      <c r="J59" s="43">
        <f t="shared" si="22"/>
        <v>1.3717903622933521E-2</v>
      </c>
      <c r="K59" s="43">
        <f t="shared" si="22"/>
        <v>9.0573338023214912E-3</v>
      </c>
      <c r="L59" s="43">
        <f t="shared" si="22"/>
        <v>5.2761167780513546E-4</v>
      </c>
      <c r="M59" s="43">
        <f t="shared" si="22"/>
        <v>0.45717551881814983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0.45666612668070627</v>
      </c>
      <c r="D60" s="44">
        <f t="shared" ref="D60:N60" si="23">D58/$O$58</f>
        <v>5.7346508990766237E-2</v>
      </c>
      <c r="E60" s="44">
        <f t="shared" si="23"/>
        <v>6.0586424752956426E-2</v>
      </c>
      <c r="F60" s="44">
        <f t="shared" si="23"/>
        <v>0.29515632593552565</v>
      </c>
      <c r="G60" s="44">
        <f t="shared" si="23"/>
        <v>8.2617851935849664E-3</v>
      </c>
      <c r="H60" s="60">
        <f t="shared" si="23"/>
        <v>2.7539283978616556E-3</v>
      </c>
      <c r="I60" s="60">
        <f t="shared" si="23"/>
        <v>7.630001619957881E-2</v>
      </c>
      <c r="J60" s="44">
        <f t="shared" si="23"/>
        <v>2.5271342945083427E-2</v>
      </c>
      <c r="K60" s="44">
        <f t="shared" si="23"/>
        <v>1.6685566175279443E-2</v>
      </c>
      <c r="L60" s="44">
        <f t="shared" si="23"/>
        <v>9.7197472865705496E-4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61"/>
      <c r="I61" s="61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61"/>
      <c r="I62" s="61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61"/>
      <c r="I63" s="61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61"/>
      <c r="I64" s="61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61"/>
      <c r="I65" s="61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61"/>
      <c r="I66" s="61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61"/>
      <c r="I67" s="61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61"/>
      <c r="I68" s="61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61"/>
      <c r="I69" s="61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61"/>
      <c r="I70" s="61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61"/>
      <c r="I71" s="61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61"/>
      <c r="I72" s="61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61"/>
      <c r="I73" s="61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61"/>
      <c r="I74" s="61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61"/>
      <c r="I75" s="61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61"/>
      <c r="I76" s="61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61"/>
      <c r="I77" s="61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61"/>
      <c r="I78" s="61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61"/>
      <c r="I79" s="61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61"/>
      <c r="I80" s="61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61"/>
      <c r="I81" s="61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61"/>
      <c r="I82" s="61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61"/>
      <c r="I83" s="61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61"/>
      <c r="I84" s="61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61"/>
      <c r="I85" s="61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61"/>
      <c r="I86" s="61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61"/>
      <c r="I87" s="61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61"/>
      <c r="I88" s="61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61"/>
      <c r="I89" s="61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61"/>
      <c r="I90" s="61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61"/>
      <c r="I91" s="61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61"/>
      <c r="I92" s="61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61"/>
      <c r="I93" s="61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61"/>
      <c r="I94" s="61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61"/>
      <c r="I95" s="61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61"/>
      <c r="I96" s="61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61"/>
      <c r="I97" s="61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61"/>
      <c r="I98" s="61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61"/>
      <c r="I99" s="61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61"/>
      <c r="I100" s="61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61"/>
      <c r="I101" s="61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61"/>
      <c r="I102" s="61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61"/>
      <c r="I103" s="61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61"/>
      <c r="I104" s="61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61"/>
      <c r="I105" s="61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61"/>
      <c r="I106" s="61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61"/>
      <c r="I107" s="61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61"/>
      <c r="I108" s="61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61"/>
      <c r="I109" s="61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61"/>
      <c r="I110" s="61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61"/>
      <c r="I111" s="61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61"/>
      <c r="I112" s="61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61"/>
      <c r="I113" s="61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61"/>
      <c r="I114" s="61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61"/>
      <c r="I115" s="61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61"/>
      <c r="I116" s="61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61"/>
      <c r="I117" s="61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61"/>
      <c r="I118" s="61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61"/>
      <c r="I119" s="61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61"/>
      <c r="I120" s="61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61"/>
      <c r="I121" s="61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61"/>
      <c r="I122" s="61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61"/>
      <c r="I123" s="61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61"/>
      <c r="I124" s="61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61"/>
      <c r="I125" s="61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61"/>
      <c r="I126" s="61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K12" sqref="K1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style="53" customWidth="1"/>
    <col min="9" max="9" width="11" style="53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81" t="str">
        <f>'23.09. KASANGATI-GAYAZA'!C3:G3</f>
        <v>MCC - C2 - STN-69- Gayaza- ROAD</v>
      </c>
      <c r="D3" s="81"/>
      <c r="E3" s="81"/>
      <c r="F3" s="81"/>
      <c r="G3" s="8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82" t="str">
        <f>'23.09. KASANGATI-GAYAZA'!G5:H5</f>
        <v>TOTAL BULAMU</v>
      </c>
      <c r="H5" s="83"/>
      <c r="I5" s="52"/>
      <c r="J5" s="2" t="s">
        <v>5</v>
      </c>
      <c r="K5" s="82" t="s">
        <v>173</v>
      </c>
      <c r="L5" s="83"/>
      <c r="M5" s="10"/>
      <c r="N5" s="10"/>
      <c r="O5" s="3"/>
      <c r="P5" s="3"/>
    </row>
    <row r="6" spans="2:32" ht="23.25" customHeight="1" x14ac:dyDescent="0.25">
      <c r="C6" s="2" t="s">
        <v>4</v>
      </c>
      <c r="D6" s="82" t="str">
        <f>'23.09. KASANGATI-GAYAZA'!D6:E6</f>
        <v>KASANGATI</v>
      </c>
      <c r="E6" s="83"/>
      <c r="F6" s="2" t="s">
        <v>2</v>
      </c>
      <c r="G6" s="82" t="str">
        <f>'23.09. KASANGATI-GAYAZA'!G6:H6</f>
        <v>GAYAZA</v>
      </c>
      <c r="H6" s="83"/>
      <c r="J6" s="2" t="s">
        <v>21</v>
      </c>
      <c r="K6" s="82" t="str">
        <f>'23.09. KASANGATI-GAYAZA'!K6:L6</f>
        <v>LAWRENCE</v>
      </c>
      <c r="L6" s="8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54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55"/>
      <c r="I8" s="55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56" t="s">
        <v>29</v>
      </c>
      <c r="I9" s="56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40</v>
      </c>
      <c r="D10" s="50">
        <v>8</v>
      </c>
      <c r="E10" s="50">
        <v>10</v>
      </c>
      <c r="F10" s="50">
        <v>41</v>
      </c>
      <c r="G10" s="50">
        <v>0</v>
      </c>
      <c r="H10" s="57">
        <v>1</v>
      </c>
      <c r="I10" s="57">
        <v>4</v>
      </c>
      <c r="J10" s="50">
        <v>3</v>
      </c>
      <c r="K10" s="50">
        <v>3</v>
      </c>
      <c r="L10" s="50">
        <v>0</v>
      </c>
      <c r="M10" s="50">
        <v>91</v>
      </c>
      <c r="N10" s="50">
        <v>0</v>
      </c>
      <c r="O10" s="15">
        <f t="shared" ref="O10:O57" si="0">SUM(C10:L10,N10)</f>
        <v>110</v>
      </c>
      <c r="P10" s="15">
        <f t="shared" ref="P10:P57" si="1">SUM(C10:N10)</f>
        <v>201</v>
      </c>
      <c r="R10" s="1" t="s">
        <v>6</v>
      </c>
      <c r="S10" s="17">
        <f t="shared" ref="S10:AF10" si="2">SUM(C10:C13)</f>
        <v>151</v>
      </c>
      <c r="T10" s="17">
        <f t="shared" si="2"/>
        <v>30</v>
      </c>
      <c r="U10" s="17">
        <f t="shared" si="2"/>
        <v>31</v>
      </c>
      <c r="V10" s="17">
        <f t="shared" si="2"/>
        <v>202</v>
      </c>
      <c r="W10" s="17">
        <f t="shared" si="2"/>
        <v>4</v>
      </c>
      <c r="X10" s="17">
        <f t="shared" si="2"/>
        <v>2</v>
      </c>
      <c r="Y10" s="17">
        <f t="shared" si="2"/>
        <v>44</v>
      </c>
      <c r="Z10" s="17">
        <f t="shared" si="2"/>
        <v>9</v>
      </c>
      <c r="AA10" s="17">
        <f t="shared" si="2"/>
        <v>10</v>
      </c>
      <c r="AB10" s="17">
        <f t="shared" si="2"/>
        <v>0</v>
      </c>
      <c r="AC10" s="17">
        <f t="shared" si="2"/>
        <v>417</v>
      </c>
      <c r="AD10" s="17">
        <f t="shared" si="2"/>
        <v>0</v>
      </c>
      <c r="AE10" s="31">
        <f t="shared" si="2"/>
        <v>483</v>
      </c>
      <c r="AF10" s="31">
        <f t="shared" si="2"/>
        <v>900</v>
      </c>
    </row>
    <row r="11" spans="2:32" s="6" customFormat="1" ht="23.1" customHeight="1" x14ac:dyDescent="0.25">
      <c r="B11" s="23" t="s">
        <v>38</v>
      </c>
      <c r="C11" s="50">
        <v>49</v>
      </c>
      <c r="D11" s="50">
        <v>4</v>
      </c>
      <c r="E11" s="50">
        <v>6</v>
      </c>
      <c r="F11" s="50">
        <v>47</v>
      </c>
      <c r="G11" s="50">
        <v>3</v>
      </c>
      <c r="H11" s="57">
        <v>1</v>
      </c>
      <c r="I11" s="57">
        <v>16</v>
      </c>
      <c r="J11" s="50">
        <v>1</v>
      </c>
      <c r="K11" s="50">
        <v>5</v>
      </c>
      <c r="L11" s="50">
        <v>0</v>
      </c>
      <c r="M11" s="50">
        <v>95</v>
      </c>
      <c r="N11" s="50">
        <v>0</v>
      </c>
      <c r="O11" s="15">
        <f t="shared" si="0"/>
        <v>132</v>
      </c>
      <c r="P11" s="15">
        <f t="shared" si="1"/>
        <v>227</v>
      </c>
      <c r="R11" s="1" t="s">
        <v>7</v>
      </c>
      <c r="S11" s="17">
        <f t="shared" ref="S11:AF11" si="3">SUM(C14:C17)</f>
        <v>98</v>
      </c>
      <c r="T11" s="17">
        <f t="shared" si="3"/>
        <v>30</v>
      </c>
      <c r="U11" s="17">
        <f t="shared" si="3"/>
        <v>26</v>
      </c>
      <c r="V11" s="17">
        <f t="shared" si="3"/>
        <v>157</v>
      </c>
      <c r="W11" s="17">
        <f t="shared" si="3"/>
        <v>1</v>
      </c>
      <c r="X11" s="17">
        <f t="shared" si="3"/>
        <v>2</v>
      </c>
      <c r="Y11" s="17">
        <f t="shared" si="3"/>
        <v>31</v>
      </c>
      <c r="Z11" s="17">
        <f t="shared" si="3"/>
        <v>4</v>
      </c>
      <c r="AA11" s="17">
        <f t="shared" si="3"/>
        <v>14</v>
      </c>
      <c r="AB11" s="17">
        <f t="shared" si="3"/>
        <v>2</v>
      </c>
      <c r="AC11" s="17">
        <f t="shared" si="3"/>
        <v>451</v>
      </c>
      <c r="AD11" s="17">
        <f t="shared" si="3"/>
        <v>0</v>
      </c>
      <c r="AE11" s="31">
        <f t="shared" si="3"/>
        <v>365</v>
      </c>
      <c r="AF11" s="31">
        <f t="shared" si="3"/>
        <v>816</v>
      </c>
    </row>
    <row r="12" spans="2:32" ht="23.1" customHeight="1" x14ac:dyDescent="0.25">
      <c r="B12" s="23" t="s">
        <v>39</v>
      </c>
      <c r="C12" s="50">
        <v>32</v>
      </c>
      <c r="D12" s="50">
        <v>4</v>
      </c>
      <c r="E12" s="50">
        <v>8</v>
      </c>
      <c r="F12" s="50">
        <v>56</v>
      </c>
      <c r="G12" s="50">
        <v>0</v>
      </c>
      <c r="H12" s="57">
        <v>0</v>
      </c>
      <c r="I12" s="57">
        <v>11</v>
      </c>
      <c r="J12" s="50">
        <v>1</v>
      </c>
      <c r="K12" s="50">
        <v>1</v>
      </c>
      <c r="L12" s="50">
        <v>0</v>
      </c>
      <c r="M12" s="50">
        <v>110</v>
      </c>
      <c r="N12" s="50">
        <v>0</v>
      </c>
      <c r="O12" s="15">
        <f t="shared" si="0"/>
        <v>113</v>
      </c>
      <c r="P12" s="15">
        <f t="shared" si="1"/>
        <v>223</v>
      </c>
      <c r="R12" s="1" t="s">
        <v>8</v>
      </c>
      <c r="S12" s="17">
        <f t="shared" ref="S12:AF12" si="4">SUM(C18:C21)</f>
        <v>61</v>
      </c>
      <c r="T12" s="17">
        <f t="shared" si="4"/>
        <v>51</v>
      </c>
      <c r="U12" s="17">
        <f t="shared" si="4"/>
        <v>30</v>
      </c>
      <c r="V12" s="17">
        <f t="shared" si="4"/>
        <v>146</v>
      </c>
      <c r="W12" s="17">
        <f t="shared" si="4"/>
        <v>0</v>
      </c>
      <c r="X12" s="17">
        <f t="shared" si="4"/>
        <v>2</v>
      </c>
      <c r="Y12" s="17">
        <f t="shared" si="4"/>
        <v>51</v>
      </c>
      <c r="Z12" s="17">
        <f t="shared" si="4"/>
        <v>14</v>
      </c>
      <c r="AA12" s="17">
        <f t="shared" si="4"/>
        <v>14</v>
      </c>
      <c r="AB12" s="17">
        <f t="shared" si="4"/>
        <v>0</v>
      </c>
      <c r="AC12" s="17">
        <f t="shared" si="4"/>
        <v>458</v>
      </c>
      <c r="AD12" s="17">
        <f t="shared" si="4"/>
        <v>0</v>
      </c>
      <c r="AE12" s="31">
        <f t="shared" si="4"/>
        <v>369</v>
      </c>
      <c r="AF12" s="31">
        <f t="shared" si="4"/>
        <v>827</v>
      </c>
    </row>
    <row r="13" spans="2:32" ht="23.1" customHeight="1" x14ac:dyDescent="0.25">
      <c r="B13" s="23" t="s">
        <v>40</v>
      </c>
      <c r="C13" s="50">
        <v>30</v>
      </c>
      <c r="D13" s="50">
        <v>14</v>
      </c>
      <c r="E13" s="50">
        <v>7</v>
      </c>
      <c r="F13" s="50">
        <v>58</v>
      </c>
      <c r="G13" s="50">
        <v>1</v>
      </c>
      <c r="H13" s="57">
        <v>0</v>
      </c>
      <c r="I13" s="57">
        <v>13</v>
      </c>
      <c r="J13" s="50">
        <v>4</v>
      </c>
      <c r="K13" s="50">
        <v>1</v>
      </c>
      <c r="L13" s="50">
        <v>0</v>
      </c>
      <c r="M13" s="50">
        <v>121</v>
      </c>
      <c r="N13" s="50">
        <v>0</v>
      </c>
      <c r="O13" s="15">
        <f t="shared" si="0"/>
        <v>128</v>
      </c>
      <c r="P13" s="15">
        <f t="shared" si="1"/>
        <v>249</v>
      </c>
      <c r="R13" s="1" t="s">
        <v>9</v>
      </c>
      <c r="S13" s="17">
        <f t="shared" ref="S13:AF13" si="5">SUM(C22:C25)</f>
        <v>129</v>
      </c>
      <c r="T13" s="17">
        <f t="shared" si="5"/>
        <v>41</v>
      </c>
      <c r="U13" s="17">
        <f t="shared" si="5"/>
        <v>25</v>
      </c>
      <c r="V13" s="17">
        <f t="shared" si="5"/>
        <v>172</v>
      </c>
      <c r="W13" s="17">
        <f t="shared" si="5"/>
        <v>3</v>
      </c>
      <c r="X13" s="17">
        <f t="shared" si="5"/>
        <v>1</v>
      </c>
      <c r="Y13" s="17">
        <f t="shared" si="5"/>
        <v>55</v>
      </c>
      <c r="Z13" s="17">
        <f t="shared" si="5"/>
        <v>13</v>
      </c>
      <c r="AA13" s="17">
        <f t="shared" si="5"/>
        <v>12</v>
      </c>
      <c r="AB13" s="17">
        <f t="shared" si="5"/>
        <v>1</v>
      </c>
      <c r="AC13" s="17">
        <f t="shared" si="5"/>
        <v>432</v>
      </c>
      <c r="AD13" s="17">
        <f t="shared" si="5"/>
        <v>0</v>
      </c>
      <c r="AE13" s="31">
        <f t="shared" si="5"/>
        <v>452</v>
      </c>
      <c r="AF13" s="31">
        <f t="shared" si="5"/>
        <v>884</v>
      </c>
    </row>
    <row r="14" spans="2:32" ht="23.1" customHeight="1" x14ac:dyDescent="0.25">
      <c r="B14" s="23" t="s">
        <v>41</v>
      </c>
      <c r="C14" s="50">
        <v>25</v>
      </c>
      <c r="D14" s="50">
        <v>6</v>
      </c>
      <c r="E14" s="50">
        <v>2</v>
      </c>
      <c r="F14" s="50">
        <v>39</v>
      </c>
      <c r="G14" s="50">
        <v>0</v>
      </c>
      <c r="H14" s="57">
        <v>0</v>
      </c>
      <c r="I14" s="57">
        <v>9</v>
      </c>
      <c r="J14" s="50">
        <v>2</v>
      </c>
      <c r="K14" s="50">
        <v>4</v>
      </c>
      <c r="L14" s="50">
        <v>2</v>
      </c>
      <c r="M14" s="50">
        <v>113</v>
      </c>
      <c r="N14" s="50">
        <v>0</v>
      </c>
      <c r="O14" s="15">
        <f t="shared" si="0"/>
        <v>89</v>
      </c>
      <c r="P14" s="15">
        <f t="shared" si="1"/>
        <v>202</v>
      </c>
      <c r="R14" s="1" t="s">
        <v>10</v>
      </c>
      <c r="S14" s="17">
        <f t="shared" ref="S14:AF14" si="6">SUM(C26:C29)</f>
        <v>122</v>
      </c>
      <c r="T14" s="17">
        <f t="shared" si="6"/>
        <v>59</v>
      </c>
      <c r="U14" s="17">
        <f t="shared" si="6"/>
        <v>32</v>
      </c>
      <c r="V14" s="17">
        <f t="shared" si="6"/>
        <v>172</v>
      </c>
      <c r="W14" s="17">
        <f t="shared" si="6"/>
        <v>0</v>
      </c>
      <c r="X14" s="17">
        <f t="shared" si="6"/>
        <v>1</v>
      </c>
      <c r="Y14" s="17">
        <f t="shared" si="6"/>
        <v>46</v>
      </c>
      <c r="Z14" s="17">
        <f t="shared" si="6"/>
        <v>16</v>
      </c>
      <c r="AA14" s="17">
        <f t="shared" si="6"/>
        <v>15</v>
      </c>
      <c r="AB14" s="17">
        <f t="shared" si="6"/>
        <v>0</v>
      </c>
      <c r="AC14" s="17">
        <f t="shared" si="6"/>
        <v>427</v>
      </c>
      <c r="AD14" s="17">
        <f t="shared" si="6"/>
        <v>2</v>
      </c>
      <c r="AE14" s="31">
        <f t="shared" si="6"/>
        <v>465</v>
      </c>
      <c r="AF14" s="31">
        <f t="shared" si="6"/>
        <v>892</v>
      </c>
    </row>
    <row r="15" spans="2:32" ht="23.1" customHeight="1" x14ac:dyDescent="0.25">
      <c r="B15" s="23" t="s">
        <v>42</v>
      </c>
      <c r="C15" s="50">
        <v>28</v>
      </c>
      <c r="D15" s="50">
        <v>15</v>
      </c>
      <c r="E15" s="50">
        <v>9</v>
      </c>
      <c r="F15" s="50">
        <v>41</v>
      </c>
      <c r="G15" s="50">
        <v>0</v>
      </c>
      <c r="H15" s="57">
        <v>0</v>
      </c>
      <c r="I15" s="57">
        <v>8</v>
      </c>
      <c r="J15" s="50">
        <v>0</v>
      </c>
      <c r="K15" s="50">
        <v>1</v>
      </c>
      <c r="L15" s="50">
        <v>0</v>
      </c>
      <c r="M15" s="50">
        <v>112</v>
      </c>
      <c r="N15" s="50">
        <v>0</v>
      </c>
      <c r="O15" s="15">
        <f t="shared" si="0"/>
        <v>102</v>
      </c>
      <c r="P15" s="15">
        <f t="shared" si="1"/>
        <v>214</v>
      </c>
      <c r="R15" s="1" t="s">
        <v>11</v>
      </c>
      <c r="S15" s="17">
        <f t="shared" ref="S15:AF15" si="7">SUM(C30:C33)</f>
        <v>234</v>
      </c>
      <c r="T15" s="17">
        <f t="shared" si="7"/>
        <v>34</v>
      </c>
      <c r="U15" s="17">
        <f t="shared" si="7"/>
        <v>25</v>
      </c>
      <c r="V15" s="17">
        <f t="shared" si="7"/>
        <v>209</v>
      </c>
      <c r="W15" s="17">
        <f t="shared" si="7"/>
        <v>1</v>
      </c>
      <c r="X15" s="17">
        <f t="shared" si="7"/>
        <v>1</v>
      </c>
      <c r="Y15" s="17">
        <f t="shared" si="7"/>
        <v>50</v>
      </c>
      <c r="Z15" s="17">
        <f t="shared" si="7"/>
        <v>35</v>
      </c>
      <c r="AA15" s="17">
        <f t="shared" si="7"/>
        <v>14</v>
      </c>
      <c r="AB15" s="17">
        <f t="shared" si="7"/>
        <v>3</v>
      </c>
      <c r="AC15" s="17">
        <f t="shared" si="7"/>
        <v>377</v>
      </c>
      <c r="AD15" s="17">
        <f t="shared" si="7"/>
        <v>0</v>
      </c>
      <c r="AE15" s="31">
        <f t="shared" si="7"/>
        <v>606</v>
      </c>
      <c r="AF15" s="31">
        <f t="shared" si="7"/>
        <v>983</v>
      </c>
    </row>
    <row r="16" spans="2:32" ht="23.1" customHeight="1" x14ac:dyDescent="0.25">
      <c r="B16" s="23" t="s">
        <v>43</v>
      </c>
      <c r="C16" s="50">
        <v>18</v>
      </c>
      <c r="D16" s="50">
        <v>5</v>
      </c>
      <c r="E16" s="50">
        <v>11</v>
      </c>
      <c r="F16" s="50">
        <v>48</v>
      </c>
      <c r="G16" s="50">
        <v>0</v>
      </c>
      <c r="H16" s="57">
        <v>0</v>
      </c>
      <c r="I16" s="57">
        <v>2</v>
      </c>
      <c r="J16" s="50">
        <v>1</v>
      </c>
      <c r="K16" s="50">
        <v>4</v>
      </c>
      <c r="L16" s="50">
        <v>0</v>
      </c>
      <c r="M16" s="50">
        <v>114</v>
      </c>
      <c r="N16" s="50">
        <v>0</v>
      </c>
      <c r="O16" s="15">
        <f t="shared" si="0"/>
        <v>89</v>
      </c>
      <c r="P16" s="15">
        <f t="shared" si="1"/>
        <v>203</v>
      </c>
      <c r="R16" s="1" t="s">
        <v>12</v>
      </c>
      <c r="S16" s="17">
        <f t="shared" ref="S16:AF16" si="8">SUM(C34:C37)</f>
        <v>164</v>
      </c>
      <c r="T16" s="17">
        <f t="shared" si="8"/>
        <v>57</v>
      </c>
      <c r="U16" s="17">
        <f t="shared" si="8"/>
        <v>27</v>
      </c>
      <c r="V16" s="17">
        <f t="shared" si="8"/>
        <v>155</v>
      </c>
      <c r="W16" s="17">
        <f t="shared" si="8"/>
        <v>3</v>
      </c>
      <c r="X16" s="17">
        <f t="shared" si="8"/>
        <v>1</v>
      </c>
      <c r="Y16" s="17">
        <f t="shared" si="8"/>
        <v>51</v>
      </c>
      <c r="Z16" s="17">
        <f t="shared" si="8"/>
        <v>19</v>
      </c>
      <c r="AA16" s="17">
        <f t="shared" si="8"/>
        <v>11</v>
      </c>
      <c r="AB16" s="17">
        <f t="shared" si="8"/>
        <v>5</v>
      </c>
      <c r="AC16" s="17">
        <f t="shared" si="8"/>
        <v>436</v>
      </c>
      <c r="AD16" s="17">
        <f t="shared" si="8"/>
        <v>0</v>
      </c>
      <c r="AE16" s="31">
        <f t="shared" si="8"/>
        <v>493</v>
      </c>
      <c r="AF16" s="31">
        <f t="shared" si="8"/>
        <v>929</v>
      </c>
    </row>
    <row r="17" spans="2:32" ht="23.1" customHeight="1" x14ac:dyDescent="0.25">
      <c r="B17" s="23" t="s">
        <v>44</v>
      </c>
      <c r="C17" s="50">
        <v>27</v>
      </c>
      <c r="D17" s="50">
        <v>4</v>
      </c>
      <c r="E17" s="50">
        <v>4</v>
      </c>
      <c r="F17" s="50">
        <v>29</v>
      </c>
      <c r="G17" s="50">
        <v>1</v>
      </c>
      <c r="H17" s="57">
        <v>2</v>
      </c>
      <c r="I17" s="57">
        <v>12</v>
      </c>
      <c r="J17" s="50">
        <v>1</v>
      </c>
      <c r="K17" s="50">
        <v>5</v>
      </c>
      <c r="L17" s="50">
        <v>0</v>
      </c>
      <c r="M17" s="50">
        <v>112</v>
      </c>
      <c r="N17" s="50">
        <v>0</v>
      </c>
      <c r="O17" s="15">
        <f t="shared" si="0"/>
        <v>85</v>
      </c>
      <c r="P17" s="15">
        <f t="shared" si="1"/>
        <v>197</v>
      </c>
      <c r="R17" s="1" t="s">
        <v>13</v>
      </c>
      <c r="S17" s="17">
        <f t="shared" ref="S17:AF17" si="9">SUM(C38:C41)</f>
        <v>196</v>
      </c>
      <c r="T17" s="17">
        <f t="shared" si="9"/>
        <v>21</v>
      </c>
      <c r="U17" s="17">
        <f t="shared" si="9"/>
        <v>32</v>
      </c>
      <c r="V17" s="17">
        <f t="shared" si="9"/>
        <v>136</v>
      </c>
      <c r="W17" s="17">
        <f t="shared" si="9"/>
        <v>1</v>
      </c>
      <c r="X17" s="17">
        <f t="shared" si="9"/>
        <v>3</v>
      </c>
      <c r="Y17" s="17">
        <f t="shared" si="9"/>
        <v>45</v>
      </c>
      <c r="Z17" s="17">
        <f t="shared" si="9"/>
        <v>8</v>
      </c>
      <c r="AA17" s="17">
        <f t="shared" si="9"/>
        <v>10</v>
      </c>
      <c r="AB17" s="17">
        <f t="shared" si="9"/>
        <v>1</v>
      </c>
      <c r="AC17" s="17">
        <f t="shared" si="9"/>
        <v>322</v>
      </c>
      <c r="AD17" s="17">
        <f t="shared" si="9"/>
        <v>0</v>
      </c>
      <c r="AE17" s="31">
        <f t="shared" si="9"/>
        <v>453</v>
      </c>
      <c r="AF17" s="31">
        <f t="shared" si="9"/>
        <v>775</v>
      </c>
    </row>
    <row r="18" spans="2:32" ht="23.1" customHeight="1" x14ac:dyDescent="0.25">
      <c r="B18" s="23" t="s">
        <v>45</v>
      </c>
      <c r="C18" s="50">
        <v>30</v>
      </c>
      <c r="D18" s="50">
        <v>6</v>
      </c>
      <c r="E18" s="50">
        <v>5</v>
      </c>
      <c r="F18" s="50">
        <v>45</v>
      </c>
      <c r="G18" s="50">
        <v>0</v>
      </c>
      <c r="H18" s="57">
        <v>0</v>
      </c>
      <c r="I18" s="57">
        <v>12</v>
      </c>
      <c r="J18" s="50">
        <v>6</v>
      </c>
      <c r="K18" s="50">
        <v>4</v>
      </c>
      <c r="L18" s="50">
        <v>0</v>
      </c>
      <c r="M18" s="50">
        <v>125</v>
      </c>
      <c r="N18" s="50">
        <v>0</v>
      </c>
      <c r="O18" s="15">
        <f t="shared" si="0"/>
        <v>108</v>
      </c>
      <c r="P18" s="15">
        <f t="shared" si="1"/>
        <v>233</v>
      </c>
      <c r="R18" s="1" t="s">
        <v>14</v>
      </c>
      <c r="S18" s="17">
        <f t="shared" ref="S18:AF18" si="10">SUM(C42:C45)</f>
        <v>187</v>
      </c>
      <c r="T18" s="17">
        <f t="shared" si="10"/>
        <v>30</v>
      </c>
      <c r="U18" s="17">
        <f t="shared" si="10"/>
        <v>29</v>
      </c>
      <c r="V18" s="17">
        <f t="shared" si="10"/>
        <v>137</v>
      </c>
      <c r="W18" s="17">
        <f t="shared" si="10"/>
        <v>1</v>
      </c>
      <c r="X18" s="17">
        <f t="shared" si="10"/>
        <v>3</v>
      </c>
      <c r="Y18" s="17">
        <f t="shared" si="10"/>
        <v>53</v>
      </c>
      <c r="Z18" s="17">
        <f t="shared" si="10"/>
        <v>13</v>
      </c>
      <c r="AA18" s="17">
        <f t="shared" si="10"/>
        <v>11</v>
      </c>
      <c r="AB18" s="17">
        <f t="shared" si="10"/>
        <v>0</v>
      </c>
      <c r="AC18" s="17">
        <f t="shared" si="10"/>
        <v>329</v>
      </c>
      <c r="AD18" s="17">
        <f t="shared" si="10"/>
        <v>0</v>
      </c>
      <c r="AE18" s="31">
        <f t="shared" si="10"/>
        <v>464</v>
      </c>
      <c r="AF18" s="31">
        <f t="shared" si="10"/>
        <v>793</v>
      </c>
    </row>
    <row r="19" spans="2:32" ht="23.1" customHeight="1" x14ac:dyDescent="0.25">
      <c r="B19" s="23" t="s">
        <v>46</v>
      </c>
      <c r="C19" s="50">
        <v>5</v>
      </c>
      <c r="D19" s="50">
        <v>18</v>
      </c>
      <c r="E19" s="50">
        <v>7</v>
      </c>
      <c r="F19" s="50">
        <v>31</v>
      </c>
      <c r="G19" s="50">
        <v>0</v>
      </c>
      <c r="H19" s="57">
        <v>0</v>
      </c>
      <c r="I19" s="57">
        <v>9</v>
      </c>
      <c r="J19" s="50">
        <v>5</v>
      </c>
      <c r="K19" s="50">
        <v>1</v>
      </c>
      <c r="L19" s="50">
        <v>0</v>
      </c>
      <c r="M19" s="50">
        <v>112</v>
      </c>
      <c r="N19" s="50">
        <v>0</v>
      </c>
      <c r="O19" s="15">
        <f t="shared" si="0"/>
        <v>76</v>
      </c>
      <c r="P19" s="15">
        <f t="shared" si="1"/>
        <v>188</v>
      </c>
      <c r="R19" s="1" t="s">
        <v>15</v>
      </c>
      <c r="S19" s="17">
        <f t="shared" ref="S19:AF19" si="11">SUM(C46:C49)</f>
        <v>185</v>
      </c>
      <c r="T19" s="17">
        <f t="shared" si="11"/>
        <v>42</v>
      </c>
      <c r="U19" s="17">
        <f t="shared" si="11"/>
        <v>45</v>
      </c>
      <c r="V19" s="17">
        <f t="shared" si="11"/>
        <v>129</v>
      </c>
      <c r="W19" s="17">
        <f t="shared" si="11"/>
        <v>0</v>
      </c>
      <c r="X19" s="17">
        <f t="shared" si="11"/>
        <v>6</v>
      </c>
      <c r="Y19" s="17">
        <f t="shared" si="11"/>
        <v>41</v>
      </c>
      <c r="Z19" s="17">
        <f t="shared" si="11"/>
        <v>17</v>
      </c>
      <c r="AA19" s="17">
        <f t="shared" si="11"/>
        <v>13</v>
      </c>
      <c r="AB19" s="17">
        <f t="shared" si="11"/>
        <v>3</v>
      </c>
      <c r="AC19" s="17">
        <f t="shared" si="11"/>
        <v>347</v>
      </c>
      <c r="AD19" s="17">
        <f t="shared" si="11"/>
        <v>1</v>
      </c>
      <c r="AE19" s="31">
        <f t="shared" si="11"/>
        <v>482</v>
      </c>
      <c r="AF19" s="31">
        <f t="shared" si="11"/>
        <v>829</v>
      </c>
    </row>
    <row r="20" spans="2:32" ht="23.1" customHeight="1" x14ac:dyDescent="0.25">
      <c r="B20" s="23" t="s">
        <v>47</v>
      </c>
      <c r="C20" s="50">
        <v>10</v>
      </c>
      <c r="D20" s="50">
        <v>13</v>
      </c>
      <c r="E20" s="50">
        <v>9</v>
      </c>
      <c r="F20" s="50">
        <v>22</v>
      </c>
      <c r="G20" s="50">
        <v>0</v>
      </c>
      <c r="H20" s="57">
        <v>0</v>
      </c>
      <c r="I20" s="57">
        <v>16</v>
      </c>
      <c r="J20" s="50">
        <v>1</v>
      </c>
      <c r="K20" s="50">
        <v>6</v>
      </c>
      <c r="L20" s="50">
        <v>0</v>
      </c>
      <c r="M20" s="50">
        <v>101</v>
      </c>
      <c r="N20" s="50">
        <v>0</v>
      </c>
      <c r="O20" s="15">
        <f t="shared" si="0"/>
        <v>77</v>
      </c>
      <c r="P20" s="15">
        <f t="shared" si="1"/>
        <v>178</v>
      </c>
      <c r="R20" s="1" t="s">
        <v>16</v>
      </c>
      <c r="S20" s="17">
        <f t="shared" ref="S20:AF20" si="12">SUM(C50:C53)</f>
        <v>264</v>
      </c>
      <c r="T20" s="17">
        <f t="shared" si="12"/>
        <v>30</v>
      </c>
      <c r="U20" s="17">
        <f t="shared" si="12"/>
        <v>28</v>
      </c>
      <c r="V20" s="17">
        <f t="shared" si="12"/>
        <v>171</v>
      </c>
      <c r="W20" s="17">
        <f t="shared" si="12"/>
        <v>4</v>
      </c>
      <c r="X20" s="17">
        <f t="shared" si="12"/>
        <v>2</v>
      </c>
      <c r="Y20" s="17">
        <f t="shared" si="12"/>
        <v>29</v>
      </c>
      <c r="Z20" s="17">
        <f t="shared" si="12"/>
        <v>3</v>
      </c>
      <c r="AA20" s="17">
        <f t="shared" si="12"/>
        <v>3</v>
      </c>
      <c r="AB20" s="17">
        <f t="shared" si="12"/>
        <v>2</v>
      </c>
      <c r="AC20" s="17">
        <f t="shared" si="12"/>
        <v>425</v>
      </c>
      <c r="AD20" s="17">
        <f t="shared" si="12"/>
        <v>0</v>
      </c>
      <c r="AE20" s="31">
        <f t="shared" si="12"/>
        <v>536</v>
      </c>
      <c r="AF20" s="31">
        <f t="shared" si="12"/>
        <v>961</v>
      </c>
    </row>
    <row r="21" spans="2:32" ht="23.1" customHeight="1" x14ac:dyDescent="0.25">
      <c r="B21" s="23" t="s">
        <v>48</v>
      </c>
      <c r="C21" s="50">
        <v>16</v>
      </c>
      <c r="D21" s="50">
        <v>14</v>
      </c>
      <c r="E21" s="50">
        <v>9</v>
      </c>
      <c r="F21" s="50">
        <v>48</v>
      </c>
      <c r="G21" s="50">
        <v>0</v>
      </c>
      <c r="H21" s="57">
        <v>2</v>
      </c>
      <c r="I21" s="57">
        <v>14</v>
      </c>
      <c r="J21" s="50">
        <v>2</v>
      </c>
      <c r="K21" s="50">
        <v>3</v>
      </c>
      <c r="L21" s="50">
        <v>0</v>
      </c>
      <c r="M21" s="50">
        <v>120</v>
      </c>
      <c r="N21" s="50">
        <v>0</v>
      </c>
      <c r="O21" s="15">
        <f t="shared" si="0"/>
        <v>108</v>
      </c>
      <c r="P21" s="15">
        <f t="shared" si="1"/>
        <v>228</v>
      </c>
      <c r="R21" s="36" t="s">
        <v>20</v>
      </c>
      <c r="S21" s="34">
        <f t="shared" ref="S21:AF21" si="13">SUM(C54:C57)</f>
        <v>297</v>
      </c>
      <c r="T21" s="17">
        <f t="shared" si="13"/>
        <v>69</v>
      </c>
      <c r="U21" s="17">
        <f t="shared" si="13"/>
        <v>25</v>
      </c>
      <c r="V21" s="17">
        <f t="shared" si="13"/>
        <v>244</v>
      </c>
      <c r="W21" s="17">
        <f t="shared" si="13"/>
        <v>17</v>
      </c>
      <c r="X21" s="17">
        <f t="shared" si="13"/>
        <v>3</v>
      </c>
      <c r="Y21" s="17">
        <f t="shared" si="13"/>
        <v>30</v>
      </c>
      <c r="Z21" s="17">
        <f t="shared" si="13"/>
        <v>5</v>
      </c>
      <c r="AA21" s="17">
        <f t="shared" si="13"/>
        <v>1</v>
      </c>
      <c r="AB21" s="17">
        <f t="shared" si="13"/>
        <v>0</v>
      </c>
      <c r="AC21" s="17">
        <f t="shared" si="13"/>
        <v>508</v>
      </c>
      <c r="AD21" s="17">
        <f t="shared" si="13"/>
        <v>0</v>
      </c>
      <c r="AE21" s="31">
        <f t="shared" si="13"/>
        <v>691</v>
      </c>
      <c r="AF21" s="31">
        <f t="shared" si="13"/>
        <v>1199</v>
      </c>
    </row>
    <row r="22" spans="2:32" ht="23.1" customHeight="1" x14ac:dyDescent="0.25">
      <c r="B22" s="23" t="s">
        <v>49</v>
      </c>
      <c r="C22" s="50">
        <v>30</v>
      </c>
      <c r="D22" s="50">
        <v>11</v>
      </c>
      <c r="E22" s="50">
        <v>5</v>
      </c>
      <c r="F22" s="50">
        <v>48</v>
      </c>
      <c r="G22" s="50">
        <v>0</v>
      </c>
      <c r="H22" s="57">
        <v>0</v>
      </c>
      <c r="I22" s="57">
        <v>16</v>
      </c>
      <c r="J22" s="50">
        <v>2</v>
      </c>
      <c r="K22" s="50">
        <v>2</v>
      </c>
      <c r="L22" s="50">
        <v>1</v>
      </c>
      <c r="M22" s="50">
        <v>107</v>
      </c>
      <c r="N22" s="50">
        <v>0</v>
      </c>
      <c r="O22" s="15">
        <f t="shared" si="0"/>
        <v>115</v>
      </c>
      <c r="P22" s="15">
        <f t="shared" si="1"/>
        <v>222</v>
      </c>
      <c r="R22" s="38" t="s">
        <v>90</v>
      </c>
      <c r="S22" s="39">
        <f>MAX(S10:S12)</f>
        <v>151</v>
      </c>
      <c r="T22" s="39">
        <f t="shared" ref="T22:AF22" si="14">MAX(T10:T12)</f>
        <v>51</v>
      </c>
      <c r="U22" s="39">
        <f t="shared" si="14"/>
        <v>31</v>
      </c>
      <c r="V22" s="39">
        <f t="shared" si="14"/>
        <v>202</v>
      </c>
      <c r="W22" s="39">
        <f t="shared" si="14"/>
        <v>4</v>
      </c>
      <c r="X22" s="39">
        <f t="shared" si="14"/>
        <v>2</v>
      </c>
      <c r="Y22" s="39">
        <f t="shared" si="14"/>
        <v>51</v>
      </c>
      <c r="Z22" s="39">
        <f t="shared" si="14"/>
        <v>14</v>
      </c>
      <c r="AA22" s="39">
        <f t="shared" si="14"/>
        <v>14</v>
      </c>
      <c r="AB22" s="39">
        <f t="shared" si="14"/>
        <v>2</v>
      </c>
      <c r="AC22" s="39">
        <f t="shared" si="14"/>
        <v>458</v>
      </c>
      <c r="AD22" s="39">
        <f t="shared" si="14"/>
        <v>0</v>
      </c>
      <c r="AE22" s="40">
        <f t="shared" si="14"/>
        <v>483</v>
      </c>
      <c r="AF22" s="40">
        <f t="shared" si="14"/>
        <v>900</v>
      </c>
    </row>
    <row r="23" spans="2:32" ht="23.1" customHeight="1" x14ac:dyDescent="0.25">
      <c r="B23" s="23" t="s">
        <v>50</v>
      </c>
      <c r="C23" s="50">
        <v>39</v>
      </c>
      <c r="D23" s="50">
        <v>13</v>
      </c>
      <c r="E23" s="50">
        <v>8</v>
      </c>
      <c r="F23" s="50">
        <v>62</v>
      </c>
      <c r="G23" s="50">
        <v>0</v>
      </c>
      <c r="H23" s="57">
        <v>0</v>
      </c>
      <c r="I23" s="57">
        <v>15</v>
      </c>
      <c r="J23" s="50">
        <v>2</v>
      </c>
      <c r="K23" s="50">
        <v>6</v>
      </c>
      <c r="L23" s="50">
        <v>0</v>
      </c>
      <c r="M23" s="50">
        <v>114</v>
      </c>
      <c r="N23" s="50">
        <v>0</v>
      </c>
      <c r="O23" s="15">
        <f t="shared" si="0"/>
        <v>145</v>
      </c>
      <c r="P23" s="15">
        <f t="shared" si="1"/>
        <v>259</v>
      </c>
      <c r="R23" s="38" t="s">
        <v>91</v>
      </c>
      <c r="S23" s="39">
        <f>MAX(S13:S18)</f>
        <v>234</v>
      </c>
      <c r="T23" s="39">
        <f t="shared" ref="T23:AF23" si="15">MAX(T13:T18)</f>
        <v>59</v>
      </c>
      <c r="U23" s="39">
        <f t="shared" si="15"/>
        <v>32</v>
      </c>
      <c r="V23" s="39">
        <f t="shared" si="15"/>
        <v>209</v>
      </c>
      <c r="W23" s="39">
        <f t="shared" si="15"/>
        <v>3</v>
      </c>
      <c r="X23" s="39">
        <f t="shared" si="15"/>
        <v>3</v>
      </c>
      <c r="Y23" s="39">
        <f t="shared" si="15"/>
        <v>55</v>
      </c>
      <c r="Z23" s="39">
        <f t="shared" si="15"/>
        <v>35</v>
      </c>
      <c r="AA23" s="39">
        <f t="shared" si="15"/>
        <v>15</v>
      </c>
      <c r="AB23" s="39">
        <f t="shared" si="15"/>
        <v>5</v>
      </c>
      <c r="AC23" s="39">
        <f t="shared" si="15"/>
        <v>436</v>
      </c>
      <c r="AD23" s="39">
        <f t="shared" si="15"/>
        <v>2</v>
      </c>
      <c r="AE23" s="40">
        <f t="shared" si="15"/>
        <v>606</v>
      </c>
      <c r="AF23" s="40">
        <f t="shared" si="15"/>
        <v>983</v>
      </c>
    </row>
    <row r="24" spans="2:32" ht="23.1" customHeight="1" x14ac:dyDescent="0.25">
      <c r="B24" s="23" t="s">
        <v>51</v>
      </c>
      <c r="C24" s="50">
        <v>37</v>
      </c>
      <c r="D24" s="50">
        <v>7</v>
      </c>
      <c r="E24" s="50">
        <v>3</v>
      </c>
      <c r="F24" s="50">
        <v>29</v>
      </c>
      <c r="G24" s="50">
        <v>1</v>
      </c>
      <c r="H24" s="57">
        <v>0</v>
      </c>
      <c r="I24" s="57">
        <v>18</v>
      </c>
      <c r="J24" s="50">
        <v>4</v>
      </c>
      <c r="K24" s="50">
        <v>3</v>
      </c>
      <c r="L24" s="50">
        <v>0</v>
      </c>
      <c r="M24" s="50">
        <v>120</v>
      </c>
      <c r="N24" s="50">
        <v>0</v>
      </c>
      <c r="O24" s="15">
        <f t="shared" si="0"/>
        <v>102</v>
      </c>
      <c r="P24" s="15">
        <f t="shared" si="1"/>
        <v>222</v>
      </c>
      <c r="R24" s="38" t="s">
        <v>92</v>
      </c>
      <c r="S24" s="39">
        <f>MAX(S19:S21)</f>
        <v>297</v>
      </c>
      <c r="T24" s="39">
        <f t="shared" ref="T24:AF24" si="16">MAX(T19:T21)</f>
        <v>69</v>
      </c>
      <c r="U24" s="39">
        <f t="shared" si="16"/>
        <v>45</v>
      </c>
      <c r="V24" s="39">
        <f t="shared" si="16"/>
        <v>244</v>
      </c>
      <c r="W24" s="39">
        <f t="shared" si="16"/>
        <v>17</v>
      </c>
      <c r="X24" s="39">
        <f t="shared" si="16"/>
        <v>6</v>
      </c>
      <c r="Y24" s="39">
        <f t="shared" si="16"/>
        <v>41</v>
      </c>
      <c r="Z24" s="39">
        <f t="shared" si="16"/>
        <v>17</v>
      </c>
      <c r="AA24" s="39">
        <f t="shared" si="16"/>
        <v>13</v>
      </c>
      <c r="AB24" s="39">
        <f t="shared" si="16"/>
        <v>3</v>
      </c>
      <c r="AC24" s="39">
        <f t="shared" si="16"/>
        <v>508</v>
      </c>
      <c r="AD24" s="39">
        <f t="shared" si="16"/>
        <v>1</v>
      </c>
      <c r="AE24" s="40">
        <f t="shared" si="16"/>
        <v>691</v>
      </c>
      <c r="AF24" s="40">
        <f t="shared" si="16"/>
        <v>1199</v>
      </c>
    </row>
    <row r="25" spans="2:32" ht="23.1" customHeight="1" x14ac:dyDescent="0.25">
      <c r="B25" s="23" t="s">
        <v>52</v>
      </c>
      <c r="C25" s="50">
        <v>23</v>
      </c>
      <c r="D25" s="50">
        <v>10</v>
      </c>
      <c r="E25" s="50">
        <v>9</v>
      </c>
      <c r="F25" s="50">
        <v>33</v>
      </c>
      <c r="G25" s="50">
        <v>2</v>
      </c>
      <c r="H25" s="57">
        <v>1</v>
      </c>
      <c r="I25" s="57">
        <v>6</v>
      </c>
      <c r="J25" s="50">
        <v>5</v>
      </c>
      <c r="K25" s="50">
        <v>1</v>
      </c>
      <c r="L25" s="50">
        <v>0</v>
      </c>
      <c r="M25" s="50">
        <v>91</v>
      </c>
      <c r="N25" s="50">
        <v>0</v>
      </c>
      <c r="O25" s="15">
        <f t="shared" si="0"/>
        <v>90</v>
      </c>
      <c r="P25" s="15">
        <f t="shared" si="1"/>
        <v>181</v>
      </c>
      <c r="R25" s="37" t="s">
        <v>85</v>
      </c>
      <c r="S25" s="35">
        <f t="shared" ref="S25:AF25" si="17">SUM(S10:S12)</f>
        <v>310</v>
      </c>
      <c r="T25" s="16">
        <f t="shared" si="17"/>
        <v>111</v>
      </c>
      <c r="U25" s="16">
        <f t="shared" si="17"/>
        <v>87</v>
      </c>
      <c r="V25" s="16">
        <f t="shared" si="17"/>
        <v>505</v>
      </c>
      <c r="W25" s="16">
        <f t="shared" si="17"/>
        <v>5</v>
      </c>
      <c r="X25" s="16">
        <f t="shared" si="17"/>
        <v>6</v>
      </c>
      <c r="Y25" s="16">
        <f t="shared" si="17"/>
        <v>126</v>
      </c>
      <c r="Z25" s="16">
        <f t="shared" si="17"/>
        <v>27</v>
      </c>
      <c r="AA25" s="16">
        <f t="shared" si="17"/>
        <v>38</v>
      </c>
      <c r="AB25" s="16">
        <f t="shared" si="17"/>
        <v>2</v>
      </c>
      <c r="AC25" s="16">
        <f t="shared" si="17"/>
        <v>1326</v>
      </c>
      <c r="AD25" s="16">
        <f t="shared" si="17"/>
        <v>0</v>
      </c>
      <c r="AE25" s="32">
        <f t="shared" si="17"/>
        <v>1217</v>
      </c>
      <c r="AF25" s="32">
        <f t="shared" si="17"/>
        <v>2543</v>
      </c>
    </row>
    <row r="26" spans="2:32" ht="23.1" customHeight="1" x14ac:dyDescent="0.25">
      <c r="B26" s="23" t="s">
        <v>53</v>
      </c>
      <c r="C26" s="50">
        <v>18</v>
      </c>
      <c r="D26" s="50">
        <v>11</v>
      </c>
      <c r="E26" s="50">
        <v>8</v>
      </c>
      <c r="F26" s="50">
        <v>40</v>
      </c>
      <c r="G26" s="50">
        <v>0</v>
      </c>
      <c r="H26" s="57">
        <v>0</v>
      </c>
      <c r="I26" s="57">
        <v>12</v>
      </c>
      <c r="J26" s="50">
        <v>3</v>
      </c>
      <c r="K26" s="50">
        <v>4</v>
      </c>
      <c r="L26" s="50">
        <v>0</v>
      </c>
      <c r="M26" s="50">
        <v>104</v>
      </c>
      <c r="N26" s="50">
        <v>1</v>
      </c>
      <c r="O26" s="15">
        <f t="shared" si="0"/>
        <v>97</v>
      </c>
      <c r="P26" s="15">
        <f t="shared" si="1"/>
        <v>201</v>
      </c>
      <c r="R26" s="28" t="s">
        <v>86</v>
      </c>
      <c r="S26" s="16">
        <f t="shared" ref="S26:AF26" si="18">SUM(S13:S18)</f>
        <v>1032</v>
      </c>
      <c r="T26" s="16">
        <f t="shared" si="18"/>
        <v>242</v>
      </c>
      <c r="U26" s="16">
        <f t="shared" si="18"/>
        <v>170</v>
      </c>
      <c r="V26" s="16">
        <f t="shared" si="18"/>
        <v>981</v>
      </c>
      <c r="W26" s="16">
        <f t="shared" si="18"/>
        <v>9</v>
      </c>
      <c r="X26" s="16">
        <f t="shared" si="18"/>
        <v>10</v>
      </c>
      <c r="Y26" s="16">
        <f t="shared" si="18"/>
        <v>300</v>
      </c>
      <c r="Z26" s="16">
        <f t="shared" si="18"/>
        <v>104</v>
      </c>
      <c r="AA26" s="16">
        <f t="shared" si="18"/>
        <v>73</v>
      </c>
      <c r="AB26" s="16">
        <f t="shared" si="18"/>
        <v>10</v>
      </c>
      <c r="AC26" s="16">
        <f t="shared" si="18"/>
        <v>2323</v>
      </c>
      <c r="AD26" s="16">
        <f t="shared" si="18"/>
        <v>2</v>
      </c>
      <c r="AE26" s="32">
        <f t="shared" si="18"/>
        <v>2933</v>
      </c>
      <c r="AF26" s="32">
        <f t="shared" si="18"/>
        <v>5256</v>
      </c>
    </row>
    <row r="27" spans="2:32" ht="23.1" customHeight="1" x14ac:dyDescent="0.25">
      <c r="B27" s="23" t="s">
        <v>54</v>
      </c>
      <c r="C27" s="50">
        <v>26</v>
      </c>
      <c r="D27" s="50">
        <v>13</v>
      </c>
      <c r="E27" s="50">
        <v>4</v>
      </c>
      <c r="F27" s="50">
        <v>36</v>
      </c>
      <c r="G27" s="50">
        <v>0</v>
      </c>
      <c r="H27" s="57">
        <v>0</v>
      </c>
      <c r="I27" s="57">
        <v>15</v>
      </c>
      <c r="J27" s="50">
        <v>6</v>
      </c>
      <c r="K27" s="50">
        <v>6</v>
      </c>
      <c r="L27" s="50">
        <v>0</v>
      </c>
      <c r="M27" s="50">
        <v>116</v>
      </c>
      <c r="N27" s="50">
        <v>0</v>
      </c>
      <c r="O27" s="15">
        <f t="shared" si="0"/>
        <v>106</v>
      </c>
      <c r="P27" s="15">
        <f t="shared" si="1"/>
        <v>222</v>
      </c>
      <c r="R27" s="29" t="s">
        <v>87</v>
      </c>
      <c r="S27" s="16">
        <f t="shared" ref="S27:AF27" si="19">SUM(S19:S21)</f>
        <v>746</v>
      </c>
      <c r="T27" s="16">
        <f t="shared" si="19"/>
        <v>141</v>
      </c>
      <c r="U27" s="16">
        <f t="shared" si="19"/>
        <v>98</v>
      </c>
      <c r="V27" s="16">
        <f t="shared" si="19"/>
        <v>544</v>
      </c>
      <c r="W27" s="16">
        <f t="shared" si="19"/>
        <v>21</v>
      </c>
      <c r="X27" s="16">
        <f t="shared" si="19"/>
        <v>11</v>
      </c>
      <c r="Y27" s="16">
        <f t="shared" si="19"/>
        <v>100</v>
      </c>
      <c r="Z27" s="16">
        <f t="shared" si="19"/>
        <v>25</v>
      </c>
      <c r="AA27" s="16">
        <f t="shared" si="19"/>
        <v>17</v>
      </c>
      <c r="AB27" s="16">
        <f t="shared" si="19"/>
        <v>5</v>
      </c>
      <c r="AC27" s="16">
        <f t="shared" si="19"/>
        <v>1280</v>
      </c>
      <c r="AD27" s="16">
        <f t="shared" si="19"/>
        <v>1</v>
      </c>
      <c r="AE27" s="32">
        <f t="shared" si="19"/>
        <v>1709</v>
      </c>
      <c r="AF27" s="32">
        <f t="shared" si="19"/>
        <v>2989</v>
      </c>
    </row>
    <row r="28" spans="2:32" ht="23.1" customHeight="1" x14ac:dyDescent="0.25">
      <c r="B28" s="23" t="s">
        <v>55</v>
      </c>
      <c r="C28" s="50">
        <v>47</v>
      </c>
      <c r="D28" s="50">
        <v>15</v>
      </c>
      <c r="E28" s="50">
        <v>7</v>
      </c>
      <c r="F28" s="50">
        <v>55</v>
      </c>
      <c r="G28" s="50">
        <v>0</v>
      </c>
      <c r="H28" s="57">
        <v>0</v>
      </c>
      <c r="I28" s="57">
        <v>9</v>
      </c>
      <c r="J28" s="50">
        <v>2</v>
      </c>
      <c r="K28" s="50">
        <v>2</v>
      </c>
      <c r="L28" s="50">
        <v>0</v>
      </c>
      <c r="M28" s="50">
        <v>97</v>
      </c>
      <c r="N28" s="50">
        <v>0</v>
      </c>
      <c r="O28" s="15">
        <f t="shared" si="0"/>
        <v>137</v>
      </c>
      <c r="P28" s="15">
        <f t="shared" si="1"/>
        <v>234</v>
      </c>
      <c r="R28" s="5" t="s">
        <v>17</v>
      </c>
      <c r="S28" s="16">
        <f t="shared" ref="S28:AF28" si="20">SUM(S10:S21)</f>
        <v>2088</v>
      </c>
      <c r="T28" s="16">
        <f t="shared" si="20"/>
        <v>494</v>
      </c>
      <c r="U28" s="16">
        <f t="shared" si="20"/>
        <v>355</v>
      </c>
      <c r="V28" s="16">
        <f t="shared" si="20"/>
        <v>2030</v>
      </c>
      <c r="W28" s="16">
        <f t="shared" si="20"/>
        <v>35</v>
      </c>
      <c r="X28" s="16">
        <f t="shared" si="20"/>
        <v>27</v>
      </c>
      <c r="Y28" s="16">
        <f t="shared" si="20"/>
        <v>526</v>
      </c>
      <c r="Z28" s="16">
        <f t="shared" si="20"/>
        <v>156</v>
      </c>
      <c r="AA28" s="16">
        <f t="shared" si="20"/>
        <v>128</v>
      </c>
      <c r="AB28" s="16">
        <f t="shared" si="20"/>
        <v>17</v>
      </c>
      <c r="AC28" s="16">
        <f t="shared" si="20"/>
        <v>4929</v>
      </c>
      <c r="AD28" s="16">
        <f t="shared" si="20"/>
        <v>3</v>
      </c>
      <c r="AE28" s="32">
        <f t="shared" si="20"/>
        <v>5859</v>
      </c>
      <c r="AF28" s="32">
        <f t="shared" si="20"/>
        <v>10788</v>
      </c>
    </row>
    <row r="29" spans="2:32" ht="23.1" customHeight="1" x14ac:dyDescent="0.25">
      <c r="B29" s="23" t="s">
        <v>56</v>
      </c>
      <c r="C29" s="50">
        <v>31</v>
      </c>
      <c r="D29" s="50">
        <v>20</v>
      </c>
      <c r="E29" s="50">
        <v>13</v>
      </c>
      <c r="F29" s="50">
        <v>41</v>
      </c>
      <c r="G29" s="50">
        <v>0</v>
      </c>
      <c r="H29" s="57">
        <v>1</v>
      </c>
      <c r="I29" s="57">
        <v>10</v>
      </c>
      <c r="J29" s="50">
        <v>5</v>
      </c>
      <c r="K29" s="50">
        <v>3</v>
      </c>
      <c r="L29" s="50">
        <v>0</v>
      </c>
      <c r="M29" s="50">
        <v>110</v>
      </c>
      <c r="N29" s="50">
        <v>1</v>
      </c>
      <c r="O29" s="15">
        <f t="shared" si="0"/>
        <v>125</v>
      </c>
      <c r="P29" s="15">
        <f t="shared" si="1"/>
        <v>235</v>
      </c>
      <c r="R29"/>
      <c r="S29" s="20"/>
      <c r="T29" s="19"/>
    </row>
    <row r="30" spans="2:32" ht="23.1" customHeight="1" x14ac:dyDescent="0.25">
      <c r="B30" s="23" t="s">
        <v>57</v>
      </c>
      <c r="C30" s="50">
        <v>55</v>
      </c>
      <c r="D30" s="50">
        <v>6</v>
      </c>
      <c r="E30" s="50">
        <v>10</v>
      </c>
      <c r="F30" s="50">
        <v>39</v>
      </c>
      <c r="G30" s="50">
        <v>1</v>
      </c>
      <c r="H30" s="57">
        <v>0</v>
      </c>
      <c r="I30" s="57">
        <v>14</v>
      </c>
      <c r="J30" s="50">
        <v>10</v>
      </c>
      <c r="K30" s="50">
        <v>4</v>
      </c>
      <c r="L30" s="50">
        <v>0</v>
      </c>
      <c r="M30" s="50">
        <v>107</v>
      </c>
      <c r="N30" s="50">
        <v>0</v>
      </c>
      <c r="O30" s="15">
        <f t="shared" si="0"/>
        <v>139</v>
      </c>
      <c r="P30" s="15">
        <f t="shared" si="1"/>
        <v>246</v>
      </c>
    </row>
    <row r="31" spans="2:32" ht="23.1" customHeight="1" x14ac:dyDescent="0.25">
      <c r="B31" s="24" t="s">
        <v>58</v>
      </c>
      <c r="C31" s="50">
        <v>49</v>
      </c>
      <c r="D31" s="50">
        <v>10</v>
      </c>
      <c r="E31" s="50">
        <v>4</v>
      </c>
      <c r="F31" s="50">
        <v>50</v>
      </c>
      <c r="G31" s="50">
        <v>0</v>
      </c>
      <c r="H31" s="57">
        <v>1</v>
      </c>
      <c r="I31" s="57">
        <v>17</v>
      </c>
      <c r="J31" s="50">
        <v>9</v>
      </c>
      <c r="K31" s="50">
        <v>3</v>
      </c>
      <c r="L31" s="50">
        <v>0</v>
      </c>
      <c r="M31" s="50">
        <v>90</v>
      </c>
      <c r="N31" s="50">
        <v>0</v>
      </c>
      <c r="O31" s="15">
        <f t="shared" si="0"/>
        <v>143</v>
      </c>
      <c r="P31" s="15">
        <f t="shared" si="1"/>
        <v>233</v>
      </c>
    </row>
    <row r="32" spans="2:32" ht="23.1" customHeight="1" x14ac:dyDescent="0.25">
      <c r="B32" s="24" t="s">
        <v>59</v>
      </c>
      <c r="C32" s="50">
        <v>75</v>
      </c>
      <c r="D32" s="50">
        <v>8</v>
      </c>
      <c r="E32" s="50">
        <v>9</v>
      </c>
      <c r="F32" s="50">
        <v>70</v>
      </c>
      <c r="G32" s="50">
        <v>0</v>
      </c>
      <c r="H32" s="57">
        <v>0</v>
      </c>
      <c r="I32" s="57">
        <v>10</v>
      </c>
      <c r="J32" s="50">
        <v>5</v>
      </c>
      <c r="K32" s="50">
        <v>2</v>
      </c>
      <c r="L32" s="50">
        <v>2</v>
      </c>
      <c r="M32" s="50">
        <v>83</v>
      </c>
      <c r="N32" s="50">
        <v>0</v>
      </c>
      <c r="O32" s="15">
        <f t="shared" si="0"/>
        <v>181</v>
      </c>
      <c r="P32" s="15">
        <f t="shared" si="1"/>
        <v>264</v>
      </c>
    </row>
    <row r="33" spans="2:20" ht="23.1" customHeight="1" x14ac:dyDescent="0.25">
      <c r="B33" s="23" t="s">
        <v>60</v>
      </c>
      <c r="C33" s="50">
        <v>55</v>
      </c>
      <c r="D33" s="50">
        <v>10</v>
      </c>
      <c r="E33" s="50">
        <v>2</v>
      </c>
      <c r="F33" s="50">
        <v>50</v>
      </c>
      <c r="G33" s="50">
        <v>0</v>
      </c>
      <c r="H33" s="57">
        <v>0</v>
      </c>
      <c r="I33" s="57">
        <v>9</v>
      </c>
      <c r="J33" s="50">
        <v>11</v>
      </c>
      <c r="K33" s="50">
        <v>5</v>
      </c>
      <c r="L33" s="50">
        <v>1</v>
      </c>
      <c r="M33" s="50">
        <v>97</v>
      </c>
      <c r="N33" s="50">
        <v>0</v>
      </c>
      <c r="O33" s="15">
        <f t="shared" si="0"/>
        <v>143</v>
      </c>
      <c r="P33" s="15">
        <f t="shared" si="1"/>
        <v>240</v>
      </c>
    </row>
    <row r="34" spans="2:20" ht="23.1" customHeight="1" x14ac:dyDescent="0.25">
      <c r="B34" s="24" t="s">
        <v>61</v>
      </c>
      <c r="C34" s="50">
        <v>27</v>
      </c>
      <c r="D34" s="50">
        <v>23</v>
      </c>
      <c r="E34" s="50">
        <v>6</v>
      </c>
      <c r="F34" s="50">
        <v>35</v>
      </c>
      <c r="G34" s="50">
        <v>1</v>
      </c>
      <c r="H34" s="57">
        <v>1</v>
      </c>
      <c r="I34" s="57">
        <v>22</v>
      </c>
      <c r="J34" s="50">
        <v>6</v>
      </c>
      <c r="K34" s="50">
        <v>3</v>
      </c>
      <c r="L34" s="50">
        <v>0</v>
      </c>
      <c r="M34" s="50">
        <v>110</v>
      </c>
      <c r="N34" s="50">
        <v>0</v>
      </c>
      <c r="O34" s="15">
        <f t="shared" si="0"/>
        <v>124</v>
      </c>
      <c r="P34" s="15">
        <f t="shared" si="1"/>
        <v>234</v>
      </c>
    </row>
    <row r="35" spans="2:20" ht="23.1" customHeight="1" x14ac:dyDescent="0.25">
      <c r="B35" s="24" t="s">
        <v>62</v>
      </c>
      <c r="C35" s="50">
        <v>33</v>
      </c>
      <c r="D35" s="50">
        <v>4</v>
      </c>
      <c r="E35" s="50">
        <v>3</v>
      </c>
      <c r="F35" s="50">
        <v>36</v>
      </c>
      <c r="G35" s="50">
        <v>2</v>
      </c>
      <c r="H35" s="57">
        <v>0</v>
      </c>
      <c r="I35" s="57">
        <v>4</v>
      </c>
      <c r="J35" s="50">
        <v>6</v>
      </c>
      <c r="K35" s="50">
        <v>5</v>
      </c>
      <c r="L35" s="50">
        <v>1</v>
      </c>
      <c r="M35" s="50">
        <v>115</v>
      </c>
      <c r="N35" s="50">
        <v>0</v>
      </c>
      <c r="O35" s="15">
        <f t="shared" si="0"/>
        <v>94</v>
      </c>
      <c r="P35" s="15">
        <f t="shared" si="1"/>
        <v>209</v>
      </c>
    </row>
    <row r="36" spans="2:20" ht="23.1" customHeight="1" x14ac:dyDescent="0.25">
      <c r="B36" s="24" t="s">
        <v>63</v>
      </c>
      <c r="C36" s="50">
        <v>65</v>
      </c>
      <c r="D36" s="50">
        <v>15</v>
      </c>
      <c r="E36" s="50">
        <v>9</v>
      </c>
      <c r="F36" s="50">
        <v>33</v>
      </c>
      <c r="G36" s="50">
        <v>0</v>
      </c>
      <c r="H36" s="57">
        <v>0</v>
      </c>
      <c r="I36" s="57">
        <v>12</v>
      </c>
      <c r="J36" s="50">
        <v>5</v>
      </c>
      <c r="K36" s="50">
        <v>1</v>
      </c>
      <c r="L36" s="50">
        <v>1</v>
      </c>
      <c r="M36" s="50">
        <v>99</v>
      </c>
      <c r="N36" s="50">
        <v>0</v>
      </c>
      <c r="O36" s="15">
        <f t="shared" si="0"/>
        <v>141</v>
      </c>
      <c r="P36" s="15">
        <f t="shared" si="1"/>
        <v>240</v>
      </c>
    </row>
    <row r="37" spans="2:20" ht="23.1" customHeight="1" x14ac:dyDescent="0.25">
      <c r="B37" s="23" t="s">
        <v>64</v>
      </c>
      <c r="C37" s="50">
        <v>39</v>
      </c>
      <c r="D37" s="50">
        <v>15</v>
      </c>
      <c r="E37" s="50">
        <v>9</v>
      </c>
      <c r="F37" s="50">
        <v>51</v>
      </c>
      <c r="G37" s="50">
        <v>0</v>
      </c>
      <c r="H37" s="57">
        <v>0</v>
      </c>
      <c r="I37" s="57">
        <v>13</v>
      </c>
      <c r="J37" s="50">
        <v>2</v>
      </c>
      <c r="K37" s="50">
        <v>2</v>
      </c>
      <c r="L37" s="50">
        <v>3</v>
      </c>
      <c r="M37" s="50">
        <v>112</v>
      </c>
      <c r="N37" s="50">
        <v>0</v>
      </c>
      <c r="O37" s="15">
        <f t="shared" si="0"/>
        <v>134</v>
      </c>
      <c r="P37" s="15">
        <f t="shared" si="1"/>
        <v>246</v>
      </c>
    </row>
    <row r="38" spans="2:20" ht="23.1" customHeight="1" x14ac:dyDescent="0.25">
      <c r="B38" s="24" t="s">
        <v>65</v>
      </c>
      <c r="C38" s="50">
        <v>45</v>
      </c>
      <c r="D38" s="50">
        <v>2</v>
      </c>
      <c r="E38" s="50">
        <v>8</v>
      </c>
      <c r="F38" s="50">
        <v>47</v>
      </c>
      <c r="G38" s="50">
        <v>1</v>
      </c>
      <c r="H38" s="57">
        <v>0</v>
      </c>
      <c r="I38" s="57">
        <v>10</v>
      </c>
      <c r="J38" s="50">
        <v>4</v>
      </c>
      <c r="K38" s="50">
        <v>1</v>
      </c>
      <c r="L38" s="50">
        <v>1</v>
      </c>
      <c r="M38" s="50">
        <v>90</v>
      </c>
      <c r="N38" s="50">
        <v>0</v>
      </c>
      <c r="O38" s="15">
        <f t="shared" si="0"/>
        <v>119</v>
      </c>
      <c r="P38" s="15">
        <f t="shared" si="1"/>
        <v>209</v>
      </c>
    </row>
    <row r="39" spans="2:20" ht="23.1" customHeight="1" x14ac:dyDescent="0.25">
      <c r="B39" s="24" t="s">
        <v>66</v>
      </c>
      <c r="C39" s="50">
        <v>42</v>
      </c>
      <c r="D39" s="50">
        <v>6</v>
      </c>
      <c r="E39" s="50">
        <v>10</v>
      </c>
      <c r="F39" s="50">
        <v>28</v>
      </c>
      <c r="G39" s="50">
        <v>0</v>
      </c>
      <c r="H39" s="57">
        <v>1</v>
      </c>
      <c r="I39" s="57">
        <v>17</v>
      </c>
      <c r="J39" s="50">
        <v>1</v>
      </c>
      <c r="K39" s="50">
        <v>2</v>
      </c>
      <c r="L39" s="50">
        <v>0</v>
      </c>
      <c r="M39" s="50">
        <v>88</v>
      </c>
      <c r="N39" s="50">
        <v>0</v>
      </c>
      <c r="O39" s="15">
        <f t="shared" si="0"/>
        <v>107</v>
      </c>
      <c r="P39" s="15">
        <f t="shared" si="1"/>
        <v>195</v>
      </c>
    </row>
    <row r="40" spans="2:20" ht="23.1" customHeight="1" x14ac:dyDescent="0.25">
      <c r="B40" s="24" t="s">
        <v>67</v>
      </c>
      <c r="C40" s="50">
        <v>61</v>
      </c>
      <c r="D40" s="50">
        <v>5</v>
      </c>
      <c r="E40" s="50">
        <v>8</v>
      </c>
      <c r="F40" s="50">
        <v>24</v>
      </c>
      <c r="G40" s="50">
        <v>0</v>
      </c>
      <c r="H40" s="57">
        <v>0</v>
      </c>
      <c r="I40" s="57">
        <v>11</v>
      </c>
      <c r="J40" s="50">
        <v>3</v>
      </c>
      <c r="K40" s="50">
        <v>1</v>
      </c>
      <c r="L40" s="50">
        <v>0</v>
      </c>
      <c r="M40" s="50">
        <v>73</v>
      </c>
      <c r="N40" s="50">
        <v>0</v>
      </c>
      <c r="O40" s="15">
        <f t="shared" si="0"/>
        <v>113</v>
      </c>
      <c r="P40" s="15">
        <f t="shared" si="1"/>
        <v>186</v>
      </c>
    </row>
    <row r="41" spans="2:20" ht="23.1" customHeight="1" x14ac:dyDescent="0.25">
      <c r="B41" s="23" t="s">
        <v>68</v>
      </c>
      <c r="C41" s="50">
        <v>48</v>
      </c>
      <c r="D41" s="50">
        <v>8</v>
      </c>
      <c r="E41" s="50">
        <v>6</v>
      </c>
      <c r="F41" s="50">
        <v>37</v>
      </c>
      <c r="G41" s="50">
        <v>0</v>
      </c>
      <c r="H41" s="57">
        <v>2</v>
      </c>
      <c r="I41" s="57">
        <v>7</v>
      </c>
      <c r="J41" s="50">
        <v>0</v>
      </c>
      <c r="K41" s="50">
        <v>6</v>
      </c>
      <c r="L41" s="50">
        <v>0</v>
      </c>
      <c r="M41" s="50">
        <v>71</v>
      </c>
      <c r="N41" s="50">
        <v>0</v>
      </c>
      <c r="O41" s="15">
        <f t="shared" si="0"/>
        <v>114</v>
      </c>
      <c r="P41" s="15">
        <f t="shared" si="1"/>
        <v>185</v>
      </c>
    </row>
    <row r="42" spans="2:20" ht="23.1" customHeight="1" x14ac:dyDescent="0.25">
      <c r="B42" s="24" t="s">
        <v>69</v>
      </c>
      <c r="C42" s="50">
        <v>37</v>
      </c>
      <c r="D42" s="50">
        <v>10</v>
      </c>
      <c r="E42" s="50">
        <v>3</v>
      </c>
      <c r="F42" s="50">
        <v>35</v>
      </c>
      <c r="G42" s="50">
        <v>1</v>
      </c>
      <c r="H42" s="57">
        <v>0</v>
      </c>
      <c r="I42" s="57">
        <v>17</v>
      </c>
      <c r="J42" s="50">
        <v>5</v>
      </c>
      <c r="K42" s="50">
        <v>4</v>
      </c>
      <c r="L42" s="50">
        <v>0</v>
      </c>
      <c r="M42" s="50">
        <v>94</v>
      </c>
      <c r="N42" s="50">
        <v>0</v>
      </c>
      <c r="O42" s="15">
        <f t="shared" si="0"/>
        <v>112</v>
      </c>
      <c r="P42" s="15">
        <f t="shared" si="1"/>
        <v>206</v>
      </c>
    </row>
    <row r="43" spans="2:20" ht="23.1" customHeight="1" x14ac:dyDescent="0.25">
      <c r="B43" s="23" t="s">
        <v>70</v>
      </c>
      <c r="C43" s="50">
        <v>65</v>
      </c>
      <c r="D43" s="50">
        <v>7</v>
      </c>
      <c r="E43" s="50">
        <v>14</v>
      </c>
      <c r="F43" s="50">
        <v>28</v>
      </c>
      <c r="G43" s="50">
        <v>0</v>
      </c>
      <c r="H43" s="57">
        <v>1</v>
      </c>
      <c r="I43" s="57">
        <v>15</v>
      </c>
      <c r="J43" s="50">
        <v>3</v>
      </c>
      <c r="K43" s="50">
        <v>1</v>
      </c>
      <c r="L43" s="50">
        <v>0</v>
      </c>
      <c r="M43" s="50">
        <v>87</v>
      </c>
      <c r="N43" s="50">
        <v>0</v>
      </c>
      <c r="O43" s="15">
        <f t="shared" si="0"/>
        <v>134</v>
      </c>
      <c r="P43" s="15">
        <f t="shared" si="1"/>
        <v>221</v>
      </c>
    </row>
    <row r="44" spans="2:20" ht="23.1" customHeight="1" x14ac:dyDescent="0.25">
      <c r="B44" s="25" t="s">
        <v>71</v>
      </c>
      <c r="C44" s="50">
        <v>42</v>
      </c>
      <c r="D44" s="50">
        <v>4</v>
      </c>
      <c r="E44" s="50">
        <v>8</v>
      </c>
      <c r="F44" s="50">
        <v>42</v>
      </c>
      <c r="G44" s="50">
        <v>0</v>
      </c>
      <c r="H44" s="57">
        <v>1</v>
      </c>
      <c r="I44" s="57">
        <v>10</v>
      </c>
      <c r="J44" s="50">
        <v>2</v>
      </c>
      <c r="K44" s="50">
        <v>2</v>
      </c>
      <c r="L44" s="50">
        <v>0</v>
      </c>
      <c r="M44" s="50">
        <v>85</v>
      </c>
      <c r="N44" s="50">
        <v>0</v>
      </c>
      <c r="O44" s="15">
        <f t="shared" si="0"/>
        <v>111</v>
      </c>
      <c r="P44" s="15">
        <f t="shared" si="1"/>
        <v>196</v>
      </c>
    </row>
    <row r="45" spans="2:20" ht="23.1" customHeight="1" x14ac:dyDescent="0.25">
      <c r="B45" s="23" t="s">
        <v>72</v>
      </c>
      <c r="C45" s="50">
        <v>43</v>
      </c>
      <c r="D45" s="50">
        <v>9</v>
      </c>
      <c r="E45" s="50">
        <v>4</v>
      </c>
      <c r="F45" s="50">
        <v>32</v>
      </c>
      <c r="G45" s="50">
        <v>0</v>
      </c>
      <c r="H45" s="57">
        <v>1</v>
      </c>
      <c r="I45" s="57">
        <v>11</v>
      </c>
      <c r="J45" s="50">
        <v>3</v>
      </c>
      <c r="K45" s="50">
        <v>4</v>
      </c>
      <c r="L45" s="50">
        <v>0</v>
      </c>
      <c r="M45" s="50">
        <v>63</v>
      </c>
      <c r="N45" s="50">
        <v>0</v>
      </c>
      <c r="O45" s="15">
        <f t="shared" si="0"/>
        <v>107</v>
      </c>
      <c r="P45" s="15">
        <f t="shared" si="1"/>
        <v>170</v>
      </c>
    </row>
    <row r="46" spans="2:20" ht="23.1" customHeight="1" x14ac:dyDescent="0.25">
      <c r="B46" s="24" t="s">
        <v>73</v>
      </c>
      <c r="C46" s="50">
        <v>34</v>
      </c>
      <c r="D46" s="50">
        <v>8</v>
      </c>
      <c r="E46" s="50">
        <v>10</v>
      </c>
      <c r="F46" s="50">
        <v>21</v>
      </c>
      <c r="G46" s="50">
        <v>0</v>
      </c>
      <c r="H46" s="57">
        <v>1</v>
      </c>
      <c r="I46" s="57">
        <v>19</v>
      </c>
      <c r="J46" s="50">
        <v>3</v>
      </c>
      <c r="K46" s="50">
        <v>5</v>
      </c>
      <c r="L46" s="50">
        <v>0</v>
      </c>
      <c r="M46" s="50">
        <v>77</v>
      </c>
      <c r="N46" s="50">
        <v>0</v>
      </c>
      <c r="O46" s="15">
        <f t="shared" si="0"/>
        <v>101</v>
      </c>
      <c r="P46" s="15">
        <f t="shared" si="1"/>
        <v>178</v>
      </c>
      <c r="R46" s="8"/>
      <c r="T46"/>
    </row>
    <row r="47" spans="2:20" ht="23.1" customHeight="1" x14ac:dyDescent="0.25">
      <c r="B47" s="24" t="s">
        <v>74</v>
      </c>
      <c r="C47" s="50">
        <v>58</v>
      </c>
      <c r="D47" s="50">
        <v>10</v>
      </c>
      <c r="E47" s="50">
        <v>15</v>
      </c>
      <c r="F47" s="50">
        <v>39</v>
      </c>
      <c r="G47" s="50">
        <v>0</v>
      </c>
      <c r="H47" s="57">
        <v>0</v>
      </c>
      <c r="I47" s="57">
        <v>3</v>
      </c>
      <c r="J47" s="50">
        <v>11</v>
      </c>
      <c r="K47" s="50">
        <v>1</v>
      </c>
      <c r="L47" s="50">
        <v>0</v>
      </c>
      <c r="M47" s="50">
        <v>77</v>
      </c>
      <c r="N47" s="50">
        <v>0</v>
      </c>
      <c r="O47" s="15">
        <f t="shared" si="0"/>
        <v>137</v>
      </c>
      <c r="P47" s="15">
        <f t="shared" si="1"/>
        <v>214</v>
      </c>
      <c r="R47" s="8"/>
      <c r="T47"/>
    </row>
    <row r="48" spans="2:20" ht="23.1" customHeight="1" x14ac:dyDescent="0.25">
      <c r="B48" s="24" t="s">
        <v>75</v>
      </c>
      <c r="C48" s="50">
        <v>52</v>
      </c>
      <c r="D48" s="50">
        <v>13</v>
      </c>
      <c r="E48" s="50">
        <v>11</v>
      </c>
      <c r="F48" s="50">
        <v>28</v>
      </c>
      <c r="G48" s="50">
        <v>0</v>
      </c>
      <c r="H48" s="57">
        <v>3</v>
      </c>
      <c r="I48" s="57">
        <v>9</v>
      </c>
      <c r="J48" s="50">
        <v>1</v>
      </c>
      <c r="K48" s="50">
        <v>3</v>
      </c>
      <c r="L48" s="50">
        <v>2</v>
      </c>
      <c r="M48" s="50">
        <v>85</v>
      </c>
      <c r="N48" s="50">
        <v>0</v>
      </c>
      <c r="O48" s="15">
        <f t="shared" si="0"/>
        <v>122</v>
      </c>
      <c r="P48" s="15">
        <f t="shared" si="1"/>
        <v>207</v>
      </c>
      <c r="R48" s="8"/>
      <c r="T48"/>
    </row>
    <row r="49" spans="2:20" ht="23.1" customHeight="1" x14ac:dyDescent="0.25">
      <c r="B49" s="23" t="s">
        <v>76</v>
      </c>
      <c r="C49" s="50">
        <v>41</v>
      </c>
      <c r="D49" s="50">
        <v>11</v>
      </c>
      <c r="E49" s="50">
        <v>9</v>
      </c>
      <c r="F49" s="50">
        <v>41</v>
      </c>
      <c r="G49" s="50">
        <v>0</v>
      </c>
      <c r="H49" s="57">
        <v>2</v>
      </c>
      <c r="I49" s="57">
        <v>10</v>
      </c>
      <c r="J49" s="50">
        <v>2</v>
      </c>
      <c r="K49" s="50">
        <v>4</v>
      </c>
      <c r="L49" s="50">
        <v>1</v>
      </c>
      <c r="M49" s="50">
        <v>108</v>
      </c>
      <c r="N49" s="50">
        <v>1</v>
      </c>
      <c r="O49" s="15">
        <f t="shared" si="0"/>
        <v>122</v>
      </c>
      <c r="P49" s="15">
        <f t="shared" si="1"/>
        <v>230</v>
      </c>
      <c r="R49" s="8"/>
      <c r="T49"/>
    </row>
    <row r="50" spans="2:20" ht="23.1" customHeight="1" x14ac:dyDescent="0.25">
      <c r="B50" s="24" t="s">
        <v>77</v>
      </c>
      <c r="C50" s="50">
        <v>62</v>
      </c>
      <c r="D50" s="50">
        <v>3</v>
      </c>
      <c r="E50" s="50">
        <v>3</v>
      </c>
      <c r="F50" s="50">
        <v>42</v>
      </c>
      <c r="G50" s="50">
        <v>0</v>
      </c>
      <c r="H50" s="57">
        <v>0</v>
      </c>
      <c r="I50" s="57">
        <v>3</v>
      </c>
      <c r="J50" s="50">
        <v>1</v>
      </c>
      <c r="K50" s="50">
        <v>0</v>
      </c>
      <c r="L50" s="50">
        <v>1</v>
      </c>
      <c r="M50" s="50">
        <v>91</v>
      </c>
      <c r="N50" s="50">
        <v>0</v>
      </c>
      <c r="O50" s="15">
        <f t="shared" si="0"/>
        <v>115</v>
      </c>
      <c r="P50" s="15">
        <f t="shared" si="1"/>
        <v>206</v>
      </c>
      <c r="R50" s="8"/>
      <c r="T50"/>
    </row>
    <row r="51" spans="2:20" ht="23.1" customHeight="1" x14ac:dyDescent="0.25">
      <c r="B51" s="24" t="s">
        <v>78</v>
      </c>
      <c r="C51" s="50">
        <v>71</v>
      </c>
      <c r="D51" s="50">
        <v>14</v>
      </c>
      <c r="E51" s="50">
        <v>6</v>
      </c>
      <c r="F51" s="50">
        <v>42</v>
      </c>
      <c r="G51" s="50">
        <v>1</v>
      </c>
      <c r="H51" s="57">
        <v>1</v>
      </c>
      <c r="I51" s="57">
        <v>13</v>
      </c>
      <c r="J51" s="50">
        <v>1</v>
      </c>
      <c r="K51" s="50">
        <v>1</v>
      </c>
      <c r="L51" s="50">
        <v>1</v>
      </c>
      <c r="M51" s="50">
        <v>120</v>
      </c>
      <c r="N51" s="50">
        <v>0</v>
      </c>
      <c r="O51" s="15">
        <f t="shared" si="0"/>
        <v>151</v>
      </c>
      <c r="P51" s="15">
        <f t="shared" si="1"/>
        <v>271</v>
      </c>
      <c r="R51" s="8"/>
      <c r="T51"/>
    </row>
    <row r="52" spans="2:20" ht="23.1" customHeight="1" x14ac:dyDescent="0.25">
      <c r="B52" s="24" t="s">
        <v>79</v>
      </c>
      <c r="C52" s="50">
        <v>71</v>
      </c>
      <c r="D52" s="50">
        <v>6</v>
      </c>
      <c r="E52" s="50">
        <v>11</v>
      </c>
      <c r="F52" s="50">
        <v>43</v>
      </c>
      <c r="G52" s="50">
        <v>1</v>
      </c>
      <c r="H52" s="57">
        <v>0</v>
      </c>
      <c r="I52" s="57">
        <v>5</v>
      </c>
      <c r="J52" s="50">
        <v>0</v>
      </c>
      <c r="K52" s="50">
        <v>2</v>
      </c>
      <c r="L52" s="50">
        <v>0</v>
      </c>
      <c r="M52" s="50">
        <v>115</v>
      </c>
      <c r="N52" s="50">
        <v>0</v>
      </c>
      <c r="O52" s="15">
        <f t="shared" si="0"/>
        <v>139</v>
      </c>
      <c r="P52" s="15">
        <f t="shared" si="1"/>
        <v>254</v>
      </c>
      <c r="R52" s="8"/>
      <c r="T52"/>
    </row>
    <row r="53" spans="2:20" ht="23.1" customHeight="1" x14ac:dyDescent="0.25">
      <c r="B53" s="23" t="s">
        <v>80</v>
      </c>
      <c r="C53" s="50">
        <v>60</v>
      </c>
      <c r="D53" s="50">
        <v>7</v>
      </c>
      <c r="E53" s="50">
        <v>8</v>
      </c>
      <c r="F53" s="50">
        <v>44</v>
      </c>
      <c r="G53" s="50">
        <v>2</v>
      </c>
      <c r="H53" s="57">
        <v>1</v>
      </c>
      <c r="I53" s="57">
        <v>8</v>
      </c>
      <c r="J53" s="50">
        <v>1</v>
      </c>
      <c r="K53" s="50">
        <v>0</v>
      </c>
      <c r="L53" s="50">
        <v>0</v>
      </c>
      <c r="M53" s="50">
        <v>99</v>
      </c>
      <c r="N53" s="50">
        <v>0</v>
      </c>
      <c r="O53" s="15">
        <f t="shared" si="0"/>
        <v>131</v>
      </c>
      <c r="P53" s="15">
        <f t="shared" si="1"/>
        <v>230</v>
      </c>
      <c r="R53" s="8"/>
      <c r="T53"/>
    </row>
    <row r="54" spans="2:20" ht="23.1" customHeight="1" x14ac:dyDescent="0.25">
      <c r="B54" s="23" t="s">
        <v>81</v>
      </c>
      <c r="C54" s="50">
        <v>57</v>
      </c>
      <c r="D54" s="50">
        <v>11</v>
      </c>
      <c r="E54" s="50">
        <v>7</v>
      </c>
      <c r="F54" s="50">
        <v>48</v>
      </c>
      <c r="G54" s="50">
        <v>0</v>
      </c>
      <c r="H54" s="57">
        <v>2</v>
      </c>
      <c r="I54" s="57">
        <v>7</v>
      </c>
      <c r="J54" s="50">
        <v>1</v>
      </c>
      <c r="K54" s="50">
        <v>1</v>
      </c>
      <c r="L54" s="50">
        <v>0</v>
      </c>
      <c r="M54" s="50">
        <v>145</v>
      </c>
      <c r="N54" s="50">
        <v>0</v>
      </c>
      <c r="O54" s="15">
        <f t="shared" si="0"/>
        <v>134</v>
      </c>
      <c r="P54" s="15">
        <f t="shared" si="1"/>
        <v>279</v>
      </c>
      <c r="R54" s="8"/>
      <c r="T54"/>
    </row>
    <row r="55" spans="2:20" ht="23.1" customHeight="1" x14ac:dyDescent="0.25">
      <c r="B55" s="23" t="s">
        <v>82</v>
      </c>
      <c r="C55" s="50">
        <v>70</v>
      </c>
      <c r="D55" s="50">
        <v>15</v>
      </c>
      <c r="E55" s="50">
        <v>5</v>
      </c>
      <c r="F55" s="50">
        <v>46</v>
      </c>
      <c r="G55" s="50">
        <v>14</v>
      </c>
      <c r="H55" s="57">
        <v>0</v>
      </c>
      <c r="I55" s="57">
        <v>8</v>
      </c>
      <c r="J55" s="50">
        <v>2</v>
      </c>
      <c r="K55" s="50">
        <v>0</v>
      </c>
      <c r="L55" s="50">
        <v>0</v>
      </c>
      <c r="M55" s="50">
        <v>111</v>
      </c>
      <c r="N55" s="50">
        <v>0</v>
      </c>
      <c r="O55" s="15">
        <f t="shared" si="0"/>
        <v>160</v>
      </c>
      <c r="P55" s="15">
        <f t="shared" si="1"/>
        <v>271</v>
      </c>
      <c r="R55" s="8"/>
      <c r="T55"/>
    </row>
    <row r="56" spans="2:20" ht="23.1" customHeight="1" x14ac:dyDescent="0.25">
      <c r="B56" s="23" t="s">
        <v>83</v>
      </c>
      <c r="C56" s="50">
        <v>75</v>
      </c>
      <c r="D56" s="50">
        <v>18</v>
      </c>
      <c r="E56" s="50">
        <v>3</v>
      </c>
      <c r="F56" s="50">
        <v>50</v>
      </c>
      <c r="G56" s="50">
        <v>2</v>
      </c>
      <c r="H56" s="57">
        <v>0</v>
      </c>
      <c r="I56" s="57">
        <v>8</v>
      </c>
      <c r="J56" s="50">
        <v>1</v>
      </c>
      <c r="K56" s="50">
        <v>0</v>
      </c>
      <c r="L56" s="50">
        <v>0</v>
      </c>
      <c r="M56" s="50">
        <v>127</v>
      </c>
      <c r="N56" s="50">
        <v>0</v>
      </c>
      <c r="O56" s="15">
        <f t="shared" si="0"/>
        <v>157</v>
      </c>
      <c r="P56" s="15">
        <f t="shared" si="1"/>
        <v>284</v>
      </c>
      <c r="R56" s="8"/>
      <c r="T56"/>
    </row>
    <row r="57" spans="2:20" ht="23.1" customHeight="1" x14ac:dyDescent="0.25">
      <c r="B57" s="23" t="s">
        <v>84</v>
      </c>
      <c r="C57" s="50">
        <v>95</v>
      </c>
      <c r="D57" s="50">
        <v>25</v>
      </c>
      <c r="E57" s="50">
        <v>10</v>
      </c>
      <c r="F57" s="50">
        <v>100</v>
      </c>
      <c r="G57" s="50">
        <v>1</v>
      </c>
      <c r="H57" s="57">
        <v>1</v>
      </c>
      <c r="I57" s="57">
        <v>7</v>
      </c>
      <c r="J57" s="50">
        <v>1</v>
      </c>
      <c r="K57" s="50">
        <v>0</v>
      </c>
      <c r="L57" s="50">
        <v>0</v>
      </c>
      <c r="M57" s="50">
        <v>125</v>
      </c>
      <c r="N57" s="50">
        <v>0</v>
      </c>
      <c r="O57" s="15">
        <f t="shared" si="0"/>
        <v>240</v>
      </c>
      <c r="P57" s="15">
        <f t="shared" si="1"/>
        <v>365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2088</v>
      </c>
      <c r="D58" s="16">
        <f t="shared" si="21"/>
        <v>494</v>
      </c>
      <c r="E58" s="16">
        <f t="shared" si="21"/>
        <v>355</v>
      </c>
      <c r="F58" s="16">
        <f t="shared" si="21"/>
        <v>2030</v>
      </c>
      <c r="G58" s="16">
        <f t="shared" si="21"/>
        <v>35</v>
      </c>
      <c r="H58" s="58">
        <f t="shared" si="21"/>
        <v>27</v>
      </c>
      <c r="I58" s="58">
        <f t="shared" si="21"/>
        <v>526</v>
      </c>
      <c r="J58" s="16">
        <f t="shared" si="21"/>
        <v>156</v>
      </c>
      <c r="K58" s="16">
        <f t="shared" si="21"/>
        <v>128</v>
      </c>
      <c r="L58" s="16">
        <f t="shared" si="21"/>
        <v>17</v>
      </c>
      <c r="M58" s="16">
        <f t="shared" si="21"/>
        <v>4929</v>
      </c>
      <c r="N58" s="16">
        <f t="shared" si="21"/>
        <v>3</v>
      </c>
      <c r="O58" s="16">
        <f t="shared" si="21"/>
        <v>5859</v>
      </c>
      <c r="P58" s="16">
        <f t="shared" si="21"/>
        <v>10788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0.19354838709677419</v>
      </c>
      <c r="D59" s="43">
        <f t="shared" si="22"/>
        <v>4.5791620318872822E-2</v>
      </c>
      <c r="E59" s="43">
        <f t="shared" si="22"/>
        <v>3.2906933629959216E-2</v>
      </c>
      <c r="F59" s="43">
        <f t="shared" si="22"/>
        <v>0.18817204301075269</v>
      </c>
      <c r="G59" s="43">
        <f t="shared" si="22"/>
        <v>3.2443455691509083E-3</v>
      </c>
      <c r="H59" s="59">
        <f t="shared" si="22"/>
        <v>2.5027808676307008E-3</v>
      </c>
      <c r="I59" s="59">
        <f t="shared" si="22"/>
        <v>4.8757879124953656E-2</v>
      </c>
      <c r="J59" s="43">
        <f t="shared" si="22"/>
        <v>1.4460511679644048E-2</v>
      </c>
      <c r="K59" s="43">
        <f t="shared" si="22"/>
        <v>1.1865035224323322E-2</v>
      </c>
      <c r="L59" s="43">
        <f t="shared" si="22"/>
        <v>1.5758249907304412E-3</v>
      </c>
      <c r="M59" s="43">
        <f t="shared" si="22"/>
        <v>0.45689655172413796</v>
      </c>
      <c r="N59" s="43">
        <f t="shared" si="22"/>
        <v>2.7808676307007786E-4</v>
      </c>
      <c r="R59" s="8"/>
      <c r="T59"/>
    </row>
    <row r="60" spans="2:20" ht="23.1" customHeight="1" x14ac:dyDescent="0.25">
      <c r="B60" s="42" t="s">
        <v>94</v>
      </c>
      <c r="C60" s="44">
        <f>C58/$O$58</f>
        <v>0.35637480798771121</v>
      </c>
      <c r="D60" s="44">
        <f t="shared" ref="D60:N60" si="23">D58/$O$58</f>
        <v>8.4314729476019798E-2</v>
      </c>
      <c r="E60" s="44">
        <f t="shared" si="23"/>
        <v>6.0590544461512207E-2</v>
      </c>
      <c r="F60" s="44">
        <f t="shared" si="23"/>
        <v>0.34647550776583036</v>
      </c>
      <c r="G60" s="44">
        <f t="shared" si="23"/>
        <v>5.9737156511350063E-3</v>
      </c>
      <c r="H60" s="60">
        <f t="shared" si="23"/>
        <v>4.608294930875576E-3</v>
      </c>
      <c r="I60" s="60">
        <f t="shared" si="23"/>
        <v>8.9776412357057522E-2</v>
      </c>
      <c r="J60" s="44">
        <f t="shared" si="23"/>
        <v>2.6625704045058884E-2</v>
      </c>
      <c r="K60" s="44">
        <f t="shared" si="23"/>
        <v>2.184673152415088E-2</v>
      </c>
      <c r="L60" s="44">
        <f t="shared" si="23"/>
        <v>2.9015190305512885E-3</v>
      </c>
      <c r="M60" s="44"/>
      <c r="N60" s="44">
        <f t="shared" si="23"/>
        <v>5.1203277009728623E-4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61"/>
      <c r="I61" s="61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61"/>
      <c r="I62" s="61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61"/>
      <c r="I63" s="61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61"/>
      <c r="I64" s="61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61"/>
      <c r="I65" s="61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61"/>
      <c r="I66" s="61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61"/>
      <c r="I67" s="61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61"/>
      <c r="I68" s="61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61"/>
      <c r="I69" s="61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61"/>
      <c r="I70" s="61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61"/>
      <c r="I71" s="61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61"/>
      <c r="I72" s="61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61"/>
      <c r="I73" s="61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61"/>
      <c r="I74" s="61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61"/>
      <c r="I75" s="61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61"/>
      <c r="I76" s="61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61"/>
      <c r="I77" s="61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61"/>
      <c r="I78" s="61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61"/>
      <c r="I79" s="61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61"/>
      <c r="I80" s="61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61"/>
      <c r="I81" s="61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61"/>
      <c r="I82" s="61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61"/>
      <c r="I83" s="61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61"/>
      <c r="I84" s="61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61"/>
      <c r="I85" s="61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61"/>
      <c r="I86" s="61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61"/>
      <c r="I87" s="61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61"/>
      <c r="I88" s="61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61"/>
      <c r="I89" s="61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61"/>
      <c r="I90" s="61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61"/>
      <c r="I91" s="61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61"/>
      <c r="I92" s="61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61"/>
      <c r="I93" s="61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61"/>
      <c r="I94" s="61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61"/>
      <c r="I95" s="61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61"/>
      <c r="I96" s="61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61"/>
      <c r="I97" s="61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61"/>
      <c r="I98" s="61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61"/>
      <c r="I99" s="61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61"/>
      <c r="I100" s="61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61"/>
      <c r="I101" s="61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61"/>
      <c r="I102" s="61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61"/>
      <c r="I103" s="61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61"/>
      <c r="I104" s="61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61"/>
      <c r="I105" s="61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61"/>
      <c r="I106" s="61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61"/>
      <c r="I107" s="61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61"/>
      <c r="I108" s="61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61"/>
      <c r="I109" s="61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61"/>
      <c r="I110" s="61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61"/>
      <c r="I111" s="61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61"/>
      <c r="I112" s="61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61"/>
      <c r="I113" s="61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61"/>
      <c r="I114" s="61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61"/>
      <c r="I115" s="61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61"/>
      <c r="I116" s="61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61"/>
      <c r="I117" s="61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61"/>
      <c r="I118" s="61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61"/>
      <c r="I119" s="61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61"/>
      <c r="I120" s="61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61"/>
      <c r="I121" s="61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61"/>
      <c r="I122" s="61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61"/>
      <c r="I123" s="61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61"/>
      <c r="I124" s="61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61"/>
      <c r="I125" s="61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61"/>
      <c r="I126" s="61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S52" sqref="S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style="53" customWidth="1"/>
    <col min="9" max="9" width="11" style="53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81" t="str">
        <f>'23.09.Gayaza-Kasangati'!C3:G3</f>
        <v>MCC - C2 - STN-69- Gayaza- ROAD</v>
      </c>
      <c r="D3" s="81"/>
      <c r="E3" s="81"/>
      <c r="F3" s="81"/>
      <c r="G3" s="8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'25.09 Kasangati-Gayaza'!D5</f>
        <v>25.09.19</v>
      </c>
      <c r="E5" s="3"/>
      <c r="F5" s="41" t="s">
        <v>1</v>
      </c>
      <c r="G5" s="82" t="str">
        <f>'23.09. KASANGATI-GAYAZA'!G5:H5</f>
        <v>TOTAL BULAMU</v>
      </c>
      <c r="H5" s="83"/>
      <c r="I5" s="52"/>
      <c r="J5" s="2" t="s">
        <v>5</v>
      </c>
      <c r="K5" s="82" t="s">
        <v>175</v>
      </c>
      <c r="L5" s="83"/>
      <c r="M5" s="10"/>
      <c r="N5" s="10"/>
      <c r="O5" s="3"/>
      <c r="P5" s="3"/>
    </row>
    <row r="6" spans="2:32" ht="23.25" customHeight="1" x14ac:dyDescent="0.25">
      <c r="C6" s="2" t="s">
        <v>4</v>
      </c>
      <c r="D6" s="82" t="str">
        <f>'23.09.Gayaza-Kasangati'!D6:E6</f>
        <v>Gayaza</v>
      </c>
      <c r="E6" s="83"/>
      <c r="F6" s="2" t="s">
        <v>2</v>
      </c>
      <c r="G6" s="82" t="str">
        <f>'23.09.Gayaza-Kasangati'!G6:H6</f>
        <v>Kasangati</v>
      </c>
      <c r="H6" s="83"/>
      <c r="J6" s="2" t="s">
        <v>21</v>
      </c>
      <c r="K6" s="82" t="str">
        <f>'23.09. KASANGATI-GAYAZA'!K6:L6</f>
        <v>LAWRENCE</v>
      </c>
      <c r="L6" s="8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54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55"/>
      <c r="I8" s="55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56" t="s">
        <v>29</v>
      </c>
      <c r="I9" s="56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116</v>
      </c>
      <c r="D10" s="50">
        <v>8</v>
      </c>
      <c r="E10" s="50">
        <v>7</v>
      </c>
      <c r="F10" s="50">
        <v>53</v>
      </c>
      <c r="G10" s="50">
        <v>0</v>
      </c>
      <c r="H10" s="57">
        <v>1</v>
      </c>
      <c r="I10" s="57">
        <v>4</v>
      </c>
      <c r="J10" s="50">
        <v>7</v>
      </c>
      <c r="K10" s="50">
        <v>2</v>
      </c>
      <c r="L10" s="50">
        <v>0</v>
      </c>
      <c r="M10" s="50">
        <v>135</v>
      </c>
      <c r="N10" s="50">
        <v>0</v>
      </c>
      <c r="O10" s="15">
        <f t="shared" ref="O10:O57" si="0">SUM(C10:L10,N10)</f>
        <v>198</v>
      </c>
      <c r="P10" s="15">
        <f t="shared" ref="P10:P57" si="1">SUM(C10:N10)</f>
        <v>333</v>
      </c>
      <c r="R10" s="1" t="s">
        <v>6</v>
      </c>
      <c r="S10" s="17">
        <f t="shared" ref="S10:AF10" si="2">SUM(C10:C13)</f>
        <v>424</v>
      </c>
      <c r="T10" s="17">
        <f t="shared" si="2"/>
        <v>29</v>
      </c>
      <c r="U10" s="17">
        <f t="shared" si="2"/>
        <v>29</v>
      </c>
      <c r="V10" s="17">
        <f t="shared" si="2"/>
        <v>198</v>
      </c>
      <c r="W10" s="17">
        <f t="shared" si="2"/>
        <v>4</v>
      </c>
      <c r="X10" s="17">
        <f t="shared" si="2"/>
        <v>4</v>
      </c>
      <c r="Y10" s="17">
        <f t="shared" si="2"/>
        <v>22</v>
      </c>
      <c r="Z10" s="17">
        <f t="shared" si="2"/>
        <v>15</v>
      </c>
      <c r="AA10" s="17">
        <f t="shared" si="2"/>
        <v>3</v>
      </c>
      <c r="AB10" s="17">
        <f t="shared" si="2"/>
        <v>1</v>
      </c>
      <c r="AC10" s="17">
        <f t="shared" si="2"/>
        <v>645</v>
      </c>
      <c r="AD10" s="17">
        <f t="shared" si="2"/>
        <v>0</v>
      </c>
      <c r="AE10" s="31">
        <f t="shared" si="2"/>
        <v>729</v>
      </c>
      <c r="AF10" s="31">
        <f t="shared" si="2"/>
        <v>1374</v>
      </c>
    </row>
    <row r="11" spans="2:32" s="6" customFormat="1" ht="23.1" customHeight="1" x14ac:dyDescent="0.25">
      <c r="B11" s="23" t="s">
        <v>38</v>
      </c>
      <c r="C11" s="50">
        <v>114</v>
      </c>
      <c r="D11" s="50">
        <v>6</v>
      </c>
      <c r="E11" s="50">
        <v>8</v>
      </c>
      <c r="F11" s="50">
        <v>53</v>
      </c>
      <c r="G11" s="50">
        <v>2</v>
      </c>
      <c r="H11" s="57">
        <v>1</v>
      </c>
      <c r="I11" s="57">
        <v>6</v>
      </c>
      <c r="J11" s="50">
        <v>3</v>
      </c>
      <c r="K11" s="50">
        <v>0</v>
      </c>
      <c r="L11" s="50">
        <v>0</v>
      </c>
      <c r="M11" s="50">
        <v>138</v>
      </c>
      <c r="N11" s="50">
        <v>0</v>
      </c>
      <c r="O11" s="15">
        <f t="shared" si="0"/>
        <v>193</v>
      </c>
      <c r="P11" s="15">
        <f t="shared" si="1"/>
        <v>331</v>
      </c>
      <c r="R11" s="1" t="s">
        <v>7</v>
      </c>
      <c r="S11" s="17">
        <f t="shared" ref="S11:AF11" si="3">SUM(C14:C17)</f>
        <v>263</v>
      </c>
      <c r="T11" s="17">
        <f t="shared" si="3"/>
        <v>36</v>
      </c>
      <c r="U11" s="17">
        <f t="shared" si="3"/>
        <v>26</v>
      </c>
      <c r="V11" s="17">
        <f t="shared" si="3"/>
        <v>166</v>
      </c>
      <c r="W11" s="17">
        <f t="shared" si="3"/>
        <v>1</v>
      </c>
      <c r="X11" s="17">
        <f t="shared" si="3"/>
        <v>4</v>
      </c>
      <c r="Y11" s="17">
        <f t="shared" si="3"/>
        <v>19</v>
      </c>
      <c r="Z11" s="17">
        <f t="shared" si="3"/>
        <v>16</v>
      </c>
      <c r="AA11" s="17">
        <f t="shared" si="3"/>
        <v>17</v>
      </c>
      <c r="AB11" s="17">
        <f t="shared" si="3"/>
        <v>2</v>
      </c>
      <c r="AC11" s="17">
        <f t="shared" si="3"/>
        <v>689</v>
      </c>
      <c r="AD11" s="17">
        <f t="shared" si="3"/>
        <v>0</v>
      </c>
      <c r="AE11" s="31">
        <f t="shared" si="3"/>
        <v>550</v>
      </c>
      <c r="AF11" s="31">
        <f t="shared" si="3"/>
        <v>1239</v>
      </c>
    </row>
    <row r="12" spans="2:32" ht="23.1" customHeight="1" x14ac:dyDescent="0.25">
      <c r="B12" s="23" t="s">
        <v>39</v>
      </c>
      <c r="C12" s="50">
        <v>98</v>
      </c>
      <c r="D12" s="50">
        <v>7</v>
      </c>
      <c r="E12" s="50">
        <v>7</v>
      </c>
      <c r="F12" s="50">
        <v>45</v>
      </c>
      <c r="G12" s="50">
        <v>2</v>
      </c>
      <c r="H12" s="57">
        <v>2</v>
      </c>
      <c r="I12" s="57">
        <v>8</v>
      </c>
      <c r="J12" s="50">
        <v>0</v>
      </c>
      <c r="K12" s="50">
        <v>0</v>
      </c>
      <c r="L12" s="50">
        <v>0</v>
      </c>
      <c r="M12" s="50">
        <v>185</v>
      </c>
      <c r="N12" s="50">
        <v>0</v>
      </c>
      <c r="O12" s="15">
        <f t="shared" si="0"/>
        <v>169</v>
      </c>
      <c r="P12" s="15">
        <f t="shared" si="1"/>
        <v>354</v>
      </c>
      <c r="R12" s="1" t="s">
        <v>8</v>
      </c>
      <c r="S12" s="17">
        <f t="shared" ref="S12:AF12" si="4">SUM(C18:C21)</f>
        <v>220</v>
      </c>
      <c r="T12" s="17">
        <f t="shared" si="4"/>
        <v>33</v>
      </c>
      <c r="U12" s="17">
        <f t="shared" si="4"/>
        <v>22</v>
      </c>
      <c r="V12" s="17">
        <f t="shared" si="4"/>
        <v>155</v>
      </c>
      <c r="W12" s="17">
        <f t="shared" si="4"/>
        <v>2</v>
      </c>
      <c r="X12" s="17">
        <f t="shared" si="4"/>
        <v>0</v>
      </c>
      <c r="Y12" s="17">
        <f t="shared" si="4"/>
        <v>19</v>
      </c>
      <c r="Z12" s="17">
        <f t="shared" si="4"/>
        <v>11</v>
      </c>
      <c r="AA12" s="17">
        <f t="shared" si="4"/>
        <v>4</v>
      </c>
      <c r="AB12" s="17">
        <f t="shared" si="4"/>
        <v>0</v>
      </c>
      <c r="AC12" s="17">
        <f t="shared" si="4"/>
        <v>457</v>
      </c>
      <c r="AD12" s="17">
        <f t="shared" si="4"/>
        <v>0</v>
      </c>
      <c r="AE12" s="31">
        <f t="shared" si="4"/>
        <v>466</v>
      </c>
      <c r="AF12" s="31">
        <f t="shared" si="4"/>
        <v>923</v>
      </c>
    </row>
    <row r="13" spans="2:32" ht="23.1" customHeight="1" x14ac:dyDescent="0.25">
      <c r="B13" s="23" t="s">
        <v>40</v>
      </c>
      <c r="C13" s="50">
        <v>96</v>
      </c>
      <c r="D13" s="50">
        <v>8</v>
      </c>
      <c r="E13" s="50">
        <v>7</v>
      </c>
      <c r="F13" s="50">
        <v>47</v>
      </c>
      <c r="G13" s="50">
        <v>0</v>
      </c>
      <c r="H13" s="57">
        <v>0</v>
      </c>
      <c r="I13" s="57">
        <v>4</v>
      </c>
      <c r="J13" s="50">
        <v>5</v>
      </c>
      <c r="K13" s="50">
        <v>1</v>
      </c>
      <c r="L13" s="50">
        <v>1</v>
      </c>
      <c r="M13" s="50">
        <v>187</v>
      </c>
      <c r="N13" s="50">
        <v>0</v>
      </c>
      <c r="O13" s="15">
        <f t="shared" si="0"/>
        <v>169</v>
      </c>
      <c r="P13" s="15">
        <f t="shared" si="1"/>
        <v>356</v>
      </c>
      <c r="R13" s="1" t="s">
        <v>9</v>
      </c>
      <c r="S13" s="17">
        <f t="shared" ref="S13:AF13" si="5">SUM(C22:C25)</f>
        <v>208</v>
      </c>
      <c r="T13" s="17">
        <f t="shared" si="5"/>
        <v>20</v>
      </c>
      <c r="U13" s="17">
        <f t="shared" si="5"/>
        <v>25</v>
      </c>
      <c r="V13" s="17">
        <f t="shared" si="5"/>
        <v>147</v>
      </c>
      <c r="W13" s="17">
        <f t="shared" si="5"/>
        <v>0</v>
      </c>
      <c r="X13" s="17">
        <f t="shared" si="5"/>
        <v>1</v>
      </c>
      <c r="Y13" s="17">
        <f t="shared" si="5"/>
        <v>11</v>
      </c>
      <c r="Z13" s="17">
        <f t="shared" si="5"/>
        <v>25</v>
      </c>
      <c r="AA13" s="17">
        <f t="shared" si="5"/>
        <v>10</v>
      </c>
      <c r="AB13" s="17">
        <f t="shared" si="5"/>
        <v>0</v>
      </c>
      <c r="AC13" s="17">
        <f t="shared" si="5"/>
        <v>325</v>
      </c>
      <c r="AD13" s="17">
        <f t="shared" si="5"/>
        <v>0</v>
      </c>
      <c r="AE13" s="31">
        <f t="shared" si="5"/>
        <v>447</v>
      </c>
      <c r="AF13" s="31">
        <f t="shared" si="5"/>
        <v>772</v>
      </c>
    </row>
    <row r="14" spans="2:32" ht="23.1" customHeight="1" x14ac:dyDescent="0.25">
      <c r="B14" s="23" t="s">
        <v>41</v>
      </c>
      <c r="C14" s="50">
        <v>88</v>
      </c>
      <c r="D14" s="50">
        <v>10</v>
      </c>
      <c r="E14" s="50">
        <v>10</v>
      </c>
      <c r="F14" s="50">
        <v>45</v>
      </c>
      <c r="G14" s="50">
        <v>0</v>
      </c>
      <c r="H14" s="57">
        <v>1</v>
      </c>
      <c r="I14" s="57">
        <v>6</v>
      </c>
      <c r="J14" s="50">
        <v>0</v>
      </c>
      <c r="K14" s="50">
        <v>9</v>
      </c>
      <c r="L14" s="50">
        <v>2</v>
      </c>
      <c r="M14" s="50">
        <v>179</v>
      </c>
      <c r="N14" s="50">
        <v>0</v>
      </c>
      <c r="O14" s="15">
        <f t="shared" si="0"/>
        <v>171</v>
      </c>
      <c r="P14" s="15">
        <f t="shared" si="1"/>
        <v>350</v>
      </c>
      <c r="R14" s="1" t="s">
        <v>10</v>
      </c>
      <c r="S14" s="17">
        <f t="shared" ref="S14:AF14" si="6">SUM(C26:C29)</f>
        <v>175</v>
      </c>
      <c r="T14" s="17">
        <f t="shared" si="6"/>
        <v>24</v>
      </c>
      <c r="U14" s="17">
        <f t="shared" si="6"/>
        <v>36</v>
      </c>
      <c r="V14" s="17">
        <f t="shared" si="6"/>
        <v>154</v>
      </c>
      <c r="W14" s="17">
        <f t="shared" si="6"/>
        <v>1</v>
      </c>
      <c r="X14" s="17">
        <f t="shared" si="6"/>
        <v>2</v>
      </c>
      <c r="Y14" s="17">
        <f t="shared" si="6"/>
        <v>45</v>
      </c>
      <c r="Z14" s="17">
        <f t="shared" si="6"/>
        <v>16</v>
      </c>
      <c r="AA14" s="17">
        <f t="shared" si="6"/>
        <v>18</v>
      </c>
      <c r="AB14" s="17">
        <f t="shared" si="6"/>
        <v>1</v>
      </c>
      <c r="AC14" s="17">
        <f t="shared" si="6"/>
        <v>383</v>
      </c>
      <c r="AD14" s="17">
        <f t="shared" si="6"/>
        <v>0</v>
      </c>
      <c r="AE14" s="31">
        <f t="shared" si="6"/>
        <v>472</v>
      </c>
      <c r="AF14" s="31">
        <f t="shared" si="6"/>
        <v>855</v>
      </c>
    </row>
    <row r="15" spans="2:32" ht="23.1" customHeight="1" x14ac:dyDescent="0.25">
      <c r="B15" s="23" t="s">
        <v>42</v>
      </c>
      <c r="C15" s="50">
        <v>55</v>
      </c>
      <c r="D15" s="50">
        <v>10</v>
      </c>
      <c r="E15" s="50">
        <v>6</v>
      </c>
      <c r="F15" s="50">
        <v>45</v>
      </c>
      <c r="G15" s="50">
        <v>0</v>
      </c>
      <c r="H15" s="57">
        <v>1</v>
      </c>
      <c r="I15" s="57">
        <v>2</v>
      </c>
      <c r="J15" s="50">
        <v>10</v>
      </c>
      <c r="K15" s="50">
        <v>3</v>
      </c>
      <c r="L15" s="50">
        <v>0</v>
      </c>
      <c r="M15" s="50">
        <v>168</v>
      </c>
      <c r="N15" s="50">
        <v>0</v>
      </c>
      <c r="O15" s="15">
        <f t="shared" si="0"/>
        <v>132</v>
      </c>
      <c r="P15" s="15">
        <f t="shared" si="1"/>
        <v>300</v>
      </c>
      <c r="R15" s="1" t="s">
        <v>11</v>
      </c>
      <c r="S15" s="17">
        <f t="shared" ref="S15:AF15" si="7">SUM(C30:C33)</f>
        <v>180</v>
      </c>
      <c r="T15" s="17">
        <f t="shared" si="7"/>
        <v>28</v>
      </c>
      <c r="U15" s="17">
        <f t="shared" si="7"/>
        <v>23</v>
      </c>
      <c r="V15" s="17">
        <f t="shared" si="7"/>
        <v>112</v>
      </c>
      <c r="W15" s="17">
        <f t="shared" si="7"/>
        <v>0</v>
      </c>
      <c r="X15" s="17">
        <f t="shared" si="7"/>
        <v>2</v>
      </c>
      <c r="Y15" s="17">
        <f t="shared" si="7"/>
        <v>28</v>
      </c>
      <c r="Z15" s="17">
        <f t="shared" si="7"/>
        <v>11</v>
      </c>
      <c r="AA15" s="17">
        <f t="shared" si="7"/>
        <v>11</v>
      </c>
      <c r="AB15" s="17">
        <f t="shared" si="7"/>
        <v>1</v>
      </c>
      <c r="AC15" s="17">
        <f t="shared" si="7"/>
        <v>319</v>
      </c>
      <c r="AD15" s="17">
        <f t="shared" si="7"/>
        <v>0</v>
      </c>
      <c r="AE15" s="31">
        <f t="shared" si="7"/>
        <v>396</v>
      </c>
      <c r="AF15" s="31">
        <f t="shared" si="7"/>
        <v>715</v>
      </c>
    </row>
    <row r="16" spans="2:32" ht="23.1" customHeight="1" x14ac:dyDescent="0.25">
      <c r="B16" s="23" t="s">
        <v>43</v>
      </c>
      <c r="C16" s="50">
        <v>58</v>
      </c>
      <c r="D16" s="50">
        <v>9</v>
      </c>
      <c r="E16" s="50">
        <v>5</v>
      </c>
      <c r="F16" s="50">
        <v>35</v>
      </c>
      <c r="G16" s="50">
        <v>0</v>
      </c>
      <c r="H16" s="57">
        <v>2</v>
      </c>
      <c r="I16" s="57">
        <v>7</v>
      </c>
      <c r="J16" s="50">
        <v>1</v>
      </c>
      <c r="K16" s="50">
        <v>3</v>
      </c>
      <c r="L16" s="50">
        <v>0</v>
      </c>
      <c r="M16" s="50">
        <v>181</v>
      </c>
      <c r="N16" s="50">
        <v>0</v>
      </c>
      <c r="O16" s="15">
        <f t="shared" si="0"/>
        <v>120</v>
      </c>
      <c r="P16" s="15">
        <f t="shared" si="1"/>
        <v>301</v>
      </c>
      <c r="R16" s="1" t="s">
        <v>12</v>
      </c>
      <c r="S16" s="17">
        <f t="shared" ref="S16:AF16" si="8">SUM(C34:C37)</f>
        <v>167</v>
      </c>
      <c r="T16" s="17">
        <f t="shared" si="8"/>
        <v>18</v>
      </c>
      <c r="U16" s="17">
        <f t="shared" si="8"/>
        <v>24</v>
      </c>
      <c r="V16" s="17">
        <f t="shared" si="8"/>
        <v>110</v>
      </c>
      <c r="W16" s="17">
        <f t="shared" si="8"/>
        <v>1</v>
      </c>
      <c r="X16" s="17">
        <f t="shared" si="8"/>
        <v>1</v>
      </c>
      <c r="Y16" s="17">
        <f t="shared" si="8"/>
        <v>26</v>
      </c>
      <c r="Z16" s="17">
        <f t="shared" si="8"/>
        <v>16</v>
      </c>
      <c r="AA16" s="17">
        <f t="shared" si="8"/>
        <v>14</v>
      </c>
      <c r="AB16" s="17">
        <f t="shared" si="8"/>
        <v>0</v>
      </c>
      <c r="AC16" s="17">
        <f t="shared" si="8"/>
        <v>330</v>
      </c>
      <c r="AD16" s="17">
        <f t="shared" si="8"/>
        <v>0</v>
      </c>
      <c r="AE16" s="31">
        <f t="shared" si="8"/>
        <v>377</v>
      </c>
      <c r="AF16" s="31">
        <f t="shared" si="8"/>
        <v>707</v>
      </c>
    </row>
    <row r="17" spans="2:32" ht="23.1" customHeight="1" x14ac:dyDescent="0.25">
      <c r="B17" s="23" t="s">
        <v>44</v>
      </c>
      <c r="C17" s="50">
        <v>62</v>
      </c>
      <c r="D17" s="50">
        <v>7</v>
      </c>
      <c r="E17" s="50">
        <v>5</v>
      </c>
      <c r="F17" s="50">
        <v>41</v>
      </c>
      <c r="G17" s="50">
        <v>1</v>
      </c>
      <c r="H17" s="57">
        <v>0</v>
      </c>
      <c r="I17" s="57">
        <v>4</v>
      </c>
      <c r="J17" s="50">
        <v>5</v>
      </c>
      <c r="K17" s="50">
        <v>2</v>
      </c>
      <c r="L17" s="50">
        <v>0</v>
      </c>
      <c r="M17" s="50">
        <v>161</v>
      </c>
      <c r="N17" s="50">
        <v>0</v>
      </c>
      <c r="O17" s="15">
        <f t="shared" si="0"/>
        <v>127</v>
      </c>
      <c r="P17" s="15">
        <f t="shared" si="1"/>
        <v>288</v>
      </c>
      <c r="R17" s="1" t="s">
        <v>13</v>
      </c>
      <c r="S17" s="17">
        <f t="shared" ref="S17:AF17" si="9">SUM(C38:C41)</f>
        <v>186</v>
      </c>
      <c r="T17" s="17">
        <f t="shared" si="9"/>
        <v>26</v>
      </c>
      <c r="U17" s="17">
        <f t="shared" si="9"/>
        <v>19</v>
      </c>
      <c r="V17" s="17">
        <f t="shared" si="9"/>
        <v>121</v>
      </c>
      <c r="W17" s="17">
        <f t="shared" si="9"/>
        <v>2</v>
      </c>
      <c r="X17" s="17">
        <f t="shared" si="9"/>
        <v>1</v>
      </c>
      <c r="Y17" s="17">
        <f t="shared" si="9"/>
        <v>33</v>
      </c>
      <c r="Z17" s="17">
        <f t="shared" si="9"/>
        <v>25</v>
      </c>
      <c r="AA17" s="17">
        <f t="shared" si="9"/>
        <v>6</v>
      </c>
      <c r="AB17" s="17">
        <f t="shared" si="9"/>
        <v>1</v>
      </c>
      <c r="AC17" s="17">
        <f t="shared" si="9"/>
        <v>287</v>
      </c>
      <c r="AD17" s="17">
        <f t="shared" si="9"/>
        <v>0</v>
      </c>
      <c r="AE17" s="31">
        <f t="shared" si="9"/>
        <v>420</v>
      </c>
      <c r="AF17" s="31">
        <f t="shared" si="9"/>
        <v>707</v>
      </c>
    </row>
    <row r="18" spans="2:32" ht="23.1" customHeight="1" x14ac:dyDescent="0.25">
      <c r="B18" s="23" t="s">
        <v>45</v>
      </c>
      <c r="C18" s="50">
        <v>49</v>
      </c>
      <c r="D18" s="50">
        <v>8</v>
      </c>
      <c r="E18" s="50">
        <v>6</v>
      </c>
      <c r="F18" s="50">
        <v>43</v>
      </c>
      <c r="G18" s="50">
        <v>1</v>
      </c>
      <c r="H18" s="57">
        <v>0</v>
      </c>
      <c r="I18" s="57">
        <v>4</v>
      </c>
      <c r="J18" s="50">
        <v>0</v>
      </c>
      <c r="K18" s="50">
        <v>0</v>
      </c>
      <c r="L18" s="50">
        <v>0</v>
      </c>
      <c r="M18" s="50">
        <v>81</v>
      </c>
      <c r="N18" s="50">
        <v>0</v>
      </c>
      <c r="O18" s="15">
        <f t="shared" si="0"/>
        <v>111</v>
      </c>
      <c r="P18" s="15">
        <f t="shared" si="1"/>
        <v>192</v>
      </c>
      <c r="R18" s="1" t="s">
        <v>14</v>
      </c>
      <c r="S18" s="17">
        <f t="shared" ref="S18:AF18" si="10">SUM(C42:C45)</f>
        <v>190</v>
      </c>
      <c r="T18" s="17">
        <f t="shared" si="10"/>
        <v>30</v>
      </c>
      <c r="U18" s="17">
        <f t="shared" si="10"/>
        <v>27</v>
      </c>
      <c r="V18" s="17">
        <f t="shared" si="10"/>
        <v>117</v>
      </c>
      <c r="W18" s="17">
        <f t="shared" si="10"/>
        <v>5</v>
      </c>
      <c r="X18" s="17">
        <f t="shared" si="10"/>
        <v>1</v>
      </c>
      <c r="Y18" s="17">
        <f t="shared" si="10"/>
        <v>41</v>
      </c>
      <c r="Z18" s="17">
        <f t="shared" si="10"/>
        <v>17</v>
      </c>
      <c r="AA18" s="17">
        <f t="shared" si="10"/>
        <v>13</v>
      </c>
      <c r="AB18" s="17">
        <f t="shared" si="10"/>
        <v>0</v>
      </c>
      <c r="AC18" s="17">
        <f t="shared" si="10"/>
        <v>254</v>
      </c>
      <c r="AD18" s="17">
        <f t="shared" si="10"/>
        <v>1</v>
      </c>
      <c r="AE18" s="31">
        <f t="shared" si="10"/>
        <v>442</v>
      </c>
      <c r="AF18" s="31">
        <f t="shared" si="10"/>
        <v>696</v>
      </c>
    </row>
    <row r="19" spans="2:32" ht="23.1" customHeight="1" x14ac:dyDescent="0.25">
      <c r="B19" s="23" t="s">
        <v>46</v>
      </c>
      <c r="C19" s="50">
        <v>59</v>
      </c>
      <c r="D19" s="50">
        <v>8</v>
      </c>
      <c r="E19" s="50">
        <v>8</v>
      </c>
      <c r="F19" s="50">
        <v>37</v>
      </c>
      <c r="G19" s="50">
        <v>1</v>
      </c>
      <c r="H19" s="57">
        <v>0</v>
      </c>
      <c r="I19" s="57">
        <v>1</v>
      </c>
      <c r="J19" s="50">
        <v>6</v>
      </c>
      <c r="K19" s="50">
        <v>1</v>
      </c>
      <c r="L19" s="50">
        <v>0</v>
      </c>
      <c r="M19" s="50">
        <v>113</v>
      </c>
      <c r="N19" s="50">
        <v>0</v>
      </c>
      <c r="O19" s="15">
        <f t="shared" si="0"/>
        <v>121</v>
      </c>
      <c r="P19" s="15">
        <f t="shared" si="1"/>
        <v>234</v>
      </c>
      <c r="R19" s="1" t="s">
        <v>15</v>
      </c>
      <c r="S19" s="17">
        <f t="shared" ref="S19:AF19" si="11">SUM(C46:C49)</f>
        <v>235</v>
      </c>
      <c r="T19" s="17">
        <f t="shared" si="11"/>
        <v>43</v>
      </c>
      <c r="U19" s="17">
        <f t="shared" si="11"/>
        <v>28</v>
      </c>
      <c r="V19" s="17">
        <f t="shared" si="11"/>
        <v>143</v>
      </c>
      <c r="W19" s="17">
        <f t="shared" si="11"/>
        <v>5</v>
      </c>
      <c r="X19" s="17">
        <f t="shared" si="11"/>
        <v>1</v>
      </c>
      <c r="Y19" s="17">
        <f t="shared" si="11"/>
        <v>66</v>
      </c>
      <c r="Z19" s="17">
        <f t="shared" si="11"/>
        <v>11</v>
      </c>
      <c r="AA19" s="17">
        <f t="shared" si="11"/>
        <v>8</v>
      </c>
      <c r="AB19" s="17">
        <f t="shared" si="11"/>
        <v>0</v>
      </c>
      <c r="AC19" s="17">
        <f t="shared" si="11"/>
        <v>371</v>
      </c>
      <c r="AD19" s="17">
        <f t="shared" si="11"/>
        <v>0</v>
      </c>
      <c r="AE19" s="31">
        <f t="shared" si="11"/>
        <v>540</v>
      </c>
      <c r="AF19" s="31">
        <f t="shared" si="11"/>
        <v>911</v>
      </c>
    </row>
    <row r="20" spans="2:32" ht="23.1" customHeight="1" x14ac:dyDescent="0.25">
      <c r="B20" s="23" t="s">
        <v>47</v>
      </c>
      <c r="C20" s="50">
        <v>62</v>
      </c>
      <c r="D20" s="50">
        <v>14</v>
      </c>
      <c r="E20" s="50">
        <v>5</v>
      </c>
      <c r="F20" s="50">
        <v>40</v>
      </c>
      <c r="G20" s="50">
        <v>0</v>
      </c>
      <c r="H20" s="57">
        <v>0</v>
      </c>
      <c r="I20" s="57">
        <v>9</v>
      </c>
      <c r="J20" s="50">
        <v>2</v>
      </c>
      <c r="K20" s="50">
        <v>2</v>
      </c>
      <c r="L20" s="50">
        <v>0</v>
      </c>
      <c r="M20" s="50">
        <v>145</v>
      </c>
      <c r="N20" s="50">
        <v>0</v>
      </c>
      <c r="O20" s="15">
        <f t="shared" si="0"/>
        <v>134</v>
      </c>
      <c r="P20" s="15">
        <f t="shared" si="1"/>
        <v>279</v>
      </c>
      <c r="R20" s="1" t="s">
        <v>16</v>
      </c>
      <c r="S20" s="17">
        <f t="shared" ref="S20:AF20" si="12">SUM(C50:C53)</f>
        <v>256</v>
      </c>
      <c r="T20" s="17">
        <f t="shared" si="12"/>
        <v>27</v>
      </c>
      <c r="U20" s="17">
        <f t="shared" si="12"/>
        <v>28</v>
      </c>
      <c r="V20" s="17">
        <f t="shared" si="12"/>
        <v>143</v>
      </c>
      <c r="W20" s="17">
        <f t="shared" si="12"/>
        <v>4</v>
      </c>
      <c r="X20" s="17">
        <f t="shared" si="12"/>
        <v>4</v>
      </c>
      <c r="Y20" s="17">
        <f t="shared" si="12"/>
        <v>41</v>
      </c>
      <c r="Z20" s="17">
        <f t="shared" si="12"/>
        <v>13</v>
      </c>
      <c r="AA20" s="17">
        <f t="shared" si="12"/>
        <v>7</v>
      </c>
      <c r="AB20" s="17">
        <f t="shared" si="12"/>
        <v>1</v>
      </c>
      <c r="AC20" s="17">
        <f t="shared" si="12"/>
        <v>467</v>
      </c>
      <c r="AD20" s="17">
        <f t="shared" si="12"/>
        <v>0</v>
      </c>
      <c r="AE20" s="31">
        <f t="shared" si="12"/>
        <v>524</v>
      </c>
      <c r="AF20" s="31">
        <f t="shared" si="12"/>
        <v>991</v>
      </c>
    </row>
    <row r="21" spans="2:32" ht="23.1" customHeight="1" x14ac:dyDescent="0.25">
      <c r="B21" s="23" t="s">
        <v>48</v>
      </c>
      <c r="C21" s="50">
        <v>50</v>
      </c>
      <c r="D21" s="50">
        <v>3</v>
      </c>
      <c r="E21" s="50">
        <v>3</v>
      </c>
      <c r="F21" s="50">
        <v>35</v>
      </c>
      <c r="G21" s="50">
        <v>0</v>
      </c>
      <c r="H21" s="57">
        <v>0</v>
      </c>
      <c r="I21" s="57">
        <v>5</v>
      </c>
      <c r="J21" s="50">
        <v>3</v>
      </c>
      <c r="K21" s="50">
        <v>1</v>
      </c>
      <c r="L21" s="50">
        <v>0</v>
      </c>
      <c r="M21" s="50">
        <v>118</v>
      </c>
      <c r="N21" s="50">
        <v>0</v>
      </c>
      <c r="O21" s="15">
        <f t="shared" si="0"/>
        <v>100</v>
      </c>
      <c r="P21" s="15">
        <f t="shared" si="1"/>
        <v>218</v>
      </c>
      <c r="R21" s="36" t="s">
        <v>20</v>
      </c>
      <c r="S21" s="34">
        <f t="shared" ref="S21:AF21" si="13">SUM(C54:C57)</f>
        <v>235</v>
      </c>
      <c r="T21" s="17">
        <f t="shared" si="13"/>
        <v>43</v>
      </c>
      <c r="U21" s="17">
        <f t="shared" si="13"/>
        <v>35</v>
      </c>
      <c r="V21" s="17">
        <f t="shared" si="13"/>
        <v>177</v>
      </c>
      <c r="W21" s="17">
        <f t="shared" si="13"/>
        <v>7</v>
      </c>
      <c r="X21" s="17">
        <f t="shared" si="13"/>
        <v>4</v>
      </c>
      <c r="Y21" s="17">
        <f t="shared" si="13"/>
        <v>33</v>
      </c>
      <c r="Z21" s="17">
        <f t="shared" si="13"/>
        <v>9</v>
      </c>
      <c r="AA21" s="17">
        <f t="shared" si="13"/>
        <v>9</v>
      </c>
      <c r="AB21" s="17">
        <f t="shared" si="13"/>
        <v>2</v>
      </c>
      <c r="AC21" s="17">
        <f t="shared" si="13"/>
        <v>408</v>
      </c>
      <c r="AD21" s="17">
        <f t="shared" si="13"/>
        <v>0</v>
      </c>
      <c r="AE21" s="31">
        <f t="shared" si="13"/>
        <v>554</v>
      </c>
      <c r="AF21" s="31">
        <f t="shared" si="13"/>
        <v>962</v>
      </c>
    </row>
    <row r="22" spans="2:32" ht="23.1" customHeight="1" x14ac:dyDescent="0.25">
      <c r="B22" s="23" t="s">
        <v>49</v>
      </c>
      <c r="C22" s="50">
        <v>55</v>
      </c>
      <c r="D22" s="50">
        <v>5</v>
      </c>
      <c r="E22" s="50">
        <v>5</v>
      </c>
      <c r="F22" s="50">
        <v>34</v>
      </c>
      <c r="G22" s="50">
        <v>0</v>
      </c>
      <c r="H22" s="57">
        <v>0</v>
      </c>
      <c r="I22" s="57">
        <v>0</v>
      </c>
      <c r="J22" s="50">
        <v>4</v>
      </c>
      <c r="K22" s="50">
        <v>2</v>
      </c>
      <c r="L22" s="50">
        <v>0</v>
      </c>
      <c r="M22" s="50">
        <v>70</v>
      </c>
      <c r="N22" s="50">
        <v>0</v>
      </c>
      <c r="O22" s="15">
        <f t="shared" si="0"/>
        <v>105</v>
      </c>
      <c r="P22" s="15">
        <f t="shared" si="1"/>
        <v>175</v>
      </c>
      <c r="R22" s="38" t="s">
        <v>90</v>
      </c>
      <c r="S22" s="39">
        <f>MAX(S10:S12)</f>
        <v>424</v>
      </c>
      <c r="T22" s="39">
        <f t="shared" ref="T22:AF22" si="14">MAX(T10:T12)</f>
        <v>36</v>
      </c>
      <c r="U22" s="39">
        <f t="shared" si="14"/>
        <v>29</v>
      </c>
      <c r="V22" s="39">
        <f t="shared" si="14"/>
        <v>198</v>
      </c>
      <c r="W22" s="39">
        <f t="shared" si="14"/>
        <v>4</v>
      </c>
      <c r="X22" s="39">
        <f t="shared" si="14"/>
        <v>4</v>
      </c>
      <c r="Y22" s="39">
        <f t="shared" si="14"/>
        <v>22</v>
      </c>
      <c r="Z22" s="39">
        <f t="shared" si="14"/>
        <v>16</v>
      </c>
      <c r="AA22" s="39">
        <f t="shared" si="14"/>
        <v>17</v>
      </c>
      <c r="AB22" s="39">
        <f t="shared" si="14"/>
        <v>2</v>
      </c>
      <c r="AC22" s="39">
        <f t="shared" si="14"/>
        <v>689</v>
      </c>
      <c r="AD22" s="39">
        <f t="shared" si="14"/>
        <v>0</v>
      </c>
      <c r="AE22" s="40">
        <f t="shared" si="14"/>
        <v>729</v>
      </c>
      <c r="AF22" s="40">
        <f t="shared" si="14"/>
        <v>1374</v>
      </c>
    </row>
    <row r="23" spans="2:32" ht="23.1" customHeight="1" x14ac:dyDescent="0.25">
      <c r="B23" s="23" t="s">
        <v>50</v>
      </c>
      <c r="C23" s="50">
        <v>48</v>
      </c>
      <c r="D23" s="50">
        <v>2</v>
      </c>
      <c r="E23" s="50">
        <v>8</v>
      </c>
      <c r="F23" s="50">
        <v>37</v>
      </c>
      <c r="G23" s="50">
        <v>0</v>
      </c>
      <c r="H23" s="57">
        <v>1</v>
      </c>
      <c r="I23" s="57">
        <v>7</v>
      </c>
      <c r="J23" s="50">
        <v>3</v>
      </c>
      <c r="K23" s="50">
        <v>3</v>
      </c>
      <c r="L23" s="50">
        <v>0</v>
      </c>
      <c r="M23" s="50">
        <v>66</v>
      </c>
      <c r="N23" s="50">
        <v>0</v>
      </c>
      <c r="O23" s="15">
        <f t="shared" si="0"/>
        <v>109</v>
      </c>
      <c r="P23" s="15">
        <f t="shared" si="1"/>
        <v>175</v>
      </c>
      <c r="R23" s="38" t="s">
        <v>91</v>
      </c>
      <c r="S23" s="39">
        <f>MAX(S13:S18)</f>
        <v>208</v>
      </c>
      <c r="T23" s="39">
        <f t="shared" ref="T23:AF23" si="15">MAX(T13:T18)</f>
        <v>30</v>
      </c>
      <c r="U23" s="39">
        <f t="shared" si="15"/>
        <v>36</v>
      </c>
      <c r="V23" s="39">
        <f t="shared" si="15"/>
        <v>154</v>
      </c>
      <c r="W23" s="39">
        <f t="shared" si="15"/>
        <v>5</v>
      </c>
      <c r="X23" s="39">
        <f t="shared" si="15"/>
        <v>2</v>
      </c>
      <c r="Y23" s="39">
        <f t="shared" si="15"/>
        <v>45</v>
      </c>
      <c r="Z23" s="39">
        <f t="shared" si="15"/>
        <v>25</v>
      </c>
      <c r="AA23" s="39">
        <f t="shared" si="15"/>
        <v>18</v>
      </c>
      <c r="AB23" s="39">
        <f t="shared" si="15"/>
        <v>1</v>
      </c>
      <c r="AC23" s="39">
        <f t="shared" si="15"/>
        <v>383</v>
      </c>
      <c r="AD23" s="39">
        <f t="shared" si="15"/>
        <v>1</v>
      </c>
      <c r="AE23" s="40">
        <f t="shared" si="15"/>
        <v>472</v>
      </c>
      <c r="AF23" s="40">
        <f t="shared" si="15"/>
        <v>855</v>
      </c>
    </row>
    <row r="24" spans="2:32" ht="23.1" customHeight="1" x14ac:dyDescent="0.25">
      <c r="B24" s="23" t="s">
        <v>51</v>
      </c>
      <c r="C24" s="50">
        <v>58</v>
      </c>
      <c r="D24" s="50">
        <v>6</v>
      </c>
      <c r="E24" s="50">
        <v>10</v>
      </c>
      <c r="F24" s="50">
        <v>46</v>
      </c>
      <c r="G24" s="50">
        <v>0</v>
      </c>
      <c r="H24" s="57">
        <v>0</v>
      </c>
      <c r="I24" s="57">
        <v>2</v>
      </c>
      <c r="J24" s="50">
        <v>11</v>
      </c>
      <c r="K24" s="50">
        <v>2</v>
      </c>
      <c r="L24" s="50">
        <v>0</v>
      </c>
      <c r="M24" s="50">
        <v>101</v>
      </c>
      <c r="N24" s="50">
        <v>0</v>
      </c>
      <c r="O24" s="15">
        <f t="shared" si="0"/>
        <v>135</v>
      </c>
      <c r="P24" s="15">
        <f t="shared" si="1"/>
        <v>236</v>
      </c>
      <c r="R24" s="38" t="s">
        <v>92</v>
      </c>
      <c r="S24" s="39">
        <f>MAX(S19:S21)</f>
        <v>256</v>
      </c>
      <c r="T24" s="39">
        <f t="shared" ref="T24:AF24" si="16">MAX(T19:T21)</f>
        <v>43</v>
      </c>
      <c r="U24" s="39">
        <f t="shared" si="16"/>
        <v>35</v>
      </c>
      <c r="V24" s="39">
        <f t="shared" si="16"/>
        <v>177</v>
      </c>
      <c r="W24" s="39">
        <f t="shared" si="16"/>
        <v>7</v>
      </c>
      <c r="X24" s="39">
        <f t="shared" si="16"/>
        <v>4</v>
      </c>
      <c r="Y24" s="39">
        <f t="shared" si="16"/>
        <v>66</v>
      </c>
      <c r="Z24" s="39">
        <f t="shared" si="16"/>
        <v>13</v>
      </c>
      <c r="AA24" s="39">
        <f t="shared" si="16"/>
        <v>9</v>
      </c>
      <c r="AB24" s="39">
        <f t="shared" si="16"/>
        <v>2</v>
      </c>
      <c r="AC24" s="39">
        <f t="shared" si="16"/>
        <v>467</v>
      </c>
      <c r="AD24" s="39">
        <f t="shared" si="16"/>
        <v>0</v>
      </c>
      <c r="AE24" s="40">
        <f t="shared" si="16"/>
        <v>554</v>
      </c>
      <c r="AF24" s="40">
        <f t="shared" si="16"/>
        <v>991</v>
      </c>
    </row>
    <row r="25" spans="2:32" ht="23.1" customHeight="1" x14ac:dyDescent="0.25">
      <c r="B25" s="23" t="s">
        <v>52</v>
      </c>
      <c r="C25" s="50">
        <v>47</v>
      </c>
      <c r="D25" s="50">
        <v>7</v>
      </c>
      <c r="E25" s="50">
        <v>2</v>
      </c>
      <c r="F25" s="50">
        <v>30</v>
      </c>
      <c r="G25" s="50">
        <v>0</v>
      </c>
      <c r="H25" s="57">
        <v>0</v>
      </c>
      <c r="I25" s="57">
        <v>2</v>
      </c>
      <c r="J25" s="50">
        <v>7</v>
      </c>
      <c r="K25" s="50">
        <v>3</v>
      </c>
      <c r="L25" s="50">
        <v>0</v>
      </c>
      <c r="M25" s="50">
        <v>88</v>
      </c>
      <c r="N25" s="50">
        <v>0</v>
      </c>
      <c r="O25" s="15">
        <f t="shared" si="0"/>
        <v>98</v>
      </c>
      <c r="P25" s="15">
        <f t="shared" si="1"/>
        <v>186</v>
      </c>
      <c r="R25" s="37" t="s">
        <v>85</v>
      </c>
      <c r="S25" s="35">
        <f t="shared" ref="S25:AF25" si="17">SUM(S10:S12)</f>
        <v>907</v>
      </c>
      <c r="T25" s="16">
        <f t="shared" si="17"/>
        <v>98</v>
      </c>
      <c r="U25" s="16">
        <f t="shared" si="17"/>
        <v>77</v>
      </c>
      <c r="V25" s="16">
        <f t="shared" si="17"/>
        <v>519</v>
      </c>
      <c r="W25" s="16">
        <f t="shared" si="17"/>
        <v>7</v>
      </c>
      <c r="X25" s="16">
        <f t="shared" si="17"/>
        <v>8</v>
      </c>
      <c r="Y25" s="16">
        <f t="shared" si="17"/>
        <v>60</v>
      </c>
      <c r="Z25" s="16">
        <f t="shared" si="17"/>
        <v>42</v>
      </c>
      <c r="AA25" s="16">
        <f t="shared" si="17"/>
        <v>24</v>
      </c>
      <c r="AB25" s="16">
        <f t="shared" si="17"/>
        <v>3</v>
      </c>
      <c r="AC25" s="16">
        <f t="shared" si="17"/>
        <v>1791</v>
      </c>
      <c r="AD25" s="16">
        <f t="shared" si="17"/>
        <v>0</v>
      </c>
      <c r="AE25" s="32">
        <f t="shared" si="17"/>
        <v>1745</v>
      </c>
      <c r="AF25" s="32">
        <f t="shared" si="17"/>
        <v>3536</v>
      </c>
    </row>
    <row r="26" spans="2:32" ht="23.1" customHeight="1" x14ac:dyDescent="0.25">
      <c r="B26" s="23" t="s">
        <v>53</v>
      </c>
      <c r="C26" s="50">
        <v>47</v>
      </c>
      <c r="D26" s="50">
        <v>11</v>
      </c>
      <c r="E26" s="50">
        <v>12</v>
      </c>
      <c r="F26" s="50">
        <v>37</v>
      </c>
      <c r="G26" s="50">
        <v>0</v>
      </c>
      <c r="H26" s="57">
        <v>0</v>
      </c>
      <c r="I26" s="57">
        <v>6</v>
      </c>
      <c r="J26" s="50">
        <v>0</v>
      </c>
      <c r="K26" s="50">
        <v>3</v>
      </c>
      <c r="L26" s="50">
        <v>0</v>
      </c>
      <c r="M26" s="50">
        <v>98</v>
      </c>
      <c r="N26" s="50">
        <v>0</v>
      </c>
      <c r="O26" s="15">
        <f t="shared" si="0"/>
        <v>116</v>
      </c>
      <c r="P26" s="15">
        <f t="shared" si="1"/>
        <v>214</v>
      </c>
      <c r="R26" s="28" t="s">
        <v>86</v>
      </c>
      <c r="S26" s="16">
        <f t="shared" ref="S26:AF26" si="18">SUM(S13:S18)</f>
        <v>1106</v>
      </c>
      <c r="T26" s="16">
        <f t="shared" si="18"/>
        <v>146</v>
      </c>
      <c r="U26" s="16">
        <f t="shared" si="18"/>
        <v>154</v>
      </c>
      <c r="V26" s="16">
        <f t="shared" si="18"/>
        <v>761</v>
      </c>
      <c r="W26" s="16">
        <f t="shared" si="18"/>
        <v>9</v>
      </c>
      <c r="X26" s="16">
        <f t="shared" si="18"/>
        <v>8</v>
      </c>
      <c r="Y26" s="16">
        <f t="shared" si="18"/>
        <v>184</v>
      </c>
      <c r="Z26" s="16">
        <f t="shared" si="18"/>
        <v>110</v>
      </c>
      <c r="AA26" s="16">
        <f t="shared" si="18"/>
        <v>72</v>
      </c>
      <c r="AB26" s="16">
        <f t="shared" si="18"/>
        <v>3</v>
      </c>
      <c r="AC26" s="16">
        <f t="shared" si="18"/>
        <v>1898</v>
      </c>
      <c r="AD26" s="16">
        <f t="shared" si="18"/>
        <v>1</v>
      </c>
      <c r="AE26" s="32">
        <f t="shared" si="18"/>
        <v>2554</v>
      </c>
      <c r="AF26" s="32">
        <f t="shared" si="18"/>
        <v>4452</v>
      </c>
    </row>
    <row r="27" spans="2:32" ht="23.1" customHeight="1" x14ac:dyDescent="0.25">
      <c r="B27" s="23" t="s">
        <v>54</v>
      </c>
      <c r="C27" s="50">
        <v>48</v>
      </c>
      <c r="D27" s="50">
        <v>4</v>
      </c>
      <c r="E27" s="50">
        <v>7</v>
      </c>
      <c r="F27" s="50">
        <v>31</v>
      </c>
      <c r="G27" s="50">
        <v>1</v>
      </c>
      <c r="H27" s="57">
        <v>1</v>
      </c>
      <c r="I27" s="57">
        <v>15</v>
      </c>
      <c r="J27" s="50">
        <v>5</v>
      </c>
      <c r="K27" s="50">
        <v>1</v>
      </c>
      <c r="L27" s="50">
        <v>1</v>
      </c>
      <c r="M27" s="50">
        <v>103</v>
      </c>
      <c r="N27" s="50">
        <v>0</v>
      </c>
      <c r="O27" s="15">
        <f t="shared" si="0"/>
        <v>114</v>
      </c>
      <c r="P27" s="15">
        <f t="shared" si="1"/>
        <v>217</v>
      </c>
      <c r="R27" s="29" t="s">
        <v>87</v>
      </c>
      <c r="S27" s="16">
        <f t="shared" ref="S27:AF27" si="19">SUM(S19:S21)</f>
        <v>726</v>
      </c>
      <c r="T27" s="16">
        <f t="shared" si="19"/>
        <v>113</v>
      </c>
      <c r="U27" s="16">
        <f t="shared" si="19"/>
        <v>91</v>
      </c>
      <c r="V27" s="16">
        <f t="shared" si="19"/>
        <v>463</v>
      </c>
      <c r="W27" s="16">
        <f t="shared" si="19"/>
        <v>16</v>
      </c>
      <c r="X27" s="16">
        <f t="shared" si="19"/>
        <v>9</v>
      </c>
      <c r="Y27" s="16">
        <f t="shared" si="19"/>
        <v>140</v>
      </c>
      <c r="Z27" s="16">
        <f t="shared" si="19"/>
        <v>33</v>
      </c>
      <c r="AA27" s="16">
        <f t="shared" si="19"/>
        <v>24</v>
      </c>
      <c r="AB27" s="16">
        <f t="shared" si="19"/>
        <v>3</v>
      </c>
      <c r="AC27" s="16">
        <f t="shared" si="19"/>
        <v>1246</v>
      </c>
      <c r="AD27" s="16">
        <f t="shared" si="19"/>
        <v>0</v>
      </c>
      <c r="AE27" s="32">
        <f t="shared" si="19"/>
        <v>1618</v>
      </c>
      <c r="AF27" s="32">
        <f t="shared" si="19"/>
        <v>2864</v>
      </c>
    </row>
    <row r="28" spans="2:32" ht="23.1" customHeight="1" x14ac:dyDescent="0.25">
      <c r="B28" s="23" t="s">
        <v>55</v>
      </c>
      <c r="C28" s="50">
        <v>44</v>
      </c>
      <c r="D28" s="50">
        <v>3</v>
      </c>
      <c r="E28" s="50">
        <v>8</v>
      </c>
      <c r="F28" s="50">
        <v>32</v>
      </c>
      <c r="G28" s="50">
        <v>0</v>
      </c>
      <c r="H28" s="57">
        <v>0</v>
      </c>
      <c r="I28" s="57">
        <v>10</v>
      </c>
      <c r="J28" s="50">
        <v>3</v>
      </c>
      <c r="K28" s="50">
        <v>10</v>
      </c>
      <c r="L28" s="50">
        <v>0</v>
      </c>
      <c r="M28" s="50">
        <v>73</v>
      </c>
      <c r="N28" s="50">
        <v>0</v>
      </c>
      <c r="O28" s="15">
        <f t="shared" si="0"/>
        <v>110</v>
      </c>
      <c r="P28" s="15">
        <f t="shared" si="1"/>
        <v>183</v>
      </c>
      <c r="R28" s="5" t="s">
        <v>17</v>
      </c>
      <c r="S28" s="16">
        <f t="shared" ref="S28:AF28" si="20">SUM(S10:S21)</f>
        <v>2739</v>
      </c>
      <c r="T28" s="16">
        <f t="shared" si="20"/>
        <v>357</v>
      </c>
      <c r="U28" s="16">
        <f t="shared" si="20"/>
        <v>322</v>
      </c>
      <c r="V28" s="16">
        <f t="shared" si="20"/>
        <v>1743</v>
      </c>
      <c r="W28" s="16">
        <f t="shared" si="20"/>
        <v>32</v>
      </c>
      <c r="X28" s="16">
        <f t="shared" si="20"/>
        <v>25</v>
      </c>
      <c r="Y28" s="16">
        <f t="shared" si="20"/>
        <v>384</v>
      </c>
      <c r="Z28" s="16">
        <f t="shared" si="20"/>
        <v>185</v>
      </c>
      <c r="AA28" s="16">
        <f t="shared" si="20"/>
        <v>120</v>
      </c>
      <c r="AB28" s="16">
        <f t="shared" si="20"/>
        <v>9</v>
      </c>
      <c r="AC28" s="16">
        <f t="shared" si="20"/>
        <v>4935</v>
      </c>
      <c r="AD28" s="16">
        <f t="shared" si="20"/>
        <v>1</v>
      </c>
      <c r="AE28" s="32">
        <f t="shared" si="20"/>
        <v>5917</v>
      </c>
      <c r="AF28" s="32">
        <f t="shared" si="20"/>
        <v>10852</v>
      </c>
    </row>
    <row r="29" spans="2:32" ht="23.1" customHeight="1" x14ac:dyDescent="0.25">
      <c r="B29" s="23" t="s">
        <v>56</v>
      </c>
      <c r="C29" s="50">
        <v>36</v>
      </c>
      <c r="D29" s="50">
        <v>6</v>
      </c>
      <c r="E29" s="50">
        <v>9</v>
      </c>
      <c r="F29" s="50">
        <v>54</v>
      </c>
      <c r="G29" s="50">
        <v>0</v>
      </c>
      <c r="H29" s="57">
        <v>1</v>
      </c>
      <c r="I29" s="57">
        <v>14</v>
      </c>
      <c r="J29" s="50">
        <v>8</v>
      </c>
      <c r="K29" s="50">
        <v>4</v>
      </c>
      <c r="L29" s="50">
        <v>0</v>
      </c>
      <c r="M29" s="50">
        <v>109</v>
      </c>
      <c r="N29" s="50">
        <v>0</v>
      </c>
      <c r="O29" s="15">
        <f t="shared" si="0"/>
        <v>132</v>
      </c>
      <c r="P29" s="15">
        <f t="shared" si="1"/>
        <v>241</v>
      </c>
      <c r="R29"/>
      <c r="S29" s="20"/>
      <c r="T29" s="19"/>
    </row>
    <row r="30" spans="2:32" ht="23.1" customHeight="1" x14ac:dyDescent="0.25">
      <c r="B30" s="23" t="s">
        <v>57</v>
      </c>
      <c r="C30" s="50">
        <v>36</v>
      </c>
      <c r="D30" s="50">
        <v>6</v>
      </c>
      <c r="E30" s="50">
        <v>6</v>
      </c>
      <c r="F30" s="50">
        <v>28</v>
      </c>
      <c r="G30" s="50">
        <v>0</v>
      </c>
      <c r="H30" s="57">
        <v>0</v>
      </c>
      <c r="I30" s="57">
        <v>7</v>
      </c>
      <c r="J30" s="50">
        <v>2</v>
      </c>
      <c r="K30" s="50">
        <v>0</v>
      </c>
      <c r="L30" s="50">
        <v>0</v>
      </c>
      <c r="M30" s="50">
        <v>74</v>
      </c>
      <c r="N30" s="50">
        <v>0</v>
      </c>
      <c r="O30" s="15">
        <f t="shared" si="0"/>
        <v>85</v>
      </c>
      <c r="P30" s="15">
        <f t="shared" si="1"/>
        <v>159</v>
      </c>
    </row>
    <row r="31" spans="2:32" ht="23.1" customHeight="1" x14ac:dyDescent="0.25">
      <c r="B31" s="24" t="s">
        <v>58</v>
      </c>
      <c r="C31" s="50">
        <v>36</v>
      </c>
      <c r="D31" s="50">
        <v>8</v>
      </c>
      <c r="E31" s="50">
        <v>2</v>
      </c>
      <c r="F31" s="50">
        <v>35</v>
      </c>
      <c r="G31" s="50">
        <v>0</v>
      </c>
      <c r="H31" s="57">
        <v>0</v>
      </c>
      <c r="I31" s="57">
        <v>6</v>
      </c>
      <c r="J31" s="50">
        <v>3</v>
      </c>
      <c r="K31" s="50">
        <v>4</v>
      </c>
      <c r="L31" s="50">
        <v>1</v>
      </c>
      <c r="M31" s="50">
        <v>83</v>
      </c>
      <c r="N31" s="50">
        <v>0</v>
      </c>
      <c r="O31" s="15">
        <f t="shared" si="0"/>
        <v>95</v>
      </c>
      <c r="P31" s="15">
        <f t="shared" si="1"/>
        <v>178</v>
      </c>
    </row>
    <row r="32" spans="2:32" ht="23.1" customHeight="1" x14ac:dyDescent="0.25">
      <c r="B32" s="24" t="s">
        <v>59</v>
      </c>
      <c r="C32" s="50">
        <v>57</v>
      </c>
      <c r="D32" s="50">
        <v>8</v>
      </c>
      <c r="E32" s="50">
        <v>6</v>
      </c>
      <c r="F32" s="50">
        <v>24</v>
      </c>
      <c r="G32" s="50">
        <v>0</v>
      </c>
      <c r="H32" s="57">
        <v>0</v>
      </c>
      <c r="I32" s="57">
        <v>7</v>
      </c>
      <c r="J32" s="50">
        <v>5</v>
      </c>
      <c r="K32" s="50">
        <v>4</v>
      </c>
      <c r="L32" s="50">
        <v>0</v>
      </c>
      <c r="M32" s="50">
        <v>109</v>
      </c>
      <c r="N32" s="50">
        <v>0</v>
      </c>
      <c r="O32" s="15">
        <f t="shared" si="0"/>
        <v>111</v>
      </c>
      <c r="P32" s="15">
        <f t="shared" si="1"/>
        <v>220</v>
      </c>
    </row>
    <row r="33" spans="2:20" ht="23.1" customHeight="1" x14ac:dyDescent="0.25">
      <c r="B33" s="23" t="s">
        <v>60</v>
      </c>
      <c r="C33" s="50">
        <v>51</v>
      </c>
      <c r="D33" s="50">
        <v>6</v>
      </c>
      <c r="E33" s="50">
        <v>9</v>
      </c>
      <c r="F33" s="50">
        <v>25</v>
      </c>
      <c r="G33" s="50">
        <v>0</v>
      </c>
      <c r="H33" s="57">
        <v>2</v>
      </c>
      <c r="I33" s="57">
        <v>8</v>
      </c>
      <c r="J33" s="50">
        <v>1</v>
      </c>
      <c r="K33" s="50">
        <v>3</v>
      </c>
      <c r="L33" s="50">
        <v>0</v>
      </c>
      <c r="M33" s="50">
        <v>53</v>
      </c>
      <c r="N33" s="50">
        <v>0</v>
      </c>
      <c r="O33" s="15">
        <f t="shared" si="0"/>
        <v>105</v>
      </c>
      <c r="P33" s="15">
        <f t="shared" si="1"/>
        <v>158</v>
      </c>
    </row>
    <row r="34" spans="2:20" ht="23.1" customHeight="1" x14ac:dyDescent="0.25">
      <c r="B34" s="24" t="s">
        <v>61</v>
      </c>
      <c r="C34" s="50">
        <v>56</v>
      </c>
      <c r="D34" s="50">
        <v>4</v>
      </c>
      <c r="E34" s="50">
        <v>5</v>
      </c>
      <c r="F34" s="50">
        <v>29</v>
      </c>
      <c r="G34" s="50">
        <v>0</v>
      </c>
      <c r="H34" s="57">
        <v>0</v>
      </c>
      <c r="I34" s="57">
        <v>5</v>
      </c>
      <c r="J34" s="50">
        <v>1</v>
      </c>
      <c r="K34" s="50">
        <v>1</v>
      </c>
      <c r="L34" s="50">
        <v>0</v>
      </c>
      <c r="M34" s="50">
        <v>80</v>
      </c>
      <c r="N34" s="50">
        <v>0</v>
      </c>
      <c r="O34" s="15">
        <f t="shared" si="0"/>
        <v>101</v>
      </c>
      <c r="P34" s="15">
        <f t="shared" si="1"/>
        <v>181</v>
      </c>
    </row>
    <row r="35" spans="2:20" ht="23.1" customHeight="1" x14ac:dyDescent="0.25">
      <c r="B35" s="24" t="s">
        <v>62</v>
      </c>
      <c r="C35" s="50">
        <v>41</v>
      </c>
      <c r="D35" s="50">
        <v>5</v>
      </c>
      <c r="E35" s="50">
        <v>6</v>
      </c>
      <c r="F35" s="50">
        <v>33</v>
      </c>
      <c r="G35" s="50">
        <v>0</v>
      </c>
      <c r="H35" s="57">
        <v>0</v>
      </c>
      <c r="I35" s="57">
        <v>6</v>
      </c>
      <c r="J35" s="50">
        <v>7</v>
      </c>
      <c r="K35" s="50">
        <v>6</v>
      </c>
      <c r="L35" s="50">
        <v>0</v>
      </c>
      <c r="M35" s="50">
        <v>70</v>
      </c>
      <c r="N35" s="50">
        <v>0</v>
      </c>
      <c r="O35" s="15">
        <f t="shared" si="0"/>
        <v>104</v>
      </c>
      <c r="P35" s="15">
        <f t="shared" si="1"/>
        <v>174</v>
      </c>
    </row>
    <row r="36" spans="2:20" ht="23.1" customHeight="1" x14ac:dyDescent="0.25">
      <c r="B36" s="24" t="s">
        <v>63</v>
      </c>
      <c r="C36" s="50">
        <v>29</v>
      </c>
      <c r="D36" s="50">
        <v>4</v>
      </c>
      <c r="E36" s="50">
        <v>8</v>
      </c>
      <c r="F36" s="50">
        <v>30</v>
      </c>
      <c r="G36" s="50">
        <v>1</v>
      </c>
      <c r="H36" s="57">
        <v>0</v>
      </c>
      <c r="I36" s="57">
        <v>8</v>
      </c>
      <c r="J36" s="50">
        <v>3</v>
      </c>
      <c r="K36" s="50">
        <v>3</v>
      </c>
      <c r="L36" s="50">
        <v>0</v>
      </c>
      <c r="M36" s="50">
        <v>86</v>
      </c>
      <c r="N36" s="50">
        <v>0</v>
      </c>
      <c r="O36" s="15">
        <f t="shared" si="0"/>
        <v>86</v>
      </c>
      <c r="P36" s="15">
        <f t="shared" si="1"/>
        <v>172</v>
      </c>
    </row>
    <row r="37" spans="2:20" ht="23.1" customHeight="1" x14ac:dyDescent="0.25">
      <c r="B37" s="23" t="s">
        <v>64</v>
      </c>
      <c r="C37" s="50">
        <v>41</v>
      </c>
      <c r="D37" s="50">
        <v>5</v>
      </c>
      <c r="E37" s="50">
        <v>5</v>
      </c>
      <c r="F37" s="50">
        <v>18</v>
      </c>
      <c r="G37" s="50">
        <v>0</v>
      </c>
      <c r="H37" s="57">
        <v>1</v>
      </c>
      <c r="I37" s="57">
        <v>7</v>
      </c>
      <c r="J37" s="50">
        <v>5</v>
      </c>
      <c r="K37" s="50">
        <v>4</v>
      </c>
      <c r="L37" s="50">
        <v>0</v>
      </c>
      <c r="M37" s="50">
        <v>94</v>
      </c>
      <c r="N37" s="50">
        <v>0</v>
      </c>
      <c r="O37" s="15">
        <f t="shared" si="0"/>
        <v>86</v>
      </c>
      <c r="P37" s="15">
        <f t="shared" si="1"/>
        <v>180</v>
      </c>
    </row>
    <row r="38" spans="2:20" ht="23.1" customHeight="1" x14ac:dyDescent="0.25">
      <c r="B38" s="24" t="s">
        <v>65</v>
      </c>
      <c r="C38" s="50">
        <v>50</v>
      </c>
      <c r="D38" s="50">
        <v>13</v>
      </c>
      <c r="E38" s="50">
        <v>4</v>
      </c>
      <c r="F38" s="50">
        <v>25</v>
      </c>
      <c r="G38" s="50">
        <v>1</v>
      </c>
      <c r="H38" s="57">
        <v>0</v>
      </c>
      <c r="I38" s="57">
        <v>10</v>
      </c>
      <c r="J38" s="50">
        <v>5</v>
      </c>
      <c r="K38" s="50">
        <v>0</v>
      </c>
      <c r="L38" s="50">
        <v>1</v>
      </c>
      <c r="M38" s="50">
        <v>96</v>
      </c>
      <c r="N38" s="50">
        <v>0</v>
      </c>
      <c r="O38" s="15">
        <f t="shared" si="0"/>
        <v>109</v>
      </c>
      <c r="P38" s="15">
        <f t="shared" si="1"/>
        <v>205</v>
      </c>
    </row>
    <row r="39" spans="2:20" ht="23.1" customHeight="1" x14ac:dyDescent="0.25">
      <c r="B39" s="24" t="s">
        <v>66</v>
      </c>
      <c r="C39" s="50">
        <v>37</v>
      </c>
      <c r="D39" s="50">
        <v>4</v>
      </c>
      <c r="E39" s="50">
        <v>7</v>
      </c>
      <c r="F39" s="50">
        <v>37</v>
      </c>
      <c r="G39" s="50">
        <v>0</v>
      </c>
      <c r="H39" s="57">
        <v>0</v>
      </c>
      <c r="I39" s="57">
        <v>8</v>
      </c>
      <c r="J39" s="50">
        <v>5</v>
      </c>
      <c r="K39" s="50">
        <v>2</v>
      </c>
      <c r="L39" s="50">
        <v>0</v>
      </c>
      <c r="M39" s="50">
        <v>70</v>
      </c>
      <c r="N39" s="50">
        <v>0</v>
      </c>
      <c r="O39" s="15">
        <f t="shared" si="0"/>
        <v>100</v>
      </c>
      <c r="P39" s="15">
        <f t="shared" si="1"/>
        <v>170</v>
      </c>
    </row>
    <row r="40" spans="2:20" ht="23.1" customHeight="1" x14ac:dyDescent="0.25">
      <c r="B40" s="24" t="s">
        <v>67</v>
      </c>
      <c r="C40" s="50">
        <v>56</v>
      </c>
      <c r="D40" s="50">
        <v>5</v>
      </c>
      <c r="E40" s="50">
        <v>3</v>
      </c>
      <c r="F40" s="50">
        <v>25</v>
      </c>
      <c r="G40" s="50">
        <v>1</v>
      </c>
      <c r="H40" s="57">
        <v>1</v>
      </c>
      <c r="I40" s="57">
        <v>5</v>
      </c>
      <c r="J40" s="50">
        <v>14</v>
      </c>
      <c r="K40" s="50">
        <v>2</v>
      </c>
      <c r="L40" s="50">
        <v>0</v>
      </c>
      <c r="M40" s="50">
        <v>56</v>
      </c>
      <c r="N40" s="50">
        <v>0</v>
      </c>
      <c r="O40" s="15">
        <f t="shared" si="0"/>
        <v>112</v>
      </c>
      <c r="P40" s="15">
        <f t="shared" si="1"/>
        <v>168</v>
      </c>
    </row>
    <row r="41" spans="2:20" ht="23.1" customHeight="1" x14ac:dyDescent="0.25">
      <c r="B41" s="23" t="s">
        <v>68</v>
      </c>
      <c r="C41" s="50">
        <v>43</v>
      </c>
      <c r="D41" s="50">
        <v>4</v>
      </c>
      <c r="E41" s="50">
        <v>5</v>
      </c>
      <c r="F41" s="50">
        <v>34</v>
      </c>
      <c r="G41" s="50">
        <v>0</v>
      </c>
      <c r="H41" s="57">
        <v>0</v>
      </c>
      <c r="I41" s="57">
        <v>10</v>
      </c>
      <c r="J41" s="50">
        <v>1</v>
      </c>
      <c r="K41" s="50">
        <v>2</v>
      </c>
      <c r="L41" s="50">
        <v>0</v>
      </c>
      <c r="M41" s="50">
        <v>65</v>
      </c>
      <c r="N41" s="50">
        <v>0</v>
      </c>
      <c r="O41" s="15">
        <f t="shared" si="0"/>
        <v>99</v>
      </c>
      <c r="P41" s="15">
        <f t="shared" si="1"/>
        <v>164</v>
      </c>
    </row>
    <row r="42" spans="2:20" ht="23.1" customHeight="1" x14ac:dyDescent="0.25">
      <c r="B42" s="24" t="s">
        <v>69</v>
      </c>
      <c r="C42" s="50">
        <v>44</v>
      </c>
      <c r="D42" s="50">
        <v>8</v>
      </c>
      <c r="E42" s="50">
        <v>7</v>
      </c>
      <c r="F42" s="50">
        <v>32</v>
      </c>
      <c r="G42" s="50">
        <v>0</v>
      </c>
      <c r="H42" s="57">
        <v>1</v>
      </c>
      <c r="I42" s="57">
        <v>7</v>
      </c>
      <c r="J42" s="50">
        <v>5</v>
      </c>
      <c r="K42" s="50">
        <v>5</v>
      </c>
      <c r="L42" s="50">
        <v>0</v>
      </c>
      <c r="M42" s="50">
        <v>65</v>
      </c>
      <c r="N42" s="50">
        <v>0</v>
      </c>
      <c r="O42" s="15">
        <f t="shared" si="0"/>
        <v>109</v>
      </c>
      <c r="P42" s="15">
        <f t="shared" si="1"/>
        <v>174</v>
      </c>
    </row>
    <row r="43" spans="2:20" ht="23.1" customHeight="1" x14ac:dyDescent="0.25">
      <c r="B43" s="23" t="s">
        <v>70</v>
      </c>
      <c r="C43" s="50">
        <v>50</v>
      </c>
      <c r="D43" s="50">
        <v>8</v>
      </c>
      <c r="E43" s="50">
        <v>6</v>
      </c>
      <c r="F43" s="50">
        <v>30</v>
      </c>
      <c r="G43" s="50">
        <v>1</v>
      </c>
      <c r="H43" s="57">
        <v>0</v>
      </c>
      <c r="I43" s="57">
        <v>11</v>
      </c>
      <c r="J43" s="50">
        <v>8</v>
      </c>
      <c r="K43" s="50">
        <v>4</v>
      </c>
      <c r="L43" s="50">
        <v>0</v>
      </c>
      <c r="M43" s="50">
        <v>84</v>
      </c>
      <c r="N43" s="50">
        <v>0</v>
      </c>
      <c r="O43" s="15">
        <f t="shared" si="0"/>
        <v>118</v>
      </c>
      <c r="P43" s="15">
        <f t="shared" si="1"/>
        <v>202</v>
      </c>
    </row>
    <row r="44" spans="2:20" ht="23.1" customHeight="1" x14ac:dyDescent="0.25">
      <c r="B44" s="25" t="s">
        <v>71</v>
      </c>
      <c r="C44" s="50">
        <v>53</v>
      </c>
      <c r="D44" s="50">
        <v>11</v>
      </c>
      <c r="E44" s="50">
        <v>4</v>
      </c>
      <c r="F44" s="50">
        <v>25</v>
      </c>
      <c r="G44" s="50">
        <v>2</v>
      </c>
      <c r="H44" s="57">
        <v>0</v>
      </c>
      <c r="I44" s="57">
        <v>10</v>
      </c>
      <c r="J44" s="50">
        <v>2</v>
      </c>
      <c r="K44" s="50">
        <v>4</v>
      </c>
      <c r="L44" s="50">
        <v>0</v>
      </c>
      <c r="M44" s="50">
        <v>55</v>
      </c>
      <c r="N44" s="50">
        <v>1</v>
      </c>
      <c r="O44" s="15">
        <f t="shared" si="0"/>
        <v>112</v>
      </c>
      <c r="P44" s="15">
        <f t="shared" si="1"/>
        <v>167</v>
      </c>
    </row>
    <row r="45" spans="2:20" ht="23.1" customHeight="1" x14ac:dyDescent="0.25">
      <c r="B45" s="23" t="s">
        <v>72</v>
      </c>
      <c r="C45" s="50">
        <v>43</v>
      </c>
      <c r="D45" s="50">
        <v>3</v>
      </c>
      <c r="E45" s="50">
        <v>10</v>
      </c>
      <c r="F45" s="50">
        <v>30</v>
      </c>
      <c r="G45" s="50">
        <v>2</v>
      </c>
      <c r="H45" s="57">
        <v>0</v>
      </c>
      <c r="I45" s="57">
        <v>13</v>
      </c>
      <c r="J45" s="50">
        <v>2</v>
      </c>
      <c r="K45" s="50">
        <v>0</v>
      </c>
      <c r="L45" s="50">
        <v>0</v>
      </c>
      <c r="M45" s="50">
        <v>50</v>
      </c>
      <c r="N45" s="50">
        <v>0</v>
      </c>
      <c r="O45" s="15">
        <f t="shared" si="0"/>
        <v>103</v>
      </c>
      <c r="P45" s="15">
        <f t="shared" si="1"/>
        <v>153</v>
      </c>
    </row>
    <row r="46" spans="2:20" ht="23.1" customHeight="1" x14ac:dyDescent="0.25">
      <c r="B46" s="24" t="s">
        <v>73</v>
      </c>
      <c r="C46" s="50">
        <v>44</v>
      </c>
      <c r="D46" s="50">
        <v>11</v>
      </c>
      <c r="E46" s="50">
        <v>7</v>
      </c>
      <c r="F46" s="50">
        <v>37</v>
      </c>
      <c r="G46" s="50">
        <v>1</v>
      </c>
      <c r="H46" s="57">
        <v>0</v>
      </c>
      <c r="I46" s="57">
        <v>13</v>
      </c>
      <c r="J46" s="50">
        <v>2</v>
      </c>
      <c r="K46" s="50">
        <v>3</v>
      </c>
      <c r="L46" s="50">
        <v>0</v>
      </c>
      <c r="M46" s="50">
        <v>82</v>
      </c>
      <c r="N46" s="50">
        <v>0</v>
      </c>
      <c r="O46" s="15">
        <f t="shared" si="0"/>
        <v>118</v>
      </c>
      <c r="P46" s="15">
        <f t="shared" si="1"/>
        <v>200</v>
      </c>
      <c r="R46" s="8"/>
      <c r="T46"/>
    </row>
    <row r="47" spans="2:20" ht="23.1" customHeight="1" x14ac:dyDescent="0.25">
      <c r="B47" s="24" t="s">
        <v>74</v>
      </c>
      <c r="C47" s="50">
        <v>60</v>
      </c>
      <c r="D47" s="50">
        <v>9</v>
      </c>
      <c r="E47" s="50">
        <v>5</v>
      </c>
      <c r="F47" s="50">
        <v>34</v>
      </c>
      <c r="G47" s="50">
        <v>0</v>
      </c>
      <c r="H47" s="57">
        <v>1</v>
      </c>
      <c r="I47" s="57">
        <v>13</v>
      </c>
      <c r="J47" s="50">
        <v>0</v>
      </c>
      <c r="K47" s="50">
        <v>1</v>
      </c>
      <c r="L47" s="50">
        <v>0</v>
      </c>
      <c r="M47" s="50">
        <v>86</v>
      </c>
      <c r="N47" s="50">
        <v>0</v>
      </c>
      <c r="O47" s="15">
        <f t="shared" si="0"/>
        <v>123</v>
      </c>
      <c r="P47" s="15">
        <f t="shared" si="1"/>
        <v>209</v>
      </c>
      <c r="R47" s="8"/>
      <c r="T47"/>
    </row>
    <row r="48" spans="2:20" ht="23.1" customHeight="1" x14ac:dyDescent="0.25">
      <c r="B48" s="24" t="s">
        <v>75</v>
      </c>
      <c r="C48" s="50">
        <v>61</v>
      </c>
      <c r="D48" s="50">
        <v>13</v>
      </c>
      <c r="E48" s="50">
        <v>8</v>
      </c>
      <c r="F48" s="50">
        <v>34</v>
      </c>
      <c r="G48" s="50">
        <v>4</v>
      </c>
      <c r="H48" s="57">
        <v>0</v>
      </c>
      <c r="I48" s="57">
        <v>23</v>
      </c>
      <c r="J48" s="50">
        <v>6</v>
      </c>
      <c r="K48" s="50">
        <v>1</v>
      </c>
      <c r="L48" s="50">
        <v>0</v>
      </c>
      <c r="M48" s="50">
        <v>103</v>
      </c>
      <c r="N48" s="50">
        <v>0</v>
      </c>
      <c r="O48" s="15">
        <f t="shared" si="0"/>
        <v>150</v>
      </c>
      <c r="P48" s="15">
        <f t="shared" si="1"/>
        <v>253</v>
      </c>
      <c r="R48" s="8"/>
      <c r="T48"/>
    </row>
    <row r="49" spans="2:20" ht="23.1" customHeight="1" x14ac:dyDescent="0.25">
      <c r="B49" s="23" t="s">
        <v>76</v>
      </c>
      <c r="C49" s="50">
        <v>70</v>
      </c>
      <c r="D49" s="50">
        <v>10</v>
      </c>
      <c r="E49" s="50">
        <v>8</v>
      </c>
      <c r="F49" s="50">
        <v>38</v>
      </c>
      <c r="G49" s="50">
        <v>0</v>
      </c>
      <c r="H49" s="57">
        <v>0</v>
      </c>
      <c r="I49" s="57">
        <v>17</v>
      </c>
      <c r="J49" s="50">
        <v>3</v>
      </c>
      <c r="K49" s="50">
        <v>3</v>
      </c>
      <c r="L49" s="50">
        <v>0</v>
      </c>
      <c r="M49" s="50">
        <v>100</v>
      </c>
      <c r="N49" s="50">
        <v>0</v>
      </c>
      <c r="O49" s="15">
        <f t="shared" si="0"/>
        <v>149</v>
      </c>
      <c r="P49" s="15">
        <f t="shared" si="1"/>
        <v>249</v>
      </c>
      <c r="R49" s="8"/>
      <c r="T49"/>
    </row>
    <row r="50" spans="2:20" ht="23.1" customHeight="1" x14ac:dyDescent="0.25">
      <c r="B50" s="24" t="s">
        <v>77</v>
      </c>
      <c r="C50" s="50">
        <v>65</v>
      </c>
      <c r="D50" s="50">
        <v>5</v>
      </c>
      <c r="E50" s="50">
        <v>9</v>
      </c>
      <c r="F50" s="50">
        <v>35</v>
      </c>
      <c r="G50" s="50">
        <v>1</v>
      </c>
      <c r="H50" s="57">
        <v>0</v>
      </c>
      <c r="I50" s="57">
        <v>12</v>
      </c>
      <c r="J50" s="50">
        <v>3</v>
      </c>
      <c r="K50" s="50">
        <v>1</v>
      </c>
      <c r="L50" s="50">
        <v>0</v>
      </c>
      <c r="M50" s="50">
        <v>119</v>
      </c>
      <c r="N50" s="50">
        <v>0</v>
      </c>
      <c r="O50" s="15">
        <f t="shared" si="0"/>
        <v>131</v>
      </c>
      <c r="P50" s="15">
        <f t="shared" si="1"/>
        <v>250</v>
      </c>
      <c r="R50" s="8"/>
      <c r="T50"/>
    </row>
    <row r="51" spans="2:20" ht="23.1" customHeight="1" x14ac:dyDescent="0.25">
      <c r="B51" s="24" t="s">
        <v>78</v>
      </c>
      <c r="C51" s="50">
        <v>61</v>
      </c>
      <c r="D51" s="50">
        <v>7</v>
      </c>
      <c r="E51" s="50">
        <v>7</v>
      </c>
      <c r="F51" s="50">
        <v>31</v>
      </c>
      <c r="G51" s="50">
        <v>1</v>
      </c>
      <c r="H51" s="57">
        <v>2</v>
      </c>
      <c r="I51" s="57">
        <v>15</v>
      </c>
      <c r="J51" s="50">
        <v>4</v>
      </c>
      <c r="K51" s="50">
        <v>1</v>
      </c>
      <c r="L51" s="50">
        <v>0</v>
      </c>
      <c r="M51" s="50">
        <v>124</v>
      </c>
      <c r="N51" s="50">
        <v>0</v>
      </c>
      <c r="O51" s="15">
        <f t="shared" si="0"/>
        <v>129</v>
      </c>
      <c r="P51" s="15">
        <f t="shared" si="1"/>
        <v>253</v>
      </c>
      <c r="R51" s="8"/>
      <c r="T51"/>
    </row>
    <row r="52" spans="2:20" ht="23.1" customHeight="1" x14ac:dyDescent="0.25">
      <c r="B52" s="24" t="s">
        <v>79</v>
      </c>
      <c r="C52" s="50">
        <v>68</v>
      </c>
      <c r="D52" s="50">
        <v>8</v>
      </c>
      <c r="E52" s="50">
        <v>6</v>
      </c>
      <c r="F52" s="50">
        <v>39</v>
      </c>
      <c r="G52" s="50">
        <v>2</v>
      </c>
      <c r="H52" s="57">
        <v>2</v>
      </c>
      <c r="I52" s="57">
        <v>9</v>
      </c>
      <c r="J52" s="50">
        <v>4</v>
      </c>
      <c r="K52" s="50">
        <v>3</v>
      </c>
      <c r="L52" s="50">
        <v>0</v>
      </c>
      <c r="M52" s="50">
        <v>119</v>
      </c>
      <c r="N52" s="50">
        <v>0</v>
      </c>
      <c r="O52" s="15">
        <f t="shared" si="0"/>
        <v>141</v>
      </c>
      <c r="P52" s="15">
        <f t="shared" si="1"/>
        <v>260</v>
      </c>
      <c r="R52" s="8"/>
      <c r="T52"/>
    </row>
    <row r="53" spans="2:20" ht="23.1" customHeight="1" x14ac:dyDescent="0.25">
      <c r="B53" s="23" t="s">
        <v>80</v>
      </c>
      <c r="C53" s="50">
        <v>62</v>
      </c>
      <c r="D53" s="50">
        <v>7</v>
      </c>
      <c r="E53" s="50">
        <v>6</v>
      </c>
      <c r="F53" s="50">
        <v>38</v>
      </c>
      <c r="G53" s="50">
        <v>0</v>
      </c>
      <c r="H53" s="57">
        <v>0</v>
      </c>
      <c r="I53" s="57">
        <v>5</v>
      </c>
      <c r="J53" s="50">
        <v>2</v>
      </c>
      <c r="K53" s="50">
        <v>2</v>
      </c>
      <c r="L53" s="50">
        <v>1</v>
      </c>
      <c r="M53" s="50">
        <v>105</v>
      </c>
      <c r="N53" s="50">
        <v>0</v>
      </c>
      <c r="O53" s="15">
        <f t="shared" si="0"/>
        <v>123</v>
      </c>
      <c r="P53" s="15">
        <f t="shared" si="1"/>
        <v>228</v>
      </c>
      <c r="R53" s="8"/>
      <c r="T53"/>
    </row>
    <row r="54" spans="2:20" ht="23.1" customHeight="1" x14ac:dyDescent="0.25">
      <c r="B54" s="23" t="s">
        <v>81</v>
      </c>
      <c r="C54" s="50">
        <v>57</v>
      </c>
      <c r="D54" s="50">
        <v>8</v>
      </c>
      <c r="E54" s="50">
        <v>8</v>
      </c>
      <c r="F54" s="50">
        <v>37</v>
      </c>
      <c r="G54" s="50">
        <v>1</v>
      </c>
      <c r="H54" s="57">
        <v>2</v>
      </c>
      <c r="I54" s="57">
        <v>4</v>
      </c>
      <c r="J54" s="50">
        <v>2</v>
      </c>
      <c r="K54" s="50">
        <v>2</v>
      </c>
      <c r="L54" s="50">
        <v>0</v>
      </c>
      <c r="M54" s="50">
        <v>106</v>
      </c>
      <c r="N54" s="50">
        <v>0</v>
      </c>
      <c r="O54" s="15">
        <f t="shared" si="0"/>
        <v>121</v>
      </c>
      <c r="P54" s="15">
        <f t="shared" si="1"/>
        <v>227</v>
      </c>
      <c r="R54" s="8"/>
      <c r="T54"/>
    </row>
    <row r="55" spans="2:20" ht="23.1" customHeight="1" x14ac:dyDescent="0.25">
      <c r="B55" s="23" t="s">
        <v>82</v>
      </c>
      <c r="C55" s="50">
        <v>74</v>
      </c>
      <c r="D55" s="50">
        <v>17</v>
      </c>
      <c r="E55" s="50">
        <v>14</v>
      </c>
      <c r="F55" s="50">
        <v>60</v>
      </c>
      <c r="G55" s="50">
        <v>1</v>
      </c>
      <c r="H55" s="57">
        <v>1</v>
      </c>
      <c r="I55" s="57">
        <v>20</v>
      </c>
      <c r="J55" s="50">
        <v>3</v>
      </c>
      <c r="K55" s="50">
        <v>2</v>
      </c>
      <c r="L55" s="50">
        <v>1</v>
      </c>
      <c r="M55" s="50">
        <v>125</v>
      </c>
      <c r="N55" s="50">
        <v>0</v>
      </c>
      <c r="O55" s="15">
        <f t="shared" si="0"/>
        <v>193</v>
      </c>
      <c r="P55" s="15">
        <f t="shared" si="1"/>
        <v>318</v>
      </c>
      <c r="R55" s="8"/>
      <c r="T55"/>
    </row>
    <row r="56" spans="2:20" ht="23.1" customHeight="1" x14ac:dyDescent="0.25">
      <c r="B56" s="23" t="s">
        <v>83</v>
      </c>
      <c r="C56" s="50">
        <v>49</v>
      </c>
      <c r="D56" s="50">
        <v>8</v>
      </c>
      <c r="E56" s="50">
        <v>4</v>
      </c>
      <c r="F56" s="50">
        <v>36</v>
      </c>
      <c r="G56" s="50">
        <v>1</v>
      </c>
      <c r="H56" s="57">
        <v>1</v>
      </c>
      <c r="I56" s="57">
        <v>4</v>
      </c>
      <c r="J56" s="50">
        <v>3</v>
      </c>
      <c r="K56" s="50">
        <v>3</v>
      </c>
      <c r="L56" s="50">
        <v>1</v>
      </c>
      <c r="M56" s="50">
        <v>83</v>
      </c>
      <c r="N56" s="50">
        <v>0</v>
      </c>
      <c r="O56" s="15">
        <f t="shared" si="0"/>
        <v>110</v>
      </c>
      <c r="P56" s="15">
        <f t="shared" si="1"/>
        <v>193</v>
      </c>
      <c r="R56" s="8"/>
      <c r="T56"/>
    </row>
    <row r="57" spans="2:20" ht="23.1" customHeight="1" x14ac:dyDescent="0.25">
      <c r="B57" s="23" t="s">
        <v>84</v>
      </c>
      <c r="C57" s="50">
        <v>55</v>
      </c>
      <c r="D57" s="50">
        <v>10</v>
      </c>
      <c r="E57" s="50">
        <v>9</v>
      </c>
      <c r="F57" s="50">
        <v>44</v>
      </c>
      <c r="G57" s="50">
        <v>4</v>
      </c>
      <c r="H57" s="57">
        <v>0</v>
      </c>
      <c r="I57" s="57">
        <v>5</v>
      </c>
      <c r="J57" s="50">
        <v>1</v>
      </c>
      <c r="K57" s="50">
        <v>2</v>
      </c>
      <c r="L57" s="50">
        <v>0</v>
      </c>
      <c r="M57" s="50">
        <v>94</v>
      </c>
      <c r="N57" s="50">
        <v>0</v>
      </c>
      <c r="O57" s="15">
        <f t="shared" si="0"/>
        <v>130</v>
      </c>
      <c r="P57" s="15">
        <f t="shared" si="1"/>
        <v>224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2739</v>
      </c>
      <c r="D58" s="16">
        <f t="shared" si="21"/>
        <v>357</v>
      </c>
      <c r="E58" s="16">
        <f t="shared" si="21"/>
        <v>322</v>
      </c>
      <c r="F58" s="16">
        <f t="shared" si="21"/>
        <v>1743</v>
      </c>
      <c r="G58" s="16">
        <f t="shared" si="21"/>
        <v>32</v>
      </c>
      <c r="H58" s="58">
        <f t="shared" si="21"/>
        <v>25</v>
      </c>
      <c r="I58" s="58">
        <f t="shared" si="21"/>
        <v>384</v>
      </c>
      <c r="J58" s="16">
        <f t="shared" si="21"/>
        <v>185</v>
      </c>
      <c r="K58" s="16">
        <f t="shared" si="21"/>
        <v>120</v>
      </c>
      <c r="L58" s="16">
        <f t="shared" si="21"/>
        <v>9</v>
      </c>
      <c r="M58" s="16">
        <f t="shared" si="21"/>
        <v>4935</v>
      </c>
      <c r="N58" s="16">
        <f t="shared" si="21"/>
        <v>1</v>
      </c>
      <c r="O58" s="16">
        <f t="shared" si="21"/>
        <v>5917</v>
      </c>
      <c r="P58" s="16">
        <f t="shared" si="21"/>
        <v>10852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0.25239587172871358</v>
      </c>
      <c r="D59" s="43">
        <f t="shared" si="22"/>
        <v>3.2897161813490602E-2</v>
      </c>
      <c r="E59" s="43">
        <f t="shared" si="22"/>
        <v>2.9671949870991522E-2</v>
      </c>
      <c r="F59" s="43">
        <f t="shared" si="22"/>
        <v>0.16061555473645411</v>
      </c>
      <c r="G59" s="43">
        <f t="shared" si="22"/>
        <v>2.9487652045705861E-3</v>
      </c>
      <c r="H59" s="59">
        <f t="shared" si="22"/>
        <v>2.3037228160707702E-3</v>
      </c>
      <c r="I59" s="59">
        <f t="shared" si="22"/>
        <v>3.5385182454847036E-2</v>
      </c>
      <c r="J59" s="43">
        <f t="shared" si="22"/>
        <v>1.7047548838923701E-2</v>
      </c>
      <c r="K59" s="43">
        <f t="shared" si="22"/>
        <v>1.1057869517139697E-2</v>
      </c>
      <c r="L59" s="43">
        <f t="shared" si="22"/>
        <v>8.293402137854773E-4</v>
      </c>
      <c r="M59" s="43">
        <f t="shared" si="22"/>
        <v>0.45475488389237007</v>
      </c>
      <c r="N59" s="43">
        <f t="shared" si="22"/>
        <v>9.2148912642830814E-5</v>
      </c>
      <c r="R59" s="8"/>
      <c r="T59"/>
    </row>
    <row r="60" spans="2:20" ht="23.1" customHeight="1" x14ac:dyDescent="0.25">
      <c r="B60" s="42" t="s">
        <v>94</v>
      </c>
      <c r="C60" s="44">
        <f>C58/$O$58</f>
        <v>0.46290349839445666</v>
      </c>
      <c r="D60" s="44">
        <f t="shared" ref="D60:N60" si="23">D58/$O$58</f>
        <v>6.0334629034983947E-2</v>
      </c>
      <c r="E60" s="44">
        <f t="shared" si="23"/>
        <v>5.4419469325671793E-2</v>
      </c>
      <c r="F60" s="44">
        <f t="shared" si="23"/>
        <v>0.29457495352374513</v>
      </c>
      <c r="G60" s="44">
        <f t="shared" si="23"/>
        <v>5.408146019942538E-3</v>
      </c>
      <c r="H60" s="60">
        <f t="shared" si="23"/>
        <v>4.2251140780801078E-3</v>
      </c>
      <c r="I60" s="60">
        <f t="shared" si="23"/>
        <v>6.4897752239310463E-2</v>
      </c>
      <c r="J60" s="44">
        <f t="shared" si="23"/>
        <v>3.1265844177792802E-2</v>
      </c>
      <c r="K60" s="44">
        <f t="shared" si="23"/>
        <v>2.0280547574784518E-2</v>
      </c>
      <c r="L60" s="44">
        <f t="shared" si="23"/>
        <v>1.521041068108839E-3</v>
      </c>
      <c r="M60" s="44"/>
      <c r="N60" s="44">
        <f t="shared" si="23"/>
        <v>1.6900456312320431E-4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61"/>
      <c r="I61" s="61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61"/>
      <c r="I62" s="61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61"/>
      <c r="I63" s="61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61"/>
      <c r="I64" s="61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61"/>
      <c r="I65" s="61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61"/>
      <c r="I66" s="61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61"/>
      <c r="I67" s="61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61"/>
      <c r="I68" s="61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61"/>
      <c r="I69" s="61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61"/>
      <c r="I70" s="61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61"/>
      <c r="I71" s="61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61"/>
      <c r="I72" s="61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61"/>
      <c r="I73" s="61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61"/>
      <c r="I74" s="61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61"/>
      <c r="I75" s="61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61"/>
      <c r="I76" s="61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61"/>
      <c r="I77" s="61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61"/>
      <c r="I78" s="61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61"/>
      <c r="I79" s="61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61"/>
      <c r="I80" s="61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61"/>
      <c r="I81" s="61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61"/>
      <c r="I82" s="61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61"/>
      <c r="I83" s="61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61"/>
      <c r="I84" s="61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61"/>
      <c r="I85" s="61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61"/>
      <c r="I86" s="61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61"/>
      <c r="I87" s="61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61"/>
      <c r="I88" s="61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61"/>
      <c r="I89" s="61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61"/>
      <c r="I90" s="61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61"/>
      <c r="I91" s="61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61"/>
      <c r="I92" s="61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61"/>
      <c r="I93" s="61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61"/>
      <c r="I94" s="61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61"/>
      <c r="I95" s="61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61"/>
      <c r="I96" s="61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61"/>
      <c r="I97" s="61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61"/>
      <c r="I98" s="61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61"/>
      <c r="I99" s="61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61"/>
      <c r="I100" s="61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61"/>
      <c r="I101" s="61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61"/>
      <c r="I102" s="61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61"/>
      <c r="I103" s="61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61"/>
      <c r="I104" s="61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61"/>
      <c r="I105" s="61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61"/>
      <c r="I106" s="61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61"/>
      <c r="I107" s="61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61"/>
      <c r="I108" s="61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61"/>
      <c r="I109" s="61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61"/>
      <c r="I110" s="61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61"/>
      <c r="I111" s="61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61"/>
      <c r="I112" s="61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61"/>
      <c r="I113" s="61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61"/>
      <c r="I114" s="61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61"/>
      <c r="I115" s="61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61"/>
      <c r="I116" s="61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61"/>
      <c r="I117" s="61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61"/>
      <c r="I118" s="61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61"/>
      <c r="I119" s="61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61"/>
      <c r="I120" s="61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61"/>
      <c r="I121" s="61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61"/>
      <c r="I122" s="61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61"/>
      <c r="I123" s="61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61"/>
      <c r="I124" s="61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61"/>
      <c r="I125" s="61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61"/>
      <c r="I126" s="61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78" t="str">
        <f>'23.09. KASANGATI-GAYAZA'!C3:G3</f>
        <v>MCC - C2 - STN-69- Gayaza-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2" t="s">
        <v>180</v>
      </c>
      <c r="E5" s="3"/>
      <c r="F5" s="41" t="s">
        <v>1</v>
      </c>
      <c r="G5" s="73" t="str">
        <f>'27.09 Gayaza-Kasangati'!G5:H5</f>
        <v>TOTAL BULAMU</v>
      </c>
      <c r="H5" s="74"/>
      <c r="I5" s="14"/>
      <c r="J5" s="2" t="s">
        <v>5</v>
      </c>
      <c r="K5" s="73" t="str">
        <f>'27.09 Gayaza-Kasangati'!K5:L5</f>
        <v>Mugaga S</v>
      </c>
      <c r="L5" s="74"/>
      <c r="M5" s="10"/>
      <c r="N5" s="10"/>
      <c r="O5" s="3"/>
      <c r="P5" s="3"/>
    </row>
    <row r="6" spans="2:32" ht="23.25" customHeight="1" x14ac:dyDescent="0.25">
      <c r="C6" s="2" t="s">
        <v>4</v>
      </c>
      <c r="D6" s="73" t="str">
        <f>'23.09. KASANGATI-GAYAZA'!D6:E6</f>
        <v>KASANGATI</v>
      </c>
      <c r="E6" s="74"/>
      <c r="F6" s="2" t="s">
        <v>2</v>
      </c>
      <c r="G6" s="73" t="str">
        <f>'23.09. KASANGATI-GAYAZA'!G6:H6</f>
        <v>GAYAZA</v>
      </c>
      <c r="H6" s="74"/>
      <c r="J6" s="2" t="s">
        <v>21</v>
      </c>
      <c r="K6" s="73" t="str">
        <f>'27.09 Gayaza-Kasangati'!K6:L6</f>
        <v>LAWRENCE</v>
      </c>
      <c r="L6" s="7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38</v>
      </c>
      <c r="D10" s="50">
        <v>2</v>
      </c>
      <c r="E10" s="50">
        <v>4</v>
      </c>
      <c r="F10" s="50">
        <v>36</v>
      </c>
      <c r="G10" s="50">
        <v>1</v>
      </c>
      <c r="H10" s="50">
        <v>0</v>
      </c>
      <c r="I10" s="50">
        <v>11</v>
      </c>
      <c r="J10" s="50">
        <v>2</v>
      </c>
      <c r="K10" s="50">
        <v>1</v>
      </c>
      <c r="L10" s="50">
        <v>0</v>
      </c>
      <c r="M10" s="50">
        <v>95</v>
      </c>
      <c r="N10" s="50">
        <v>0</v>
      </c>
      <c r="O10" s="15">
        <f t="shared" ref="O10:O57" si="0">SUM(C10:L10,N10)</f>
        <v>95</v>
      </c>
      <c r="P10" s="15">
        <f t="shared" ref="P10:P57" si="1">SUM(C10:N10)</f>
        <v>190</v>
      </c>
      <c r="R10" s="1" t="s">
        <v>6</v>
      </c>
      <c r="S10" s="17">
        <f t="shared" ref="S10:AF10" si="2">SUM(C10:C13)</f>
        <v>174</v>
      </c>
      <c r="T10" s="17">
        <f t="shared" si="2"/>
        <v>19</v>
      </c>
      <c r="U10" s="17">
        <f t="shared" si="2"/>
        <v>28</v>
      </c>
      <c r="V10" s="17">
        <f t="shared" si="2"/>
        <v>173</v>
      </c>
      <c r="W10" s="17">
        <f t="shared" si="2"/>
        <v>4</v>
      </c>
      <c r="X10" s="17">
        <f t="shared" si="2"/>
        <v>1</v>
      </c>
      <c r="Y10" s="17">
        <f t="shared" si="2"/>
        <v>42</v>
      </c>
      <c r="Z10" s="17">
        <f t="shared" si="2"/>
        <v>10</v>
      </c>
      <c r="AA10" s="17">
        <f t="shared" si="2"/>
        <v>14</v>
      </c>
      <c r="AB10" s="17">
        <f t="shared" si="2"/>
        <v>0</v>
      </c>
      <c r="AC10" s="17">
        <f t="shared" si="2"/>
        <v>431</v>
      </c>
      <c r="AD10" s="17">
        <f t="shared" si="2"/>
        <v>0</v>
      </c>
      <c r="AE10" s="31">
        <f t="shared" si="2"/>
        <v>465</v>
      </c>
      <c r="AF10" s="31">
        <f t="shared" si="2"/>
        <v>896</v>
      </c>
    </row>
    <row r="11" spans="2:32" s="6" customFormat="1" ht="23.1" customHeight="1" x14ac:dyDescent="0.25">
      <c r="B11" s="45" t="s">
        <v>38</v>
      </c>
      <c r="C11" s="50">
        <v>58</v>
      </c>
      <c r="D11" s="50">
        <v>3</v>
      </c>
      <c r="E11" s="50">
        <v>8</v>
      </c>
      <c r="F11" s="50">
        <v>48</v>
      </c>
      <c r="G11" s="50">
        <v>2</v>
      </c>
      <c r="H11" s="50">
        <v>0</v>
      </c>
      <c r="I11" s="50">
        <v>16</v>
      </c>
      <c r="J11" s="50">
        <v>4</v>
      </c>
      <c r="K11" s="50">
        <v>5</v>
      </c>
      <c r="L11" s="50">
        <v>0</v>
      </c>
      <c r="M11" s="50">
        <v>102</v>
      </c>
      <c r="N11" s="50">
        <v>0</v>
      </c>
      <c r="O11" s="15">
        <f t="shared" si="0"/>
        <v>144</v>
      </c>
      <c r="P11" s="15">
        <f t="shared" si="1"/>
        <v>246</v>
      </c>
      <c r="R11" s="1" t="s">
        <v>7</v>
      </c>
      <c r="S11" s="17">
        <f t="shared" ref="S11:AF11" si="3">SUM(C14:C17)</f>
        <v>156</v>
      </c>
      <c r="T11" s="17">
        <f t="shared" si="3"/>
        <v>35</v>
      </c>
      <c r="U11" s="17">
        <f t="shared" si="3"/>
        <v>40</v>
      </c>
      <c r="V11" s="17">
        <f t="shared" si="3"/>
        <v>166</v>
      </c>
      <c r="W11" s="17">
        <f t="shared" si="3"/>
        <v>8</v>
      </c>
      <c r="X11" s="17">
        <f t="shared" si="3"/>
        <v>1</v>
      </c>
      <c r="Y11" s="17">
        <f t="shared" si="3"/>
        <v>38</v>
      </c>
      <c r="Z11" s="17">
        <f t="shared" si="3"/>
        <v>9</v>
      </c>
      <c r="AA11" s="17">
        <f t="shared" si="3"/>
        <v>13</v>
      </c>
      <c r="AB11" s="17">
        <f t="shared" si="3"/>
        <v>1</v>
      </c>
      <c r="AC11" s="17">
        <f t="shared" si="3"/>
        <v>429</v>
      </c>
      <c r="AD11" s="17">
        <f t="shared" si="3"/>
        <v>0</v>
      </c>
      <c r="AE11" s="31">
        <f t="shared" si="3"/>
        <v>467</v>
      </c>
      <c r="AF11" s="31">
        <f t="shared" si="3"/>
        <v>896</v>
      </c>
    </row>
    <row r="12" spans="2:32" ht="23.1" customHeight="1" x14ac:dyDescent="0.25">
      <c r="B12" s="45" t="s">
        <v>39</v>
      </c>
      <c r="C12" s="50">
        <v>38</v>
      </c>
      <c r="D12" s="50">
        <v>8</v>
      </c>
      <c r="E12" s="50">
        <v>8</v>
      </c>
      <c r="F12" s="50">
        <v>50</v>
      </c>
      <c r="G12" s="50">
        <v>0</v>
      </c>
      <c r="H12" s="50">
        <v>1</v>
      </c>
      <c r="I12" s="50">
        <v>10</v>
      </c>
      <c r="J12" s="50">
        <v>0</v>
      </c>
      <c r="K12" s="50">
        <v>5</v>
      </c>
      <c r="L12" s="50">
        <v>0</v>
      </c>
      <c r="M12" s="50">
        <v>120</v>
      </c>
      <c r="N12" s="50">
        <v>0</v>
      </c>
      <c r="O12" s="15">
        <f t="shared" si="0"/>
        <v>120</v>
      </c>
      <c r="P12" s="15">
        <f t="shared" si="1"/>
        <v>240</v>
      </c>
      <c r="R12" s="1" t="s">
        <v>8</v>
      </c>
      <c r="S12" s="17">
        <f t="shared" ref="S12:AF12" si="4">SUM(C18:C21)</f>
        <v>96</v>
      </c>
      <c r="T12" s="17">
        <f t="shared" si="4"/>
        <v>26</v>
      </c>
      <c r="U12" s="17">
        <f t="shared" si="4"/>
        <v>23</v>
      </c>
      <c r="V12" s="17">
        <f t="shared" si="4"/>
        <v>151</v>
      </c>
      <c r="W12" s="17">
        <f t="shared" si="4"/>
        <v>2</v>
      </c>
      <c r="X12" s="17">
        <f t="shared" si="4"/>
        <v>0</v>
      </c>
      <c r="Y12" s="17">
        <f t="shared" si="4"/>
        <v>53</v>
      </c>
      <c r="Z12" s="17">
        <f t="shared" si="4"/>
        <v>12</v>
      </c>
      <c r="AA12" s="17">
        <f t="shared" si="4"/>
        <v>15</v>
      </c>
      <c r="AB12" s="17">
        <f t="shared" si="4"/>
        <v>0</v>
      </c>
      <c r="AC12" s="17">
        <f t="shared" si="4"/>
        <v>464</v>
      </c>
      <c r="AD12" s="17">
        <f t="shared" si="4"/>
        <v>0</v>
      </c>
      <c r="AE12" s="31">
        <f t="shared" si="4"/>
        <v>378</v>
      </c>
      <c r="AF12" s="31">
        <f t="shared" si="4"/>
        <v>842</v>
      </c>
    </row>
    <row r="13" spans="2:32" ht="23.1" customHeight="1" x14ac:dyDescent="0.25">
      <c r="B13" s="45" t="s">
        <v>40</v>
      </c>
      <c r="C13" s="50">
        <v>40</v>
      </c>
      <c r="D13" s="50">
        <v>6</v>
      </c>
      <c r="E13" s="50">
        <v>8</v>
      </c>
      <c r="F13" s="50">
        <v>39</v>
      </c>
      <c r="G13" s="50">
        <v>1</v>
      </c>
      <c r="H13" s="50">
        <v>0</v>
      </c>
      <c r="I13" s="50">
        <v>5</v>
      </c>
      <c r="J13" s="50">
        <v>4</v>
      </c>
      <c r="K13" s="50">
        <v>3</v>
      </c>
      <c r="L13" s="50">
        <v>0</v>
      </c>
      <c r="M13" s="50">
        <v>114</v>
      </c>
      <c r="N13" s="50">
        <v>0</v>
      </c>
      <c r="O13" s="15">
        <f t="shared" si="0"/>
        <v>106</v>
      </c>
      <c r="P13" s="15">
        <f t="shared" si="1"/>
        <v>220</v>
      </c>
      <c r="R13" s="1" t="s">
        <v>9</v>
      </c>
      <c r="S13" s="17">
        <f t="shared" ref="S13:AF13" si="5">SUM(C22:C25)</f>
        <v>157</v>
      </c>
      <c r="T13" s="17">
        <f t="shared" si="5"/>
        <v>53</v>
      </c>
      <c r="U13" s="17">
        <f t="shared" si="5"/>
        <v>36</v>
      </c>
      <c r="V13" s="17">
        <f t="shared" si="5"/>
        <v>163</v>
      </c>
      <c r="W13" s="17">
        <f t="shared" si="5"/>
        <v>0</v>
      </c>
      <c r="X13" s="17">
        <f t="shared" si="5"/>
        <v>1</v>
      </c>
      <c r="Y13" s="17">
        <f t="shared" si="5"/>
        <v>50</v>
      </c>
      <c r="Z13" s="17">
        <f t="shared" si="5"/>
        <v>6</v>
      </c>
      <c r="AA13" s="17">
        <f t="shared" si="5"/>
        <v>10</v>
      </c>
      <c r="AB13" s="17">
        <f t="shared" si="5"/>
        <v>1</v>
      </c>
      <c r="AC13" s="17">
        <f t="shared" si="5"/>
        <v>395</v>
      </c>
      <c r="AD13" s="17">
        <f t="shared" si="5"/>
        <v>0</v>
      </c>
      <c r="AE13" s="31">
        <f t="shared" si="5"/>
        <v>477</v>
      </c>
      <c r="AF13" s="31">
        <f t="shared" si="5"/>
        <v>872</v>
      </c>
    </row>
    <row r="14" spans="2:32" ht="23.1" customHeight="1" x14ac:dyDescent="0.25">
      <c r="B14" s="45" t="s">
        <v>41</v>
      </c>
      <c r="C14" s="50">
        <v>35</v>
      </c>
      <c r="D14" s="50">
        <v>8</v>
      </c>
      <c r="E14" s="50">
        <v>10</v>
      </c>
      <c r="F14" s="50">
        <v>46</v>
      </c>
      <c r="G14" s="50">
        <v>2</v>
      </c>
      <c r="H14" s="50">
        <v>1</v>
      </c>
      <c r="I14" s="50">
        <v>13</v>
      </c>
      <c r="J14" s="50">
        <v>3</v>
      </c>
      <c r="K14" s="50">
        <v>5</v>
      </c>
      <c r="L14" s="50">
        <v>0</v>
      </c>
      <c r="M14" s="50">
        <v>120</v>
      </c>
      <c r="N14" s="50">
        <v>0</v>
      </c>
      <c r="O14" s="15">
        <f t="shared" si="0"/>
        <v>123</v>
      </c>
      <c r="P14" s="15">
        <f t="shared" si="1"/>
        <v>243</v>
      </c>
      <c r="R14" s="1" t="s">
        <v>10</v>
      </c>
      <c r="S14" s="17">
        <f t="shared" ref="S14:AF14" si="6">SUM(C26:C29)</f>
        <v>187</v>
      </c>
      <c r="T14" s="17">
        <f t="shared" si="6"/>
        <v>26</v>
      </c>
      <c r="U14" s="17">
        <f t="shared" si="6"/>
        <v>28</v>
      </c>
      <c r="V14" s="17">
        <f t="shared" si="6"/>
        <v>173</v>
      </c>
      <c r="W14" s="17">
        <f t="shared" si="6"/>
        <v>1</v>
      </c>
      <c r="X14" s="17">
        <f t="shared" si="6"/>
        <v>2</v>
      </c>
      <c r="Y14" s="17">
        <f t="shared" si="6"/>
        <v>38</v>
      </c>
      <c r="Z14" s="17">
        <f t="shared" si="6"/>
        <v>14</v>
      </c>
      <c r="AA14" s="17">
        <f t="shared" si="6"/>
        <v>20</v>
      </c>
      <c r="AB14" s="17">
        <f t="shared" si="6"/>
        <v>1</v>
      </c>
      <c r="AC14" s="17">
        <f t="shared" si="6"/>
        <v>425</v>
      </c>
      <c r="AD14" s="17">
        <f t="shared" si="6"/>
        <v>0</v>
      </c>
      <c r="AE14" s="31">
        <f t="shared" si="6"/>
        <v>490</v>
      </c>
      <c r="AF14" s="31">
        <f t="shared" si="6"/>
        <v>915</v>
      </c>
    </row>
    <row r="15" spans="2:32" ht="23.1" customHeight="1" x14ac:dyDescent="0.25">
      <c r="B15" s="45" t="s">
        <v>42</v>
      </c>
      <c r="C15" s="50">
        <v>43</v>
      </c>
      <c r="D15" s="50">
        <v>12</v>
      </c>
      <c r="E15" s="50">
        <v>11</v>
      </c>
      <c r="F15" s="50">
        <v>43</v>
      </c>
      <c r="G15" s="50">
        <v>2</v>
      </c>
      <c r="H15" s="50">
        <v>0</v>
      </c>
      <c r="I15" s="50">
        <v>12</v>
      </c>
      <c r="J15" s="50">
        <v>3</v>
      </c>
      <c r="K15" s="50">
        <v>1</v>
      </c>
      <c r="L15" s="50">
        <v>0</v>
      </c>
      <c r="M15" s="50">
        <v>120</v>
      </c>
      <c r="N15" s="50">
        <v>0</v>
      </c>
      <c r="O15" s="15">
        <f t="shared" si="0"/>
        <v>127</v>
      </c>
      <c r="P15" s="15">
        <f t="shared" si="1"/>
        <v>247</v>
      </c>
      <c r="R15" s="1" t="s">
        <v>11</v>
      </c>
      <c r="S15" s="17">
        <f t="shared" ref="S15:AF15" si="7">SUM(C30:C33)</f>
        <v>138</v>
      </c>
      <c r="T15" s="17">
        <f t="shared" si="7"/>
        <v>28</v>
      </c>
      <c r="U15" s="17">
        <f t="shared" si="7"/>
        <v>24</v>
      </c>
      <c r="V15" s="17">
        <f t="shared" si="7"/>
        <v>170</v>
      </c>
      <c r="W15" s="17">
        <f t="shared" si="7"/>
        <v>5</v>
      </c>
      <c r="X15" s="17">
        <f t="shared" si="7"/>
        <v>1</v>
      </c>
      <c r="Y15" s="17">
        <f t="shared" si="7"/>
        <v>47</v>
      </c>
      <c r="Z15" s="17">
        <f t="shared" si="7"/>
        <v>23</v>
      </c>
      <c r="AA15" s="17">
        <f t="shared" si="7"/>
        <v>16</v>
      </c>
      <c r="AB15" s="17">
        <f t="shared" si="7"/>
        <v>3</v>
      </c>
      <c r="AC15" s="17">
        <f t="shared" si="7"/>
        <v>395</v>
      </c>
      <c r="AD15" s="17">
        <f t="shared" si="7"/>
        <v>0</v>
      </c>
      <c r="AE15" s="31">
        <f t="shared" si="7"/>
        <v>455</v>
      </c>
      <c r="AF15" s="31">
        <f t="shared" si="7"/>
        <v>850</v>
      </c>
    </row>
    <row r="16" spans="2:32" ht="23.1" customHeight="1" x14ac:dyDescent="0.25">
      <c r="B16" s="45" t="s">
        <v>43</v>
      </c>
      <c r="C16" s="50">
        <v>38</v>
      </c>
      <c r="D16" s="50">
        <v>11</v>
      </c>
      <c r="E16" s="50">
        <v>10</v>
      </c>
      <c r="F16" s="50">
        <v>38</v>
      </c>
      <c r="G16" s="50">
        <v>2</v>
      </c>
      <c r="H16" s="50">
        <v>0</v>
      </c>
      <c r="I16" s="50">
        <v>8</v>
      </c>
      <c r="J16" s="50">
        <v>3</v>
      </c>
      <c r="K16" s="50">
        <v>4</v>
      </c>
      <c r="L16" s="50">
        <v>0</v>
      </c>
      <c r="M16" s="50">
        <v>88</v>
      </c>
      <c r="N16" s="50">
        <v>0</v>
      </c>
      <c r="O16" s="15">
        <f t="shared" si="0"/>
        <v>114</v>
      </c>
      <c r="P16" s="15">
        <f t="shared" si="1"/>
        <v>202</v>
      </c>
      <c r="R16" s="1" t="s">
        <v>12</v>
      </c>
      <c r="S16" s="17">
        <f t="shared" ref="S16:AF16" si="8">SUM(C34:C37)</f>
        <v>156</v>
      </c>
      <c r="T16" s="17">
        <f t="shared" si="8"/>
        <v>31</v>
      </c>
      <c r="U16" s="17">
        <f t="shared" si="8"/>
        <v>29</v>
      </c>
      <c r="V16" s="17">
        <f t="shared" si="8"/>
        <v>147</v>
      </c>
      <c r="W16" s="17">
        <f t="shared" si="8"/>
        <v>1</v>
      </c>
      <c r="X16" s="17">
        <f t="shared" si="8"/>
        <v>5</v>
      </c>
      <c r="Y16" s="17">
        <f t="shared" si="8"/>
        <v>53</v>
      </c>
      <c r="Z16" s="17">
        <f t="shared" si="8"/>
        <v>15</v>
      </c>
      <c r="AA16" s="17">
        <f t="shared" si="8"/>
        <v>16</v>
      </c>
      <c r="AB16" s="17">
        <f t="shared" si="8"/>
        <v>1</v>
      </c>
      <c r="AC16" s="17">
        <f t="shared" si="8"/>
        <v>302</v>
      </c>
      <c r="AD16" s="17">
        <f t="shared" si="8"/>
        <v>0</v>
      </c>
      <c r="AE16" s="31">
        <f t="shared" si="8"/>
        <v>454</v>
      </c>
      <c r="AF16" s="31">
        <f t="shared" si="8"/>
        <v>756</v>
      </c>
    </row>
    <row r="17" spans="2:32" ht="23.1" customHeight="1" x14ac:dyDescent="0.25">
      <c r="B17" s="45" t="s">
        <v>44</v>
      </c>
      <c r="C17" s="50">
        <v>40</v>
      </c>
      <c r="D17" s="50">
        <v>4</v>
      </c>
      <c r="E17" s="50">
        <v>9</v>
      </c>
      <c r="F17" s="50">
        <v>39</v>
      </c>
      <c r="G17" s="50">
        <v>2</v>
      </c>
      <c r="H17" s="50">
        <v>0</v>
      </c>
      <c r="I17" s="50">
        <v>5</v>
      </c>
      <c r="J17" s="50">
        <v>0</v>
      </c>
      <c r="K17" s="50">
        <v>3</v>
      </c>
      <c r="L17" s="50">
        <v>1</v>
      </c>
      <c r="M17" s="50">
        <v>101</v>
      </c>
      <c r="N17" s="50">
        <v>0</v>
      </c>
      <c r="O17" s="15">
        <f t="shared" si="0"/>
        <v>103</v>
      </c>
      <c r="P17" s="15">
        <f t="shared" si="1"/>
        <v>204</v>
      </c>
      <c r="R17" s="1" t="s">
        <v>13</v>
      </c>
      <c r="S17" s="17">
        <f t="shared" ref="S17:AF17" si="9">SUM(C38:C41)</f>
        <v>146</v>
      </c>
      <c r="T17" s="17">
        <f t="shared" si="9"/>
        <v>53</v>
      </c>
      <c r="U17" s="17">
        <f t="shared" si="9"/>
        <v>23</v>
      </c>
      <c r="V17" s="17">
        <f t="shared" si="9"/>
        <v>138</v>
      </c>
      <c r="W17" s="17">
        <f t="shared" si="9"/>
        <v>5</v>
      </c>
      <c r="X17" s="17">
        <f t="shared" si="9"/>
        <v>2</v>
      </c>
      <c r="Y17" s="17">
        <f t="shared" si="9"/>
        <v>41</v>
      </c>
      <c r="Z17" s="17">
        <f t="shared" si="9"/>
        <v>14</v>
      </c>
      <c r="AA17" s="17">
        <f t="shared" si="9"/>
        <v>16</v>
      </c>
      <c r="AB17" s="17">
        <f t="shared" si="9"/>
        <v>0</v>
      </c>
      <c r="AC17" s="17">
        <f t="shared" si="9"/>
        <v>306</v>
      </c>
      <c r="AD17" s="17">
        <f t="shared" si="9"/>
        <v>0</v>
      </c>
      <c r="AE17" s="31">
        <f t="shared" si="9"/>
        <v>438</v>
      </c>
      <c r="AF17" s="31">
        <f t="shared" si="9"/>
        <v>744</v>
      </c>
    </row>
    <row r="18" spans="2:32" ht="23.1" customHeight="1" x14ac:dyDescent="0.25">
      <c r="B18" s="45" t="s">
        <v>45</v>
      </c>
      <c r="C18" s="50">
        <v>33</v>
      </c>
      <c r="D18" s="50">
        <v>4</v>
      </c>
      <c r="E18" s="50">
        <v>5</v>
      </c>
      <c r="F18" s="50">
        <v>18</v>
      </c>
      <c r="G18" s="50">
        <v>0</v>
      </c>
      <c r="H18" s="50">
        <v>0</v>
      </c>
      <c r="I18" s="50">
        <v>12</v>
      </c>
      <c r="J18" s="50">
        <v>5</v>
      </c>
      <c r="K18" s="50">
        <v>4</v>
      </c>
      <c r="L18" s="50">
        <v>0</v>
      </c>
      <c r="M18" s="50">
        <v>113</v>
      </c>
      <c r="N18" s="50">
        <v>0</v>
      </c>
      <c r="O18" s="15">
        <f t="shared" si="0"/>
        <v>81</v>
      </c>
      <c r="P18" s="15">
        <f t="shared" si="1"/>
        <v>194</v>
      </c>
      <c r="R18" s="1" t="s">
        <v>14</v>
      </c>
      <c r="S18" s="17">
        <f t="shared" ref="S18:AF18" si="10">SUM(C42:C45)</f>
        <v>101</v>
      </c>
      <c r="T18" s="17">
        <f t="shared" si="10"/>
        <v>34</v>
      </c>
      <c r="U18" s="17">
        <f t="shared" si="10"/>
        <v>14</v>
      </c>
      <c r="V18" s="17">
        <f t="shared" si="10"/>
        <v>129</v>
      </c>
      <c r="W18" s="17">
        <f t="shared" si="10"/>
        <v>1</v>
      </c>
      <c r="X18" s="17">
        <f t="shared" si="10"/>
        <v>3</v>
      </c>
      <c r="Y18" s="17">
        <f t="shared" si="10"/>
        <v>41</v>
      </c>
      <c r="Z18" s="17">
        <f t="shared" si="10"/>
        <v>13</v>
      </c>
      <c r="AA18" s="17">
        <f t="shared" si="10"/>
        <v>9</v>
      </c>
      <c r="AB18" s="17">
        <f t="shared" si="10"/>
        <v>1</v>
      </c>
      <c r="AC18" s="17">
        <f t="shared" si="10"/>
        <v>302</v>
      </c>
      <c r="AD18" s="17">
        <f t="shared" si="10"/>
        <v>0</v>
      </c>
      <c r="AE18" s="31">
        <f t="shared" si="10"/>
        <v>346</v>
      </c>
      <c r="AF18" s="31">
        <f t="shared" si="10"/>
        <v>648</v>
      </c>
    </row>
    <row r="19" spans="2:32" ht="23.1" customHeight="1" x14ac:dyDescent="0.25">
      <c r="B19" s="45" t="s">
        <v>46</v>
      </c>
      <c r="C19" s="50">
        <v>40</v>
      </c>
      <c r="D19" s="50">
        <v>8</v>
      </c>
      <c r="E19" s="50">
        <v>1</v>
      </c>
      <c r="F19" s="50">
        <v>55</v>
      </c>
      <c r="G19" s="50">
        <v>0</v>
      </c>
      <c r="H19" s="50">
        <v>0</v>
      </c>
      <c r="I19" s="50">
        <v>12</v>
      </c>
      <c r="J19" s="50">
        <v>3</v>
      </c>
      <c r="K19" s="50">
        <v>5</v>
      </c>
      <c r="L19" s="50">
        <v>0</v>
      </c>
      <c r="M19" s="50">
        <v>109</v>
      </c>
      <c r="N19" s="50">
        <v>0</v>
      </c>
      <c r="O19" s="15">
        <f t="shared" si="0"/>
        <v>124</v>
      </c>
      <c r="P19" s="15">
        <f t="shared" si="1"/>
        <v>233</v>
      </c>
      <c r="R19" s="1" t="s">
        <v>15</v>
      </c>
      <c r="S19" s="17">
        <f t="shared" ref="S19:AF19" si="11">SUM(C46:C49)</f>
        <v>191</v>
      </c>
      <c r="T19" s="17">
        <f t="shared" si="11"/>
        <v>53</v>
      </c>
      <c r="U19" s="17">
        <f t="shared" si="11"/>
        <v>39</v>
      </c>
      <c r="V19" s="17">
        <f t="shared" si="11"/>
        <v>190</v>
      </c>
      <c r="W19" s="17">
        <f t="shared" si="11"/>
        <v>0</v>
      </c>
      <c r="X19" s="17">
        <f t="shared" si="11"/>
        <v>5</v>
      </c>
      <c r="Y19" s="17">
        <f t="shared" si="11"/>
        <v>32</v>
      </c>
      <c r="Z19" s="17">
        <f t="shared" si="11"/>
        <v>11</v>
      </c>
      <c r="AA19" s="17">
        <f t="shared" si="11"/>
        <v>4</v>
      </c>
      <c r="AB19" s="17">
        <f t="shared" si="11"/>
        <v>0</v>
      </c>
      <c r="AC19" s="17">
        <f t="shared" si="11"/>
        <v>306</v>
      </c>
      <c r="AD19" s="17">
        <f t="shared" si="11"/>
        <v>1</v>
      </c>
      <c r="AE19" s="31">
        <f t="shared" si="11"/>
        <v>526</v>
      </c>
      <c r="AF19" s="31">
        <f t="shared" si="11"/>
        <v>832</v>
      </c>
    </row>
    <row r="20" spans="2:32" ht="23.1" customHeight="1" x14ac:dyDescent="0.25">
      <c r="B20" s="45" t="s">
        <v>47</v>
      </c>
      <c r="C20" s="50">
        <v>14</v>
      </c>
      <c r="D20" s="50">
        <v>8</v>
      </c>
      <c r="E20" s="50">
        <v>14</v>
      </c>
      <c r="F20" s="50">
        <v>30</v>
      </c>
      <c r="G20" s="50">
        <v>1</v>
      </c>
      <c r="H20" s="50">
        <v>0</v>
      </c>
      <c r="I20" s="50">
        <v>15</v>
      </c>
      <c r="J20" s="50">
        <v>4</v>
      </c>
      <c r="K20" s="50">
        <v>4</v>
      </c>
      <c r="L20" s="50">
        <v>0</v>
      </c>
      <c r="M20" s="50">
        <v>125</v>
      </c>
      <c r="N20" s="50">
        <v>0</v>
      </c>
      <c r="O20" s="15">
        <f t="shared" si="0"/>
        <v>90</v>
      </c>
      <c r="P20" s="15">
        <f t="shared" si="1"/>
        <v>215</v>
      </c>
      <c r="R20" s="1" t="s">
        <v>16</v>
      </c>
      <c r="S20" s="17">
        <f t="shared" ref="S20:AF20" si="12">SUM(C50:C53)</f>
        <v>203</v>
      </c>
      <c r="T20" s="17">
        <f t="shared" si="12"/>
        <v>47</v>
      </c>
      <c r="U20" s="17">
        <f t="shared" si="12"/>
        <v>30</v>
      </c>
      <c r="V20" s="17">
        <f t="shared" si="12"/>
        <v>191</v>
      </c>
      <c r="W20" s="17">
        <f t="shared" si="12"/>
        <v>3</v>
      </c>
      <c r="X20" s="17">
        <f t="shared" si="12"/>
        <v>6</v>
      </c>
      <c r="Y20" s="17">
        <f t="shared" si="12"/>
        <v>35</v>
      </c>
      <c r="Z20" s="17">
        <f t="shared" si="12"/>
        <v>9</v>
      </c>
      <c r="AA20" s="17">
        <f t="shared" si="12"/>
        <v>4</v>
      </c>
      <c r="AB20" s="17">
        <f t="shared" si="12"/>
        <v>0</v>
      </c>
      <c r="AC20" s="17">
        <f t="shared" si="12"/>
        <v>421</v>
      </c>
      <c r="AD20" s="17">
        <f t="shared" si="12"/>
        <v>0</v>
      </c>
      <c r="AE20" s="31">
        <f t="shared" si="12"/>
        <v>528</v>
      </c>
      <c r="AF20" s="31">
        <f t="shared" si="12"/>
        <v>949</v>
      </c>
    </row>
    <row r="21" spans="2:32" ht="23.1" customHeight="1" x14ac:dyDescent="0.25">
      <c r="B21" s="45" t="s">
        <v>48</v>
      </c>
      <c r="C21" s="50">
        <v>9</v>
      </c>
      <c r="D21" s="50">
        <v>6</v>
      </c>
      <c r="E21" s="50">
        <v>3</v>
      </c>
      <c r="F21" s="50">
        <v>48</v>
      </c>
      <c r="G21" s="50">
        <v>1</v>
      </c>
      <c r="H21" s="50">
        <v>0</v>
      </c>
      <c r="I21" s="50">
        <v>14</v>
      </c>
      <c r="J21" s="50">
        <v>0</v>
      </c>
      <c r="K21" s="50">
        <v>2</v>
      </c>
      <c r="L21" s="50">
        <v>0</v>
      </c>
      <c r="M21" s="50">
        <v>117</v>
      </c>
      <c r="N21" s="50">
        <v>0</v>
      </c>
      <c r="O21" s="15">
        <f t="shared" si="0"/>
        <v>83</v>
      </c>
      <c r="P21" s="15">
        <f t="shared" si="1"/>
        <v>200</v>
      </c>
      <c r="R21" s="36" t="s">
        <v>20</v>
      </c>
      <c r="S21" s="34">
        <f t="shared" ref="S21:AF21" si="13">SUM(C54:C57)</f>
        <v>273</v>
      </c>
      <c r="T21" s="17">
        <f t="shared" si="13"/>
        <v>30</v>
      </c>
      <c r="U21" s="17">
        <f t="shared" si="13"/>
        <v>28</v>
      </c>
      <c r="V21" s="17">
        <f t="shared" si="13"/>
        <v>178</v>
      </c>
      <c r="W21" s="17">
        <f t="shared" si="13"/>
        <v>2</v>
      </c>
      <c r="X21" s="17">
        <f t="shared" si="13"/>
        <v>1</v>
      </c>
      <c r="Y21" s="17">
        <f t="shared" si="13"/>
        <v>34</v>
      </c>
      <c r="Z21" s="17">
        <f t="shared" si="13"/>
        <v>8</v>
      </c>
      <c r="AA21" s="17">
        <f t="shared" si="13"/>
        <v>0</v>
      </c>
      <c r="AB21" s="17">
        <f t="shared" si="13"/>
        <v>0</v>
      </c>
      <c r="AC21" s="17">
        <f t="shared" si="13"/>
        <v>453</v>
      </c>
      <c r="AD21" s="17">
        <f t="shared" si="13"/>
        <v>1</v>
      </c>
      <c r="AE21" s="31">
        <f t="shared" si="13"/>
        <v>555</v>
      </c>
      <c r="AF21" s="31">
        <f t="shared" si="13"/>
        <v>1008</v>
      </c>
    </row>
    <row r="22" spans="2:32" ht="23.1" customHeight="1" x14ac:dyDescent="0.25">
      <c r="B22" s="45" t="s">
        <v>49</v>
      </c>
      <c r="C22" s="50">
        <v>37</v>
      </c>
      <c r="D22" s="50">
        <v>6</v>
      </c>
      <c r="E22" s="50">
        <v>6</v>
      </c>
      <c r="F22" s="50">
        <v>35</v>
      </c>
      <c r="G22" s="50">
        <v>0</v>
      </c>
      <c r="H22" s="50">
        <v>1</v>
      </c>
      <c r="I22" s="50">
        <v>6</v>
      </c>
      <c r="J22" s="50">
        <v>2</v>
      </c>
      <c r="K22" s="50">
        <v>0</v>
      </c>
      <c r="L22" s="50">
        <v>0</v>
      </c>
      <c r="M22" s="50">
        <v>82</v>
      </c>
      <c r="N22" s="50">
        <v>0</v>
      </c>
      <c r="O22" s="15">
        <f t="shared" si="0"/>
        <v>93</v>
      </c>
      <c r="P22" s="15">
        <f t="shared" si="1"/>
        <v>175</v>
      </c>
      <c r="R22" s="36" t="s">
        <v>146</v>
      </c>
      <c r="S22" s="34">
        <f>SUM(C58:C61)</f>
        <v>169</v>
      </c>
      <c r="T22" s="34">
        <f t="shared" ref="T22:AF22" si="14">SUM(D58:D61)</f>
        <v>79</v>
      </c>
      <c r="U22" s="34">
        <f t="shared" si="14"/>
        <v>49</v>
      </c>
      <c r="V22" s="34">
        <f t="shared" si="14"/>
        <v>199</v>
      </c>
      <c r="W22" s="34">
        <f t="shared" si="14"/>
        <v>9</v>
      </c>
      <c r="X22" s="34">
        <f t="shared" si="14"/>
        <v>3</v>
      </c>
      <c r="Y22" s="34">
        <f t="shared" si="14"/>
        <v>22</v>
      </c>
      <c r="Z22" s="34">
        <f t="shared" si="14"/>
        <v>11</v>
      </c>
      <c r="AA22" s="34">
        <f t="shared" si="14"/>
        <v>2</v>
      </c>
      <c r="AB22" s="34">
        <f t="shared" si="14"/>
        <v>2</v>
      </c>
      <c r="AC22" s="34">
        <f t="shared" si="14"/>
        <v>586</v>
      </c>
      <c r="AD22" s="34">
        <f t="shared" si="14"/>
        <v>1</v>
      </c>
      <c r="AE22" s="31">
        <f t="shared" si="14"/>
        <v>546</v>
      </c>
      <c r="AF22" s="31">
        <f t="shared" si="14"/>
        <v>1132</v>
      </c>
    </row>
    <row r="23" spans="2:32" ht="23.1" customHeight="1" x14ac:dyDescent="0.25">
      <c r="B23" s="45" t="s">
        <v>50</v>
      </c>
      <c r="C23" s="50">
        <v>33</v>
      </c>
      <c r="D23" s="50">
        <v>14</v>
      </c>
      <c r="E23" s="50">
        <v>10</v>
      </c>
      <c r="F23" s="50">
        <v>38</v>
      </c>
      <c r="G23" s="50">
        <v>0</v>
      </c>
      <c r="H23" s="50">
        <v>0</v>
      </c>
      <c r="I23" s="50">
        <v>18</v>
      </c>
      <c r="J23" s="50">
        <v>0</v>
      </c>
      <c r="K23" s="50">
        <v>2</v>
      </c>
      <c r="L23" s="50">
        <v>1</v>
      </c>
      <c r="M23" s="50">
        <v>93</v>
      </c>
      <c r="N23" s="50">
        <v>0</v>
      </c>
      <c r="O23" s="15">
        <f t="shared" si="0"/>
        <v>116</v>
      </c>
      <c r="P23" s="15">
        <f t="shared" si="1"/>
        <v>209</v>
      </c>
      <c r="R23" s="36" t="s">
        <v>147</v>
      </c>
      <c r="S23" s="34">
        <f>SUM(C62:C65)</f>
        <v>183</v>
      </c>
      <c r="T23" s="34">
        <f t="shared" ref="T23:AF23" si="15">SUM(D62:D65)</f>
        <v>96</v>
      </c>
      <c r="U23" s="34">
        <f t="shared" si="15"/>
        <v>18</v>
      </c>
      <c r="V23" s="34">
        <f t="shared" si="15"/>
        <v>195</v>
      </c>
      <c r="W23" s="34">
        <f t="shared" si="15"/>
        <v>21</v>
      </c>
      <c r="X23" s="34">
        <f t="shared" si="15"/>
        <v>2</v>
      </c>
      <c r="Y23" s="34">
        <f t="shared" si="15"/>
        <v>36</v>
      </c>
      <c r="Z23" s="34">
        <f t="shared" si="15"/>
        <v>9</v>
      </c>
      <c r="AA23" s="34">
        <f t="shared" si="15"/>
        <v>1</v>
      </c>
      <c r="AB23" s="34">
        <f t="shared" si="15"/>
        <v>3</v>
      </c>
      <c r="AC23" s="34">
        <f t="shared" si="15"/>
        <v>509</v>
      </c>
      <c r="AD23" s="34">
        <f t="shared" si="15"/>
        <v>0</v>
      </c>
      <c r="AE23" s="31">
        <f t="shared" si="15"/>
        <v>564</v>
      </c>
      <c r="AF23" s="31">
        <f t="shared" si="15"/>
        <v>1073</v>
      </c>
    </row>
    <row r="24" spans="2:32" ht="23.1" customHeight="1" x14ac:dyDescent="0.25">
      <c r="B24" s="45" t="s">
        <v>51</v>
      </c>
      <c r="C24" s="50">
        <v>33</v>
      </c>
      <c r="D24" s="50">
        <v>20</v>
      </c>
      <c r="E24" s="50">
        <v>10</v>
      </c>
      <c r="F24" s="50">
        <v>46</v>
      </c>
      <c r="G24" s="50">
        <v>0</v>
      </c>
      <c r="H24" s="50">
        <v>0</v>
      </c>
      <c r="I24" s="50">
        <v>14</v>
      </c>
      <c r="J24" s="50">
        <v>2</v>
      </c>
      <c r="K24" s="50">
        <v>6</v>
      </c>
      <c r="L24" s="50">
        <v>0</v>
      </c>
      <c r="M24" s="50">
        <v>107</v>
      </c>
      <c r="N24" s="50">
        <v>0</v>
      </c>
      <c r="O24" s="15">
        <f t="shared" si="0"/>
        <v>131</v>
      </c>
      <c r="P24" s="15">
        <f t="shared" si="1"/>
        <v>238</v>
      </c>
      <c r="R24" s="36" t="s">
        <v>148</v>
      </c>
      <c r="S24" s="34">
        <f>SUM(C66:C69)</f>
        <v>218</v>
      </c>
      <c r="T24" s="34">
        <f t="shared" ref="T24:AF24" si="16">SUM(D66:D69)</f>
        <v>67</v>
      </c>
      <c r="U24" s="34">
        <f t="shared" si="16"/>
        <v>16</v>
      </c>
      <c r="V24" s="34">
        <f t="shared" si="16"/>
        <v>245</v>
      </c>
      <c r="W24" s="34">
        <f t="shared" si="16"/>
        <v>12</v>
      </c>
      <c r="X24" s="34">
        <f t="shared" si="16"/>
        <v>2</v>
      </c>
      <c r="Y24" s="34">
        <f t="shared" si="16"/>
        <v>23</v>
      </c>
      <c r="Z24" s="34">
        <f t="shared" si="16"/>
        <v>3</v>
      </c>
      <c r="AA24" s="34">
        <f t="shared" si="16"/>
        <v>1</v>
      </c>
      <c r="AB24" s="34">
        <f t="shared" si="16"/>
        <v>2</v>
      </c>
      <c r="AC24" s="34">
        <f t="shared" si="16"/>
        <v>400</v>
      </c>
      <c r="AD24" s="34">
        <f t="shared" si="16"/>
        <v>0</v>
      </c>
      <c r="AE24" s="31">
        <f t="shared" si="16"/>
        <v>589</v>
      </c>
      <c r="AF24" s="31">
        <f t="shared" si="16"/>
        <v>989</v>
      </c>
    </row>
    <row r="25" spans="2:32" ht="23.1" customHeight="1" x14ac:dyDescent="0.25">
      <c r="B25" s="45" t="s">
        <v>52</v>
      </c>
      <c r="C25" s="50">
        <v>54</v>
      </c>
      <c r="D25" s="50">
        <v>13</v>
      </c>
      <c r="E25" s="50">
        <v>10</v>
      </c>
      <c r="F25" s="50">
        <v>44</v>
      </c>
      <c r="G25" s="50">
        <v>0</v>
      </c>
      <c r="H25" s="50">
        <v>0</v>
      </c>
      <c r="I25" s="50">
        <v>12</v>
      </c>
      <c r="J25" s="50">
        <v>2</v>
      </c>
      <c r="K25" s="50">
        <v>2</v>
      </c>
      <c r="L25" s="50">
        <v>0</v>
      </c>
      <c r="M25" s="50">
        <v>113</v>
      </c>
      <c r="N25" s="50">
        <v>0</v>
      </c>
      <c r="O25" s="15">
        <f t="shared" si="0"/>
        <v>137</v>
      </c>
      <c r="P25" s="15">
        <f t="shared" si="1"/>
        <v>250</v>
      </c>
      <c r="R25" s="36" t="s">
        <v>149</v>
      </c>
      <c r="S25" s="34">
        <f>SUM(C70:C73)</f>
        <v>172</v>
      </c>
      <c r="T25" s="34">
        <f t="shared" ref="T25:AF25" si="17">SUM(D70:D73)</f>
        <v>56</v>
      </c>
      <c r="U25" s="34">
        <f t="shared" si="17"/>
        <v>12</v>
      </c>
      <c r="V25" s="34">
        <f t="shared" si="17"/>
        <v>163</v>
      </c>
      <c r="W25" s="34">
        <f t="shared" si="17"/>
        <v>6</v>
      </c>
      <c r="X25" s="34">
        <f t="shared" si="17"/>
        <v>1</v>
      </c>
      <c r="Y25" s="34">
        <f t="shared" si="17"/>
        <v>20</v>
      </c>
      <c r="Z25" s="34">
        <f t="shared" si="17"/>
        <v>5</v>
      </c>
      <c r="AA25" s="34">
        <f t="shared" si="17"/>
        <v>0</v>
      </c>
      <c r="AB25" s="34">
        <f t="shared" si="17"/>
        <v>4</v>
      </c>
      <c r="AC25" s="34">
        <f t="shared" si="17"/>
        <v>313</v>
      </c>
      <c r="AD25" s="34">
        <f t="shared" si="17"/>
        <v>0</v>
      </c>
      <c r="AE25" s="31">
        <f t="shared" si="17"/>
        <v>439</v>
      </c>
      <c r="AF25" s="31">
        <f t="shared" si="17"/>
        <v>752</v>
      </c>
    </row>
    <row r="26" spans="2:32" ht="23.1" customHeight="1" x14ac:dyDescent="0.25">
      <c r="B26" s="45" t="s">
        <v>53</v>
      </c>
      <c r="C26" s="50">
        <v>64</v>
      </c>
      <c r="D26" s="50">
        <v>6</v>
      </c>
      <c r="E26" s="50">
        <v>8</v>
      </c>
      <c r="F26" s="50">
        <v>48</v>
      </c>
      <c r="G26" s="50">
        <v>1</v>
      </c>
      <c r="H26" s="50">
        <v>0</v>
      </c>
      <c r="I26" s="50">
        <v>13</v>
      </c>
      <c r="J26" s="50">
        <v>4</v>
      </c>
      <c r="K26" s="50">
        <v>8</v>
      </c>
      <c r="L26" s="50">
        <v>0</v>
      </c>
      <c r="M26" s="50">
        <v>112</v>
      </c>
      <c r="N26" s="50">
        <v>0</v>
      </c>
      <c r="O26" s="15">
        <f t="shared" si="0"/>
        <v>152</v>
      </c>
      <c r="P26" s="15">
        <f t="shared" si="1"/>
        <v>264</v>
      </c>
      <c r="R26" s="36" t="s">
        <v>150</v>
      </c>
      <c r="S26" s="34">
        <f>SUM(C74:C77)</f>
        <v>118</v>
      </c>
      <c r="T26" s="34">
        <f t="shared" ref="T26:AF26" si="18">SUM(D74:D77)</f>
        <v>31</v>
      </c>
      <c r="U26" s="34">
        <f t="shared" si="18"/>
        <v>7</v>
      </c>
      <c r="V26" s="34">
        <f t="shared" si="18"/>
        <v>73</v>
      </c>
      <c r="W26" s="34">
        <f t="shared" si="18"/>
        <v>2</v>
      </c>
      <c r="X26" s="34">
        <f t="shared" si="18"/>
        <v>1</v>
      </c>
      <c r="Y26" s="34">
        <f t="shared" si="18"/>
        <v>6</v>
      </c>
      <c r="Z26" s="34">
        <f t="shared" si="18"/>
        <v>3</v>
      </c>
      <c r="AA26" s="34">
        <f t="shared" si="18"/>
        <v>0</v>
      </c>
      <c r="AB26" s="34">
        <f t="shared" si="18"/>
        <v>3</v>
      </c>
      <c r="AC26" s="34">
        <f t="shared" si="18"/>
        <v>163</v>
      </c>
      <c r="AD26" s="34">
        <f t="shared" si="18"/>
        <v>0</v>
      </c>
      <c r="AE26" s="31">
        <f t="shared" si="18"/>
        <v>244</v>
      </c>
      <c r="AF26" s="31">
        <f t="shared" si="18"/>
        <v>407</v>
      </c>
    </row>
    <row r="27" spans="2:32" ht="23.1" customHeight="1" x14ac:dyDescent="0.25">
      <c r="B27" s="45" t="s">
        <v>54</v>
      </c>
      <c r="C27" s="50">
        <v>59</v>
      </c>
      <c r="D27" s="50">
        <v>7</v>
      </c>
      <c r="E27" s="50">
        <v>5</v>
      </c>
      <c r="F27" s="50">
        <v>53</v>
      </c>
      <c r="G27" s="50">
        <v>0</v>
      </c>
      <c r="H27" s="50">
        <v>1</v>
      </c>
      <c r="I27" s="50">
        <v>6</v>
      </c>
      <c r="J27" s="50">
        <v>2</v>
      </c>
      <c r="K27" s="50">
        <v>1</v>
      </c>
      <c r="L27" s="50">
        <v>0</v>
      </c>
      <c r="M27" s="50">
        <v>120</v>
      </c>
      <c r="N27" s="50">
        <v>0</v>
      </c>
      <c r="O27" s="15">
        <f t="shared" si="0"/>
        <v>134</v>
      </c>
      <c r="P27" s="15">
        <f t="shared" si="1"/>
        <v>254</v>
      </c>
      <c r="R27" s="36" t="s">
        <v>151</v>
      </c>
      <c r="S27" s="34">
        <f>SUM(C78:C81)</f>
        <v>38</v>
      </c>
      <c r="T27" s="34">
        <f t="shared" ref="T27:AF27" si="19">SUM(D78:D81)</f>
        <v>9</v>
      </c>
      <c r="U27" s="34">
        <f t="shared" si="19"/>
        <v>6</v>
      </c>
      <c r="V27" s="34">
        <f t="shared" si="19"/>
        <v>19</v>
      </c>
      <c r="W27" s="34">
        <f t="shared" si="19"/>
        <v>0</v>
      </c>
      <c r="X27" s="34">
        <f t="shared" si="19"/>
        <v>0</v>
      </c>
      <c r="Y27" s="34">
        <f t="shared" si="19"/>
        <v>8</v>
      </c>
      <c r="Z27" s="34">
        <f t="shared" si="19"/>
        <v>3</v>
      </c>
      <c r="AA27" s="34">
        <f t="shared" si="19"/>
        <v>0</v>
      </c>
      <c r="AB27" s="34">
        <f t="shared" si="19"/>
        <v>1</v>
      </c>
      <c r="AC27" s="34">
        <f t="shared" si="19"/>
        <v>86</v>
      </c>
      <c r="AD27" s="34">
        <f t="shared" si="19"/>
        <v>0</v>
      </c>
      <c r="AE27" s="31">
        <f t="shared" si="19"/>
        <v>84</v>
      </c>
      <c r="AF27" s="31">
        <f t="shared" si="19"/>
        <v>170</v>
      </c>
    </row>
    <row r="28" spans="2:32" ht="23.1" customHeight="1" x14ac:dyDescent="0.25">
      <c r="B28" s="45" t="s">
        <v>55</v>
      </c>
      <c r="C28" s="50">
        <v>26</v>
      </c>
      <c r="D28" s="50">
        <v>5</v>
      </c>
      <c r="E28" s="50">
        <v>8</v>
      </c>
      <c r="F28" s="50">
        <v>30</v>
      </c>
      <c r="G28" s="50">
        <v>0</v>
      </c>
      <c r="H28" s="50">
        <v>0</v>
      </c>
      <c r="I28" s="50">
        <v>11</v>
      </c>
      <c r="J28" s="50">
        <v>2</v>
      </c>
      <c r="K28" s="50">
        <v>2</v>
      </c>
      <c r="L28" s="50">
        <v>1</v>
      </c>
      <c r="M28" s="50">
        <v>90</v>
      </c>
      <c r="N28" s="50">
        <v>0</v>
      </c>
      <c r="O28" s="15">
        <f t="shared" si="0"/>
        <v>85</v>
      </c>
      <c r="P28" s="15">
        <f t="shared" si="1"/>
        <v>175</v>
      </c>
      <c r="R28" s="36" t="s">
        <v>152</v>
      </c>
      <c r="S28" s="34">
        <f>SUM(C82:C85)</f>
        <v>20</v>
      </c>
      <c r="T28" s="34">
        <f t="shared" ref="T28:AF28" si="20">SUM(D82:D85)</f>
        <v>9</v>
      </c>
      <c r="U28" s="34">
        <f t="shared" si="20"/>
        <v>2</v>
      </c>
      <c r="V28" s="34">
        <f t="shared" si="20"/>
        <v>9</v>
      </c>
      <c r="W28" s="34">
        <f t="shared" si="20"/>
        <v>0</v>
      </c>
      <c r="X28" s="34">
        <f t="shared" si="20"/>
        <v>2</v>
      </c>
      <c r="Y28" s="34">
        <f t="shared" si="20"/>
        <v>11</v>
      </c>
      <c r="Z28" s="34">
        <f t="shared" si="20"/>
        <v>3</v>
      </c>
      <c r="AA28" s="34">
        <f t="shared" si="20"/>
        <v>0</v>
      </c>
      <c r="AB28" s="34">
        <f t="shared" si="20"/>
        <v>2</v>
      </c>
      <c r="AC28" s="34">
        <f t="shared" si="20"/>
        <v>75</v>
      </c>
      <c r="AD28" s="34">
        <f t="shared" si="20"/>
        <v>0</v>
      </c>
      <c r="AE28" s="31">
        <f t="shared" si="20"/>
        <v>58</v>
      </c>
      <c r="AF28" s="31">
        <f t="shared" si="20"/>
        <v>133</v>
      </c>
    </row>
    <row r="29" spans="2:32" ht="23.1" customHeight="1" x14ac:dyDescent="0.25">
      <c r="B29" s="45" t="s">
        <v>56</v>
      </c>
      <c r="C29" s="50">
        <v>38</v>
      </c>
      <c r="D29" s="50">
        <v>8</v>
      </c>
      <c r="E29" s="50">
        <v>7</v>
      </c>
      <c r="F29" s="50">
        <v>42</v>
      </c>
      <c r="G29" s="50">
        <v>0</v>
      </c>
      <c r="H29" s="50">
        <v>1</v>
      </c>
      <c r="I29" s="50">
        <v>8</v>
      </c>
      <c r="J29" s="50">
        <v>6</v>
      </c>
      <c r="K29" s="50">
        <v>9</v>
      </c>
      <c r="L29" s="50">
        <v>0</v>
      </c>
      <c r="M29" s="50">
        <v>103</v>
      </c>
      <c r="N29" s="50">
        <v>0</v>
      </c>
      <c r="O29" s="15">
        <f t="shared" si="0"/>
        <v>119</v>
      </c>
      <c r="P29" s="15">
        <f t="shared" si="1"/>
        <v>222</v>
      </c>
      <c r="R29" s="36" t="s">
        <v>153</v>
      </c>
      <c r="S29" s="34">
        <f>SUM(C86:C89)</f>
        <v>14</v>
      </c>
      <c r="T29" s="34">
        <f t="shared" ref="T29:AF29" si="21">SUM(D86:D89)</f>
        <v>1</v>
      </c>
      <c r="U29" s="34">
        <f t="shared" si="21"/>
        <v>1</v>
      </c>
      <c r="V29" s="34">
        <f t="shared" si="21"/>
        <v>5</v>
      </c>
      <c r="W29" s="34">
        <f t="shared" si="21"/>
        <v>0</v>
      </c>
      <c r="X29" s="34">
        <f t="shared" si="21"/>
        <v>0</v>
      </c>
      <c r="Y29" s="34">
        <f t="shared" si="21"/>
        <v>5</v>
      </c>
      <c r="Z29" s="34">
        <f t="shared" si="21"/>
        <v>1</v>
      </c>
      <c r="AA29" s="34">
        <f t="shared" si="21"/>
        <v>1</v>
      </c>
      <c r="AB29" s="34">
        <f t="shared" si="21"/>
        <v>1</v>
      </c>
      <c r="AC29" s="34">
        <f t="shared" si="21"/>
        <v>25</v>
      </c>
      <c r="AD29" s="34">
        <f t="shared" si="21"/>
        <v>0</v>
      </c>
      <c r="AE29" s="31">
        <f t="shared" si="21"/>
        <v>29</v>
      </c>
      <c r="AF29" s="31">
        <f t="shared" si="21"/>
        <v>54</v>
      </c>
    </row>
    <row r="30" spans="2:32" ht="23.1" customHeight="1" x14ac:dyDescent="0.25">
      <c r="B30" s="45" t="s">
        <v>57</v>
      </c>
      <c r="C30" s="50">
        <v>34</v>
      </c>
      <c r="D30" s="50">
        <v>6</v>
      </c>
      <c r="E30" s="50">
        <v>7</v>
      </c>
      <c r="F30" s="50">
        <v>47</v>
      </c>
      <c r="G30" s="50">
        <v>0</v>
      </c>
      <c r="H30" s="50">
        <v>0</v>
      </c>
      <c r="I30" s="50">
        <v>7</v>
      </c>
      <c r="J30" s="50">
        <v>2</v>
      </c>
      <c r="K30" s="50">
        <v>5</v>
      </c>
      <c r="L30" s="50">
        <v>0</v>
      </c>
      <c r="M30" s="50">
        <v>116</v>
      </c>
      <c r="N30" s="50">
        <v>0</v>
      </c>
      <c r="O30" s="15">
        <f t="shared" si="0"/>
        <v>108</v>
      </c>
      <c r="P30" s="15">
        <f t="shared" si="1"/>
        <v>224</v>
      </c>
      <c r="R30" s="36" t="s">
        <v>154</v>
      </c>
      <c r="S30" s="34">
        <f>SUM(C90:C93)</f>
        <v>7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5</v>
      </c>
      <c r="W30" s="34">
        <f t="shared" si="22"/>
        <v>1</v>
      </c>
      <c r="X30" s="34">
        <f t="shared" si="22"/>
        <v>0</v>
      </c>
      <c r="Y30" s="34">
        <f t="shared" si="22"/>
        <v>2</v>
      </c>
      <c r="Z30" s="34">
        <f t="shared" si="22"/>
        <v>3</v>
      </c>
      <c r="AA30" s="34">
        <f t="shared" si="22"/>
        <v>0</v>
      </c>
      <c r="AB30" s="34">
        <f t="shared" si="22"/>
        <v>3</v>
      </c>
      <c r="AC30" s="34">
        <f t="shared" si="22"/>
        <v>27</v>
      </c>
      <c r="AD30" s="34">
        <f t="shared" si="22"/>
        <v>0</v>
      </c>
      <c r="AE30" s="31">
        <f t="shared" si="22"/>
        <v>23</v>
      </c>
      <c r="AF30" s="31">
        <f t="shared" si="22"/>
        <v>50</v>
      </c>
    </row>
    <row r="31" spans="2:32" ht="23.1" customHeight="1" x14ac:dyDescent="0.25">
      <c r="B31" s="46" t="s">
        <v>58</v>
      </c>
      <c r="C31" s="50">
        <v>33</v>
      </c>
      <c r="D31" s="50">
        <v>4</v>
      </c>
      <c r="E31" s="50">
        <v>1</v>
      </c>
      <c r="F31" s="50">
        <v>32</v>
      </c>
      <c r="G31" s="50">
        <v>2</v>
      </c>
      <c r="H31" s="50">
        <v>1</v>
      </c>
      <c r="I31" s="50">
        <v>11</v>
      </c>
      <c r="J31" s="50">
        <v>1</v>
      </c>
      <c r="K31" s="50">
        <v>7</v>
      </c>
      <c r="L31" s="50">
        <v>1</v>
      </c>
      <c r="M31" s="50">
        <v>102</v>
      </c>
      <c r="N31" s="50">
        <v>0</v>
      </c>
      <c r="O31" s="15">
        <f t="shared" si="0"/>
        <v>93</v>
      </c>
      <c r="P31" s="15">
        <f t="shared" si="1"/>
        <v>195</v>
      </c>
      <c r="R31" s="36" t="s">
        <v>155</v>
      </c>
      <c r="S31" s="34">
        <f>SUM(C94:C97)</f>
        <v>7</v>
      </c>
      <c r="T31" s="34">
        <f t="shared" ref="T31:AF31" si="23">SUM(D94:D97)</f>
        <v>1</v>
      </c>
      <c r="U31" s="34">
        <f t="shared" si="23"/>
        <v>5</v>
      </c>
      <c r="V31" s="34">
        <f t="shared" si="23"/>
        <v>12</v>
      </c>
      <c r="W31" s="34">
        <f t="shared" si="23"/>
        <v>1</v>
      </c>
      <c r="X31" s="34">
        <f t="shared" si="23"/>
        <v>0</v>
      </c>
      <c r="Y31" s="34">
        <f t="shared" si="23"/>
        <v>5</v>
      </c>
      <c r="Z31" s="34">
        <f t="shared" si="23"/>
        <v>4</v>
      </c>
      <c r="AA31" s="34">
        <f t="shared" si="23"/>
        <v>0</v>
      </c>
      <c r="AB31" s="34">
        <f t="shared" si="23"/>
        <v>1</v>
      </c>
      <c r="AC31" s="34">
        <f t="shared" si="23"/>
        <v>30</v>
      </c>
      <c r="AD31" s="34">
        <f t="shared" si="23"/>
        <v>0</v>
      </c>
      <c r="AE31" s="31">
        <f t="shared" si="23"/>
        <v>36</v>
      </c>
      <c r="AF31" s="31">
        <f t="shared" si="23"/>
        <v>66</v>
      </c>
    </row>
    <row r="32" spans="2:32" ht="23.1" customHeight="1" x14ac:dyDescent="0.25">
      <c r="B32" s="46" t="s">
        <v>59</v>
      </c>
      <c r="C32" s="50">
        <v>35</v>
      </c>
      <c r="D32" s="50">
        <v>10</v>
      </c>
      <c r="E32" s="50">
        <v>6</v>
      </c>
      <c r="F32" s="50">
        <v>51</v>
      </c>
      <c r="G32" s="50">
        <v>2</v>
      </c>
      <c r="H32" s="50">
        <v>0</v>
      </c>
      <c r="I32" s="50">
        <v>9</v>
      </c>
      <c r="J32" s="50">
        <v>4</v>
      </c>
      <c r="K32" s="50">
        <v>1</v>
      </c>
      <c r="L32" s="50">
        <v>2</v>
      </c>
      <c r="M32" s="50">
        <v>92</v>
      </c>
      <c r="N32" s="50">
        <v>0</v>
      </c>
      <c r="O32" s="15">
        <f t="shared" si="0"/>
        <v>120</v>
      </c>
      <c r="P32" s="15">
        <f t="shared" si="1"/>
        <v>212</v>
      </c>
      <c r="R32" s="33" t="s">
        <v>156</v>
      </c>
      <c r="S32" s="34">
        <f>SUM(C98:C101)</f>
        <v>25</v>
      </c>
      <c r="T32" s="34">
        <f t="shared" ref="T32:AF32" si="24">SUM(D98:D101)</f>
        <v>0</v>
      </c>
      <c r="U32" s="34">
        <f t="shared" si="24"/>
        <v>10</v>
      </c>
      <c r="V32" s="34">
        <f t="shared" si="24"/>
        <v>32</v>
      </c>
      <c r="W32" s="34">
        <f t="shared" si="24"/>
        <v>2</v>
      </c>
      <c r="X32" s="34">
        <f t="shared" si="24"/>
        <v>0</v>
      </c>
      <c r="Y32" s="34">
        <f t="shared" si="24"/>
        <v>20</v>
      </c>
      <c r="Z32" s="34">
        <f t="shared" si="24"/>
        <v>8</v>
      </c>
      <c r="AA32" s="34">
        <f t="shared" si="24"/>
        <v>0</v>
      </c>
      <c r="AB32" s="34">
        <f t="shared" si="24"/>
        <v>2</v>
      </c>
      <c r="AC32" s="34">
        <f t="shared" si="24"/>
        <v>45</v>
      </c>
      <c r="AD32" s="34">
        <f t="shared" si="24"/>
        <v>0</v>
      </c>
      <c r="AE32" s="31">
        <f t="shared" si="24"/>
        <v>99</v>
      </c>
      <c r="AF32" s="31">
        <f t="shared" si="24"/>
        <v>144</v>
      </c>
    </row>
    <row r="33" spans="2:32" ht="23.1" customHeight="1" x14ac:dyDescent="0.25">
      <c r="B33" s="45" t="s">
        <v>60</v>
      </c>
      <c r="C33" s="50">
        <v>36</v>
      </c>
      <c r="D33" s="50">
        <v>8</v>
      </c>
      <c r="E33" s="50">
        <v>10</v>
      </c>
      <c r="F33" s="50">
        <v>40</v>
      </c>
      <c r="G33" s="50">
        <v>1</v>
      </c>
      <c r="H33" s="50">
        <v>0</v>
      </c>
      <c r="I33" s="50">
        <v>20</v>
      </c>
      <c r="J33" s="50">
        <v>16</v>
      </c>
      <c r="K33" s="50">
        <v>3</v>
      </c>
      <c r="L33" s="50">
        <v>0</v>
      </c>
      <c r="M33" s="50">
        <v>85</v>
      </c>
      <c r="N33" s="50">
        <v>0</v>
      </c>
      <c r="O33" s="15">
        <f t="shared" si="0"/>
        <v>134</v>
      </c>
      <c r="P33" s="15">
        <f t="shared" si="1"/>
        <v>219</v>
      </c>
      <c r="R33" s="33" t="s">
        <v>157</v>
      </c>
      <c r="S33" s="34">
        <f>SUM(C102:C105)</f>
        <v>40</v>
      </c>
      <c r="T33" s="34">
        <f t="shared" ref="T33:AF33" si="25">SUM(D102:D105)</f>
        <v>13</v>
      </c>
      <c r="U33" s="34">
        <f t="shared" si="25"/>
        <v>6</v>
      </c>
      <c r="V33" s="34">
        <f t="shared" si="25"/>
        <v>51</v>
      </c>
      <c r="W33" s="34">
        <f t="shared" si="25"/>
        <v>1</v>
      </c>
      <c r="X33" s="34">
        <f t="shared" si="25"/>
        <v>0</v>
      </c>
      <c r="Y33" s="34">
        <f t="shared" si="25"/>
        <v>28</v>
      </c>
      <c r="Z33" s="34">
        <f t="shared" si="25"/>
        <v>9</v>
      </c>
      <c r="AA33" s="34">
        <f t="shared" si="25"/>
        <v>3</v>
      </c>
      <c r="AB33" s="34">
        <f t="shared" si="25"/>
        <v>8</v>
      </c>
      <c r="AC33" s="34">
        <f t="shared" si="25"/>
        <v>65</v>
      </c>
      <c r="AD33" s="34">
        <f t="shared" si="25"/>
        <v>0</v>
      </c>
      <c r="AE33" s="31">
        <f t="shared" si="25"/>
        <v>159</v>
      </c>
      <c r="AF33" s="31">
        <f t="shared" si="25"/>
        <v>224</v>
      </c>
    </row>
    <row r="34" spans="2:32" ht="23.1" customHeight="1" x14ac:dyDescent="0.25">
      <c r="B34" s="46" t="s">
        <v>61</v>
      </c>
      <c r="C34" s="50">
        <v>42</v>
      </c>
      <c r="D34" s="50">
        <v>22</v>
      </c>
      <c r="E34" s="50">
        <v>6</v>
      </c>
      <c r="F34" s="50">
        <v>36</v>
      </c>
      <c r="G34" s="50">
        <v>0</v>
      </c>
      <c r="H34" s="50">
        <v>0</v>
      </c>
      <c r="I34" s="50">
        <v>13</v>
      </c>
      <c r="J34" s="50">
        <v>6</v>
      </c>
      <c r="K34" s="50">
        <v>4</v>
      </c>
      <c r="L34" s="50">
        <v>1</v>
      </c>
      <c r="M34" s="50">
        <v>98</v>
      </c>
      <c r="N34" s="50">
        <v>0</v>
      </c>
      <c r="O34" s="15">
        <f t="shared" si="0"/>
        <v>130</v>
      </c>
      <c r="P34" s="15">
        <f t="shared" si="1"/>
        <v>228</v>
      </c>
      <c r="R34" s="38" t="s">
        <v>90</v>
      </c>
      <c r="S34" s="39">
        <f t="shared" ref="S34:AF34" si="26">MAX(S10:S12)</f>
        <v>174</v>
      </c>
      <c r="T34" s="39">
        <f t="shared" si="26"/>
        <v>35</v>
      </c>
      <c r="U34" s="39">
        <f t="shared" si="26"/>
        <v>40</v>
      </c>
      <c r="V34" s="39">
        <f t="shared" si="26"/>
        <v>173</v>
      </c>
      <c r="W34" s="39">
        <f t="shared" si="26"/>
        <v>8</v>
      </c>
      <c r="X34" s="39">
        <f t="shared" si="26"/>
        <v>1</v>
      </c>
      <c r="Y34" s="39">
        <f t="shared" si="26"/>
        <v>53</v>
      </c>
      <c r="Z34" s="39">
        <f t="shared" si="26"/>
        <v>12</v>
      </c>
      <c r="AA34" s="39">
        <f t="shared" si="26"/>
        <v>15</v>
      </c>
      <c r="AB34" s="39">
        <f t="shared" si="26"/>
        <v>1</v>
      </c>
      <c r="AC34" s="39">
        <f t="shared" si="26"/>
        <v>464</v>
      </c>
      <c r="AD34" s="39">
        <f t="shared" si="26"/>
        <v>0</v>
      </c>
      <c r="AE34" s="40">
        <f t="shared" si="26"/>
        <v>467</v>
      </c>
      <c r="AF34" s="40">
        <f t="shared" si="26"/>
        <v>896</v>
      </c>
    </row>
    <row r="35" spans="2:32" ht="23.1" customHeight="1" x14ac:dyDescent="0.25">
      <c r="B35" s="46" t="s">
        <v>62</v>
      </c>
      <c r="C35" s="50">
        <v>30</v>
      </c>
      <c r="D35" s="50">
        <v>2</v>
      </c>
      <c r="E35" s="50">
        <v>9</v>
      </c>
      <c r="F35" s="50">
        <v>33</v>
      </c>
      <c r="G35" s="50">
        <v>0</v>
      </c>
      <c r="H35" s="50">
        <v>0</v>
      </c>
      <c r="I35" s="50">
        <v>18</v>
      </c>
      <c r="J35" s="50">
        <v>4</v>
      </c>
      <c r="K35" s="50">
        <v>3</v>
      </c>
      <c r="L35" s="50">
        <v>0</v>
      </c>
      <c r="M35" s="50">
        <v>61</v>
      </c>
      <c r="N35" s="50">
        <v>0</v>
      </c>
      <c r="O35" s="15">
        <f t="shared" si="0"/>
        <v>99</v>
      </c>
      <c r="P35" s="15">
        <f t="shared" si="1"/>
        <v>160</v>
      </c>
      <c r="R35" s="38" t="s">
        <v>91</v>
      </c>
      <c r="S35" s="39">
        <f t="shared" ref="S35:AF35" si="27">MAX(S13:S18)</f>
        <v>187</v>
      </c>
      <c r="T35" s="39">
        <f t="shared" si="27"/>
        <v>53</v>
      </c>
      <c r="U35" s="39">
        <f t="shared" si="27"/>
        <v>36</v>
      </c>
      <c r="V35" s="39">
        <f t="shared" si="27"/>
        <v>173</v>
      </c>
      <c r="W35" s="39">
        <f t="shared" si="27"/>
        <v>5</v>
      </c>
      <c r="X35" s="39">
        <f t="shared" si="27"/>
        <v>5</v>
      </c>
      <c r="Y35" s="39">
        <f t="shared" si="27"/>
        <v>53</v>
      </c>
      <c r="Z35" s="39">
        <f t="shared" si="27"/>
        <v>23</v>
      </c>
      <c r="AA35" s="39">
        <f t="shared" si="27"/>
        <v>20</v>
      </c>
      <c r="AB35" s="39">
        <f t="shared" si="27"/>
        <v>3</v>
      </c>
      <c r="AC35" s="39">
        <f t="shared" si="27"/>
        <v>425</v>
      </c>
      <c r="AD35" s="39">
        <f t="shared" si="27"/>
        <v>0</v>
      </c>
      <c r="AE35" s="40">
        <f t="shared" si="27"/>
        <v>490</v>
      </c>
      <c r="AF35" s="40">
        <f t="shared" si="27"/>
        <v>915</v>
      </c>
    </row>
    <row r="36" spans="2:32" ht="23.1" customHeight="1" x14ac:dyDescent="0.25">
      <c r="B36" s="46" t="s">
        <v>63</v>
      </c>
      <c r="C36" s="50">
        <v>33</v>
      </c>
      <c r="D36" s="50">
        <v>2</v>
      </c>
      <c r="E36" s="50">
        <v>4</v>
      </c>
      <c r="F36" s="50">
        <v>45</v>
      </c>
      <c r="G36" s="50">
        <v>0</v>
      </c>
      <c r="H36" s="50">
        <v>0</v>
      </c>
      <c r="I36" s="50">
        <v>13</v>
      </c>
      <c r="J36" s="50">
        <v>1</v>
      </c>
      <c r="K36" s="50">
        <v>5</v>
      </c>
      <c r="L36" s="50">
        <v>0</v>
      </c>
      <c r="M36" s="50">
        <v>70</v>
      </c>
      <c r="N36" s="50">
        <v>0</v>
      </c>
      <c r="O36" s="15">
        <f t="shared" si="0"/>
        <v>103</v>
      </c>
      <c r="P36" s="15">
        <f t="shared" si="1"/>
        <v>173</v>
      </c>
      <c r="R36" s="38" t="s">
        <v>92</v>
      </c>
      <c r="S36" s="39">
        <f t="shared" ref="S36:AF36" si="28">MAX(S19:S21)</f>
        <v>273</v>
      </c>
      <c r="T36" s="39">
        <f t="shared" si="28"/>
        <v>53</v>
      </c>
      <c r="U36" s="39">
        <f t="shared" si="28"/>
        <v>39</v>
      </c>
      <c r="V36" s="39">
        <f t="shared" si="28"/>
        <v>191</v>
      </c>
      <c r="W36" s="39">
        <f t="shared" si="28"/>
        <v>3</v>
      </c>
      <c r="X36" s="39">
        <f t="shared" si="28"/>
        <v>6</v>
      </c>
      <c r="Y36" s="39">
        <f t="shared" si="28"/>
        <v>35</v>
      </c>
      <c r="Z36" s="39">
        <f t="shared" si="28"/>
        <v>11</v>
      </c>
      <c r="AA36" s="39">
        <f t="shared" si="28"/>
        <v>4</v>
      </c>
      <c r="AB36" s="39">
        <f t="shared" si="28"/>
        <v>0</v>
      </c>
      <c r="AC36" s="39">
        <f t="shared" si="28"/>
        <v>453</v>
      </c>
      <c r="AD36" s="39">
        <f t="shared" si="28"/>
        <v>1</v>
      </c>
      <c r="AE36" s="40">
        <f t="shared" si="28"/>
        <v>555</v>
      </c>
      <c r="AF36" s="40">
        <f t="shared" si="28"/>
        <v>1008</v>
      </c>
    </row>
    <row r="37" spans="2:32" ht="23.1" customHeight="1" x14ac:dyDescent="0.25">
      <c r="B37" s="45" t="s">
        <v>64</v>
      </c>
      <c r="C37" s="50">
        <v>51</v>
      </c>
      <c r="D37" s="50">
        <v>5</v>
      </c>
      <c r="E37" s="50">
        <v>10</v>
      </c>
      <c r="F37" s="50">
        <v>33</v>
      </c>
      <c r="G37" s="50">
        <v>1</v>
      </c>
      <c r="H37" s="50">
        <v>5</v>
      </c>
      <c r="I37" s="50">
        <v>9</v>
      </c>
      <c r="J37" s="50">
        <v>4</v>
      </c>
      <c r="K37" s="50">
        <v>4</v>
      </c>
      <c r="L37" s="50">
        <v>0</v>
      </c>
      <c r="M37" s="50">
        <v>73</v>
      </c>
      <c r="N37" s="50">
        <v>0</v>
      </c>
      <c r="O37" s="15">
        <f t="shared" si="0"/>
        <v>122</v>
      </c>
      <c r="P37" s="15">
        <f t="shared" si="1"/>
        <v>195</v>
      </c>
      <c r="R37" s="37" t="s">
        <v>85</v>
      </c>
      <c r="S37" s="35">
        <f t="shared" ref="S37:AF37" si="29">SUM(S10:S12)</f>
        <v>426</v>
      </c>
      <c r="T37" s="16">
        <f t="shared" si="29"/>
        <v>80</v>
      </c>
      <c r="U37" s="16">
        <f t="shared" si="29"/>
        <v>91</v>
      </c>
      <c r="V37" s="16">
        <f t="shared" si="29"/>
        <v>490</v>
      </c>
      <c r="W37" s="16">
        <f t="shared" si="29"/>
        <v>14</v>
      </c>
      <c r="X37" s="16">
        <f t="shared" si="29"/>
        <v>2</v>
      </c>
      <c r="Y37" s="16">
        <f t="shared" si="29"/>
        <v>133</v>
      </c>
      <c r="Z37" s="16">
        <f t="shared" si="29"/>
        <v>31</v>
      </c>
      <c r="AA37" s="16">
        <f t="shared" si="29"/>
        <v>42</v>
      </c>
      <c r="AB37" s="16">
        <f t="shared" si="29"/>
        <v>1</v>
      </c>
      <c r="AC37" s="16">
        <f t="shared" si="29"/>
        <v>1324</v>
      </c>
      <c r="AD37" s="16">
        <f t="shared" si="29"/>
        <v>0</v>
      </c>
      <c r="AE37" s="32">
        <f t="shared" si="29"/>
        <v>1310</v>
      </c>
      <c r="AF37" s="32">
        <f t="shared" si="29"/>
        <v>2634</v>
      </c>
    </row>
    <row r="38" spans="2:32" ht="23.1" customHeight="1" x14ac:dyDescent="0.25">
      <c r="B38" s="46" t="s">
        <v>65</v>
      </c>
      <c r="C38" s="50">
        <v>37</v>
      </c>
      <c r="D38" s="50">
        <v>2</v>
      </c>
      <c r="E38" s="50">
        <v>2</v>
      </c>
      <c r="F38" s="50">
        <v>40</v>
      </c>
      <c r="G38" s="50">
        <v>1</v>
      </c>
      <c r="H38" s="50">
        <v>1</v>
      </c>
      <c r="I38" s="50">
        <v>11</v>
      </c>
      <c r="J38" s="50">
        <v>1</v>
      </c>
      <c r="K38" s="50">
        <v>2</v>
      </c>
      <c r="L38" s="50">
        <v>0</v>
      </c>
      <c r="M38" s="50">
        <v>72</v>
      </c>
      <c r="N38" s="50">
        <v>0</v>
      </c>
      <c r="O38" s="15">
        <f t="shared" si="0"/>
        <v>97</v>
      </c>
      <c r="P38" s="15">
        <f t="shared" si="1"/>
        <v>169</v>
      </c>
      <c r="R38" s="28" t="s">
        <v>86</v>
      </c>
      <c r="S38" s="16">
        <f t="shared" ref="S38:AF38" si="30">SUM(S13:S18)</f>
        <v>885</v>
      </c>
      <c r="T38" s="16">
        <f t="shared" si="30"/>
        <v>225</v>
      </c>
      <c r="U38" s="16">
        <f t="shared" si="30"/>
        <v>154</v>
      </c>
      <c r="V38" s="16">
        <f t="shared" si="30"/>
        <v>920</v>
      </c>
      <c r="W38" s="16">
        <f t="shared" si="30"/>
        <v>13</v>
      </c>
      <c r="X38" s="16">
        <f t="shared" si="30"/>
        <v>14</v>
      </c>
      <c r="Y38" s="16">
        <f t="shared" si="30"/>
        <v>270</v>
      </c>
      <c r="Z38" s="16">
        <f t="shared" si="30"/>
        <v>85</v>
      </c>
      <c r="AA38" s="16">
        <f t="shared" si="30"/>
        <v>87</v>
      </c>
      <c r="AB38" s="16">
        <f t="shared" si="30"/>
        <v>7</v>
      </c>
      <c r="AC38" s="16">
        <f t="shared" si="30"/>
        <v>2125</v>
      </c>
      <c r="AD38" s="16">
        <f t="shared" si="30"/>
        <v>0</v>
      </c>
      <c r="AE38" s="32">
        <f t="shared" si="30"/>
        <v>2660</v>
      </c>
      <c r="AF38" s="32">
        <f t="shared" si="30"/>
        <v>4785</v>
      </c>
    </row>
    <row r="39" spans="2:32" ht="23.1" customHeight="1" x14ac:dyDescent="0.25">
      <c r="B39" s="46" t="s">
        <v>66</v>
      </c>
      <c r="C39" s="50">
        <v>61</v>
      </c>
      <c r="D39" s="50">
        <v>7</v>
      </c>
      <c r="E39" s="50">
        <v>10</v>
      </c>
      <c r="F39" s="50">
        <v>40</v>
      </c>
      <c r="G39" s="50">
        <v>1</v>
      </c>
      <c r="H39" s="50">
        <v>0</v>
      </c>
      <c r="I39" s="50">
        <v>13</v>
      </c>
      <c r="J39" s="50">
        <v>7</v>
      </c>
      <c r="K39" s="50">
        <v>7</v>
      </c>
      <c r="L39" s="50">
        <v>0</v>
      </c>
      <c r="M39" s="50">
        <v>82</v>
      </c>
      <c r="N39" s="50">
        <v>0</v>
      </c>
      <c r="O39" s="15">
        <f t="shared" si="0"/>
        <v>146</v>
      </c>
      <c r="P39" s="15">
        <f t="shared" si="1"/>
        <v>228</v>
      </c>
      <c r="R39" s="29" t="s">
        <v>87</v>
      </c>
      <c r="S39" s="16">
        <f t="shared" ref="S39:AF39" si="31">SUM(S19:S21)</f>
        <v>667</v>
      </c>
      <c r="T39" s="16">
        <f t="shared" si="31"/>
        <v>130</v>
      </c>
      <c r="U39" s="16">
        <f t="shared" si="31"/>
        <v>97</v>
      </c>
      <c r="V39" s="16">
        <f t="shared" si="31"/>
        <v>559</v>
      </c>
      <c r="W39" s="16">
        <f t="shared" si="31"/>
        <v>5</v>
      </c>
      <c r="X39" s="16">
        <f t="shared" si="31"/>
        <v>12</v>
      </c>
      <c r="Y39" s="16">
        <f t="shared" si="31"/>
        <v>101</v>
      </c>
      <c r="Z39" s="16">
        <f t="shared" si="31"/>
        <v>28</v>
      </c>
      <c r="AA39" s="16">
        <f t="shared" si="31"/>
        <v>8</v>
      </c>
      <c r="AB39" s="16">
        <f t="shared" si="31"/>
        <v>0</v>
      </c>
      <c r="AC39" s="16">
        <f t="shared" si="31"/>
        <v>1180</v>
      </c>
      <c r="AD39" s="16">
        <f t="shared" si="31"/>
        <v>2</v>
      </c>
      <c r="AE39" s="32">
        <f t="shared" si="31"/>
        <v>1609</v>
      </c>
      <c r="AF39" s="32">
        <f t="shared" si="31"/>
        <v>2789</v>
      </c>
    </row>
    <row r="40" spans="2:32" ht="23.1" customHeight="1" x14ac:dyDescent="0.25">
      <c r="B40" s="46" t="s">
        <v>67</v>
      </c>
      <c r="C40" s="50">
        <v>22</v>
      </c>
      <c r="D40" s="50">
        <v>23</v>
      </c>
      <c r="E40" s="50">
        <v>3</v>
      </c>
      <c r="F40" s="50">
        <v>25</v>
      </c>
      <c r="G40" s="50">
        <v>2</v>
      </c>
      <c r="H40" s="50">
        <v>1</v>
      </c>
      <c r="I40" s="50">
        <v>9</v>
      </c>
      <c r="J40" s="50">
        <v>2</v>
      </c>
      <c r="K40" s="50">
        <v>4</v>
      </c>
      <c r="L40" s="50">
        <v>0</v>
      </c>
      <c r="M40" s="50">
        <v>77</v>
      </c>
      <c r="N40" s="50">
        <v>0</v>
      </c>
      <c r="O40" s="15">
        <f t="shared" si="0"/>
        <v>91</v>
      </c>
      <c r="P40" s="15">
        <f t="shared" si="1"/>
        <v>168</v>
      </c>
      <c r="R40" s="5" t="s">
        <v>17</v>
      </c>
      <c r="S40" s="16">
        <f t="shared" ref="S40:AF40" si="32">SUM(S10:S21)</f>
        <v>1978</v>
      </c>
      <c r="T40" s="16">
        <f t="shared" si="32"/>
        <v>435</v>
      </c>
      <c r="U40" s="16">
        <f t="shared" si="32"/>
        <v>342</v>
      </c>
      <c r="V40" s="16">
        <f t="shared" si="32"/>
        <v>1969</v>
      </c>
      <c r="W40" s="16">
        <f t="shared" si="32"/>
        <v>32</v>
      </c>
      <c r="X40" s="16">
        <f t="shared" si="32"/>
        <v>28</v>
      </c>
      <c r="Y40" s="16">
        <f t="shared" si="32"/>
        <v>504</v>
      </c>
      <c r="Z40" s="16">
        <f t="shared" si="32"/>
        <v>144</v>
      </c>
      <c r="AA40" s="16">
        <f t="shared" si="32"/>
        <v>137</v>
      </c>
      <c r="AB40" s="16">
        <f t="shared" si="32"/>
        <v>8</v>
      </c>
      <c r="AC40" s="16">
        <f t="shared" si="32"/>
        <v>4629</v>
      </c>
      <c r="AD40" s="16">
        <f t="shared" si="32"/>
        <v>2</v>
      </c>
      <c r="AE40" s="32">
        <f t="shared" si="32"/>
        <v>5579</v>
      </c>
      <c r="AF40" s="32">
        <f t="shared" si="32"/>
        <v>10208</v>
      </c>
    </row>
    <row r="41" spans="2:32" ht="23.1" customHeight="1" x14ac:dyDescent="0.25">
      <c r="B41" s="45" t="s">
        <v>68</v>
      </c>
      <c r="C41" s="50">
        <v>26</v>
      </c>
      <c r="D41" s="50">
        <v>21</v>
      </c>
      <c r="E41" s="50">
        <v>8</v>
      </c>
      <c r="F41" s="50">
        <v>33</v>
      </c>
      <c r="G41" s="50">
        <v>1</v>
      </c>
      <c r="H41" s="50">
        <v>0</v>
      </c>
      <c r="I41" s="50">
        <v>8</v>
      </c>
      <c r="J41" s="50">
        <v>4</v>
      </c>
      <c r="K41" s="50">
        <v>3</v>
      </c>
      <c r="L41" s="50">
        <v>0</v>
      </c>
      <c r="M41" s="50">
        <v>75</v>
      </c>
      <c r="N41" s="50">
        <v>0</v>
      </c>
      <c r="O41" s="15">
        <f t="shared" si="0"/>
        <v>104</v>
      </c>
      <c r="P41" s="15">
        <f t="shared" si="1"/>
        <v>179</v>
      </c>
      <c r="R41" s="5" t="s">
        <v>159</v>
      </c>
      <c r="S41" s="16">
        <f>SUM(S10:S33)</f>
        <v>2989</v>
      </c>
      <c r="T41" s="16">
        <f t="shared" ref="T41:AF41" si="33">SUM(T10:T33)</f>
        <v>798</v>
      </c>
      <c r="U41" s="16">
        <f t="shared" si="33"/>
        <v>475</v>
      </c>
      <c r="V41" s="16">
        <f t="shared" si="33"/>
        <v>2977</v>
      </c>
      <c r="W41" s="16">
        <f t="shared" si="33"/>
        <v>87</v>
      </c>
      <c r="X41" s="16">
        <f t="shared" si="33"/>
        <v>39</v>
      </c>
      <c r="Y41" s="16">
        <f t="shared" si="33"/>
        <v>690</v>
      </c>
      <c r="Z41" s="16">
        <f t="shared" si="33"/>
        <v>206</v>
      </c>
      <c r="AA41" s="16">
        <f t="shared" si="33"/>
        <v>145</v>
      </c>
      <c r="AB41" s="16">
        <f t="shared" si="33"/>
        <v>40</v>
      </c>
      <c r="AC41" s="16">
        <f t="shared" si="33"/>
        <v>6953</v>
      </c>
      <c r="AD41" s="16">
        <f t="shared" si="33"/>
        <v>3</v>
      </c>
      <c r="AE41" s="32">
        <f t="shared" si="33"/>
        <v>8449</v>
      </c>
      <c r="AF41" s="32">
        <f t="shared" si="33"/>
        <v>15402</v>
      </c>
    </row>
    <row r="42" spans="2:32" ht="23.1" customHeight="1" x14ac:dyDescent="0.25">
      <c r="B42" s="46" t="s">
        <v>69</v>
      </c>
      <c r="C42" s="50">
        <v>15</v>
      </c>
      <c r="D42" s="50">
        <v>4</v>
      </c>
      <c r="E42" s="50">
        <v>1</v>
      </c>
      <c r="F42" s="50">
        <v>25</v>
      </c>
      <c r="G42" s="50">
        <v>0</v>
      </c>
      <c r="H42" s="50">
        <v>1</v>
      </c>
      <c r="I42" s="50">
        <v>6</v>
      </c>
      <c r="J42" s="50">
        <v>2</v>
      </c>
      <c r="K42" s="50">
        <v>3</v>
      </c>
      <c r="L42" s="50">
        <v>1</v>
      </c>
      <c r="M42" s="50">
        <v>67</v>
      </c>
      <c r="N42" s="50">
        <v>0</v>
      </c>
      <c r="O42" s="15">
        <f t="shared" si="0"/>
        <v>58</v>
      </c>
      <c r="P42" s="15">
        <f t="shared" si="1"/>
        <v>125</v>
      </c>
      <c r="R42" s="5" t="s">
        <v>160</v>
      </c>
      <c r="S42" s="48">
        <f>S41/S40</f>
        <v>1.5111223458038423</v>
      </c>
      <c r="T42" s="48">
        <f t="shared" ref="T42:AF42" si="34">T41/T40</f>
        <v>1.8344827586206895</v>
      </c>
      <c r="U42" s="48">
        <f t="shared" si="34"/>
        <v>1.3888888888888888</v>
      </c>
      <c r="V42" s="48">
        <f t="shared" si="34"/>
        <v>1.5119349923819199</v>
      </c>
      <c r="W42" s="48">
        <f t="shared" si="34"/>
        <v>2.71875</v>
      </c>
      <c r="X42" s="48">
        <f t="shared" si="34"/>
        <v>1.3928571428571428</v>
      </c>
      <c r="Y42" s="48">
        <f t="shared" si="34"/>
        <v>1.3690476190476191</v>
      </c>
      <c r="Z42" s="48">
        <f t="shared" si="34"/>
        <v>1.4305555555555556</v>
      </c>
      <c r="AA42" s="48">
        <f t="shared" si="34"/>
        <v>1.0583941605839415</v>
      </c>
      <c r="AB42" s="48">
        <f t="shared" si="34"/>
        <v>5</v>
      </c>
      <c r="AC42" s="48">
        <f t="shared" si="34"/>
        <v>1.5020522791099589</v>
      </c>
      <c r="AD42" s="48">
        <f t="shared" si="34"/>
        <v>1.5</v>
      </c>
      <c r="AE42" s="48">
        <f t="shared" si="34"/>
        <v>1.5144291091593476</v>
      </c>
      <c r="AF42" s="48">
        <f t="shared" si="34"/>
        <v>1.5088166144200628</v>
      </c>
    </row>
    <row r="43" spans="2:32" ht="23.1" customHeight="1" x14ac:dyDescent="0.25">
      <c r="B43" s="45" t="s">
        <v>70</v>
      </c>
      <c r="C43" s="50">
        <v>27</v>
      </c>
      <c r="D43" s="50">
        <v>10</v>
      </c>
      <c r="E43" s="50">
        <v>2</v>
      </c>
      <c r="F43" s="50">
        <v>33</v>
      </c>
      <c r="G43" s="50">
        <v>1</v>
      </c>
      <c r="H43" s="50">
        <v>0</v>
      </c>
      <c r="I43" s="50">
        <v>14</v>
      </c>
      <c r="J43" s="50">
        <v>3</v>
      </c>
      <c r="K43" s="50">
        <v>2</v>
      </c>
      <c r="L43" s="50">
        <v>0</v>
      </c>
      <c r="M43" s="50">
        <v>79</v>
      </c>
      <c r="N43" s="50">
        <v>0</v>
      </c>
      <c r="O43" s="15">
        <f t="shared" si="0"/>
        <v>92</v>
      </c>
      <c r="P43" s="15">
        <f t="shared" si="1"/>
        <v>171</v>
      </c>
    </row>
    <row r="44" spans="2:32" ht="23.1" customHeight="1" x14ac:dyDescent="0.25">
      <c r="B44" s="47" t="s">
        <v>71</v>
      </c>
      <c r="C44" s="50">
        <v>28</v>
      </c>
      <c r="D44" s="50">
        <v>7</v>
      </c>
      <c r="E44" s="50">
        <v>6</v>
      </c>
      <c r="F44" s="50">
        <v>33</v>
      </c>
      <c r="G44" s="50">
        <v>0</v>
      </c>
      <c r="H44" s="50">
        <v>0</v>
      </c>
      <c r="I44" s="50">
        <v>6</v>
      </c>
      <c r="J44" s="50">
        <v>5</v>
      </c>
      <c r="K44" s="50">
        <v>4</v>
      </c>
      <c r="L44" s="50">
        <v>0</v>
      </c>
      <c r="M44" s="50">
        <v>76</v>
      </c>
      <c r="N44" s="50">
        <v>0</v>
      </c>
      <c r="O44" s="15">
        <f t="shared" si="0"/>
        <v>89</v>
      </c>
      <c r="P44" s="15">
        <f t="shared" si="1"/>
        <v>165</v>
      </c>
    </row>
    <row r="45" spans="2:32" ht="23.1" customHeight="1" x14ac:dyDescent="0.25">
      <c r="B45" s="45" t="s">
        <v>72</v>
      </c>
      <c r="C45" s="50">
        <v>31</v>
      </c>
      <c r="D45" s="50">
        <v>13</v>
      </c>
      <c r="E45" s="50">
        <v>5</v>
      </c>
      <c r="F45" s="50">
        <v>38</v>
      </c>
      <c r="G45" s="50">
        <v>0</v>
      </c>
      <c r="H45" s="50">
        <v>2</v>
      </c>
      <c r="I45" s="50">
        <v>15</v>
      </c>
      <c r="J45" s="50">
        <v>3</v>
      </c>
      <c r="K45" s="50">
        <v>0</v>
      </c>
      <c r="L45" s="50">
        <v>0</v>
      </c>
      <c r="M45" s="50">
        <v>80</v>
      </c>
      <c r="N45" s="50">
        <v>0</v>
      </c>
      <c r="O45" s="15">
        <f t="shared" si="0"/>
        <v>107</v>
      </c>
      <c r="P45" s="15">
        <f t="shared" si="1"/>
        <v>187</v>
      </c>
    </row>
    <row r="46" spans="2:32" ht="23.1" customHeight="1" x14ac:dyDescent="0.25">
      <c r="B46" s="46" t="s">
        <v>73</v>
      </c>
      <c r="C46" s="50">
        <v>38</v>
      </c>
      <c r="D46" s="50">
        <v>8</v>
      </c>
      <c r="E46" s="50">
        <v>15</v>
      </c>
      <c r="F46" s="50">
        <v>15</v>
      </c>
      <c r="G46" s="50">
        <v>0</v>
      </c>
      <c r="H46" s="50">
        <v>1</v>
      </c>
      <c r="I46" s="50">
        <v>5</v>
      </c>
      <c r="J46" s="50">
        <v>3</v>
      </c>
      <c r="K46" s="50">
        <v>1</v>
      </c>
      <c r="L46" s="50">
        <v>0</v>
      </c>
      <c r="M46" s="50">
        <v>71</v>
      </c>
      <c r="N46" s="50">
        <v>0</v>
      </c>
      <c r="O46" s="15">
        <f t="shared" si="0"/>
        <v>86</v>
      </c>
      <c r="P46" s="15">
        <f t="shared" si="1"/>
        <v>157</v>
      </c>
      <c r="R46" s="8"/>
      <c r="T46"/>
    </row>
    <row r="47" spans="2:32" ht="23.1" customHeight="1" x14ac:dyDescent="0.25">
      <c r="B47" s="46" t="s">
        <v>74</v>
      </c>
      <c r="C47" s="50">
        <v>30</v>
      </c>
      <c r="D47" s="50">
        <v>10</v>
      </c>
      <c r="E47" s="50">
        <v>0</v>
      </c>
      <c r="F47" s="50">
        <v>70</v>
      </c>
      <c r="G47" s="50">
        <v>0</v>
      </c>
      <c r="H47" s="50">
        <v>0</v>
      </c>
      <c r="I47" s="50">
        <v>6</v>
      </c>
      <c r="J47" s="50">
        <v>2</v>
      </c>
      <c r="K47" s="50">
        <v>0</v>
      </c>
      <c r="L47" s="50">
        <v>0</v>
      </c>
      <c r="M47" s="50">
        <v>78</v>
      </c>
      <c r="N47" s="50">
        <v>0</v>
      </c>
      <c r="O47" s="15">
        <f t="shared" si="0"/>
        <v>118</v>
      </c>
      <c r="P47" s="15">
        <f t="shared" si="1"/>
        <v>196</v>
      </c>
      <c r="R47" s="8"/>
      <c r="T47"/>
    </row>
    <row r="48" spans="2:32" ht="23.1" customHeight="1" x14ac:dyDescent="0.25">
      <c r="B48" s="46" t="s">
        <v>75</v>
      </c>
      <c r="C48" s="50">
        <v>75</v>
      </c>
      <c r="D48" s="50">
        <v>15</v>
      </c>
      <c r="E48" s="50">
        <v>20</v>
      </c>
      <c r="F48" s="50">
        <v>75</v>
      </c>
      <c r="G48" s="50">
        <v>0</v>
      </c>
      <c r="H48" s="50">
        <v>0</v>
      </c>
      <c r="I48" s="50">
        <v>16</v>
      </c>
      <c r="J48" s="50">
        <v>3</v>
      </c>
      <c r="K48" s="50">
        <v>1</v>
      </c>
      <c r="L48" s="50">
        <v>0</v>
      </c>
      <c r="M48" s="50">
        <v>82</v>
      </c>
      <c r="N48" s="50">
        <v>1</v>
      </c>
      <c r="O48" s="15">
        <f t="shared" si="0"/>
        <v>206</v>
      </c>
      <c r="P48" s="15">
        <f t="shared" si="1"/>
        <v>288</v>
      </c>
      <c r="R48" s="8"/>
      <c r="T48"/>
    </row>
    <row r="49" spans="2:20" ht="23.1" customHeight="1" x14ac:dyDescent="0.25">
      <c r="B49" s="45" t="s">
        <v>76</v>
      </c>
      <c r="C49" s="50">
        <v>48</v>
      </c>
      <c r="D49" s="50">
        <v>20</v>
      </c>
      <c r="E49" s="50">
        <v>4</v>
      </c>
      <c r="F49" s="50">
        <v>30</v>
      </c>
      <c r="G49" s="50">
        <v>0</v>
      </c>
      <c r="H49" s="50">
        <v>4</v>
      </c>
      <c r="I49" s="50">
        <v>5</v>
      </c>
      <c r="J49" s="50">
        <v>3</v>
      </c>
      <c r="K49" s="50">
        <v>2</v>
      </c>
      <c r="L49" s="50">
        <v>0</v>
      </c>
      <c r="M49" s="50">
        <v>75</v>
      </c>
      <c r="N49" s="50">
        <v>0</v>
      </c>
      <c r="O49" s="15">
        <f t="shared" si="0"/>
        <v>116</v>
      </c>
      <c r="P49" s="15">
        <f t="shared" si="1"/>
        <v>191</v>
      </c>
      <c r="R49" s="8"/>
      <c r="T49"/>
    </row>
    <row r="50" spans="2:20" ht="23.1" customHeight="1" x14ac:dyDescent="0.25">
      <c r="B50" s="46" t="s">
        <v>77</v>
      </c>
      <c r="C50" s="50">
        <v>15</v>
      </c>
      <c r="D50" s="50">
        <v>18</v>
      </c>
      <c r="E50" s="50">
        <v>9</v>
      </c>
      <c r="F50" s="50">
        <v>40</v>
      </c>
      <c r="G50" s="50">
        <v>1</v>
      </c>
      <c r="H50" s="50">
        <v>1</v>
      </c>
      <c r="I50" s="50">
        <v>11</v>
      </c>
      <c r="J50" s="50">
        <v>3</v>
      </c>
      <c r="K50" s="50">
        <v>2</v>
      </c>
      <c r="L50" s="50">
        <v>0</v>
      </c>
      <c r="M50" s="50">
        <v>108</v>
      </c>
      <c r="N50" s="50">
        <v>0</v>
      </c>
      <c r="O50" s="15">
        <f t="shared" si="0"/>
        <v>100</v>
      </c>
      <c r="P50" s="15">
        <f t="shared" si="1"/>
        <v>208</v>
      </c>
      <c r="R50" s="8"/>
      <c r="T50"/>
    </row>
    <row r="51" spans="2:20" ht="23.1" customHeight="1" x14ac:dyDescent="0.25">
      <c r="B51" s="46" t="s">
        <v>78</v>
      </c>
      <c r="C51" s="50">
        <v>55</v>
      </c>
      <c r="D51" s="50">
        <v>11</v>
      </c>
      <c r="E51" s="50">
        <v>7</v>
      </c>
      <c r="F51" s="50">
        <v>44</v>
      </c>
      <c r="G51" s="50">
        <v>0</v>
      </c>
      <c r="H51" s="50">
        <v>1</v>
      </c>
      <c r="I51" s="50">
        <v>7</v>
      </c>
      <c r="J51" s="50">
        <v>3</v>
      </c>
      <c r="K51" s="50">
        <v>1</v>
      </c>
      <c r="L51" s="50">
        <v>0</v>
      </c>
      <c r="M51" s="50">
        <v>110</v>
      </c>
      <c r="N51" s="50">
        <v>0</v>
      </c>
      <c r="O51" s="15">
        <f t="shared" si="0"/>
        <v>129</v>
      </c>
      <c r="P51" s="15">
        <f t="shared" si="1"/>
        <v>239</v>
      </c>
      <c r="R51" s="8"/>
      <c r="T51"/>
    </row>
    <row r="52" spans="2:20" ht="23.1" customHeight="1" x14ac:dyDescent="0.25">
      <c r="B52" s="46" t="s">
        <v>79</v>
      </c>
      <c r="C52" s="50">
        <v>58</v>
      </c>
      <c r="D52" s="50">
        <v>10</v>
      </c>
      <c r="E52" s="50">
        <v>7</v>
      </c>
      <c r="F52" s="50">
        <v>49</v>
      </c>
      <c r="G52" s="50">
        <v>1</v>
      </c>
      <c r="H52" s="50">
        <v>1</v>
      </c>
      <c r="I52" s="50">
        <v>12</v>
      </c>
      <c r="J52" s="50">
        <v>2</v>
      </c>
      <c r="K52" s="50">
        <v>0</v>
      </c>
      <c r="L52" s="50">
        <v>0</v>
      </c>
      <c r="M52" s="50">
        <v>100</v>
      </c>
      <c r="N52" s="50">
        <v>0</v>
      </c>
      <c r="O52" s="15">
        <f t="shared" si="0"/>
        <v>140</v>
      </c>
      <c r="P52" s="15">
        <f t="shared" si="1"/>
        <v>240</v>
      </c>
      <c r="R52" s="8"/>
      <c r="T52"/>
    </row>
    <row r="53" spans="2:20" ht="23.1" customHeight="1" x14ac:dyDescent="0.25">
      <c r="B53" s="45" t="s">
        <v>80</v>
      </c>
      <c r="C53" s="50">
        <v>75</v>
      </c>
      <c r="D53" s="50">
        <v>8</v>
      </c>
      <c r="E53" s="50">
        <v>7</v>
      </c>
      <c r="F53" s="50">
        <v>58</v>
      </c>
      <c r="G53" s="50">
        <v>1</v>
      </c>
      <c r="H53" s="50">
        <v>3</v>
      </c>
      <c r="I53" s="50">
        <v>5</v>
      </c>
      <c r="J53" s="50">
        <v>1</v>
      </c>
      <c r="K53" s="50">
        <v>1</v>
      </c>
      <c r="L53" s="50">
        <v>0</v>
      </c>
      <c r="M53" s="50">
        <v>103</v>
      </c>
      <c r="N53" s="50">
        <v>0</v>
      </c>
      <c r="O53" s="15">
        <f t="shared" si="0"/>
        <v>159</v>
      </c>
      <c r="P53" s="15">
        <f t="shared" si="1"/>
        <v>262</v>
      </c>
      <c r="R53" s="8"/>
      <c r="T53"/>
    </row>
    <row r="54" spans="2:20" ht="23.1" customHeight="1" x14ac:dyDescent="0.25">
      <c r="B54" s="45" t="s">
        <v>81</v>
      </c>
      <c r="C54" s="50">
        <v>67</v>
      </c>
      <c r="D54" s="50">
        <v>4</v>
      </c>
      <c r="E54" s="50">
        <v>7</v>
      </c>
      <c r="F54" s="50">
        <v>48</v>
      </c>
      <c r="G54" s="50">
        <v>0</v>
      </c>
      <c r="H54" s="50">
        <v>1</v>
      </c>
      <c r="I54" s="50">
        <v>12</v>
      </c>
      <c r="J54" s="50">
        <v>4</v>
      </c>
      <c r="K54" s="50">
        <v>0</v>
      </c>
      <c r="L54" s="50">
        <v>0</v>
      </c>
      <c r="M54" s="50">
        <v>112</v>
      </c>
      <c r="N54" s="50">
        <v>1</v>
      </c>
      <c r="O54" s="15">
        <f t="shared" si="0"/>
        <v>144</v>
      </c>
      <c r="P54" s="15">
        <f t="shared" si="1"/>
        <v>256</v>
      </c>
      <c r="R54" s="8"/>
      <c r="T54"/>
    </row>
    <row r="55" spans="2:20" ht="23.1" customHeight="1" x14ac:dyDescent="0.25">
      <c r="B55" s="45" t="s">
        <v>82</v>
      </c>
      <c r="C55" s="50">
        <v>90</v>
      </c>
      <c r="D55" s="50">
        <v>8</v>
      </c>
      <c r="E55" s="50">
        <v>6</v>
      </c>
      <c r="F55" s="50">
        <v>55</v>
      </c>
      <c r="G55" s="50">
        <v>2</v>
      </c>
      <c r="H55" s="50">
        <v>0</v>
      </c>
      <c r="I55" s="50">
        <v>7</v>
      </c>
      <c r="J55" s="50">
        <v>2</v>
      </c>
      <c r="K55" s="50">
        <v>0</v>
      </c>
      <c r="L55" s="50">
        <v>0</v>
      </c>
      <c r="M55" s="50">
        <v>120</v>
      </c>
      <c r="N55" s="50">
        <v>0</v>
      </c>
      <c r="O55" s="15">
        <f t="shared" si="0"/>
        <v>170</v>
      </c>
      <c r="P55" s="15">
        <f t="shared" si="1"/>
        <v>290</v>
      </c>
      <c r="R55" s="8"/>
      <c r="T55"/>
    </row>
    <row r="56" spans="2:20" ht="23.1" customHeight="1" x14ac:dyDescent="0.25">
      <c r="B56" s="45" t="s">
        <v>83</v>
      </c>
      <c r="C56" s="50">
        <v>70</v>
      </c>
      <c r="D56" s="50">
        <v>8</v>
      </c>
      <c r="E56" s="50">
        <v>8</v>
      </c>
      <c r="F56" s="50">
        <v>48</v>
      </c>
      <c r="G56" s="50">
        <v>0</v>
      </c>
      <c r="H56" s="50">
        <v>0</v>
      </c>
      <c r="I56" s="50">
        <v>9</v>
      </c>
      <c r="J56" s="50">
        <v>2</v>
      </c>
      <c r="K56" s="50">
        <v>0</v>
      </c>
      <c r="L56" s="50">
        <v>0</v>
      </c>
      <c r="M56" s="50">
        <v>130</v>
      </c>
      <c r="N56" s="50">
        <v>0</v>
      </c>
      <c r="O56" s="15">
        <f t="shared" si="0"/>
        <v>145</v>
      </c>
      <c r="P56" s="15">
        <f t="shared" si="1"/>
        <v>275</v>
      </c>
      <c r="R56" s="8"/>
      <c r="T56"/>
    </row>
    <row r="57" spans="2:20" ht="23.1" customHeight="1" x14ac:dyDescent="0.25">
      <c r="B57" s="45" t="s">
        <v>84</v>
      </c>
      <c r="C57" s="50">
        <v>46</v>
      </c>
      <c r="D57" s="50">
        <v>10</v>
      </c>
      <c r="E57" s="50">
        <v>7</v>
      </c>
      <c r="F57" s="50">
        <v>27</v>
      </c>
      <c r="G57" s="50">
        <v>0</v>
      </c>
      <c r="H57" s="50">
        <v>0</v>
      </c>
      <c r="I57" s="50">
        <v>6</v>
      </c>
      <c r="J57" s="50">
        <v>0</v>
      </c>
      <c r="K57" s="50">
        <v>0</v>
      </c>
      <c r="L57" s="50">
        <v>0</v>
      </c>
      <c r="M57" s="50">
        <v>91</v>
      </c>
      <c r="N57" s="50">
        <v>0</v>
      </c>
      <c r="O57" s="15">
        <f t="shared" si="0"/>
        <v>96</v>
      </c>
      <c r="P57" s="15">
        <f t="shared" si="1"/>
        <v>187</v>
      </c>
      <c r="R57" s="8"/>
      <c r="T57"/>
    </row>
    <row r="58" spans="2:20" ht="23.1" customHeight="1" x14ac:dyDescent="0.25">
      <c r="B58" s="45" t="s">
        <v>99</v>
      </c>
      <c r="C58" s="50">
        <v>18</v>
      </c>
      <c r="D58" s="50">
        <v>13</v>
      </c>
      <c r="E58" s="50">
        <v>11</v>
      </c>
      <c r="F58" s="50">
        <v>48</v>
      </c>
      <c r="G58" s="50">
        <v>0</v>
      </c>
      <c r="H58" s="50">
        <v>0</v>
      </c>
      <c r="I58" s="50">
        <v>4</v>
      </c>
      <c r="J58" s="50">
        <v>2</v>
      </c>
      <c r="K58" s="50">
        <v>1</v>
      </c>
      <c r="L58" s="50">
        <v>0</v>
      </c>
      <c r="M58" s="50">
        <v>185</v>
      </c>
      <c r="N58" s="50">
        <v>0</v>
      </c>
      <c r="O58" s="15">
        <f t="shared" ref="O58:O105" si="35">SUM(C58:L58,N58)</f>
        <v>97</v>
      </c>
      <c r="P58" s="15">
        <f t="shared" ref="P58:P105" si="36">SUM(C58:N58)</f>
        <v>282</v>
      </c>
      <c r="R58" s="8"/>
      <c r="T58"/>
    </row>
    <row r="59" spans="2:20" ht="23.1" customHeight="1" x14ac:dyDescent="0.25">
      <c r="B59" s="45" t="s">
        <v>100</v>
      </c>
      <c r="C59" s="50">
        <v>54</v>
      </c>
      <c r="D59" s="50">
        <v>30</v>
      </c>
      <c r="E59" s="50">
        <v>19</v>
      </c>
      <c r="F59" s="50">
        <v>50</v>
      </c>
      <c r="G59" s="50">
        <v>3</v>
      </c>
      <c r="H59" s="50">
        <v>2</v>
      </c>
      <c r="I59" s="50">
        <v>7</v>
      </c>
      <c r="J59" s="50">
        <v>4</v>
      </c>
      <c r="K59" s="50">
        <v>0</v>
      </c>
      <c r="L59" s="50">
        <v>0</v>
      </c>
      <c r="M59" s="50">
        <v>135</v>
      </c>
      <c r="N59" s="50">
        <v>1</v>
      </c>
      <c r="O59" s="15">
        <f t="shared" si="35"/>
        <v>170</v>
      </c>
      <c r="P59" s="15">
        <f t="shared" si="36"/>
        <v>305</v>
      </c>
      <c r="R59" s="8"/>
      <c r="T59"/>
    </row>
    <row r="60" spans="2:20" ht="23.1" customHeight="1" x14ac:dyDescent="0.25">
      <c r="B60" s="45" t="s">
        <v>101</v>
      </c>
      <c r="C60" s="50">
        <v>54</v>
      </c>
      <c r="D60" s="50">
        <v>16</v>
      </c>
      <c r="E60" s="50">
        <v>7</v>
      </c>
      <c r="F60" s="50">
        <v>47</v>
      </c>
      <c r="G60" s="50">
        <v>3</v>
      </c>
      <c r="H60" s="50">
        <v>0</v>
      </c>
      <c r="I60" s="50">
        <v>1</v>
      </c>
      <c r="J60" s="50">
        <v>4</v>
      </c>
      <c r="K60" s="50">
        <v>1</v>
      </c>
      <c r="L60" s="50">
        <v>1</v>
      </c>
      <c r="M60" s="50">
        <v>121</v>
      </c>
      <c r="N60" s="50">
        <v>0</v>
      </c>
      <c r="O60" s="15">
        <f t="shared" si="35"/>
        <v>134</v>
      </c>
      <c r="P60" s="15">
        <f t="shared" si="36"/>
        <v>255</v>
      </c>
      <c r="R60" s="8"/>
      <c r="T60"/>
    </row>
    <row r="61" spans="2:20" ht="23.1" customHeight="1" x14ac:dyDescent="0.25">
      <c r="B61" s="45" t="s">
        <v>102</v>
      </c>
      <c r="C61" s="50">
        <v>43</v>
      </c>
      <c r="D61" s="50">
        <v>20</v>
      </c>
      <c r="E61" s="50">
        <v>12</v>
      </c>
      <c r="F61" s="50">
        <v>54</v>
      </c>
      <c r="G61" s="50">
        <v>3</v>
      </c>
      <c r="H61" s="50">
        <v>1</v>
      </c>
      <c r="I61" s="50">
        <v>10</v>
      </c>
      <c r="J61" s="50">
        <v>1</v>
      </c>
      <c r="K61" s="50">
        <v>0</v>
      </c>
      <c r="L61" s="50">
        <v>1</v>
      </c>
      <c r="M61" s="50">
        <v>145</v>
      </c>
      <c r="N61" s="50">
        <v>0</v>
      </c>
      <c r="O61" s="15">
        <f t="shared" si="35"/>
        <v>145</v>
      </c>
      <c r="P61" s="15">
        <f t="shared" si="36"/>
        <v>290</v>
      </c>
      <c r="R61" s="8"/>
      <c r="T61"/>
    </row>
    <row r="62" spans="2:20" ht="23.1" customHeight="1" x14ac:dyDescent="0.25">
      <c r="B62" s="45" t="s">
        <v>107</v>
      </c>
      <c r="C62" s="50">
        <v>43</v>
      </c>
      <c r="D62" s="50">
        <v>30</v>
      </c>
      <c r="E62" s="50">
        <v>6</v>
      </c>
      <c r="F62" s="50">
        <v>48</v>
      </c>
      <c r="G62" s="50">
        <v>3</v>
      </c>
      <c r="H62" s="50">
        <v>1</v>
      </c>
      <c r="I62" s="50">
        <v>9</v>
      </c>
      <c r="J62" s="50">
        <v>4</v>
      </c>
      <c r="K62" s="50">
        <v>0</v>
      </c>
      <c r="L62" s="50">
        <v>0</v>
      </c>
      <c r="M62" s="50">
        <v>132</v>
      </c>
      <c r="N62" s="50">
        <v>0</v>
      </c>
      <c r="O62" s="15">
        <f t="shared" si="35"/>
        <v>144</v>
      </c>
      <c r="P62" s="15">
        <f t="shared" si="36"/>
        <v>276</v>
      </c>
      <c r="R62" s="8"/>
      <c r="T62"/>
    </row>
    <row r="63" spans="2:20" ht="23.1" customHeight="1" x14ac:dyDescent="0.25">
      <c r="B63" s="45" t="s">
        <v>108</v>
      </c>
      <c r="C63" s="50">
        <v>57</v>
      </c>
      <c r="D63" s="50">
        <v>23</v>
      </c>
      <c r="E63" s="50">
        <v>4</v>
      </c>
      <c r="F63" s="50">
        <v>44</v>
      </c>
      <c r="G63" s="50">
        <v>6</v>
      </c>
      <c r="H63" s="50">
        <v>1</v>
      </c>
      <c r="I63" s="50">
        <v>3</v>
      </c>
      <c r="J63" s="50">
        <v>2</v>
      </c>
      <c r="K63" s="50">
        <v>1</v>
      </c>
      <c r="L63" s="50">
        <v>1</v>
      </c>
      <c r="M63" s="50">
        <v>126</v>
      </c>
      <c r="N63" s="50">
        <v>0</v>
      </c>
      <c r="O63" s="15">
        <f t="shared" si="35"/>
        <v>142</v>
      </c>
      <c r="P63" s="15">
        <f t="shared" si="36"/>
        <v>268</v>
      </c>
      <c r="R63" s="8"/>
      <c r="T63"/>
    </row>
    <row r="64" spans="2:20" ht="23.1" customHeight="1" x14ac:dyDescent="0.25">
      <c r="B64" s="45" t="s">
        <v>109</v>
      </c>
      <c r="C64" s="50">
        <v>45</v>
      </c>
      <c r="D64" s="50">
        <v>23</v>
      </c>
      <c r="E64" s="50">
        <v>5</v>
      </c>
      <c r="F64" s="50">
        <v>47</v>
      </c>
      <c r="G64" s="50">
        <v>6</v>
      </c>
      <c r="H64" s="50">
        <v>0</v>
      </c>
      <c r="I64" s="50">
        <v>11</v>
      </c>
      <c r="J64" s="50">
        <v>2</v>
      </c>
      <c r="K64" s="50">
        <v>0</v>
      </c>
      <c r="L64" s="50">
        <v>1</v>
      </c>
      <c r="M64" s="50">
        <v>147</v>
      </c>
      <c r="N64" s="50">
        <v>0</v>
      </c>
      <c r="O64" s="15">
        <f t="shared" si="35"/>
        <v>140</v>
      </c>
      <c r="P64" s="15">
        <f t="shared" si="36"/>
        <v>287</v>
      </c>
      <c r="R64" s="8"/>
      <c r="T64"/>
    </row>
    <row r="65" spans="2:20" ht="23.1" customHeight="1" x14ac:dyDescent="0.25">
      <c r="B65" s="45" t="s">
        <v>158</v>
      </c>
      <c r="C65" s="50">
        <v>38</v>
      </c>
      <c r="D65" s="50">
        <v>20</v>
      </c>
      <c r="E65" s="50">
        <v>3</v>
      </c>
      <c r="F65" s="50">
        <v>56</v>
      </c>
      <c r="G65" s="50">
        <v>6</v>
      </c>
      <c r="H65" s="50">
        <v>0</v>
      </c>
      <c r="I65" s="50">
        <v>13</v>
      </c>
      <c r="J65" s="50">
        <v>1</v>
      </c>
      <c r="K65" s="50">
        <v>0</v>
      </c>
      <c r="L65" s="50">
        <v>1</v>
      </c>
      <c r="M65" s="50">
        <v>104</v>
      </c>
      <c r="N65" s="50">
        <v>0</v>
      </c>
      <c r="O65" s="15">
        <f t="shared" si="35"/>
        <v>138</v>
      </c>
      <c r="P65" s="15">
        <f t="shared" si="36"/>
        <v>242</v>
      </c>
      <c r="R65" s="8"/>
      <c r="T65"/>
    </row>
    <row r="66" spans="2:20" ht="23.1" customHeight="1" x14ac:dyDescent="0.25">
      <c r="B66" s="45" t="s">
        <v>103</v>
      </c>
      <c r="C66" s="50">
        <v>51</v>
      </c>
      <c r="D66" s="50">
        <v>18</v>
      </c>
      <c r="E66" s="50">
        <v>3</v>
      </c>
      <c r="F66" s="50">
        <v>55</v>
      </c>
      <c r="G66" s="50">
        <v>3</v>
      </c>
      <c r="H66" s="50">
        <v>1</v>
      </c>
      <c r="I66" s="50">
        <v>4</v>
      </c>
      <c r="J66" s="50">
        <v>1</v>
      </c>
      <c r="K66" s="50">
        <v>0</v>
      </c>
      <c r="L66" s="50">
        <v>2</v>
      </c>
      <c r="M66" s="50">
        <v>115</v>
      </c>
      <c r="N66" s="50">
        <v>0</v>
      </c>
      <c r="O66" s="15">
        <f t="shared" si="35"/>
        <v>138</v>
      </c>
      <c r="P66" s="15">
        <f t="shared" si="36"/>
        <v>253</v>
      </c>
      <c r="R66" s="8"/>
      <c r="T66"/>
    </row>
    <row r="67" spans="2:20" ht="23.1" customHeight="1" x14ac:dyDescent="0.25">
      <c r="B67" s="45" t="s">
        <v>104</v>
      </c>
      <c r="C67" s="50">
        <v>51</v>
      </c>
      <c r="D67" s="50">
        <v>21</v>
      </c>
      <c r="E67" s="50">
        <v>5</v>
      </c>
      <c r="F67" s="50">
        <v>67</v>
      </c>
      <c r="G67" s="50">
        <v>6</v>
      </c>
      <c r="H67" s="50">
        <v>0</v>
      </c>
      <c r="I67" s="50">
        <v>7</v>
      </c>
      <c r="J67" s="50">
        <v>1</v>
      </c>
      <c r="K67" s="50">
        <v>0</v>
      </c>
      <c r="L67" s="50">
        <v>0</v>
      </c>
      <c r="M67" s="50">
        <v>108</v>
      </c>
      <c r="N67" s="50">
        <v>0</v>
      </c>
      <c r="O67" s="15">
        <f t="shared" si="35"/>
        <v>158</v>
      </c>
      <c r="P67" s="15">
        <f t="shared" si="36"/>
        <v>266</v>
      </c>
      <c r="R67" s="8"/>
      <c r="T67"/>
    </row>
    <row r="68" spans="2:20" ht="23.1" customHeight="1" x14ac:dyDescent="0.25">
      <c r="B68" s="45" t="s">
        <v>105</v>
      </c>
      <c r="C68" s="50">
        <v>53</v>
      </c>
      <c r="D68" s="50">
        <v>16</v>
      </c>
      <c r="E68" s="50">
        <v>2</v>
      </c>
      <c r="F68" s="50">
        <v>76</v>
      </c>
      <c r="G68" s="50">
        <v>0</v>
      </c>
      <c r="H68" s="50">
        <v>1</v>
      </c>
      <c r="I68" s="50">
        <v>7</v>
      </c>
      <c r="J68" s="50">
        <v>0</v>
      </c>
      <c r="K68" s="50">
        <v>1</v>
      </c>
      <c r="L68" s="50">
        <v>0</v>
      </c>
      <c r="M68" s="50">
        <v>87</v>
      </c>
      <c r="N68" s="50">
        <v>0</v>
      </c>
      <c r="O68" s="15">
        <f t="shared" si="35"/>
        <v>156</v>
      </c>
      <c r="P68" s="15">
        <f t="shared" si="36"/>
        <v>243</v>
      </c>
      <c r="R68" s="8"/>
      <c r="T68"/>
    </row>
    <row r="69" spans="2:20" ht="23.1" customHeight="1" x14ac:dyDescent="0.25">
      <c r="B69" s="45" t="s">
        <v>106</v>
      </c>
      <c r="C69" s="50">
        <v>63</v>
      </c>
      <c r="D69" s="50">
        <v>12</v>
      </c>
      <c r="E69" s="50">
        <v>6</v>
      </c>
      <c r="F69" s="50">
        <v>47</v>
      </c>
      <c r="G69" s="50">
        <v>3</v>
      </c>
      <c r="H69" s="50">
        <v>0</v>
      </c>
      <c r="I69" s="50">
        <v>5</v>
      </c>
      <c r="J69" s="50">
        <v>1</v>
      </c>
      <c r="K69" s="50">
        <v>0</v>
      </c>
      <c r="L69" s="50">
        <v>0</v>
      </c>
      <c r="M69" s="50">
        <v>90</v>
      </c>
      <c r="N69" s="50">
        <v>0</v>
      </c>
      <c r="O69" s="15">
        <f t="shared" si="35"/>
        <v>137</v>
      </c>
      <c r="P69" s="15">
        <f t="shared" si="36"/>
        <v>227</v>
      </c>
      <c r="R69" s="8"/>
      <c r="T69"/>
    </row>
    <row r="70" spans="2:20" ht="23.1" customHeight="1" x14ac:dyDescent="0.25">
      <c r="B70" s="45" t="s">
        <v>110</v>
      </c>
      <c r="C70" s="50">
        <v>48</v>
      </c>
      <c r="D70" s="50">
        <v>11</v>
      </c>
      <c r="E70" s="50">
        <v>1</v>
      </c>
      <c r="F70" s="50">
        <v>48</v>
      </c>
      <c r="G70" s="50">
        <v>4</v>
      </c>
      <c r="H70" s="50">
        <v>0</v>
      </c>
      <c r="I70" s="50">
        <v>4</v>
      </c>
      <c r="J70" s="50">
        <v>1</v>
      </c>
      <c r="K70" s="50">
        <v>0</v>
      </c>
      <c r="L70" s="50">
        <v>2</v>
      </c>
      <c r="M70" s="50">
        <v>90</v>
      </c>
      <c r="N70" s="50">
        <v>0</v>
      </c>
      <c r="O70" s="15">
        <f t="shared" si="35"/>
        <v>119</v>
      </c>
      <c r="P70" s="15">
        <f t="shared" si="36"/>
        <v>209</v>
      </c>
      <c r="R70" s="8"/>
      <c r="T70"/>
    </row>
    <row r="71" spans="2:20" ht="23.1" customHeight="1" x14ac:dyDescent="0.25">
      <c r="B71" s="45" t="s">
        <v>111</v>
      </c>
      <c r="C71" s="50">
        <v>43</v>
      </c>
      <c r="D71" s="50">
        <v>18</v>
      </c>
      <c r="E71" s="50">
        <v>3</v>
      </c>
      <c r="F71" s="50">
        <v>43</v>
      </c>
      <c r="G71" s="50">
        <v>2</v>
      </c>
      <c r="H71" s="50">
        <v>0</v>
      </c>
      <c r="I71" s="50">
        <v>3</v>
      </c>
      <c r="J71" s="50">
        <v>2</v>
      </c>
      <c r="K71" s="50">
        <v>0</v>
      </c>
      <c r="L71" s="50">
        <v>1</v>
      </c>
      <c r="M71" s="50">
        <v>93</v>
      </c>
      <c r="N71" s="50">
        <v>0</v>
      </c>
      <c r="O71" s="15">
        <f t="shared" si="35"/>
        <v>115</v>
      </c>
      <c r="P71" s="15">
        <f t="shared" si="36"/>
        <v>208</v>
      </c>
      <c r="R71" s="8"/>
      <c r="T71"/>
    </row>
    <row r="72" spans="2:20" ht="23.1" customHeight="1" x14ac:dyDescent="0.25">
      <c r="B72" s="45" t="s">
        <v>112</v>
      </c>
      <c r="C72" s="50">
        <v>44</v>
      </c>
      <c r="D72" s="50">
        <v>16</v>
      </c>
      <c r="E72" s="50">
        <v>3</v>
      </c>
      <c r="F72" s="50">
        <v>48</v>
      </c>
      <c r="G72" s="50">
        <v>0</v>
      </c>
      <c r="H72" s="50">
        <v>0</v>
      </c>
      <c r="I72" s="50">
        <v>11</v>
      </c>
      <c r="J72" s="50">
        <v>1</v>
      </c>
      <c r="K72" s="50">
        <v>0</v>
      </c>
      <c r="L72" s="50">
        <v>1</v>
      </c>
      <c r="M72" s="50">
        <v>83</v>
      </c>
      <c r="N72" s="50">
        <v>0</v>
      </c>
      <c r="O72" s="15">
        <f t="shared" si="35"/>
        <v>124</v>
      </c>
      <c r="P72" s="15">
        <f t="shared" si="36"/>
        <v>207</v>
      </c>
      <c r="R72" s="8"/>
      <c r="T72"/>
    </row>
    <row r="73" spans="2:20" ht="23.1" customHeight="1" x14ac:dyDescent="0.25">
      <c r="B73" s="45" t="s">
        <v>113</v>
      </c>
      <c r="C73" s="50">
        <v>37</v>
      </c>
      <c r="D73" s="50">
        <v>11</v>
      </c>
      <c r="E73" s="50">
        <v>5</v>
      </c>
      <c r="F73" s="50">
        <v>24</v>
      </c>
      <c r="G73" s="50">
        <v>0</v>
      </c>
      <c r="H73" s="50">
        <v>1</v>
      </c>
      <c r="I73" s="50">
        <v>2</v>
      </c>
      <c r="J73" s="50">
        <v>1</v>
      </c>
      <c r="K73" s="50">
        <v>0</v>
      </c>
      <c r="L73" s="50">
        <v>0</v>
      </c>
      <c r="M73" s="50">
        <v>47</v>
      </c>
      <c r="N73" s="50">
        <v>0</v>
      </c>
      <c r="O73" s="15">
        <f t="shared" si="35"/>
        <v>81</v>
      </c>
      <c r="P73" s="15">
        <f t="shared" si="36"/>
        <v>128</v>
      </c>
      <c r="R73" s="8"/>
      <c r="T73"/>
    </row>
    <row r="74" spans="2:20" ht="23.1" customHeight="1" x14ac:dyDescent="0.25">
      <c r="B74" s="45" t="s">
        <v>114</v>
      </c>
      <c r="C74" s="50">
        <v>41</v>
      </c>
      <c r="D74" s="50">
        <v>16</v>
      </c>
      <c r="E74" s="50">
        <v>2</v>
      </c>
      <c r="F74" s="50">
        <v>29</v>
      </c>
      <c r="G74" s="50">
        <v>0</v>
      </c>
      <c r="H74" s="50">
        <v>0</v>
      </c>
      <c r="I74" s="50">
        <v>2</v>
      </c>
      <c r="J74" s="50">
        <v>0</v>
      </c>
      <c r="K74" s="50">
        <v>0</v>
      </c>
      <c r="L74" s="50">
        <v>0</v>
      </c>
      <c r="M74" s="50">
        <v>43</v>
      </c>
      <c r="N74" s="50">
        <v>0</v>
      </c>
      <c r="O74" s="15">
        <f t="shared" si="35"/>
        <v>90</v>
      </c>
      <c r="P74" s="15">
        <f t="shared" si="36"/>
        <v>133</v>
      </c>
      <c r="R74" s="8"/>
      <c r="T74"/>
    </row>
    <row r="75" spans="2:20" ht="23.1" customHeight="1" x14ac:dyDescent="0.25">
      <c r="B75" s="45" t="s">
        <v>115</v>
      </c>
      <c r="C75" s="50">
        <v>38</v>
      </c>
      <c r="D75" s="50">
        <v>9</v>
      </c>
      <c r="E75" s="50">
        <v>4</v>
      </c>
      <c r="F75" s="50">
        <v>12</v>
      </c>
      <c r="G75" s="50">
        <v>1</v>
      </c>
      <c r="H75" s="50">
        <v>0</v>
      </c>
      <c r="I75" s="50">
        <v>2</v>
      </c>
      <c r="J75" s="50">
        <v>0</v>
      </c>
      <c r="K75" s="50">
        <v>0</v>
      </c>
      <c r="L75" s="50">
        <v>2</v>
      </c>
      <c r="M75" s="50">
        <v>57</v>
      </c>
      <c r="N75" s="50">
        <v>0</v>
      </c>
      <c r="O75" s="15">
        <f t="shared" si="35"/>
        <v>68</v>
      </c>
      <c r="P75" s="15">
        <f t="shared" si="36"/>
        <v>125</v>
      </c>
      <c r="R75" s="8"/>
      <c r="T75"/>
    </row>
    <row r="76" spans="2:20" ht="23.1" customHeight="1" x14ac:dyDescent="0.25">
      <c r="B76" s="45" t="s">
        <v>116</v>
      </c>
      <c r="C76" s="50">
        <v>19</v>
      </c>
      <c r="D76" s="50">
        <v>6</v>
      </c>
      <c r="E76" s="50">
        <v>1</v>
      </c>
      <c r="F76" s="50">
        <v>19</v>
      </c>
      <c r="G76" s="50">
        <v>1</v>
      </c>
      <c r="H76" s="50">
        <v>0</v>
      </c>
      <c r="I76" s="50">
        <v>0</v>
      </c>
      <c r="J76" s="50">
        <v>1</v>
      </c>
      <c r="K76" s="50">
        <v>0</v>
      </c>
      <c r="L76" s="50">
        <v>1</v>
      </c>
      <c r="M76" s="50">
        <v>50</v>
      </c>
      <c r="N76" s="50">
        <v>0</v>
      </c>
      <c r="O76" s="15">
        <f t="shared" si="35"/>
        <v>48</v>
      </c>
      <c r="P76" s="15">
        <f t="shared" si="36"/>
        <v>98</v>
      </c>
      <c r="R76" s="8"/>
      <c r="T76"/>
    </row>
    <row r="77" spans="2:20" ht="23.1" customHeight="1" x14ac:dyDescent="0.25">
      <c r="B77" s="45" t="s">
        <v>117</v>
      </c>
      <c r="C77" s="50">
        <v>20</v>
      </c>
      <c r="D77" s="50">
        <v>0</v>
      </c>
      <c r="E77" s="50">
        <v>0</v>
      </c>
      <c r="F77" s="50">
        <v>13</v>
      </c>
      <c r="G77" s="50">
        <v>0</v>
      </c>
      <c r="H77" s="50">
        <v>1</v>
      </c>
      <c r="I77" s="50">
        <v>2</v>
      </c>
      <c r="J77" s="50">
        <v>2</v>
      </c>
      <c r="K77" s="50">
        <v>0</v>
      </c>
      <c r="L77" s="50">
        <v>0</v>
      </c>
      <c r="M77" s="50">
        <v>13</v>
      </c>
      <c r="N77" s="50">
        <v>0</v>
      </c>
      <c r="O77" s="15">
        <f t="shared" si="35"/>
        <v>38</v>
      </c>
      <c r="P77" s="15">
        <f t="shared" si="36"/>
        <v>51</v>
      </c>
      <c r="R77" s="8"/>
      <c r="T77"/>
    </row>
    <row r="78" spans="2:20" ht="23.1" customHeight="1" x14ac:dyDescent="0.25">
      <c r="B78" s="46" t="s">
        <v>118</v>
      </c>
      <c r="C78" s="50">
        <v>14</v>
      </c>
      <c r="D78" s="50">
        <v>1</v>
      </c>
      <c r="E78" s="50">
        <v>4</v>
      </c>
      <c r="F78" s="50">
        <v>8</v>
      </c>
      <c r="G78" s="50">
        <v>0</v>
      </c>
      <c r="H78" s="50">
        <v>0</v>
      </c>
      <c r="I78" s="50">
        <v>1</v>
      </c>
      <c r="J78" s="50">
        <v>2</v>
      </c>
      <c r="K78" s="50">
        <v>0</v>
      </c>
      <c r="L78" s="50">
        <v>1</v>
      </c>
      <c r="M78" s="50">
        <v>35</v>
      </c>
      <c r="N78" s="50">
        <v>0</v>
      </c>
      <c r="O78" s="15">
        <f t="shared" si="35"/>
        <v>31</v>
      </c>
      <c r="P78" s="15">
        <f t="shared" si="36"/>
        <v>66</v>
      </c>
      <c r="R78" s="8"/>
      <c r="T78"/>
    </row>
    <row r="79" spans="2:20" ht="23.1" customHeight="1" x14ac:dyDescent="0.25">
      <c r="B79" s="45" t="s">
        <v>119</v>
      </c>
      <c r="C79" s="50">
        <v>8</v>
      </c>
      <c r="D79" s="50">
        <v>4</v>
      </c>
      <c r="E79" s="50">
        <v>0</v>
      </c>
      <c r="F79" s="50">
        <v>4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0</v>
      </c>
      <c r="M79" s="50">
        <v>20</v>
      </c>
      <c r="N79" s="50">
        <v>0</v>
      </c>
      <c r="O79" s="15">
        <f t="shared" si="35"/>
        <v>18</v>
      </c>
      <c r="P79" s="15">
        <f t="shared" si="36"/>
        <v>38</v>
      </c>
      <c r="R79" s="8"/>
      <c r="T79"/>
    </row>
    <row r="80" spans="2:20" ht="23.1" customHeight="1" x14ac:dyDescent="0.25">
      <c r="B80" s="47" t="s">
        <v>120</v>
      </c>
      <c r="C80" s="50">
        <v>7</v>
      </c>
      <c r="D80" s="50">
        <v>3</v>
      </c>
      <c r="E80" s="50">
        <v>2</v>
      </c>
      <c r="F80" s="50">
        <v>5</v>
      </c>
      <c r="G80" s="50">
        <v>0</v>
      </c>
      <c r="H80" s="50">
        <v>0</v>
      </c>
      <c r="I80" s="50">
        <v>2</v>
      </c>
      <c r="J80" s="50">
        <v>1</v>
      </c>
      <c r="K80" s="50">
        <v>0</v>
      </c>
      <c r="L80" s="50">
        <v>0</v>
      </c>
      <c r="M80" s="50">
        <v>18</v>
      </c>
      <c r="N80" s="50">
        <v>0</v>
      </c>
      <c r="O80" s="15">
        <f t="shared" si="35"/>
        <v>20</v>
      </c>
      <c r="P80" s="15">
        <f t="shared" si="36"/>
        <v>38</v>
      </c>
      <c r="R80" s="8"/>
      <c r="T80"/>
    </row>
    <row r="81" spans="2:20" ht="23.1" customHeight="1" x14ac:dyDescent="0.25">
      <c r="B81" s="45" t="s">
        <v>121</v>
      </c>
      <c r="C81" s="50">
        <v>9</v>
      </c>
      <c r="D81" s="50">
        <v>1</v>
      </c>
      <c r="E81" s="50">
        <v>0</v>
      </c>
      <c r="F81" s="50">
        <v>2</v>
      </c>
      <c r="G81" s="50">
        <v>0</v>
      </c>
      <c r="H81" s="50">
        <v>0</v>
      </c>
      <c r="I81" s="50">
        <v>3</v>
      </c>
      <c r="J81" s="50">
        <v>0</v>
      </c>
      <c r="K81" s="50">
        <v>0</v>
      </c>
      <c r="L81" s="50">
        <v>0</v>
      </c>
      <c r="M81" s="50">
        <v>13</v>
      </c>
      <c r="N81" s="50">
        <v>0</v>
      </c>
      <c r="O81" s="15">
        <f t="shared" si="35"/>
        <v>15</v>
      </c>
      <c r="P81" s="15">
        <f t="shared" si="36"/>
        <v>28</v>
      </c>
      <c r="R81" s="8"/>
      <c r="T81"/>
    </row>
    <row r="82" spans="2:20" ht="23.1" customHeight="1" x14ac:dyDescent="0.25">
      <c r="B82" s="46" t="s">
        <v>122</v>
      </c>
      <c r="C82" s="50">
        <v>9</v>
      </c>
      <c r="D82" s="50">
        <v>4</v>
      </c>
      <c r="E82" s="50">
        <v>1</v>
      </c>
      <c r="F82" s="50">
        <v>4</v>
      </c>
      <c r="G82" s="50">
        <v>0</v>
      </c>
      <c r="H82" s="50">
        <v>0</v>
      </c>
      <c r="I82" s="50">
        <v>3</v>
      </c>
      <c r="J82" s="50">
        <v>1</v>
      </c>
      <c r="K82" s="50">
        <v>0</v>
      </c>
      <c r="L82" s="50">
        <v>2</v>
      </c>
      <c r="M82" s="50">
        <v>33</v>
      </c>
      <c r="N82" s="50">
        <v>0</v>
      </c>
      <c r="O82" s="15">
        <f t="shared" si="35"/>
        <v>24</v>
      </c>
      <c r="P82" s="15">
        <f t="shared" si="36"/>
        <v>57</v>
      </c>
      <c r="R82" s="8"/>
      <c r="T82"/>
    </row>
    <row r="83" spans="2:20" ht="23.1" customHeight="1" x14ac:dyDescent="0.25">
      <c r="B83" s="45" t="s">
        <v>123</v>
      </c>
      <c r="C83" s="50">
        <v>4</v>
      </c>
      <c r="D83" s="50">
        <v>0</v>
      </c>
      <c r="E83" s="50">
        <v>0</v>
      </c>
      <c r="F83" s="50">
        <v>1</v>
      </c>
      <c r="G83" s="50">
        <v>0</v>
      </c>
      <c r="H83" s="50">
        <v>2</v>
      </c>
      <c r="I83" s="50">
        <v>4</v>
      </c>
      <c r="J83" s="50">
        <v>0</v>
      </c>
      <c r="K83" s="50">
        <v>0</v>
      </c>
      <c r="L83" s="50">
        <v>0</v>
      </c>
      <c r="M83" s="50">
        <v>17</v>
      </c>
      <c r="N83" s="50">
        <v>0</v>
      </c>
      <c r="O83" s="15">
        <f t="shared" si="35"/>
        <v>11</v>
      </c>
      <c r="P83" s="15">
        <f t="shared" si="36"/>
        <v>28</v>
      </c>
      <c r="R83" s="8"/>
      <c r="T83"/>
    </row>
    <row r="84" spans="2:20" ht="23.1" customHeight="1" x14ac:dyDescent="0.25">
      <c r="B84" s="47" t="s">
        <v>124</v>
      </c>
      <c r="C84" s="50">
        <v>4</v>
      </c>
      <c r="D84" s="50">
        <v>3</v>
      </c>
      <c r="E84" s="50">
        <v>1</v>
      </c>
      <c r="F84" s="50">
        <v>3</v>
      </c>
      <c r="G84" s="50">
        <v>0</v>
      </c>
      <c r="H84" s="50">
        <v>0</v>
      </c>
      <c r="I84" s="50">
        <v>2</v>
      </c>
      <c r="J84" s="50">
        <v>1</v>
      </c>
      <c r="K84" s="50">
        <v>0</v>
      </c>
      <c r="L84" s="50">
        <v>0</v>
      </c>
      <c r="M84" s="50">
        <v>13</v>
      </c>
      <c r="N84" s="50">
        <v>0</v>
      </c>
      <c r="O84" s="15">
        <f t="shared" si="35"/>
        <v>14</v>
      </c>
      <c r="P84" s="15">
        <f t="shared" si="36"/>
        <v>27</v>
      </c>
      <c r="R84" s="8"/>
      <c r="T84"/>
    </row>
    <row r="85" spans="2:20" ht="23.1" customHeight="1" x14ac:dyDescent="0.25">
      <c r="B85" s="45" t="s">
        <v>125</v>
      </c>
      <c r="C85" s="50">
        <v>3</v>
      </c>
      <c r="D85" s="50">
        <v>2</v>
      </c>
      <c r="E85" s="50">
        <v>0</v>
      </c>
      <c r="F85" s="50">
        <v>1</v>
      </c>
      <c r="G85" s="50">
        <v>0</v>
      </c>
      <c r="H85" s="50">
        <v>0</v>
      </c>
      <c r="I85" s="50">
        <v>2</v>
      </c>
      <c r="J85" s="50">
        <v>1</v>
      </c>
      <c r="K85" s="50">
        <v>0</v>
      </c>
      <c r="L85" s="50">
        <v>0</v>
      </c>
      <c r="M85" s="50">
        <v>12</v>
      </c>
      <c r="N85" s="50">
        <v>0</v>
      </c>
      <c r="O85" s="15">
        <f t="shared" si="35"/>
        <v>9</v>
      </c>
      <c r="P85" s="15">
        <f t="shared" si="36"/>
        <v>21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2</v>
      </c>
      <c r="J86" s="50">
        <v>0</v>
      </c>
      <c r="K86" s="50">
        <v>1</v>
      </c>
      <c r="L86" s="50">
        <v>1</v>
      </c>
      <c r="M86" s="50">
        <v>7</v>
      </c>
      <c r="N86" s="50">
        <v>0</v>
      </c>
      <c r="O86" s="15">
        <f t="shared" si="35"/>
        <v>9</v>
      </c>
      <c r="P86" s="15">
        <f t="shared" si="36"/>
        <v>16</v>
      </c>
      <c r="R86" s="8"/>
      <c r="T86"/>
    </row>
    <row r="87" spans="2:20" ht="23.1" customHeight="1" x14ac:dyDescent="0.25">
      <c r="B87" s="45" t="s">
        <v>127</v>
      </c>
      <c r="C87" s="50">
        <v>2</v>
      </c>
      <c r="D87" s="50">
        <v>1</v>
      </c>
      <c r="E87" s="50">
        <v>0</v>
      </c>
      <c r="F87" s="50">
        <v>2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0</v>
      </c>
      <c r="M87" s="50">
        <v>7</v>
      </c>
      <c r="N87" s="50">
        <v>0</v>
      </c>
      <c r="O87" s="15">
        <f t="shared" si="35"/>
        <v>6</v>
      </c>
      <c r="P87" s="15">
        <f t="shared" si="36"/>
        <v>13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2</v>
      </c>
      <c r="J88" s="50">
        <v>0</v>
      </c>
      <c r="K88" s="50">
        <v>0</v>
      </c>
      <c r="L88" s="50">
        <v>0</v>
      </c>
      <c r="M88" s="50">
        <v>5</v>
      </c>
      <c r="N88" s="50">
        <v>0</v>
      </c>
      <c r="O88" s="15">
        <f t="shared" si="35"/>
        <v>5</v>
      </c>
      <c r="P88" s="15">
        <f t="shared" si="36"/>
        <v>10</v>
      </c>
      <c r="R88" s="8"/>
      <c r="T88"/>
    </row>
    <row r="89" spans="2:20" ht="23.1" customHeight="1" x14ac:dyDescent="0.25">
      <c r="B89" s="45" t="s">
        <v>129</v>
      </c>
      <c r="C89" s="50">
        <v>5</v>
      </c>
      <c r="D89" s="50">
        <v>0</v>
      </c>
      <c r="E89" s="50">
        <v>1</v>
      </c>
      <c r="F89" s="50">
        <v>2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6</v>
      </c>
      <c r="N89" s="50">
        <v>0</v>
      </c>
      <c r="O89" s="15">
        <f t="shared" si="35"/>
        <v>9</v>
      </c>
      <c r="P89" s="15">
        <f t="shared" si="36"/>
        <v>15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0</v>
      </c>
      <c r="E90" s="50">
        <v>0</v>
      </c>
      <c r="F90" s="50">
        <v>4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1</v>
      </c>
      <c r="M90" s="50">
        <v>9</v>
      </c>
      <c r="N90" s="50">
        <v>0</v>
      </c>
      <c r="O90" s="15">
        <f t="shared" si="35"/>
        <v>8</v>
      </c>
      <c r="P90" s="15">
        <f t="shared" si="36"/>
        <v>17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2</v>
      </c>
      <c r="M91" s="50">
        <v>4</v>
      </c>
      <c r="N91" s="50">
        <v>0</v>
      </c>
      <c r="O91" s="15">
        <f t="shared" si="35"/>
        <v>4</v>
      </c>
      <c r="P91" s="15">
        <f t="shared" si="36"/>
        <v>8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1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5</v>
      </c>
      <c r="N92" s="50">
        <v>0</v>
      </c>
      <c r="O92" s="15">
        <f t="shared" si="35"/>
        <v>4</v>
      </c>
      <c r="P92" s="15">
        <f t="shared" si="36"/>
        <v>9</v>
      </c>
      <c r="R92" s="8"/>
      <c r="T92"/>
    </row>
    <row r="93" spans="2:20" ht="23.1" customHeight="1" x14ac:dyDescent="0.25">
      <c r="B93" s="45" t="s">
        <v>133</v>
      </c>
      <c r="C93" s="50">
        <v>3</v>
      </c>
      <c r="D93" s="50">
        <v>0</v>
      </c>
      <c r="E93" s="50">
        <v>1</v>
      </c>
      <c r="F93" s="50">
        <v>0</v>
      </c>
      <c r="G93" s="50">
        <v>1</v>
      </c>
      <c r="H93" s="50">
        <v>0</v>
      </c>
      <c r="I93" s="50">
        <v>1</v>
      </c>
      <c r="J93" s="50">
        <v>1</v>
      </c>
      <c r="K93" s="50">
        <v>0</v>
      </c>
      <c r="L93" s="50">
        <v>0</v>
      </c>
      <c r="M93" s="50">
        <v>9</v>
      </c>
      <c r="N93" s="50">
        <v>0</v>
      </c>
      <c r="O93" s="15">
        <f t="shared" si="35"/>
        <v>7</v>
      </c>
      <c r="P93" s="15">
        <f t="shared" si="36"/>
        <v>16</v>
      </c>
      <c r="R93" s="8"/>
      <c r="T93"/>
    </row>
    <row r="94" spans="2:20" ht="23.1" customHeight="1" x14ac:dyDescent="0.25">
      <c r="B94" s="46" t="s">
        <v>134</v>
      </c>
      <c r="C94" s="50">
        <v>3</v>
      </c>
      <c r="D94" s="50">
        <v>0</v>
      </c>
      <c r="E94" s="50">
        <v>1</v>
      </c>
      <c r="F94" s="50">
        <v>1</v>
      </c>
      <c r="G94" s="50">
        <v>0</v>
      </c>
      <c r="H94" s="50">
        <v>0</v>
      </c>
      <c r="I94" s="50">
        <v>2</v>
      </c>
      <c r="J94" s="50">
        <v>1</v>
      </c>
      <c r="K94" s="50">
        <v>0</v>
      </c>
      <c r="L94" s="50">
        <v>1</v>
      </c>
      <c r="M94" s="50">
        <v>10</v>
      </c>
      <c r="N94" s="50">
        <v>0</v>
      </c>
      <c r="O94" s="15">
        <f t="shared" si="35"/>
        <v>9</v>
      </c>
      <c r="P94" s="15">
        <f t="shared" si="36"/>
        <v>19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1</v>
      </c>
      <c r="F95" s="50">
        <v>2</v>
      </c>
      <c r="G95" s="50">
        <v>0</v>
      </c>
      <c r="H95" s="50">
        <v>0</v>
      </c>
      <c r="I95" s="50">
        <v>0</v>
      </c>
      <c r="J95" s="50">
        <v>2</v>
      </c>
      <c r="K95" s="50">
        <v>0</v>
      </c>
      <c r="L95" s="50">
        <v>0</v>
      </c>
      <c r="M95" s="50">
        <v>5</v>
      </c>
      <c r="N95" s="50">
        <v>0</v>
      </c>
      <c r="O95" s="15">
        <f t="shared" si="35"/>
        <v>6</v>
      </c>
      <c r="P95" s="15">
        <f t="shared" si="36"/>
        <v>11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2</v>
      </c>
      <c r="F96" s="50">
        <v>4</v>
      </c>
      <c r="G96" s="50">
        <v>0</v>
      </c>
      <c r="H96" s="50">
        <v>0</v>
      </c>
      <c r="I96" s="50">
        <v>3</v>
      </c>
      <c r="J96" s="50">
        <v>0</v>
      </c>
      <c r="K96" s="50">
        <v>0</v>
      </c>
      <c r="L96" s="50">
        <v>0</v>
      </c>
      <c r="M96" s="50">
        <v>9</v>
      </c>
      <c r="N96" s="50">
        <v>0</v>
      </c>
      <c r="O96" s="15">
        <f t="shared" si="35"/>
        <v>11</v>
      </c>
      <c r="P96" s="15">
        <f t="shared" si="36"/>
        <v>20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1</v>
      </c>
      <c r="E97" s="50">
        <v>1</v>
      </c>
      <c r="F97" s="50">
        <v>5</v>
      </c>
      <c r="G97" s="50">
        <v>1</v>
      </c>
      <c r="H97" s="50">
        <v>0</v>
      </c>
      <c r="I97" s="50">
        <v>0</v>
      </c>
      <c r="J97" s="50">
        <v>1</v>
      </c>
      <c r="K97" s="50">
        <v>0</v>
      </c>
      <c r="L97" s="50">
        <v>0</v>
      </c>
      <c r="M97" s="50">
        <v>6</v>
      </c>
      <c r="N97" s="50">
        <v>0</v>
      </c>
      <c r="O97" s="15">
        <f t="shared" si="35"/>
        <v>10</v>
      </c>
      <c r="P97" s="15">
        <f t="shared" si="36"/>
        <v>16</v>
      </c>
      <c r="R97" s="8"/>
      <c r="T97"/>
    </row>
    <row r="98" spans="2:20" ht="23.1" customHeight="1" x14ac:dyDescent="0.25">
      <c r="B98" s="46" t="s">
        <v>138</v>
      </c>
      <c r="C98" s="50">
        <v>6</v>
      </c>
      <c r="D98" s="50">
        <v>0</v>
      </c>
      <c r="E98" s="50">
        <v>2</v>
      </c>
      <c r="F98" s="50">
        <v>4</v>
      </c>
      <c r="G98" s="50">
        <v>1</v>
      </c>
      <c r="H98" s="50">
        <v>0</v>
      </c>
      <c r="I98" s="50">
        <v>3</v>
      </c>
      <c r="J98" s="50">
        <v>2</v>
      </c>
      <c r="K98" s="50">
        <v>0</v>
      </c>
      <c r="L98" s="50">
        <v>0</v>
      </c>
      <c r="M98" s="50">
        <v>14</v>
      </c>
      <c r="N98" s="50">
        <v>0</v>
      </c>
      <c r="O98" s="15">
        <f t="shared" si="35"/>
        <v>18</v>
      </c>
      <c r="P98" s="15">
        <f t="shared" si="36"/>
        <v>32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2</v>
      </c>
      <c r="F99" s="50">
        <v>5</v>
      </c>
      <c r="G99" s="50">
        <v>1</v>
      </c>
      <c r="H99" s="50">
        <v>0</v>
      </c>
      <c r="I99" s="50">
        <v>6</v>
      </c>
      <c r="J99" s="50">
        <v>3</v>
      </c>
      <c r="K99" s="50">
        <v>0</v>
      </c>
      <c r="L99" s="50">
        <v>1</v>
      </c>
      <c r="M99" s="50">
        <v>8</v>
      </c>
      <c r="N99" s="50">
        <v>0</v>
      </c>
      <c r="O99" s="15">
        <f t="shared" si="35"/>
        <v>19</v>
      </c>
      <c r="P99" s="15">
        <f t="shared" si="36"/>
        <v>27</v>
      </c>
      <c r="R99" s="8"/>
      <c r="T99"/>
    </row>
    <row r="100" spans="2:20" ht="23.1" customHeight="1" x14ac:dyDescent="0.25">
      <c r="B100" s="47" t="s">
        <v>140</v>
      </c>
      <c r="C100" s="50">
        <v>13</v>
      </c>
      <c r="D100" s="50">
        <v>0</v>
      </c>
      <c r="E100" s="50">
        <v>2</v>
      </c>
      <c r="F100" s="50">
        <v>10</v>
      </c>
      <c r="G100" s="50">
        <v>0</v>
      </c>
      <c r="H100" s="50">
        <v>0</v>
      </c>
      <c r="I100" s="50">
        <v>6</v>
      </c>
      <c r="J100" s="50">
        <v>3</v>
      </c>
      <c r="K100" s="50">
        <v>0</v>
      </c>
      <c r="L100" s="50">
        <v>0</v>
      </c>
      <c r="M100" s="50">
        <v>11</v>
      </c>
      <c r="N100" s="50">
        <v>0</v>
      </c>
      <c r="O100" s="15">
        <f t="shared" si="35"/>
        <v>34</v>
      </c>
      <c r="P100" s="15">
        <f t="shared" si="36"/>
        <v>45</v>
      </c>
      <c r="R100" s="8"/>
      <c r="T100"/>
    </row>
    <row r="101" spans="2:20" ht="23.1" customHeight="1" x14ac:dyDescent="0.25">
      <c r="B101" s="45" t="s">
        <v>141</v>
      </c>
      <c r="C101" s="50">
        <v>5</v>
      </c>
      <c r="D101" s="50">
        <v>0</v>
      </c>
      <c r="E101" s="50">
        <v>4</v>
      </c>
      <c r="F101" s="50">
        <v>13</v>
      </c>
      <c r="G101" s="50">
        <v>0</v>
      </c>
      <c r="H101" s="50">
        <v>0</v>
      </c>
      <c r="I101" s="50">
        <v>5</v>
      </c>
      <c r="J101" s="50">
        <v>0</v>
      </c>
      <c r="K101" s="50">
        <v>0</v>
      </c>
      <c r="L101" s="50">
        <v>1</v>
      </c>
      <c r="M101" s="50">
        <v>12</v>
      </c>
      <c r="N101" s="50">
        <v>0</v>
      </c>
      <c r="O101" s="15">
        <f t="shared" si="35"/>
        <v>28</v>
      </c>
      <c r="P101" s="15">
        <f t="shared" si="36"/>
        <v>40</v>
      </c>
      <c r="R101" s="8"/>
      <c r="T101"/>
    </row>
    <row r="102" spans="2:20" ht="23.1" customHeight="1" x14ac:dyDescent="0.25">
      <c r="B102" s="46" t="s">
        <v>142</v>
      </c>
      <c r="C102" s="50">
        <v>6</v>
      </c>
      <c r="D102" s="50">
        <v>1</v>
      </c>
      <c r="E102" s="50">
        <v>4</v>
      </c>
      <c r="F102" s="50">
        <v>9</v>
      </c>
      <c r="G102" s="50">
        <v>0</v>
      </c>
      <c r="H102" s="50">
        <v>0</v>
      </c>
      <c r="I102" s="50">
        <v>2</v>
      </c>
      <c r="J102" s="50">
        <v>1</v>
      </c>
      <c r="K102" s="50">
        <v>1</v>
      </c>
      <c r="L102" s="50">
        <v>1</v>
      </c>
      <c r="M102" s="50">
        <v>13</v>
      </c>
      <c r="N102" s="50">
        <v>0</v>
      </c>
      <c r="O102" s="15">
        <f t="shared" si="35"/>
        <v>25</v>
      </c>
      <c r="P102" s="15">
        <f t="shared" si="36"/>
        <v>38</v>
      </c>
      <c r="R102" s="8"/>
      <c r="T102"/>
    </row>
    <row r="103" spans="2:20" ht="23.1" customHeight="1" x14ac:dyDescent="0.25">
      <c r="B103" s="45" t="s">
        <v>143</v>
      </c>
      <c r="C103" s="50">
        <v>10</v>
      </c>
      <c r="D103" s="50">
        <v>5</v>
      </c>
      <c r="E103" s="50">
        <v>0</v>
      </c>
      <c r="F103" s="50">
        <v>8</v>
      </c>
      <c r="G103" s="50">
        <v>0</v>
      </c>
      <c r="H103" s="50">
        <v>0</v>
      </c>
      <c r="I103" s="50">
        <v>6</v>
      </c>
      <c r="J103" s="50">
        <v>3</v>
      </c>
      <c r="K103" s="50">
        <v>1</v>
      </c>
      <c r="L103" s="50">
        <v>0</v>
      </c>
      <c r="M103" s="50">
        <v>17</v>
      </c>
      <c r="N103" s="50">
        <v>0</v>
      </c>
      <c r="O103" s="15">
        <f t="shared" si="35"/>
        <v>33</v>
      </c>
      <c r="P103" s="15">
        <f t="shared" si="36"/>
        <v>50</v>
      </c>
      <c r="R103" s="8"/>
      <c r="T103"/>
    </row>
    <row r="104" spans="2:20" ht="23.1" customHeight="1" x14ac:dyDescent="0.25">
      <c r="B104" s="47" t="s">
        <v>144</v>
      </c>
      <c r="C104" s="50">
        <v>16</v>
      </c>
      <c r="D104" s="50">
        <v>7</v>
      </c>
      <c r="E104" s="50">
        <v>1</v>
      </c>
      <c r="F104" s="50">
        <v>18</v>
      </c>
      <c r="G104" s="50">
        <v>1</v>
      </c>
      <c r="H104" s="50">
        <v>0</v>
      </c>
      <c r="I104" s="50">
        <v>13</v>
      </c>
      <c r="J104" s="50">
        <v>2</v>
      </c>
      <c r="K104" s="50">
        <v>0</v>
      </c>
      <c r="L104" s="50">
        <v>4</v>
      </c>
      <c r="M104" s="50">
        <v>13</v>
      </c>
      <c r="N104" s="50">
        <v>0</v>
      </c>
      <c r="O104" s="15">
        <f t="shared" si="35"/>
        <v>62</v>
      </c>
      <c r="P104" s="15">
        <f t="shared" si="36"/>
        <v>75</v>
      </c>
      <c r="R104" s="8"/>
      <c r="T104"/>
    </row>
    <row r="105" spans="2:20" ht="23.1" customHeight="1" x14ac:dyDescent="0.25">
      <c r="B105" s="45" t="s">
        <v>145</v>
      </c>
      <c r="C105" s="50">
        <v>8</v>
      </c>
      <c r="D105" s="50">
        <v>0</v>
      </c>
      <c r="E105" s="50">
        <v>1</v>
      </c>
      <c r="F105" s="50">
        <v>16</v>
      </c>
      <c r="G105" s="50">
        <v>0</v>
      </c>
      <c r="H105" s="50">
        <v>0</v>
      </c>
      <c r="I105" s="50">
        <v>7</v>
      </c>
      <c r="J105" s="50">
        <v>3</v>
      </c>
      <c r="K105" s="50">
        <v>1</v>
      </c>
      <c r="L105" s="50">
        <v>3</v>
      </c>
      <c r="M105" s="50">
        <v>22</v>
      </c>
      <c r="N105" s="50">
        <v>0</v>
      </c>
      <c r="O105" s="15">
        <f t="shared" si="35"/>
        <v>39</v>
      </c>
      <c r="P105" s="15">
        <f t="shared" si="36"/>
        <v>61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2989</v>
      </c>
      <c r="D106" s="16">
        <f t="shared" ref="D106:P106" si="37">SUM(D10:D105)</f>
        <v>798</v>
      </c>
      <c r="E106" s="16">
        <f t="shared" si="37"/>
        <v>475</v>
      </c>
      <c r="F106" s="16">
        <f t="shared" si="37"/>
        <v>2977</v>
      </c>
      <c r="G106" s="16">
        <f t="shared" si="37"/>
        <v>87</v>
      </c>
      <c r="H106" s="16">
        <f t="shared" si="37"/>
        <v>39</v>
      </c>
      <c r="I106" s="16">
        <f t="shared" si="37"/>
        <v>690</v>
      </c>
      <c r="J106" s="16">
        <f t="shared" si="37"/>
        <v>206</v>
      </c>
      <c r="K106" s="16">
        <f t="shared" si="37"/>
        <v>145</v>
      </c>
      <c r="L106" s="16">
        <f t="shared" si="37"/>
        <v>40</v>
      </c>
      <c r="M106" s="16">
        <f t="shared" si="37"/>
        <v>6953</v>
      </c>
      <c r="N106" s="16">
        <f t="shared" si="37"/>
        <v>3</v>
      </c>
      <c r="O106" s="16">
        <f t="shared" si="37"/>
        <v>8449</v>
      </c>
      <c r="P106" s="16">
        <f t="shared" si="37"/>
        <v>15402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0.19406570575249968</v>
      </c>
      <c r="D107" s="43">
        <f t="shared" si="38"/>
        <v>5.181145305804441E-2</v>
      </c>
      <c r="E107" s="43">
        <f t="shared" si="38"/>
        <v>3.084015062978834E-2</v>
      </c>
      <c r="F107" s="43">
        <f t="shared" si="38"/>
        <v>0.19328658615764185</v>
      </c>
      <c r="G107" s="43">
        <f t="shared" si="38"/>
        <v>5.6486170627191275E-3</v>
      </c>
      <c r="H107" s="43">
        <f t="shared" si="38"/>
        <v>2.5321386832878848E-3</v>
      </c>
      <c r="I107" s="43">
        <f t="shared" si="38"/>
        <v>4.4799376704324115E-2</v>
      </c>
      <c r="J107" s="43">
        <f t="shared" si="38"/>
        <v>1.3374886378392417E-2</v>
      </c>
      <c r="K107" s="43">
        <f t="shared" si="38"/>
        <v>9.4143617711985456E-3</v>
      </c>
      <c r="L107" s="43">
        <f t="shared" si="38"/>
        <v>2.5970653161927022E-3</v>
      </c>
      <c r="M107" s="43">
        <f t="shared" si="38"/>
        <v>0.45143487858719644</v>
      </c>
      <c r="N107" s="43">
        <f t="shared" si="38"/>
        <v>1.9477989871445267E-4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0.35376967688483846</v>
      </c>
      <c r="D108" s="44">
        <f t="shared" ref="D108:N108" si="39">D106/$O$106</f>
        <v>9.4449047224523616E-2</v>
      </c>
      <c r="E108" s="44">
        <f t="shared" si="39"/>
        <v>5.6219670966978344E-2</v>
      </c>
      <c r="F108" s="44">
        <f t="shared" si="39"/>
        <v>0.35234939046040953</v>
      </c>
      <c r="G108" s="44">
        <f t="shared" si="39"/>
        <v>1.0297076577109716E-2</v>
      </c>
      <c r="H108" s="44">
        <f t="shared" si="39"/>
        <v>4.6159308793940115E-3</v>
      </c>
      <c r="I108" s="44">
        <f t="shared" si="39"/>
        <v>8.1666469404663281E-2</v>
      </c>
      <c r="J108" s="44">
        <f t="shared" si="39"/>
        <v>2.438158361936324E-2</v>
      </c>
      <c r="K108" s="44">
        <f t="shared" si="39"/>
        <v>1.7161794295182862E-2</v>
      </c>
      <c r="L108" s="44">
        <f t="shared" si="39"/>
        <v>4.734288081429755E-3</v>
      </c>
      <c r="M108" s="44"/>
      <c r="N108" s="44">
        <f t="shared" si="39"/>
        <v>3.5507160610723161E-4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78" t="str">
        <f>'23.09. KASANGATI-GAYAZA'!C3:G3</f>
        <v>MCC - C2 - STN-69- Gayaza-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2" t="str">
        <f>'26.09 Kasangati-Gayaza-24h'!D5</f>
        <v>26.09.19</v>
      </c>
      <c r="E5" s="3"/>
      <c r="F5" s="41" t="s">
        <v>1</v>
      </c>
      <c r="G5" s="73" t="str">
        <f>'26.09 Kasangati-Gayaza-24h'!G5:H5</f>
        <v>TOTAL BULAMU</v>
      </c>
      <c r="H5" s="74"/>
      <c r="I5" s="14"/>
      <c r="J5" s="2" t="s">
        <v>5</v>
      </c>
      <c r="K5" s="73" t="str">
        <f>'26.09 Kasangati-Gayaza-24h'!K5:L5</f>
        <v>Mugaga S</v>
      </c>
      <c r="L5" s="74"/>
      <c r="M5" s="10"/>
      <c r="N5" s="10"/>
      <c r="O5" s="3"/>
      <c r="P5" s="3"/>
    </row>
    <row r="6" spans="2:32" ht="23.25" customHeight="1" x14ac:dyDescent="0.25">
      <c r="C6" s="2" t="s">
        <v>4</v>
      </c>
      <c r="D6" s="73" t="str">
        <f>'23.09.Gayaza-Kasangati'!D6:E6</f>
        <v>Gayaza</v>
      </c>
      <c r="E6" s="74"/>
      <c r="F6" s="2" t="s">
        <v>2</v>
      </c>
      <c r="G6" s="73" t="str">
        <f>'24.09 Gayaza-Kasangati'!G6:H6</f>
        <v>Kasangati</v>
      </c>
      <c r="H6" s="74"/>
      <c r="J6" s="2" t="s">
        <v>21</v>
      </c>
      <c r="K6" s="73" t="str">
        <f>'26.09 Kasangati-Gayaza-24h'!K6:L6</f>
        <v>LAWRENCE</v>
      </c>
      <c r="L6" s="7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118</v>
      </c>
      <c r="D10" s="50">
        <v>10</v>
      </c>
      <c r="E10" s="50">
        <v>10</v>
      </c>
      <c r="F10" s="50">
        <v>63</v>
      </c>
      <c r="G10" s="50">
        <v>2</v>
      </c>
      <c r="H10" s="50">
        <v>0</v>
      </c>
      <c r="I10" s="50">
        <v>9</v>
      </c>
      <c r="J10" s="50">
        <v>1</v>
      </c>
      <c r="K10" s="50">
        <v>0</v>
      </c>
      <c r="L10" s="50">
        <v>0</v>
      </c>
      <c r="M10" s="50">
        <v>201</v>
      </c>
      <c r="N10" s="50">
        <v>0</v>
      </c>
      <c r="O10" s="15">
        <f t="shared" ref="O10:O73" si="0">SUM(C10:L10,N10)</f>
        <v>213</v>
      </c>
      <c r="P10" s="15">
        <f t="shared" ref="P10:P73" si="1">SUM(C10:N10)</f>
        <v>414</v>
      </c>
      <c r="R10" s="1" t="s">
        <v>6</v>
      </c>
      <c r="S10" s="17">
        <f t="shared" ref="S10:AF10" si="2">SUM(C10:C13)</f>
        <v>435</v>
      </c>
      <c r="T10" s="17">
        <f t="shared" si="2"/>
        <v>29</v>
      </c>
      <c r="U10" s="17">
        <f t="shared" si="2"/>
        <v>25</v>
      </c>
      <c r="V10" s="17">
        <f t="shared" si="2"/>
        <v>212</v>
      </c>
      <c r="W10" s="17">
        <f t="shared" si="2"/>
        <v>4</v>
      </c>
      <c r="X10" s="17">
        <f t="shared" si="2"/>
        <v>5</v>
      </c>
      <c r="Y10" s="17">
        <f t="shared" si="2"/>
        <v>30</v>
      </c>
      <c r="Z10" s="17">
        <f t="shared" si="2"/>
        <v>4</v>
      </c>
      <c r="AA10" s="17">
        <f t="shared" si="2"/>
        <v>2</v>
      </c>
      <c r="AB10" s="17">
        <f t="shared" si="2"/>
        <v>0</v>
      </c>
      <c r="AC10" s="17">
        <f t="shared" si="2"/>
        <v>708</v>
      </c>
      <c r="AD10" s="17">
        <f t="shared" si="2"/>
        <v>0</v>
      </c>
      <c r="AE10" s="31">
        <f t="shared" si="2"/>
        <v>746</v>
      </c>
      <c r="AF10" s="31">
        <f t="shared" si="2"/>
        <v>1454</v>
      </c>
    </row>
    <row r="11" spans="2:32" s="6" customFormat="1" ht="23.1" customHeight="1" x14ac:dyDescent="0.25">
      <c r="B11" s="45" t="s">
        <v>38</v>
      </c>
      <c r="C11" s="50">
        <v>91</v>
      </c>
      <c r="D11" s="50">
        <v>4</v>
      </c>
      <c r="E11" s="50">
        <v>3</v>
      </c>
      <c r="F11" s="50">
        <v>37</v>
      </c>
      <c r="G11" s="50">
        <v>0</v>
      </c>
      <c r="H11" s="50">
        <v>2</v>
      </c>
      <c r="I11" s="50">
        <v>6</v>
      </c>
      <c r="J11" s="50">
        <v>0</v>
      </c>
      <c r="K11" s="50">
        <v>0</v>
      </c>
      <c r="L11" s="50">
        <v>0</v>
      </c>
      <c r="M11" s="50">
        <v>115</v>
      </c>
      <c r="N11" s="50">
        <v>0</v>
      </c>
      <c r="O11" s="15">
        <f t="shared" si="0"/>
        <v>143</v>
      </c>
      <c r="P11" s="15">
        <f t="shared" si="1"/>
        <v>258</v>
      </c>
      <c r="R11" s="1" t="s">
        <v>7</v>
      </c>
      <c r="S11" s="17">
        <f t="shared" ref="S11:AF11" si="3">SUM(C14:C17)</f>
        <v>268</v>
      </c>
      <c r="T11" s="17">
        <f t="shared" si="3"/>
        <v>24</v>
      </c>
      <c r="U11" s="17">
        <f t="shared" si="3"/>
        <v>24</v>
      </c>
      <c r="V11" s="17">
        <f t="shared" si="3"/>
        <v>154</v>
      </c>
      <c r="W11" s="17">
        <f t="shared" si="3"/>
        <v>0</v>
      </c>
      <c r="X11" s="17">
        <f t="shared" si="3"/>
        <v>3</v>
      </c>
      <c r="Y11" s="17">
        <f t="shared" si="3"/>
        <v>46</v>
      </c>
      <c r="Z11" s="17">
        <f t="shared" si="3"/>
        <v>8</v>
      </c>
      <c r="AA11" s="17">
        <f t="shared" si="3"/>
        <v>14</v>
      </c>
      <c r="AB11" s="17">
        <f t="shared" si="3"/>
        <v>0</v>
      </c>
      <c r="AC11" s="17">
        <f t="shared" si="3"/>
        <v>554</v>
      </c>
      <c r="AD11" s="17">
        <f t="shared" si="3"/>
        <v>0</v>
      </c>
      <c r="AE11" s="31">
        <f t="shared" si="3"/>
        <v>541</v>
      </c>
      <c r="AF11" s="31">
        <f t="shared" si="3"/>
        <v>1095</v>
      </c>
    </row>
    <row r="12" spans="2:32" ht="23.1" customHeight="1" x14ac:dyDescent="0.25">
      <c r="B12" s="45" t="s">
        <v>39</v>
      </c>
      <c r="C12" s="50">
        <v>116</v>
      </c>
      <c r="D12" s="50">
        <v>9</v>
      </c>
      <c r="E12" s="50">
        <v>11</v>
      </c>
      <c r="F12" s="50">
        <v>55</v>
      </c>
      <c r="G12" s="50">
        <v>2</v>
      </c>
      <c r="H12" s="50">
        <v>3</v>
      </c>
      <c r="I12" s="50">
        <v>6</v>
      </c>
      <c r="J12" s="50">
        <v>2</v>
      </c>
      <c r="K12" s="50">
        <v>1</v>
      </c>
      <c r="L12" s="50">
        <v>0</v>
      </c>
      <c r="M12" s="50">
        <v>205</v>
      </c>
      <c r="N12" s="50">
        <v>0</v>
      </c>
      <c r="O12" s="15">
        <f t="shared" si="0"/>
        <v>205</v>
      </c>
      <c r="P12" s="15">
        <f t="shared" si="1"/>
        <v>410</v>
      </c>
      <c r="R12" s="1" t="s">
        <v>8</v>
      </c>
      <c r="S12" s="17">
        <f t="shared" ref="S12:AF12" si="4">SUM(C18:C21)</f>
        <v>229</v>
      </c>
      <c r="T12" s="17">
        <f t="shared" si="4"/>
        <v>28</v>
      </c>
      <c r="U12" s="17">
        <f t="shared" si="4"/>
        <v>17</v>
      </c>
      <c r="V12" s="17">
        <f t="shared" si="4"/>
        <v>143</v>
      </c>
      <c r="W12" s="17">
        <f t="shared" si="4"/>
        <v>4</v>
      </c>
      <c r="X12" s="17">
        <f t="shared" si="4"/>
        <v>0</v>
      </c>
      <c r="Y12" s="17">
        <f t="shared" si="4"/>
        <v>52</v>
      </c>
      <c r="Z12" s="17">
        <f t="shared" si="4"/>
        <v>6</v>
      </c>
      <c r="AA12" s="17">
        <f t="shared" si="4"/>
        <v>11</v>
      </c>
      <c r="AB12" s="17">
        <f t="shared" si="4"/>
        <v>0</v>
      </c>
      <c r="AC12" s="17">
        <f t="shared" si="4"/>
        <v>536</v>
      </c>
      <c r="AD12" s="17">
        <f t="shared" si="4"/>
        <v>0</v>
      </c>
      <c r="AE12" s="31">
        <f t="shared" si="4"/>
        <v>490</v>
      </c>
      <c r="AF12" s="31">
        <f t="shared" si="4"/>
        <v>1026</v>
      </c>
    </row>
    <row r="13" spans="2:32" ht="23.1" customHeight="1" x14ac:dyDescent="0.25">
      <c r="B13" s="45" t="s">
        <v>40</v>
      </c>
      <c r="C13" s="50">
        <v>110</v>
      </c>
      <c r="D13" s="50">
        <v>6</v>
      </c>
      <c r="E13" s="50">
        <v>1</v>
      </c>
      <c r="F13" s="50">
        <v>57</v>
      </c>
      <c r="G13" s="50">
        <v>0</v>
      </c>
      <c r="H13" s="50">
        <v>0</v>
      </c>
      <c r="I13" s="50">
        <v>9</v>
      </c>
      <c r="J13" s="50">
        <v>1</v>
      </c>
      <c r="K13" s="50">
        <v>1</v>
      </c>
      <c r="L13" s="50">
        <v>0</v>
      </c>
      <c r="M13" s="50">
        <v>187</v>
      </c>
      <c r="N13" s="50">
        <v>0</v>
      </c>
      <c r="O13" s="15">
        <f t="shared" si="0"/>
        <v>185</v>
      </c>
      <c r="P13" s="15">
        <f t="shared" si="1"/>
        <v>372</v>
      </c>
      <c r="R13" s="1" t="s">
        <v>9</v>
      </c>
      <c r="S13" s="17">
        <f t="shared" ref="S13:AF13" si="5">SUM(C22:C25)</f>
        <v>217</v>
      </c>
      <c r="T13" s="17">
        <f t="shared" si="5"/>
        <v>34</v>
      </c>
      <c r="U13" s="17">
        <f t="shared" si="5"/>
        <v>30</v>
      </c>
      <c r="V13" s="17">
        <f t="shared" si="5"/>
        <v>152</v>
      </c>
      <c r="W13" s="17">
        <f t="shared" si="5"/>
        <v>4</v>
      </c>
      <c r="X13" s="17">
        <f t="shared" si="5"/>
        <v>0</v>
      </c>
      <c r="Y13" s="17">
        <f t="shared" si="5"/>
        <v>29</v>
      </c>
      <c r="Z13" s="17">
        <f t="shared" si="5"/>
        <v>6</v>
      </c>
      <c r="AA13" s="17">
        <f t="shared" si="5"/>
        <v>8</v>
      </c>
      <c r="AB13" s="17">
        <f t="shared" si="5"/>
        <v>1</v>
      </c>
      <c r="AC13" s="17">
        <f t="shared" si="5"/>
        <v>490</v>
      </c>
      <c r="AD13" s="17">
        <f t="shared" si="5"/>
        <v>0</v>
      </c>
      <c r="AE13" s="31">
        <f t="shared" si="5"/>
        <v>481</v>
      </c>
      <c r="AF13" s="31">
        <f t="shared" si="5"/>
        <v>971</v>
      </c>
    </row>
    <row r="14" spans="2:32" ht="23.1" customHeight="1" x14ac:dyDescent="0.25">
      <c r="B14" s="45" t="s">
        <v>41</v>
      </c>
      <c r="C14" s="50">
        <v>92</v>
      </c>
      <c r="D14" s="50">
        <v>5</v>
      </c>
      <c r="E14" s="50">
        <v>11</v>
      </c>
      <c r="F14" s="50">
        <v>47</v>
      </c>
      <c r="G14" s="50">
        <v>0</v>
      </c>
      <c r="H14" s="50">
        <v>1</v>
      </c>
      <c r="I14" s="50">
        <v>6</v>
      </c>
      <c r="J14" s="50">
        <v>0</v>
      </c>
      <c r="K14" s="50">
        <v>3</v>
      </c>
      <c r="L14" s="50">
        <v>0</v>
      </c>
      <c r="M14" s="50">
        <v>105</v>
      </c>
      <c r="N14" s="50">
        <v>0</v>
      </c>
      <c r="O14" s="15">
        <f t="shared" si="0"/>
        <v>165</v>
      </c>
      <c r="P14" s="15">
        <f t="shared" si="1"/>
        <v>270</v>
      </c>
      <c r="R14" s="1" t="s">
        <v>10</v>
      </c>
      <c r="S14" s="17">
        <f t="shared" ref="S14:AF14" si="6">SUM(C26:C29)</f>
        <v>172</v>
      </c>
      <c r="T14" s="17">
        <f t="shared" si="6"/>
        <v>23</v>
      </c>
      <c r="U14" s="17">
        <f t="shared" si="6"/>
        <v>23</v>
      </c>
      <c r="V14" s="17">
        <f t="shared" si="6"/>
        <v>134</v>
      </c>
      <c r="W14" s="17">
        <f t="shared" si="6"/>
        <v>1</v>
      </c>
      <c r="X14" s="17">
        <f t="shared" si="6"/>
        <v>0</v>
      </c>
      <c r="Y14" s="17">
        <f t="shared" si="6"/>
        <v>40</v>
      </c>
      <c r="Z14" s="17">
        <f t="shared" si="6"/>
        <v>6</v>
      </c>
      <c r="AA14" s="17">
        <f t="shared" si="6"/>
        <v>18</v>
      </c>
      <c r="AB14" s="17">
        <f t="shared" si="6"/>
        <v>1</v>
      </c>
      <c r="AC14" s="17">
        <f t="shared" si="6"/>
        <v>470</v>
      </c>
      <c r="AD14" s="17">
        <f t="shared" si="6"/>
        <v>0</v>
      </c>
      <c r="AE14" s="31">
        <f t="shared" si="6"/>
        <v>418</v>
      </c>
      <c r="AF14" s="31">
        <f t="shared" si="6"/>
        <v>888</v>
      </c>
    </row>
    <row r="15" spans="2:32" ht="23.1" customHeight="1" x14ac:dyDescent="0.25">
      <c r="B15" s="45" t="s">
        <v>42</v>
      </c>
      <c r="C15" s="50">
        <v>46</v>
      </c>
      <c r="D15" s="50">
        <v>3</v>
      </c>
      <c r="E15" s="50">
        <v>4</v>
      </c>
      <c r="F15" s="50">
        <v>27</v>
      </c>
      <c r="G15" s="50">
        <v>0</v>
      </c>
      <c r="H15" s="50">
        <v>0</v>
      </c>
      <c r="I15" s="50">
        <v>5</v>
      </c>
      <c r="J15" s="50">
        <v>0</v>
      </c>
      <c r="K15" s="50">
        <v>4</v>
      </c>
      <c r="L15" s="50">
        <v>0</v>
      </c>
      <c r="M15" s="50">
        <v>124</v>
      </c>
      <c r="N15" s="50">
        <v>0</v>
      </c>
      <c r="O15" s="15">
        <f t="shared" si="0"/>
        <v>89</v>
      </c>
      <c r="P15" s="15">
        <f t="shared" si="1"/>
        <v>213</v>
      </c>
      <c r="R15" s="1" t="s">
        <v>11</v>
      </c>
      <c r="S15" s="17">
        <f t="shared" ref="S15:AF15" si="7">SUM(C30:C33)</f>
        <v>164</v>
      </c>
      <c r="T15" s="17">
        <f t="shared" si="7"/>
        <v>24</v>
      </c>
      <c r="U15" s="17">
        <f t="shared" si="7"/>
        <v>27</v>
      </c>
      <c r="V15" s="17">
        <f t="shared" si="7"/>
        <v>118</v>
      </c>
      <c r="W15" s="17">
        <f t="shared" si="7"/>
        <v>0</v>
      </c>
      <c r="X15" s="17">
        <f t="shared" si="7"/>
        <v>0</v>
      </c>
      <c r="Y15" s="17">
        <f t="shared" si="7"/>
        <v>49</v>
      </c>
      <c r="Z15" s="17">
        <f t="shared" si="7"/>
        <v>8</v>
      </c>
      <c r="AA15" s="17">
        <f t="shared" si="7"/>
        <v>17</v>
      </c>
      <c r="AB15" s="17">
        <f t="shared" si="7"/>
        <v>0</v>
      </c>
      <c r="AC15" s="17">
        <f t="shared" si="7"/>
        <v>349</v>
      </c>
      <c r="AD15" s="17">
        <f t="shared" si="7"/>
        <v>0</v>
      </c>
      <c r="AE15" s="31">
        <f t="shared" si="7"/>
        <v>407</v>
      </c>
      <c r="AF15" s="31">
        <f t="shared" si="7"/>
        <v>756</v>
      </c>
    </row>
    <row r="16" spans="2:32" ht="23.1" customHeight="1" x14ac:dyDescent="0.25">
      <c r="B16" s="45" t="s">
        <v>43</v>
      </c>
      <c r="C16" s="50">
        <v>67</v>
      </c>
      <c r="D16" s="50">
        <v>5</v>
      </c>
      <c r="E16" s="50">
        <v>4</v>
      </c>
      <c r="F16" s="50">
        <v>46</v>
      </c>
      <c r="G16" s="50">
        <v>0</v>
      </c>
      <c r="H16" s="50">
        <v>2</v>
      </c>
      <c r="I16" s="50">
        <v>18</v>
      </c>
      <c r="J16" s="50">
        <v>4</v>
      </c>
      <c r="K16" s="50">
        <v>3</v>
      </c>
      <c r="L16" s="50">
        <v>0</v>
      </c>
      <c r="M16" s="50">
        <v>182</v>
      </c>
      <c r="N16" s="50">
        <v>0</v>
      </c>
      <c r="O16" s="15">
        <f t="shared" si="0"/>
        <v>149</v>
      </c>
      <c r="P16" s="15">
        <f t="shared" si="1"/>
        <v>331</v>
      </c>
      <c r="R16" s="1" t="s">
        <v>12</v>
      </c>
      <c r="S16" s="17">
        <f t="shared" ref="S16:AF16" si="8">SUM(C34:C37)</f>
        <v>172</v>
      </c>
      <c r="T16" s="17">
        <f t="shared" si="8"/>
        <v>35</v>
      </c>
      <c r="U16" s="17">
        <f t="shared" si="8"/>
        <v>23</v>
      </c>
      <c r="V16" s="17">
        <f t="shared" si="8"/>
        <v>137</v>
      </c>
      <c r="W16" s="17">
        <f t="shared" si="8"/>
        <v>2</v>
      </c>
      <c r="X16" s="17">
        <f t="shared" si="8"/>
        <v>3</v>
      </c>
      <c r="Y16" s="17">
        <f t="shared" si="8"/>
        <v>60</v>
      </c>
      <c r="Z16" s="17">
        <f t="shared" si="8"/>
        <v>4</v>
      </c>
      <c r="AA16" s="17">
        <f t="shared" si="8"/>
        <v>11</v>
      </c>
      <c r="AB16" s="17">
        <f t="shared" si="8"/>
        <v>1</v>
      </c>
      <c r="AC16" s="17">
        <f t="shared" si="8"/>
        <v>371</v>
      </c>
      <c r="AD16" s="17">
        <f t="shared" si="8"/>
        <v>0</v>
      </c>
      <c r="AE16" s="31">
        <f t="shared" si="8"/>
        <v>448</v>
      </c>
      <c r="AF16" s="31">
        <f t="shared" si="8"/>
        <v>819</v>
      </c>
    </row>
    <row r="17" spans="2:32" ht="23.1" customHeight="1" x14ac:dyDescent="0.25">
      <c r="B17" s="45" t="s">
        <v>44</v>
      </c>
      <c r="C17" s="50">
        <v>63</v>
      </c>
      <c r="D17" s="50">
        <v>11</v>
      </c>
      <c r="E17" s="50">
        <v>5</v>
      </c>
      <c r="F17" s="50">
        <v>34</v>
      </c>
      <c r="G17" s="50">
        <v>0</v>
      </c>
      <c r="H17" s="50">
        <v>0</v>
      </c>
      <c r="I17" s="50">
        <v>17</v>
      </c>
      <c r="J17" s="50">
        <v>4</v>
      </c>
      <c r="K17" s="50">
        <v>4</v>
      </c>
      <c r="L17" s="50">
        <v>0</v>
      </c>
      <c r="M17" s="50">
        <v>143</v>
      </c>
      <c r="N17" s="50">
        <v>0</v>
      </c>
      <c r="O17" s="15">
        <f t="shared" si="0"/>
        <v>138</v>
      </c>
      <c r="P17" s="15">
        <f t="shared" si="1"/>
        <v>281</v>
      </c>
      <c r="R17" s="1" t="s">
        <v>13</v>
      </c>
      <c r="S17" s="17">
        <f t="shared" ref="S17:AF17" si="9">SUM(C38:C41)</f>
        <v>167</v>
      </c>
      <c r="T17" s="17">
        <f t="shared" si="9"/>
        <v>23</v>
      </c>
      <c r="U17" s="17">
        <f t="shared" si="9"/>
        <v>23</v>
      </c>
      <c r="V17" s="17">
        <f t="shared" si="9"/>
        <v>110</v>
      </c>
      <c r="W17" s="17">
        <f t="shared" si="9"/>
        <v>0</v>
      </c>
      <c r="X17" s="17">
        <f t="shared" si="9"/>
        <v>0</v>
      </c>
      <c r="Y17" s="17">
        <f t="shared" si="9"/>
        <v>45</v>
      </c>
      <c r="Z17" s="17">
        <f t="shared" si="9"/>
        <v>4</v>
      </c>
      <c r="AA17" s="17">
        <f t="shared" si="9"/>
        <v>3</v>
      </c>
      <c r="AB17" s="17">
        <f t="shared" si="9"/>
        <v>0</v>
      </c>
      <c r="AC17" s="17">
        <f t="shared" si="9"/>
        <v>243</v>
      </c>
      <c r="AD17" s="17">
        <f t="shared" si="9"/>
        <v>0</v>
      </c>
      <c r="AE17" s="31">
        <f t="shared" si="9"/>
        <v>375</v>
      </c>
      <c r="AF17" s="31">
        <f t="shared" si="9"/>
        <v>618</v>
      </c>
    </row>
    <row r="18" spans="2:32" ht="23.1" customHeight="1" x14ac:dyDescent="0.25">
      <c r="B18" s="45" t="s">
        <v>45</v>
      </c>
      <c r="C18" s="50">
        <v>56</v>
      </c>
      <c r="D18" s="50">
        <v>8</v>
      </c>
      <c r="E18" s="50">
        <v>4</v>
      </c>
      <c r="F18" s="50">
        <v>43</v>
      </c>
      <c r="G18" s="50">
        <v>1</v>
      </c>
      <c r="H18" s="50">
        <v>0</v>
      </c>
      <c r="I18" s="50">
        <v>14</v>
      </c>
      <c r="J18" s="50">
        <v>2</v>
      </c>
      <c r="K18" s="50">
        <v>6</v>
      </c>
      <c r="L18" s="50">
        <v>0</v>
      </c>
      <c r="M18" s="50">
        <v>141</v>
      </c>
      <c r="N18" s="50">
        <v>0</v>
      </c>
      <c r="O18" s="15">
        <f t="shared" si="0"/>
        <v>134</v>
      </c>
      <c r="P18" s="15">
        <f t="shared" si="1"/>
        <v>275</v>
      </c>
      <c r="R18" s="1" t="s">
        <v>14</v>
      </c>
      <c r="S18" s="17">
        <f t="shared" ref="S18:AF18" si="10">SUM(C42:C45)</f>
        <v>194</v>
      </c>
      <c r="T18" s="17">
        <f t="shared" si="10"/>
        <v>22</v>
      </c>
      <c r="U18" s="17">
        <f t="shared" si="10"/>
        <v>29</v>
      </c>
      <c r="V18" s="17">
        <f t="shared" si="10"/>
        <v>129</v>
      </c>
      <c r="W18" s="17">
        <f t="shared" si="10"/>
        <v>2</v>
      </c>
      <c r="X18" s="17">
        <f t="shared" si="10"/>
        <v>0</v>
      </c>
      <c r="Y18" s="17">
        <f t="shared" si="10"/>
        <v>43</v>
      </c>
      <c r="Z18" s="17">
        <f t="shared" si="10"/>
        <v>8</v>
      </c>
      <c r="AA18" s="17">
        <f t="shared" si="10"/>
        <v>17</v>
      </c>
      <c r="AB18" s="17">
        <f t="shared" si="10"/>
        <v>0</v>
      </c>
      <c r="AC18" s="17">
        <f t="shared" si="10"/>
        <v>248</v>
      </c>
      <c r="AD18" s="17">
        <f t="shared" si="10"/>
        <v>0</v>
      </c>
      <c r="AE18" s="31">
        <f t="shared" si="10"/>
        <v>444</v>
      </c>
      <c r="AF18" s="31">
        <f t="shared" si="10"/>
        <v>692</v>
      </c>
    </row>
    <row r="19" spans="2:32" ht="23.1" customHeight="1" x14ac:dyDescent="0.25">
      <c r="B19" s="45" t="s">
        <v>46</v>
      </c>
      <c r="C19" s="50">
        <v>61</v>
      </c>
      <c r="D19" s="50">
        <v>7</v>
      </c>
      <c r="E19" s="50">
        <v>9</v>
      </c>
      <c r="F19" s="50">
        <v>34</v>
      </c>
      <c r="G19" s="50">
        <v>2</v>
      </c>
      <c r="H19" s="50">
        <v>0</v>
      </c>
      <c r="I19" s="50">
        <v>18</v>
      </c>
      <c r="J19" s="50">
        <v>1</v>
      </c>
      <c r="K19" s="50">
        <v>0</v>
      </c>
      <c r="L19" s="50">
        <v>0</v>
      </c>
      <c r="M19" s="50">
        <v>137</v>
      </c>
      <c r="N19" s="50">
        <v>0</v>
      </c>
      <c r="O19" s="15">
        <f t="shared" si="0"/>
        <v>132</v>
      </c>
      <c r="P19" s="15">
        <f t="shared" si="1"/>
        <v>269</v>
      </c>
      <c r="R19" s="1" t="s">
        <v>15</v>
      </c>
      <c r="S19" s="17">
        <f t="shared" ref="S19:AF19" si="11">SUM(C46:C49)</f>
        <v>209</v>
      </c>
      <c r="T19" s="17">
        <f t="shared" si="11"/>
        <v>35</v>
      </c>
      <c r="U19" s="17">
        <f t="shared" si="11"/>
        <v>36</v>
      </c>
      <c r="V19" s="17">
        <f t="shared" si="11"/>
        <v>133</v>
      </c>
      <c r="W19" s="17">
        <f t="shared" si="11"/>
        <v>6</v>
      </c>
      <c r="X19" s="17">
        <f t="shared" si="11"/>
        <v>6</v>
      </c>
      <c r="Y19" s="17">
        <f t="shared" si="11"/>
        <v>42</v>
      </c>
      <c r="Z19" s="17">
        <f t="shared" si="11"/>
        <v>13</v>
      </c>
      <c r="AA19" s="17">
        <f t="shared" si="11"/>
        <v>14</v>
      </c>
      <c r="AB19" s="17">
        <f t="shared" si="11"/>
        <v>0</v>
      </c>
      <c r="AC19" s="17">
        <f t="shared" si="11"/>
        <v>321</v>
      </c>
      <c r="AD19" s="17">
        <f t="shared" si="11"/>
        <v>0</v>
      </c>
      <c r="AE19" s="31">
        <f t="shared" si="11"/>
        <v>494</v>
      </c>
      <c r="AF19" s="31">
        <f t="shared" si="11"/>
        <v>815</v>
      </c>
    </row>
    <row r="20" spans="2:32" ht="23.1" customHeight="1" x14ac:dyDescent="0.25">
      <c r="B20" s="45" t="s">
        <v>47</v>
      </c>
      <c r="C20" s="50">
        <v>62</v>
      </c>
      <c r="D20" s="50">
        <v>6</v>
      </c>
      <c r="E20" s="50">
        <v>1</v>
      </c>
      <c r="F20" s="50">
        <v>32</v>
      </c>
      <c r="G20" s="50">
        <v>1</v>
      </c>
      <c r="H20" s="50">
        <v>0</v>
      </c>
      <c r="I20" s="50">
        <v>8</v>
      </c>
      <c r="J20" s="50">
        <v>1</v>
      </c>
      <c r="K20" s="50">
        <v>4</v>
      </c>
      <c r="L20" s="50">
        <v>0</v>
      </c>
      <c r="M20" s="50">
        <v>133</v>
      </c>
      <c r="N20" s="50">
        <v>0</v>
      </c>
      <c r="O20" s="15">
        <f t="shared" si="0"/>
        <v>115</v>
      </c>
      <c r="P20" s="15">
        <f t="shared" si="1"/>
        <v>248</v>
      </c>
      <c r="R20" s="1" t="s">
        <v>16</v>
      </c>
      <c r="S20" s="17">
        <f t="shared" ref="S20:AF20" si="12">SUM(C50:C53)</f>
        <v>219</v>
      </c>
      <c r="T20" s="17">
        <f t="shared" si="12"/>
        <v>38</v>
      </c>
      <c r="U20" s="17">
        <f t="shared" si="12"/>
        <v>36</v>
      </c>
      <c r="V20" s="17">
        <f t="shared" si="12"/>
        <v>530</v>
      </c>
      <c r="W20" s="17">
        <f t="shared" si="12"/>
        <v>0</v>
      </c>
      <c r="X20" s="17">
        <f t="shared" si="12"/>
        <v>2</v>
      </c>
      <c r="Y20" s="17">
        <f t="shared" si="12"/>
        <v>26</v>
      </c>
      <c r="Z20" s="17">
        <f t="shared" si="12"/>
        <v>27</v>
      </c>
      <c r="AA20" s="17">
        <f t="shared" si="12"/>
        <v>8</v>
      </c>
      <c r="AB20" s="17">
        <f t="shared" si="12"/>
        <v>6</v>
      </c>
      <c r="AC20" s="17">
        <f t="shared" si="12"/>
        <v>400</v>
      </c>
      <c r="AD20" s="17">
        <f t="shared" si="12"/>
        <v>0</v>
      </c>
      <c r="AE20" s="31">
        <f t="shared" si="12"/>
        <v>892</v>
      </c>
      <c r="AF20" s="31">
        <f t="shared" si="12"/>
        <v>1292</v>
      </c>
    </row>
    <row r="21" spans="2:32" ht="23.1" customHeight="1" x14ac:dyDescent="0.25">
      <c r="B21" s="45" t="s">
        <v>48</v>
      </c>
      <c r="C21" s="50">
        <v>50</v>
      </c>
      <c r="D21" s="50">
        <v>7</v>
      </c>
      <c r="E21" s="50">
        <v>3</v>
      </c>
      <c r="F21" s="50">
        <v>34</v>
      </c>
      <c r="G21" s="50">
        <v>0</v>
      </c>
      <c r="H21" s="50">
        <v>0</v>
      </c>
      <c r="I21" s="50">
        <v>12</v>
      </c>
      <c r="J21" s="50">
        <v>2</v>
      </c>
      <c r="K21" s="50">
        <v>1</v>
      </c>
      <c r="L21" s="50">
        <v>0</v>
      </c>
      <c r="M21" s="50">
        <v>125</v>
      </c>
      <c r="N21" s="50">
        <v>0</v>
      </c>
      <c r="O21" s="15">
        <f t="shared" si="0"/>
        <v>109</v>
      </c>
      <c r="P21" s="15">
        <f t="shared" si="1"/>
        <v>234</v>
      </c>
      <c r="R21" s="36" t="s">
        <v>20</v>
      </c>
      <c r="S21" s="34">
        <f t="shared" ref="S21:AF21" si="13">SUM(C54:C57)</f>
        <v>205</v>
      </c>
      <c r="T21" s="17">
        <f t="shared" si="13"/>
        <v>30</v>
      </c>
      <c r="U21" s="17">
        <f t="shared" si="13"/>
        <v>32</v>
      </c>
      <c r="V21" s="17">
        <f t="shared" si="13"/>
        <v>156</v>
      </c>
      <c r="W21" s="17">
        <f t="shared" si="13"/>
        <v>7</v>
      </c>
      <c r="X21" s="17">
        <f t="shared" si="13"/>
        <v>0</v>
      </c>
      <c r="Y21" s="17">
        <f t="shared" si="13"/>
        <v>59</v>
      </c>
      <c r="Z21" s="17">
        <f t="shared" si="13"/>
        <v>11</v>
      </c>
      <c r="AA21" s="17">
        <f t="shared" si="13"/>
        <v>10</v>
      </c>
      <c r="AB21" s="17">
        <f t="shared" si="13"/>
        <v>3</v>
      </c>
      <c r="AC21" s="17">
        <f t="shared" si="13"/>
        <v>402</v>
      </c>
      <c r="AD21" s="17">
        <f t="shared" si="13"/>
        <v>0</v>
      </c>
      <c r="AE21" s="31">
        <f t="shared" si="13"/>
        <v>513</v>
      </c>
      <c r="AF21" s="31">
        <f t="shared" si="13"/>
        <v>915</v>
      </c>
    </row>
    <row r="22" spans="2:32" ht="23.1" customHeight="1" x14ac:dyDescent="0.25">
      <c r="B22" s="45" t="s">
        <v>49</v>
      </c>
      <c r="C22" s="50">
        <v>64</v>
      </c>
      <c r="D22" s="50">
        <v>5</v>
      </c>
      <c r="E22" s="50">
        <v>6</v>
      </c>
      <c r="F22" s="50">
        <v>33</v>
      </c>
      <c r="G22" s="50">
        <v>0</v>
      </c>
      <c r="H22" s="50">
        <v>0</v>
      </c>
      <c r="I22" s="50">
        <v>6</v>
      </c>
      <c r="J22" s="50">
        <v>1</v>
      </c>
      <c r="K22" s="50">
        <v>1</v>
      </c>
      <c r="L22" s="50">
        <v>0</v>
      </c>
      <c r="M22" s="50">
        <v>132</v>
      </c>
      <c r="N22" s="50">
        <v>0</v>
      </c>
      <c r="O22" s="15">
        <f t="shared" si="0"/>
        <v>116</v>
      </c>
      <c r="P22" s="15">
        <f t="shared" si="1"/>
        <v>248</v>
      </c>
      <c r="R22" s="36" t="s">
        <v>146</v>
      </c>
      <c r="S22" s="34">
        <f>SUM(C58:C61)</f>
        <v>164</v>
      </c>
      <c r="T22" s="34">
        <f t="shared" ref="T22:AF22" si="14">SUM(D58:D61)</f>
        <v>29</v>
      </c>
      <c r="U22" s="34">
        <f t="shared" si="14"/>
        <v>26</v>
      </c>
      <c r="V22" s="34">
        <f t="shared" si="14"/>
        <v>168</v>
      </c>
      <c r="W22" s="34">
        <f t="shared" si="14"/>
        <v>10</v>
      </c>
      <c r="X22" s="34">
        <f t="shared" si="14"/>
        <v>0</v>
      </c>
      <c r="Y22" s="34">
        <f t="shared" si="14"/>
        <v>40</v>
      </c>
      <c r="Z22" s="34">
        <f t="shared" si="14"/>
        <v>11</v>
      </c>
      <c r="AA22" s="34">
        <f t="shared" si="14"/>
        <v>1</v>
      </c>
      <c r="AB22" s="34">
        <f t="shared" si="14"/>
        <v>2</v>
      </c>
      <c r="AC22" s="34">
        <f t="shared" si="14"/>
        <v>365</v>
      </c>
      <c r="AD22" s="34">
        <f t="shared" si="14"/>
        <v>0</v>
      </c>
      <c r="AE22" s="31">
        <f t="shared" si="14"/>
        <v>451</v>
      </c>
      <c r="AF22" s="31">
        <f t="shared" si="14"/>
        <v>816</v>
      </c>
    </row>
    <row r="23" spans="2:32" ht="23.1" customHeight="1" x14ac:dyDescent="0.25">
      <c r="B23" s="45" t="s">
        <v>50</v>
      </c>
      <c r="C23" s="50">
        <v>53</v>
      </c>
      <c r="D23" s="50">
        <v>15</v>
      </c>
      <c r="E23" s="50">
        <v>7</v>
      </c>
      <c r="F23" s="50">
        <v>39</v>
      </c>
      <c r="G23" s="50">
        <v>1</v>
      </c>
      <c r="H23" s="50">
        <v>0</v>
      </c>
      <c r="I23" s="50">
        <v>8</v>
      </c>
      <c r="J23" s="50">
        <v>1</v>
      </c>
      <c r="K23" s="50">
        <v>2</v>
      </c>
      <c r="L23" s="50">
        <v>0</v>
      </c>
      <c r="M23" s="50">
        <v>127</v>
      </c>
      <c r="N23" s="50">
        <v>0</v>
      </c>
      <c r="O23" s="15">
        <f t="shared" si="0"/>
        <v>126</v>
      </c>
      <c r="P23" s="15">
        <f t="shared" si="1"/>
        <v>253</v>
      </c>
      <c r="R23" s="36" t="s">
        <v>147</v>
      </c>
      <c r="S23" s="34">
        <f>SUM(C62:C65)</f>
        <v>149</v>
      </c>
      <c r="T23" s="34">
        <f t="shared" ref="T23:AF23" si="15">SUM(D62:D65)</f>
        <v>25</v>
      </c>
      <c r="U23" s="34">
        <f t="shared" si="15"/>
        <v>18</v>
      </c>
      <c r="V23" s="34">
        <f t="shared" si="15"/>
        <v>157</v>
      </c>
      <c r="W23" s="34">
        <f t="shared" si="15"/>
        <v>15</v>
      </c>
      <c r="X23" s="34">
        <f t="shared" si="15"/>
        <v>0</v>
      </c>
      <c r="Y23" s="34">
        <f t="shared" si="15"/>
        <v>36</v>
      </c>
      <c r="Z23" s="34">
        <f t="shared" si="15"/>
        <v>4</v>
      </c>
      <c r="AA23" s="34">
        <f t="shared" si="15"/>
        <v>6</v>
      </c>
      <c r="AB23" s="34">
        <f t="shared" si="15"/>
        <v>2</v>
      </c>
      <c r="AC23" s="34">
        <f t="shared" si="15"/>
        <v>234</v>
      </c>
      <c r="AD23" s="34">
        <f t="shared" si="15"/>
        <v>0</v>
      </c>
      <c r="AE23" s="31">
        <f t="shared" si="15"/>
        <v>412</v>
      </c>
      <c r="AF23" s="31">
        <f t="shared" si="15"/>
        <v>646</v>
      </c>
    </row>
    <row r="24" spans="2:32" ht="23.1" customHeight="1" x14ac:dyDescent="0.25">
      <c r="B24" s="45" t="s">
        <v>51</v>
      </c>
      <c r="C24" s="50">
        <v>56</v>
      </c>
      <c r="D24" s="50">
        <v>10</v>
      </c>
      <c r="E24" s="50">
        <v>7</v>
      </c>
      <c r="F24" s="50">
        <v>39</v>
      </c>
      <c r="G24" s="50">
        <v>2</v>
      </c>
      <c r="H24" s="50">
        <v>0</v>
      </c>
      <c r="I24" s="50">
        <v>8</v>
      </c>
      <c r="J24" s="50">
        <v>4</v>
      </c>
      <c r="K24" s="50">
        <v>3</v>
      </c>
      <c r="L24" s="50">
        <v>0</v>
      </c>
      <c r="M24" s="50">
        <v>133</v>
      </c>
      <c r="N24" s="50">
        <v>0</v>
      </c>
      <c r="O24" s="15">
        <f t="shared" si="0"/>
        <v>129</v>
      </c>
      <c r="P24" s="15">
        <f t="shared" si="1"/>
        <v>262</v>
      </c>
      <c r="R24" s="36" t="s">
        <v>148</v>
      </c>
      <c r="S24" s="34">
        <f>SUM(C66:C69)</f>
        <v>94</v>
      </c>
      <c r="T24" s="34">
        <f t="shared" ref="T24:AF24" si="16">SUM(D66:D69)</f>
        <v>18</v>
      </c>
      <c r="U24" s="34">
        <f t="shared" si="16"/>
        <v>16</v>
      </c>
      <c r="V24" s="34">
        <f t="shared" si="16"/>
        <v>129</v>
      </c>
      <c r="W24" s="34">
        <f t="shared" si="16"/>
        <v>7</v>
      </c>
      <c r="X24" s="34">
        <f t="shared" si="16"/>
        <v>0</v>
      </c>
      <c r="Y24" s="34">
        <f t="shared" si="16"/>
        <v>28</v>
      </c>
      <c r="Z24" s="34">
        <f t="shared" si="16"/>
        <v>5</v>
      </c>
      <c r="AA24" s="34">
        <f t="shared" si="16"/>
        <v>0</v>
      </c>
      <c r="AB24" s="34">
        <f t="shared" si="16"/>
        <v>0</v>
      </c>
      <c r="AC24" s="34">
        <f t="shared" si="16"/>
        <v>157</v>
      </c>
      <c r="AD24" s="34">
        <f t="shared" si="16"/>
        <v>0</v>
      </c>
      <c r="AE24" s="31">
        <f t="shared" si="16"/>
        <v>297</v>
      </c>
      <c r="AF24" s="31">
        <f t="shared" si="16"/>
        <v>454</v>
      </c>
    </row>
    <row r="25" spans="2:32" ht="23.1" customHeight="1" x14ac:dyDescent="0.25">
      <c r="B25" s="45" t="s">
        <v>52</v>
      </c>
      <c r="C25" s="50">
        <v>44</v>
      </c>
      <c r="D25" s="50">
        <v>4</v>
      </c>
      <c r="E25" s="50">
        <v>10</v>
      </c>
      <c r="F25" s="50">
        <v>41</v>
      </c>
      <c r="G25" s="50">
        <v>1</v>
      </c>
      <c r="H25" s="50">
        <v>0</v>
      </c>
      <c r="I25" s="50">
        <v>7</v>
      </c>
      <c r="J25" s="50">
        <v>0</v>
      </c>
      <c r="K25" s="50">
        <v>2</v>
      </c>
      <c r="L25" s="50">
        <v>1</v>
      </c>
      <c r="M25" s="50">
        <v>98</v>
      </c>
      <c r="N25" s="50">
        <v>0</v>
      </c>
      <c r="O25" s="15">
        <f t="shared" si="0"/>
        <v>110</v>
      </c>
      <c r="P25" s="15">
        <f t="shared" si="1"/>
        <v>208</v>
      </c>
      <c r="R25" s="36" t="s">
        <v>149</v>
      </c>
      <c r="S25" s="34">
        <f>SUM(C70:C73)</f>
        <v>72</v>
      </c>
      <c r="T25" s="34">
        <f t="shared" ref="T25:AF25" si="17">SUM(D70:D73)</f>
        <v>14</v>
      </c>
      <c r="U25" s="34">
        <f t="shared" si="17"/>
        <v>16</v>
      </c>
      <c r="V25" s="34">
        <f t="shared" si="17"/>
        <v>100</v>
      </c>
      <c r="W25" s="34">
        <f t="shared" si="17"/>
        <v>4</v>
      </c>
      <c r="X25" s="34">
        <f t="shared" si="17"/>
        <v>0</v>
      </c>
      <c r="Y25" s="34">
        <f t="shared" si="17"/>
        <v>16</v>
      </c>
      <c r="Z25" s="34">
        <f t="shared" si="17"/>
        <v>3</v>
      </c>
      <c r="AA25" s="34">
        <f t="shared" si="17"/>
        <v>3</v>
      </c>
      <c r="AB25" s="34">
        <f t="shared" si="17"/>
        <v>0</v>
      </c>
      <c r="AC25" s="34">
        <f t="shared" si="17"/>
        <v>105</v>
      </c>
      <c r="AD25" s="34">
        <f t="shared" si="17"/>
        <v>0</v>
      </c>
      <c r="AE25" s="31">
        <f t="shared" si="17"/>
        <v>228</v>
      </c>
      <c r="AF25" s="31">
        <f t="shared" si="17"/>
        <v>333</v>
      </c>
    </row>
    <row r="26" spans="2:32" ht="23.1" customHeight="1" x14ac:dyDescent="0.25">
      <c r="B26" s="45" t="s">
        <v>53</v>
      </c>
      <c r="C26" s="50">
        <v>60</v>
      </c>
      <c r="D26" s="50">
        <v>5</v>
      </c>
      <c r="E26" s="50">
        <v>5</v>
      </c>
      <c r="F26" s="50">
        <v>37</v>
      </c>
      <c r="G26" s="50">
        <v>0</v>
      </c>
      <c r="H26" s="50">
        <v>0</v>
      </c>
      <c r="I26" s="50">
        <v>12</v>
      </c>
      <c r="J26" s="50">
        <v>1</v>
      </c>
      <c r="K26" s="50">
        <v>4</v>
      </c>
      <c r="L26" s="50">
        <v>0</v>
      </c>
      <c r="M26" s="50">
        <v>120</v>
      </c>
      <c r="N26" s="50">
        <v>0</v>
      </c>
      <c r="O26" s="15">
        <f t="shared" si="0"/>
        <v>124</v>
      </c>
      <c r="P26" s="15">
        <f t="shared" si="1"/>
        <v>244</v>
      </c>
      <c r="R26" s="36" t="s">
        <v>150</v>
      </c>
      <c r="S26" s="34">
        <f>SUM(C74:C77)</f>
        <v>42</v>
      </c>
      <c r="T26" s="34">
        <f t="shared" ref="T26:AF26" si="18">SUM(D74:D77)</f>
        <v>5</v>
      </c>
      <c r="U26" s="34">
        <f t="shared" si="18"/>
        <v>9</v>
      </c>
      <c r="V26" s="34">
        <f t="shared" si="18"/>
        <v>37</v>
      </c>
      <c r="W26" s="34">
        <f t="shared" si="18"/>
        <v>0</v>
      </c>
      <c r="X26" s="34">
        <f t="shared" si="18"/>
        <v>0</v>
      </c>
      <c r="Y26" s="34">
        <f t="shared" si="18"/>
        <v>18</v>
      </c>
      <c r="Z26" s="34">
        <f t="shared" si="18"/>
        <v>2</v>
      </c>
      <c r="AA26" s="34">
        <f t="shared" si="18"/>
        <v>2</v>
      </c>
      <c r="AB26" s="34">
        <f t="shared" si="18"/>
        <v>0</v>
      </c>
      <c r="AC26" s="34">
        <f t="shared" si="18"/>
        <v>41</v>
      </c>
      <c r="AD26" s="34">
        <f t="shared" si="18"/>
        <v>0</v>
      </c>
      <c r="AE26" s="31">
        <f t="shared" si="18"/>
        <v>115</v>
      </c>
      <c r="AF26" s="31">
        <f t="shared" si="18"/>
        <v>156</v>
      </c>
    </row>
    <row r="27" spans="2:32" ht="23.1" customHeight="1" x14ac:dyDescent="0.25">
      <c r="B27" s="45" t="s">
        <v>54</v>
      </c>
      <c r="C27" s="50">
        <v>40</v>
      </c>
      <c r="D27" s="50">
        <v>6</v>
      </c>
      <c r="E27" s="50">
        <v>5</v>
      </c>
      <c r="F27" s="50">
        <v>32</v>
      </c>
      <c r="G27" s="50">
        <v>0</v>
      </c>
      <c r="H27" s="50">
        <v>0</v>
      </c>
      <c r="I27" s="50">
        <v>8</v>
      </c>
      <c r="J27" s="50">
        <v>1</v>
      </c>
      <c r="K27" s="50">
        <v>4</v>
      </c>
      <c r="L27" s="50">
        <v>0</v>
      </c>
      <c r="M27" s="50">
        <v>112</v>
      </c>
      <c r="N27" s="50">
        <v>0</v>
      </c>
      <c r="O27" s="15">
        <f t="shared" si="0"/>
        <v>96</v>
      </c>
      <c r="P27" s="15">
        <f t="shared" si="1"/>
        <v>208</v>
      </c>
      <c r="R27" s="36" t="s">
        <v>151</v>
      </c>
      <c r="S27" s="34">
        <f>SUM(C78:C81)</f>
        <v>34</v>
      </c>
      <c r="T27" s="34">
        <f t="shared" ref="T27:AF27" si="19">SUM(D78:D81)</f>
        <v>4</v>
      </c>
      <c r="U27" s="34">
        <f t="shared" si="19"/>
        <v>3</v>
      </c>
      <c r="V27" s="34">
        <f t="shared" si="19"/>
        <v>15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3</v>
      </c>
      <c r="AA27" s="34">
        <f t="shared" si="19"/>
        <v>0</v>
      </c>
      <c r="AB27" s="34">
        <f t="shared" si="19"/>
        <v>0</v>
      </c>
      <c r="AC27" s="34">
        <f t="shared" si="19"/>
        <v>13</v>
      </c>
      <c r="AD27" s="34">
        <f t="shared" si="19"/>
        <v>0</v>
      </c>
      <c r="AE27" s="31">
        <f t="shared" si="19"/>
        <v>61</v>
      </c>
      <c r="AF27" s="31">
        <f t="shared" si="19"/>
        <v>74</v>
      </c>
    </row>
    <row r="28" spans="2:32" ht="23.1" customHeight="1" x14ac:dyDescent="0.25">
      <c r="B28" s="45" t="s">
        <v>55</v>
      </c>
      <c r="C28" s="50">
        <v>37</v>
      </c>
      <c r="D28" s="50">
        <v>5</v>
      </c>
      <c r="E28" s="50">
        <v>8</v>
      </c>
      <c r="F28" s="50">
        <v>35</v>
      </c>
      <c r="G28" s="50">
        <v>1</v>
      </c>
      <c r="H28" s="50">
        <v>0</v>
      </c>
      <c r="I28" s="50">
        <v>9</v>
      </c>
      <c r="J28" s="50">
        <v>1</v>
      </c>
      <c r="K28" s="50">
        <v>4</v>
      </c>
      <c r="L28" s="50">
        <v>0</v>
      </c>
      <c r="M28" s="50">
        <v>113</v>
      </c>
      <c r="N28" s="50">
        <v>0</v>
      </c>
      <c r="O28" s="15">
        <f t="shared" si="0"/>
        <v>100</v>
      </c>
      <c r="P28" s="15">
        <f t="shared" si="1"/>
        <v>213</v>
      </c>
      <c r="R28" s="36" t="s">
        <v>152</v>
      </c>
      <c r="S28" s="34">
        <f>SUM(C82:C85)</f>
        <v>9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6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0</v>
      </c>
      <c r="AA28" s="34">
        <f t="shared" si="20"/>
        <v>1</v>
      </c>
      <c r="AB28" s="34">
        <f t="shared" si="20"/>
        <v>0</v>
      </c>
      <c r="AC28" s="34">
        <f t="shared" si="20"/>
        <v>26</v>
      </c>
      <c r="AD28" s="34">
        <f t="shared" si="20"/>
        <v>0</v>
      </c>
      <c r="AE28" s="31">
        <f t="shared" si="20"/>
        <v>21</v>
      </c>
      <c r="AF28" s="31">
        <f t="shared" si="20"/>
        <v>47</v>
      </c>
    </row>
    <row r="29" spans="2:32" ht="23.1" customHeight="1" x14ac:dyDescent="0.25">
      <c r="B29" s="45" t="s">
        <v>56</v>
      </c>
      <c r="C29" s="50">
        <v>35</v>
      </c>
      <c r="D29" s="50">
        <v>7</v>
      </c>
      <c r="E29" s="50">
        <v>5</v>
      </c>
      <c r="F29" s="50">
        <v>30</v>
      </c>
      <c r="G29" s="50">
        <v>0</v>
      </c>
      <c r="H29" s="50">
        <v>0</v>
      </c>
      <c r="I29" s="50">
        <v>11</v>
      </c>
      <c r="J29" s="50">
        <v>3</v>
      </c>
      <c r="K29" s="50">
        <v>6</v>
      </c>
      <c r="L29" s="50">
        <v>1</v>
      </c>
      <c r="M29" s="50">
        <v>125</v>
      </c>
      <c r="N29" s="50">
        <v>0</v>
      </c>
      <c r="O29" s="15">
        <f t="shared" si="0"/>
        <v>98</v>
      </c>
      <c r="P29" s="15">
        <f t="shared" si="1"/>
        <v>223</v>
      </c>
      <c r="R29" s="36" t="s">
        <v>153</v>
      </c>
      <c r="S29" s="34">
        <f>SUM(C86:C89)</f>
        <v>6</v>
      </c>
      <c r="T29" s="34">
        <f t="shared" ref="T29:AF29" si="21">SUM(D86:D89)</f>
        <v>3</v>
      </c>
      <c r="U29" s="34">
        <f t="shared" si="21"/>
        <v>2</v>
      </c>
      <c r="V29" s="34">
        <f t="shared" si="21"/>
        <v>5</v>
      </c>
      <c r="W29" s="34">
        <f t="shared" si="21"/>
        <v>0</v>
      </c>
      <c r="X29" s="34">
        <f t="shared" si="21"/>
        <v>0</v>
      </c>
      <c r="Y29" s="34">
        <f t="shared" si="21"/>
        <v>7</v>
      </c>
      <c r="Z29" s="34">
        <f t="shared" si="21"/>
        <v>1</v>
      </c>
      <c r="AA29" s="34">
        <f t="shared" si="21"/>
        <v>1</v>
      </c>
      <c r="AB29" s="34">
        <f t="shared" si="21"/>
        <v>0</v>
      </c>
      <c r="AC29" s="34">
        <f t="shared" si="21"/>
        <v>20</v>
      </c>
      <c r="AD29" s="34">
        <f t="shared" si="21"/>
        <v>0</v>
      </c>
      <c r="AE29" s="31">
        <f t="shared" si="21"/>
        <v>25</v>
      </c>
      <c r="AF29" s="31">
        <f t="shared" si="21"/>
        <v>45</v>
      </c>
    </row>
    <row r="30" spans="2:32" ht="23.1" customHeight="1" x14ac:dyDescent="0.25">
      <c r="B30" s="45" t="s">
        <v>57</v>
      </c>
      <c r="C30" s="50">
        <v>45</v>
      </c>
      <c r="D30" s="50">
        <v>9</v>
      </c>
      <c r="E30" s="50">
        <v>5</v>
      </c>
      <c r="F30" s="50">
        <v>34</v>
      </c>
      <c r="G30" s="50">
        <v>0</v>
      </c>
      <c r="H30" s="50">
        <v>0</v>
      </c>
      <c r="I30" s="50">
        <v>12</v>
      </c>
      <c r="J30" s="50">
        <v>2</v>
      </c>
      <c r="K30" s="50">
        <v>6</v>
      </c>
      <c r="L30" s="50">
        <v>0</v>
      </c>
      <c r="M30" s="50">
        <v>75</v>
      </c>
      <c r="N30" s="50">
        <v>0</v>
      </c>
      <c r="O30" s="15">
        <f t="shared" si="0"/>
        <v>113</v>
      </c>
      <c r="P30" s="15">
        <f t="shared" si="1"/>
        <v>188</v>
      </c>
      <c r="R30" s="36" t="s">
        <v>154</v>
      </c>
      <c r="S30" s="34">
        <f>SUM(C90:C93)</f>
        <v>9</v>
      </c>
      <c r="T30" s="34">
        <f t="shared" ref="T30:AF30" si="22">SUM(D90:D93)</f>
        <v>1</v>
      </c>
      <c r="U30" s="34">
        <f t="shared" si="22"/>
        <v>4</v>
      </c>
      <c r="V30" s="34">
        <f t="shared" si="22"/>
        <v>8</v>
      </c>
      <c r="W30" s="34">
        <f t="shared" si="22"/>
        <v>0</v>
      </c>
      <c r="X30" s="34">
        <f t="shared" si="22"/>
        <v>0</v>
      </c>
      <c r="Y30" s="34">
        <f t="shared" si="22"/>
        <v>4</v>
      </c>
      <c r="Z30" s="34">
        <f t="shared" si="22"/>
        <v>1</v>
      </c>
      <c r="AA30" s="34">
        <f t="shared" si="22"/>
        <v>1</v>
      </c>
      <c r="AB30" s="34">
        <f t="shared" si="22"/>
        <v>0</v>
      </c>
      <c r="AC30" s="34">
        <f t="shared" si="22"/>
        <v>17</v>
      </c>
      <c r="AD30" s="34">
        <f t="shared" si="22"/>
        <v>0</v>
      </c>
      <c r="AE30" s="31">
        <f t="shared" si="22"/>
        <v>28</v>
      </c>
      <c r="AF30" s="31">
        <f t="shared" si="22"/>
        <v>45</v>
      </c>
    </row>
    <row r="31" spans="2:32" ht="23.1" customHeight="1" x14ac:dyDescent="0.25">
      <c r="B31" s="46" t="s">
        <v>58</v>
      </c>
      <c r="C31" s="50">
        <v>53</v>
      </c>
      <c r="D31" s="50">
        <v>6</v>
      </c>
      <c r="E31" s="50">
        <v>7</v>
      </c>
      <c r="F31" s="50">
        <v>33</v>
      </c>
      <c r="G31" s="50">
        <v>0</v>
      </c>
      <c r="H31" s="50">
        <v>0</v>
      </c>
      <c r="I31" s="50">
        <v>11</v>
      </c>
      <c r="J31" s="50">
        <v>0</v>
      </c>
      <c r="K31" s="50">
        <v>2</v>
      </c>
      <c r="L31" s="50">
        <v>0</v>
      </c>
      <c r="M31" s="50">
        <v>74</v>
      </c>
      <c r="N31" s="50">
        <v>0</v>
      </c>
      <c r="O31" s="15">
        <f t="shared" si="0"/>
        <v>112</v>
      </c>
      <c r="P31" s="15">
        <f t="shared" si="1"/>
        <v>186</v>
      </c>
      <c r="R31" s="36" t="s">
        <v>155</v>
      </c>
      <c r="S31" s="34">
        <f>SUM(C94:C97)</f>
        <v>6</v>
      </c>
      <c r="T31" s="34">
        <f t="shared" ref="T31:AF31" si="23">SUM(D94:D97)</f>
        <v>4</v>
      </c>
      <c r="U31" s="34">
        <f t="shared" si="23"/>
        <v>2</v>
      </c>
      <c r="V31" s="34">
        <f t="shared" si="23"/>
        <v>10</v>
      </c>
      <c r="W31" s="34">
        <f t="shared" si="23"/>
        <v>1</v>
      </c>
      <c r="X31" s="34">
        <f t="shared" si="23"/>
        <v>0</v>
      </c>
      <c r="Y31" s="34">
        <f t="shared" si="23"/>
        <v>7</v>
      </c>
      <c r="Z31" s="34">
        <f t="shared" si="23"/>
        <v>2</v>
      </c>
      <c r="AA31" s="34">
        <f t="shared" si="23"/>
        <v>0</v>
      </c>
      <c r="AB31" s="34">
        <f t="shared" si="23"/>
        <v>1</v>
      </c>
      <c r="AC31" s="34">
        <f t="shared" si="23"/>
        <v>23</v>
      </c>
      <c r="AD31" s="34">
        <f t="shared" si="23"/>
        <v>0</v>
      </c>
      <c r="AE31" s="31">
        <f t="shared" si="23"/>
        <v>33</v>
      </c>
      <c r="AF31" s="31">
        <f t="shared" si="23"/>
        <v>56</v>
      </c>
    </row>
    <row r="32" spans="2:32" ht="23.1" customHeight="1" x14ac:dyDescent="0.25">
      <c r="B32" s="46" t="s">
        <v>59</v>
      </c>
      <c r="C32" s="50">
        <v>24</v>
      </c>
      <c r="D32" s="50">
        <v>4</v>
      </c>
      <c r="E32" s="50">
        <v>7</v>
      </c>
      <c r="F32" s="50">
        <v>23</v>
      </c>
      <c r="G32" s="50">
        <v>0</v>
      </c>
      <c r="H32" s="50">
        <v>0</v>
      </c>
      <c r="I32" s="50">
        <v>13</v>
      </c>
      <c r="J32" s="50">
        <v>2</v>
      </c>
      <c r="K32" s="50">
        <v>5</v>
      </c>
      <c r="L32" s="50">
        <v>0</v>
      </c>
      <c r="M32" s="50">
        <v>91</v>
      </c>
      <c r="N32" s="50">
        <v>0</v>
      </c>
      <c r="O32" s="15">
        <f t="shared" si="0"/>
        <v>78</v>
      </c>
      <c r="P32" s="15">
        <f t="shared" si="1"/>
        <v>169</v>
      </c>
      <c r="R32" s="33" t="s">
        <v>156</v>
      </c>
      <c r="S32" s="34">
        <f>SUM(C98:C101)</f>
        <v>68</v>
      </c>
      <c r="T32" s="34">
        <f t="shared" ref="T32:AF32" si="24">SUM(D98:D101)</f>
        <v>7</v>
      </c>
      <c r="U32" s="34">
        <f t="shared" si="24"/>
        <v>7</v>
      </c>
      <c r="V32" s="34">
        <f t="shared" si="24"/>
        <v>71</v>
      </c>
      <c r="W32" s="34">
        <f t="shared" si="24"/>
        <v>4</v>
      </c>
      <c r="X32" s="34">
        <f t="shared" si="24"/>
        <v>0</v>
      </c>
      <c r="Y32" s="34">
        <f t="shared" si="24"/>
        <v>6</v>
      </c>
      <c r="Z32" s="34">
        <f t="shared" si="24"/>
        <v>0</v>
      </c>
      <c r="AA32" s="34">
        <f t="shared" si="24"/>
        <v>3</v>
      </c>
      <c r="AB32" s="34">
        <f t="shared" si="24"/>
        <v>0</v>
      </c>
      <c r="AC32" s="34">
        <f t="shared" si="24"/>
        <v>56</v>
      </c>
      <c r="AD32" s="34">
        <f t="shared" si="24"/>
        <v>0</v>
      </c>
      <c r="AE32" s="31">
        <f t="shared" si="24"/>
        <v>166</v>
      </c>
      <c r="AF32" s="31">
        <f t="shared" si="24"/>
        <v>222</v>
      </c>
    </row>
    <row r="33" spans="2:32" ht="23.1" customHeight="1" x14ac:dyDescent="0.25">
      <c r="B33" s="45" t="s">
        <v>60</v>
      </c>
      <c r="C33" s="50">
        <v>42</v>
      </c>
      <c r="D33" s="50">
        <v>5</v>
      </c>
      <c r="E33" s="50">
        <v>8</v>
      </c>
      <c r="F33" s="50">
        <v>28</v>
      </c>
      <c r="G33" s="50">
        <v>0</v>
      </c>
      <c r="H33" s="50">
        <v>0</v>
      </c>
      <c r="I33" s="50">
        <v>13</v>
      </c>
      <c r="J33" s="50">
        <v>4</v>
      </c>
      <c r="K33" s="50">
        <v>4</v>
      </c>
      <c r="L33" s="50">
        <v>0</v>
      </c>
      <c r="M33" s="50">
        <v>109</v>
      </c>
      <c r="N33" s="50">
        <v>0</v>
      </c>
      <c r="O33" s="15">
        <f t="shared" si="0"/>
        <v>104</v>
      </c>
      <c r="P33" s="15">
        <f t="shared" si="1"/>
        <v>213</v>
      </c>
      <c r="R33" s="33" t="s">
        <v>157</v>
      </c>
      <c r="S33" s="34">
        <f>SUM(C102:C105)</f>
        <v>458</v>
      </c>
      <c r="T33" s="34">
        <f t="shared" ref="T33:AF33" si="25">SUM(D102:D105)</f>
        <v>44</v>
      </c>
      <c r="U33" s="34">
        <f t="shared" si="25"/>
        <v>26</v>
      </c>
      <c r="V33" s="34">
        <f t="shared" si="25"/>
        <v>185</v>
      </c>
      <c r="W33" s="34">
        <f t="shared" si="25"/>
        <v>4</v>
      </c>
      <c r="X33" s="34">
        <f t="shared" si="25"/>
        <v>0</v>
      </c>
      <c r="Y33" s="34">
        <f t="shared" si="25"/>
        <v>9</v>
      </c>
      <c r="Z33" s="34">
        <f t="shared" si="25"/>
        <v>7</v>
      </c>
      <c r="AA33" s="34">
        <f t="shared" si="25"/>
        <v>1</v>
      </c>
      <c r="AB33" s="34">
        <f t="shared" si="25"/>
        <v>0</v>
      </c>
      <c r="AC33" s="34">
        <f t="shared" si="25"/>
        <v>62</v>
      </c>
      <c r="AD33" s="34">
        <f t="shared" si="25"/>
        <v>0</v>
      </c>
      <c r="AE33" s="31">
        <f t="shared" si="25"/>
        <v>734</v>
      </c>
      <c r="AF33" s="31">
        <f t="shared" si="25"/>
        <v>796</v>
      </c>
    </row>
    <row r="34" spans="2:32" ht="23.1" customHeight="1" x14ac:dyDescent="0.25">
      <c r="B34" s="46" t="s">
        <v>61</v>
      </c>
      <c r="C34" s="50">
        <v>38</v>
      </c>
      <c r="D34" s="50">
        <v>12</v>
      </c>
      <c r="E34" s="50">
        <v>4</v>
      </c>
      <c r="F34" s="50">
        <v>36</v>
      </c>
      <c r="G34" s="50">
        <v>0</v>
      </c>
      <c r="H34" s="50">
        <v>1</v>
      </c>
      <c r="I34" s="50">
        <v>18</v>
      </c>
      <c r="J34" s="50">
        <v>3</v>
      </c>
      <c r="K34" s="50">
        <v>1</v>
      </c>
      <c r="L34" s="50">
        <v>1</v>
      </c>
      <c r="M34" s="50">
        <v>90</v>
      </c>
      <c r="N34" s="50">
        <v>0</v>
      </c>
      <c r="O34" s="15">
        <f t="shared" si="0"/>
        <v>114</v>
      </c>
      <c r="P34" s="15">
        <f t="shared" si="1"/>
        <v>204</v>
      </c>
      <c r="R34" s="38" t="s">
        <v>90</v>
      </c>
      <c r="S34" s="39">
        <f t="shared" ref="S34:AF34" si="26">MAX(S10:S12)</f>
        <v>435</v>
      </c>
      <c r="T34" s="39">
        <f t="shared" si="26"/>
        <v>29</v>
      </c>
      <c r="U34" s="39">
        <f t="shared" si="26"/>
        <v>25</v>
      </c>
      <c r="V34" s="39">
        <f t="shared" si="26"/>
        <v>212</v>
      </c>
      <c r="W34" s="39">
        <f t="shared" si="26"/>
        <v>4</v>
      </c>
      <c r="X34" s="39">
        <f t="shared" si="26"/>
        <v>5</v>
      </c>
      <c r="Y34" s="39">
        <f t="shared" si="26"/>
        <v>52</v>
      </c>
      <c r="Z34" s="39">
        <f t="shared" si="26"/>
        <v>8</v>
      </c>
      <c r="AA34" s="39">
        <f t="shared" si="26"/>
        <v>14</v>
      </c>
      <c r="AB34" s="39">
        <f t="shared" si="26"/>
        <v>0</v>
      </c>
      <c r="AC34" s="39">
        <f t="shared" si="26"/>
        <v>708</v>
      </c>
      <c r="AD34" s="39">
        <f t="shared" si="26"/>
        <v>0</v>
      </c>
      <c r="AE34" s="40">
        <f t="shared" si="26"/>
        <v>746</v>
      </c>
      <c r="AF34" s="40">
        <f t="shared" si="26"/>
        <v>1454</v>
      </c>
    </row>
    <row r="35" spans="2:32" ht="23.1" customHeight="1" x14ac:dyDescent="0.25">
      <c r="B35" s="46" t="s">
        <v>62</v>
      </c>
      <c r="C35" s="50">
        <v>37</v>
      </c>
      <c r="D35" s="50">
        <v>7</v>
      </c>
      <c r="E35" s="50">
        <v>6</v>
      </c>
      <c r="F35" s="50">
        <v>40</v>
      </c>
      <c r="G35" s="50">
        <v>0</v>
      </c>
      <c r="H35" s="50">
        <v>0</v>
      </c>
      <c r="I35" s="50">
        <v>12</v>
      </c>
      <c r="J35" s="50">
        <v>0</v>
      </c>
      <c r="K35" s="50">
        <v>4</v>
      </c>
      <c r="L35" s="50">
        <v>0</v>
      </c>
      <c r="M35" s="50">
        <v>100</v>
      </c>
      <c r="N35" s="50">
        <v>0</v>
      </c>
      <c r="O35" s="15">
        <f t="shared" si="0"/>
        <v>106</v>
      </c>
      <c r="P35" s="15">
        <f t="shared" si="1"/>
        <v>206</v>
      </c>
      <c r="R35" s="38" t="s">
        <v>91</v>
      </c>
      <c r="S35" s="39">
        <f t="shared" ref="S35:AF35" si="27">MAX(S13:S18)</f>
        <v>217</v>
      </c>
      <c r="T35" s="39">
        <f t="shared" si="27"/>
        <v>35</v>
      </c>
      <c r="U35" s="39">
        <f t="shared" si="27"/>
        <v>30</v>
      </c>
      <c r="V35" s="39">
        <f t="shared" si="27"/>
        <v>152</v>
      </c>
      <c r="W35" s="39">
        <f t="shared" si="27"/>
        <v>4</v>
      </c>
      <c r="X35" s="39">
        <f t="shared" si="27"/>
        <v>3</v>
      </c>
      <c r="Y35" s="39">
        <f t="shared" si="27"/>
        <v>60</v>
      </c>
      <c r="Z35" s="39">
        <f t="shared" si="27"/>
        <v>8</v>
      </c>
      <c r="AA35" s="39">
        <f t="shared" si="27"/>
        <v>18</v>
      </c>
      <c r="AB35" s="39">
        <f t="shared" si="27"/>
        <v>1</v>
      </c>
      <c r="AC35" s="39">
        <f t="shared" si="27"/>
        <v>490</v>
      </c>
      <c r="AD35" s="39">
        <f t="shared" si="27"/>
        <v>0</v>
      </c>
      <c r="AE35" s="40">
        <f t="shared" si="27"/>
        <v>481</v>
      </c>
      <c r="AF35" s="40">
        <f t="shared" si="27"/>
        <v>971</v>
      </c>
    </row>
    <row r="36" spans="2:32" ht="23.1" customHeight="1" x14ac:dyDescent="0.25">
      <c r="B36" s="46" t="s">
        <v>63</v>
      </c>
      <c r="C36" s="50">
        <v>48</v>
      </c>
      <c r="D36" s="50">
        <v>7</v>
      </c>
      <c r="E36" s="50">
        <v>9</v>
      </c>
      <c r="F36" s="50">
        <v>26</v>
      </c>
      <c r="G36" s="50">
        <v>1</v>
      </c>
      <c r="H36" s="50">
        <v>2</v>
      </c>
      <c r="I36" s="50">
        <v>18</v>
      </c>
      <c r="J36" s="50">
        <v>0</v>
      </c>
      <c r="K36" s="50">
        <v>5</v>
      </c>
      <c r="L36" s="50">
        <v>0</v>
      </c>
      <c r="M36" s="50">
        <v>89</v>
      </c>
      <c r="N36" s="50">
        <v>0</v>
      </c>
      <c r="O36" s="15">
        <f t="shared" si="0"/>
        <v>116</v>
      </c>
      <c r="P36" s="15">
        <f t="shared" si="1"/>
        <v>205</v>
      </c>
      <c r="R36" s="38" t="s">
        <v>92</v>
      </c>
      <c r="S36" s="39">
        <f t="shared" ref="S36:AF36" si="28">MAX(S19:S21)</f>
        <v>219</v>
      </c>
      <c r="T36" s="39">
        <f t="shared" si="28"/>
        <v>38</v>
      </c>
      <c r="U36" s="39">
        <f t="shared" si="28"/>
        <v>36</v>
      </c>
      <c r="V36" s="39">
        <f t="shared" si="28"/>
        <v>530</v>
      </c>
      <c r="W36" s="39">
        <f t="shared" si="28"/>
        <v>7</v>
      </c>
      <c r="X36" s="39">
        <f t="shared" si="28"/>
        <v>6</v>
      </c>
      <c r="Y36" s="39">
        <f t="shared" si="28"/>
        <v>59</v>
      </c>
      <c r="Z36" s="39">
        <f t="shared" si="28"/>
        <v>27</v>
      </c>
      <c r="AA36" s="39">
        <f t="shared" si="28"/>
        <v>14</v>
      </c>
      <c r="AB36" s="39">
        <f t="shared" si="28"/>
        <v>6</v>
      </c>
      <c r="AC36" s="39">
        <f t="shared" si="28"/>
        <v>402</v>
      </c>
      <c r="AD36" s="39">
        <f t="shared" si="28"/>
        <v>0</v>
      </c>
      <c r="AE36" s="40">
        <f t="shared" si="28"/>
        <v>892</v>
      </c>
      <c r="AF36" s="40">
        <f t="shared" si="28"/>
        <v>1292</v>
      </c>
    </row>
    <row r="37" spans="2:32" ht="23.1" customHeight="1" x14ac:dyDescent="0.25">
      <c r="B37" s="45" t="s">
        <v>64</v>
      </c>
      <c r="C37" s="50">
        <v>49</v>
      </c>
      <c r="D37" s="50">
        <v>9</v>
      </c>
      <c r="E37" s="50">
        <v>4</v>
      </c>
      <c r="F37" s="50">
        <v>35</v>
      </c>
      <c r="G37" s="50">
        <v>1</v>
      </c>
      <c r="H37" s="50">
        <v>0</v>
      </c>
      <c r="I37" s="50">
        <v>12</v>
      </c>
      <c r="J37" s="50">
        <v>1</v>
      </c>
      <c r="K37" s="50">
        <v>1</v>
      </c>
      <c r="L37" s="50">
        <v>0</v>
      </c>
      <c r="M37" s="50">
        <v>92</v>
      </c>
      <c r="N37" s="50">
        <v>0</v>
      </c>
      <c r="O37" s="15">
        <f t="shared" si="0"/>
        <v>112</v>
      </c>
      <c r="P37" s="15">
        <f t="shared" si="1"/>
        <v>204</v>
      </c>
      <c r="R37" s="37" t="s">
        <v>85</v>
      </c>
      <c r="S37" s="35">
        <f t="shared" ref="S37:AF37" si="29">SUM(S10:S12)</f>
        <v>932</v>
      </c>
      <c r="T37" s="16">
        <f t="shared" si="29"/>
        <v>81</v>
      </c>
      <c r="U37" s="16">
        <f t="shared" si="29"/>
        <v>66</v>
      </c>
      <c r="V37" s="16">
        <f t="shared" si="29"/>
        <v>509</v>
      </c>
      <c r="W37" s="16">
        <f t="shared" si="29"/>
        <v>8</v>
      </c>
      <c r="X37" s="16">
        <f t="shared" si="29"/>
        <v>8</v>
      </c>
      <c r="Y37" s="16">
        <f t="shared" si="29"/>
        <v>128</v>
      </c>
      <c r="Z37" s="16">
        <f t="shared" si="29"/>
        <v>18</v>
      </c>
      <c r="AA37" s="16">
        <f t="shared" si="29"/>
        <v>27</v>
      </c>
      <c r="AB37" s="16">
        <f t="shared" si="29"/>
        <v>0</v>
      </c>
      <c r="AC37" s="16">
        <f t="shared" si="29"/>
        <v>1798</v>
      </c>
      <c r="AD37" s="16">
        <f t="shared" si="29"/>
        <v>0</v>
      </c>
      <c r="AE37" s="32">
        <f t="shared" si="29"/>
        <v>1777</v>
      </c>
      <c r="AF37" s="32">
        <f t="shared" si="29"/>
        <v>3575</v>
      </c>
    </row>
    <row r="38" spans="2:32" ht="23.1" customHeight="1" x14ac:dyDescent="0.25">
      <c r="B38" s="46" t="s">
        <v>65</v>
      </c>
      <c r="C38" s="50">
        <v>42</v>
      </c>
      <c r="D38" s="50">
        <v>8</v>
      </c>
      <c r="E38" s="50">
        <v>7</v>
      </c>
      <c r="F38" s="50">
        <v>27</v>
      </c>
      <c r="G38" s="50">
        <v>0</v>
      </c>
      <c r="H38" s="50">
        <v>0</v>
      </c>
      <c r="I38" s="50">
        <v>15</v>
      </c>
      <c r="J38" s="50">
        <v>1</v>
      </c>
      <c r="K38" s="50">
        <v>1</v>
      </c>
      <c r="L38" s="50">
        <v>0</v>
      </c>
      <c r="M38" s="50">
        <v>78</v>
      </c>
      <c r="N38" s="50">
        <v>0</v>
      </c>
      <c r="O38" s="15">
        <f t="shared" si="0"/>
        <v>101</v>
      </c>
      <c r="P38" s="15">
        <f t="shared" si="1"/>
        <v>179</v>
      </c>
      <c r="R38" s="28" t="s">
        <v>86</v>
      </c>
      <c r="S38" s="16">
        <f t="shared" ref="S38:AF38" si="30">SUM(S13:S18)</f>
        <v>1086</v>
      </c>
      <c r="T38" s="16">
        <f t="shared" si="30"/>
        <v>161</v>
      </c>
      <c r="U38" s="16">
        <f t="shared" si="30"/>
        <v>155</v>
      </c>
      <c r="V38" s="16">
        <f t="shared" si="30"/>
        <v>780</v>
      </c>
      <c r="W38" s="16">
        <f t="shared" si="30"/>
        <v>9</v>
      </c>
      <c r="X38" s="16">
        <f t="shared" si="30"/>
        <v>3</v>
      </c>
      <c r="Y38" s="16">
        <f t="shared" si="30"/>
        <v>266</v>
      </c>
      <c r="Z38" s="16">
        <f t="shared" si="30"/>
        <v>36</v>
      </c>
      <c r="AA38" s="16">
        <f t="shared" si="30"/>
        <v>74</v>
      </c>
      <c r="AB38" s="16">
        <f t="shared" si="30"/>
        <v>3</v>
      </c>
      <c r="AC38" s="16">
        <f t="shared" si="30"/>
        <v>2171</v>
      </c>
      <c r="AD38" s="16">
        <f t="shared" si="30"/>
        <v>0</v>
      </c>
      <c r="AE38" s="32">
        <f t="shared" si="30"/>
        <v>2573</v>
      </c>
      <c r="AF38" s="32">
        <f t="shared" si="30"/>
        <v>4744</v>
      </c>
    </row>
    <row r="39" spans="2:32" ht="23.1" customHeight="1" x14ac:dyDescent="0.25">
      <c r="B39" s="46" t="s">
        <v>66</v>
      </c>
      <c r="C39" s="50">
        <v>52</v>
      </c>
      <c r="D39" s="50">
        <v>9</v>
      </c>
      <c r="E39" s="50">
        <v>6</v>
      </c>
      <c r="F39" s="50">
        <v>29</v>
      </c>
      <c r="G39" s="50">
        <v>0</v>
      </c>
      <c r="H39" s="50">
        <v>0</v>
      </c>
      <c r="I39" s="50">
        <v>12</v>
      </c>
      <c r="J39" s="50">
        <v>2</v>
      </c>
      <c r="K39" s="50">
        <v>2</v>
      </c>
      <c r="L39" s="50">
        <v>0</v>
      </c>
      <c r="M39" s="50">
        <v>67</v>
      </c>
      <c r="N39" s="50">
        <v>0</v>
      </c>
      <c r="O39" s="15">
        <f t="shared" si="0"/>
        <v>112</v>
      </c>
      <c r="P39" s="15">
        <f t="shared" si="1"/>
        <v>179</v>
      </c>
      <c r="R39" s="29" t="s">
        <v>87</v>
      </c>
      <c r="S39" s="16">
        <f t="shared" ref="S39:AF39" si="31">SUM(S19:S21)</f>
        <v>633</v>
      </c>
      <c r="T39" s="16">
        <f t="shared" si="31"/>
        <v>103</v>
      </c>
      <c r="U39" s="16">
        <f t="shared" si="31"/>
        <v>104</v>
      </c>
      <c r="V39" s="16">
        <f t="shared" si="31"/>
        <v>819</v>
      </c>
      <c r="W39" s="16">
        <f t="shared" si="31"/>
        <v>13</v>
      </c>
      <c r="X39" s="16">
        <f t="shared" si="31"/>
        <v>8</v>
      </c>
      <c r="Y39" s="16">
        <f t="shared" si="31"/>
        <v>127</v>
      </c>
      <c r="Z39" s="16">
        <f t="shared" si="31"/>
        <v>51</v>
      </c>
      <c r="AA39" s="16">
        <f t="shared" si="31"/>
        <v>32</v>
      </c>
      <c r="AB39" s="16">
        <f t="shared" si="31"/>
        <v>9</v>
      </c>
      <c r="AC39" s="16">
        <f t="shared" si="31"/>
        <v>1123</v>
      </c>
      <c r="AD39" s="16">
        <f t="shared" si="31"/>
        <v>0</v>
      </c>
      <c r="AE39" s="32">
        <f t="shared" si="31"/>
        <v>1899</v>
      </c>
      <c r="AF39" s="32">
        <f t="shared" si="31"/>
        <v>3022</v>
      </c>
    </row>
    <row r="40" spans="2:32" ht="23.1" customHeight="1" x14ac:dyDescent="0.25">
      <c r="B40" s="46" t="s">
        <v>67</v>
      </c>
      <c r="C40" s="50">
        <v>37</v>
      </c>
      <c r="D40" s="50">
        <v>3</v>
      </c>
      <c r="E40" s="50">
        <v>6</v>
      </c>
      <c r="F40" s="50">
        <v>23</v>
      </c>
      <c r="G40" s="50">
        <v>0</v>
      </c>
      <c r="H40" s="50">
        <v>0</v>
      </c>
      <c r="I40" s="50">
        <v>8</v>
      </c>
      <c r="J40" s="50">
        <v>1</v>
      </c>
      <c r="K40" s="50">
        <v>0</v>
      </c>
      <c r="L40" s="50">
        <v>0</v>
      </c>
      <c r="M40" s="50">
        <v>51</v>
      </c>
      <c r="N40" s="50">
        <v>0</v>
      </c>
      <c r="O40" s="15">
        <f t="shared" si="0"/>
        <v>78</v>
      </c>
      <c r="P40" s="15">
        <f t="shared" si="1"/>
        <v>129</v>
      </c>
      <c r="R40" s="5" t="s">
        <v>17</v>
      </c>
      <c r="S40" s="16">
        <f t="shared" ref="S40:AF40" si="32">SUM(S10:S21)</f>
        <v>2651</v>
      </c>
      <c r="T40" s="16">
        <f t="shared" si="32"/>
        <v>345</v>
      </c>
      <c r="U40" s="16">
        <f t="shared" si="32"/>
        <v>325</v>
      </c>
      <c r="V40" s="16">
        <f t="shared" si="32"/>
        <v>2108</v>
      </c>
      <c r="W40" s="16">
        <f t="shared" si="32"/>
        <v>30</v>
      </c>
      <c r="X40" s="16">
        <f t="shared" si="32"/>
        <v>19</v>
      </c>
      <c r="Y40" s="16">
        <f t="shared" si="32"/>
        <v>521</v>
      </c>
      <c r="Z40" s="16">
        <f t="shared" si="32"/>
        <v>105</v>
      </c>
      <c r="AA40" s="16">
        <f t="shared" si="32"/>
        <v>133</v>
      </c>
      <c r="AB40" s="16">
        <f t="shared" si="32"/>
        <v>12</v>
      </c>
      <c r="AC40" s="16">
        <f t="shared" si="32"/>
        <v>5092</v>
      </c>
      <c r="AD40" s="16">
        <f t="shared" si="32"/>
        <v>0</v>
      </c>
      <c r="AE40" s="32">
        <f t="shared" si="32"/>
        <v>6249</v>
      </c>
      <c r="AF40" s="32">
        <f t="shared" si="32"/>
        <v>11341</v>
      </c>
    </row>
    <row r="41" spans="2:32" ht="23.1" customHeight="1" x14ac:dyDescent="0.25">
      <c r="B41" s="45" t="s">
        <v>68</v>
      </c>
      <c r="C41" s="50">
        <v>36</v>
      </c>
      <c r="D41" s="50">
        <v>3</v>
      </c>
      <c r="E41" s="50">
        <v>4</v>
      </c>
      <c r="F41" s="50">
        <v>31</v>
      </c>
      <c r="G41" s="50">
        <v>0</v>
      </c>
      <c r="H41" s="50">
        <v>0</v>
      </c>
      <c r="I41" s="50">
        <v>10</v>
      </c>
      <c r="J41" s="50">
        <v>0</v>
      </c>
      <c r="K41" s="50">
        <v>0</v>
      </c>
      <c r="L41" s="50">
        <v>0</v>
      </c>
      <c r="M41" s="50">
        <v>47</v>
      </c>
      <c r="N41" s="50">
        <v>0</v>
      </c>
      <c r="O41" s="15">
        <f t="shared" si="0"/>
        <v>84</v>
      </c>
      <c r="P41" s="15">
        <f t="shared" si="1"/>
        <v>131</v>
      </c>
      <c r="R41" s="5" t="s">
        <v>159</v>
      </c>
      <c r="S41" s="16">
        <f>SUM(S10:S33)</f>
        <v>3762</v>
      </c>
      <c r="T41" s="16">
        <f t="shared" ref="T41:AF41" si="33">SUM(T10:T33)</f>
        <v>499</v>
      </c>
      <c r="U41" s="16">
        <f t="shared" si="33"/>
        <v>455</v>
      </c>
      <c r="V41" s="16">
        <f t="shared" si="33"/>
        <v>2999</v>
      </c>
      <c r="W41" s="16">
        <f t="shared" si="33"/>
        <v>75</v>
      </c>
      <c r="X41" s="16">
        <f t="shared" si="33"/>
        <v>19</v>
      </c>
      <c r="Y41" s="16">
        <f t="shared" si="33"/>
        <v>698</v>
      </c>
      <c r="Z41" s="16">
        <f t="shared" si="33"/>
        <v>144</v>
      </c>
      <c r="AA41" s="16">
        <f t="shared" si="33"/>
        <v>152</v>
      </c>
      <c r="AB41" s="16">
        <f t="shared" si="33"/>
        <v>17</v>
      </c>
      <c r="AC41" s="16">
        <f t="shared" si="33"/>
        <v>6211</v>
      </c>
      <c r="AD41" s="16">
        <f t="shared" si="33"/>
        <v>0</v>
      </c>
      <c r="AE41" s="32">
        <f t="shared" si="33"/>
        <v>8820</v>
      </c>
      <c r="AF41" s="32">
        <f t="shared" si="33"/>
        <v>15031</v>
      </c>
    </row>
    <row r="42" spans="2:32" ht="23.1" customHeight="1" x14ac:dyDescent="0.25">
      <c r="B42" s="46" t="s">
        <v>69</v>
      </c>
      <c r="C42" s="50">
        <v>40</v>
      </c>
      <c r="D42" s="50">
        <v>2</v>
      </c>
      <c r="E42" s="50">
        <v>6</v>
      </c>
      <c r="F42" s="50">
        <v>33</v>
      </c>
      <c r="G42" s="50">
        <v>0</v>
      </c>
      <c r="H42" s="50">
        <v>0</v>
      </c>
      <c r="I42" s="50">
        <v>6</v>
      </c>
      <c r="J42" s="50">
        <v>1</v>
      </c>
      <c r="K42" s="50">
        <v>5</v>
      </c>
      <c r="L42" s="50">
        <v>0</v>
      </c>
      <c r="M42" s="50">
        <v>61</v>
      </c>
      <c r="N42" s="50">
        <v>0</v>
      </c>
      <c r="O42" s="15">
        <f t="shared" si="0"/>
        <v>93</v>
      </c>
      <c r="P42" s="15">
        <f t="shared" si="1"/>
        <v>154</v>
      </c>
      <c r="R42" s="5" t="s">
        <v>160</v>
      </c>
      <c r="S42" s="48">
        <f>S41/S40</f>
        <v>1.4190871369294606</v>
      </c>
      <c r="T42" s="48">
        <f t="shared" ref="T42:AF42" si="34">T41/T40</f>
        <v>1.4463768115942028</v>
      </c>
      <c r="U42" s="48">
        <f t="shared" si="34"/>
        <v>1.4</v>
      </c>
      <c r="V42" s="48">
        <f t="shared" si="34"/>
        <v>1.4226755218216318</v>
      </c>
      <c r="W42" s="48">
        <f t="shared" si="34"/>
        <v>2.5</v>
      </c>
      <c r="X42" s="48">
        <f t="shared" si="34"/>
        <v>1</v>
      </c>
      <c r="Y42" s="48">
        <f t="shared" si="34"/>
        <v>1.3397312859884838</v>
      </c>
      <c r="Z42" s="48">
        <f t="shared" si="34"/>
        <v>1.3714285714285714</v>
      </c>
      <c r="AA42" s="48">
        <f t="shared" si="34"/>
        <v>1.1428571428571428</v>
      </c>
      <c r="AB42" s="48">
        <f t="shared" si="34"/>
        <v>1.4166666666666667</v>
      </c>
      <c r="AC42" s="48">
        <f t="shared" si="34"/>
        <v>1.2197564807541241</v>
      </c>
      <c r="AD42" s="48" t="e">
        <f t="shared" si="34"/>
        <v>#DIV/0!</v>
      </c>
      <c r="AE42" s="48">
        <f t="shared" si="34"/>
        <v>1.4114258281325012</v>
      </c>
      <c r="AF42" s="48">
        <f t="shared" si="34"/>
        <v>1.3253681333215765</v>
      </c>
    </row>
    <row r="43" spans="2:32" ht="23.1" customHeight="1" x14ac:dyDescent="0.25">
      <c r="B43" s="45" t="s">
        <v>70</v>
      </c>
      <c r="C43" s="50">
        <v>48</v>
      </c>
      <c r="D43" s="50">
        <v>8</v>
      </c>
      <c r="E43" s="50">
        <v>6</v>
      </c>
      <c r="F43" s="50">
        <v>38</v>
      </c>
      <c r="G43" s="50">
        <v>1</v>
      </c>
      <c r="H43" s="50">
        <v>0</v>
      </c>
      <c r="I43" s="50">
        <v>15</v>
      </c>
      <c r="J43" s="50">
        <v>5</v>
      </c>
      <c r="K43" s="50">
        <v>5</v>
      </c>
      <c r="L43" s="50">
        <v>0</v>
      </c>
      <c r="M43" s="50">
        <v>61</v>
      </c>
      <c r="N43" s="50">
        <v>0</v>
      </c>
      <c r="O43" s="15">
        <f t="shared" si="0"/>
        <v>126</v>
      </c>
      <c r="P43" s="15">
        <f t="shared" si="1"/>
        <v>187</v>
      </c>
    </row>
    <row r="44" spans="2:32" ht="23.1" customHeight="1" x14ac:dyDescent="0.25">
      <c r="B44" s="47" t="s">
        <v>71</v>
      </c>
      <c r="C44" s="50">
        <v>53</v>
      </c>
      <c r="D44" s="50">
        <v>6</v>
      </c>
      <c r="E44" s="50">
        <v>9</v>
      </c>
      <c r="F44" s="50">
        <v>29</v>
      </c>
      <c r="G44" s="50">
        <v>0</v>
      </c>
      <c r="H44" s="50">
        <v>0</v>
      </c>
      <c r="I44" s="50">
        <v>12</v>
      </c>
      <c r="J44" s="50">
        <v>1</v>
      </c>
      <c r="K44" s="50">
        <v>4</v>
      </c>
      <c r="L44" s="50">
        <v>0</v>
      </c>
      <c r="M44" s="50">
        <v>74</v>
      </c>
      <c r="N44" s="50">
        <v>0</v>
      </c>
      <c r="O44" s="15">
        <f t="shared" si="0"/>
        <v>114</v>
      </c>
      <c r="P44" s="15">
        <f t="shared" si="1"/>
        <v>188</v>
      </c>
    </row>
    <row r="45" spans="2:32" ht="23.1" customHeight="1" x14ac:dyDescent="0.25">
      <c r="B45" s="45" t="s">
        <v>72</v>
      </c>
      <c r="C45" s="50">
        <v>53</v>
      </c>
      <c r="D45" s="50">
        <v>6</v>
      </c>
      <c r="E45" s="50">
        <v>8</v>
      </c>
      <c r="F45" s="50">
        <v>29</v>
      </c>
      <c r="G45" s="50">
        <v>1</v>
      </c>
      <c r="H45" s="50">
        <v>0</v>
      </c>
      <c r="I45" s="50">
        <v>10</v>
      </c>
      <c r="J45" s="50">
        <v>1</v>
      </c>
      <c r="K45" s="50">
        <v>3</v>
      </c>
      <c r="L45" s="50">
        <v>0</v>
      </c>
      <c r="M45" s="50">
        <v>52</v>
      </c>
      <c r="N45" s="50">
        <v>0</v>
      </c>
      <c r="O45" s="15">
        <f t="shared" si="0"/>
        <v>111</v>
      </c>
      <c r="P45" s="15">
        <f t="shared" si="1"/>
        <v>163</v>
      </c>
    </row>
    <row r="46" spans="2:32" ht="23.1" customHeight="1" x14ac:dyDescent="0.25">
      <c r="B46" s="46" t="s">
        <v>73</v>
      </c>
      <c r="C46" s="50">
        <v>54</v>
      </c>
      <c r="D46" s="50">
        <v>9</v>
      </c>
      <c r="E46" s="50">
        <v>8</v>
      </c>
      <c r="F46" s="50">
        <v>38</v>
      </c>
      <c r="G46" s="50">
        <v>1</v>
      </c>
      <c r="H46" s="50">
        <v>0</v>
      </c>
      <c r="I46" s="50">
        <v>9</v>
      </c>
      <c r="J46" s="50">
        <v>2</v>
      </c>
      <c r="K46" s="50">
        <v>6</v>
      </c>
      <c r="L46" s="50">
        <v>0</v>
      </c>
      <c r="M46" s="50">
        <v>71</v>
      </c>
      <c r="N46" s="50">
        <v>0</v>
      </c>
      <c r="O46" s="15">
        <f t="shared" si="0"/>
        <v>127</v>
      </c>
      <c r="P46" s="15">
        <f t="shared" si="1"/>
        <v>198</v>
      </c>
      <c r="R46" s="8"/>
      <c r="T46"/>
    </row>
    <row r="47" spans="2:32" ht="23.1" customHeight="1" x14ac:dyDescent="0.25">
      <c r="B47" s="46" t="s">
        <v>74</v>
      </c>
      <c r="C47" s="50">
        <v>55</v>
      </c>
      <c r="D47" s="50">
        <v>11</v>
      </c>
      <c r="E47" s="50">
        <v>7</v>
      </c>
      <c r="F47" s="50">
        <v>31</v>
      </c>
      <c r="G47" s="50">
        <v>3</v>
      </c>
      <c r="H47" s="50">
        <v>0</v>
      </c>
      <c r="I47" s="50">
        <v>9</v>
      </c>
      <c r="J47" s="50">
        <v>6</v>
      </c>
      <c r="K47" s="50">
        <v>3</v>
      </c>
      <c r="L47" s="50">
        <v>0</v>
      </c>
      <c r="M47" s="50">
        <v>73</v>
      </c>
      <c r="N47" s="50">
        <v>0</v>
      </c>
      <c r="O47" s="15">
        <f t="shared" si="0"/>
        <v>125</v>
      </c>
      <c r="P47" s="15">
        <f t="shared" si="1"/>
        <v>198</v>
      </c>
      <c r="R47" s="8"/>
      <c r="T47"/>
    </row>
    <row r="48" spans="2:32" ht="23.1" customHeight="1" x14ac:dyDescent="0.25">
      <c r="B48" s="46" t="s">
        <v>75</v>
      </c>
      <c r="C48" s="50">
        <v>60</v>
      </c>
      <c r="D48" s="50">
        <v>11</v>
      </c>
      <c r="E48" s="50">
        <v>11</v>
      </c>
      <c r="F48" s="50">
        <v>35</v>
      </c>
      <c r="G48" s="50">
        <v>1</v>
      </c>
      <c r="H48" s="50">
        <v>6</v>
      </c>
      <c r="I48" s="50">
        <v>11</v>
      </c>
      <c r="J48" s="50">
        <v>5</v>
      </c>
      <c r="K48" s="50">
        <v>3</v>
      </c>
      <c r="L48" s="50">
        <v>0</v>
      </c>
      <c r="M48" s="50">
        <v>92</v>
      </c>
      <c r="N48" s="50">
        <v>0</v>
      </c>
      <c r="O48" s="15">
        <f t="shared" si="0"/>
        <v>143</v>
      </c>
      <c r="P48" s="15">
        <f t="shared" si="1"/>
        <v>235</v>
      </c>
      <c r="R48" s="8"/>
      <c r="T48"/>
    </row>
    <row r="49" spans="2:20" ht="23.1" customHeight="1" x14ac:dyDescent="0.25">
      <c r="B49" s="45" t="s">
        <v>76</v>
      </c>
      <c r="C49" s="50">
        <v>40</v>
      </c>
      <c r="D49" s="50">
        <v>4</v>
      </c>
      <c r="E49" s="50">
        <v>10</v>
      </c>
      <c r="F49" s="50">
        <v>29</v>
      </c>
      <c r="G49" s="50">
        <v>1</v>
      </c>
      <c r="H49" s="50">
        <v>0</v>
      </c>
      <c r="I49" s="50">
        <v>13</v>
      </c>
      <c r="J49" s="50">
        <v>0</v>
      </c>
      <c r="K49" s="50">
        <v>2</v>
      </c>
      <c r="L49" s="50">
        <v>0</v>
      </c>
      <c r="M49" s="50">
        <v>85</v>
      </c>
      <c r="N49" s="50">
        <v>0</v>
      </c>
      <c r="O49" s="15">
        <f t="shared" si="0"/>
        <v>99</v>
      </c>
      <c r="P49" s="15">
        <f t="shared" si="1"/>
        <v>184</v>
      </c>
      <c r="R49" s="8"/>
      <c r="T49"/>
    </row>
    <row r="50" spans="2:20" ht="23.1" customHeight="1" x14ac:dyDescent="0.25">
      <c r="B50" s="46" t="s">
        <v>77</v>
      </c>
      <c r="C50" s="50">
        <v>58</v>
      </c>
      <c r="D50" s="50">
        <v>7</v>
      </c>
      <c r="E50" s="50">
        <v>3</v>
      </c>
      <c r="F50" s="50">
        <v>33</v>
      </c>
      <c r="G50" s="50">
        <v>0</v>
      </c>
      <c r="H50" s="50">
        <v>0</v>
      </c>
      <c r="I50" s="50">
        <v>0</v>
      </c>
      <c r="J50" s="50">
        <v>12</v>
      </c>
      <c r="K50" s="50">
        <v>1</v>
      </c>
      <c r="L50" s="50">
        <v>1</v>
      </c>
      <c r="M50" s="50">
        <v>104</v>
      </c>
      <c r="N50" s="50">
        <v>0</v>
      </c>
      <c r="O50" s="15">
        <f t="shared" si="0"/>
        <v>115</v>
      </c>
      <c r="P50" s="15">
        <f t="shared" si="1"/>
        <v>219</v>
      </c>
      <c r="R50" s="8"/>
      <c r="T50"/>
    </row>
    <row r="51" spans="2:20" ht="23.1" customHeight="1" x14ac:dyDescent="0.25">
      <c r="B51" s="46" t="s">
        <v>78</v>
      </c>
      <c r="C51" s="50">
        <v>52</v>
      </c>
      <c r="D51" s="50">
        <v>9</v>
      </c>
      <c r="E51" s="50">
        <v>13</v>
      </c>
      <c r="F51" s="50">
        <v>28</v>
      </c>
      <c r="G51" s="50">
        <v>0</v>
      </c>
      <c r="H51" s="50">
        <v>1</v>
      </c>
      <c r="I51" s="50">
        <v>0</v>
      </c>
      <c r="J51" s="50">
        <v>12</v>
      </c>
      <c r="K51" s="50">
        <v>1</v>
      </c>
      <c r="L51" s="50">
        <v>5</v>
      </c>
      <c r="M51" s="50">
        <v>90</v>
      </c>
      <c r="N51" s="50">
        <v>0</v>
      </c>
      <c r="O51" s="15">
        <f t="shared" si="0"/>
        <v>121</v>
      </c>
      <c r="P51" s="15">
        <f t="shared" si="1"/>
        <v>211</v>
      </c>
      <c r="R51" s="8"/>
      <c r="T51"/>
    </row>
    <row r="52" spans="2:20" ht="23.1" customHeight="1" x14ac:dyDescent="0.25">
      <c r="B52" s="46" t="s">
        <v>79</v>
      </c>
      <c r="C52" s="50">
        <v>54</v>
      </c>
      <c r="D52" s="50">
        <v>10</v>
      </c>
      <c r="E52" s="50">
        <v>8</v>
      </c>
      <c r="F52" s="50">
        <v>425</v>
      </c>
      <c r="G52" s="50">
        <v>0</v>
      </c>
      <c r="H52" s="50">
        <v>0</v>
      </c>
      <c r="I52" s="50">
        <v>14</v>
      </c>
      <c r="J52" s="50">
        <v>2</v>
      </c>
      <c r="K52" s="50">
        <v>4</v>
      </c>
      <c r="L52" s="50">
        <v>0</v>
      </c>
      <c r="M52" s="50">
        <v>105</v>
      </c>
      <c r="N52" s="50">
        <v>0</v>
      </c>
      <c r="O52" s="15">
        <f t="shared" si="0"/>
        <v>517</v>
      </c>
      <c r="P52" s="15">
        <f t="shared" si="1"/>
        <v>622</v>
      </c>
      <c r="R52" s="8"/>
      <c r="T52"/>
    </row>
    <row r="53" spans="2:20" ht="23.1" customHeight="1" x14ac:dyDescent="0.25">
      <c r="B53" s="45" t="s">
        <v>80</v>
      </c>
      <c r="C53" s="50">
        <v>55</v>
      </c>
      <c r="D53" s="50">
        <v>12</v>
      </c>
      <c r="E53" s="50">
        <v>12</v>
      </c>
      <c r="F53" s="50">
        <v>44</v>
      </c>
      <c r="G53" s="50">
        <v>0</v>
      </c>
      <c r="H53" s="50">
        <v>1</v>
      </c>
      <c r="I53" s="50">
        <v>12</v>
      </c>
      <c r="J53" s="50">
        <v>1</v>
      </c>
      <c r="K53" s="50">
        <v>2</v>
      </c>
      <c r="L53" s="50">
        <v>0</v>
      </c>
      <c r="M53" s="50">
        <v>101</v>
      </c>
      <c r="N53" s="50">
        <v>0</v>
      </c>
      <c r="O53" s="15">
        <f t="shared" si="0"/>
        <v>139</v>
      </c>
      <c r="P53" s="15">
        <f t="shared" si="1"/>
        <v>240</v>
      </c>
      <c r="R53" s="8"/>
      <c r="T53"/>
    </row>
    <row r="54" spans="2:20" ht="23.1" customHeight="1" x14ac:dyDescent="0.25">
      <c r="B54" s="45" t="s">
        <v>81</v>
      </c>
      <c r="C54" s="50">
        <v>48</v>
      </c>
      <c r="D54" s="50">
        <v>5</v>
      </c>
      <c r="E54" s="50">
        <v>9</v>
      </c>
      <c r="F54" s="50">
        <v>45</v>
      </c>
      <c r="G54" s="50">
        <v>1</v>
      </c>
      <c r="H54" s="50">
        <v>0</v>
      </c>
      <c r="I54" s="50">
        <v>15</v>
      </c>
      <c r="J54" s="50">
        <v>2</v>
      </c>
      <c r="K54" s="50">
        <v>4</v>
      </c>
      <c r="L54" s="50">
        <v>1</v>
      </c>
      <c r="M54" s="50">
        <v>105</v>
      </c>
      <c r="N54" s="50">
        <v>0</v>
      </c>
      <c r="O54" s="15">
        <f t="shared" si="0"/>
        <v>130</v>
      </c>
      <c r="P54" s="15">
        <f t="shared" si="1"/>
        <v>235</v>
      </c>
      <c r="R54" s="8"/>
      <c r="T54"/>
    </row>
    <row r="55" spans="2:20" ht="23.1" customHeight="1" x14ac:dyDescent="0.25">
      <c r="B55" s="45" t="s">
        <v>82</v>
      </c>
      <c r="C55" s="50">
        <v>54</v>
      </c>
      <c r="D55" s="50">
        <v>11</v>
      </c>
      <c r="E55" s="50">
        <v>6</v>
      </c>
      <c r="F55" s="50">
        <v>35</v>
      </c>
      <c r="G55" s="50">
        <v>1</v>
      </c>
      <c r="H55" s="50">
        <v>0</v>
      </c>
      <c r="I55" s="50">
        <v>19</v>
      </c>
      <c r="J55" s="50">
        <v>3</v>
      </c>
      <c r="K55" s="50">
        <v>3</v>
      </c>
      <c r="L55" s="50">
        <v>1</v>
      </c>
      <c r="M55" s="50">
        <v>104</v>
      </c>
      <c r="N55" s="50">
        <v>0</v>
      </c>
      <c r="O55" s="15">
        <f t="shared" si="0"/>
        <v>133</v>
      </c>
      <c r="P55" s="15">
        <f t="shared" si="1"/>
        <v>237</v>
      </c>
      <c r="R55" s="8"/>
      <c r="T55"/>
    </row>
    <row r="56" spans="2:20" ht="23.1" customHeight="1" x14ac:dyDescent="0.25">
      <c r="B56" s="45" t="s">
        <v>83</v>
      </c>
      <c r="C56" s="50">
        <v>52</v>
      </c>
      <c r="D56" s="50">
        <v>7</v>
      </c>
      <c r="E56" s="50">
        <v>11</v>
      </c>
      <c r="F56" s="50">
        <v>41</v>
      </c>
      <c r="G56" s="50">
        <v>3</v>
      </c>
      <c r="H56" s="50">
        <v>0</v>
      </c>
      <c r="I56" s="50">
        <v>14</v>
      </c>
      <c r="J56" s="50">
        <v>4</v>
      </c>
      <c r="K56" s="50">
        <v>1</v>
      </c>
      <c r="L56" s="50">
        <v>0</v>
      </c>
      <c r="M56" s="50">
        <v>93</v>
      </c>
      <c r="N56" s="50">
        <v>0</v>
      </c>
      <c r="O56" s="15">
        <f t="shared" si="0"/>
        <v>133</v>
      </c>
      <c r="P56" s="15">
        <f t="shared" si="1"/>
        <v>226</v>
      </c>
      <c r="R56" s="8"/>
      <c r="T56"/>
    </row>
    <row r="57" spans="2:20" ht="23.1" customHeight="1" x14ac:dyDescent="0.25">
      <c r="B57" s="45" t="s">
        <v>84</v>
      </c>
      <c r="C57" s="50">
        <v>51</v>
      </c>
      <c r="D57" s="50">
        <v>7</v>
      </c>
      <c r="E57" s="50">
        <v>6</v>
      </c>
      <c r="F57" s="50">
        <v>35</v>
      </c>
      <c r="G57" s="50">
        <v>2</v>
      </c>
      <c r="H57" s="50">
        <v>0</v>
      </c>
      <c r="I57" s="50">
        <v>11</v>
      </c>
      <c r="J57" s="50">
        <v>2</v>
      </c>
      <c r="K57" s="50">
        <v>2</v>
      </c>
      <c r="L57" s="50">
        <v>1</v>
      </c>
      <c r="M57" s="50">
        <v>100</v>
      </c>
      <c r="N57" s="50">
        <v>0</v>
      </c>
      <c r="O57" s="15">
        <f t="shared" si="0"/>
        <v>117</v>
      </c>
      <c r="P57" s="15">
        <f t="shared" si="1"/>
        <v>217</v>
      </c>
      <c r="R57" s="8"/>
      <c r="T57"/>
    </row>
    <row r="58" spans="2:20" ht="23.1" customHeight="1" x14ac:dyDescent="0.25">
      <c r="B58" s="45" t="s">
        <v>99</v>
      </c>
      <c r="C58" s="50">
        <v>25</v>
      </c>
      <c r="D58" s="50">
        <v>6</v>
      </c>
      <c r="E58" s="50">
        <v>10</v>
      </c>
      <c r="F58" s="50">
        <v>29</v>
      </c>
      <c r="G58" s="50">
        <v>1</v>
      </c>
      <c r="H58" s="50">
        <v>0</v>
      </c>
      <c r="I58" s="50">
        <v>15</v>
      </c>
      <c r="J58" s="50">
        <v>4</v>
      </c>
      <c r="K58" s="50">
        <v>1</v>
      </c>
      <c r="L58" s="50">
        <v>0</v>
      </c>
      <c r="M58" s="50">
        <v>73</v>
      </c>
      <c r="N58" s="50">
        <v>0</v>
      </c>
      <c r="O58" s="15">
        <f t="shared" si="0"/>
        <v>91</v>
      </c>
      <c r="P58" s="15">
        <f t="shared" si="1"/>
        <v>164</v>
      </c>
      <c r="R58" s="8"/>
      <c r="T58"/>
    </row>
    <row r="59" spans="2:20" ht="23.1" customHeight="1" x14ac:dyDescent="0.25">
      <c r="B59" s="45" t="s">
        <v>100</v>
      </c>
      <c r="C59" s="50">
        <v>47</v>
      </c>
      <c r="D59" s="50">
        <v>10</v>
      </c>
      <c r="E59" s="50">
        <v>1</v>
      </c>
      <c r="F59" s="50">
        <v>38</v>
      </c>
      <c r="G59" s="50">
        <v>1</v>
      </c>
      <c r="H59" s="50">
        <v>0</v>
      </c>
      <c r="I59" s="50">
        <v>5</v>
      </c>
      <c r="J59" s="50">
        <v>2</v>
      </c>
      <c r="K59" s="50">
        <v>0</v>
      </c>
      <c r="L59" s="50">
        <v>0</v>
      </c>
      <c r="M59" s="50">
        <v>50</v>
      </c>
      <c r="N59" s="50">
        <v>0</v>
      </c>
      <c r="O59" s="15">
        <f t="shared" si="0"/>
        <v>104</v>
      </c>
      <c r="P59" s="15">
        <f t="shared" si="1"/>
        <v>154</v>
      </c>
      <c r="R59" s="8"/>
      <c r="T59"/>
    </row>
    <row r="60" spans="2:20" ht="23.1" customHeight="1" x14ac:dyDescent="0.25">
      <c r="B60" s="45" t="s">
        <v>101</v>
      </c>
      <c r="C60" s="50">
        <v>42</v>
      </c>
      <c r="D60" s="50">
        <v>6</v>
      </c>
      <c r="E60" s="50">
        <v>8</v>
      </c>
      <c r="F60" s="50">
        <v>44</v>
      </c>
      <c r="G60" s="50">
        <v>4</v>
      </c>
      <c r="H60" s="50">
        <v>0</v>
      </c>
      <c r="I60" s="50">
        <v>10</v>
      </c>
      <c r="J60" s="50">
        <v>2</v>
      </c>
      <c r="K60" s="50">
        <v>0</v>
      </c>
      <c r="L60" s="50">
        <v>2</v>
      </c>
      <c r="M60" s="50">
        <v>150</v>
      </c>
      <c r="N60" s="50">
        <v>0</v>
      </c>
      <c r="O60" s="15">
        <f t="shared" si="0"/>
        <v>118</v>
      </c>
      <c r="P60" s="15">
        <f t="shared" si="1"/>
        <v>268</v>
      </c>
      <c r="R60" s="8"/>
      <c r="T60"/>
    </row>
    <row r="61" spans="2:20" ht="23.1" customHeight="1" x14ac:dyDescent="0.25">
      <c r="B61" s="45" t="s">
        <v>102</v>
      </c>
      <c r="C61" s="50">
        <v>50</v>
      </c>
      <c r="D61" s="50">
        <v>7</v>
      </c>
      <c r="E61" s="50">
        <v>7</v>
      </c>
      <c r="F61" s="50">
        <v>57</v>
      </c>
      <c r="G61" s="50">
        <v>4</v>
      </c>
      <c r="H61" s="50">
        <v>0</v>
      </c>
      <c r="I61" s="50">
        <v>10</v>
      </c>
      <c r="J61" s="50">
        <v>3</v>
      </c>
      <c r="K61" s="50">
        <v>0</v>
      </c>
      <c r="L61" s="50">
        <v>0</v>
      </c>
      <c r="M61" s="50">
        <v>92</v>
      </c>
      <c r="N61" s="50">
        <v>0</v>
      </c>
      <c r="O61" s="15">
        <f t="shared" si="0"/>
        <v>138</v>
      </c>
      <c r="P61" s="15">
        <f t="shared" si="1"/>
        <v>230</v>
      </c>
      <c r="R61" s="8"/>
      <c r="T61"/>
    </row>
    <row r="62" spans="2:20" ht="23.1" customHeight="1" x14ac:dyDescent="0.25">
      <c r="B62" s="45" t="s">
        <v>107</v>
      </c>
      <c r="C62" s="50">
        <v>39</v>
      </c>
      <c r="D62" s="50">
        <v>2</v>
      </c>
      <c r="E62" s="50">
        <v>5</v>
      </c>
      <c r="F62" s="50">
        <v>37</v>
      </c>
      <c r="G62" s="50">
        <v>1</v>
      </c>
      <c r="H62" s="50">
        <v>0</v>
      </c>
      <c r="I62" s="50">
        <v>8</v>
      </c>
      <c r="J62" s="50">
        <v>2</v>
      </c>
      <c r="K62" s="50">
        <v>1</v>
      </c>
      <c r="L62" s="50">
        <v>1</v>
      </c>
      <c r="M62" s="50">
        <v>66</v>
      </c>
      <c r="N62" s="50">
        <v>0</v>
      </c>
      <c r="O62" s="15">
        <f t="shared" si="0"/>
        <v>96</v>
      </c>
      <c r="P62" s="15">
        <f t="shared" si="1"/>
        <v>162</v>
      </c>
      <c r="R62" s="8"/>
      <c r="T62"/>
    </row>
    <row r="63" spans="2:20" ht="23.1" customHeight="1" x14ac:dyDescent="0.25">
      <c r="B63" s="45" t="s">
        <v>108</v>
      </c>
      <c r="C63" s="50">
        <v>37</v>
      </c>
      <c r="D63" s="50">
        <v>7</v>
      </c>
      <c r="E63" s="50">
        <v>4</v>
      </c>
      <c r="F63" s="50">
        <v>45</v>
      </c>
      <c r="G63" s="50">
        <v>4</v>
      </c>
      <c r="H63" s="50">
        <v>0</v>
      </c>
      <c r="I63" s="50">
        <v>10</v>
      </c>
      <c r="J63" s="50">
        <v>0</v>
      </c>
      <c r="K63" s="50">
        <v>2</v>
      </c>
      <c r="L63" s="50">
        <v>1</v>
      </c>
      <c r="M63" s="50">
        <v>50</v>
      </c>
      <c r="N63" s="50">
        <v>0</v>
      </c>
      <c r="O63" s="15">
        <f t="shared" si="0"/>
        <v>110</v>
      </c>
      <c r="P63" s="15">
        <f t="shared" si="1"/>
        <v>160</v>
      </c>
      <c r="R63" s="8"/>
      <c r="T63"/>
    </row>
    <row r="64" spans="2:20" ht="23.1" customHeight="1" x14ac:dyDescent="0.25">
      <c r="B64" s="45" t="s">
        <v>109</v>
      </c>
      <c r="C64" s="50">
        <v>43</v>
      </c>
      <c r="D64" s="50">
        <v>11</v>
      </c>
      <c r="E64" s="50">
        <v>6</v>
      </c>
      <c r="F64" s="50">
        <v>42</v>
      </c>
      <c r="G64" s="50">
        <v>7</v>
      </c>
      <c r="H64" s="50">
        <v>0</v>
      </c>
      <c r="I64" s="50">
        <v>6</v>
      </c>
      <c r="J64" s="50">
        <v>0</v>
      </c>
      <c r="K64" s="50">
        <v>2</v>
      </c>
      <c r="L64" s="50">
        <v>0</v>
      </c>
      <c r="M64" s="50">
        <v>64</v>
      </c>
      <c r="N64" s="50">
        <v>0</v>
      </c>
      <c r="O64" s="15">
        <f t="shared" si="0"/>
        <v>117</v>
      </c>
      <c r="P64" s="15">
        <f t="shared" si="1"/>
        <v>181</v>
      </c>
      <c r="R64" s="8"/>
      <c r="T64"/>
    </row>
    <row r="65" spans="2:20" ht="23.1" customHeight="1" x14ac:dyDescent="0.25">
      <c r="B65" s="45" t="s">
        <v>158</v>
      </c>
      <c r="C65" s="50">
        <v>30</v>
      </c>
      <c r="D65" s="50">
        <v>5</v>
      </c>
      <c r="E65" s="50">
        <v>3</v>
      </c>
      <c r="F65" s="50">
        <v>33</v>
      </c>
      <c r="G65" s="50">
        <v>3</v>
      </c>
      <c r="H65" s="50">
        <v>0</v>
      </c>
      <c r="I65" s="50">
        <v>12</v>
      </c>
      <c r="J65" s="50">
        <v>2</v>
      </c>
      <c r="K65" s="50">
        <v>1</v>
      </c>
      <c r="L65" s="50">
        <v>0</v>
      </c>
      <c r="M65" s="50">
        <v>54</v>
      </c>
      <c r="N65" s="50">
        <v>0</v>
      </c>
      <c r="O65" s="15">
        <f t="shared" si="0"/>
        <v>89</v>
      </c>
      <c r="P65" s="15">
        <f t="shared" si="1"/>
        <v>143</v>
      </c>
      <c r="R65" s="8"/>
      <c r="T65"/>
    </row>
    <row r="66" spans="2:20" ht="23.1" customHeight="1" x14ac:dyDescent="0.25">
      <c r="B66" s="45" t="s">
        <v>103</v>
      </c>
      <c r="C66" s="50">
        <v>28</v>
      </c>
      <c r="D66" s="50">
        <v>6</v>
      </c>
      <c r="E66" s="50">
        <v>9</v>
      </c>
      <c r="F66" s="50">
        <v>37</v>
      </c>
      <c r="G66" s="50">
        <v>3</v>
      </c>
      <c r="H66" s="50">
        <v>0</v>
      </c>
      <c r="I66" s="50">
        <v>8</v>
      </c>
      <c r="J66" s="50">
        <v>2</v>
      </c>
      <c r="K66" s="50">
        <v>0</v>
      </c>
      <c r="L66" s="50">
        <v>0</v>
      </c>
      <c r="M66" s="50">
        <v>51</v>
      </c>
      <c r="N66" s="50">
        <v>0</v>
      </c>
      <c r="O66" s="15">
        <f t="shared" si="0"/>
        <v>93</v>
      </c>
      <c r="P66" s="15">
        <f t="shared" si="1"/>
        <v>144</v>
      </c>
      <c r="R66" s="8"/>
      <c r="T66"/>
    </row>
    <row r="67" spans="2:20" ht="23.1" customHeight="1" x14ac:dyDescent="0.25">
      <c r="B67" s="45" t="s">
        <v>104</v>
      </c>
      <c r="C67" s="50">
        <v>22</v>
      </c>
      <c r="D67" s="50">
        <v>5</v>
      </c>
      <c r="E67" s="50">
        <v>2</v>
      </c>
      <c r="F67" s="50">
        <v>33</v>
      </c>
      <c r="G67" s="50">
        <v>2</v>
      </c>
      <c r="H67" s="50">
        <v>0</v>
      </c>
      <c r="I67" s="50">
        <v>9</v>
      </c>
      <c r="J67" s="50">
        <v>1</v>
      </c>
      <c r="K67" s="50">
        <v>0</v>
      </c>
      <c r="L67" s="50">
        <v>0</v>
      </c>
      <c r="M67" s="50">
        <v>47</v>
      </c>
      <c r="N67" s="50">
        <v>0</v>
      </c>
      <c r="O67" s="15">
        <f t="shared" si="0"/>
        <v>74</v>
      </c>
      <c r="P67" s="15">
        <f t="shared" si="1"/>
        <v>121</v>
      </c>
      <c r="R67" s="8"/>
      <c r="T67"/>
    </row>
    <row r="68" spans="2:20" ht="23.1" customHeight="1" x14ac:dyDescent="0.25">
      <c r="B68" s="45" t="s">
        <v>105</v>
      </c>
      <c r="C68" s="50">
        <v>19</v>
      </c>
      <c r="D68" s="50">
        <v>5</v>
      </c>
      <c r="E68" s="50">
        <v>1</v>
      </c>
      <c r="F68" s="50">
        <v>33</v>
      </c>
      <c r="G68" s="50">
        <v>2</v>
      </c>
      <c r="H68" s="50">
        <v>0</v>
      </c>
      <c r="I68" s="50">
        <v>5</v>
      </c>
      <c r="J68" s="50">
        <v>1</v>
      </c>
      <c r="K68" s="50">
        <v>0</v>
      </c>
      <c r="L68" s="50">
        <v>0</v>
      </c>
      <c r="M68" s="50">
        <v>22</v>
      </c>
      <c r="N68" s="50">
        <v>0</v>
      </c>
      <c r="O68" s="15">
        <f t="shared" si="0"/>
        <v>66</v>
      </c>
      <c r="P68" s="15">
        <f t="shared" si="1"/>
        <v>88</v>
      </c>
      <c r="R68" s="8"/>
      <c r="T68"/>
    </row>
    <row r="69" spans="2:20" ht="23.1" customHeight="1" x14ac:dyDescent="0.25">
      <c r="B69" s="45" t="s">
        <v>106</v>
      </c>
      <c r="C69" s="50">
        <v>25</v>
      </c>
      <c r="D69" s="50">
        <v>2</v>
      </c>
      <c r="E69" s="50">
        <v>4</v>
      </c>
      <c r="F69" s="50">
        <v>26</v>
      </c>
      <c r="G69" s="50">
        <v>0</v>
      </c>
      <c r="H69" s="50">
        <v>0</v>
      </c>
      <c r="I69" s="50">
        <v>6</v>
      </c>
      <c r="J69" s="50">
        <v>1</v>
      </c>
      <c r="K69" s="50">
        <v>0</v>
      </c>
      <c r="L69" s="50">
        <v>0</v>
      </c>
      <c r="M69" s="50">
        <v>37</v>
      </c>
      <c r="N69" s="50">
        <v>0</v>
      </c>
      <c r="O69" s="15">
        <f t="shared" si="0"/>
        <v>64</v>
      </c>
      <c r="P69" s="15">
        <f t="shared" si="1"/>
        <v>101</v>
      </c>
      <c r="R69" s="8"/>
      <c r="T69"/>
    </row>
    <row r="70" spans="2:20" ht="23.1" customHeight="1" x14ac:dyDescent="0.25">
      <c r="B70" s="45" t="s">
        <v>110</v>
      </c>
      <c r="C70" s="50">
        <v>22</v>
      </c>
      <c r="D70" s="50">
        <v>2</v>
      </c>
      <c r="E70" s="50">
        <v>4</v>
      </c>
      <c r="F70" s="50">
        <v>35</v>
      </c>
      <c r="G70" s="50">
        <v>0</v>
      </c>
      <c r="H70" s="50">
        <v>0</v>
      </c>
      <c r="I70" s="50">
        <v>6</v>
      </c>
      <c r="J70" s="50">
        <v>1</v>
      </c>
      <c r="K70" s="50">
        <v>0</v>
      </c>
      <c r="L70" s="50">
        <v>0</v>
      </c>
      <c r="M70" s="50">
        <v>35</v>
      </c>
      <c r="N70" s="50">
        <v>0</v>
      </c>
      <c r="O70" s="15">
        <f t="shared" si="0"/>
        <v>70</v>
      </c>
      <c r="P70" s="15">
        <f t="shared" si="1"/>
        <v>105</v>
      </c>
      <c r="R70" s="8"/>
      <c r="T70"/>
    </row>
    <row r="71" spans="2:20" ht="23.1" customHeight="1" x14ac:dyDescent="0.25">
      <c r="B71" s="45" t="s">
        <v>111</v>
      </c>
      <c r="C71" s="50">
        <v>23</v>
      </c>
      <c r="D71" s="50">
        <v>4</v>
      </c>
      <c r="E71" s="50">
        <v>5</v>
      </c>
      <c r="F71" s="50">
        <v>23</v>
      </c>
      <c r="G71" s="50">
        <v>3</v>
      </c>
      <c r="H71" s="50">
        <v>0</v>
      </c>
      <c r="I71" s="50">
        <v>1</v>
      </c>
      <c r="J71" s="50">
        <v>2</v>
      </c>
      <c r="K71" s="50">
        <v>0</v>
      </c>
      <c r="L71" s="50">
        <v>0</v>
      </c>
      <c r="M71" s="50">
        <v>24</v>
      </c>
      <c r="N71" s="50">
        <v>0</v>
      </c>
      <c r="O71" s="15">
        <f t="shared" si="0"/>
        <v>61</v>
      </c>
      <c r="P71" s="15">
        <f t="shared" si="1"/>
        <v>85</v>
      </c>
      <c r="R71" s="8"/>
      <c r="T71"/>
    </row>
    <row r="72" spans="2:20" ht="23.1" customHeight="1" x14ac:dyDescent="0.25">
      <c r="B72" s="45" t="s">
        <v>112</v>
      </c>
      <c r="C72" s="50">
        <v>14</v>
      </c>
      <c r="D72" s="50">
        <v>7</v>
      </c>
      <c r="E72" s="50">
        <v>6</v>
      </c>
      <c r="F72" s="50">
        <v>22</v>
      </c>
      <c r="G72" s="50">
        <v>1</v>
      </c>
      <c r="H72" s="50">
        <v>0</v>
      </c>
      <c r="I72" s="50">
        <v>5</v>
      </c>
      <c r="J72" s="50">
        <v>0</v>
      </c>
      <c r="K72" s="50">
        <v>2</v>
      </c>
      <c r="L72" s="50">
        <v>0</v>
      </c>
      <c r="M72" s="50">
        <v>27</v>
      </c>
      <c r="N72" s="50">
        <v>0</v>
      </c>
      <c r="O72" s="15">
        <f t="shared" si="0"/>
        <v>57</v>
      </c>
      <c r="P72" s="15">
        <f t="shared" si="1"/>
        <v>84</v>
      </c>
      <c r="R72" s="8"/>
      <c r="T72"/>
    </row>
    <row r="73" spans="2:20" ht="23.1" customHeight="1" x14ac:dyDescent="0.25">
      <c r="B73" s="45" t="s">
        <v>113</v>
      </c>
      <c r="C73" s="50">
        <v>13</v>
      </c>
      <c r="D73" s="50">
        <v>1</v>
      </c>
      <c r="E73" s="50">
        <v>1</v>
      </c>
      <c r="F73" s="50">
        <v>20</v>
      </c>
      <c r="G73" s="50">
        <v>0</v>
      </c>
      <c r="H73" s="50">
        <v>0</v>
      </c>
      <c r="I73" s="50">
        <v>4</v>
      </c>
      <c r="J73" s="50">
        <v>0</v>
      </c>
      <c r="K73" s="50">
        <v>1</v>
      </c>
      <c r="L73" s="50">
        <v>0</v>
      </c>
      <c r="M73" s="50">
        <v>19</v>
      </c>
      <c r="N73" s="50">
        <v>0</v>
      </c>
      <c r="O73" s="15">
        <f t="shared" si="0"/>
        <v>40</v>
      </c>
      <c r="P73" s="15">
        <f t="shared" si="1"/>
        <v>59</v>
      </c>
      <c r="R73" s="8"/>
      <c r="T73"/>
    </row>
    <row r="74" spans="2:20" ht="23.1" customHeight="1" x14ac:dyDescent="0.25">
      <c r="B74" s="45" t="s">
        <v>114</v>
      </c>
      <c r="C74" s="50">
        <v>15</v>
      </c>
      <c r="D74" s="50">
        <v>2</v>
      </c>
      <c r="E74" s="50">
        <v>4</v>
      </c>
      <c r="F74" s="50">
        <v>13</v>
      </c>
      <c r="G74" s="50">
        <v>0</v>
      </c>
      <c r="H74" s="50">
        <v>0</v>
      </c>
      <c r="I74" s="50">
        <v>3</v>
      </c>
      <c r="J74" s="50">
        <v>0</v>
      </c>
      <c r="K74" s="50">
        <v>1</v>
      </c>
      <c r="L74" s="50">
        <v>0</v>
      </c>
      <c r="M74" s="50">
        <v>11</v>
      </c>
      <c r="N74" s="50">
        <v>0</v>
      </c>
      <c r="O74" s="15">
        <f t="shared" ref="O74:O105" si="35">SUM(C74:L74,N74)</f>
        <v>38</v>
      </c>
      <c r="P74" s="15">
        <f t="shared" ref="P74:P105" si="36">SUM(C74:N74)</f>
        <v>49</v>
      </c>
      <c r="R74" s="8"/>
      <c r="T74"/>
    </row>
    <row r="75" spans="2:20" ht="23.1" customHeight="1" x14ac:dyDescent="0.25">
      <c r="B75" s="45" t="s">
        <v>115</v>
      </c>
      <c r="C75" s="50">
        <v>11</v>
      </c>
      <c r="D75" s="50">
        <v>1</v>
      </c>
      <c r="E75" s="50">
        <v>2</v>
      </c>
      <c r="F75" s="50">
        <v>5</v>
      </c>
      <c r="G75" s="50">
        <v>0</v>
      </c>
      <c r="H75" s="50">
        <v>0</v>
      </c>
      <c r="I75" s="50">
        <v>10</v>
      </c>
      <c r="J75" s="50">
        <v>1</v>
      </c>
      <c r="K75" s="50">
        <v>0</v>
      </c>
      <c r="L75" s="50">
        <v>0</v>
      </c>
      <c r="M75" s="50">
        <v>12</v>
      </c>
      <c r="N75" s="50">
        <v>0</v>
      </c>
      <c r="O75" s="15">
        <f t="shared" si="35"/>
        <v>30</v>
      </c>
      <c r="P75" s="15">
        <f t="shared" si="36"/>
        <v>42</v>
      </c>
      <c r="R75" s="8"/>
      <c r="T75"/>
    </row>
    <row r="76" spans="2:20" ht="23.1" customHeight="1" x14ac:dyDescent="0.25">
      <c r="B76" s="45" t="s">
        <v>116</v>
      </c>
      <c r="C76" s="50">
        <v>8</v>
      </c>
      <c r="D76" s="50">
        <v>1</v>
      </c>
      <c r="E76" s="50">
        <v>2</v>
      </c>
      <c r="F76" s="50">
        <v>9</v>
      </c>
      <c r="G76" s="50">
        <v>0</v>
      </c>
      <c r="H76" s="50">
        <v>0</v>
      </c>
      <c r="I76" s="50">
        <v>4</v>
      </c>
      <c r="J76" s="50">
        <v>0</v>
      </c>
      <c r="K76" s="50">
        <v>0</v>
      </c>
      <c r="L76" s="50">
        <v>0</v>
      </c>
      <c r="M76" s="50">
        <v>13</v>
      </c>
      <c r="N76" s="50">
        <v>0</v>
      </c>
      <c r="O76" s="15">
        <f t="shared" si="35"/>
        <v>24</v>
      </c>
      <c r="P76" s="15">
        <f t="shared" si="36"/>
        <v>37</v>
      </c>
      <c r="R76" s="8"/>
      <c r="T76"/>
    </row>
    <row r="77" spans="2:20" ht="23.1" customHeight="1" x14ac:dyDescent="0.25">
      <c r="B77" s="45" t="s">
        <v>117</v>
      </c>
      <c r="C77" s="50">
        <v>8</v>
      </c>
      <c r="D77" s="50">
        <v>1</v>
      </c>
      <c r="E77" s="50">
        <v>1</v>
      </c>
      <c r="F77" s="50">
        <v>10</v>
      </c>
      <c r="G77" s="50">
        <v>0</v>
      </c>
      <c r="H77" s="50">
        <v>0</v>
      </c>
      <c r="I77" s="50">
        <v>1</v>
      </c>
      <c r="J77" s="50">
        <v>1</v>
      </c>
      <c r="K77" s="50">
        <v>1</v>
      </c>
      <c r="L77" s="50">
        <v>0</v>
      </c>
      <c r="M77" s="50">
        <v>5</v>
      </c>
      <c r="N77" s="50">
        <v>0</v>
      </c>
      <c r="O77" s="15">
        <f t="shared" si="35"/>
        <v>23</v>
      </c>
      <c r="P77" s="15">
        <f t="shared" si="36"/>
        <v>28</v>
      </c>
      <c r="R77" s="8"/>
      <c r="T77"/>
    </row>
    <row r="78" spans="2:20" ht="23.1" customHeight="1" x14ac:dyDescent="0.25">
      <c r="B78" s="46" t="s">
        <v>118</v>
      </c>
      <c r="C78" s="50">
        <v>12</v>
      </c>
      <c r="D78" s="50">
        <v>1</v>
      </c>
      <c r="E78" s="50">
        <v>1</v>
      </c>
      <c r="F78" s="50">
        <v>4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3</v>
      </c>
      <c r="N78" s="50">
        <v>0</v>
      </c>
      <c r="O78" s="15">
        <f t="shared" si="35"/>
        <v>19</v>
      </c>
      <c r="P78" s="15">
        <f t="shared" si="36"/>
        <v>22</v>
      </c>
      <c r="R78" s="8"/>
      <c r="T78"/>
    </row>
    <row r="79" spans="2:20" ht="23.1" customHeight="1" x14ac:dyDescent="0.25">
      <c r="B79" s="45" t="s">
        <v>119</v>
      </c>
      <c r="C79" s="50">
        <v>11</v>
      </c>
      <c r="D79" s="50">
        <v>1</v>
      </c>
      <c r="E79" s="50">
        <v>0</v>
      </c>
      <c r="F79" s="50">
        <v>4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3</v>
      </c>
      <c r="N79" s="50">
        <v>0</v>
      </c>
      <c r="O79" s="15">
        <f t="shared" si="35"/>
        <v>17</v>
      </c>
      <c r="P79" s="15">
        <f t="shared" si="36"/>
        <v>20</v>
      </c>
      <c r="R79" s="8"/>
      <c r="T79"/>
    </row>
    <row r="80" spans="2:20" ht="23.1" customHeight="1" x14ac:dyDescent="0.25">
      <c r="B80" s="47" t="s">
        <v>120</v>
      </c>
      <c r="C80" s="50">
        <v>7</v>
      </c>
      <c r="D80" s="50">
        <v>2</v>
      </c>
      <c r="E80" s="50">
        <v>1</v>
      </c>
      <c r="F80" s="50">
        <v>2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3</v>
      </c>
      <c r="N80" s="50">
        <v>0</v>
      </c>
      <c r="O80" s="15">
        <f t="shared" si="35"/>
        <v>13</v>
      </c>
      <c r="P80" s="15">
        <f t="shared" si="36"/>
        <v>16</v>
      </c>
      <c r="R80" s="8"/>
      <c r="T80"/>
    </row>
    <row r="81" spans="2:20" ht="23.1" customHeight="1" x14ac:dyDescent="0.25">
      <c r="B81" s="45" t="s">
        <v>121</v>
      </c>
      <c r="C81" s="50">
        <v>4</v>
      </c>
      <c r="D81" s="50">
        <v>0</v>
      </c>
      <c r="E81" s="50">
        <v>1</v>
      </c>
      <c r="F81" s="50">
        <v>5</v>
      </c>
      <c r="G81" s="50">
        <v>0</v>
      </c>
      <c r="H81" s="50">
        <v>0</v>
      </c>
      <c r="I81" s="50">
        <v>0</v>
      </c>
      <c r="J81" s="50">
        <v>2</v>
      </c>
      <c r="K81" s="50">
        <v>0</v>
      </c>
      <c r="L81" s="50">
        <v>0</v>
      </c>
      <c r="M81" s="50">
        <v>4</v>
      </c>
      <c r="N81" s="50">
        <v>0</v>
      </c>
      <c r="O81" s="15">
        <f t="shared" si="35"/>
        <v>12</v>
      </c>
      <c r="P81" s="15">
        <f t="shared" si="36"/>
        <v>16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1</v>
      </c>
      <c r="L82" s="50">
        <v>0</v>
      </c>
      <c r="M82" s="50">
        <v>9</v>
      </c>
      <c r="N82" s="50">
        <v>0</v>
      </c>
      <c r="O82" s="15">
        <f t="shared" si="35"/>
        <v>4</v>
      </c>
      <c r="P82" s="15">
        <f t="shared" si="36"/>
        <v>13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3</v>
      </c>
      <c r="G83" s="50">
        <v>0</v>
      </c>
      <c r="H83" s="50">
        <v>0</v>
      </c>
      <c r="I83" s="50">
        <v>3</v>
      </c>
      <c r="J83" s="50">
        <v>0</v>
      </c>
      <c r="K83" s="50">
        <v>0</v>
      </c>
      <c r="L83" s="50">
        <v>0</v>
      </c>
      <c r="M83" s="50">
        <v>5</v>
      </c>
      <c r="N83" s="50">
        <v>0</v>
      </c>
      <c r="O83" s="15">
        <f t="shared" si="35"/>
        <v>8</v>
      </c>
      <c r="P83" s="15">
        <f t="shared" si="36"/>
        <v>13</v>
      </c>
      <c r="R83" s="8"/>
      <c r="T83"/>
    </row>
    <row r="84" spans="2:20" ht="23.1" customHeight="1" x14ac:dyDescent="0.25">
      <c r="B84" s="47" t="s">
        <v>124</v>
      </c>
      <c r="C84" s="50">
        <v>3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8</v>
      </c>
      <c r="N84" s="50">
        <v>0</v>
      </c>
      <c r="O84" s="15">
        <f t="shared" si="35"/>
        <v>5</v>
      </c>
      <c r="P84" s="15">
        <f t="shared" si="36"/>
        <v>13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2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4</v>
      </c>
      <c r="N85" s="50">
        <v>0</v>
      </c>
      <c r="O85" s="15">
        <f t="shared" si="35"/>
        <v>4</v>
      </c>
      <c r="P85" s="15">
        <f t="shared" si="36"/>
        <v>8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1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4</v>
      </c>
      <c r="N86" s="50">
        <v>0</v>
      </c>
      <c r="O86" s="15">
        <f t="shared" si="35"/>
        <v>4</v>
      </c>
      <c r="P86" s="15">
        <f t="shared" si="36"/>
        <v>8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1</v>
      </c>
      <c r="G87" s="50">
        <v>0</v>
      </c>
      <c r="H87" s="50">
        <v>0</v>
      </c>
      <c r="I87" s="50">
        <v>2</v>
      </c>
      <c r="J87" s="50">
        <v>1</v>
      </c>
      <c r="K87" s="50">
        <v>1</v>
      </c>
      <c r="L87" s="50">
        <v>0</v>
      </c>
      <c r="M87" s="50">
        <v>3</v>
      </c>
      <c r="N87" s="50">
        <v>0</v>
      </c>
      <c r="O87" s="15">
        <f t="shared" si="35"/>
        <v>6</v>
      </c>
      <c r="P87" s="15">
        <f t="shared" si="36"/>
        <v>9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1</v>
      </c>
      <c r="E88" s="50">
        <v>0</v>
      </c>
      <c r="F88" s="50">
        <v>1</v>
      </c>
      <c r="G88" s="50">
        <v>0</v>
      </c>
      <c r="H88" s="50">
        <v>0</v>
      </c>
      <c r="I88" s="50">
        <v>2</v>
      </c>
      <c r="J88" s="50">
        <v>0</v>
      </c>
      <c r="K88" s="50">
        <v>0</v>
      </c>
      <c r="L88" s="50">
        <v>0</v>
      </c>
      <c r="M88" s="50">
        <v>3</v>
      </c>
      <c r="N88" s="50">
        <v>0</v>
      </c>
      <c r="O88" s="15">
        <f t="shared" si="35"/>
        <v>7</v>
      </c>
      <c r="P88" s="15">
        <f t="shared" si="36"/>
        <v>10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1</v>
      </c>
      <c r="E89" s="50">
        <v>2</v>
      </c>
      <c r="F89" s="50">
        <v>2</v>
      </c>
      <c r="G89" s="50">
        <v>0</v>
      </c>
      <c r="H89" s="50">
        <v>0</v>
      </c>
      <c r="I89" s="50">
        <v>3</v>
      </c>
      <c r="J89" s="50">
        <v>0</v>
      </c>
      <c r="K89" s="50">
        <v>0</v>
      </c>
      <c r="L89" s="50">
        <v>0</v>
      </c>
      <c r="M89" s="50">
        <v>10</v>
      </c>
      <c r="N89" s="50">
        <v>0</v>
      </c>
      <c r="O89" s="15">
        <f t="shared" si="35"/>
        <v>8</v>
      </c>
      <c r="P89" s="15">
        <f t="shared" si="36"/>
        <v>18</v>
      </c>
      <c r="R89" s="8"/>
      <c r="T89"/>
    </row>
    <row r="90" spans="2:20" ht="23.1" customHeight="1" x14ac:dyDescent="0.25">
      <c r="B90" s="46" t="s">
        <v>130</v>
      </c>
      <c r="C90" s="50">
        <v>3</v>
      </c>
      <c r="D90" s="50">
        <v>0</v>
      </c>
      <c r="E90" s="50">
        <v>0</v>
      </c>
      <c r="F90" s="50">
        <v>3</v>
      </c>
      <c r="G90" s="50">
        <v>0</v>
      </c>
      <c r="H90" s="50">
        <v>0</v>
      </c>
      <c r="I90" s="50">
        <v>0</v>
      </c>
      <c r="J90" s="50">
        <v>1</v>
      </c>
      <c r="K90" s="50">
        <v>1</v>
      </c>
      <c r="L90" s="50">
        <v>0</v>
      </c>
      <c r="M90" s="50">
        <v>2</v>
      </c>
      <c r="N90" s="50">
        <v>0</v>
      </c>
      <c r="O90" s="15">
        <f t="shared" si="35"/>
        <v>8</v>
      </c>
      <c r="P90" s="15">
        <f t="shared" si="36"/>
        <v>10</v>
      </c>
      <c r="R90" s="8"/>
      <c r="T90"/>
    </row>
    <row r="91" spans="2:20" ht="23.1" customHeight="1" x14ac:dyDescent="0.25">
      <c r="B91" s="45" t="s">
        <v>131</v>
      </c>
      <c r="C91" s="50">
        <v>4</v>
      </c>
      <c r="D91" s="50">
        <v>1</v>
      </c>
      <c r="E91" s="50">
        <v>1</v>
      </c>
      <c r="F91" s="50">
        <v>2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4</v>
      </c>
      <c r="N91" s="50">
        <v>0</v>
      </c>
      <c r="O91" s="15">
        <f t="shared" si="35"/>
        <v>8</v>
      </c>
      <c r="P91" s="15">
        <f t="shared" si="36"/>
        <v>12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2</v>
      </c>
      <c r="F92" s="50">
        <v>1</v>
      </c>
      <c r="G92" s="50">
        <v>0</v>
      </c>
      <c r="H92" s="50">
        <v>0</v>
      </c>
      <c r="I92" s="50">
        <v>2</v>
      </c>
      <c r="J92" s="50">
        <v>0</v>
      </c>
      <c r="K92" s="50">
        <v>0</v>
      </c>
      <c r="L92" s="50">
        <v>0</v>
      </c>
      <c r="M92" s="50">
        <v>4</v>
      </c>
      <c r="N92" s="50">
        <v>0</v>
      </c>
      <c r="O92" s="15">
        <f t="shared" si="35"/>
        <v>5</v>
      </c>
      <c r="P92" s="15">
        <f t="shared" si="36"/>
        <v>9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1</v>
      </c>
      <c r="F93" s="50">
        <v>2</v>
      </c>
      <c r="G93" s="50">
        <v>0</v>
      </c>
      <c r="H93" s="50">
        <v>0</v>
      </c>
      <c r="I93" s="50">
        <v>2</v>
      </c>
      <c r="J93" s="50">
        <v>0</v>
      </c>
      <c r="K93" s="50">
        <v>0</v>
      </c>
      <c r="L93" s="50">
        <v>0</v>
      </c>
      <c r="M93" s="50">
        <v>7</v>
      </c>
      <c r="N93" s="50">
        <v>0</v>
      </c>
      <c r="O93" s="15">
        <f t="shared" si="35"/>
        <v>7</v>
      </c>
      <c r="P93" s="15">
        <f t="shared" si="36"/>
        <v>14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3</v>
      </c>
      <c r="G94" s="50">
        <v>1</v>
      </c>
      <c r="H94" s="50">
        <v>0</v>
      </c>
      <c r="I94" s="50">
        <v>0</v>
      </c>
      <c r="J94" s="50">
        <v>1</v>
      </c>
      <c r="K94" s="50">
        <v>0</v>
      </c>
      <c r="L94" s="50">
        <v>0</v>
      </c>
      <c r="M94" s="50">
        <v>4</v>
      </c>
      <c r="N94" s="50">
        <v>0</v>
      </c>
      <c r="O94" s="15">
        <f t="shared" si="35"/>
        <v>5</v>
      </c>
      <c r="P94" s="15">
        <f t="shared" si="36"/>
        <v>9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1</v>
      </c>
      <c r="E95" s="50">
        <v>0</v>
      </c>
      <c r="F95" s="50">
        <v>1</v>
      </c>
      <c r="G95" s="50">
        <v>0</v>
      </c>
      <c r="H95" s="50">
        <v>0</v>
      </c>
      <c r="I95" s="50">
        <v>2</v>
      </c>
      <c r="J95" s="50">
        <v>0</v>
      </c>
      <c r="K95" s="50">
        <v>0</v>
      </c>
      <c r="L95" s="50">
        <v>1</v>
      </c>
      <c r="M95" s="50">
        <v>7</v>
      </c>
      <c r="N95" s="50">
        <v>0</v>
      </c>
      <c r="O95" s="15">
        <f t="shared" si="35"/>
        <v>5</v>
      </c>
      <c r="P95" s="15">
        <f t="shared" si="36"/>
        <v>12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1</v>
      </c>
      <c r="E96" s="50">
        <v>0</v>
      </c>
      <c r="F96" s="50">
        <v>2</v>
      </c>
      <c r="G96" s="50">
        <v>0</v>
      </c>
      <c r="H96" s="50">
        <v>0</v>
      </c>
      <c r="I96" s="50">
        <v>2</v>
      </c>
      <c r="J96" s="50">
        <v>0</v>
      </c>
      <c r="K96" s="50">
        <v>0</v>
      </c>
      <c r="L96" s="50">
        <v>0</v>
      </c>
      <c r="M96" s="50">
        <v>4</v>
      </c>
      <c r="N96" s="50">
        <v>0</v>
      </c>
      <c r="O96" s="15">
        <f t="shared" si="35"/>
        <v>7</v>
      </c>
      <c r="P96" s="15">
        <f t="shared" si="36"/>
        <v>11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2</v>
      </c>
      <c r="E97" s="50">
        <v>2</v>
      </c>
      <c r="F97" s="50">
        <v>4</v>
      </c>
      <c r="G97" s="50">
        <v>0</v>
      </c>
      <c r="H97" s="50">
        <v>0</v>
      </c>
      <c r="I97" s="50">
        <v>3</v>
      </c>
      <c r="J97" s="50">
        <v>1</v>
      </c>
      <c r="K97" s="50">
        <v>0</v>
      </c>
      <c r="L97" s="50">
        <v>0</v>
      </c>
      <c r="M97" s="50">
        <v>8</v>
      </c>
      <c r="N97" s="50">
        <v>0</v>
      </c>
      <c r="O97" s="15">
        <f t="shared" si="35"/>
        <v>16</v>
      </c>
      <c r="P97" s="15">
        <f t="shared" si="36"/>
        <v>24</v>
      </c>
      <c r="R97" s="8"/>
      <c r="T97"/>
    </row>
    <row r="98" spans="2:20" ht="23.1" customHeight="1" x14ac:dyDescent="0.25">
      <c r="B98" s="46" t="s">
        <v>138</v>
      </c>
      <c r="C98" s="50">
        <v>6</v>
      </c>
      <c r="D98" s="50">
        <v>2</v>
      </c>
      <c r="E98" s="50">
        <v>1</v>
      </c>
      <c r="F98" s="50">
        <v>10</v>
      </c>
      <c r="G98" s="50">
        <v>0</v>
      </c>
      <c r="H98" s="50">
        <v>0</v>
      </c>
      <c r="I98" s="50">
        <v>3</v>
      </c>
      <c r="J98" s="50">
        <v>0</v>
      </c>
      <c r="K98" s="50">
        <v>0</v>
      </c>
      <c r="L98" s="50">
        <v>0</v>
      </c>
      <c r="M98" s="50">
        <v>14</v>
      </c>
      <c r="N98" s="50">
        <v>0</v>
      </c>
      <c r="O98" s="15">
        <f t="shared" si="35"/>
        <v>22</v>
      </c>
      <c r="P98" s="15">
        <f t="shared" si="36"/>
        <v>36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0</v>
      </c>
      <c r="E99" s="50">
        <v>1</v>
      </c>
      <c r="F99" s="50">
        <v>15</v>
      </c>
      <c r="G99" s="50">
        <v>1</v>
      </c>
      <c r="H99" s="50">
        <v>0</v>
      </c>
      <c r="I99" s="50">
        <v>3</v>
      </c>
      <c r="J99" s="50">
        <v>0</v>
      </c>
      <c r="K99" s="50">
        <v>1</v>
      </c>
      <c r="L99" s="50">
        <v>0</v>
      </c>
      <c r="M99" s="50">
        <v>12</v>
      </c>
      <c r="N99" s="50">
        <v>0</v>
      </c>
      <c r="O99" s="15">
        <f t="shared" si="35"/>
        <v>24</v>
      </c>
      <c r="P99" s="15">
        <f t="shared" si="36"/>
        <v>36</v>
      </c>
      <c r="R99" s="8"/>
      <c r="T99"/>
    </row>
    <row r="100" spans="2:20" ht="23.1" customHeight="1" x14ac:dyDescent="0.25">
      <c r="B100" s="47" t="s">
        <v>140</v>
      </c>
      <c r="C100" s="50">
        <v>11</v>
      </c>
      <c r="D100" s="50">
        <v>2</v>
      </c>
      <c r="E100" s="50">
        <v>3</v>
      </c>
      <c r="F100" s="50">
        <v>9</v>
      </c>
      <c r="G100" s="50">
        <v>0</v>
      </c>
      <c r="H100" s="50">
        <v>0</v>
      </c>
      <c r="I100" s="50">
        <v>0</v>
      </c>
      <c r="J100" s="50">
        <v>0</v>
      </c>
      <c r="K100" s="50">
        <v>2</v>
      </c>
      <c r="L100" s="50">
        <v>0</v>
      </c>
      <c r="M100" s="50">
        <v>12</v>
      </c>
      <c r="N100" s="50">
        <v>0</v>
      </c>
      <c r="O100" s="15">
        <f t="shared" si="35"/>
        <v>27</v>
      </c>
      <c r="P100" s="15">
        <f t="shared" si="36"/>
        <v>39</v>
      </c>
      <c r="R100" s="8"/>
      <c r="T100"/>
    </row>
    <row r="101" spans="2:20" ht="23.1" customHeight="1" x14ac:dyDescent="0.25">
      <c r="B101" s="45" t="s">
        <v>141</v>
      </c>
      <c r="C101" s="50">
        <v>48</v>
      </c>
      <c r="D101" s="50">
        <v>3</v>
      </c>
      <c r="E101" s="50">
        <v>2</v>
      </c>
      <c r="F101" s="50">
        <v>37</v>
      </c>
      <c r="G101" s="50">
        <v>3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18</v>
      </c>
      <c r="N101" s="50">
        <v>0</v>
      </c>
      <c r="O101" s="15">
        <f t="shared" si="35"/>
        <v>93</v>
      </c>
      <c r="P101" s="15">
        <f t="shared" si="36"/>
        <v>111</v>
      </c>
      <c r="R101" s="8"/>
      <c r="T101"/>
    </row>
    <row r="102" spans="2:20" ht="23.1" customHeight="1" x14ac:dyDescent="0.25">
      <c r="B102" s="46" t="s">
        <v>142</v>
      </c>
      <c r="C102" s="50">
        <v>86</v>
      </c>
      <c r="D102" s="50">
        <v>11</v>
      </c>
      <c r="E102" s="50">
        <v>6</v>
      </c>
      <c r="F102" s="50">
        <v>43</v>
      </c>
      <c r="G102" s="50">
        <v>2</v>
      </c>
      <c r="H102" s="50">
        <v>0</v>
      </c>
      <c r="I102" s="50">
        <v>2</v>
      </c>
      <c r="J102" s="50">
        <v>1</v>
      </c>
      <c r="K102" s="50">
        <v>0</v>
      </c>
      <c r="L102" s="50">
        <v>0</v>
      </c>
      <c r="M102" s="50">
        <v>12</v>
      </c>
      <c r="N102" s="50">
        <v>0</v>
      </c>
      <c r="O102" s="15">
        <f t="shared" si="35"/>
        <v>151</v>
      </c>
      <c r="P102" s="15">
        <f t="shared" si="36"/>
        <v>163</v>
      </c>
      <c r="R102" s="8"/>
      <c r="T102"/>
    </row>
    <row r="103" spans="2:20" ht="23.1" customHeight="1" x14ac:dyDescent="0.25">
      <c r="B103" s="45" t="s">
        <v>143</v>
      </c>
      <c r="C103" s="50">
        <v>107</v>
      </c>
      <c r="D103" s="50">
        <v>6</v>
      </c>
      <c r="E103" s="50">
        <v>6</v>
      </c>
      <c r="F103" s="50">
        <v>45</v>
      </c>
      <c r="G103" s="50">
        <v>1</v>
      </c>
      <c r="H103" s="50">
        <v>0</v>
      </c>
      <c r="I103" s="50">
        <v>5</v>
      </c>
      <c r="J103" s="50">
        <v>3</v>
      </c>
      <c r="K103" s="50">
        <v>0</v>
      </c>
      <c r="L103" s="50">
        <v>0</v>
      </c>
      <c r="M103" s="50">
        <v>14</v>
      </c>
      <c r="N103" s="50">
        <v>0</v>
      </c>
      <c r="O103" s="15">
        <f t="shared" si="35"/>
        <v>173</v>
      </c>
      <c r="P103" s="15">
        <f t="shared" si="36"/>
        <v>187</v>
      </c>
      <c r="R103" s="8"/>
      <c r="T103"/>
    </row>
    <row r="104" spans="2:20" ht="23.1" customHeight="1" x14ac:dyDescent="0.25">
      <c r="B104" s="47" t="s">
        <v>144</v>
      </c>
      <c r="C104" s="50">
        <v>139</v>
      </c>
      <c r="D104" s="50">
        <v>14</v>
      </c>
      <c r="E104" s="50">
        <v>7</v>
      </c>
      <c r="F104" s="50">
        <v>45</v>
      </c>
      <c r="G104" s="50">
        <v>0</v>
      </c>
      <c r="H104" s="50">
        <v>0</v>
      </c>
      <c r="I104" s="50">
        <v>2</v>
      </c>
      <c r="J104" s="50">
        <v>1</v>
      </c>
      <c r="K104" s="50">
        <v>1</v>
      </c>
      <c r="L104" s="50">
        <v>0</v>
      </c>
      <c r="M104" s="50">
        <v>12</v>
      </c>
      <c r="N104" s="50">
        <v>0</v>
      </c>
      <c r="O104" s="15">
        <f t="shared" si="35"/>
        <v>209</v>
      </c>
      <c r="P104" s="15">
        <f t="shared" si="36"/>
        <v>221</v>
      </c>
      <c r="R104" s="8"/>
      <c r="T104"/>
    </row>
    <row r="105" spans="2:20" ht="23.1" customHeight="1" x14ac:dyDescent="0.25">
      <c r="B105" s="45" t="s">
        <v>145</v>
      </c>
      <c r="C105" s="50">
        <v>126</v>
      </c>
      <c r="D105" s="50">
        <v>13</v>
      </c>
      <c r="E105" s="50">
        <v>7</v>
      </c>
      <c r="F105" s="50">
        <v>52</v>
      </c>
      <c r="G105" s="50">
        <v>1</v>
      </c>
      <c r="H105" s="50">
        <v>0</v>
      </c>
      <c r="I105" s="50">
        <v>0</v>
      </c>
      <c r="J105" s="50">
        <v>2</v>
      </c>
      <c r="K105" s="50">
        <v>0</v>
      </c>
      <c r="L105" s="50">
        <v>0</v>
      </c>
      <c r="M105" s="50">
        <v>24</v>
      </c>
      <c r="N105" s="50">
        <v>0</v>
      </c>
      <c r="O105" s="15">
        <f t="shared" si="35"/>
        <v>201</v>
      </c>
      <c r="P105" s="15">
        <f t="shared" si="36"/>
        <v>225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3762</v>
      </c>
      <c r="D106" s="16">
        <f t="shared" ref="D106:P106" si="37">SUM(D10:D105)</f>
        <v>499</v>
      </c>
      <c r="E106" s="16">
        <f t="shared" si="37"/>
        <v>455</v>
      </c>
      <c r="F106" s="16">
        <f t="shared" si="37"/>
        <v>2999</v>
      </c>
      <c r="G106" s="16">
        <f t="shared" si="37"/>
        <v>75</v>
      </c>
      <c r="H106" s="16">
        <f t="shared" si="37"/>
        <v>19</v>
      </c>
      <c r="I106" s="16">
        <f t="shared" si="37"/>
        <v>698</v>
      </c>
      <c r="J106" s="16">
        <f t="shared" si="37"/>
        <v>144</v>
      </c>
      <c r="K106" s="16">
        <f t="shared" si="37"/>
        <v>152</v>
      </c>
      <c r="L106" s="16">
        <f t="shared" si="37"/>
        <v>17</v>
      </c>
      <c r="M106" s="16">
        <f t="shared" si="37"/>
        <v>6211</v>
      </c>
      <c r="N106" s="16">
        <f t="shared" si="37"/>
        <v>0</v>
      </c>
      <c r="O106" s="16">
        <f t="shared" si="37"/>
        <v>8820</v>
      </c>
      <c r="P106" s="16">
        <f t="shared" si="37"/>
        <v>15031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0.25028274898543013</v>
      </c>
      <c r="D107" s="43">
        <f t="shared" si="38"/>
        <v>3.319805734814716E-2</v>
      </c>
      <c r="E107" s="43">
        <f t="shared" si="38"/>
        <v>3.0270773734282483E-2</v>
      </c>
      <c r="F107" s="43">
        <f t="shared" si="38"/>
        <v>0.19952098995409487</v>
      </c>
      <c r="G107" s="43">
        <f t="shared" si="38"/>
        <v>4.9896879781784311E-3</v>
      </c>
      <c r="H107" s="43">
        <f t="shared" si="38"/>
        <v>1.2640542878052025E-3</v>
      </c>
      <c r="I107" s="43">
        <f t="shared" si="38"/>
        <v>4.6437362783580599E-2</v>
      </c>
      <c r="J107" s="43">
        <f t="shared" si="38"/>
        <v>9.5802009181025875E-3</v>
      </c>
      <c r="K107" s="43">
        <f t="shared" si="38"/>
        <v>1.011243430244162E-2</v>
      </c>
      <c r="L107" s="43">
        <f t="shared" si="38"/>
        <v>1.1309959417204443E-3</v>
      </c>
      <c r="M107" s="43">
        <f t="shared" si="38"/>
        <v>0.4132126937662165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0.42653061224489797</v>
      </c>
      <c r="D108" s="44">
        <f t="shared" ref="D108:N108" si="39">D106/$O$106</f>
        <v>5.6575963718820864E-2</v>
      </c>
      <c r="E108" s="44">
        <f t="shared" si="39"/>
        <v>5.1587301587301584E-2</v>
      </c>
      <c r="F108" s="44">
        <f t="shared" si="39"/>
        <v>0.34002267573696143</v>
      </c>
      <c r="G108" s="44">
        <f t="shared" si="39"/>
        <v>8.5034013605442185E-3</v>
      </c>
      <c r="H108" s="44">
        <f t="shared" si="39"/>
        <v>2.1541950113378684E-3</v>
      </c>
      <c r="I108" s="44">
        <f t="shared" si="39"/>
        <v>7.9138321995464847E-2</v>
      </c>
      <c r="J108" s="44">
        <f t="shared" si="39"/>
        <v>1.6326530612244899E-2</v>
      </c>
      <c r="K108" s="44">
        <f t="shared" si="39"/>
        <v>1.7233560090702947E-2</v>
      </c>
      <c r="L108" s="44">
        <f t="shared" si="39"/>
        <v>1.927437641723356E-3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78" t="str">
        <f>'23.09. KASANGATI-GAYAZA'!C3:G3</f>
        <v>MCC - C2 - STN-69- Gayaza-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2" t="s">
        <v>181</v>
      </c>
      <c r="E5" s="3"/>
      <c r="F5" s="41" t="s">
        <v>1</v>
      </c>
      <c r="G5" s="73" t="str">
        <f>'25.09 Gayaza-Kasangati'!G5:H5</f>
        <v>TOTAL BULAMU</v>
      </c>
      <c r="H5" s="74"/>
      <c r="I5" s="14"/>
      <c r="J5" s="2" t="s">
        <v>5</v>
      </c>
      <c r="K5" s="73" t="s">
        <v>182</v>
      </c>
      <c r="L5" s="74"/>
      <c r="M5" s="10"/>
      <c r="N5" s="10"/>
      <c r="O5" s="3"/>
      <c r="P5" s="3"/>
    </row>
    <row r="6" spans="2:32" ht="23.25" customHeight="1" x14ac:dyDescent="0.25">
      <c r="C6" s="2" t="s">
        <v>4</v>
      </c>
      <c r="D6" s="73" t="str">
        <f>'23.09. KASANGATI-GAYAZA'!D6:E6</f>
        <v>KASANGATI</v>
      </c>
      <c r="E6" s="74"/>
      <c r="F6" s="2" t="s">
        <v>2</v>
      </c>
      <c r="G6" s="73" t="str">
        <f>'23.09. KASANGATI-GAYAZA'!G6:H6</f>
        <v>GAYAZA</v>
      </c>
      <c r="H6" s="74"/>
      <c r="J6" s="2" t="s">
        <v>21</v>
      </c>
      <c r="K6" s="73" t="str">
        <f>'25.09 Gayaza-Kasangati'!K6:L6</f>
        <v>LAWRENCE</v>
      </c>
      <c r="L6" s="7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58</v>
      </c>
      <c r="D10" s="50">
        <v>10</v>
      </c>
      <c r="E10" s="50">
        <v>12</v>
      </c>
      <c r="F10" s="50">
        <v>43</v>
      </c>
      <c r="G10" s="50">
        <v>2</v>
      </c>
      <c r="H10" s="50">
        <v>1</v>
      </c>
      <c r="I10" s="50">
        <v>12</v>
      </c>
      <c r="J10" s="50">
        <v>1</v>
      </c>
      <c r="K10" s="50">
        <v>2</v>
      </c>
      <c r="L10" s="50">
        <v>0</v>
      </c>
      <c r="M10" s="50">
        <v>75</v>
      </c>
      <c r="N10" s="50">
        <v>0</v>
      </c>
      <c r="O10" s="15">
        <f t="shared" ref="O10:O57" si="0">SUM(C10:L10,N10)</f>
        <v>141</v>
      </c>
      <c r="P10" s="15">
        <f t="shared" ref="P10:P57" si="1">SUM(C10:N10)</f>
        <v>216</v>
      </c>
      <c r="R10" s="1" t="s">
        <v>6</v>
      </c>
      <c r="S10" s="17">
        <f t="shared" ref="S10:AF10" si="2">SUM(C10:C13)</f>
        <v>190</v>
      </c>
      <c r="T10" s="17">
        <f t="shared" si="2"/>
        <v>28</v>
      </c>
      <c r="U10" s="17">
        <f t="shared" si="2"/>
        <v>26</v>
      </c>
      <c r="V10" s="17">
        <f t="shared" si="2"/>
        <v>166</v>
      </c>
      <c r="W10" s="17">
        <f t="shared" si="2"/>
        <v>4</v>
      </c>
      <c r="X10" s="17">
        <f t="shared" si="2"/>
        <v>1</v>
      </c>
      <c r="Y10" s="17">
        <f t="shared" si="2"/>
        <v>48</v>
      </c>
      <c r="Z10" s="17">
        <f t="shared" si="2"/>
        <v>4</v>
      </c>
      <c r="AA10" s="17">
        <f t="shared" si="2"/>
        <v>15</v>
      </c>
      <c r="AB10" s="17">
        <f t="shared" si="2"/>
        <v>1</v>
      </c>
      <c r="AC10" s="17">
        <f t="shared" si="2"/>
        <v>357</v>
      </c>
      <c r="AD10" s="17">
        <f t="shared" si="2"/>
        <v>0</v>
      </c>
      <c r="AE10" s="31">
        <f t="shared" si="2"/>
        <v>483</v>
      </c>
      <c r="AF10" s="31">
        <f t="shared" si="2"/>
        <v>840</v>
      </c>
    </row>
    <row r="11" spans="2:32" s="6" customFormat="1" ht="23.1" customHeight="1" x14ac:dyDescent="0.25">
      <c r="B11" s="23" t="s">
        <v>38</v>
      </c>
      <c r="C11" s="50">
        <v>36</v>
      </c>
      <c r="D11" s="50">
        <v>8</v>
      </c>
      <c r="E11" s="50">
        <v>3</v>
      </c>
      <c r="F11" s="50">
        <v>35</v>
      </c>
      <c r="G11" s="50">
        <v>0</v>
      </c>
      <c r="H11" s="50">
        <v>0</v>
      </c>
      <c r="I11" s="50">
        <v>9</v>
      </c>
      <c r="J11" s="50">
        <v>0</v>
      </c>
      <c r="K11" s="50">
        <v>4</v>
      </c>
      <c r="L11" s="50">
        <v>0</v>
      </c>
      <c r="M11" s="50">
        <v>62</v>
      </c>
      <c r="N11" s="50">
        <v>0</v>
      </c>
      <c r="O11" s="15">
        <f t="shared" si="0"/>
        <v>95</v>
      </c>
      <c r="P11" s="15">
        <f t="shared" si="1"/>
        <v>157</v>
      </c>
      <c r="R11" s="1" t="s">
        <v>7</v>
      </c>
      <c r="S11" s="17">
        <f t="shared" ref="S11:AF11" si="3">SUM(C14:C17)</f>
        <v>162</v>
      </c>
      <c r="T11" s="17">
        <f t="shared" si="3"/>
        <v>33</v>
      </c>
      <c r="U11" s="17">
        <f t="shared" si="3"/>
        <v>25</v>
      </c>
      <c r="V11" s="17">
        <f t="shared" si="3"/>
        <v>176</v>
      </c>
      <c r="W11" s="17">
        <f t="shared" si="3"/>
        <v>5</v>
      </c>
      <c r="X11" s="17">
        <f t="shared" si="3"/>
        <v>1</v>
      </c>
      <c r="Y11" s="17">
        <f t="shared" si="3"/>
        <v>32</v>
      </c>
      <c r="Z11" s="17">
        <f t="shared" si="3"/>
        <v>8</v>
      </c>
      <c r="AA11" s="17">
        <f t="shared" si="3"/>
        <v>9</v>
      </c>
      <c r="AB11" s="17">
        <f t="shared" si="3"/>
        <v>1</v>
      </c>
      <c r="AC11" s="17">
        <f t="shared" si="3"/>
        <v>374</v>
      </c>
      <c r="AD11" s="17">
        <f t="shared" si="3"/>
        <v>0</v>
      </c>
      <c r="AE11" s="31">
        <f t="shared" si="3"/>
        <v>452</v>
      </c>
      <c r="AF11" s="31">
        <f t="shared" si="3"/>
        <v>826</v>
      </c>
    </row>
    <row r="12" spans="2:32" ht="23.1" customHeight="1" x14ac:dyDescent="0.25">
      <c r="B12" s="23" t="s">
        <v>39</v>
      </c>
      <c r="C12" s="50">
        <v>36</v>
      </c>
      <c r="D12" s="50">
        <v>2</v>
      </c>
      <c r="E12" s="50">
        <v>4</v>
      </c>
      <c r="F12" s="50">
        <v>33</v>
      </c>
      <c r="G12" s="50">
        <v>1</v>
      </c>
      <c r="H12" s="50">
        <v>0</v>
      </c>
      <c r="I12" s="50">
        <v>8</v>
      </c>
      <c r="J12" s="50">
        <v>1</v>
      </c>
      <c r="K12" s="50">
        <v>3</v>
      </c>
      <c r="L12" s="50">
        <v>1</v>
      </c>
      <c r="M12" s="50">
        <v>80</v>
      </c>
      <c r="N12" s="50">
        <v>0</v>
      </c>
      <c r="O12" s="15">
        <f t="shared" si="0"/>
        <v>89</v>
      </c>
      <c r="P12" s="15">
        <f t="shared" si="1"/>
        <v>169</v>
      </c>
      <c r="R12" s="1" t="s">
        <v>8</v>
      </c>
      <c r="S12" s="17">
        <f t="shared" ref="S12:AF12" si="4">SUM(C18:C21)</f>
        <v>245</v>
      </c>
      <c r="T12" s="17">
        <f t="shared" si="4"/>
        <v>36</v>
      </c>
      <c r="U12" s="17">
        <f t="shared" si="4"/>
        <v>31</v>
      </c>
      <c r="V12" s="17">
        <f t="shared" si="4"/>
        <v>212</v>
      </c>
      <c r="W12" s="17">
        <f t="shared" si="4"/>
        <v>6</v>
      </c>
      <c r="X12" s="17">
        <f t="shared" si="4"/>
        <v>3</v>
      </c>
      <c r="Y12" s="17">
        <f t="shared" si="4"/>
        <v>52</v>
      </c>
      <c r="Z12" s="17">
        <f t="shared" si="4"/>
        <v>18</v>
      </c>
      <c r="AA12" s="17">
        <f t="shared" si="4"/>
        <v>14</v>
      </c>
      <c r="AB12" s="17">
        <f t="shared" si="4"/>
        <v>0</v>
      </c>
      <c r="AC12" s="17">
        <f t="shared" si="4"/>
        <v>368</v>
      </c>
      <c r="AD12" s="17">
        <f t="shared" si="4"/>
        <v>0</v>
      </c>
      <c r="AE12" s="31">
        <f t="shared" si="4"/>
        <v>617</v>
      </c>
      <c r="AF12" s="31">
        <f t="shared" si="4"/>
        <v>985</v>
      </c>
    </row>
    <row r="13" spans="2:32" ht="23.1" customHeight="1" x14ac:dyDescent="0.25">
      <c r="B13" s="23" t="s">
        <v>40</v>
      </c>
      <c r="C13" s="50">
        <v>60</v>
      </c>
      <c r="D13" s="50">
        <v>8</v>
      </c>
      <c r="E13" s="50">
        <v>7</v>
      </c>
      <c r="F13" s="50">
        <v>55</v>
      </c>
      <c r="G13" s="50">
        <v>1</v>
      </c>
      <c r="H13" s="50">
        <v>0</v>
      </c>
      <c r="I13" s="50">
        <v>19</v>
      </c>
      <c r="J13" s="50">
        <v>2</v>
      </c>
      <c r="K13" s="50">
        <v>6</v>
      </c>
      <c r="L13" s="50">
        <v>0</v>
      </c>
      <c r="M13" s="50">
        <v>140</v>
      </c>
      <c r="N13" s="50">
        <v>0</v>
      </c>
      <c r="O13" s="15">
        <f t="shared" si="0"/>
        <v>158</v>
      </c>
      <c r="P13" s="15">
        <f t="shared" si="1"/>
        <v>298</v>
      </c>
      <c r="R13" s="1" t="s">
        <v>9</v>
      </c>
      <c r="S13" s="17">
        <f t="shared" ref="S13:AF13" si="5">SUM(C22:C25)</f>
        <v>198</v>
      </c>
      <c r="T13" s="17">
        <f t="shared" si="5"/>
        <v>41</v>
      </c>
      <c r="U13" s="17">
        <f t="shared" si="5"/>
        <v>50</v>
      </c>
      <c r="V13" s="17">
        <f t="shared" si="5"/>
        <v>226</v>
      </c>
      <c r="W13" s="17">
        <f t="shared" si="5"/>
        <v>2</v>
      </c>
      <c r="X13" s="17">
        <f t="shared" si="5"/>
        <v>3</v>
      </c>
      <c r="Y13" s="17">
        <f t="shared" si="5"/>
        <v>42</v>
      </c>
      <c r="Z13" s="17">
        <f t="shared" si="5"/>
        <v>19</v>
      </c>
      <c r="AA13" s="17">
        <f t="shared" si="5"/>
        <v>16</v>
      </c>
      <c r="AB13" s="17">
        <f t="shared" si="5"/>
        <v>0</v>
      </c>
      <c r="AC13" s="17">
        <f t="shared" si="5"/>
        <v>324</v>
      </c>
      <c r="AD13" s="17">
        <f t="shared" si="5"/>
        <v>0</v>
      </c>
      <c r="AE13" s="31">
        <f t="shared" si="5"/>
        <v>597</v>
      </c>
      <c r="AF13" s="31">
        <f t="shared" si="5"/>
        <v>921</v>
      </c>
    </row>
    <row r="14" spans="2:32" ht="23.1" customHeight="1" x14ac:dyDescent="0.25">
      <c r="B14" s="23" t="s">
        <v>41</v>
      </c>
      <c r="C14" s="50">
        <v>24</v>
      </c>
      <c r="D14" s="50">
        <v>4</v>
      </c>
      <c r="E14" s="50">
        <v>3</v>
      </c>
      <c r="F14" s="50">
        <v>31</v>
      </c>
      <c r="G14" s="50">
        <v>1</v>
      </c>
      <c r="H14" s="50">
        <v>1</v>
      </c>
      <c r="I14" s="50">
        <v>7</v>
      </c>
      <c r="J14" s="50">
        <v>1</v>
      </c>
      <c r="K14" s="50">
        <v>1</v>
      </c>
      <c r="L14" s="50">
        <v>0</v>
      </c>
      <c r="M14" s="50">
        <v>93</v>
      </c>
      <c r="N14" s="50">
        <v>0</v>
      </c>
      <c r="O14" s="15">
        <f t="shared" si="0"/>
        <v>73</v>
      </c>
      <c r="P14" s="15">
        <f t="shared" si="1"/>
        <v>166</v>
      </c>
      <c r="R14" s="1" t="s">
        <v>10</v>
      </c>
      <c r="S14" s="17">
        <f t="shared" ref="S14:AF14" si="6">SUM(C26:C29)</f>
        <v>172</v>
      </c>
      <c r="T14" s="17">
        <f t="shared" si="6"/>
        <v>79</v>
      </c>
      <c r="U14" s="17">
        <f t="shared" si="6"/>
        <v>30</v>
      </c>
      <c r="V14" s="17">
        <f t="shared" si="6"/>
        <v>244</v>
      </c>
      <c r="W14" s="17">
        <f t="shared" si="6"/>
        <v>1</v>
      </c>
      <c r="X14" s="17">
        <f t="shared" si="6"/>
        <v>2</v>
      </c>
      <c r="Y14" s="17">
        <f t="shared" si="6"/>
        <v>49</v>
      </c>
      <c r="Z14" s="17">
        <f t="shared" si="6"/>
        <v>29</v>
      </c>
      <c r="AA14" s="17">
        <f t="shared" si="6"/>
        <v>22</v>
      </c>
      <c r="AB14" s="17">
        <f t="shared" si="6"/>
        <v>0</v>
      </c>
      <c r="AC14" s="17">
        <f t="shared" si="6"/>
        <v>248</v>
      </c>
      <c r="AD14" s="17">
        <f t="shared" si="6"/>
        <v>0</v>
      </c>
      <c r="AE14" s="31">
        <f t="shared" si="6"/>
        <v>628</v>
      </c>
      <c r="AF14" s="31">
        <f t="shared" si="6"/>
        <v>876</v>
      </c>
    </row>
    <row r="15" spans="2:32" ht="23.1" customHeight="1" x14ac:dyDescent="0.25">
      <c r="B15" s="23" t="s">
        <v>42</v>
      </c>
      <c r="C15" s="50">
        <v>34</v>
      </c>
      <c r="D15" s="50">
        <v>15</v>
      </c>
      <c r="E15" s="50">
        <v>4</v>
      </c>
      <c r="F15" s="50">
        <v>55</v>
      </c>
      <c r="G15" s="50">
        <v>2</v>
      </c>
      <c r="H15" s="50">
        <v>0</v>
      </c>
      <c r="I15" s="50">
        <v>8</v>
      </c>
      <c r="J15" s="50">
        <v>1</v>
      </c>
      <c r="K15" s="50">
        <v>4</v>
      </c>
      <c r="L15" s="50">
        <v>0</v>
      </c>
      <c r="M15" s="50">
        <v>123</v>
      </c>
      <c r="N15" s="50">
        <v>0</v>
      </c>
      <c r="O15" s="15">
        <f t="shared" si="0"/>
        <v>123</v>
      </c>
      <c r="P15" s="15">
        <f t="shared" si="1"/>
        <v>246</v>
      </c>
      <c r="R15" s="1" t="s">
        <v>11</v>
      </c>
      <c r="S15" s="17">
        <f t="shared" ref="S15:AF15" si="7">SUM(C30:C33)</f>
        <v>188</v>
      </c>
      <c r="T15" s="17">
        <f t="shared" si="7"/>
        <v>30</v>
      </c>
      <c r="U15" s="17">
        <f t="shared" si="7"/>
        <v>38</v>
      </c>
      <c r="V15" s="17">
        <f t="shared" si="7"/>
        <v>174</v>
      </c>
      <c r="W15" s="17">
        <f t="shared" si="7"/>
        <v>3</v>
      </c>
      <c r="X15" s="17">
        <f t="shared" si="7"/>
        <v>1</v>
      </c>
      <c r="Y15" s="17">
        <f t="shared" si="7"/>
        <v>20</v>
      </c>
      <c r="Z15" s="17">
        <f t="shared" si="7"/>
        <v>15</v>
      </c>
      <c r="AA15" s="17">
        <f t="shared" si="7"/>
        <v>17</v>
      </c>
      <c r="AB15" s="17">
        <f t="shared" si="7"/>
        <v>0</v>
      </c>
      <c r="AC15" s="17">
        <f t="shared" si="7"/>
        <v>208</v>
      </c>
      <c r="AD15" s="17">
        <f t="shared" si="7"/>
        <v>0</v>
      </c>
      <c r="AE15" s="31">
        <f t="shared" si="7"/>
        <v>486</v>
      </c>
      <c r="AF15" s="31">
        <f t="shared" si="7"/>
        <v>694</v>
      </c>
    </row>
    <row r="16" spans="2:32" ht="23.1" customHeight="1" x14ac:dyDescent="0.25">
      <c r="B16" s="23" t="s">
        <v>43</v>
      </c>
      <c r="C16" s="50">
        <v>68</v>
      </c>
      <c r="D16" s="50">
        <v>5</v>
      </c>
      <c r="E16" s="50">
        <v>8</v>
      </c>
      <c r="F16" s="50">
        <v>35</v>
      </c>
      <c r="G16" s="50">
        <v>2</v>
      </c>
      <c r="H16" s="50">
        <v>0</v>
      </c>
      <c r="I16" s="50">
        <v>7</v>
      </c>
      <c r="J16" s="50">
        <v>0</v>
      </c>
      <c r="K16" s="50">
        <v>3</v>
      </c>
      <c r="L16" s="50">
        <v>1</v>
      </c>
      <c r="M16" s="50">
        <v>74</v>
      </c>
      <c r="N16" s="50">
        <v>0</v>
      </c>
      <c r="O16" s="15">
        <f t="shared" si="0"/>
        <v>129</v>
      </c>
      <c r="P16" s="15">
        <f t="shared" si="1"/>
        <v>203</v>
      </c>
      <c r="R16" s="1" t="s">
        <v>12</v>
      </c>
      <c r="S16" s="17">
        <f t="shared" ref="S16:AF16" si="8">SUM(C34:C37)</f>
        <v>156</v>
      </c>
      <c r="T16" s="17">
        <f t="shared" si="8"/>
        <v>43</v>
      </c>
      <c r="U16" s="17">
        <f t="shared" si="8"/>
        <v>18</v>
      </c>
      <c r="V16" s="17">
        <f t="shared" si="8"/>
        <v>192</v>
      </c>
      <c r="W16" s="17">
        <f t="shared" si="8"/>
        <v>4</v>
      </c>
      <c r="X16" s="17">
        <f t="shared" si="8"/>
        <v>2</v>
      </c>
      <c r="Y16" s="17">
        <f t="shared" si="8"/>
        <v>21</v>
      </c>
      <c r="Z16" s="17">
        <f t="shared" si="8"/>
        <v>18</v>
      </c>
      <c r="AA16" s="17">
        <f t="shared" si="8"/>
        <v>12</v>
      </c>
      <c r="AB16" s="17">
        <f t="shared" si="8"/>
        <v>0</v>
      </c>
      <c r="AC16" s="17">
        <f t="shared" si="8"/>
        <v>108</v>
      </c>
      <c r="AD16" s="17">
        <f t="shared" si="8"/>
        <v>0</v>
      </c>
      <c r="AE16" s="31">
        <f t="shared" si="8"/>
        <v>466</v>
      </c>
      <c r="AF16" s="31">
        <f t="shared" si="8"/>
        <v>574</v>
      </c>
    </row>
    <row r="17" spans="2:32" ht="23.1" customHeight="1" x14ac:dyDescent="0.25">
      <c r="B17" s="23" t="s">
        <v>44</v>
      </c>
      <c r="C17" s="50">
        <v>36</v>
      </c>
      <c r="D17" s="50">
        <v>9</v>
      </c>
      <c r="E17" s="50">
        <v>10</v>
      </c>
      <c r="F17" s="50">
        <v>55</v>
      </c>
      <c r="G17" s="50">
        <v>0</v>
      </c>
      <c r="H17" s="50">
        <v>0</v>
      </c>
      <c r="I17" s="50">
        <v>10</v>
      </c>
      <c r="J17" s="50">
        <v>6</v>
      </c>
      <c r="K17" s="50">
        <v>1</v>
      </c>
      <c r="L17" s="50">
        <v>0</v>
      </c>
      <c r="M17" s="50">
        <v>84</v>
      </c>
      <c r="N17" s="50">
        <v>0</v>
      </c>
      <c r="O17" s="15">
        <f t="shared" si="0"/>
        <v>127</v>
      </c>
      <c r="P17" s="15">
        <f t="shared" si="1"/>
        <v>211</v>
      </c>
      <c r="R17" s="1" t="s">
        <v>13</v>
      </c>
      <c r="S17" s="17">
        <f t="shared" ref="S17:AF17" si="9">SUM(C38:C41)</f>
        <v>182</v>
      </c>
      <c r="T17" s="17">
        <f t="shared" si="9"/>
        <v>60</v>
      </c>
      <c r="U17" s="17">
        <f t="shared" si="9"/>
        <v>45</v>
      </c>
      <c r="V17" s="17">
        <f t="shared" si="9"/>
        <v>198</v>
      </c>
      <c r="W17" s="17">
        <f t="shared" si="9"/>
        <v>8</v>
      </c>
      <c r="X17" s="17">
        <f t="shared" si="9"/>
        <v>7</v>
      </c>
      <c r="Y17" s="17">
        <f t="shared" si="9"/>
        <v>41</v>
      </c>
      <c r="Z17" s="17">
        <f t="shared" si="9"/>
        <v>15</v>
      </c>
      <c r="AA17" s="17">
        <f t="shared" si="9"/>
        <v>27</v>
      </c>
      <c r="AB17" s="17">
        <f t="shared" si="9"/>
        <v>0</v>
      </c>
      <c r="AC17" s="17">
        <f t="shared" si="9"/>
        <v>191</v>
      </c>
      <c r="AD17" s="17">
        <f t="shared" si="9"/>
        <v>0</v>
      </c>
      <c r="AE17" s="31">
        <f t="shared" si="9"/>
        <v>583</v>
      </c>
      <c r="AF17" s="31">
        <f t="shared" si="9"/>
        <v>774</v>
      </c>
    </row>
    <row r="18" spans="2:32" ht="23.1" customHeight="1" x14ac:dyDescent="0.25">
      <c r="B18" s="23" t="s">
        <v>45</v>
      </c>
      <c r="C18" s="50">
        <v>65</v>
      </c>
      <c r="D18" s="50">
        <v>10</v>
      </c>
      <c r="E18" s="50">
        <v>10</v>
      </c>
      <c r="F18" s="50">
        <v>55</v>
      </c>
      <c r="G18" s="50">
        <v>0</v>
      </c>
      <c r="H18" s="50">
        <v>1</v>
      </c>
      <c r="I18" s="50">
        <v>18</v>
      </c>
      <c r="J18" s="50">
        <v>7</v>
      </c>
      <c r="K18" s="50">
        <v>3</v>
      </c>
      <c r="L18" s="50">
        <v>0</v>
      </c>
      <c r="M18" s="50">
        <v>121</v>
      </c>
      <c r="N18" s="50">
        <v>0</v>
      </c>
      <c r="O18" s="15">
        <f t="shared" si="0"/>
        <v>169</v>
      </c>
      <c r="P18" s="15">
        <f t="shared" si="1"/>
        <v>290</v>
      </c>
      <c r="R18" s="1" t="s">
        <v>14</v>
      </c>
      <c r="S18" s="17">
        <f t="shared" ref="S18:AF18" si="10">SUM(C42:C45)</f>
        <v>124</v>
      </c>
      <c r="T18" s="17">
        <f t="shared" si="10"/>
        <v>126</v>
      </c>
      <c r="U18" s="17">
        <f t="shared" si="10"/>
        <v>28</v>
      </c>
      <c r="V18" s="17">
        <f t="shared" si="10"/>
        <v>156</v>
      </c>
      <c r="W18" s="17">
        <f t="shared" si="10"/>
        <v>0</v>
      </c>
      <c r="X18" s="17">
        <f t="shared" si="10"/>
        <v>4</v>
      </c>
      <c r="Y18" s="17">
        <f t="shared" si="10"/>
        <v>33</v>
      </c>
      <c r="Z18" s="17">
        <f t="shared" si="10"/>
        <v>19</v>
      </c>
      <c r="AA18" s="17">
        <f t="shared" si="10"/>
        <v>21</v>
      </c>
      <c r="AB18" s="17">
        <f t="shared" si="10"/>
        <v>0</v>
      </c>
      <c r="AC18" s="17">
        <f t="shared" si="10"/>
        <v>210</v>
      </c>
      <c r="AD18" s="17">
        <f t="shared" si="10"/>
        <v>0</v>
      </c>
      <c r="AE18" s="31">
        <f t="shared" si="10"/>
        <v>511</v>
      </c>
      <c r="AF18" s="31">
        <f t="shared" si="10"/>
        <v>721</v>
      </c>
    </row>
    <row r="19" spans="2:32" ht="23.1" customHeight="1" x14ac:dyDescent="0.25">
      <c r="B19" s="23" t="s">
        <v>46</v>
      </c>
      <c r="C19" s="50">
        <v>70</v>
      </c>
      <c r="D19" s="50">
        <v>11</v>
      </c>
      <c r="E19" s="50">
        <v>5</v>
      </c>
      <c r="F19" s="50">
        <v>46</v>
      </c>
      <c r="G19" s="50">
        <v>1</v>
      </c>
      <c r="H19" s="50">
        <v>1</v>
      </c>
      <c r="I19" s="50">
        <v>11</v>
      </c>
      <c r="J19" s="50">
        <v>3</v>
      </c>
      <c r="K19" s="50">
        <v>3</v>
      </c>
      <c r="L19" s="50">
        <v>0</v>
      </c>
      <c r="M19" s="50">
        <v>85</v>
      </c>
      <c r="N19" s="50">
        <v>0</v>
      </c>
      <c r="O19" s="15">
        <f t="shared" si="0"/>
        <v>151</v>
      </c>
      <c r="P19" s="15">
        <f t="shared" si="1"/>
        <v>236</v>
      </c>
      <c r="R19" s="1" t="s">
        <v>15</v>
      </c>
      <c r="S19" s="17">
        <f t="shared" ref="S19:AF19" si="11">SUM(C46:C49)</f>
        <v>183</v>
      </c>
      <c r="T19" s="17">
        <f t="shared" si="11"/>
        <v>76</v>
      </c>
      <c r="U19" s="17">
        <f t="shared" si="11"/>
        <v>65</v>
      </c>
      <c r="V19" s="17">
        <f t="shared" si="11"/>
        <v>195</v>
      </c>
      <c r="W19" s="17">
        <f t="shared" si="11"/>
        <v>6</v>
      </c>
      <c r="X19" s="17">
        <f t="shared" si="11"/>
        <v>5</v>
      </c>
      <c r="Y19" s="17">
        <f t="shared" si="11"/>
        <v>34</v>
      </c>
      <c r="Z19" s="17">
        <f t="shared" si="11"/>
        <v>15</v>
      </c>
      <c r="AA19" s="17">
        <f t="shared" si="11"/>
        <v>16</v>
      </c>
      <c r="AB19" s="17">
        <f t="shared" si="11"/>
        <v>0</v>
      </c>
      <c r="AC19" s="17">
        <f t="shared" si="11"/>
        <v>258</v>
      </c>
      <c r="AD19" s="17">
        <f t="shared" si="11"/>
        <v>0</v>
      </c>
      <c r="AE19" s="31">
        <f t="shared" si="11"/>
        <v>595</v>
      </c>
      <c r="AF19" s="31">
        <f t="shared" si="11"/>
        <v>853</v>
      </c>
    </row>
    <row r="20" spans="2:32" ht="23.1" customHeight="1" x14ac:dyDescent="0.25">
      <c r="B20" s="23" t="s">
        <v>47</v>
      </c>
      <c r="C20" s="50">
        <v>65</v>
      </c>
      <c r="D20" s="50">
        <v>7</v>
      </c>
      <c r="E20" s="50">
        <v>6</v>
      </c>
      <c r="F20" s="50">
        <v>55</v>
      </c>
      <c r="G20" s="50">
        <v>3</v>
      </c>
      <c r="H20" s="50">
        <v>1</v>
      </c>
      <c r="I20" s="50">
        <v>13</v>
      </c>
      <c r="J20" s="50">
        <v>5</v>
      </c>
      <c r="K20" s="50">
        <v>6</v>
      </c>
      <c r="L20" s="50">
        <v>0</v>
      </c>
      <c r="M20" s="50">
        <v>82</v>
      </c>
      <c r="N20" s="50">
        <v>0</v>
      </c>
      <c r="O20" s="15">
        <f t="shared" si="0"/>
        <v>161</v>
      </c>
      <c r="P20" s="15">
        <f t="shared" si="1"/>
        <v>243</v>
      </c>
      <c r="R20" s="1" t="s">
        <v>16</v>
      </c>
      <c r="S20" s="17">
        <f t="shared" ref="S20:AF20" si="12">SUM(C50:C53)</f>
        <v>268</v>
      </c>
      <c r="T20" s="17">
        <f t="shared" si="12"/>
        <v>46</v>
      </c>
      <c r="U20" s="17">
        <f t="shared" si="12"/>
        <v>40</v>
      </c>
      <c r="V20" s="17">
        <f t="shared" si="12"/>
        <v>166</v>
      </c>
      <c r="W20" s="17">
        <f t="shared" si="12"/>
        <v>1</v>
      </c>
      <c r="X20" s="17">
        <f t="shared" si="12"/>
        <v>3</v>
      </c>
      <c r="Y20" s="17">
        <f t="shared" si="12"/>
        <v>33</v>
      </c>
      <c r="Z20" s="17">
        <f t="shared" si="12"/>
        <v>16</v>
      </c>
      <c r="AA20" s="17">
        <f t="shared" si="12"/>
        <v>17</v>
      </c>
      <c r="AB20" s="17">
        <f t="shared" si="12"/>
        <v>0</v>
      </c>
      <c r="AC20" s="17">
        <f t="shared" si="12"/>
        <v>367</v>
      </c>
      <c r="AD20" s="17">
        <f t="shared" si="12"/>
        <v>0</v>
      </c>
      <c r="AE20" s="31">
        <f t="shared" si="12"/>
        <v>590</v>
      </c>
      <c r="AF20" s="31">
        <f t="shared" si="12"/>
        <v>957</v>
      </c>
    </row>
    <row r="21" spans="2:32" ht="23.1" customHeight="1" x14ac:dyDescent="0.25">
      <c r="B21" s="23" t="s">
        <v>48</v>
      </c>
      <c r="C21" s="50">
        <v>45</v>
      </c>
      <c r="D21" s="50">
        <v>8</v>
      </c>
      <c r="E21" s="50">
        <v>10</v>
      </c>
      <c r="F21" s="50">
        <v>56</v>
      </c>
      <c r="G21" s="50">
        <v>2</v>
      </c>
      <c r="H21" s="50">
        <v>0</v>
      </c>
      <c r="I21" s="50">
        <v>10</v>
      </c>
      <c r="J21" s="50">
        <v>3</v>
      </c>
      <c r="K21" s="50">
        <v>2</v>
      </c>
      <c r="L21" s="50">
        <v>0</v>
      </c>
      <c r="M21" s="50">
        <v>80</v>
      </c>
      <c r="N21" s="50">
        <v>0</v>
      </c>
      <c r="O21" s="15">
        <f t="shared" si="0"/>
        <v>136</v>
      </c>
      <c r="P21" s="15">
        <f t="shared" si="1"/>
        <v>216</v>
      </c>
      <c r="R21" s="36" t="s">
        <v>20</v>
      </c>
      <c r="S21" s="34">
        <f t="shared" ref="S21:AF21" si="13">SUM(C54:C57)</f>
        <v>290</v>
      </c>
      <c r="T21" s="17">
        <f t="shared" si="13"/>
        <v>45</v>
      </c>
      <c r="U21" s="17">
        <f t="shared" si="13"/>
        <v>57</v>
      </c>
      <c r="V21" s="17">
        <f t="shared" si="13"/>
        <v>151</v>
      </c>
      <c r="W21" s="17">
        <f t="shared" si="13"/>
        <v>9</v>
      </c>
      <c r="X21" s="17">
        <f t="shared" si="13"/>
        <v>1</v>
      </c>
      <c r="Y21" s="17">
        <f t="shared" si="13"/>
        <v>24</v>
      </c>
      <c r="Z21" s="17">
        <f t="shared" si="13"/>
        <v>7</v>
      </c>
      <c r="AA21" s="17">
        <f t="shared" si="13"/>
        <v>5</v>
      </c>
      <c r="AB21" s="17">
        <f t="shared" si="13"/>
        <v>3</v>
      </c>
      <c r="AC21" s="17">
        <f t="shared" si="13"/>
        <v>478</v>
      </c>
      <c r="AD21" s="17">
        <f t="shared" si="13"/>
        <v>0</v>
      </c>
      <c r="AE21" s="31">
        <f t="shared" si="13"/>
        <v>592</v>
      </c>
      <c r="AF21" s="31">
        <f t="shared" si="13"/>
        <v>1070</v>
      </c>
    </row>
    <row r="22" spans="2:32" ht="23.1" customHeight="1" x14ac:dyDescent="0.25">
      <c r="B22" s="23" t="s">
        <v>49</v>
      </c>
      <c r="C22" s="50">
        <v>50</v>
      </c>
      <c r="D22" s="50">
        <v>10</v>
      </c>
      <c r="E22" s="50">
        <v>11</v>
      </c>
      <c r="F22" s="50">
        <v>60</v>
      </c>
      <c r="G22" s="50">
        <v>0</v>
      </c>
      <c r="H22" s="50">
        <v>3</v>
      </c>
      <c r="I22" s="50">
        <v>13</v>
      </c>
      <c r="J22" s="50">
        <v>6</v>
      </c>
      <c r="K22" s="50">
        <v>4</v>
      </c>
      <c r="L22" s="50">
        <v>0</v>
      </c>
      <c r="M22" s="50">
        <v>85</v>
      </c>
      <c r="N22" s="50">
        <v>0</v>
      </c>
      <c r="O22" s="15">
        <f t="shared" si="0"/>
        <v>157</v>
      </c>
      <c r="P22" s="15">
        <f t="shared" si="1"/>
        <v>242</v>
      </c>
      <c r="R22" s="38" t="s">
        <v>90</v>
      </c>
      <c r="S22" s="39">
        <f>MAX(S10:S12)</f>
        <v>245</v>
      </c>
      <c r="T22" s="39">
        <f t="shared" ref="T22:AF22" si="14">MAX(T10:T12)</f>
        <v>36</v>
      </c>
      <c r="U22" s="39">
        <f t="shared" si="14"/>
        <v>31</v>
      </c>
      <c r="V22" s="39">
        <f t="shared" si="14"/>
        <v>212</v>
      </c>
      <c r="W22" s="39">
        <f t="shared" si="14"/>
        <v>6</v>
      </c>
      <c r="X22" s="39">
        <f t="shared" si="14"/>
        <v>3</v>
      </c>
      <c r="Y22" s="39">
        <f t="shared" si="14"/>
        <v>52</v>
      </c>
      <c r="Z22" s="39">
        <f t="shared" si="14"/>
        <v>18</v>
      </c>
      <c r="AA22" s="39">
        <f t="shared" si="14"/>
        <v>15</v>
      </c>
      <c r="AB22" s="39">
        <f t="shared" si="14"/>
        <v>1</v>
      </c>
      <c r="AC22" s="39">
        <f t="shared" si="14"/>
        <v>374</v>
      </c>
      <c r="AD22" s="39">
        <f t="shared" si="14"/>
        <v>0</v>
      </c>
      <c r="AE22" s="40">
        <f t="shared" si="14"/>
        <v>617</v>
      </c>
      <c r="AF22" s="40">
        <f t="shared" si="14"/>
        <v>985</v>
      </c>
    </row>
    <row r="23" spans="2:32" ht="23.1" customHeight="1" x14ac:dyDescent="0.25">
      <c r="B23" s="23" t="s">
        <v>50</v>
      </c>
      <c r="C23" s="50">
        <v>37</v>
      </c>
      <c r="D23" s="50">
        <v>9</v>
      </c>
      <c r="E23" s="50">
        <v>12</v>
      </c>
      <c r="F23" s="50">
        <v>51</v>
      </c>
      <c r="G23" s="50">
        <v>0</v>
      </c>
      <c r="H23" s="50">
        <v>0</v>
      </c>
      <c r="I23" s="50">
        <v>12</v>
      </c>
      <c r="J23" s="50">
        <v>8</v>
      </c>
      <c r="K23" s="50">
        <v>4</v>
      </c>
      <c r="L23" s="50">
        <v>0</v>
      </c>
      <c r="M23" s="50">
        <v>94</v>
      </c>
      <c r="N23" s="50">
        <v>0</v>
      </c>
      <c r="O23" s="15">
        <f t="shared" si="0"/>
        <v>133</v>
      </c>
      <c r="P23" s="15">
        <f t="shared" si="1"/>
        <v>227</v>
      </c>
      <c r="R23" s="38" t="s">
        <v>91</v>
      </c>
      <c r="S23" s="39">
        <f>MAX(S13:S18)</f>
        <v>198</v>
      </c>
      <c r="T23" s="39">
        <f t="shared" ref="T23:AF23" si="15">MAX(T13:T18)</f>
        <v>126</v>
      </c>
      <c r="U23" s="39">
        <f t="shared" si="15"/>
        <v>50</v>
      </c>
      <c r="V23" s="39">
        <f t="shared" si="15"/>
        <v>244</v>
      </c>
      <c r="W23" s="39">
        <f t="shared" si="15"/>
        <v>8</v>
      </c>
      <c r="X23" s="39">
        <f t="shared" si="15"/>
        <v>7</v>
      </c>
      <c r="Y23" s="39">
        <f t="shared" si="15"/>
        <v>49</v>
      </c>
      <c r="Z23" s="39">
        <f t="shared" si="15"/>
        <v>29</v>
      </c>
      <c r="AA23" s="39">
        <f t="shared" si="15"/>
        <v>27</v>
      </c>
      <c r="AB23" s="39">
        <f t="shared" si="15"/>
        <v>0</v>
      </c>
      <c r="AC23" s="39">
        <f t="shared" si="15"/>
        <v>324</v>
      </c>
      <c r="AD23" s="39">
        <f t="shared" si="15"/>
        <v>0</v>
      </c>
      <c r="AE23" s="40">
        <f t="shared" si="15"/>
        <v>628</v>
      </c>
      <c r="AF23" s="40">
        <f t="shared" si="15"/>
        <v>921</v>
      </c>
    </row>
    <row r="24" spans="2:32" ht="23.1" customHeight="1" x14ac:dyDescent="0.25">
      <c r="B24" s="23" t="s">
        <v>51</v>
      </c>
      <c r="C24" s="50">
        <v>65</v>
      </c>
      <c r="D24" s="50">
        <v>13</v>
      </c>
      <c r="E24" s="50">
        <v>10</v>
      </c>
      <c r="F24" s="50">
        <v>55</v>
      </c>
      <c r="G24" s="50">
        <v>2</v>
      </c>
      <c r="H24" s="50">
        <v>0</v>
      </c>
      <c r="I24" s="50">
        <v>11</v>
      </c>
      <c r="J24" s="50">
        <v>3</v>
      </c>
      <c r="K24" s="50">
        <v>2</v>
      </c>
      <c r="L24" s="50">
        <v>0</v>
      </c>
      <c r="M24" s="50">
        <v>70</v>
      </c>
      <c r="N24" s="50">
        <v>0</v>
      </c>
      <c r="O24" s="15">
        <f t="shared" si="0"/>
        <v>161</v>
      </c>
      <c r="P24" s="15">
        <f t="shared" si="1"/>
        <v>231</v>
      </c>
      <c r="R24" s="38" t="s">
        <v>92</v>
      </c>
      <c r="S24" s="39">
        <f>MAX(S19:S21)</f>
        <v>290</v>
      </c>
      <c r="T24" s="39">
        <f t="shared" ref="T24:AF24" si="16">MAX(T19:T21)</f>
        <v>76</v>
      </c>
      <c r="U24" s="39">
        <f t="shared" si="16"/>
        <v>65</v>
      </c>
      <c r="V24" s="39">
        <f t="shared" si="16"/>
        <v>195</v>
      </c>
      <c r="W24" s="39">
        <f t="shared" si="16"/>
        <v>9</v>
      </c>
      <c r="X24" s="39">
        <f t="shared" si="16"/>
        <v>5</v>
      </c>
      <c r="Y24" s="39">
        <f t="shared" si="16"/>
        <v>34</v>
      </c>
      <c r="Z24" s="39">
        <f t="shared" si="16"/>
        <v>16</v>
      </c>
      <c r="AA24" s="39">
        <f t="shared" si="16"/>
        <v>17</v>
      </c>
      <c r="AB24" s="39">
        <f t="shared" si="16"/>
        <v>3</v>
      </c>
      <c r="AC24" s="39">
        <f t="shared" si="16"/>
        <v>478</v>
      </c>
      <c r="AD24" s="39">
        <f t="shared" si="16"/>
        <v>0</v>
      </c>
      <c r="AE24" s="40">
        <f t="shared" si="16"/>
        <v>595</v>
      </c>
      <c r="AF24" s="40">
        <f t="shared" si="16"/>
        <v>1070</v>
      </c>
    </row>
    <row r="25" spans="2:32" ht="23.1" customHeight="1" x14ac:dyDescent="0.25">
      <c r="B25" s="23" t="s">
        <v>52</v>
      </c>
      <c r="C25" s="50">
        <v>46</v>
      </c>
      <c r="D25" s="50">
        <v>9</v>
      </c>
      <c r="E25" s="50">
        <v>17</v>
      </c>
      <c r="F25" s="50">
        <v>60</v>
      </c>
      <c r="G25" s="50">
        <v>0</v>
      </c>
      <c r="H25" s="50">
        <v>0</v>
      </c>
      <c r="I25" s="50">
        <v>6</v>
      </c>
      <c r="J25" s="50">
        <v>2</v>
      </c>
      <c r="K25" s="50">
        <v>6</v>
      </c>
      <c r="L25" s="50">
        <v>0</v>
      </c>
      <c r="M25" s="50">
        <v>75</v>
      </c>
      <c r="N25" s="50">
        <v>0</v>
      </c>
      <c r="O25" s="15">
        <f t="shared" si="0"/>
        <v>146</v>
      </c>
      <c r="P25" s="15">
        <f t="shared" si="1"/>
        <v>221</v>
      </c>
      <c r="R25" s="37" t="s">
        <v>85</v>
      </c>
      <c r="S25" s="35">
        <f t="shared" ref="S25:AF25" si="17">SUM(S10:S12)</f>
        <v>597</v>
      </c>
      <c r="T25" s="16">
        <f t="shared" si="17"/>
        <v>97</v>
      </c>
      <c r="U25" s="16">
        <f t="shared" si="17"/>
        <v>82</v>
      </c>
      <c r="V25" s="16">
        <f t="shared" si="17"/>
        <v>554</v>
      </c>
      <c r="W25" s="16">
        <f t="shared" si="17"/>
        <v>15</v>
      </c>
      <c r="X25" s="16">
        <f t="shared" si="17"/>
        <v>5</v>
      </c>
      <c r="Y25" s="16">
        <f t="shared" si="17"/>
        <v>132</v>
      </c>
      <c r="Z25" s="16">
        <f t="shared" si="17"/>
        <v>30</v>
      </c>
      <c r="AA25" s="16">
        <f t="shared" si="17"/>
        <v>38</v>
      </c>
      <c r="AB25" s="16">
        <f t="shared" si="17"/>
        <v>2</v>
      </c>
      <c r="AC25" s="16">
        <f t="shared" si="17"/>
        <v>1099</v>
      </c>
      <c r="AD25" s="16">
        <f t="shared" si="17"/>
        <v>0</v>
      </c>
      <c r="AE25" s="32">
        <f t="shared" si="17"/>
        <v>1552</v>
      </c>
      <c r="AF25" s="32">
        <f t="shared" si="17"/>
        <v>2651</v>
      </c>
    </row>
    <row r="26" spans="2:32" ht="23.1" customHeight="1" x14ac:dyDescent="0.25">
      <c r="B26" s="23" t="s">
        <v>53</v>
      </c>
      <c r="C26" s="50">
        <v>55</v>
      </c>
      <c r="D26" s="50">
        <v>44</v>
      </c>
      <c r="E26" s="50">
        <v>11</v>
      </c>
      <c r="F26" s="50">
        <v>55</v>
      </c>
      <c r="G26" s="50">
        <v>1</v>
      </c>
      <c r="H26" s="50">
        <v>2</v>
      </c>
      <c r="I26" s="50">
        <v>10</v>
      </c>
      <c r="J26" s="50">
        <v>8</v>
      </c>
      <c r="K26" s="50">
        <v>6</v>
      </c>
      <c r="L26" s="50">
        <v>0</v>
      </c>
      <c r="M26" s="50">
        <v>78</v>
      </c>
      <c r="N26" s="50">
        <v>0</v>
      </c>
      <c r="O26" s="15">
        <f t="shared" si="0"/>
        <v>192</v>
      </c>
      <c r="P26" s="15">
        <f t="shared" si="1"/>
        <v>270</v>
      </c>
      <c r="R26" s="28" t="s">
        <v>86</v>
      </c>
      <c r="S26" s="16">
        <f t="shared" ref="S26:AF26" si="18">SUM(S13:S18)</f>
        <v>1020</v>
      </c>
      <c r="T26" s="16">
        <f t="shared" si="18"/>
        <v>379</v>
      </c>
      <c r="U26" s="16">
        <f t="shared" si="18"/>
        <v>209</v>
      </c>
      <c r="V26" s="16">
        <f t="shared" si="18"/>
        <v>1190</v>
      </c>
      <c r="W26" s="16">
        <f t="shared" si="18"/>
        <v>18</v>
      </c>
      <c r="X26" s="16">
        <f t="shared" si="18"/>
        <v>19</v>
      </c>
      <c r="Y26" s="16">
        <f t="shared" si="18"/>
        <v>206</v>
      </c>
      <c r="Z26" s="16">
        <f t="shared" si="18"/>
        <v>115</v>
      </c>
      <c r="AA26" s="16">
        <f t="shared" si="18"/>
        <v>115</v>
      </c>
      <c r="AB26" s="16">
        <f t="shared" si="18"/>
        <v>0</v>
      </c>
      <c r="AC26" s="16">
        <f t="shared" si="18"/>
        <v>1289</v>
      </c>
      <c r="AD26" s="16">
        <f t="shared" si="18"/>
        <v>0</v>
      </c>
      <c r="AE26" s="32">
        <f t="shared" si="18"/>
        <v>3271</v>
      </c>
      <c r="AF26" s="32">
        <f t="shared" si="18"/>
        <v>4560</v>
      </c>
    </row>
    <row r="27" spans="2:32" ht="23.1" customHeight="1" x14ac:dyDescent="0.25">
      <c r="B27" s="23" t="s">
        <v>54</v>
      </c>
      <c r="C27" s="50">
        <v>40</v>
      </c>
      <c r="D27" s="50">
        <v>13</v>
      </c>
      <c r="E27" s="50">
        <v>6</v>
      </c>
      <c r="F27" s="50">
        <v>65</v>
      </c>
      <c r="G27" s="50">
        <v>0</v>
      </c>
      <c r="H27" s="50">
        <v>0</v>
      </c>
      <c r="I27" s="50">
        <v>11</v>
      </c>
      <c r="J27" s="50">
        <v>4</v>
      </c>
      <c r="K27" s="50">
        <v>3</v>
      </c>
      <c r="L27" s="50">
        <v>0</v>
      </c>
      <c r="M27" s="50">
        <v>65</v>
      </c>
      <c r="N27" s="50">
        <v>0</v>
      </c>
      <c r="O27" s="15">
        <f t="shared" si="0"/>
        <v>142</v>
      </c>
      <c r="P27" s="15">
        <f t="shared" si="1"/>
        <v>207</v>
      </c>
      <c r="R27" s="29" t="s">
        <v>87</v>
      </c>
      <c r="S27" s="16">
        <f t="shared" ref="S27:AF27" si="19">SUM(S19:S21)</f>
        <v>741</v>
      </c>
      <c r="T27" s="16">
        <f t="shared" si="19"/>
        <v>167</v>
      </c>
      <c r="U27" s="16">
        <f t="shared" si="19"/>
        <v>162</v>
      </c>
      <c r="V27" s="16">
        <f t="shared" si="19"/>
        <v>512</v>
      </c>
      <c r="W27" s="16">
        <f t="shared" si="19"/>
        <v>16</v>
      </c>
      <c r="X27" s="16">
        <f t="shared" si="19"/>
        <v>9</v>
      </c>
      <c r="Y27" s="16">
        <f t="shared" si="19"/>
        <v>91</v>
      </c>
      <c r="Z27" s="16">
        <f t="shared" si="19"/>
        <v>38</v>
      </c>
      <c r="AA27" s="16">
        <f t="shared" si="19"/>
        <v>38</v>
      </c>
      <c r="AB27" s="16">
        <f t="shared" si="19"/>
        <v>3</v>
      </c>
      <c r="AC27" s="16">
        <f t="shared" si="19"/>
        <v>1103</v>
      </c>
      <c r="AD27" s="16">
        <f t="shared" si="19"/>
        <v>0</v>
      </c>
      <c r="AE27" s="32">
        <f t="shared" si="19"/>
        <v>1777</v>
      </c>
      <c r="AF27" s="32">
        <f t="shared" si="19"/>
        <v>2880</v>
      </c>
    </row>
    <row r="28" spans="2:32" ht="23.1" customHeight="1" x14ac:dyDescent="0.25">
      <c r="B28" s="23" t="s">
        <v>55</v>
      </c>
      <c r="C28" s="50">
        <v>30</v>
      </c>
      <c r="D28" s="50">
        <v>10</v>
      </c>
      <c r="E28" s="50">
        <v>9</v>
      </c>
      <c r="F28" s="50">
        <v>59</v>
      </c>
      <c r="G28" s="50">
        <v>0</v>
      </c>
      <c r="H28" s="50">
        <v>0</v>
      </c>
      <c r="I28" s="50">
        <v>15</v>
      </c>
      <c r="J28" s="50">
        <v>10</v>
      </c>
      <c r="K28" s="50">
        <v>9</v>
      </c>
      <c r="L28" s="50">
        <v>0</v>
      </c>
      <c r="M28" s="50">
        <v>65</v>
      </c>
      <c r="N28" s="50">
        <v>0</v>
      </c>
      <c r="O28" s="15">
        <f t="shared" si="0"/>
        <v>142</v>
      </c>
      <c r="P28" s="15">
        <f t="shared" si="1"/>
        <v>207</v>
      </c>
      <c r="R28" s="5" t="s">
        <v>17</v>
      </c>
      <c r="S28" s="16">
        <f t="shared" ref="S28:AF28" si="20">SUM(S10:S21)</f>
        <v>2358</v>
      </c>
      <c r="T28" s="16">
        <f t="shared" si="20"/>
        <v>643</v>
      </c>
      <c r="U28" s="16">
        <f t="shared" si="20"/>
        <v>453</v>
      </c>
      <c r="V28" s="16">
        <f t="shared" si="20"/>
        <v>2256</v>
      </c>
      <c r="W28" s="16">
        <f t="shared" si="20"/>
        <v>49</v>
      </c>
      <c r="X28" s="16">
        <f t="shared" si="20"/>
        <v>33</v>
      </c>
      <c r="Y28" s="16">
        <f t="shared" si="20"/>
        <v>429</v>
      </c>
      <c r="Z28" s="16">
        <f t="shared" si="20"/>
        <v>183</v>
      </c>
      <c r="AA28" s="16">
        <f t="shared" si="20"/>
        <v>191</v>
      </c>
      <c r="AB28" s="16">
        <f t="shared" si="20"/>
        <v>5</v>
      </c>
      <c r="AC28" s="16">
        <f t="shared" si="20"/>
        <v>3491</v>
      </c>
      <c r="AD28" s="16">
        <f t="shared" si="20"/>
        <v>0</v>
      </c>
      <c r="AE28" s="32">
        <f t="shared" si="20"/>
        <v>6600</v>
      </c>
      <c r="AF28" s="32">
        <f t="shared" si="20"/>
        <v>10091</v>
      </c>
    </row>
    <row r="29" spans="2:32" ht="23.1" customHeight="1" x14ac:dyDescent="0.25">
      <c r="B29" s="23" t="s">
        <v>56</v>
      </c>
      <c r="C29" s="50">
        <v>47</v>
      </c>
      <c r="D29" s="50">
        <v>12</v>
      </c>
      <c r="E29" s="50">
        <v>4</v>
      </c>
      <c r="F29" s="50">
        <v>65</v>
      </c>
      <c r="G29" s="50">
        <v>0</v>
      </c>
      <c r="H29" s="50">
        <v>0</v>
      </c>
      <c r="I29" s="50">
        <v>13</v>
      </c>
      <c r="J29" s="50">
        <v>7</v>
      </c>
      <c r="K29" s="50">
        <v>4</v>
      </c>
      <c r="L29" s="50">
        <v>0</v>
      </c>
      <c r="M29" s="50">
        <v>40</v>
      </c>
      <c r="N29" s="50">
        <v>0</v>
      </c>
      <c r="O29" s="15">
        <f t="shared" si="0"/>
        <v>152</v>
      </c>
      <c r="P29" s="15">
        <f t="shared" si="1"/>
        <v>192</v>
      </c>
      <c r="R29"/>
      <c r="S29" s="20"/>
      <c r="T29" s="19"/>
    </row>
    <row r="30" spans="2:32" ht="23.1" customHeight="1" x14ac:dyDescent="0.25">
      <c r="B30" s="23" t="s">
        <v>57</v>
      </c>
      <c r="C30" s="50">
        <v>71</v>
      </c>
      <c r="D30" s="50">
        <v>8</v>
      </c>
      <c r="E30" s="50">
        <v>12</v>
      </c>
      <c r="F30" s="50">
        <v>59</v>
      </c>
      <c r="G30" s="50">
        <v>2</v>
      </c>
      <c r="H30" s="50">
        <v>1</v>
      </c>
      <c r="I30" s="50">
        <v>2</v>
      </c>
      <c r="J30" s="50">
        <v>5</v>
      </c>
      <c r="K30" s="50">
        <v>7</v>
      </c>
      <c r="L30" s="50">
        <v>0</v>
      </c>
      <c r="M30" s="50">
        <v>40</v>
      </c>
      <c r="N30" s="50">
        <v>0</v>
      </c>
      <c r="O30" s="15">
        <f t="shared" si="0"/>
        <v>167</v>
      </c>
      <c r="P30" s="15">
        <f t="shared" si="1"/>
        <v>207</v>
      </c>
    </row>
    <row r="31" spans="2:32" ht="23.1" customHeight="1" x14ac:dyDescent="0.25">
      <c r="B31" s="24" t="s">
        <v>58</v>
      </c>
      <c r="C31" s="50">
        <v>33</v>
      </c>
      <c r="D31" s="50">
        <v>9</v>
      </c>
      <c r="E31" s="50">
        <v>12</v>
      </c>
      <c r="F31" s="50">
        <v>45</v>
      </c>
      <c r="G31" s="50">
        <v>0</v>
      </c>
      <c r="H31" s="50">
        <v>0</v>
      </c>
      <c r="I31" s="50">
        <v>11</v>
      </c>
      <c r="J31" s="50">
        <v>2</v>
      </c>
      <c r="K31" s="50">
        <v>5</v>
      </c>
      <c r="L31" s="50">
        <v>0</v>
      </c>
      <c r="M31" s="50">
        <v>53</v>
      </c>
      <c r="N31" s="50">
        <v>0</v>
      </c>
      <c r="O31" s="15">
        <f t="shared" si="0"/>
        <v>117</v>
      </c>
      <c r="P31" s="15">
        <f t="shared" si="1"/>
        <v>170</v>
      </c>
    </row>
    <row r="32" spans="2:32" ht="23.1" customHeight="1" x14ac:dyDescent="0.25">
      <c r="B32" s="24" t="s">
        <v>59</v>
      </c>
      <c r="C32" s="50">
        <v>38</v>
      </c>
      <c r="D32" s="50">
        <v>5</v>
      </c>
      <c r="E32" s="50">
        <v>5</v>
      </c>
      <c r="F32" s="50">
        <v>39</v>
      </c>
      <c r="G32" s="50">
        <v>1</v>
      </c>
      <c r="H32" s="50">
        <v>0</v>
      </c>
      <c r="I32" s="50">
        <v>4</v>
      </c>
      <c r="J32" s="50">
        <v>4</v>
      </c>
      <c r="K32" s="50">
        <v>2</v>
      </c>
      <c r="L32" s="50">
        <v>0</v>
      </c>
      <c r="M32" s="50">
        <v>75</v>
      </c>
      <c r="N32" s="50">
        <v>0</v>
      </c>
      <c r="O32" s="15">
        <f t="shared" si="0"/>
        <v>98</v>
      </c>
      <c r="P32" s="15">
        <f t="shared" si="1"/>
        <v>173</v>
      </c>
    </row>
    <row r="33" spans="2:20" ht="23.1" customHeight="1" x14ac:dyDescent="0.25">
      <c r="B33" s="23" t="s">
        <v>60</v>
      </c>
      <c r="C33" s="50">
        <v>46</v>
      </c>
      <c r="D33" s="50">
        <v>8</v>
      </c>
      <c r="E33" s="50">
        <v>9</v>
      </c>
      <c r="F33" s="50">
        <v>31</v>
      </c>
      <c r="G33" s="50">
        <v>0</v>
      </c>
      <c r="H33" s="50">
        <v>0</v>
      </c>
      <c r="I33" s="50">
        <v>3</v>
      </c>
      <c r="J33" s="50">
        <v>4</v>
      </c>
      <c r="K33" s="50">
        <v>3</v>
      </c>
      <c r="L33" s="50">
        <v>0</v>
      </c>
      <c r="M33" s="50">
        <v>40</v>
      </c>
      <c r="N33" s="50">
        <v>0</v>
      </c>
      <c r="O33" s="15">
        <f t="shared" si="0"/>
        <v>104</v>
      </c>
      <c r="P33" s="15">
        <f t="shared" si="1"/>
        <v>144</v>
      </c>
    </row>
    <row r="34" spans="2:20" ht="23.1" customHeight="1" x14ac:dyDescent="0.25">
      <c r="B34" s="24" t="s">
        <v>61</v>
      </c>
      <c r="C34" s="50">
        <v>21</v>
      </c>
      <c r="D34" s="50">
        <v>5</v>
      </c>
      <c r="E34" s="50">
        <v>2</v>
      </c>
      <c r="F34" s="50">
        <v>37</v>
      </c>
      <c r="G34" s="50">
        <v>0</v>
      </c>
      <c r="H34" s="50">
        <v>0</v>
      </c>
      <c r="I34" s="50">
        <v>5</v>
      </c>
      <c r="J34" s="50">
        <v>4</v>
      </c>
      <c r="K34" s="50">
        <v>3</v>
      </c>
      <c r="L34" s="50">
        <v>0</v>
      </c>
      <c r="M34" s="50">
        <v>37</v>
      </c>
      <c r="N34" s="50">
        <v>0</v>
      </c>
      <c r="O34" s="15">
        <f t="shared" si="0"/>
        <v>77</v>
      </c>
      <c r="P34" s="15">
        <f t="shared" si="1"/>
        <v>114</v>
      </c>
    </row>
    <row r="35" spans="2:20" ht="23.1" customHeight="1" x14ac:dyDescent="0.25">
      <c r="B35" s="24" t="s">
        <v>62</v>
      </c>
      <c r="C35" s="50">
        <v>45</v>
      </c>
      <c r="D35" s="50">
        <v>12</v>
      </c>
      <c r="E35" s="50">
        <v>4</v>
      </c>
      <c r="F35" s="50">
        <v>50</v>
      </c>
      <c r="G35" s="50">
        <v>1</v>
      </c>
      <c r="H35" s="50">
        <v>1</v>
      </c>
      <c r="I35" s="50">
        <v>5</v>
      </c>
      <c r="J35" s="50">
        <v>4</v>
      </c>
      <c r="K35" s="50">
        <v>2</v>
      </c>
      <c r="L35" s="50">
        <v>0</v>
      </c>
      <c r="M35" s="50">
        <v>45</v>
      </c>
      <c r="N35" s="50">
        <v>0</v>
      </c>
      <c r="O35" s="15">
        <f t="shared" si="0"/>
        <v>124</v>
      </c>
      <c r="P35" s="15">
        <f t="shared" si="1"/>
        <v>169</v>
      </c>
    </row>
    <row r="36" spans="2:20" ht="23.1" customHeight="1" x14ac:dyDescent="0.25">
      <c r="B36" s="24" t="s">
        <v>63</v>
      </c>
      <c r="C36" s="50">
        <v>50</v>
      </c>
      <c r="D36" s="50">
        <v>20</v>
      </c>
      <c r="E36" s="50">
        <v>6</v>
      </c>
      <c r="F36" s="50">
        <v>60</v>
      </c>
      <c r="G36" s="50">
        <v>3</v>
      </c>
      <c r="H36" s="50">
        <v>1</v>
      </c>
      <c r="I36" s="50">
        <v>3</v>
      </c>
      <c r="J36" s="50">
        <v>5</v>
      </c>
      <c r="K36" s="50">
        <v>3</v>
      </c>
      <c r="L36" s="50">
        <v>0</v>
      </c>
      <c r="M36" s="50">
        <v>20</v>
      </c>
      <c r="N36" s="50">
        <v>0</v>
      </c>
      <c r="O36" s="15">
        <f t="shared" si="0"/>
        <v>151</v>
      </c>
      <c r="P36" s="15">
        <f t="shared" si="1"/>
        <v>171</v>
      </c>
    </row>
    <row r="37" spans="2:20" ht="23.1" customHeight="1" x14ac:dyDescent="0.25">
      <c r="B37" s="23" t="s">
        <v>64</v>
      </c>
      <c r="C37" s="50">
        <v>40</v>
      </c>
      <c r="D37" s="50">
        <v>6</v>
      </c>
      <c r="E37" s="50">
        <v>6</v>
      </c>
      <c r="F37" s="50">
        <v>45</v>
      </c>
      <c r="G37" s="50">
        <v>0</v>
      </c>
      <c r="H37" s="50">
        <v>0</v>
      </c>
      <c r="I37" s="50">
        <v>8</v>
      </c>
      <c r="J37" s="50">
        <v>5</v>
      </c>
      <c r="K37" s="50">
        <v>4</v>
      </c>
      <c r="L37" s="50">
        <v>0</v>
      </c>
      <c r="M37" s="50">
        <v>6</v>
      </c>
      <c r="N37" s="50">
        <v>0</v>
      </c>
      <c r="O37" s="15">
        <f t="shared" si="0"/>
        <v>114</v>
      </c>
      <c r="P37" s="15">
        <f t="shared" si="1"/>
        <v>120</v>
      </c>
    </row>
    <row r="38" spans="2:20" ht="23.1" customHeight="1" x14ac:dyDescent="0.25">
      <c r="B38" s="24" t="s">
        <v>65</v>
      </c>
      <c r="C38" s="50">
        <v>60</v>
      </c>
      <c r="D38" s="50">
        <v>11</v>
      </c>
      <c r="E38" s="50">
        <v>18</v>
      </c>
      <c r="F38" s="50">
        <v>40</v>
      </c>
      <c r="G38" s="50">
        <v>7</v>
      </c>
      <c r="H38" s="50">
        <v>1</v>
      </c>
      <c r="I38" s="50">
        <v>10</v>
      </c>
      <c r="J38" s="50">
        <v>6</v>
      </c>
      <c r="K38" s="50">
        <v>7</v>
      </c>
      <c r="L38" s="50">
        <v>0</v>
      </c>
      <c r="M38" s="50">
        <v>31</v>
      </c>
      <c r="N38" s="50">
        <v>0</v>
      </c>
      <c r="O38" s="15">
        <f t="shared" si="0"/>
        <v>160</v>
      </c>
      <c r="P38" s="15">
        <f t="shared" si="1"/>
        <v>191</v>
      </c>
    </row>
    <row r="39" spans="2:20" ht="23.1" customHeight="1" x14ac:dyDescent="0.25">
      <c r="B39" s="24" t="s">
        <v>66</v>
      </c>
      <c r="C39" s="50">
        <v>38</v>
      </c>
      <c r="D39" s="50">
        <v>10</v>
      </c>
      <c r="E39" s="50">
        <v>11</v>
      </c>
      <c r="F39" s="50">
        <v>40</v>
      </c>
      <c r="G39" s="50">
        <v>0</v>
      </c>
      <c r="H39" s="50">
        <v>0</v>
      </c>
      <c r="I39" s="50">
        <v>11</v>
      </c>
      <c r="J39" s="50">
        <v>5</v>
      </c>
      <c r="K39" s="50">
        <v>6</v>
      </c>
      <c r="L39" s="50">
        <v>0</v>
      </c>
      <c r="M39" s="50">
        <v>66</v>
      </c>
      <c r="N39" s="50">
        <v>0</v>
      </c>
      <c r="O39" s="15">
        <f t="shared" si="0"/>
        <v>121</v>
      </c>
      <c r="P39" s="15">
        <f t="shared" si="1"/>
        <v>187</v>
      </c>
    </row>
    <row r="40" spans="2:20" ht="23.1" customHeight="1" x14ac:dyDescent="0.25">
      <c r="B40" s="24" t="s">
        <v>67</v>
      </c>
      <c r="C40" s="50">
        <v>39</v>
      </c>
      <c r="D40" s="50">
        <v>15</v>
      </c>
      <c r="E40" s="50">
        <v>7</v>
      </c>
      <c r="F40" s="50">
        <v>64</v>
      </c>
      <c r="G40" s="50">
        <v>1</v>
      </c>
      <c r="H40" s="50">
        <v>3</v>
      </c>
      <c r="I40" s="50">
        <v>6</v>
      </c>
      <c r="J40" s="50">
        <v>0</v>
      </c>
      <c r="K40" s="50">
        <v>3</v>
      </c>
      <c r="L40" s="50">
        <v>0</v>
      </c>
      <c r="M40" s="50">
        <v>53</v>
      </c>
      <c r="N40" s="50">
        <v>0</v>
      </c>
      <c r="O40" s="15">
        <f t="shared" si="0"/>
        <v>138</v>
      </c>
      <c r="P40" s="15">
        <f t="shared" si="1"/>
        <v>191</v>
      </c>
    </row>
    <row r="41" spans="2:20" ht="23.1" customHeight="1" x14ac:dyDescent="0.25">
      <c r="B41" s="23" t="s">
        <v>68</v>
      </c>
      <c r="C41" s="50">
        <v>45</v>
      </c>
      <c r="D41" s="50">
        <v>24</v>
      </c>
      <c r="E41" s="50">
        <v>9</v>
      </c>
      <c r="F41" s="50">
        <v>54</v>
      </c>
      <c r="G41" s="50">
        <v>0</v>
      </c>
      <c r="H41" s="50">
        <v>3</v>
      </c>
      <c r="I41" s="50">
        <v>14</v>
      </c>
      <c r="J41" s="50">
        <v>4</v>
      </c>
      <c r="K41" s="50">
        <v>11</v>
      </c>
      <c r="L41" s="50">
        <v>0</v>
      </c>
      <c r="M41" s="50">
        <v>41</v>
      </c>
      <c r="N41" s="50">
        <v>0</v>
      </c>
      <c r="O41" s="15">
        <f t="shared" si="0"/>
        <v>164</v>
      </c>
      <c r="P41" s="15">
        <f t="shared" si="1"/>
        <v>205</v>
      </c>
    </row>
    <row r="42" spans="2:20" ht="23.1" customHeight="1" x14ac:dyDescent="0.25">
      <c r="B42" s="24" t="s">
        <v>69</v>
      </c>
      <c r="C42" s="50">
        <v>40</v>
      </c>
      <c r="D42" s="50">
        <v>30</v>
      </c>
      <c r="E42" s="50">
        <v>15</v>
      </c>
      <c r="F42" s="50">
        <v>45</v>
      </c>
      <c r="G42" s="50">
        <v>0</v>
      </c>
      <c r="H42" s="50">
        <v>1</v>
      </c>
      <c r="I42" s="50">
        <v>12</v>
      </c>
      <c r="J42" s="50">
        <v>6</v>
      </c>
      <c r="K42" s="50">
        <v>9</v>
      </c>
      <c r="L42" s="50">
        <v>0</v>
      </c>
      <c r="M42" s="50">
        <v>36</v>
      </c>
      <c r="N42" s="50">
        <v>0</v>
      </c>
      <c r="O42" s="15">
        <f t="shared" si="0"/>
        <v>158</v>
      </c>
      <c r="P42" s="15">
        <f t="shared" si="1"/>
        <v>194</v>
      </c>
    </row>
    <row r="43" spans="2:20" ht="23.1" customHeight="1" x14ac:dyDescent="0.25">
      <c r="B43" s="23" t="s">
        <v>70</v>
      </c>
      <c r="C43" s="50">
        <v>30</v>
      </c>
      <c r="D43" s="50">
        <v>30</v>
      </c>
      <c r="E43" s="50">
        <v>3</v>
      </c>
      <c r="F43" s="50">
        <v>55</v>
      </c>
      <c r="G43" s="50">
        <v>0</v>
      </c>
      <c r="H43" s="50">
        <v>1</v>
      </c>
      <c r="I43" s="50">
        <v>7</v>
      </c>
      <c r="J43" s="50">
        <v>7</v>
      </c>
      <c r="K43" s="50">
        <v>3</v>
      </c>
      <c r="L43" s="50">
        <v>0</v>
      </c>
      <c r="M43" s="50">
        <v>62</v>
      </c>
      <c r="N43" s="50">
        <v>0</v>
      </c>
      <c r="O43" s="15">
        <f t="shared" si="0"/>
        <v>136</v>
      </c>
      <c r="P43" s="15">
        <f t="shared" si="1"/>
        <v>198</v>
      </c>
    </row>
    <row r="44" spans="2:20" ht="23.1" customHeight="1" x14ac:dyDescent="0.25">
      <c r="B44" s="25" t="s">
        <v>71</v>
      </c>
      <c r="C44" s="50">
        <v>27</v>
      </c>
      <c r="D44" s="50">
        <v>33</v>
      </c>
      <c r="E44" s="50">
        <v>5</v>
      </c>
      <c r="F44" s="50">
        <v>28</v>
      </c>
      <c r="G44" s="50">
        <v>0</v>
      </c>
      <c r="H44" s="50">
        <v>1</v>
      </c>
      <c r="I44" s="50">
        <v>4</v>
      </c>
      <c r="J44" s="50">
        <v>4</v>
      </c>
      <c r="K44" s="50">
        <v>5</v>
      </c>
      <c r="L44" s="50">
        <v>0</v>
      </c>
      <c r="M44" s="50">
        <v>54</v>
      </c>
      <c r="N44" s="50">
        <v>0</v>
      </c>
      <c r="O44" s="15">
        <f t="shared" si="0"/>
        <v>107</v>
      </c>
      <c r="P44" s="15">
        <f t="shared" si="1"/>
        <v>161</v>
      </c>
    </row>
    <row r="45" spans="2:20" ht="23.1" customHeight="1" x14ac:dyDescent="0.25">
      <c r="B45" s="23" t="s">
        <v>72</v>
      </c>
      <c r="C45" s="50">
        <v>27</v>
      </c>
      <c r="D45" s="50">
        <v>33</v>
      </c>
      <c r="E45" s="50">
        <v>5</v>
      </c>
      <c r="F45" s="50">
        <v>28</v>
      </c>
      <c r="G45" s="50">
        <v>0</v>
      </c>
      <c r="H45" s="50">
        <v>1</v>
      </c>
      <c r="I45" s="50">
        <v>10</v>
      </c>
      <c r="J45" s="50">
        <v>2</v>
      </c>
      <c r="K45" s="50">
        <v>4</v>
      </c>
      <c r="L45" s="50">
        <v>0</v>
      </c>
      <c r="M45" s="50">
        <v>58</v>
      </c>
      <c r="N45" s="50">
        <v>0</v>
      </c>
      <c r="O45" s="15">
        <f t="shared" si="0"/>
        <v>110</v>
      </c>
      <c r="P45" s="15">
        <f t="shared" si="1"/>
        <v>168</v>
      </c>
    </row>
    <row r="46" spans="2:20" ht="23.1" customHeight="1" x14ac:dyDescent="0.25">
      <c r="B46" s="24" t="s">
        <v>73</v>
      </c>
      <c r="C46" s="50">
        <v>20</v>
      </c>
      <c r="D46" s="50">
        <v>33</v>
      </c>
      <c r="E46" s="50">
        <v>20</v>
      </c>
      <c r="F46" s="50">
        <v>30</v>
      </c>
      <c r="G46" s="50">
        <v>0</v>
      </c>
      <c r="H46" s="50">
        <v>0</v>
      </c>
      <c r="I46" s="50">
        <v>2</v>
      </c>
      <c r="J46" s="50">
        <v>5</v>
      </c>
      <c r="K46" s="50">
        <v>3</v>
      </c>
      <c r="L46" s="50">
        <v>0</v>
      </c>
      <c r="M46" s="50">
        <v>53</v>
      </c>
      <c r="N46" s="50">
        <v>0</v>
      </c>
      <c r="O46" s="15">
        <f t="shared" si="0"/>
        <v>113</v>
      </c>
      <c r="P46" s="15">
        <f t="shared" si="1"/>
        <v>166</v>
      </c>
      <c r="R46" s="8"/>
      <c r="T46"/>
    </row>
    <row r="47" spans="2:20" ht="23.1" customHeight="1" x14ac:dyDescent="0.25">
      <c r="B47" s="24" t="s">
        <v>74</v>
      </c>
      <c r="C47" s="50">
        <v>45</v>
      </c>
      <c r="D47" s="50">
        <v>25</v>
      </c>
      <c r="E47" s="50">
        <v>12</v>
      </c>
      <c r="F47" s="50">
        <v>60</v>
      </c>
      <c r="G47" s="50">
        <v>4</v>
      </c>
      <c r="H47" s="50">
        <v>3</v>
      </c>
      <c r="I47" s="50">
        <v>9</v>
      </c>
      <c r="J47" s="50">
        <v>2</v>
      </c>
      <c r="K47" s="50">
        <v>5</v>
      </c>
      <c r="L47" s="50">
        <v>0</v>
      </c>
      <c r="M47" s="50">
        <v>75</v>
      </c>
      <c r="N47" s="50">
        <v>0</v>
      </c>
      <c r="O47" s="15">
        <f t="shared" si="0"/>
        <v>165</v>
      </c>
      <c r="P47" s="15">
        <f t="shared" si="1"/>
        <v>240</v>
      </c>
      <c r="R47" s="8"/>
      <c r="T47"/>
    </row>
    <row r="48" spans="2:20" ht="23.1" customHeight="1" x14ac:dyDescent="0.25">
      <c r="B48" s="24" t="s">
        <v>75</v>
      </c>
      <c r="C48" s="50">
        <v>56</v>
      </c>
      <c r="D48" s="50">
        <v>13</v>
      </c>
      <c r="E48" s="50">
        <v>12</v>
      </c>
      <c r="F48" s="50">
        <v>82</v>
      </c>
      <c r="G48" s="50">
        <v>1</v>
      </c>
      <c r="H48" s="50">
        <v>1</v>
      </c>
      <c r="I48" s="50">
        <v>16</v>
      </c>
      <c r="J48" s="50">
        <v>5</v>
      </c>
      <c r="K48" s="50">
        <v>2</v>
      </c>
      <c r="L48" s="50">
        <v>0</v>
      </c>
      <c r="M48" s="50">
        <v>70</v>
      </c>
      <c r="N48" s="50">
        <v>0</v>
      </c>
      <c r="O48" s="15">
        <f t="shared" si="0"/>
        <v>188</v>
      </c>
      <c r="P48" s="15">
        <f t="shared" si="1"/>
        <v>258</v>
      </c>
      <c r="R48" s="8"/>
      <c r="T48"/>
    </row>
    <row r="49" spans="2:20" ht="23.1" customHeight="1" x14ac:dyDescent="0.25">
      <c r="B49" s="23" t="s">
        <v>76</v>
      </c>
      <c r="C49" s="50">
        <v>62</v>
      </c>
      <c r="D49" s="50">
        <v>5</v>
      </c>
      <c r="E49" s="50">
        <v>21</v>
      </c>
      <c r="F49" s="50">
        <v>23</v>
      </c>
      <c r="G49" s="50">
        <v>1</v>
      </c>
      <c r="H49" s="50">
        <v>1</v>
      </c>
      <c r="I49" s="50">
        <v>7</v>
      </c>
      <c r="J49" s="50">
        <v>3</v>
      </c>
      <c r="K49" s="50">
        <v>6</v>
      </c>
      <c r="L49" s="50">
        <v>0</v>
      </c>
      <c r="M49" s="50">
        <v>60</v>
      </c>
      <c r="N49" s="50">
        <v>0</v>
      </c>
      <c r="O49" s="15">
        <f t="shared" si="0"/>
        <v>129</v>
      </c>
      <c r="P49" s="15">
        <f t="shared" si="1"/>
        <v>189</v>
      </c>
      <c r="R49" s="8"/>
      <c r="T49"/>
    </row>
    <row r="50" spans="2:20" ht="23.1" customHeight="1" x14ac:dyDescent="0.25">
      <c r="B50" s="24" t="s">
        <v>77</v>
      </c>
      <c r="C50" s="50">
        <v>77</v>
      </c>
      <c r="D50" s="50">
        <v>16</v>
      </c>
      <c r="E50" s="50">
        <v>13</v>
      </c>
      <c r="F50" s="50">
        <v>33</v>
      </c>
      <c r="G50" s="50">
        <v>0</v>
      </c>
      <c r="H50" s="50">
        <v>2</v>
      </c>
      <c r="I50" s="50">
        <v>9</v>
      </c>
      <c r="J50" s="50">
        <v>4</v>
      </c>
      <c r="K50" s="50">
        <v>6</v>
      </c>
      <c r="L50" s="50">
        <v>0</v>
      </c>
      <c r="M50" s="50">
        <v>82</v>
      </c>
      <c r="N50" s="50">
        <v>0</v>
      </c>
      <c r="O50" s="15">
        <f t="shared" si="0"/>
        <v>160</v>
      </c>
      <c r="P50" s="15">
        <f t="shared" si="1"/>
        <v>242</v>
      </c>
      <c r="R50" s="8"/>
      <c r="T50"/>
    </row>
    <row r="51" spans="2:20" ht="23.1" customHeight="1" x14ac:dyDescent="0.25">
      <c r="B51" s="24" t="s">
        <v>78</v>
      </c>
      <c r="C51" s="50">
        <v>68</v>
      </c>
      <c r="D51" s="50">
        <v>12</v>
      </c>
      <c r="E51" s="50">
        <v>9</v>
      </c>
      <c r="F51" s="50">
        <v>45</v>
      </c>
      <c r="G51" s="50">
        <v>0</v>
      </c>
      <c r="H51" s="50">
        <v>0</v>
      </c>
      <c r="I51" s="50">
        <v>3</v>
      </c>
      <c r="J51" s="50">
        <v>3</v>
      </c>
      <c r="K51" s="50">
        <v>7</v>
      </c>
      <c r="L51" s="50">
        <v>0</v>
      </c>
      <c r="M51" s="50">
        <v>75</v>
      </c>
      <c r="N51" s="50">
        <v>0</v>
      </c>
      <c r="O51" s="15">
        <f t="shared" si="0"/>
        <v>147</v>
      </c>
      <c r="P51" s="15">
        <f t="shared" si="1"/>
        <v>222</v>
      </c>
      <c r="R51" s="8"/>
      <c r="T51"/>
    </row>
    <row r="52" spans="2:20" ht="23.1" customHeight="1" x14ac:dyDescent="0.25">
      <c r="B52" s="24" t="s">
        <v>79</v>
      </c>
      <c r="C52" s="50">
        <v>75</v>
      </c>
      <c r="D52" s="50">
        <v>8</v>
      </c>
      <c r="E52" s="50">
        <v>4</v>
      </c>
      <c r="F52" s="50">
        <v>33</v>
      </c>
      <c r="G52" s="50">
        <v>0</v>
      </c>
      <c r="H52" s="50">
        <v>0</v>
      </c>
      <c r="I52" s="50">
        <v>12</v>
      </c>
      <c r="J52" s="50">
        <v>9</v>
      </c>
      <c r="K52" s="50">
        <v>3</v>
      </c>
      <c r="L52" s="50">
        <v>0</v>
      </c>
      <c r="M52" s="50">
        <v>98</v>
      </c>
      <c r="N52" s="50">
        <v>0</v>
      </c>
      <c r="O52" s="15">
        <f t="shared" si="0"/>
        <v>144</v>
      </c>
      <c r="P52" s="15">
        <f t="shared" si="1"/>
        <v>242</v>
      </c>
      <c r="R52" s="8"/>
      <c r="T52"/>
    </row>
    <row r="53" spans="2:20" ht="23.1" customHeight="1" x14ac:dyDescent="0.25">
      <c r="B53" s="23" t="s">
        <v>80</v>
      </c>
      <c r="C53" s="50">
        <v>48</v>
      </c>
      <c r="D53" s="50">
        <v>10</v>
      </c>
      <c r="E53" s="50">
        <v>14</v>
      </c>
      <c r="F53" s="50">
        <v>55</v>
      </c>
      <c r="G53" s="50">
        <v>1</v>
      </c>
      <c r="H53" s="50">
        <v>1</v>
      </c>
      <c r="I53" s="50">
        <v>9</v>
      </c>
      <c r="J53" s="50">
        <v>0</v>
      </c>
      <c r="K53" s="50">
        <v>1</v>
      </c>
      <c r="L53" s="50">
        <v>0</v>
      </c>
      <c r="M53" s="50">
        <v>112</v>
      </c>
      <c r="N53" s="50">
        <v>0</v>
      </c>
      <c r="O53" s="15">
        <f t="shared" si="0"/>
        <v>139</v>
      </c>
      <c r="P53" s="15">
        <f t="shared" si="1"/>
        <v>251</v>
      </c>
      <c r="R53" s="8"/>
      <c r="T53"/>
    </row>
    <row r="54" spans="2:20" ht="23.1" customHeight="1" x14ac:dyDescent="0.25">
      <c r="B54" s="23" t="s">
        <v>81</v>
      </c>
      <c r="C54" s="50">
        <v>83</v>
      </c>
      <c r="D54" s="50">
        <v>9</v>
      </c>
      <c r="E54" s="50">
        <v>9</v>
      </c>
      <c r="F54" s="50">
        <v>51</v>
      </c>
      <c r="G54" s="50">
        <v>1</v>
      </c>
      <c r="H54" s="50">
        <v>0</v>
      </c>
      <c r="I54" s="50">
        <v>3</v>
      </c>
      <c r="J54" s="50">
        <v>3</v>
      </c>
      <c r="K54" s="50">
        <v>3</v>
      </c>
      <c r="L54" s="50">
        <v>1</v>
      </c>
      <c r="M54" s="50">
        <v>123</v>
      </c>
      <c r="N54" s="50">
        <v>0</v>
      </c>
      <c r="O54" s="15">
        <f t="shared" si="0"/>
        <v>163</v>
      </c>
      <c r="P54" s="15">
        <f t="shared" si="1"/>
        <v>286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15</v>
      </c>
      <c r="E55" s="50">
        <v>40</v>
      </c>
      <c r="F55" s="50">
        <v>0</v>
      </c>
      <c r="G55" s="50">
        <v>2</v>
      </c>
      <c r="H55" s="50">
        <v>0</v>
      </c>
      <c r="I55" s="50">
        <v>10</v>
      </c>
      <c r="J55" s="50">
        <v>1</v>
      </c>
      <c r="K55" s="50">
        <v>2</v>
      </c>
      <c r="L55" s="50">
        <v>0</v>
      </c>
      <c r="M55" s="50">
        <v>125</v>
      </c>
      <c r="N55" s="50">
        <v>0</v>
      </c>
      <c r="O55" s="15">
        <f t="shared" si="0"/>
        <v>130</v>
      </c>
      <c r="P55" s="15">
        <f t="shared" si="1"/>
        <v>255</v>
      </c>
      <c r="R55" s="8"/>
      <c r="T55"/>
    </row>
    <row r="56" spans="2:20" ht="23.1" customHeight="1" x14ac:dyDescent="0.25">
      <c r="B56" s="23" t="s">
        <v>83</v>
      </c>
      <c r="C56" s="50">
        <v>95</v>
      </c>
      <c r="D56" s="50">
        <v>13</v>
      </c>
      <c r="E56" s="50">
        <v>3</v>
      </c>
      <c r="F56" s="50">
        <v>55</v>
      </c>
      <c r="G56" s="50">
        <v>5</v>
      </c>
      <c r="H56" s="50">
        <v>1</v>
      </c>
      <c r="I56" s="50">
        <v>7</v>
      </c>
      <c r="J56" s="50">
        <v>3</v>
      </c>
      <c r="K56" s="50">
        <v>0</v>
      </c>
      <c r="L56" s="50">
        <v>0</v>
      </c>
      <c r="M56" s="50">
        <v>125</v>
      </c>
      <c r="N56" s="50">
        <v>0</v>
      </c>
      <c r="O56" s="15">
        <f t="shared" si="0"/>
        <v>182</v>
      </c>
      <c r="P56" s="15">
        <f t="shared" si="1"/>
        <v>307</v>
      </c>
      <c r="R56" s="8"/>
      <c r="T56"/>
    </row>
    <row r="57" spans="2:20" ht="23.1" customHeight="1" x14ac:dyDescent="0.25">
      <c r="B57" s="23" t="s">
        <v>84</v>
      </c>
      <c r="C57" s="50">
        <v>52</v>
      </c>
      <c r="D57" s="50">
        <v>8</v>
      </c>
      <c r="E57" s="50">
        <v>5</v>
      </c>
      <c r="F57" s="50">
        <v>45</v>
      </c>
      <c r="G57" s="50">
        <v>1</v>
      </c>
      <c r="H57" s="50">
        <v>0</v>
      </c>
      <c r="I57" s="50">
        <v>4</v>
      </c>
      <c r="J57" s="50">
        <v>0</v>
      </c>
      <c r="K57" s="50">
        <v>0</v>
      </c>
      <c r="L57" s="50">
        <v>2</v>
      </c>
      <c r="M57" s="50">
        <v>105</v>
      </c>
      <c r="N57" s="50">
        <v>0</v>
      </c>
      <c r="O57" s="15">
        <f t="shared" si="0"/>
        <v>117</v>
      </c>
      <c r="P57" s="15">
        <f t="shared" si="1"/>
        <v>222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2358</v>
      </c>
      <c r="D58" s="16">
        <f t="shared" si="21"/>
        <v>643</v>
      </c>
      <c r="E58" s="16">
        <f t="shared" si="21"/>
        <v>453</v>
      </c>
      <c r="F58" s="16">
        <f t="shared" si="21"/>
        <v>2256</v>
      </c>
      <c r="G58" s="16">
        <f t="shared" si="21"/>
        <v>49</v>
      </c>
      <c r="H58" s="16">
        <f t="shared" si="21"/>
        <v>33</v>
      </c>
      <c r="I58" s="16">
        <f t="shared" si="21"/>
        <v>429</v>
      </c>
      <c r="J58" s="16">
        <f t="shared" si="21"/>
        <v>183</v>
      </c>
      <c r="K58" s="16">
        <f t="shared" si="21"/>
        <v>191</v>
      </c>
      <c r="L58" s="16">
        <f t="shared" si="21"/>
        <v>5</v>
      </c>
      <c r="M58" s="16">
        <f t="shared" si="21"/>
        <v>3491</v>
      </c>
      <c r="N58" s="16">
        <f t="shared" si="21"/>
        <v>0</v>
      </c>
      <c r="O58" s="16">
        <f t="shared" si="21"/>
        <v>6600</v>
      </c>
      <c r="P58" s="16">
        <f t="shared" si="21"/>
        <v>10091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0.23367357050837378</v>
      </c>
      <c r="D59" s="43">
        <f t="shared" si="22"/>
        <v>6.3720146665345354E-2</v>
      </c>
      <c r="E59" s="43">
        <f t="shared" si="22"/>
        <v>4.4891487464076903E-2</v>
      </c>
      <c r="F59" s="43">
        <f t="shared" si="22"/>
        <v>0.22356555346348231</v>
      </c>
      <c r="G59" s="43">
        <f t="shared" si="22"/>
        <v>4.8558121098008127E-3</v>
      </c>
      <c r="H59" s="43">
        <f t="shared" si="22"/>
        <v>3.2702408086413637E-3</v>
      </c>
      <c r="I59" s="43">
        <f t="shared" si="22"/>
        <v>4.2513130512337724E-2</v>
      </c>
      <c r="J59" s="43">
        <f t="shared" si="22"/>
        <v>1.8134971757011197E-2</v>
      </c>
      <c r="K59" s="43">
        <f t="shared" si="22"/>
        <v>1.8927757407590923E-2</v>
      </c>
      <c r="L59" s="43">
        <f t="shared" si="22"/>
        <v>4.954910316123278E-4</v>
      </c>
      <c r="M59" s="43">
        <f t="shared" si="22"/>
        <v>0.34595183827172726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0.3572727272727273</v>
      </c>
      <c r="D60" s="44">
        <f t="shared" ref="D60:N60" si="23">D58/$O$58</f>
        <v>9.7424242424242427E-2</v>
      </c>
      <c r="E60" s="44">
        <f t="shared" si="23"/>
        <v>6.8636363636363634E-2</v>
      </c>
      <c r="F60" s="44">
        <f t="shared" si="23"/>
        <v>0.3418181818181818</v>
      </c>
      <c r="G60" s="44">
        <f t="shared" si="23"/>
        <v>7.4242424242424243E-3</v>
      </c>
      <c r="H60" s="44">
        <f t="shared" si="23"/>
        <v>5.0000000000000001E-3</v>
      </c>
      <c r="I60" s="44">
        <f t="shared" si="23"/>
        <v>6.5000000000000002E-2</v>
      </c>
      <c r="J60" s="44">
        <f t="shared" si="23"/>
        <v>2.7727272727272729E-2</v>
      </c>
      <c r="K60" s="44">
        <f t="shared" si="23"/>
        <v>2.8939393939393938E-2</v>
      </c>
      <c r="L60" s="44">
        <f t="shared" si="23"/>
        <v>7.5757575757575758E-4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78" t="str">
        <f>'23.09.Gayaza-Kasangati'!C3:G3</f>
        <v>MCC - C2 - STN-69- Gayaza-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2" t="str">
        <f>'27.09 Kasangati-Gayaza'!D5</f>
        <v>27.09.19</v>
      </c>
      <c r="E5" s="3"/>
      <c r="F5" s="41" t="s">
        <v>1</v>
      </c>
      <c r="G5" s="73" t="str">
        <f>'27.09 Kasangati-Gayaza'!G5:H5</f>
        <v>TOTAL BULAMU</v>
      </c>
      <c r="H5" s="74"/>
      <c r="I5" s="14"/>
      <c r="J5" s="2" t="s">
        <v>5</v>
      </c>
      <c r="K5" s="73" t="s">
        <v>183</v>
      </c>
      <c r="L5" s="74"/>
      <c r="M5" s="10"/>
      <c r="N5" s="10"/>
      <c r="O5" s="3"/>
      <c r="P5" s="3"/>
    </row>
    <row r="6" spans="2:32" ht="23.25" customHeight="1" x14ac:dyDescent="0.25">
      <c r="C6" s="2" t="s">
        <v>4</v>
      </c>
      <c r="D6" s="73" t="str">
        <f>'23.09.Gayaza-Kasangati'!D6:E6</f>
        <v>Gayaza</v>
      </c>
      <c r="E6" s="74"/>
      <c r="F6" s="2" t="s">
        <v>2</v>
      </c>
      <c r="G6" s="73" t="str">
        <f>'23.09.Gayaza-Kasangati'!G6:H6</f>
        <v>Kasangati</v>
      </c>
      <c r="H6" s="74"/>
      <c r="J6" s="2" t="s">
        <v>21</v>
      </c>
      <c r="K6" s="73" t="str">
        <f>'27.09 Kasangati-Gayaza'!K6:L6</f>
        <v>LAWRENCE</v>
      </c>
      <c r="L6" s="7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75</v>
      </c>
      <c r="D10" s="50">
        <v>6</v>
      </c>
      <c r="E10" s="50">
        <v>9</v>
      </c>
      <c r="F10" s="50">
        <v>33</v>
      </c>
      <c r="G10" s="50">
        <v>2</v>
      </c>
      <c r="H10" s="50">
        <v>0</v>
      </c>
      <c r="I10" s="50">
        <v>14</v>
      </c>
      <c r="J10" s="50">
        <v>1</v>
      </c>
      <c r="K10" s="50">
        <v>1</v>
      </c>
      <c r="L10" s="50">
        <v>0</v>
      </c>
      <c r="M10" s="50">
        <v>135</v>
      </c>
      <c r="N10" s="50">
        <v>0</v>
      </c>
      <c r="O10" s="15">
        <f t="shared" ref="O10:O57" si="0">SUM(C10:L10,N10)</f>
        <v>141</v>
      </c>
      <c r="P10" s="15">
        <f t="shared" ref="P10:P57" si="1">SUM(C10:N10)</f>
        <v>276</v>
      </c>
      <c r="R10" s="1" t="s">
        <v>6</v>
      </c>
      <c r="S10" s="17">
        <f t="shared" ref="S10:AF10" si="2">SUM(C10:C13)</f>
        <v>391</v>
      </c>
      <c r="T10" s="17">
        <f t="shared" si="2"/>
        <v>34</v>
      </c>
      <c r="U10" s="17">
        <f t="shared" si="2"/>
        <v>38</v>
      </c>
      <c r="V10" s="17">
        <f t="shared" si="2"/>
        <v>174</v>
      </c>
      <c r="W10" s="17">
        <f t="shared" si="2"/>
        <v>5</v>
      </c>
      <c r="X10" s="17">
        <f t="shared" si="2"/>
        <v>3</v>
      </c>
      <c r="Y10" s="17">
        <f t="shared" si="2"/>
        <v>36</v>
      </c>
      <c r="Z10" s="17">
        <f t="shared" si="2"/>
        <v>1</v>
      </c>
      <c r="AA10" s="17">
        <f t="shared" si="2"/>
        <v>2</v>
      </c>
      <c r="AB10" s="17">
        <f t="shared" si="2"/>
        <v>0</v>
      </c>
      <c r="AC10" s="17">
        <f t="shared" si="2"/>
        <v>715</v>
      </c>
      <c r="AD10" s="17">
        <f t="shared" si="2"/>
        <v>0</v>
      </c>
      <c r="AE10" s="31">
        <f t="shared" si="2"/>
        <v>684</v>
      </c>
      <c r="AF10" s="31">
        <f t="shared" si="2"/>
        <v>1399</v>
      </c>
    </row>
    <row r="11" spans="2:32" s="6" customFormat="1" ht="23.1" customHeight="1" x14ac:dyDescent="0.25">
      <c r="B11" s="23" t="s">
        <v>38</v>
      </c>
      <c r="C11" s="50">
        <v>100</v>
      </c>
      <c r="D11" s="50">
        <v>17</v>
      </c>
      <c r="E11" s="50">
        <v>8</v>
      </c>
      <c r="F11" s="50">
        <v>39</v>
      </c>
      <c r="G11" s="50">
        <v>2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131</v>
      </c>
      <c r="N11" s="50">
        <v>0</v>
      </c>
      <c r="O11" s="15">
        <f t="shared" si="0"/>
        <v>168</v>
      </c>
      <c r="P11" s="15">
        <f t="shared" si="1"/>
        <v>299</v>
      </c>
      <c r="R11" s="1" t="s">
        <v>7</v>
      </c>
      <c r="S11" s="17">
        <f t="shared" ref="S11:AF11" si="3">SUM(C14:C17)</f>
        <v>309</v>
      </c>
      <c r="T11" s="17">
        <f t="shared" si="3"/>
        <v>31</v>
      </c>
      <c r="U11" s="17">
        <f t="shared" si="3"/>
        <v>16</v>
      </c>
      <c r="V11" s="17">
        <f t="shared" si="3"/>
        <v>167</v>
      </c>
      <c r="W11" s="17">
        <f t="shared" si="3"/>
        <v>5</v>
      </c>
      <c r="X11" s="17">
        <f t="shared" si="3"/>
        <v>2</v>
      </c>
      <c r="Y11" s="17">
        <f t="shared" si="3"/>
        <v>23</v>
      </c>
      <c r="Z11" s="17">
        <f t="shared" si="3"/>
        <v>13</v>
      </c>
      <c r="AA11" s="17">
        <f t="shared" si="3"/>
        <v>6</v>
      </c>
      <c r="AB11" s="17">
        <f t="shared" si="3"/>
        <v>0</v>
      </c>
      <c r="AC11" s="17">
        <f t="shared" si="3"/>
        <v>740</v>
      </c>
      <c r="AD11" s="17">
        <f t="shared" si="3"/>
        <v>0</v>
      </c>
      <c r="AE11" s="31">
        <f t="shared" si="3"/>
        <v>572</v>
      </c>
      <c r="AF11" s="31">
        <f t="shared" si="3"/>
        <v>1312</v>
      </c>
    </row>
    <row r="12" spans="2:32" ht="23.1" customHeight="1" x14ac:dyDescent="0.25">
      <c r="B12" s="23" t="s">
        <v>39</v>
      </c>
      <c r="C12" s="50">
        <v>121</v>
      </c>
      <c r="D12" s="50">
        <v>7</v>
      </c>
      <c r="E12" s="50">
        <v>11</v>
      </c>
      <c r="F12" s="50">
        <v>57</v>
      </c>
      <c r="G12" s="50">
        <v>0</v>
      </c>
      <c r="H12" s="50">
        <v>2</v>
      </c>
      <c r="I12" s="50">
        <v>10</v>
      </c>
      <c r="J12" s="50">
        <v>0</v>
      </c>
      <c r="K12" s="50">
        <v>0</v>
      </c>
      <c r="L12" s="50">
        <v>0</v>
      </c>
      <c r="M12" s="50">
        <v>199</v>
      </c>
      <c r="N12" s="50">
        <v>0</v>
      </c>
      <c r="O12" s="15">
        <f t="shared" si="0"/>
        <v>208</v>
      </c>
      <c r="P12" s="15">
        <f t="shared" si="1"/>
        <v>407</v>
      </c>
      <c r="R12" s="1" t="s">
        <v>8</v>
      </c>
      <c r="S12" s="17">
        <f t="shared" ref="S12:AF12" si="4">SUM(C18:C21)</f>
        <v>277</v>
      </c>
      <c r="T12" s="17">
        <f t="shared" si="4"/>
        <v>43</v>
      </c>
      <c r="U12" s="17">
        <f t="shared" si="4"/>
        <v>24</v>
      </c>
      <c r="V12" s="17">
        <f t="shared" si="4"/>
        <v>144</v>
      </c>
      <c r="W12" s="17">
        <f t="shared" si="4"/>
        <v>3</v>
      </c>
      <c r="X12" s="17">
        <f t="shared" si="4"/>
        <v>3</v>
      </c>
      <c r="Y12" s="17">
        <f t="shared" si="4"/>
        <v>32</v>
      </c>
      <c r="Z12" s="17">
        <f t="shared" si="4"/>
        <v>12</v>
      </c>
      <c r="AA12" s="17">
        <f t="shared" si="4"/>
        <v>7</v>
      </c>
      <c r="AB12" s="17">
        <f t="shared" si="4"/>
        <v>0</v>
      </c>
      <c r="AC12" s="17">
        <f t="shared" si="4"/>
        <v>688</v>
      </c>
      <c r="AD12" s="17">
        <f t="shared" si="4"/>
        <v>0</v>
      </c>
      <c r="AE12" s="31">
        <f t="shared" si="4"/>
        <v>545</v>
      </c>
      <c r="AF12" s="31">
        <f t="shared" si="4"/>
        <v>1233</v>
      </c>
    </row>
    <row r="13" spans="2:32" ht="23.1" customHeight="1" x14ac:dyDescent="0.25">
      <c r="B13" s="23" t="s">
        <v>40</v>
      </c>
      <c r="C13" s="50">
        <v>95</v>
      </c>
      <c r="D13" s="50">
        <v>4</v>
      </c>
      <c r="E13" s="50">
        <v>10</v>
      </c>
      <c r="F13" s="50">
        <v>45</v>
      </c>
      <c r="G13" s="50">
        <v>1</v>
      </c>
      <c r="H13" s="50">
        <v>1</v>
      </c>
      <c r="I13" s="50">
        <v>10</v>
      </c>
      <c r="J13" s="50">
        <v>0</v>
      </c>
      <c r="K13" s="50">
        <v>1</v>
      </c>
      <c r="L13" s="50">
        <v>0</v>
      </c>
      <c r="M13" s="50">
        <v>250</v>
      </c>
      <c r="N13" s="50">
        <v>0</v>
      </c>
      <c r="O13" s="15">
        <f t="shared" si="0"/>
        <v>167</v>
      </c>
      <c r="P13" s="15">
        <f t="shared" si="1"/>
        <v>417</v>
      </c>
      <c r="R13" s="1" t="s">
        <v>9</v>
      </c>
      <c r="S13" s="17">
        <f t="shared" ref="S13:AF13" si="5">SUM(C22:C25)</f>
        <v>218</v>
      </c>
      <c r="T13" s="17">
        <f t="shared" si="5"/>
        <v>25</v>
      </c>
      <c r="U13" s="17">
        <f t="shared" si="5"/>
        <v>21</v>
      </c>
      <c r="V13" s="17">
        <f t="shared" si="5"/>
        <v>138</v>
      </c>
      <c r="W13" s="17">
        <f t="shared" si="5"/>
        <v>4</v>
      </c>
      <c r="X13" s="17">
        <f t="shared" si="5"/>
        <v>4</v>
      </c>
      <c r="Y13" s="17">
        <f t="shared" si="5"/>
        <v>38</v>
      </c>
      <c r="Z13" s="17">
        <f t="shared" si="5"/>
        <v>17</v>
      </c>
      <c r="AA13" s="17">
        <f t="shared" si="5"/>
        <v>6</v>
      </c>
      <c r="AB13" s="17">
        <f t="shared" si="5"/>
        <v>0</v>
      </c>
      <c r="AC13" s="17">
        <f t="shared" si="5"/>
        <v>505</v>
      </c>
      <c r="AD13" s="17">
        <f t="shared" si="5"/>
        <v>1</v>
      </c>
      <c r="AE13" s="31">
        <f t="shared" si="5"/>
        <v>472</v>
      </c>
      <c r="AF13" s="31">
        <f t="shared" si="5"/>
        <v>977</v>
      </c>
    </row>
    <row r="14" spans="2:32" ht="23.1" customHeight="1" x14ac:dyDescent="0.25">
      <c r="B14" s="23" t="s">
        <v>41</v>
      </c>
      <c r="C14" s="50">
        <v>114</v>
      </c>
      <c r="D14" s="50">
        <v>10</v>
      </c>
      <c r="E14" s="50">
        <v>5</v>
      </c>
      <c r="F14" s="50">
        <v>43</v>
      </c>
      <c r="G14" s="50">
        <v>2</v>
      </c>
      <c r="H14" s="50">
        <v>1</v>
      </c>
      <c r="I14" s="50">
        <v>0</v>
      </c>
      <c r="J14" s="50">
        <v>3</v>
      </c>
      <c r="K14" s="50">
        <v>2</v>
      </c>
      <c r="L14" s="50">
        <v>0</v>
      </c>
      <c r="M14" s="50">
        <v>155</v>
      </c>
      <c r="N14" s="50">
        <v>0</v>
      </c>
      <c r="O14" s="15">
        <f t="shared" si="0"/>
        <v>180</v>
      </c>
      <c r="P14" s="15">
        <f t="shared" si="1"/>
        <v>335</v>
      </c>
      <c r="R14" s="1" t="s">
        <v>10</v>
      </c>
      <c r="S14" s="17">
        <f t="shared" ref="S14:AF14" si="6">SUM(C26:C29)</f>
        <v>193</v>
      </c>
      <c r="T14" s="17">
        <f t="shared" si="6"/>
        <v>31</v>
      </c>
      <c r="U14" s="17">
        <f t="shared" si="6"/>
        <v>33</v>
      </c>
      <c r="V14" s="17">
        <f t="shared" si="6"/>
        <v>134</v>
      </c>
      <c r="W14" s="17">
        <f t="shared" si="6"/>
        <v>5</v>
      </c>
      <c r="X14" s="17">
        <f t="shared" si="6"/>
        <v>0</v>
      </c>
      <c r="Y14" s="17">
        <f t="shared" si="6"/>
        <v>35</v>
      </c>
      <c r="Z14" s="17">
        <f t="shared" si="6"/>
        <v>11</v>
      </c>
      <c r="AA14" s="17">
        <f t="shared" si="6"/>
        <v>5</v>
      </c>
      <c r="AB14" s="17">
        <f t="shared" si="6"/>
        <v>0</v>
      </c>
      <c r="AC14" s="17">
        <f t="shared" si="6"/>
        <v>329</v>
      </c>
      <c r="AD14" s="17">
        <f t="shared" si="6"/>
        <v>0</v>
      </c>
      <c r="AE14" s="31">
        <f t="shared" si="6"/>
        <v>447</v>
      </c>
      <c r="AF14" s="31">
        <f t="shared" si="6"/>
        <v>776</v>
      </c>
    </row>
    <row r="15" spans="2:32" ht="23.1" customHeight="1" x14ac:dyDescent="0.25">
      <c r="B15" s="23" t="s">
        <v>42</v>
      </c>
      <c r="C15" s="50">
        <v>80</v>
      </c>
      <c r="D15" s="50">
        <v>3</v>
      </c>
      <c r="E15" s="50">
        <v>5</v>
      </c>
      <c r="F15" s="50">
        <v>38</v>
      </c>
      <c r="G15" s="50">
        <v>2</v>
      </c>
      <c r="H15" s="50">
        <v>0</v>
      </c>
      <c r="I15" s="50">
        <v>8</v>
      </c>
      <c r="J15" s="50">
        <v>7</v>
      </c>
      <c r="K15" s="50">
        <v>3</v>
      </c>
      <c r="L15" s="50">
        <v>0</v>
      </c>
      <c r="M15" s="50">
        <v>225</v>
      </c>
      <c r="N15" s="50">
        <v>0</v>
      </c>
      <c r="O15" s="15">
        <f t="shared" si="0"/>
        <v>146</v>
      </c>
      <c r="P15" s="15">
        <f t="shared" si="1"/>
        <v>371</v>
      </c>
      <c r="R15" s="1" t="s">
        <v>11</v>
      </c>
      <c r="S15" s="17">
        <f t="shared" ref="S15:AF15" si="7">SUM(C30:C33)</f>
        <v>179</v>
      </c>
      <c r="T15" s="17">
        <f t="shared" si="7"/>
        <v>28</v>
      </c>
      <c r="U15" s="17">
        <f t="shared" si="7"/>
        <v>26</v>
      </c>
      <c r="V15" s="17">
        <f t="shared" si="7"/>
        <v>127</v>
      </c>
      <c r="W15" s="17">
        <f t="shared" si="7"/>
        <v>2</v>
      </c>
      <c r="X15" s="17">
        <f t="shared" si="7"/>
        <v>1</v>
      </c>
      <c r="Y15" s="17">
        <f t="shared" si="7"/>
        <v>41</v>
      </c>
      <c r="Z15" s="17">
        <f t="shared" si="7"/>
        <v>10</v>
      </c>
      <c r="AA15" s="17">
        <f t="shared" si="7"/>
        <v>8</v>
      </c>
      <c r="AB15" s="17">
        <f t="shared" si="7"/>
        <v>1</v>
      </c>
      <c r="AC15" s="17">
        <f t="shared" si="7"/>
        <v>195</v>
      </c>
      <c r="AD15" s="17">
        <f t="shared" si="7"/>
        <v>0</v>
      </c>
      <c r="AE15" s="31">
        <f t="shared" si="7"/>
        <v>423</v>
      </c>
      <c r="AF15" s="31">
        <f t="shared" si="7"/>
        <v>618</v>
      </c>
    </row>
    <row r="16" spans="2:32" ht="23.1" customHeight="1" x14ac:dyDescent="0.25">
      <c r="B16" s="23" t="s">
        <v>43</v>
      </c>
      <c r="C16" s="50">
        <v>59</v>
      </c>
      <c r="D16" s="50">
        <v>15</v>
      </c>
      <c r="E16" s="50">
        <v>3</v>
      </c>
      <c r="F16" s="50">
        <v>54</v>
      </c>
      <c r="G16" s="50">
        <v>1</v>
      </c>
      <c r="H16" s="50">
        <v>1</v>
      </c>
      <c r="I16" s="50">
        <v>7</v>
      </c>
      <c r="J16" s="50">
        <v>1</v>
      </c>
      <c r="K16" s="50">
        <v>0</v>
      </c>
      <c r="L16" s="50">
        <v>0</v>
      </c>
      <c r="M16" s="50">
        <v>241</v>
      </c>
      <c r="N16" s="50">
        <v>0</v>
      </c>
      <c r="O16" s="15">
        <f t="shared" si="0"/>
        <v>141</v>
      </c>
      <c r="P16" s="15">
        <f t="shared" si="1"/>
        <v>382</v>
      </c>
      <c r="R16" s="1" t="s">
        <v>12</v>
      </c>
      <c r="S16" s="17">
        <f t="shared" ref="S16:AF16" si="8">SUM(C34:C37)</f>
        <v>182</v>
      </c>
      <c r="T16" s="17">
        <f t="shared" si="8"/>
        <v>37</v>
      </c>
      <c r="U16" s="17">
        <f t="shared" si="8"/>
        <v>21</v>
      </c>
      <c r="V16" s="17">
        <f t="shared" si="8"/>
        <v>110</v>
      </c>
      <c r="W16" s="17">
        <f t="shared" si="8"/>
        <v>0</v>
      </c>
      <c r="X16" s="17">
        <f t="shared" si="8"/>
        <v>1</v>
      </c>
      <c r="Y16" s="17">
        <f t="shared" si="8"/>
        <v>28</v>
      </c>
      <c r="Z16" s="17">
        <f t="shared" si="8"/>
        <v>10</v>
      </c>
      <c r="AA16" s="17">
        <f t="shared" si="8"/>
        <v>13</v>
      </c>
      <c r="AB16" s="17">
        <f t="shared" si="8"/>
        <v>0</v>
      </c>
      <c r="AC16" s="17">
        <f t="shared" si="8"/>
        <v>97</v>
      </c>
      <c r="AD16" s="17">
        <f t="shared" si="8"/>
        <v>0</v>
      </c>
      <c r="AE16" s="31">
        <f t="shared" si="8"/>
        <v>402</v>
      </c>
      <c r="AF16" s="31">
        <f t="shared" si="8"/>
        <v>499</v>
      </c>
    </row>
    <row r="17" spans="2:32" ht="23.1" customHeight="1" x14ac:dyDescent="0.25">
      <c r="B17" s="23" t="s">
        <v>44</v>
      </c>
      <c r="C17" s="50">
        <v>56</v>
      </c>
      <c r="D17" s="50">
        <v>3</v>
      </c>
      <c r="E17" s="50">
        <v>3</v>
      </c>
      <c r="F17" s="50">
        <v>32</v>
      </c>
      <c r="G17" s="50">
        <v>0</v>
      </c>
      <c r="H17" s="50">
        <v>0</v>
      </c>
      <c r="I17" s="50">
        <v>8</v>
      </c>
      <c r="J17" s="50">
        <v>2</v>
      </c>
      <c r="K17" s="50">
        <v>1</v>
      </c>
      <c r="L17" s="50">
        <v>0</v>
      </c>
      <c r="M17" s="50">
        <v>119</v>
      </c>
      <c r="N17" s="50">
        <v>0</v>
      </c>
      <c r="O17" s="15">
        <f t="shared" si="0"/>
        <v>105</v>
      </c>
      <c r="P17" s="15">
        <f t="shared" si="1"/>
        <v>224</v>
      </c>
      <c r="R17" s="1" t="s">
        <v>13</v>
      </c>
      <c r="S17" s="17">
        <f t="shared" ref="S17:AF17" si="9">SUM(C38:C41)</f>
        <v>191</v>
      </c>
      <c r="T17" s="17">
        <f t="shared" si="9"/>
        <v>42</v>
      </c>
      <c r="U17" s="17">
        <f t="shared" si="9"/>
        <v>25</v>
      </c>
      <c r="V17" s="17">
        <f t="shared" si="9"/>
        <v>113</v>
      </c>
      <c r="W17" s="17">
        <f t="shared" si="9"/>
        <v>0</v>
      </c>
      <c r="X17" s="17">
        <f t="shared" si="9"/>
        <v>1</v>
      </c>
      <c r="Y17" s="17">
        <f t="shared" si="9"/>
        <v>48</v>
      </c>
      <c r="Z17" s="17">
        <f t="shared" si="9"/>
        <v>5</v>
      </c>
      <c r="AA17" s="17">
        <f t="shared" si="9"/>
        <v>6</v>
      </c>
      <c r="AB17" s="17">
        <f t="shared" si="9"/>
        <v>1</v>
      </c>
      <c r="AC17" s="17">
        <f t="shared" si="9"/>
        <v>161</v>
      </c>
      <c r="AD17" s="17">
        <f t="shared" si="9"/>
        <v>0</v>
      </c>
      <c r="AE17" s="31">
        <f t="shared" si="9"/>
        <v>432</v>
      </c>
      <c r="AF17" s="31">
        <f t="shared" si="9"/>
        <v>593</v>
      </c>
    </row>
    <row r="18" spans="2:32" ht="23.1" customHeight="1" x14ac:dyDescent="0.25">
      <c r="B18" s="23" t="s">
        <v>45</v>
      </c>
      <c r="C18" s="50">
        <v>74</v>
      </c>
      <c r="D18" s="50">
        <v>6</v>
      </c>
      <c r="E18" s="50">
        <v>6</v>
      </c>
      <c r="F18" s="50">
        <v>31</v>
      </c>
      <c r="G18" s="50">
        <v>0</v>
      </c>
      <c r="H18" s="50">
        <v>0</v>
      </c>
      <c r="I18" s="50">
        <v>13</v>
      </c>
      <c r="J18" s="50">
        <v>4</v>
      </c>
      <c r="K18" s="50">
        <v>2</v>
      </c>
      <c r="L18" s="50">
        <v>0</v>
      </c>
      <c r="M18" s="50">
        <v>159</v>
      </c>
      <c r="N18" s="50">
        <v>0</v>
      </c>
      <c r="O18" s="15">
        <f t="shared" si="0"/>
        <v>136</v>
      </c>
      <c r="P18" s="15">
        <f t="shared" si="1"/>
        <v>295</v>
      </c>
      <c r="R18" s="1" t="s">
        <v>14</v>
      </c>
      <c r="S18" s="17">
        <f t="shared" ref="S18:AF18" si="10">SUM(C42:C45)</f>
        <v>203</v>
      </c>
      <c r="T18" s="17">
        <f t="shared" si="10"/>
        <v>30</v>
      </c>
      <c r="U18" s="17">
        <f t="shared" si="10"/>
        <v>43</v>
      </c>
      <c r="V18" s="17">
        <f t="shared" si="10"/>
        <v>129</v>
      </c>
      <c r="W18" s="17">
        <f t="shared" si="10"/>
        <v>0</v>
      </c>
      <c r="X18" s="17">
        <f t="shared" si="10"/>
        <v>2</v>
      </c>
      <c r="Y18" s="17">
        <f t="shared" si="10"/>
        <v>60</v>
      </c>
      <c r="Z18" s="17">
        <f t="shared" si="10"/>
        <v>7</v>
      </c>
      <c r="AA18" s="17">
        <f t="shared" si="10"/>
        <v>14</v>
      </c>
      <c r="AB18" s="17">
        <f t="shared" si="10"/>
        <v>0</v>
      </c>
      <c r="AC18" s="17">
        <f t="shared" si="10"/>
        <v>355</v>
      </c>
      <c r="AD18" s="17">
        <f t="shared" si="10"/>
        <v>0</v>
      </c>
      <c r="AE18" s="31">
        <f t="shared" si="10"/>
        <v>488</v>
      </c>
      <c r="AF18" s="31">
        <f t="shared" si="10"/>
        <v>843</v>
      </c>
    </row>
    <row r="19" spans="2:32" ht="23.1" customHeight="1" x14ac:dyDescent="0.25">
      <c r="B19" s="23" t="s">
        <v>46</v>
      </c>
      <c r="C19" s="50">
        <v>85</v>
      </c>
      <c r="D19" s="50">
        <v>10</v>
      </c>
      <c r="E19" s="50">
        <v>4</v>
      </c>
      <c r="F19" s="50">
        <v>49</v>
      </c>
      <c r="G19" s="50">
        <v>2</v>
      </c>
      <c r="H19" s="50">
        <v>0</v>
      </c>
      <c r="I19" s="50">
        <v>3</v>
      </c>
      <c r="J19" s="50">
        <v>3</v>
      </c>
      <c r="K19" s="50">
        <v>2</v>
      </c>
      <c r="L19" s="50">
        <v>0</v>
      </c>
      <c r="M19" s="50">
        <v>172</v>
      </c>
      <c r="N19" s="50">
        <v>0</v>
      </c>
      <c r="O19" s="15">
        <f t="shared" si="0"/>
        <v>158</v>
      </c>
      <c r="P19" s="15">
        <f t="shared" si="1"/>
        <v>330</v>
      </c>
      <c r="R19" s="1" t="s">
        <v>15</v>
      </c>
      <c r="S19" s="17">
        <f t="shared" ref="S19:AF19" si="11">SUM(C46:C49)</f>
        <v>239</v>
      </c>
      <c r="T19" s="17">
        <f t="shared" si="11"/>
        <v>47</v>
      </c>
      <c r="U19" s="17">
        <f t="shared" si="11"/>
        <v>31</v>
      </c>
      <c r="V19" s="17">
        <f t="shared" si="11"/>
        <v>144</v>
      </c>
      <c r="W19" s="17">
        <f t="shared" si="11"/>
        <v>1</v>
      </c>
      <c r="X19" s="17">
        <f t="shared" si="11"/>
        <v>2</v>
      </c>
      <c r="Y19" s="17">
        <f t="shared" si="11"/>
        <v>57</v>
      </c>
      <c r="Z19" s="17">
        <f t="shared" si="11"/>
        <v>17</v>
      </c>
      <c r="AA19" s="17">
        <f t="shared" si="11"/>
        <v>5</v>
      </c>
      <c r="AB19" s="17">
        <f t="shared" si="11"/>
        <v>0</v>
      </c>
      <c r="AC19" s="17">
        <f t="shared" si="11"/>
        <v>400</v>
      </c>
      <c r="AD19" s="17">
        <f t="shared" si="11"/>
        <v>0</v>
      </c>
      <c r="AE19" s="31">
        <f t="shared" si="11"/>
        <v>543</v>
      </c>
      <c r="AF19" s="31">
        <f t="shared" si="11"/>
        <v>943</v>
      </c>
    </row>
    <row r="20" spans="2:32" ht="23.1" customHeight="1" x14ac:dyDescent="0.25">
      <c r="B20" s="23" t="s">
        <v>47</v>
      </c>
      <c r="C20" s="50">
        <v>58</v>
      </c>
      <c r="D20" s="50">
        <v>15</v>
      </c>
      <c r="E20" s="50">
        <v>6</v>
      </c>
      <c r="F20" s="50">
        <v>25</v>
      </c>
      <c r="G20" s="50">
        <v>0</v>
      </c>
      <c r="H20" s="50">
        <v>1</v>
      </c>
      <c r="I20" s="50">
        <v>9</v>
      </c>
      <c r="J20" s="50">
        <v>3</v>
      </c>
      <c r="K20" s="50">
        <v>2</v>
      </c>
      <c r="L20" s="50">
        <v>0</v>
      </c>
      <c r="M20" s="50">
        <v>190</v>
      </c>
      <c r="N20" s="50">
        <v>0</v>
      </c>
      <c r="O20" s="15">
        <f t="shared" si="0"/>
        <v>119</v>
      </c>
      <c r="P20" s="15">
        <f t="shared" si="1"/>
        <v>309</v>
      </c>
      <c r="R20" s="1" t="s">
        <v>16</v>
      </c>
      <c r="S20" s="17">
        <f t="shared" ref="S20:AF20" si="12">SUM(C50:C53)</f>
        <v>260</v>
      </c>
      <c r="T20" s="17">
        <f t="shared" si="12"/>
        <v>37</v>
      </c>
      <c r="U20" s="17">
        <f t="shared" si="12"/>
        <v>42</v>
      </c>
      <c r="V20" s="17">
        <f t="shared" si="12"/>
        <v>185</v>
      </c>
      <c r="W20" s="17">
        <f t="shared" si="12"/>
        <v>5</v>
      </c>
      <c r="X20" s="17">
        <f t="shared" si="12"/>
        <v>1</v>
      </c>
      <c r="Y20" s="17">
        <f t="shared" si="12"/>
        <v>51</v>
      </c>
      <c r="Z20" s="17">
        <f t="shared" si="12"/>
        <v>2</v>
      </c>
      <c r="AA20" s="17">
        <f t="shared" si="12"/>
        <v>19</v>
      </c>
      <c r="AB20" s="17">
        <f t="shared" si="12"/>
        <v>2</v>
      </c>
      <c r="AC20" s="17">
        <f t="shared" si="12"/>
        <v>422</v>
      </c>
      <c r="AD20" s="17">
        <f t="shared" si="12"/>
        <v>0</v>
      </c>
      <c r="AE20" s="31">
        <f t="shared" si="12"/>
        <v>604</v>
      </c>
      <c r="AF20" s="31">
        <f t="shared" si="12"/>
        <v>1026</v>
      </c>
    </row>
    <row r="21" spans="2:32" ht="23.1" customHeight="1" x14ac:dyDescent="0.25">
      <c r="B21" s="23" t="s">
        <v>48</v>
      </c>
      <c r="C21" s="50">
        <v>60</v>
      </c>
      <c r="D21" s="50">
        <v>12</v>
      </c>
      <c r="E21" s="50">
        <v>8</v>
      </c>
      <c r="F21" s="50">
        <v>39</v>
      </c>
      <c r="G21" s="50">
        <v>1</v>
      </c>
      <c r="H21" s="50">
        <v>2</v>
      </c>
      <c r="I21" s="50">
        <v>7</v>
      </c>
      <c r="J21" s="50">
        <v>2</v>
      </c>
      <c r="K21" s="50">
        <v>1</v>
      </c>
      <c r="L21" s="50">
        <v>0</v>
      </c>
      <c r="M21" s="50">
        <v>167</v>
      </c>
      <c r="N21" s="50">
        <v>0</v>
      </c>
      <c r="O21" s="15">
        <f t="shared" si="0"/>
        <v>132</v>
      </c>
      <c r="P21" s="15">
        <f t="shared" si="1"/>
        <v>299</v>
      </c>
      <c r="R21" s="36" t="s">
        <v>20</v>
      </c>
      <c r="S21" s="34">
        <f t="shared" ref="S21:AF21" si="13">SUM(C54:C57)</f>
        <v>240</v>
      </c>
      <c r="T21" s="17">
        <f t="shared" si="13"/>
        <v>44</v>
      </c>
      <c r="U21" s="17">
        <f t="shared" si="13"/>
        <v>39</v>
      </c>
      <c r="V21" s="17">
        <f t="shared" si="13"/>
        <v>180</v>
      </c>
      <c r="W21" s="17">
        <f t="shared" si="13"/>
        <v>11</v>
      </c>
      <c r="X21" s="17">
        <f t="shared" si="13"/>
        <v>2</v>
      </c>
      <c r="Y21" s="17">
        <f t="shared" si="13"/>
        <v>69</v>
      </c>
      <c r="Z21" s="17">
        <f t="shared" si="13"/>
        <v>15</v>
      </c>
      <c r="AA21" s="17">
        <f t="shared" si="13"/>
        <v>8</v>
      </c>
      <c r="AB21" s="17">
        <f t="shared" si="13"/>
        <v>2</v>
      </c>
      <c r="AC21" s="17">
        <f t="shared" si="13"/>
        <v>484</v>
      </c>
      <c r="AD21" s="17">
        <f t="shared" si="13"/>
        <v>1</v>
      </c>
      <c r="AE21" s="31">
        <f t="shared" si="13"/>
        <v>611</v>
      </c>
      <c r="AF21" s="31">
        <f t="shared" si="13"/>
        <v>1095</v>
      </c>
    </row>
    <row r="22" spans="2:32" ht="23.1" customHeight="1" x14ac:dyDescent="0.25">
      <c r="B22" s="23" t="s">
        <v>49</v>
      </c>
      <c r="C22" s="50">
        <v>61</v>
      </c>
      <c r="D22" s="50">
        <v>4</v>
      </c>
      <c r="E22" s="50">
        <v>6</v>
      </c>
      <c r="F22" s="50">
        <v>29</v>
      </c>
      <c r="G22" s="50">
        <v>2</v>
      </c>
      <c r="H22" s="50">
        <v>1</v>
      </c>
      <c r="I22" s="50">
        <v>5</v>
      </c>
      <c r="J22" s="50">
        <v>2</v>
      </c>
      <c r="K22" s="50">
        <v>0</v>
      </c>
      <c r="L22" s="50">
        <v>0</v>
      </c>
      <c r="M22" s="50">
        <v>115</v>
      </c>
      <c r="N22" s="50">
        <v>0</v>
      </c>
      <c r="O22" s="15">
        <f t="shared" si="0"/>
        <v>110</v>
      </c>
      <c r="P22" s="15">
        <f t="shared" si="1"/>
        <v>225</v>
      </c>
      <c r="R22" s="38" t="s">
        <v>90</v>
      </c>
      <c r="S22" s="39">
        <f>MAX(S10:S12)</f>
        <v>391</v>
      </c>
      <c r="T22" s="39">
        <f t="shared" ref="T22:AF22" si="14">MAX(T10:T12)</f>
        <v>43</v>
      </c>
      <c r="U22" s="39">
        <f t="shared" si="14"/>
        <v>38</v>
      </c>
      <c r="V22" s="39">
        <f t="shared" si="14"/>
        <v>174</v>
      </c>
      <c r="W22" s="39">
        <f t="shared" si="14"/>
        <v>5</v>
      </c>
      <c r="X22" s="39">
        <f t="shared" si="14"/>
        <v>3</v>
      </c>
      <c r="Y22" s="39">
        <f t="shared" si="14"/>
        <v>36</v>
      </c>
      <c r="Z22" s="39">
        <f t="shared" si="14"/>
        <v>13</v>
      </c>
      <c r="AA22" s="39">
        <f t="shared" si="14"/>
        <v>7</v>
      </c>
      <c r="AB22" s="39">
        <f t="shared" si="14"/>
        <v>0</v>
      </c>
      <c r="AC22" s="39">
        <f t="shared" si="14"/>
        <v>740</v>
      </c>
      <c r="AD22" s="39">
        <f t="shared" si="14"/>
        <v>0</v>
      </c>
      <c r="AE22" s="40">
        <f t="shared" si="14"/>
        <v>684</v>
      </c>
      <c r="AF22" s="40">
        <f t="shared" si="14"/>
        <v>1399</v>
      </c>
    </row>
    <row r="23" spans="2:32" ht="23.1" customHeight="1" x14ac:dyDescent="0.25">
      <c r="B23" s="23" t="s">
        <v>50</v>
      </c>
      <c r="C23" s="50">
        <v>62</v>
      </c>
      <c r="D23" s="50">
        <v>6</v>
      </c>
      <c r="E23" s="50">
        <v>1</v>
      </c>
      <c r="F23" s="50">
        <v>34</v>
      </c>
      <c r="G23" s="50">
        <v>1</v>
      </c>
      <c r="H23" s="50">
        <v>2</v>
      </c>
      <c r="I23" s="50">
        <v>13</v>
      </c>
      <c r="J23" s="50">
        <v>4</v>
      </c>
      <c r="K23" s="50">
        <v>3</v>
      </c>
      <c r="L23" s="50">
        <v>0</v>
      </c>
      <c r="M23" s="50">
        <v>167</v>
      </c>
      <c r="N23" s="50">
        <v>0</v>
      </c>
      <c r="O23" s="15">
        <f t="shared" si="0"/>
        <v>126</v>
      </c>
      <c r="P23" s="15">
        <f t="shared" si="1"/>
        <v>293</v>
      </c>
      <c r="R23" s="38" t="s">
        <v>91</v>
      </c>
      <c r="S23" s="39">
        <f>MAX(S13:S18)</f>
        <v>218</v>
      </c>
      <c r="T23" s="39">
        <f t="shared" ref="T23:AF23" si="15">MAX(T13:T18)</f>
        <v>42</v>
      </c>
      <c r="U23" s="39">
        <f t="shared" si="15"/>
        <v>43</v>
      </c>
      <c r="V23" s="39">
        <f t="shared" si="15"/>
        <v>138</v>
      </c>
      <c r="W23" s="39">
        <f t="shared" si="15"/>
        <v>5</v>
      </c>
      <c r="X23" s="39">
        <f t="shared" si="15"/>
        <v>4</v>
      </c>
      <c r="Y23" s="39">
        <f t="shared" si="15"/>
        <v>60</v>
      </c>
      <c r="Z23" s="39">
        <f t="shared" si="15"/>
        <v>17</v>
      </c>
      <c r="AA23" s="39">
        <f t="shared" si="15"/>
        <v>14</v>
      </c>
      <c r="AB23" s="39">
        <f t="shared" si="15"/>
        <v>1</v>
      </c>
      <c r="AC23" s="39">
        <f t="shared" si="15"/>
        <v>505</v>
      </c>
      <c r="AD23" s="39">
        <f t="shared" si="15"/>
        <v>1</v>
      </c>
      <c r="AE23" s="40">
        <f t="shared" si="15"/>
        <v>488</v>
      </c>
      <c r="AF23" s="40">
        <f t="shared" si="15"/>
        <v>977</v>
      </c>
    </row>
    <row r="24" spans="2:32" ht="23.1" customHeight="1" x14ac:dyDescent="0.25">
      <c r="B24" s="23" t="s">
        <v>51</v>
      </c>
      <c r="C24" s="50">
        <v>48</v>
      </c>
      <c r="D24" s="50">
        <v>6</v>
      </c>
      <c r="E24" s="50">
        <v>9</v>
      </c>
      <c r="F24" s="50">
        <v>34</v>
      </c>
      <c r="G24" s="50">
        <v>1</v>
      </c>
      <c r="H24" s="50">
        <v>0</v>
      </c>
      <c r="I24" s="50">
        <v>7</v>
      </c>
      <c r="J24" s="50">
        <v>8</v>
      </c>
      <c r="K24" s="50">
        <v>3</v>
      </c>
      <c r="L24" s="50">
        <v>0</v>
      </c>
      <c r="M24" s="50">
        <v>98</v>
      </c>
      <c r="N24" s="50">
        <v>1</v>
      </c>
      <c r="O24" s="15">
        <f t="shared" si="0"/>
        <v>117</v>
      </c>
      <c r="P24" s="15">
        <f t="shared" si="1"/>
        <v>215</v>
      </c>
      <c r="R24" s="38" t="s">
        <v>92</v>
      </c>
      <c r="S24" s="39">
        <f>MAX(S19:S21)</f>
        <v>260</v>
      </c>
      <c r="T24" s="39">
        <f t="shared" ref="T24:AF24" si="16">MAX(T19:T21)</f>
        <v>47</v>
      </c>
      <c r="U24" s="39">
        <f t="shared" si="16"/>
        <v>42</v>
      </c>
      <c r="V24" s="39">
        <f t="shared" si="16"/>
        <v>185</v>
      </c>
      <c r="W24" s="39">
        <f t="shared" si="16"/>
        <v>11</v>
      </c>
      <c r="X24" s="39">
        <f t="shared" si="16"/>
        <v>2</v>
      </c>
      <c r="Y24" s="39">
        <f t="shared" si="16"/>
        <v>69</v>
      </c>
      <c r="Z24" s="39">
        <f t="shared" si="16"/>
        <v>17</v>
      </c>
      <c r="AA24" s="39">
        <f t="shared" si="16"/>
        <v>19</v>
      </c>
      <c r="AB24" s="39">
        <f t="shared" si="16"/>
        <v>2</v>
      </c>
      <c r="AC24" s="39">
        <f t="shared" si="16"/>
        <v>484</v>
      </c>
      <c r="AD24" s="39">
        <f t="shared" si="16"/>
        <v>1</v>
      </c>
      <c r="AE24" s="40">
        <f t="shared" si="16"/>
        <v>611</v>
      </c>
      <c r="AF24" s="40">
        <f t="shared" si="16"/>
        <v>1095</v>
      </c>
    </row>
    <row r="25" spans="2:32" ht="23.1" customHeight="1" x14ac:dyDescent="0.25">
      <c r="B25" s="23" t="s">
        <v>52</v>
      </c>
      <c r="C25" s="50">
        <v>47</v>
      </c>
      <c r="D25" s="50">
        <v>9</v>
      </c>
      <c r="E25" s="50">
        <v>5</v>
      </c>
      <c r="F25" s="50">
        <v>41</v>
      </c>
      <c r="G25" s="50">
        <v>0</v>
      </c>
      <c r="H25" s="50">
        <v>1</v>
      </c>
      <c r="I25" s="50">
        <v>13</v>
      </c>
      <c r="J25" s="50">
        <v>3</v>
      </c>
      <c r="K25" s="50">
        <v>0</v>
      </c>
      <c r="L25" s="50">
        <v>0</v>
      </c>
      <c r="M25" s="50">
        <v>125</v>
      </c>
      <c r="N25" s="50">
        <v>0</v>
      </c>
      <c r="O25" s="15">
        <f t="shared" si="0"/>
        <v>119</v>
      </c>
      <c r="P25" s="15">
        <f t="shared" si="1"/>
        <v>244</v>
      </c>
      <c r="R25" s="37" t="s">
        <v>85</v>
      </c>
      <c r="S25" s="35">
        <f t="shared" ref="S25:AF25" si="17">SUM(S10:S12)</f>
        <v>977</v>
      </c>
      <c r="T25" s="16">
        <f t="shared" si="17"/>
        <v>108</v>
      </c>
      <c r="U25" s="16">
        <f t="shared" si="17"/>
        <v>78</v>
      </c>
      <c r="V25" s="16">
        <f t="shared" si="17"/>
        <v>485</v>
      </c>
      <c r="W25" s="16">
        <f t="shared" si="17"/>
        <v>13</v>
      </c>
      <c r="X25" s="16">
        <f t="shared" si="17"/>
        <v>8</v>
      </c>
      <c r="Y25" s="16">
        <f t="shared" si="17"/>
        <v>91</v>
      </c>
      <c r="Z25" s="16">
        <f t="shared" si="17"/>
        <v>26</v>
      </c>
      <c r="AA25" s="16">
        <f t="shared" si="17"/>
        <v>15</v>
      </c>
      <c r="AB25" s="16">
        <f t="shared" si="17"/>
        <v>0</v>
      </c>
      <c r="AC25" s="16">
        <f t="shared" si="17"/>
        <v>2143</v>
      </c>
      <c r="AD25" s="16">
        <f t="shared" si="17"/>
        <v>0</v>
      </c>
      <c r="AE25" s="32">
        <f t="shared" si="17"/>
        <v>1801</v>
      </c>
      <c r="AF25" s="32">
        <f t="shared" si="17"/>
        <v>3944</v>
      </c>
    </row>
    <row r="26" spans="2:32" ht="23.1" customHeight="1" x14ac:dyDescent="0.25">
      <c r="B26" s="23" t="s">
        <v>53</v>
      </c>
      <c r="C26" s="50">
        <v>49</v>
      </c>
      <c r="D26" s="50">
        <v>8</v>
      </c>
      <c r="E26" s="50">
        <v>7</v>
      </c>
      <c r="F26" s="50">
        <v>33</v>
      </c>
      <c r="G26" s="50">
        <v>0</v>
      </c>
      <c r="H26" s="50">
        <v>0</v>
      </c>
      <c r="I26" s="50">
        <v>8</v>
      </c>
      <c r="J26" s="50">
        <v>5</v>
      </c>
      <c r="K26" s="50">
        <v>0</v>
      </c>
      <c r="L26" s="50">
        <v>0</v>
      </c>
      <c r="M26" s="50">
        <v>133</v>
      </c>
      <c r="N26" s="50">
        <v>0</v>
      </c>
      <c r="O26" s="15">
        <f t="shared" si="0"/>
        <v>110</v>
      </c>
      <c r="P26" s="15">
        <f t="shared" si="1"/>
        <v>243</v>
      </c>
      <c r="R26" s="28" t="s">
        <v>86</v>
      </c>
      <c r="S26" s="16">
        <f t="shared" ref="S26:AF26" si="18">SUM(S13:S18)</f>
        <v>1166</v>
      </c>
      <c r="T26" s="16">
        <f t="shared" si="18"/>
        <v>193</v>
      </c>
      <c r="U26" s="16">
        <f t="shared" si="18"/>
        <v>169</v>
      </c>
      <c r="V26" s="16">
        <f t="shared" si="18"/>
        <v>751</v>
      </c>
      <c r="W26" s="16">
        <f t="shared" si="18"/>
        <v>11</v>
      </c>
      <c r="X26" s="16">
        <f t="shared" si="18"/>
        <v>9</v>
      </c>
      <c r="Y26" s="16">
        <f t="shared" si="18"/>
        <v>250</v>
      </c>
      <c r="Z26" s="16">
        <f t="shared" si="18"/>
        <v>60</v>
      </c>
      <c r="AA26" s="16">
        <f t="shared" si="18"/>
        <v>52</v>
      </c>
      <c r="AB26" s="16">
        <f t="shared" si="18"/>
        <v>2</v>
      </c>
      <c r="AC26" s="16">
        <f t="shared" si="18"/>
        <v>1642</v>
      </c>
      <c r="AD26" s="16">
        <f t="shared" si="18"/>
        <v>1</v>
      </c>
      <c r="AE26" s="32">
        <f t="shared" si="18"/>
        <v>2664</v>
      </c>
      <c r="AF26" s="32">
        <f t="shared" si="18"/>
        <v>4306</v>
      </c>
    </row>
    <row r="27" spans="2:32" ht="23.1" customHeight="1" x14ac:dyDescent="0.25">
      <c r="B27" s="23" t="s">
        <v>54</v>
      </c>
      <c r="C27" s="50">
        <v>44</v>
      </c>
      <c r="D27" s="50">
        <v>3</v>
      </c>
      <c r="E27" s="50">
        <v>6</v>
      </c>
      <c r="F27" s="50">
        <v>40</v>
      </c>
      <c r="G27" s="50">
        <v>2</v>
      </c>
      <c r="H27" s="50">
        <v>0</v>
      </c>
      <c r="I27" s="50">
        <v>10</v>
      </c>
      <c r="J27" s="50">
        <v>0</v>
      </c>
      <c r="K27" s="50">
        <v>0</v>
      </c>
      <c r="L27" s="50">
        <v>0</v>
      </c>
      <c r="M27" s="50">
        <v>68</v>
      </c>
      <c r="N27" s="50">
        <v>0</v>
      </c>
      <c r="O27" s="15">
        <f t="shared" si="0"/>
        <v>105</v>
      </c>
      <c r="P27" s="15">
        <f t="shared" si="1"/>
        <v>173</v>
      </c>
      <c r="R27" s="29" t="s">
        <v>87</v>
      </c>
      <c r="S27" s="16">
        <f t="shared" ref="S27:AF27" si="19">SUM(S19:S21)</f>
        <v>739</v>
      </c>
      <c r="T27" s="16">
        <f t="shared" si="19"/>
        <v>128</v>
      </c>
      <c r="U27" s="16">
        <f t="shared" si="19"/>
        <v>112</v>
      </c>
      <c r="V27" s="16">
        <f t="shared" si="19"/>
        <v>509</v>
      </c>
      <c r="W27" s="16">
        <f t="shared" si="19"/>
        <v>17</v>
      </c>
      <c r="X27" s="16">
        <f t="shared" si="19"/>
        <v>5</v>
      </c>
      <c r="Y27" s="16">
        <f t="shared" si="19"/>
        <v>177</v>
      </c>
      <c r="Z27" s="16">
        <f t="shared" si="19"/>
        <v>34</v>
      </c>
      <c r="AA27" s="16">
        <f t="shared" si="19"/>
        <v>32</v>
      </c>
      <c r="AB27" s="16">
        <f t="shared" si="19"/>
        <v>4</v>
      </c>
      <c r="AC27" s="16">
        <f t="shared" si="19"/>
        <v>1306</v>
      </c>
      <c r="AD27" s="16">
        <f t="shared" si="19"/>
        <v>1</v>
      </c>
      <c r="AE27" s="32">
        <f t="shared" si="19"/>
        <v>1758</v>
      </c>
      <c r="AF27" s="32">
        <f t="shared" si="19"/>
        <v>3064</v>
      </c>
    </row>
    <row r="28" spans="2:32" ht="23.1" customHeight="1" x14ac:dyDescent="0.25">
      <c r="B28" s="23" t="s">
        <v>55</v>
      </c>
      <c r="C28" s="50">
        <v>57</v>
      </c>
      <c r="D28" s="50">
        <v>16</v>
      </c>
      <c r="E28" s="50">
        <v>8</v>
      </c>
      <c r="F28" s="50">
        <v>30</v>
      </c>
      <c r="G28" s="50">
        <v>0</v>
      </c>
      <c r="H28" s="50">
        <v>0</v>
      </c>
      <c r="I28" s="50">
        <v>6</v>
      </c>
      <c r="J28" s="50">
        <v>5</v>
      </c>
      <c r="K28" s="50">
        <v>3</v>
      </c>
      <c r="L28" s="50">
        <v>0</v>
      </c>
      <c r="M28" s="50">
        <v>69</v>
      </c>
      <c r="N28" s="50">
        <v>0</v>
      </c>
      <c r="O28" s="15">
        <f t="shared" si="0"/>
        <v>125</v>
      </c>
      <c r="P28" s="15">
        <f t="shared" si="1"/>
        <v>194</v>
      </c>
      <c r="R28" s="5" t="s">
        <v>17</v>
      </c>
      <c r="S28" s="16">
        <f t="shared" ref="S28:AF28" si="20">SUM(S10:S21)</f>
        <v>2882</v>
      </c>
      <c r="T28" s="16">
        <f t="shared" si="20"/>
        <v>429</v>
      </c>
      <c r="U28" s="16">
        <f t="shared" si="20"/>
        <v>359</v>
      </c>
      <c r="V28" s="16">
        <f t="shared" si="20"/>
        <v>1745</v>
      </c>
      <c r="W28" s="16">
        <f t="shared" si="20"/>
        <v>41</v>
      </c>
      <c r="X28" s="16">
        <f t="shared" si="20"/>
        <v>22</v>
      </c>
      <c r="Y28" s="16">
        <f t="shared" si="20"/>
        <v>518</v>
      </c>
      <c r="Z28" s="16">
        <f t="shared" si="20"/>
        <v>120</v>
      </c>
      <c r="AA28" s="16">
        <f t="shared" si="20"/>
        <v>99</v>
      </c>
      <c r="AB28" s="16">
        <f t="shared" si="20"/>
        <v>6</v>
      </c>
      <c r="AC28" s="16">
        <f t="shared" si="20"/>
        <v>5091</v>
      </c>
      <c r="AD28" s="16">
        <f t="shared" si="20"/>
        <v>2</v>
      </c>
      <c r="AE28" s="32">
        <f t="shared" si="20"/>
        <v>6223</v>
      </c>
      <c r="AF28" s="32">
        <f t="shared" si="20"/>
        <v>11314</v>
      </c>
    </row>
    <row r="29" spans="2:32" ht="23.1" customHeight="1" x14ac:dyDescent="0.25">
      <c r="B29" s="23" t="s">
        <v>56</v>
      </c>
      <c r="C29" s="50">
        <v>43</v>
      </c>
      <c r="D29" s="50">
        <v>4</v>
      </c>
      <c r="E29" s="50">
        <v>12</v>
      </c>
      <c r="F29" s="50">
        <v>31</v>
      </c>
      <c r="G29" s="50">
        <v>3</v>
      </c>
      <c r="H29" s="50">
        <v>0</v>
      </c>
      <c r="I29" s="50">
        <v>11</v>
      </c>
      <c r="J29" s="50">
        <v>1</v>
      </c>
      <c r="K29" s="50">
        <v>2</v>
      </c>
      <c r="L29" s="50">
        <v>0</v>
      </c>
      <c r="M29" s="50">
        <v>59</v>
      </c>
      <c r="N29" s="50">
        <v>0</v>
      </c>
      <c r="O29" s="15">
        <f t="shared" si="0"/>
        <v>107</v>
      </c>
      <c r="P29" s="15">
        <f t="shared" si="1"/>
        <v>166</v>
      </c>
      <c r="R29"/>
      <c r="S29" s="20"/>
      <c r="T29" s="19"/>
    </row>
    <row r="30" spans="2:32" ht="23.1" customHeight="1" x14ac:dyDescent="0.25">
      <c r="B30" s="23" t="s">
        <v>57</v>
      </c>
      <c r="C30" s="50">
        <v>45</v>
      </c>
      <c r="D30" s="50">
        <v>6</v>
      </c>
      <c r="E30" s="50">
        <v>5</v>
      </c>
      <c r="F30" s="50">
        <v>34</v>
      </c>
      <c r="G30" s="50">
        <v>1</v>
      </c>
      <c r="H30" s="50">
        <v>0</v>
      </c>
      <c r="I30" s="50">
        <v>11</v>
      </c>
      <c r="J30" s="50">
        <v>3</v>
      </c>
      <c r="K30" s="50">
        <v>0</v>
      </c>
      <c r="L30" s="50">
        <v>0</v>
      </c>
      <c r="M30" s="50">
        <v>52</v>
      </c>
      <c r="N30" s="50">
        <v>0</v>
      </c>
      <c r="O30" s="15">
        <f t="shared" si="0"/>
        <v>105</v>
      </c>
      <c r="P30" s="15">
        <f t="shared" si="1"/>
        <v>157</v>
      </c>
    </row>
    <row r="31" spans="2:32" ht="23.1" customHeight="1" x14ac:dyDescent="0.25">
      <c r="B31" s="24" t="s">
        <v>58</v>
      </c>
      <c r="C31" s="50">
        <v>42</v>
      </c>
      <c r="D31" s="50">
        <v>10</v>
      </c>
      <c r="E31" s="50">
        <v>9</v>
      </c>
      <c r="F31" s="50">
        <v>33</v>
      </c>
      <c r="G31" s="50">
        <v>0</v>
      </c>
      <c r="H31" s="50">
        <v>0</v>
      </c>
      <c r="I31" s="50">
        <v>12</v>
      </c>
      <c r="J31" s="50">
        <v>1</v>
      </c>
      <c r="K31" s="50">
        <v>4</v>
      </c>
      <c r="L31" s="50">
        <v>0</v>
      </c>
      <c r="M31" s="50">
        <v>38</v>
      </c>
      <c r="N31" s="50">
        <v>0</v>
      </c>
      <c r="O31" s="15">
        <f t="shared" si="0"/>
        <v>111</v>
      </c>
      <c r="P31" s="15">
        <f t="shared" si="1"/>
        <v>149</v>
      </c>
    </row>
    <row r="32" spans="2:32" ht="23.1" customHeight="1" x14ac:dyDescent="0.25">
      <c r="B32" s="24" t="s">
        <v>59</v>
      </c>
      <c r="C32" s="50">
        <v>55</v>
      </c>
      <c r="D32" s="50">
        <v>7</v>
      </c>
      <c r="E32" s="50">
        <v>5</v>
      </c>
      <c r="F32" s="50">
        <v>33</v>
      </c>
      <c r="G32" s="50">
        <v>0</v>
      </c>
      <c r="H32" s="50">
        <v>0</v>
      </c>
      <c r="I32" s="50">
        <v>8</v>
      </c>
      <c r="J32" s="50">
        <v>3</v>
      </c>
      <c r="K32" s="50">
        <v>2</v>
      </c>
      <c r="L32" s="50">
        <v>1</v>
      </c>
      <c r="M32" s="50">
        <v>55</v>
      </c>
      <c r="N32" s="50">
        <v>0</v>
      </c>
      <c r="O32" s="15">
        <f t="shared" si="0"/>
        <v>114</v>
      </c>
      <c r="P32" s="15">
        <f t="shared" si="1"/>
        <v>169</v>
      </c>
    </row>
    <row r="33" spans="2:20" ht="23.1" customHeight="1" x14ac:dyDescent="0.25">
      <c r="B33" s="23" t="s">
        <v>60</v>
      </c>
      <c r="C33" s="50">
        <v>37</v>
      </c>
      <c r="D33" s="50">
        <v>5</v>
      </c>
      <c r="E33" s="50">
        <v>7</v>
      </c>
      <c r="F33" s="50">
        <v>27</v>
      </c>
      <c r="G33" s="50">
        <v>1</v>
      </c>
      <c r="H33" s="50">
        <v>1</v>
      </c>
      <c r="I33" s="50">
        <v>10</v>
      </c>
      <c r="J33" s="50">
        <v>3</v>
      </c>
      <c r="K33" s="50">
        <v>2</v>
      </c>
      <c r="L33" s="50">
        <v>0</v>
      </c>
      <c r="M33" s="50">
        <v>50</v>
      </c>
      <c r="N33" s="50">
        <v>0</v>
      </c>
      <c r="O33" s="15">
        <f t="shared" si="0"/>
        <v>93</v>
      </c>
      <c r="P33" s="15">
        <f t="shared" si="1"/>
        <v>143</v>
      </c>
    </row>
    <row r="34" spans="2:20" ht="23.1" customHeight="1" x14ac:dyDescent="0.25">
      <c r="B34" s="24" t="s">
        <v>61</v>
      </c>
      <c r="C34" s="50">
        <v>53</v>
      </c>
      <c r="D34" s="50">
        <v>13</v>
      </c>
      <c r="E34" s="50">
        <v>7</v>
      </c>
      <c r="F34" s="50">
        <v>38</v>
      </c>
      <c r="G34" s="50">
        <v>0</v>
      </c>
      <c r="H34" s="50">
        <v>0</v>
      </c>
      <c r="I34" s="50">
        <v>11</v>
      </c>
      <c r="J34" s="50">
        <v>2</v>
      </c>
      <c r="K34" s="50">
        <v>0</v>
      </c>
      <c r="L34" s="50">
        <v>0</v>
      </c>
      <c r="M34" s="50">
        <v>55</v>
      </c>
      <c r="N34" s="50">
        <v>0</v>
      </c>
      <c r="O34" s="15">
        <f t="shared" si="0"/>
        <v>124</v>
      </c>
      <c r="P34" s="15">
        <f t="shared" si="1"/>
        <v>179</v>
      </c>
    </row>
    <row r="35" spans="2:20" ht="23.1" customHeight="1" x14ac:dyDescent="0.25">
      <c r="B35" s="24" t="s">
        <v>62</v>
      </c>
      <c r="C35" s="50">
        <v>53</v>
      </c>
      <c r="D35" s="50">
        <v>9</v>
      </c>
      <c r="E35" s="50">
        <v>2</v>
      </c>
      <c r="F35" s="50">
        <v>28</v>
      </c>
      <c r="G35" s="50">
        <v>0</v>
      </c>
      <c r="H35" s="50">
        <v>0</v>
      </c>
      <c r="I35" s="50">
        <v>1</v>
      </c>
      <c r="J35" s="50">
        <v>4</v>
      </c>
      <c r="K35" s="50">
        <v>4</v>
      </c>
      <c r="L35" s="50">
        <v>0</v>
      </c>
      <c r="M35" s="50">
        <v>35</v>
      </c>
      <c r="N35" s="50">
        <v>0</v>
      </c>
      <c r="O35" s="15">
        <f t="shared" si="0"/>
        <v>101</v>
      </c>
      <c r="P35" s="15">
        <f t="shared" si="1"/>
        <v>136</v>
      </c>
    </row>
    <row r="36" spans="2:20" ht="23.1" customHeight="1" x14ac:dyDescent="0.25">
      <c r="B36" s="24" t="s">
        <v>63</v>
      </c>
      <c r="C36" s="50">
        <v>44</v>
      </c>
      <c r="D36" s="50">
        <v>9</v>
      </c>
      <c r="E36" s="50">
        <v>10</v>
      </c>
      <c r="F36" s="50">
        <v>25</v>
      </c>
      <c r="G36" s="50">
        <v>0</v>
      </c>
      <c r="H36" s="50">
        <v>1</v>
      </c>
      <c r="I36" s="50">
        <v>6</v>
      </c>
      <c r="J36" s="50">
        <v>0</v>
      </c>
      <c r="K36" s="50">
        <v>6</v>
      </c>
      <c r="L36" s="50">
        <v>0</v>
      </c>
      <c r="M36" s="50">
        <v>3</v>
      </c>
      <c r="N36" s="50">
        <v>0</v>
      </c>
      <c r="O36" s="15">
        <f t="shared" si="0"/>
        <v>101</v>
      </c>
      <c r="P36" s="15">
        <f t="shared" si="1"/>
        <v>104</v>
      </c>
    </row>
    <row r="37" spans="2:20" ht="23.1" customHeight="1" x14ac:dyDescent="0.25">
      <c r="B37" s="23" t="s">
        <v>64</v>
      </c>
      <c r="C37" s="50">
        <v>32</v>
      </c>
      <c r="D37" s="50">
        <v>6</v>
      </c>
      <c r="E37" s="50">
        <v>2</v>
      </c>
      <c r="F37" s="50">
        <v>19</v>
      </c>
      <c r="G37" s="50">
        <v>0</v>
      </c>
      <c r="H37" s="50">
        <v>0</v>
      </c>
      <c r="I37" s="50">
        <v>10</v>
      </c>
      <c r="J37" s="50">
        <v>4</v>
      </c>
      <c r="K37" s="50">
        <v>3</v>
      </c>
      <c r="L37" s="50">
        <v>0</v>
      </c>
      <c r="M37" s="50">
        <v>4</v>
      </c>
      <c r="N37" s="50">
        <v>0</v>
      </c>
      <c r="O37" s="15">
        <f t="shared" si="0"/>
        <v>76</v>
      </c>
      <c r="P37" s="15">
        <f t="shared" si="1"/>
        <v>80</v>
      </c>
    </row>
    <row r="38" spans="2:20" ht="23.1" customHeight="1" x14ac:dyDescent="0.25">
      <c r="B38" s="24" t="s">
        <v>65</v>
      </c>
      <c r="C38" s="50">
        <v>45</v>
      </c>
      <c r="D38" s="50">
        <v>14</v>
      </c>
      <c r="E38" s="50">
        <v>2</v>
      </c>
      <c r="F38" s="50">
        <v>16</v>
      </c>
      <c r="G38" s="50">
        <v>0</v>
      </c>
      <c r="H38" s="50">
        <v>0</v>
      </c>
      <c r="I38" s="50">
        <v>8</v>
      </c>
      <c r="J38" s="50">
        <v>1</v>
      </c>
      <c r="K38" s="50">
        <v>2</v>
      </c>
      <c r="L38" s="50">
        <v>0</v>
      </c>
      <c r="M38" s="50">
        <v>13</v>
      </c>
      <c r="N38" s="50">
        <v>0</v>
      </c>
      <c r="O38" s="15">
        <f t="shared" si="0"/>
        <v>88</v>
      </c>
      <c r="P38" s="15">
        <f t="shared" si="1"/>
        <v>101</v>
      </c>
    </row>
    <row r="39" spans="2:20" ht="23.1" customHeight="1" x14ac:dyDescent="0.25">
      <c r="B39" s="24" t="s">
        <v>66</v>
      </c>
      <c r="C39" s="50">
        <v>52</v>
      </c>
      <c r="D39" s="50">
        <v>9</v>
      </c>
      <c r="E39" s="50">
        <v>8</v>
      </c>
      <c r="F39" s="50">
        <v>25</v>
      </c>
      <c r="G39" s="50">
        <v>0</v>
      </c>
      <c r="H39" s="50">
        <v>1</v>
      </c>
      <c r="I39" s="50">
        <v>12</v>
      </c>
      <c r="J39" s="50">
        <v>2</v>
      </c>
      <c r="K39" s="50">
        <v>1</v>
      </c>
      <c r="L39" s="50">
        <v>0</v>
      </c>
      <c r="M39" s="50">
        <v>37</v>
      </c>
      <c r="N39" s="50">
        <v>0</v>
      </c>
      <c r="O39" s="15">
        <f t="shared" si="0"/>
        <v>110</v>
      </c>
      <c r="P39" s="15">
        <f t="shared" si="1"/>
        <v>147</v>
      </c>
    </row>
    <row r="40" spans="2:20" ht="23.1" customHeight="1" x14ac:dyDescent="0.25">
      <c r="B40" s="24" t="s">
        <v>67</v>
      </c>
      <c r="C40" s="50">
        <v>43</v>
      </c>
      <c r="D40" s="50">
        <v>11</v>
      </c>
      <c r="E40" s="50">
        <v>7</v>
      </c>
      <c r="F40" s="50">
        <v>36</v>
      </c>
      <c r="G40" s="50">
        <v>0</v>
      </c>
      <c r="H40" s="50">
        <v>0</v>
      </c>
      <c r="I40" s="50">
        <v>11</v>
      </c>
      <c r="J40" s="50">
        <v>2</v>
      </c>
      <c r="K40" s="50">
        <v>1</v>
      </c>
      <c r="L40" s="50">
        <v>0</v>
      </c>
      <c r="M40" s="50">
        <v>56</v>
      </c>
      <c r="N40" s="50">
        <v>0</v>
      </c>
      <c r="O40" s="15">
        <f t="shared" si="0"/>
        <v>111</v>
      </c>
      <c r="P40" s="15">
        <f t="shared" si="1"/>
        <v>167</v>
      </c>
    </row>
    <row r="41" spans="2:20" ht="23.1" customHeight="1" x14ac:dyDescent="0.25">
      <c r="B41" s="23" t="s">
        <v>68</v>
      </c>
      <c r="C41" s="50">
        <v>51</v>
      </c>
      <c r="D41" s="50">
        <v>8</v>
      </c>
      <c r="E41" s="50">
        <v>8</v>
      </c>
      <c r="F41" s="50">
        <v>36</v>
      </c>
      <c r="G41" s="50">
        <v>0</v>
      </c>
      <c r="H41" s="50">
        <v>0</v>
      </c>
      <c r="I41" s="50">
        <v>17</v>
      </c>
      <c r="J41" s="50">
        <v>0</v>
      </c>
      <c r="K41" s="50">
        <v>2</v>
      </c>
      <c r="L41" s="50">
        <v>1</v>
      </c>
      <c r="M41" s="50">
        <v>55</v>
      </c>
      <c r="N41" s="50">
        <v>0</v>
      </c>
      <c r="O41" s="15">
        <f t="shared" si="0"/>
        <v>123</v>
      </c>
      <c r="P41" s="15">
        <f t="shared" si="1"/>
        <v>178</v>
      </c>
    </row>
    <row r="42" spans="2:20" ht="23.1" customHeight="1" x14ac:dyDescent="0.25">
      <c r="B42" s="24" t="s">
        <v>69</v>
      </c>
      <c r="C42" s="50">
        <v>57</v>
      </c>
      <c r="D42" s="50">
        <v>5</v>
      </c>
      <c r="E42" s="50">
        <v>4</v>
      </c>
      <c r="F42" s="50">
        <v>33</v>
      </c>
      <c r="G42" s="50">
        <v>0</v>
      </c>
      <c r="H42" s="50">
        <v>0</v>
      </c>
      <c r="I42" s="50">
        <v>19</v>
      </c>
      <c r="J42" s="50">
        <v>2</v>
      </c>
      <c r="K42" s="50">
        <v>1</v>
      </c>
      <c r="L42" s="50">
        <v>0</v>
      </c>
      <c r="M42" s="50">
        <v>84</v>
      </c>
      <c r="N42" s="50">
        <v>0</v>
      </c>
      <c r="O42" s="15">
        <f t="shared" si="0"/>
        <v>121</v>
      </c>
      <c r="P42" s="15">
        <f t="shared" si="1"/>
        <v>205</v>
      </c>
    </row>
    <row r="43" spans="2:20" ht="23.1" customHeight="1" x14ac:dyDescent="0.25">
      <c r="B43" s="23" t="s">
        <v>70</v>
      </c>
      <c r="C43" s="50">
        <v>54</v>
      </c>
      <c r="D43" s="50">
        <v>7</v>
      </c>
      <c r="E43" s="50">
        <v>8</v>
      </c>
      <c r="F43" s="50">
        <v>33</v>
      </c>
      <c r="G43" s="50">
        <v>0</v>
      </c>
      <c r="H43" s="50">
        <v>1</v>
      </c>
      <c r="I43" s="50">
        <v>12</v>
      </c>
      <c r="J43" s="50">
        <v>1</v>
      </c>
      <c r="K43" s="50">
        <v>1</v>
      </c>
      <c r="L43" s="50">
        <v>0</v>
      </c>
      <c r="M43" s="50">
        <v>72</v>
      </c>
      <c r="N43" s="50">
        <v>0</v>
      </c>
      <c r="O43" s="15">
        <f t="shared" si="0"/>
        <v>117</v>
      </c>
      <c r="P43" s="15">
        <f t="shared" si="1"/>
        <v>189</v>
      </c>
    </row>
    <row r="44" spans="2:20" ht="23.1" customHeight="1" x14ac:dyDescent="0.25">
      <c r="B44" s="25" t="s">
        <v>71</v>
      </c>
      <c r="C44" s="50">
        <v>41</v>
      </c>
      <c r="D44" s="50">
        <v>10</v>
      </c>
      <c r="E44" s="50">
        <v>15</v>
      </c>
      <c r="F44" s="50">
        <v>26</v>
      </c>
      <c r="G44" s="50">
        <v>0</v>
      </c>
      <c r="H44" s="50">
        <v>0</v>
      </c>
      <c r="I44" s="50">
        <v>12</v>
      </c>
      <c r="J44" s="50">
        <v>1</v>
      </c>
      <c r="K44" s="50">
        <v>5</v>
      </c>
      <c r="L44" s="50">
        <v>0</v>
      </c>
      <c r="M44" s="50">
        <v>97</v>
      </c>
      <c r="N44" s="50">
        <v>0</v>
      </c>
      <c r="O44" s="15">
        <f t="shared" si="0"/>
        <v>110</v>
      </c>
      <c r="P44" s="15">
        <f t="shared" si="1"/>
        <v>207</v>
      </c>
    </row>
    <row r="45" spans="2:20" ht="23.1" customHeight="1" x14ac:dyDescent="0.25">
      <c r="B45" s="23" t="s">
        <v>72</v>
      </c>
      <c r="C45" s="50">
        <v>51</v>
      </c>
      <c r="D45" s="50">
        <v>8</v>
      </c>
      <c r="E45" s="50">
        <v>16</v>
      </c>
      <c r="F45" s="50">
        <v>37</v>
      </c>
      <c r="G45" s="50">
        <v>0</v>
      </c>
      <c r="H45" s="50">
        <v>1</v>
      </c>
      <c r="I45" s="50">
        <v>17</v>
      </c>
      <c r="J45" s="50">
        <v>3</v>
      </c>
      <c r="K45" s="50">
        <v>7</v>
      </c>
      <c r="L45" s="50">
        <v>0</v>
      </c>
      <c r="M45" s="50">
        <v>102</v>
      </c>
      <c r="N45" s="50">
        <v>0</v>
      </c>
      <c r="O45" s="15">
        <f t="shared" si="0"/>
        <v>140</v>
      </c>
      <c r="P45" s="15">
        <f t="shared" si="1"/>
        <v>242</v>
      </c>
    </row>
    <row r="46" spans="2:20" ht="23.1" customHeight="1" x14ac:dyDescent="0.25">
      <c r="B46" s="24" t="s">
        <v>73</v>
      </c>
      <c r="C46" s="50">
        <v>75</v>
      </c>
      <c r="D46" s="50">
        <v>12</v>
      </c>
      <c r="E46" s="50">
        <v>6</v>
      </c>
      <c r="F46" s="50">
        <v>36</v>
      </c>
      <c r="G46" s="50">
        <v>0</v>
      </c>
      <c r="H46" s="50">
        <v>0</v>
      </c>
      <c r="I46" s="50">
        <v>15</v>
      </c>
      <c r="J46" s="50">
        <v>2</v>
      </c>
      <c r="K46" s="50">
        <v>3</v>
      </c>
      <c r="L46" s="50">
        <v>0</v>
      </c>
      <c r="M46" s="50">
        <v>111</v>
      </c>
      <c r="N46" s="50">
        <v>0</v>
      </c>
      <c r="O46" s="15">
        <f t="shared" si="0"/>
        <v>149</v>
      </c>
      <c r="P46" s="15">
        <f t="shared" si="1"/>
        <v>260</v>
      </c>
      <c r="R46" s="8"/>
      <c r="T46"/>
    </row>
    <row r="47" spans="2:20" ht="23.1" customHeight="1" x14ac:dyDescent="0.25">
      <c r="B47" s="24" t="s">
        <v>74</v>
      </c>
      <c r="C47" s="50">
        <v>57</v>
      </c>
      <c r="D47" s="50">
        <v>7</v>
      </c>
      <c r="E47" s="50">
        <v>8</v>
      </c>
      <c r="F47" s="50">
        <v>33</v>
      </c>
      <c r="G47" s="50">
        <v>0</v>
      </c>
      <c r="H47" s="50">
        <v>0</v>
      </c>
      <c r="I47" s="50">
        <v>17</v>
      </c>
      <c r="J47" s="50">
        <v>1</v>
      </c>
      <c r="K47" s="50">
        <v>1</v>
      </c>
      <c r="L47" s="50">
        <v>0</v>
      </c>
      <c r="M47" s="50">
        <v>94</v>
      </c>
      <c r="N47" s="50">
        <v>0</v>
      </c>
      <c r="O47" s="15">
        <f t="shared" si="0"/>
        <v>124</v>
      </c>
      <c r="P47" s="15">
        <f t="shared" si="1"/>
        <v>218</v>
      </c>
      <c r="R47" s="8"/>
      <c r="T47"/>
    </row>
    <row r="48" spans="2:20" ht="23.1" customHeight="1" x14ac:dyDescent="0.25">
      <c r="B48" s="24" t="s">
        <v>75</v>
      </c>
      <c r="C48" s="50">
        <v>51</v>
      </c>
      <c r="D48" s="50">
        <v>17</v>
      </c>
      <c r="E48" s="50">
        <v>8</v>
      </c>
      <c r="F48" s="50">
        <v>40</v>
      </c>
      <c r="G48" s="50">
        <v>1</v>
      </c>
      <c r="H48" s="50">
        <v>2</v>
      </c>
      <c r="I48" s="50">
        <v>9</v>
      </c>
      <c r="J48" s="50">
        <v>4</v>
      </c>
      <c r="K48" s="50">
        <v>1</v>
      </c>
      <c r="L48" s="50">
        <v>0</v>
      </c>
      <c r="M48" s="50">
        <v>112</v>
      </c>
      <c r="N48" s="50">
        <v>0</v>
      </c>
      <c r="O48" s="15">
        <f t="shared" si="0"/>
        <v>133</v>
      </c>
      <c r="P48" s="15">
        <f t="shared" si="1"/>
        <v>245</v>
      </c>
      <c r="R48" s="8"/>
      <c r="T48"/>
    </row>
    <row r="49" spans="2:20" ht="23.1" customHeight="1" x14ac:dyDescent="0.25">
      <c r="B49" s="23" t="s">
        <v>76</v>
      </c>
      <c r="C49" s="50">
        <v>56</v>
      </c>
      <c r="D49" s="50">
        <v>11</v>
      </c>
      <c r="E49" s="50">
        <v>9</v>
      </c>
      <c r="F49" s="50">
        <v>35</v>
      </c>
      <c r="G49" s="50">
        <v>0</v>
      </c>
      <c r="H49" s="50">
        <v>0</v>
      </c>
      <c r="I49" s="50">
        <v>16</v>
      </c>
      <c r="J49" s="50">
        <v>10</v>
      </c>
      <c r="K49" s="50">
        <v>0</v>
      </c>
      <c r="L49" s="50">
        <v>0</v>
      </c>
      <c r="M49" s="50">
        <v>83</v>
      </c>
      <c r="N49" s="50">
        <v>0</v>
      </c>
      <c r="O49" s="15">
        <f t="shared" si="0"/>
        <v>137</v>
      </c>
      <c r="P49" s="15">
        <f t="shared" si="1"/>
        <v>220</v>
      </c>
      <c r="R49" s="8"/>
      <c r="T49"/>
    </row>
    <row r="50" spans="2:20" ht="23.1" customHeight="1" x14ac:dyDescent="0.25">
      <c r="B50" s="24" t="s">
        <v>77</v>
      </c>
      <c r="C50" s="50">
        <v>64</v>
      </c>
      <c r="D50" s="50">
        <v>6</v>
      </c>
      <c r="E50" s="50">
        <v>11</v>
      </c>
      <c r="F50" s="50">
        <v>39</v>
      </c>
      <c r="G50" s="50">
        <v>1</v>
      </c>
      <c r="H50" s="50">
        <v>0</v>
      </c>
      <c r="I50" s="50">
        <v>19</v>
      </c>
      <c r="J50" s="50">
        <v>1</v>
      </c>
      <c r="K50" s="50">
        <v>6</v>
      </c>
      <c r="L50" s="50">
        <v>0</v>
      </c>
      <c r="M50" s="50">
        <v>103</v>
      </c>
      <c r="N50" s="50">
        <v>0</v>
      </c>
      <c r="O50" s="15">
        <f t="shared" si="0"/>
        <v>147</v>
      </c>
      <c r="P50" s="15">
        <f t="shared" si="1"/>
        <v>250</v>
      </c>
      <c r="R50" s="8"/>
      <c r="T50"/>
    </row>
    <row r="51" spans="2:20" ht="23.1" customHeight="1" x14ac:dyDescent="0.25">
      <c r="B51" s="24" t="s">
        <v>78</v>
      </c>
      <c r="C51" s="50">
        <v>65</v>
      </c>
      <c r="D51" s="50">
        <v>7</v>
      </c>
      <c r="E51" s="50">
        <v>7</v>
      </c>
      <c r="F51" s="50">
        <v>50</v>
      </c>
      <c r="G51" s="50">
        <v>1</v>
      </c>
      <c r="H51" s="50">
        <v>0</v>
      </c>
      <c r="I51" s="50">
        <v>10</v>
      </c>
      <c r="J51" s="50">
        <v>1</v>
      </c>
      <c r="K51" s="50">
        <v>5</v>
      </c>
      <c r="L51" s="50">
        <v>1</v>
      </c>
      <c r="M51" s="50">
        <v>106</v>
      </c>
      <c r="N51" s="50">
        <v>0</v>
      </c>
      <c r="O51" s="15">
        <f t="shared" si="0"/>
        <v>147</v>
      </c>
      <c r="P51" s="15">
        <f t="shared" si="1"/>
        <v>253</v>
      </c>
      <c r="R51" s="8"/>
      <c r="T51"/>
    </row>
    <row r="52" spans="2:20" ht="23.1" customHeight="1" x14ac:dyDescent="0.25">
      <c r="B52" s="24" t="s">
        <v>79</v>
      </c>
      <c r="C52" s="50">
        <v>75</v>
      </c>
      <c r="D52" s="50">
        <v>15</v>
      </c>
      <c r="E52" s="50">
        <v>11</v>
      </c>
      <c r="F52" s="50">
        <v>51</v>
      </c>
      <c r="G52" s="50">
        <v>2</v>
      </c>
      <c r="H52" s="50">
        <v>1</v>
      </c>
      <c r="I52" s="50">
        <v>14</v>
      </c>
      <c r="J52" s="50">
        <v>0</v>
      </c>
      <c r="K52" s="50">
        <v>2</v>
      </c>
      <c r="L52" s="50">
        <v>1</v>
      </c>
      <c r="M52" s="50">
        <v>117</v>
      </c>
      <c r="N52" s="50">
        <v>0</v>
      </c>
      <c r="O52" s="15">
        <f t="shared" si="0"/>
        <v>172</v>
      </c>
      <c r="P52" s="15">
        <f t="shared" si="1"/>
        <v>289</v>
      </c>
      <c r="R52" s="8"/>
      <c r="T52"/>
    </row>
    <row r="53" spans="2:20" ht="23.1" customHeight="1" x14ac:dyDescent="0.25">
      <c r="B53" s="23" t="s">
        <v>80</v>
      </c>
      <c r="C53" s="50">
        <v>56</v>
      </c>
      <c r="D53" s="50">
        <v>9</v>
      </c>
      <c r="E53" s="50">
        <v>13</v>
      </c>
      <c r="F53" s="50">
        <v>45</v>
      </c>
      <c r="G53" s="50">
        <v>1</v>
      </c>
      <c r="H53" s="50">
        <v>0</v>
      </c>
      <c r="I53" s="50">
        <v>8</v>
      </c>
      <c r="J53" s="50">
        <v>0</v>
      </c>
      <c r="K53" s="50">
        <v>6</v>
      </c>
      <c r="L53" s="50">
        <v>0</v>
      </c>
      <c r="M53" s="50">
        <v>96</v>
      </c>
      <c r="N53" s="50">
        <v>0</v>
      </c>
      <c r="O53" s="15">
        <f t="shared" si="0"/>
        <v>138</v>
      </c>
      <c r="P53" s="15">
        <f t="shared" si="1"/>
        <v>234</v>
      </c>
      <c r="R53" s="8"/>
      <c r="T53"/>
    </row>
    <row r="54" spans="2:20" ht="23.1" customHeight="1" x14ac:dyDescent="0.25">
      <c r="B54" s="23" t="s">
        <v>81</v>
      </c>
      <c r="C54" s="50">
        <v>68</v>
      </c>
      <c r="D54" s="50">
        <v>12</v>
      </c>
      <c r="E54" s="50">
        <v>9</v>
      </c>
      <c r="F54" s="50">
        <v>47</v>
      </c>
      <c r="G54" s="50">
        <v>7</v>
      </c>
      <c r="H54" s="50">
        <v>1</v>
      </c>
      <c r="I54" s="50">
        <v>17</v>
      </c>
      <c r="J54" s="50">
        <v>3</v>
      </c>
      <c r="K54" s="50">
        <v>1</v>
      </c>
      <c r="L54" s="50">
        <v>2</v>
      </c>
      <c r="M54" s="50">
        <v>111</v>
      </c>
      <c r="N54" s="50">
        <v>0</v>
      </c>
      <c r="O54" s="15">
        <f t="shared" si="0"/>
        <v>167</v>
      </c>
      <c r="P54" s="15">
        <f t="shared" si="1"/>
        <v>278</v>
      </c>
      <c r="R54" s="8"/>
      <c r="T54"/>
    </row>
    <row r="55" spans="2:20" ht="23.1" customHeight="1" x14ac:dyDescent="0.25">
      <c r="B55" s="23" t="s">
        <v>82</v>
      </c>
      <c r="C55" s="50">
        <v>78</v>
      </c>
      <c r="D55" s="50">
        <v>18</v>
      </c>
      <c r="E55" s="50">
        <v>8</v>
      </c>
      <c r="F55" s="50">
        <v>45</v>
      </c>
      <c r="G55" s="50">
        <v>1</v>
      </c>
      <c r="H55" s="50">
        <v>0</v>
      </c>
      <c r="I55" s="50">
        <v>17</v>
      </c>
      <c r="J55" s="50">
        <v>5</v>
      </c>
      <c r="K55" s="50">
        <v>3</v>
      </c>
      <c r="L55" s="50">
        <v>0</v>
      </c>
      <c r="M55" s="50">
        <v>134</v>
      </c>
      <c r="N55" s="50">
        <v>0</v>
      </c>
      <c r="O55" s="15">
        <f t="shared" si="0"/>
        <v>175</v>
      </c>
      <c r="P55" s="15">
        <f t="shared" si="1"/>
        <v>309</v>
      </c>
      <c r="R55" s="8"/>
      <c r="T55"/>
    </row>
    <row r="56" spans="2:20" ht="23.1" customHeight="1" x14ac:dyDescent="0.25">
      <c r="B56" s="23" t="s">
        <v>83</v>
      </c>
      <c r="C56" s="50">
        <v>48</v>
      </c>
      <c r="D56" s="50">
        <v>8</v>
      </c>
      <c r="E56" s="50">
        <v>14</v>
      </c>
      <c r="F56" s="50">
        <v>48</v>
      </c>
      <c r="G56" s="50">
        <v>2</v>
      </c>
      <c r="H56" s="50">
        <v>0</v>
      </c>
      <c r="I56" s="50">
        <v>17</v>
      </c>
      <c r="J56" s="50">
        <v>2</v>
      </c>
      <c r="K56" s="50">
        <v>2</v>
      </c>
      <c r="L56" s="50">
        <v>0</v>
      </c>
      <c r="M56" s="50">
        <v>137</v>
      </c>
      <c r="N56" s="50">
        <v>0</v>
      </c>
      <c r="O56" s="15">
        <f t="shared" si="0"/>
        <v>141</v>
      </c>
      <c r="P56" s="15">
        <f t="shared" si="1"/>
        <v>278</v>
      </c>
      <c r="R56" s="8"/>
      <c r="T56"/>
    </row>
    <row r="57" spans="2:20" ht="23.1" customHeight="1" x14ac:dyDescent="0.25">
      <c r="B57" s="23" t="s">
        <v>84</v>
      </c>
      <c r="C57" s="50">
        <v>46</v>
      </c>
      <c r="D57" s="50">
        <v>6</v>
      </c>
      <c r="E57" s="50">
        <v>8</v>
      </c>
      <c r="F57" s="50">
        <v>40</v>
      </c>
      <c r="G57" s="50">
        <v>1</v>
      </c>
      <c r="H57" s="50">
        <v>1</v>
      </c>
      <c r="I57" s="50">
        <v>18</v>
      </c>
      <c r="J57" s="50">
        <v>5</v>
      </c>
      <c r="K57" s="50">
        <v>2</v>
      </c>
      <c r="L57" s="50">
        <v>0</v>
      </c>
      <c r="M57" s="50">
        <v>102</v>
      </c>
      <c r="N57" s="50">
        <v>1</v>
      </c>
      <c r="O57" s="15">
        <f t="shared" si="0"/>
        <v>128</v>
      </c>
      <c r="P57" s="15">
        <f t="shared" si="1"/>
        <v>230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2882</v>
      </c>
      <c r="D58" s="16">
        <f t="shared" si="21"/>
        <v>429</v>
      </c>
      <c r="E58" s="16">
        <f t="shared" si="21"/>
        <v>359</v>
      </c>
      <c r="F58" s="16">
        <f t="shared" si="21"/>
        <v>1745</v>
      </c>
      <c r="G58" s="16">
        <f t="shared" si="21"/>
        <v>41</v>
      </c>
      <c r="H58" s="16">
        <f t="shared" si="21"/>
        <v>22</v>
      </c>
      <c r="I58" s="16">
        <f t="shared" si="21"/>
        <v>518</v>
      </c>
      <c r="J58" s="16">
        <f t="shared" si="21"/>
        <v>120</v>
      </c>
      <c r="K58" s="16">
        <f t="shared" si="21"/>
        <v>99</v>
      </c>
      <c r="L58" s="16">
        <f t="shared" si="21"/>
        <v>6</v>
      </c>
      <c r="M58" s="16">
        <f t="shared" si="21"/>
        <v>5091</v>
      </c>
      <c r="N58" s="16">
        <f t="shared" si="21"/>
        <v>2</v>
      </c>
      <c r="O58" s="16">
        <f t="shared" si="21"/>
        <v>6223</v>
      </c>
      <c r="P58" s="16">
        <f t="shared" si="21"/>
        <v>11314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0.25472865476400919</v>
      </c>
      <c r="D59" s="43">
        <f t="shared" si="22"/>
        <v>3.7917624182428847E-2</v>
      </c>
      <c r="E59" s="43">
        <f t="shared" si="22"/>
        <v>3.1730599257557009E-2</v>
      </c>
      <c r="F59" s="43">
        <f t="shared" si="22"/>
        <v>0.15423369277001944</v>
      </c>
      <c r="G59" s="43">
        <f t="shared" si="22"/>
        <v>3.6238288845677922E-3</v>
      </c>
      <c r="H59" s="43">
        <f t="shared" si="22"/>
        <v>1.944493547816864E-3</v>
      </c>
      <c r="I59" s="43">
        <f t="shared" si="22"/>
        <v>4.5783984444051615E-2</v>
      </c>
      <c r="J59" s="43">
        <f t="shared" si="22"/>
        <v>1.0606328442637441E-2</v>
      </c>
      <c r="K59" s="43">
        <f t="shared" si="22"/>
        <v>8.7502209651758884E-3</v>
      </c>
      <c r="L59" s="43">
        <f t="shared" si="22"/>
        <v>5.3031642213187207E-4</v>
      </c>
      <c r="M59" s="43">
        <f t="shared" si="22"/>
        <v>0.44997348417889338</v>
      </c>
      <c r="N59" s="43">
        <f t="shared" si="22"/>
        <v>1.7677214071062401E-4</v>
      </c>
      <c r="R59" s="8"/>
      <c r="T59"/>
    </row>
    <row r="60" spans="2:20" ht="23.1" customHeight="1" x14ac:dyDescent="0.25">
      <c r="B60" s="42" t="s">
        <v>94</v>
      </c>
      <c r="C60" s="44">
        <f>C58/$O$58</f>
        <v>0.46312068134340351</v>
      </c>
      <c r="D60" s="44">
        <f t="shared" ref="D60:N60" si="23">D58/$O$58</f>
        <v>6.8937811345010439E-2</v>
      </c>
      <c r="E60" s="44">
        <f t="shared" si="23"/>
        <v>5.7689217419251163E-2</v>
      </c>
      <c r="F60" s="44">
        <f t="shared" si="23"/>
        <v>0.28041137714928493</v>
      </c>
      <c r="G60" s="44">
        <f t="shared" si="23"/>
        <v>6.5884621565161497E-3</v>
      </c>
      <c r="H60" s="44">
        <f t="shared" si="23"/>
        <v>3.5352723766672025E-3</v>
      </c>
      <c r="I60" s="44">
        <f t="shared" si="23"/>
        <v>8.3239595050618675E-2</v>
      </c>
      <c r="J60" s="44">
        <f t="shared" si="23"/>
        <v>1.9283303872730195E-2</v>
      </c>
      <c r="K60" s="44">
        <f t="shared" si="23"/>
        <v>1.5908725695002412E-2</v>
      </c>
      <c r="L60" s="44">
        <f t="shared" si="23"/>
        <v>9.6416519363650972E-4</v>
      </c>
      <c r="M60" s="44"/>
      <c r="N60" s="44">
        <f t="shared" si="23"/>
        <v>3.2138839787883657E-4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A1:AF174"/>
  <sheetViews>
    <sheetView view="pageBreakPreview" zoomScale="60" workbookViewId="0">
      <selection activeCell="R7" sqref="R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78" t="str">
        <f>'[1]23.09. KASANGATI-GAYAZA'!C3:G3</f>
        <v>MCC - C2 - STN-69- Gayaza-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62" t="s">
        <v>176</v>
      </c>
      <c r="F5" s="41" t="s">
        <v>1</v>
      </c>
      <c r="G5" s="73" t="str">
        <f>'[1]25.07 Makindye-Kibuye'!G5:H5</f>
        <v>TOTAL BULAMU</v>
      </c>
      <c r="H5" s="74"/>
      <c r="I5" s="14"/>
      <c r="J5" s="2" t="s">
        <v>5</v>
      </c>
      <c r="K5" s="73" t="s">
        <v>177</v>
      </c>
      <c r="L5" s="74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3" t="str">
        <f>'[1]23.09. KASANGATI-GAYAZA'!D6:E6</f>
        <v>KASANGATI</v>
      </c>
      <c r="E6" s="74"/>
      <c r="F6" s="2" t="s">
        <v>2</v>
      </c>
      <c r="G6" s="73" t="str">
        <f>'[1]23.09. KASANGATI-GAYAZA'!G6:H6</f>
        <v>GAYAZA</v>
      </c>
      <c r="H6" s="74"/>
      <c r="J6" s="2" t="s">
        <v>21</v>
      </c>
      <c r="K6" s="73" t="str">
        <f>'[1]25.07 Makindye-Kibuye'!K6:L6</f>
        <v>LAWRENCE</v>
      </c>
      <c r="L6" s="74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4" t="s">
        <v>88</v>
      </c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37</v>
      </c>
      <c r="D10" s="50">
        <v>10</v>
      </c>
      <c r="E10" s="50">
        <v>4</v>
      </c>
      <c r="F10" s="50">
        <v>48</v>
      </c>
      <c r="G10" s="50">
        <v>1</v>
      </c>
      <c r="H10" s="50">
        <v>0</v>
      </c>
      <c r="I10" s="50">
        <v>8</v>
      </c>
      <c r="J10" s="50">
        <v>3</v>
      </c>
      <c r="K10" s="50">
        <v>7</v>
      </c>
      <c r="L10" s="50">
        <v>0</v>
      </c>
      <c r="M10" s="50">
        <v>72</v>
      </c>
      <c r="N10" s="50">
        <v>0</v>
      </c>
      <c r="O10" s="17">
        <f t="shared" ref="O10:O73" si="0">SUM(C10:L10,N10)</f>
        <v>118</v>
      </c>
      <c r="P10" s="17">
        <f t="shared" ref="P10:P73" si="1">SUM(C10:N10)</f>
        <v>190</v>
      </c>
      <c r="R10" s="1" t="s">
        <v>6</v>
      </c>
      <c r="S10" s="17">
        <f t="shared" ref="S10:AF10" si="2">SUM(C10:C13)</f>
        <v>167</v>
      </c>
      <c r="T10" s="17">
        <f t="shared" si="2"/>
        <v>55</v>
      </c>
      <c r="U10" s="17">
        <f t="shared" si="2"/>
        <v>19</v>
      </c>
      <c r="V10" s="17">
        <f t="shared" si="2"/>
        <v>158</v>
      </c>
      <c r="W10" s="17">
        <f t="shared" si="2"/>
        <v>4</v>
      </c>
      <c r="X10" s="17">
        <f t="shared" si="2"/>
        <v>0</v>
      </c>
      <c r="Y10" s="17">
        <f t="shared" si="2"/>
        <v>25</v>
      </c>
      <c r="Z10" s="17">
        <f t="shared" si="2"/>
        <v>8</v>
      </c>
      <c r="AA10" s="17">
        <f t="shared" si="2"/>
        <v>15</v>
      </c>
      <c r="AB10" s="17">
        <f t="shared" si="2"/>
        <v>1</v>
      </c>
      <c r="AC10" s="17">
        <f t="shared" si="2"/>
        <v>304</v>
      </c>
      <c r="AD10" s="17">
        <f t="shared" si="2"/>
        <v>0</v>
      </c>
      <c r="AE10" s="31">
        <f t="shared" si="2"/>
        <v>452</v>
      </c>
      <c r="AF10" s="31">
        <f t="shared" si="2"/>
        <v>756</v>
      </c>
    </row>
    <row r="11" spans="2:32" s="6" customFormat="1" ht="23.1" customHeight="1" x14ac:dyDescent="0.25">
      <c r="B11" s="45" t="s">
        <v>38</v>
      </c>
      <c r="C11" s="50">
        <v>55</v>
      </c>
      <c r="D11" s="50">
        <v>13</v>
      </c>
      <c r="E11" s="50">
        <v>5</v>
      </c>
      <c r="F11" s="50">
        <v>45</v>
      </c>
      <c r="G11" s="50">
        <v>2</v>
      </c>
      <c r="H11" s="50">
        <v>0</v>
      </c>
      <c r="I11" s="50">
        <v>5</v>
      </c>
      <c r="J11" s="50">
        <v>2</v>
      </c>
      <c r="K11" s="50">
        <v>1</v>
      </c>
      <c r="L11" s="50">
        <v>0</v>
      </c>
      <c r="M11" s="50">
        <v>55</v>
      </c>
      <c r="N11" s="50">
        <v>0</v>
      </c>
      <c r="O11" s="17">
        <f t="shared" si="0"/>
        <v>128</v>
      </c>
      <c r="P11" s="17">
        <f t="shared" si="1"/>
        <v>183</v>
      </c>
      <c r="R11" s="1" t="s">
        <v>7</v>
      </c>
      <c r="S11" s="17">
        <f t="shared" ref="S11:AF11" si="3">SUM(C14:C17)</f>
        <v>225</v>
      </c>
      <c r="T11" s="17">
        <f t="shared" si="3"/>
        <v>68</v>
      </c>
      <c r="U11" s="17">
        <f t="shared" si="3"/>
        <v>34</v>
      </c>
      <c r="V11" s="17">
        <f t="shared" si="3"/>
        <v>232</v>
      </c>
      <c r="W11" s="17">
        <f t="shared" si="3"/>
        <v>1</v>
      </c>
      <c r="X11" s="17">
        <f t="shared" si="3"/>
        <v>4</v>
      </c>
      <c r="Y11" s="17">
        <f t="shared" si="3"/>
        <v>36</v>
      </c>
      <c r="Z11" s="17">
        <f t="shared" si="3"/>
        <v>6</v>
      </c>
      <c r="AA11" s="17">
        <f t="shared" si="3"/>
        <v>15</v>
      </c>
      <c r="AB11" s="17">
        <f t="shared" si="3"/>
        <v>0</v>
      </c>
      <c r="AC11" s="17">
        <f t="shared" si="3"/>
        <v>433</v>
      </c>
      <c r="AD11" s="17">
        <f t="shared" si="3"/>
        <v>0</v>
      </c>
      <c r="AE11" s="31">
        <f t="shared" si="3"/>
        <v>621</v>
      </c>
      <c r="AF11" s="31">
        <f t="shared" si="3"/>
        <v>1054</v>
      </c>
    </row>
    <row r="12" spans="2:32" ht="23.1" customHeight="1" x14ac:dyDescent="0.25">
      <c r="B12" s="45" t="s">
        <v>39</v>
      </c>
      <c r="C12" s="50">
        <v>30</v>
      </c>
      <c r="D12" s="50">
        <v>8</v>
      </c>
      <c r="E12" s="50">
        <v>2</v>
      </c>
      <c r="F12" s="50">
        <v>40</v>
      </c>
      <c r="G12" s="50">
        <v>1</v>
      </c>
      <c r="H12" s="50">
        <v>0</v>
      </c>
      <c r="I12" s="50">
        <v>6</v>
      </c>
      <c r="J12" s="50">
        <v>3</v>
      </c>
      <c r="K12" s="50">
        <v>5</v>
      </c>
      <c r="L12" s="50">
        <v>1</v>
      </c>
      <c r="M12" s="50">
        <v>90</v>
      </c>
      <c r="N12" s="50">
        <v>0</v>
      </c>
      <c r="O12" s="17">
        <f t="shared" si="0"/>
        <v>96</v>
      </c>
      <c r="P12" s="17">
        <f t="shared" si="1"/>
        <v>186</v>
      </c>
      <c r="R12" s="1" t="s">
        <v>8</v>
      </c>
      <c r="S12" s="17">
        <f t="shared" ref="S12:AF12" si="4">SUM(C18:C21)</f>
        <v>233</v>
      </c>
      <c r="T12" s="17">
        <f t="shared" si="4"/>
        <v>86</v>
      </c>
      <c r="U12" s="17">
        <f t="shared" si="4"/>
        <v>42</v>
      </c>
      <c r="V12" s="17">
        <f t="shared" si="4"/>
        <v>215</v>
      </c>
      <c r="W12" s="17">
        <f t="shared" si="4"/>
        <v>3</v>
      </c>
      <c r="X12" s="17">
        <f t="shared" si="4"/>
        <v>2</v>
      </c>
      <c r="Y12" s="17">
        <f t="shared" si="4"/>
        <v>39</v>
      </c>
      <c r="Z12" s="17">
        <f t="shared" si="4"/>
        <v>7</v>
      </c>
      <c r="AA12" s="17">
        <f t="shared" si="4"/>
        <v>10</v>
      </c>
      <c r="AB12" s="17">
        <f t="shared" si="4"/>
        <v>1</v>
      </c>
      <c r="AC12" s="17">
        <f t="shared" si="4"/>
        <v>475</v>
      </c>
      <c r="AD12" s="17">
        <f t="shared" si="4"/>
        <v>0</v>
      </c>
      <c r="AE12" s="31">
        <f t="shared" si="4"/>
        <v>638</v>
      </c>
      <c r="AF12" s="31">
        <f t="shared" si="4"/>
        <v>1113</v>
      </c>
    </row>
    <row r="13" spans="2:32" ht="23.1" customHeight="1" x14ac:dyDescent="0.25">
      <c r="B13" s="45" t="s">
        <v>40</v>
      </c>
      <c r="C13" s="50">
        <v>45</v>
      </c>
      <c r="D13" s="50">
        <v>24</v>
      </c>
      <c r="E13" s="50">
        <v>8</v>
      </c>
      <c r="F13" s="50">
        <v>25</v>
      </c>
      <c r="G13" s="50">
        <v>0</v>
      </c>
      <c r="H13" s="50">
        <v>0</v>
      </c>
      <c r="I13" s="50">
        <v>6</v>
      </c>
      <c r="J13" s="50">
        <v>0</v>
      </c>
      <c r="K13" s="50">
        <v>2</v>
      </c>
      <c r="L13" s="50">
        <v>0</v>
      </c>
      <c r="M13" s="50">
        <v>87</v>
      </c>
      <c r="N13" s="50">
        <v>0</v>
      </c>
      <c r="O13" s="17">
        <f t="shared" si="0"/>
        <v>110</v>
      </c>
      <c r="P13" s="17">
        <f t="shared" si="1"/>
        <v>197</v>
      </c>
      <c r="R13" s="1" t="s">
        <v>9</v>
      </c>
      <c r="S13" s="17">
        <f t="shared" ref="S13:AF13" si="5">SUM(C22:C25)</f>
        <v>303</v>
      </c>
      <c r="T13" s="17">
        <f t="shared" si="5"/>
        <v>57</v>
      </c>
      <c r="U13" s="17">
        <f t="shared" si="5"/>
        <v>44</v>
      </c>
      <c r="V13" s="17">
        <f t="shared" si="5"/>
        <v>281</v>
      </c>
      <c r="W13" s="17">
        <f t="shared" si="5"/>
        <v>6</v>
      </c>
      <c r="X13" s="17">
        <f t="shared" si="5"/>
        <v>1</v>
      </c>
      <c r="Y13" s="17">
        <f t="shared" si="5"/>
        <v>45</v>
      </c>
      <c r="Z13" s="17">
        <f t="shared" si="5"/>
        <v>12</v>
      </c>
      <c r="AA13" s="17">
        <f t="shared" si="5"/>
        <v>13</v>
      </c>
      <c r="AB13" s="17">
        <f t="shared" si="5"/>
        <v>0</v>
      </c>
      <c r="AC13" s="17">
        <f t="shared" si="5"/>
        <v>471</v>
      </c>
      <c r="AD13" s="17">
        <f t="shared" si="5"/>
        <v>0</v>
      </c>
      <c r="AE13" s="31">
        <f t="shared" si="5"/>
        <v>762</v>
      </c>
      <c r="AF13" s="31">
        <f t="shared" si="5"/>
        <v>1233</v>
      </c>
    </row>
    <row r="14" spans="2:32" ht="23.1" customHeight="1" x14ac:dyDescent="0.25">
      <c r="B14" s="45" t="s">
        <v>41</v>
      </c>
      <c r="C14" s="50">
        <v>45</v>
      </c>
      <c r="D14" s="50">
        <v>7</v>
      </c>
      <c r="E14" s="50">
        <v>12</v>
      </c>
      <c r="F14" s="50">
        <v>60</v>
      </c>
      <c r="G14" s="50">
        <v>1</v>
      </c>
      <c r="H14" s="50">
        <v>0</v>
      </c>
      <c r="I14" s="50">
        <v>14</v>
      </c>
      <c r="J14" s="50">
        <v>2</v>
      </c>
      <c r="K14" s="50">
        <v>7</v>
      </c>
      <c r="L14" s="50">
        <v>0</v>
      </c>
      <c r="M14" s="50">
        <v>130</v>
      </c>
      <c r="N14" s="50">
        <v>0</v>
      </c>
      <c r="O14" s="17">
        <f t="shared" si="0"/>
        <v>148</v>
      </c>
      <c r="P14" s="17">
        <f t="shared" si="1"/>
        <v>278</v>
      </c>
      <c r="R14" s="1" t="s">
        <v>10</v>
      </c>
      <c r="S14" s="17">
        <f t="shared" ref="S14:AF14" si="6">SUM(C26:C29)</f>
        <v>230</v>
      </c>
      <c r="T14" s="17">
        <f t="shared" si="6"/>
        <v>96</v>
      </c>
      <c r="U14" s="17">
        <f t="shared" si="6"/>
        <v>42</v>
      </c>
      <c r="V14" s="17">
        <f t="shared" si="6"/>
        <v>264</v>
      </c>
      <c r="W14" s="17">
        <f t="shared" si="6"/>
        <v>2</v>
      </c>
      <c r="X14" s="17">
        <f t="shared" si="6"/>
        <v>2</v>
      </c>
      <c r="Y14" s="17">
        <f t="shared" si="6"/>
        <v>45</v>
      </c>
      <c r="Z14" s="17">
        <f t="shared" si="6"/>
        <v>13</v>
      </c>
      <c r="AA14" s="17">
        <f t="shared" si="6"/>
        <v>14</v>
      </c>
      <c r="AB14" s="17">
        <f t="shared" si="6"/>
        <v>1</v>
      </c>
      <c r="AC14" s="17">
        <f t="shared" si="6"/>
        <v>436</v>
      </c>
      <c r="AD14" s="17">
        <f t="shared" si="6"/>
        <v>0</v>
      </c>
      <c r="AE14" s="31">
        <f t="shared" si="6"/>
        <v>709</v>
      </c>
      <c r="AF14" s="31">
        <f t="shared" si="6"/>
        <v>1145</v>
      </c>
    </row>
    <row r="15" spans="2:32" ht="23.1" customHeight="1" x14ac:dyDescent="0.25">
      <c r="B15" s="45" t="s">
        <v>42</v>
      </c>
      <c r="C15" s="50">
        <v>70</v>
      </c>
      <c r="D15" s="50">
        <v>29</v>
      </c>
      <c r="E15" s="50">
        <v>8</v>
      </c>
      <c r="F15" s="50">
        <v>60</v>
      </c>
      <c r="G15" s="50">
        <v>0</v>
      </c>
      <c r="H15" s="50">
        <v>2</v>
      </c>
      <c r="I15" s="50">
        <v>9</v>
      </c>
      <c r="J15" s="50">
        <v>0</v>
      </c>
      <c r="K15" s="50">
        <v>2</v>
      </c>
      <c r="L15" s="50">
        <v>0</v>
      </c>
      <c r="M15" s="50">
        <v>100</v>
      </c>
      <c r="N15" s="50">
        <v>0</v>
      </c>
      <c r="O15" s="17">
        <f t="shared" si="0"/>
        <v>180</v>
      </c>
      <c r="P15" s="17">
        <f t="shared" si="1"/>
        <v>280</v>
      </c>
      <c r="R15" s="1" t="s">
        <v>11</v>
      </c>
      <c r="S15" s="17">
        <f t="shared" ref="S15:AF15" si="7">SUM(C30:C33)</f>
        <v>405</v>
      </c>
      <c r="T15" s="17">
        <f t="shared" si="7"/>
        <v>64</v>
      </c>
      <c r="U15" s="17">
        <f t="shared" si="7"/>
        <v>40</v>
      </c>
      <c r="V15" s="17">
        <f t="shared" si="7"/>
        <v>353</v>
      </c>
      <c r="W15" s="17">
        <f t="shared" si="7"/>
        <v>12</v>
      </c>
      <c r="X15" s="17">
        <f t="shared" si="7"/>
        <v>3</v>
      </c>
      <c r="Y15" s="17">
        <f t="shared" si="7"/>
        <v>55</v>
      </c>
      <c r="Z15" s="17">
        <f t="shared" si="7"/>
        <v>8</v>
      </c>
      <c r="AA15" s="17">
        <f t="shared" si="7"/>
        <v>10</v>
      </c>
      <c r="AB15" s="17">
        <f t="shared" si="7"/>
        <v>1</v>
      </c>
      <c r="AC15" s="17">
        <f t="shared" si="7"/>
        <v>408</v>
      </c>
      <c r="AD15" s="17">
        <f t="shared" si="7"/>
        <v>0</v>
      </c>
      <c r="AE15" s="31">
        <f t="shared" si="7"/>
        <v>951</v>
      </c>
      <c r="AF15" s="31">
        <f t="shared" si="7"/>
        <v>1359</v>
      </c>
    </row>
    <row r="16" spans="2:32" ht="23.1" customHeight="1" x14ac:dyDescent="0.25">
      <c r="B16" s="45" t="s">
        <v>43</v>
      </c>
      <c r="C16" s="50">
        <v>63</v>
      </c>
      <c r="D16" s="50">
        <v>7</v>
      </c>
      <c r="E16" s="50">
        <v>7</v>
      </c>
      <c r="F16" s="50">
        <v>62</v>
      </c>
      <c r="G16" s="50">
        <v>0</v>
      </c>
      <c r="H16" s="50">
        <v>2</v>
      </c>
      <c r="I16" s="50">
        <v>4</v>
      </c>
      <c r="J16" s="50">
        <v>0</v>
      </c>
      <c r="K16" s="50">
        <v>5</v>
      </c>
      <c r="L16" s="50">
        <v>0</v>
      </c>
      <c r="M16" s="50">
        <v>100</v>
      </c>
      <c r="N16" s="50">
        <v>0</v>
      </c>
      <c r="O16" s="17">
        <f t="shared" si="0"/>
        <v>150</v>
      </c>
      <c r="P16" s="17">
        <f t="shared" si="1"/>
        <v>250</v>
      </c>
      <c r="R16" s="1" t="s">
        <v>12</v>
      </c>
      <c r="S16" s="17">
        <f t="shared" ref="S16:AF16" si="8">SUM(C34:C37)</f>
        <v>244</v>
      </c>
      <c r="T16" s="17">
        <f t="shared" si="8"/>
        <v>79</v>
      </c>
      <c r="U16" s="17">
        <f t="shared" si="8"/>
        <v>33</v>
      </c>
      <c r="V16" s="17">
        <f t="shared" si="8"/>
        <v>283</v>
      </c>
      <c r="W16" s="17">
        <f t="shared" si="8"/>
        <v>3</v>
      </c>
      <c r="X16" s="17">
        <f t="shared" si="8"/>
        <v>3</v>
      </c>
      <c r="Y16" s="17">
        <f t="shared" si="8"/>
        <v>32</v>
      </c>
      <c r="Z16" s="17">
        <f t="shared" si="8"/>
        <v>17</v>
      </c>
      <c r="AA16" s="17">
        <f t="shared" si="8"/>
        <v>19</v>
      </c>
      <c r="AB16" s="17">
        <f t="shared" si="8"/>
        <v>1</v>
      </c>
      <c r="AC16" s="17">
        <f t="shared" si="8"/>
        <v>371</v>
      </c>
      <c r="AD16" s="17">
        <f t="shared" si="8"/>
        <v>0</v>
      </c>
      <c r="AE16" s="31">
        <f t="shared" si="8"/>
        <v>714</v>
      </c>
      <c r="AF16" s="31">
        <f t="shared" si="8"/>
        <v>1085</v>
      </c>
    </row>
    <row r="17" spans="2:32" ht="23.1" customHeight="1" x14ac:dyDescent="0.25">
      <c r="B17" s="45" t="s">
        <v>44</v>
      </c>
      <c r="C17" s="50">
        <v>47</v>
      </c>
      <c r="D17" s="50">
        <v>25</v>
      </c>
      <c r="E17" s="50">
        <v>7</v>
      </c>
      <c r="F17" s="50">
        <v>50</v>
      </c>
      <c r="G17" s="50">
        <v>0</v>
      </c>
      <c r="H17" s="50">
        <v>0</v>
      </c>
      <c r="I17" s="50">
        <v>9</v>
      </c>
      <c r="J17" s="50">
        <v>4</v>
      </c>
      <c r="K17" s="50">
        <v>1</v>
      </c>
      <c r="L17" s="50">
        <v>0</v>
      </c>
      <c r="M17" s="50">
        <v>103</v>
      </c>
      <c r="N17" s="50">
        <v>0</v>
      </c>
      <c r="O17" s="17">
        <f t="shared" si="0"/>
        <v>143</v>
      </c>
      <c r="P17" s="17">
        <f t="shared" si="1"/>
        <v>246</v>
      </c>
      <c r="R17" s="1" t="s">
        <v>13</v>
      </c>
      <c r="S17" s="17">
        <f t="shared" ref="S17:AF17" si="9">SUM(C38:C41)</f>
        <v>322</v>
      </c>
      <c r="T17" s="17">
        <f t="shared" si="9"/>
        <v>97</v>
      </c>
      <c r="U17" s="17">
        <f t="shared" si="9"/>
        <v>28</v>
      </c>
      <c r="V17" s="17">
        <f t="shared" si="9"/>
        <v>276</v>
      </c>
      <c r="W17" s="17">
        <f t="shared" si="9"/>
        <v>4</v>
      </c>
      <c r="X17" s="17">
        <f t="shared" si="9"/>
        <v>4</v>
      </c>
      <c r="Y17" s="17">
        <f t="shared" si="9"/>
        <v>31</v>
      </c>
      <c r="Z17" s="17">
        <f t="shared" si="9"/>
        <v>12</v>
      </c>
      <c r="AA17" s="17">
        <f t="shared" si="9"/>
        <v>17</v>
      </c>
      <c r="AB17" s="17">
        <f t="shared" si="9"/>
        <v>0</v>
      </c>
      <c r="AC17" s="17">
        <f t="shared" si="9"/>
        <v>400</v>
      </c>
      <c r="AD17" s="17">
        <f t="shared" si="9"/>
        <v>0</v>
      </c>
      <c r="AE17" s="31">
        <f t="shared" si="9"/>
        <v>791</v>
      </c>
      <c r="AF17" s="31">
        <f t="shared" si="9"/>
        <v>1191</v>
      </c>
    </row>
    <row r="18" spans="2:32" ht="23.1" customHeight="1" x14ac:dyDescent="0.25">
      <c r="B18" s="45" t="s">
        <v>45</v>
      </c>
      <c r="C18" s="50">
        <v>53</v>
      </c>
      <c r="D18" s="50">
        <v>15</v>
      </c>
      <c r="E18" s="50">
        <v>7</v>
      </c>
      <c r="F18" s="50">
        <v>45</v>
      </c>
      <c r="G18" s="50">
        <v>1</v>
      </c>
      <c r="H18" s="50">
        <v>1</v>
      </c>
      <c r="I18" s="50">
        <v>12</v>
      </c>
      <c r="J18" s="50">
        <v>1</v>
      </c>
      <c r="K18" s="50">
        <v>3</v>
      </c>
      <c r="L18" s="50">
        <v>0</v>
      </c>
      <c r="M18" s="50">
        <v>107</v>
      </c>
      <c r="N18" s="50">
        <v>0</v>
      </c>
      <c r="O18" s="17">
        <f t="shared" si="0"/>
        <v>138</v>
      </c>
      <c r="P18" s="17">
        <f t="shared" si="1"/>
        <v>245</v>
      </c>
      <c r="R18" s="1" t="s">
        <v>14</v>
      </c>
      <c r="S18" s="17">
        <f t="shared" ref="S18:AF18" si="10">SUM(C42:C45)</f>
        <v>190</v>
      </c>
      <c r="T18" s="17">
        <f t="shared" si="10"/>
        <v>35</v>
      </c>
      <c r="U18" s="17">
        <f t="shared" si="10"/>
        <v>39</v>
      </c>
      <c r="V18" s="17">
        <f t="shared" si="10"/>
        <v>185</v>
      </c>
      <c r="W18" s="17">
        <f t="shared" si="10"/>
        <v>0</v>
      </c>
      <c r="X18" s="17">
        <f t="shared" si="10"/>
        <v>2</v>
      </c>
      <c r="Y18" s="17">
        <f t="shared" si="10"/>
        <v>54</v>
      </c>
      <c r="Z18" s="17">
        <f t="shared" si="10"/>
        <v>14</v>
      </c>
      <c r="AA18" s="17">
        <f t="shared" si="10"/>
        <v>5</v>
      </c>
      <c r="AB18" s="17">
        <f t="shared" si="10"/>
        <v>3</v>
      </c>
      <c r="AC18" s="17">
        <f t="shared" si="10"/>
        <v>363</v>
      </c>
      <c r="AD18" s="17">
        <f t="shared" si="10"/>
        <v>0</v>
      </c>
      <c r="AE18" s="31">
        <f t="shared" si="10"/>
        <v>527</v>
      </c>
      <c r="AF18" s="31">
        <f t="shared" si="10"/>
        <v>890</v>
      </c>
    </row>
    <row r="19" spans="2:32" ht="23.1" customHeight="1" x14ac:dyDescent="0.25">
      <c r="B19" s="45" t="s">
        <v>46</v>
      </c>
      <c r="C19" s="50">
        <v>65</v>
      </c>
      <c r="D19" s="50">
        <v>31</v>
      </c>
      <c r="E19" s="50">
        <v>12</v>
      </c>
      <c r="F19" s="50">
        <v>65</v>
      </c>
      <c r="G19" s="50">
        <v>1</v>
      </c>
      <c r="H19" s="50">
        <v>1</v>
      </c>
      <c r="I19" s="50">
        <v>6</v>
      </c>
      <c r="J19" s="50">
        <v>0</v>
      </c>
      <c r="K19" s="50">
        <v>2</v>
      </c>
      <c r="L19" s="50">
        <v>0</v>
      </c>
      <c r="M19" s="50">
        <v>135</v>
      </c>
      <c r="N19" s="50">
        <v>0</v>
      </c>
      <c r="O19" s="17">
        <f t="shared" si="0"/>
        <v>183</v>
      </c>
      <c r="P19" s="17">
        <f t="shared" si="1"/>
        <v>318</v>
      </c>
      <c r="R19" s="1" t="s">
        <v>15</v>
      </c>
      <c r="S19" s="17">
        <f t="shared" ref="S19:AF19" si="11">SUM(C46:C49)</f>
        <v>197</v>
      </c>
      <c r="T19" s="17">
        <f t="shared" si="11"/>
        <v>37</v>
      </c>
      <c r="U19" s="17">
        <f t="shared" si="11"/>
        <v>44</v>
      </c>
      <c r="V19" s="17">
        <f t="shared" si="11"/>
        <v>175</v>
      </c>
      <c r="W19" s="17">
        <f t="shared" si="11"/>
        <v>5</v>
      </c>
      <c r="X19" s="17">
        <f t="shared" si="11"/>
        <v>4</v>
      </c>
      <c r="Y19" s="17">
        <f t="shared" si="11"/>
        <v>44</v>
      </c>
      <c r="Z19" s="17">
        <f t="shared" si="11"/>
        <v>3</v>
      </c>
      <c r="AA19" s="17">
        <f t="shared" si="11"/>
        <v>3</v>
      </c>
      <c r="AB19" s="17">
        <f t="shared" si="11"/>
        <v>0</v>
      </c>
      <c r="AC19" s="17">
        <f t="shared" si="11"/>
        <v>409</v>
      </c>
      <c r="AD19" s="17">
        <f t="shared" si="11"/>
        <v>0</v>
      </c>
      <c r="AE19" s="31">
        <f t="shared" si="11"/>
        <v>512</v>
      </c>
      <c r="AF19" s="31">
        <f t="shared" si="11"/>
        <v>921</v>
      </c>
    </row>
    <row r="20" spans="2:32" ht="23.1" customHeight="1" x14ac:dyDescent="0.25">
      <c r="B20" s="45" t="s">
        <v>47</v>
      </c>
      <c r="C20" s="50">
        <v>50</v>
      </c>
      <c r="D20" s="50">
        <v>25</v>
      </c>
      <c r="E20" s="50">
        <v>15</v>
      </c>
      <c r="F20" s="50">
        <v>42</v>
      </c>
      <c r="G20" s="50">
        <v>0</v>
      </c>
      <c r="H20" s="50">
        <v>0</v>
      </c>
      <c r="I20" s="50">
        <v>8</v>
      </c>
      <c r="J20" s="50">
        <v>2</v>
      </c>
      <c r="K20" s="50">
        <v>2</v>
      </c>
      <c r="L20" s="50">
        <v>0</v>
      </c>
      <c r="M20" s="50">
        <v>103</v>
      </c>
      <c r="N20" s="50">
        <v>0</v>
      </c>
      <c r="O20" s="17">
        <f t="shared" si="0"/>
        <v>144</v>
      </c>
      <c r="P20" s="17">
        <f t="shared" si="1"/>
        <v>247</v>
      </c>
      <c r="R20" s="1" t="s">
        <v>16</v>
      </c>
      <c r="S20" s="17">
        <f t="shared" ref="S20:AF20" si="12">SUM(C50:C53)</f>
        <v>255</v>
      </c>
      <c r="T20" s="17">
        <f t="shared" si="12"/>
        <v>52</v>
      </c>
      <c r="U20" s="17">
        <f t="shared" si="12"/>
        <v>45</v>
      </c>
      <c r="V20" s="17">
        <f t="shared" si="12"/>
        <v>233</v>
      </c>
      <c r="W20" s="17">
        <f t="shared" si="12"/>
        <v>1</v>
      </c>
      <c r="X20" s="17">
        <f t="shared" si="12"/>
        <v>1</v>
      </c>
      <c r="Y20" s="17">
        <f t="shared" si="12"/>
        <v>23</v>
      </c>
      <c r="Z20" s="17">
        <f t="shared" si="12"/>
        <v>12</v>
      </c>
      <c r="AA20" s="17">
        <f t="shared" si="12"/>
        <v>8</v>
      </c>
      <c r="AB20" s="17">
        <f t="shared" si="12"/>
        <v>3</v>
      </c>
      <c r="AC20" s="17">
        <f t="shared" si="12"/>
        <v>375</v>
      </c>
      <c r="AD20" s="17">
        <f t="shared" si="12"/>
        <v>0</v>
      </c>
      <c r="AE20" s="31">
        <f t="shared" si="12"/>
        <v>633</v>
      </c>
      <c r="AF20" s="31">
        <f t="shared" si="12"/>
        <v>1008</v>
      </c>
    </row>
    <row r="21" spans="2:32" ht="23.1" customHeight="1" x14ac:dyDescent="0.25">
      <c r="B21" s="45" t="s">
        <v>48</v>
      </c>
      <c r="C21" s="50">
        <v>65</v>
      </c>
      <c r="D21" s="50">
        <v>15</v>
      </c>
      <c r="E21" s="50">
        <v>8</v>
      </c>
      <c r="F21" s="50">
        <v>63</v>
      </c>
      <c r="G21" s="50">
        <v>1</v>
      </c>
      <c r="H21" s="50">
        <v>0</v>
      </c>
      <c r="I21" s="50">
        <v>13</v>
      </c>
      <c r="J21" s="50">
        <v>4</v>
      </c>
      <c r="K21" s="50">
        <v>3</v>
      </c>
      <c r="L21" s="50">
        <v>1</v>
      </c>
      <c r="M21" s="50">
        <v>130</v>
      </c>
      <c r="N21" s="50">
        <v>0</v>
      </c>
      <c r="O21" s="17">
        <f t="shared" si="0"/>
        <v>173</v>
      </c>
      <c r="P21" s="17">
        <f t="shared" si="1"/>
        <v>303</v>
      </c>
      <c r="R21" s="36" t="s">
        <v>20</v>
      </c>
      <c r="S21" s="34">
        <f t="shared" ref="S21:AF21" si="13">SUM(C54:C57)</f>
        <v>234</v>
      </c>
      <c r="T21" s="17">
        <f t="shared" si="13"/>
        <v>21</v>
      </c>
      <c r="U21" s="17">
        <f t="shared" si="13"/>
        <v>24</v>
      </c>
      <c r="V21" s="17">
        <f t="shared" si="13"/>
        <v>212</v>
      </c>
      <c r="W21" s="17">
        <f t="shared" si="13"/>
        <v>2</v>
      </c>
      <c r="X21" s="17">
        <f t="shared" si="13"/>
        <v>2</v>
      </c>
      <c r="Y21" s="17">
        <f t="shared" si="13"/>
        <v>23</v>
      </c>
      <c r="Z21" s="17">
        <f t="shared" si="13"/>
        <v>7</v>
      </c>
      <c r="AA21" s="17">
        <f t="shared" si="13"/>
        <v>6</v>
      </c>
      <c r="AB21" s="17">
        <f t="shared" si="13"/>
        <v>1</v>
      </c>
      <c r="AC21" s="17">
        <f t="shared" si="13"/>
        <v>325</v>
      </c>
      <c r="AD21" s="17">
        <f t="shared" si="13"/>
        <v>0</v>
      </c>
      <c r="AE21" s="31">
        <f t="shared" si="13"/>
        <v>532</v>
      </c>
      <c r="AF21" s="31">
        <f t="shared" si="13"/>
        <v>857</v>
      </c>
    </row>
    <row r="22" spans="2:32" ht="23.1" customHeight="1" x14ac:dyDescent="0.25">
      <c r="B22" s="45" t="s">
        <v>49</v>
      </c>
      <c r="C22" s="50">
        <v>70</v>
      </c>
      <c r="D22" s="50">
        <v>13</v>
      </c>
      <c r="E22" s="50">
        <v>15</v>
      </c>
      <c r="F22" s="50">
        <v>68</v>
      </c>
      <c r="G22" s="50">
        <v>2</v>
      </c>
      <c r="H22" s="50">
        <v>0</v>
      </c>
      <c r="I22" s="50">
        <v>10</v>
      </c>
      <c r="J22" s="50">
        <v>2</v>
      </c>
      <c r="K22" s="50">
        <v>1</v>
      </c>
      <c r="L22" s="50">
        <v>0</v>
      </c>
      <c r="M22" s="50">
        <v>126</v>
      </c>
      <c r="N22" s="50">
        <v>0</v>
      </c>
      <c r="O22" s="17">
        <f t="shared" si="0"/>
        <v>181</v>
      </c>
      <c r="P22" s="17">
        <f t="shared" si="1"/>
        <v>307</v>
      </c>
      <c r="R22" s="36" t="s">
        <v>146</v>
      </c>
      <c r="S22" s="34">
        <f>SUM(C58:C61)</f>
        <v>219</v>
      </c>
      <c r="T22" s="34">
        <f t="shared" ref="T22:AF22" si="14">SUM(D58:D61)</f>
        <v>29</v>
      </c>
      <c r="U22" s="34">
        <f t="shared" si="14"/>
        <v>16</v>
      </c>
      <c r="V22" s="34">
        <f t="shared" si="14"/>
        <v>180</v>
      </c>
      <c r="W22" s="34">
        <f t="shared" si="14"/>
        <v>10</v>
      </c>
      <c r="X22" s="34">
        <f t="shared" si="14"/>
        <v>1</v>
      </c>
      <c r="Y22" s="34">
        <f t="shared" si="14"/>
        <v>33</v>
      </c>
      <c r="Z22" s="34">
        <f t="shared" si="14"/>
        <v>8</v>
      </c>
      <c r="AA22" s="34">
        <f t="shared" si="14"/>
        <v>0</v>
      </c>
      <c r="AB22" s="34">
        <f t="shared" si="14"/>
        <v>5</v>
      </c>
      <c r="AC22" s="34">
        <f t="shared" si="14"/>
        <v>541</v>
      </c>
      <c r="AD22" s="34">
        <f t="shared" si="14"/>
        <v>0</v>
      </c>
      <c r="AE22" s="31">
        <f t="shared" si="14"/>
        <v>501</v>
      </c>
      <c r="AF22" s="31">
        <f t="shared" si="14"/>
        <v>1042</v>
      </c>
    </row>
    <row r="23" spans="2:32" ht="23.1" customHeight="1" x14ac:dyDescent="0.25">
      <c r="B23" s="45" t="s">
        <v>50</v>
      </c>
      <c r="C23" s="50">
        <v>78</v>
      </c>
      <c r="D23" s="50">
        <v>11</v>
      </c>
      <c r="E23" s="50">
        <v>12</v>
      </c>
      <c r="F23" s="50">
        <v>65</v>
      </c>
      <c r="G23" s="50">
        <v>3</v>
      </c>
      <c r="H23" s="50">
        <v>1</v>
      </c>
      <c r="I23" s="50">
        <v>15</v>
      </c>
      <c r="J23" s="50">
        <v>4</v>
      </c>
      <c r="K23" s="50">
        <v>4</v>
      </c>
      <c r="L23" s="50">
        <v>0</v>
      </c>
      <c r="M23" s="50">
        <v>115</v>
      </c>
      <c r="N23" s="50">
        <v>0</v>
      </c>
      <c r="O23" s="17">
        <f t="shared" si="0"/>
        <v>193</v>
      </c>
      <c r="P23" s="17">
        <f t="shared" si="1"/>
        <v>308</v>
      </c>
      <c r="R23" s="36" t="s">
        <v>147</v>
      </c>
      <c r="S23" s="34">
        <f>SUM(C62:C65)</f>
        <v>233</v>
      </c>
      <c r="T23" s="34">
        <f t="shared" ref="T23:AF23" si="15">SUM(D62:D65)</f>
        <v>33</v>
      </c>
      <c r="U23" s="34">
        <f t="shared" si="15"/>
        <v>24</v>
      </c>
      <c r="V23" s="34">
        <f t="shared" si="15"/>
        <v>178</v>
      </c>
      <c r="W23" s="34">
        <f t="shared" si="15"/>
        <v>8</v>
      </c>
      <c r="X23" s="34">
        <f t="shared" si="15"/>
        <v>6</v>
      </c>
      <c r="Y23" s="34">
        <f t="shared" si="15"/>
        <v>26</v>
      </c>
      <c r="Z23" s="34">
        <f t="shared" si="15"/>
        <v>4</v>
      </c>
      <c r="AA23" s="34">
        <f t="shared" si="15"/>
        <v>0</v>
      </c>
      <c r="AB23" s="34">
        <f t="shared" si="15"/>
        <v>2</v>
      </c>
      <c r="AC23" s="34">
        <f t="shared" si="15"/>
        <v>468</v>
      </c>
      <c r="AD23" s="34">
        <f t="shared" si="15"/>
        <v>0</v>
      </c>
      <c r="AE23" s="31">
        <f t="shared" si="15"/>
        <v>514</v>
      </c>
      <c r="AF23" s="31">
        <f t="shared" si="15"/>
        <v>982</v>
      </c>
    </row>
    <row r="24" spans="2:32" ht="23.1" customHeight="1" x14ac:dyDescent="0.25">
      <c r="B24" s="45" t="s">
        <v>51</v>
      </c>
      <c r="C24" s="50">
        <v>70</v>
      </c>
      <c r="D24" s="50">
        <v>15</v>
      </c>
      <c r="E24" s="50">
        <v>8</v>
      </c>
      <c r="F24" s="50">
        <v>79</v>
      </c>
      <c r="G24" s="50">
        <v>0</v>
      </c>
      <c r="H24" s="50">
        <v>0</v>
      </c>
      <c r="I24" s="50">
        <v>14</v>
      </c>
      <c r="J24" s="50">
        <v>4</v>
      </c>
      <c r="K24" s="50">
        <v>5</v>
      </c>
      <c r="L24" s="50">
        <v>0</v>
      </c>
      <c r="M24" s="50">
        <v>110</v>
      </c>
      <c r="N24" s="50">
        <v>0</v>
      </c>
      <c r="O24" s="17">
        <f t="shared" si="0"/>
        <v>195</v>
      </c>
      <c r="P24" s="17">
        <f t="shared" si="1"/>
        <v>305</v>
      </c>
      <c r="R24" s="36" t="s">
        <v>148</v>
      </c>
      <c r="S24" s="34">
        <f>SUM(C66:C69)</f>
        <v>330</v>
      </c>
      <c r="T24" s="34">
        <f t="shared" ref="T24:AF24" si="16">SUM(D66:D69)</f>
        <v>25</v>
      </c>
      <c r="U24" s="34">
        <f t="shared" si="16"/>
        <v>27</v>
      </c>
      <c r="V24" s="34">
        <f t="shared" si="16"/>
        <v>221</v>
      </c>
      <c r="W24" s="34">
        <f t="shared" si="16"/>
        <v>6</v>
      </c>
      <c r="X24" s="34">
        <f t="shared" si="16"/>
        <v>4</v>
      </c>
      <c r="Y24" s="34">
        <f t="shared" si="16"/>
        <v>33</v>
      </c>
      <c r="Z24" s="34">
        <f t="shared" si="16"/>
        <v>5</v>
      </c>
      <c r="AA24" s="34">
        <f t="shared" si="16"/>
        <v>0</v>
      </c>
      <c r="AB24" s="34">
        <f t="shared" si="16"/>
        <v>2</v>
      </c>
      <c r="AC24" s="34">
        <f t="shared" si="16"/>
        <v>348</v>
      </c>
      <c r="AD24" s="34">
        <f t="shared" si="16"/>
        <v>0</v>
      </c>
      <c r="AE24" s="31">
        <f t="shared" si="16"/>
        <v>653</v>
      </c>
      <c r="AF24" s="31">
        <f t="shared" si="16"/>
        <v>1001</v>
      </c>
    </row>
    <row r="25" spans="2:32" ht="23.1" customHeight="1" x14ac:dyDescent="0.25">
      <c r="B25" s="45" t="s">
        <v>52</v>
      </c>
      <c r="C25" s="50">
        <v>85</v>
      </c>
      <c r="D25" s="50">
        <v>18</v>
      </c>
      <c r="E25" s="50">
        <v>9</v>
      </c>
      <c r="F25" s="50">
        <v>69</v>
      </c>
      <c r="G25" s="50">
        <v>1</v>
      </c>
      <c r="H25" s="50">
        <v>0</v>
      </c>
      <c r="I25" s="50">
        <v>6</v>
      </c>
      <c r="J25" s="50">
        <v>2</v>
      </c>
      <c r="K25" s="50">
        <v>3</v>
      </c>
      <c r="L25" s="50">
        <v>0</v>
      </c>
      <c r="M25" s="50">
        <v>120</v>
      </c>
      <c r="N25" s="50">
        <v>0</v>
      </c>
      <c r="O25" s="17">
        <f t="shared" si="0"/>
        <v>193</v>
      </c>
      <c r="P25" s="17">
        <f t="shared" si="1"/>
        <v>313</v>
      </c>
      <c r="R25" s="36" t="s">
        <v>149</v>
      </c>
      <c r="S25" s="34">
        <f>SUM(C70:C73)</f>
        <v>226</v>
      </c>
      <c r="T25" s="34">
        <f t="shared" ref="T25:AF25" si="17">SUM(D70:D73)</f>
        <v>50</v>
      </c>
      <c r="U25" s="34">
        <f t="shared" si="17"/>
        <v>11</v>
      </c>
      <c r="V25" s="34">
        <f t="shared" si="17"/>
        <v>219</v>
      </c>
      <c r="W25" s="34">
        <f t="shared" si="17"/>
        <v>4</v>
      </c>
      <c r="X25" s="34">
        <f t="shared" si="17"/>
        <v>1</v>
      </c>
      <c r="Y25" s="34">
        <f t="shared" si="17"/>
        <v>17</v>
      </c>
      <c r="Z25" s="34">
        <f t="shared" si="17"/>
        <v>3</v>
      </c>
      <c r="AA25" s="34">
        <f t="shared" si="17"/>
        <v>0</v>
      </c>
      <c r="AB25" s="34">
        <f t="shared" si="17"/>
        <v>1</v>
      </c>
      <c r="AC25" s="34">
        <f t="shared" si="17"/>
        <v>261</v>
      </c>
      <c r="AD25" s="34">
        <f t="shared" si="17"/>
        <v>0</v>
      </c>
      <c r="AE25" s="31">
        <f t="shared" si="17"/>
        <v>532</v>
      </c>
      <c r="AF25" s="31">
        <f t="shared" si="17"/>
        <v>793</v>
      </c>
    </row>
    <row r="26" spans="2:32" ht="23.1" customHeight="1" x14ac:dyDescent="0.25">
      <c r="B26" s="45" t="s">
        <v>53</v>
      </c>
      <c r="C26" s="50">
        <v>50</v>
      </c>
      <c r="D26" s="50">
        <v>13</v>
      </c>
      <c r="E26" s="50">
        <v>14</v>
      </c>
      <c r="F26" s="50">
        <v>40</v>
      </c>
      <c r="G26" s="50">
        <v>1</v>
      </c>
      <c r="H26" s="50">
        <v>0</v>
      </c>
      <c r="I26" s="50">
        <v>6</v>
      </c>
      <c r="J26" s="50">
        <v>2</v>
      </c>
      <c r="K26" s="50">
        <v>4</v>
      </c>
      <c r="L26" s="50">
        <v>1</v>
      </c>
      <c r="M26" s="50">
        <v>110</v>
      </c>
      <c r="N26" s="50">
        <v>0</v>
      </c>
      <c r="O26" s="17">
        <f t="shared" si="0"/>
        <v>131</v>
      </c>
      <c r="P26" s="17">
        <f t="shared" si="1"/>
        <v>241</v>
      </c>
      <c r="R26" s="36" t="s">
        <v>150</v>
      </c>
      <c r="S26" s="34">
        <f>SUM(C74:C77)</f>
        <v>165</v>
      </c>
      <c r="T26" s="34">
        <f t="shared" ref="T26:AF26" si="18">SUM(D74:D77)</f>
        <v>43</v>
      </c>
      <c r="U26" s="34">
        <f t="shared" si="18"/>
        <v>8</v>
      </c>
      <c r="V26" s="34">
        <f t="shared" si="18"/>
        <v>97</v>
      </c>
      <c r="W26" s="34">
        <f t="shared" si="18"/>
        <v>5</v>
      </c>
      <c r="X26" s="34">
        <f t="shared" si="18"/>
        <v>0</v>
      </c>
      <c r="Y26" s="34">
        <f t="shared" si="18"/>
        <v>18</v>
      </c>
      <c r="Z26" s="34">
        <f t="shared" si="18"/>
        <v>5</v>
      </c>
      <c r="AA26" s="34">
        <f t="shared" si="18"/>
        <v>1</v>
      </c>
      <c r="AB26" s="34">
        <f t="shared" si="18"/>
        <v>2</v>
      </c>
      <c r="AC26" s="34">
        <f t="shared" si="18"/>
        <v>202</v>
      </c>
      <c r="AD26" s="34">
        <f t="shared" si="18"/>
        <v>0</v>
      </c>
      <c r="AE26" s="31">
        <f t="shared" si="18"/>
        <v>344</v>
      </c>
      <c r="AF26" s="31">
        <f t="shared" si="18"/>
        <v>546</v>
      </c>
    </row>
    <row r="27" spans="2:32" ht="23.1" customHeight="1" x14ac:dyDescent="0.25">
      <c r="B27" s="45" t="s">
        <v>54</v>
      </c>
      <c r="C27" s="50">
        <v>65</v>
      </c>
      <c r="D27" s="50">
        <v>28</v>
      </c>
      <c r="E27" s="50">
        <v>7</v>
      </c>
      <c r="F27" s="50">
        <v>84</v>
      </c>
      <c r="G27" s="50">
        <v>0</v>
      </c>
      <c r="H27" s="50">
        <v>0</v>
      </c>
      <c r="I27" s="50">
        <v>15</v>
      </c>
      <c r="J27" s="50">
        <v>6</v>
      </c>
      <c r="K27" s="50">
        <v>3</v>
      </c>
      <c r="L27" s="50">
        <v>0</v>
      </c>
      <c r="M27" s="50">
        <v>120</v>
      </c>
      <c r="N27" s="50">
        <v>0</v>
      </c>
      <c r="O27" s="17">
        <f t="shared" si="0"/>
        <v>208</v>
      </c>
      <c r="P27" s="17">
        <f t="shared" si="1"/>
        <v>328</v>
      </c>
      <c r="R27" s="36" t="s">
        <v>151</v>
      </c>
      <c r="S27" s="34">
        <f>SUM(C78:C81)</f>
        <v>106</v>
      </c>
      <c r="T27" s="34">
        <f t="shared" ref="T27:AF27" si="19">SUM(D78:D81)</f>
        <v>24</v>
      </c>
      <c r="U27" s="34">
        <f t="shared" si="19"/>
        <v>5</v>
      </c>
      <c r="V27" s="34">
        <f t="shared" si="19"/>
        <v>31</v>
      </c>
      <c r="W27" s="34">
        <f t="shared" si="19"/>
        <v>1</v>
      </c>
      <c r="X27" s="34">
        <f t="shared" si="19"/>
        <v>0</v>
      </c>
      <c r="Y27" s="34">
        <f t="shared" si="19"/>
        <v>8</v>
      </c>
      <c r="Z27" s="34">
        <f t="shared" si="19"/>
        <v>4</v>
      </c>
      <c r="AA27" s="34">
        <f t="shared" si="19"/>
        <v>2</v>
      </c>
      <c r="AB27" s="34">
        <f t="shared" si="19"/>
        <v>1</v>
      </c>
      <c r="AC27" s="34">
        <f t="shared" si="19"/>
        <v>143</v>
      </c>
      <c r="AD27" s="34">
        <f t="shared" si="19"/>
        <v>0</v>
      </c>
      <c r="AE27" s="31">
        <f t="shared" si="19"/>
        <v>182</v>
      </c>
      <c r="AF27" s="31">
        <f t="shared" si="19"/>
        <v>325</v>
      </c>
    </row>
    <row r="28" spans="2:32" ht="23.1" customHeight="1" x14ac:dyDescent="0.25">
      <c r="B28" s="45" t="s">
        <v>55</v>
      </c>
      <c r="C28" s="50">
        <v>70</v>
      </c>
      <c r="D28" s="50">
        <v>20</v>
      </c>
      <c r="E28" s="50">
        <v>11</v>
      </c>
      <c r="F28" s="50">
        <v>80</v>
      </c>
      <c r="G28" s="50">
        <v>0</v>
      </c>
      <c r="H28" s="50">
        <v>0</v>
      </c>
      <c r="I28" s="50">
        <v>16</v>
      </c>
      <c r="J28" s="50">
        <v>1</v>
      </c>
      <c r="K28" s="50">
        <v>3</v>
      </c>
      <c r="L28" s="50">
        <v>0</v>
      </c>
      <c r="M28" s="50">
        <v>111</v>
      </c>
      <c r="N28" s="50">
        <v>0</v>
      </c>
      <c r="O28" s="17">
        <f t="shared" si="0"/>
        <v>201</v>
      </c>
      <c r="P28" s="17">
        <f t="shared" si="1"/>
        <v>312</v>
      </c>
      <c r="R28" s="36" t="s">
        <v>152</v>
      </c>
      <c r="S28" s="34">
        <f>SUM(C82:C85)</f>
        <v>44</v>
      </c>
      <c r="T28" s="34">
        <f t="shared" ref="T28:AF28" si="20">SUM(D82:D85)</f>
        <v>6</v>
      </c>
      <c r="U28" s="34">
        <f t="shared" si="20"/>
        <v>6</v>
      </c>
      <c r="V28" s="34">
        <f t="shared" si="20"/>
        <v>10</v>
      </c>
      <c r="W28" s="34">
        <f t="shared" si="20"/>
        <v>0</v>
      </c>
      <c r="X28" s="34">
        <f t="shared" si="20"/>
        <v>0</v>
      </c>
      <c r="Y28" s="34">
        <f t="shared" si="20"/>
        <v>12</v>
      </c>
      <c r="Z28" s="34">
        <f t="shared" si="20"/>
        <v>4</v>
      </c>
      <c r="AA28" s="34">
        <f t="shared" si="20"/>
        <v>0</v>
      </c>
      <c r="AB28" s="34">
        <f t="shared" si="20"/>
        <v>6</v>
      </c>
      <c r="AC28" s="34">
        <f t="shared" si="20"/>
        <v>118</v>
      </c>
      <c r="AD28" s="34">
        <f t="shared" si="20"/>
        <v>0</v>
      </c>
      <c r="AE28" s="31">
        <f t="shared" si="20"/>
        <v>88</v>
      </c>
      <c r="AF28" s="31">
        <f t="shared" si="20"/>
        <v>206</v>
      </c>
    </row>
    <row r="29" spans="2:32" ht="23.1" customHeight="1" x14ac:dyDescent="0.25">
      <c r="B29" s="45" t="s">
        <v>56</v>
      </c>
      <c r="C29" s="50">
        <v>45</v>
      </c>
      <c r="D29" s="50">
        <v>35</v>
      </c>
      <c r="E29" s="50">
        <v>10</v>
      </c>
      <c r="F29" s="50">
        <v>60</v>
      </c>
      <c r="G29" s="50">
        <v>1</v>
      </c>
      <c r="H29" s="50">
        <v>2</v>
      </c>
      <c r="I29" s="50">
        <v>8</v>
      </c>
      <c r="J29" s="50">
        <v>4</v>
      </c>
      <c r="K29" s="50">
        <v>4</v>
      </c>
      <c r="L29" s="50">
        <v>0</v>
      </c>
      <c r="M29" s="50">
        <v>95</v>
      </c>
      <c r="N29" s="50">
        <v>0</v>
      </c>
      <c r="O29" s="17">
        <f t="shared" si="0"/>
        <v>169</v>
      </c>
      <c r="P29" s="17">
        <f t="shared" si="1"/>
        <v>264</v>
      </c>
      <c r="R29" s="36" t="s">
        <v>153</v>
      </c>
      <c r="S29" s="34">
        <f>SUM(C86:C89)</f>
        <v>25</v>
      </c>
      <c r="T29" s="34">
        <f t="shared" ref="T29:AF29" si="21">SUM(D86:D89)</f>
        <v>3</v>
      </c>
      <c r="U29" s="34">
        <f t="shared" si="21"/>
        <v>2</v>
      </c>
      <c r="V29" s="34">
        <f t="shared" si="21"/>
        <v>6</v>
      </c>
      <c r="W29" s="34">
        <f t="shared" si="21"/>
        <v>0</v>
      </c>
      <c r="X29" s="34">
        <f t="shared" si="21"/>
        <v>0</v>
      </c>
      <c r="Y29" s="34">
        <f t="shared" si="21"/>
        <v>5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65</v>
      </c>
      <c r="AD29" s="34">
        <f t="shared" si="21"/>
        <v>0</v>
      </c>
      <c r="AE29" s="31">
        <f t="shared" si="21"/>
        <v>41</v>
      </c>
      <c r="AF29" s="31">
        <f t="shared" si="21"/>
        <v>106</v>
      </c>
    </row>
    <row r="30" spans="2:32" ht="23.1" customHeight="1" x14ac:dyDescent="0.25">
      <c r="B30" s="45" t="s">
        <v>57</v>
      </c>
      <c r="C30" s="50">
        <v>60</v>
      </c>
      <c r="D30" s="50">
        <v>10</v>
      </c>
      <c r="E30" s="50">
        <v>4</v>
      </c>
      <c r="F30" s="50">
        <v>60</v>
      </c>
      <c r="G30" s="50">
        <v>4</v>
      </c>
      <c r="H30" s="50">
        <v>0</v>
      </c>
      <c r="I30" s="50">
        <v>6</v>
      </c>
      <c r="J30" s="50">
        <v>1</v>
      </c>
      <c r="K30" s="50">
        <v>4</v>
      </c>
      <c r="L30" s="50">
        <v>1</v>
      </c>
      <c r="M30" s="50">
        <v>55</v>
      </c>
      <c r="N30" s="50">
        <v>0</v>
      </c>
      <c r="O30" s="17">
        <f t="shared" si="0"/>
        <v>150</v>
      </c>
      <c r="P30" s="17">
        <f t="shared" si="1"/>
        <v>205</v>
      </c>
      <c r="R30" s="36" t="s">
        <v>154</v>
      </c>
      <c r="S30" s="34">
        <f>SUM(C90:C93)</f>
        <v>17</v>
      </c>
      <c r="T30" s="34">
        <f t="shared" ref="T30:AF30" si="22">SUM(D90:D93)</f>
        <v>5</v>
      </c>
      <c r="U30" s="34">
        <f t="shared" si="22"/>
        <v>4</v>
      </c>
      <c r="V30" s="34">
        <f t="shared" si="22"/>
        <v>4</v>
      </c>
      <c r="W30" s="34">
        <f t="shared" si="22"/>
        <v>0</v>
      </c>
      <c r="X30" s="34">
        <f t="shared" si="22"/>
        <v>0</v>
      </c>
      <c r="Y30" s="34">
        <f t="shared" si="22"/>
        <v>7</v>
      </c>
      <c r="Z30" s="34">
        <f t="shared" si="22"/>
        <v>1</v>
      </c>
      <c r="AA30" s="34">
        <f t="shared" si="22"/>
        <v>0</v>
      </c>
      <c r="AB30" s="34">
        <f t="shared" si="22"/>
        <v>1</v>
      </c>
      <c r="AC30" s="34">
        <f t="shared" si="22"/>
        <v>35</v>
      </c>
      <c r="AD30" s="34">
        <f t="shared" si="22"/>
        <v>0</v>
      </c>
      <c r="AE30" s="31">
        <f t="shared" si="22"/>
        <v>39</v>
      </c>
      <c r="AF30" s="31">
        <f t="shared" si="22"/>
        <v>74</v>
      </c>
    </row>
    <row r="31" spans="2:32" ht="23.1" customHeight="1" x14ac:dyDescent="0.25">
      <c r="B31" s="46" t="s">
        <v>58</v>
      </c>
      <c r="C31" s="50">
        <v>110</v>
      </c>
      <c r="D31" s="50">
        <v>28</v>
      </c>
      <c r="E31" s="50">
        <v>18</v>
      </c>
      <c r="F31" s="50">
        <v>115</v>
      </c>
      <c r="G31" s="50">
        <v>3</v>
      </c>
      <c r="H31" s="50">
        <v>2</v>
      </c>
      <c r="I31" s="50">
        <v>25</v>
      </c>
      <c r="J31" s="50">
        <v>0</v>
      </c>
      <c r="K31" s="50">
        <v>0</v>
      </c>
      <c r="L31" s="50">
        <v>0</v>
      </c>
      <c r="M31" s="50">
        <v>115</v>
      </c>
      <c r="N31" s="50">
        <v>0</v>
      </c>
      <c r="O31" s="17">
        <f t="shared" si="0"/>
        <v>301</v>
      </c>
      <c r="P31" s="17">
        <f t="shared" si="1"/>
        <v>416</v>
      </c>
      <c r="R31" s="36" t="s">
        <v>155</v>
      </c>
      <c r="S31" s="34">
        <f>SUM(C94:C97)</f>
        <v>6</v>
      </c>
      <c r="T31" s="34">
        <f t="shared" ref="T31:AF31" si="23">SUM(D94:D97)</f>
        <v>5</v>
      </c>
      <c r="U31" s="34">
        <f t="shared" si="23"/>
        <v>0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4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62</v>
      </c>
      <c r="AD31" s="34">
        <f t="shared" si="23"/>
        <v>0</v>
      </c>
      <c r="AE31" s="31">
        <f t="shared" si="23"/>
        <v>20</v>
      </c>
      <c r="AF31" s="31">
        <f t="shared" si="23"/>
        <v>82</v>
      </c>
    </row>
    <row r="32" spans="2:32" ht="23.1" customHeight="1" x14ac:dyDescent="0.25">
      <c r="B32" s="46" t="s">
        <v>59</v>
      </c>
      <c r="C32" s="50">
        <v>100</v>
      </c>
      <c r="D32" s="50">
        <v>11</v>
      </c>
      <c r="E32" s="50">
        <v>8</v>
      </c>
      <c r="F32" s="50">
        <v>60</v>
      </c>
      <c r="G32" s="50">
        <v>4</v>
      </c>
      <c r="H32" s="50">
        <v>1</v>
      </c>
      <c r="I32" s="50">
        <v>13</v>
      </c>
      <c r="J32" s="50">
        <v>0</v>
      </c>
      <c r="K32" s="50">
        <v>2</v>
      </c>
      <c r="L32" s="50">
        <v>0</v>
      </c>
      <c r="M32" s="50">
        <v>116</v>
      </c>
      <c r="N32" s="50">
        <v>0</v>
      </c>
      <c r="O32" s="17">
        <f t="shared" si="0"/>
        <v>199</v>
      </c>
      <c r="P32" s="17">
        <f t="shared" si="1"/>
        <v>315</v>
      </c>
      <c r="R32" s="63" t="s">
        <v>156</v>
      </c>
      <c r="S32" s="34">
        <f>SUM(C98:C101)</f>
        <v>31</v>
      </c>
      <c r="T32" s="34">
        <f t="shared" ref="T32:AF32" si="24">SUM(D98:D101)</f>
        <v>4</v>
      </c>
      <c r="U32" s="34">
        <f t="shared" si="24"/>
        <v>9</v>
      </c>
      <c r="V32" s="34">
        <f t="shared" si="24"/>
        <v>24</v>
      </c>
      <c r="W32" s="34">
        <f t="shared" si="24"/>
        <v>0</v>
      </c>
      <c r="X32" s="34">
        <f t="shared" si="24"/>
        <v>0</v>
      </c>
      <c r="Y32" s="34">
        <f t="shared" si="24"/>
        <v>8</v>
      </c>
      <c r="Z32" s="34">
        <f t="shared" si="24"/>
        <v>3</v>
      </c>
      <c r="AA32" s="34">
        <f t="shared" si="24"/>
        <v>0</v>
      </c>
      <c r="AB32" s="34">
        <f t="shared" si="24"/>
        <v>4</v>
      </c>
      <c r="AC32" s="34">
        <f t="shared" si="24"/>
        <v>57</v>
      </c>
      <c r="AD32" s="34">
        <f t="shared" si="24"/>
        <v>0</v>
      </c>
      <c r="AE32" s="31">
        <f t="shared" si="24"/>
        <v>83</v>
      </c>
      <c r="AF32" s="31">
        <f t="shared" si="24"/>
        <v>140</v>
      </c>
    </row>
    <row r="33" spans="2:32" ht="23.1" customHeight="1" x14ac:dyDescent="0.25">
      <c r="B33" s="45" t="s">
        <v>60</v>
      </c>
      <c r="C33" s="50">
        <v>135</v>
      </c>
      <c r="D33" s="50">
        <v>15</v>
      </c>
      <c r="E33" s="50">
        <v>10</v>
      </c>
      <c r="F33" s="50">
        <v>118</v>
      </c>
      <c r="G33" s="50">
        <v>1</v>
      </c>
      <c r="H33" s="50">
        <v>0</v>
      </c>
      <c r="I33" s="50">
        <v>11</v>
      </c>
      <c r="J33" s="50">
        <v>7</v>
      </c>
      <c r="K33" s="50">
        <v>4</v>
      </c>
      <c r="L33" s="50">
        <v>0</v>
      </c>
      <c r="M33" s="50">
        <v>122</v>
      </c>
      <c r="N33" s="50">
        <v>0</v>
      </c>
      <c r="O33" s="17">
        <f t="shared" si="0"/>
        <v>301</v>
      </c>
      <c r="P33" s="17">
        <f t="shared" si="1"/>
        <v>423</v>
      </c>
      <c r="R33" s="63" t="s">
        <v>157</v>
      </c>
      <c r="S33" s="34">
        <f>SUM(C102:C105)</f>
        <v>48</v>
      </c>
      <c r="T33" s="34">
        <f t="shared" ref="T33:AF33" si="25">SUM(D102:D105)</f>
        <v>3</v>
      </c>
      <c r="U33" s="34">
        <f t="shared" si="25"/>
        <v>11</v>
      </c>
      <c r="V33" s="34">
        <f t="shared" si="25"/>
        <v>56</v>
      </c>
      <c r="W33" s="34">
        <f t="shared" si="25"/>
        <v>0</v>
      </c>
      <c r="X33" s="34">
        <f t="shared" si="25"/>
        <v>0</v>
      </c>
      <c r="Y33" s="34">
        <f t="shared" si="25"/>
        <v>25</v>
      </c>
      <c r="Z33" s="34">
        <f t="shared" si="25"/>
        <v>8</v>
      </c>
      <c r="AA33" s="34">
        <f t="shared" si="25"/>
        <v>0</v>
      </c>
      <c r="AB33" s="34">
        <f t="shared" si="25"/>
        <v>5</v>
      </c>
      <c r="AC33" s="34">
        <f t="shared" si="25"/>
        <v>145</v>
      </c>
      <c r="AD33" s="34">
        <f t="shared" si="25"/>
        <v>0</v>
      </c>
      <c r="AE33" s="31">
        <f t="shared" si="25"/>
        <v>156</v>
      </c>
      <c r="AF33" s="31">
        <f t="shared" si="25"/>
        <v>301</v>
      </c>
    </row>
    <row r="34" spans="2:32" ht="23.1" customHeight="1" x14ac:dyDescent="0.25">
      <c r="B34" s="46" t="s">
        <v>61</v>
      </c>
      <c r="C34" s="50">
        <v>40</v>
      </c>
      <c r="D34" s="50">
        <v>45</v>
      </c>
      <c r="E34" s="50">
        <v>13</v>
      </c>
      <c r="F34" s="50">
        <v>80</v>
      </c>
      <c r="G34" s="50">
        <v>0</v>
      </c>
      <c r="H34" s="50">
        <v>0</v>
      </c>
      <c r="I34" s="50">
        <v>7</v>
      </c>
      <c r="J34" s="50">
        <v>7</v>
      </c>
      <c r="K34" s="50">
        <v>7</v>
      </c>
      <c r="L34" s="50">
        <v>0</v>
      </c>
      <c r="M34" s="50">
        <v>97</v>
      </c>
      <c r="N34" s="50">
        <v>0</v>
      </c>
      <c r="O34" s="17">
        <f t="shared" si="0"/>
        <v>199</v>
      </c>
      <c r="P34" s="17">
        <f t="shared" si="1"/>
        <v>296</v>
      </c>
      <c r="R34" s="64" t="s">
        <v>90</v>
      </c>
      <c r="S34" s="65">
        <f t="shared" ref="S34:AF34" si="26">MAX(S10:S12)</f>
        <v>233</v>
      </c>
      <c r="T34" s="65">
        <f t="shared" si="26"/>
        <v>86</v>
      </c>
      <c r="U34" s="65">
        <f t="shared" si="26"/>
        <v>42</v>
      </c>
      <c r="V34" s="65">
        <f t="shared" si="26"/>
        <v>232</v>
      </c>
      <c r="W34" s="65">
        <f t="shared" si="26"/>
        <v>4</v>
      </c>
      <c r="X34" s="65">
        <f t="shared" si="26"/>
        <v>4</v>
      </c>
      <c r="Y34" s="65">
        <f t="shared" si="26"/>
        <v>39</v>
      </c>
      <c r="Z34" s="65">
        <f t="shared" si="26"/>
        <v>8</v>
      </c>
      <c r="AA34" s="65">
        <f t="shared" si="26"/>
        <v>15</v>
      </c>
      <c r="AB34" s="65">
        <f t="shared" si="26"/>
        <v>1</v>
      </c>
      <c r="AC34" s="65">
        <f t="shared" si="26"/>
        <v>475</v>
      </c>
      <c r="AD34" s="65">
        <f t="shared" si="26"/>
        <v>0</v>
      </c>
      <c r="AE34" s="40">
        <f t="shared" si="26"/>
        <v>638</v>
      </c>
      <c r="AF34" s="40">
        <f t="shared" si="26"/>
        <v>1113</v>
      </c>
    </row>
    <row r="35" spans="2:32" ht="23.1" customHeight="1" x14ac:dyDescent="0.25">
      <c r="B35" s="46" t="s">
        <v>62</v>
      </c>
      <c r="C35" s="50">
        <v>43</v>
      </c>
      <c r="D35" s="50">
        <v>10</v>
      </c>
      <c r="E35" s="50">
        <v>4</v>
      </c>
      <c r="F35" s="50">
        <v>75</v>
      </c>
      <c r="G35" s="50">
        <v>0</v>
      </c>
      <c r="H35" s="50">
        <v>0</v>
      </c>
      <c r="I35" s="50">
        <v>12</v>
      </c>
      <c r="J35" s="50">
        <v>4</v>
      </c>
      <c r="K35" s="50">
        <v>5</v>
      </c>
      <c r="L35" s="50">
        <v>0</v>
      </c>
      <c r="M35" s="50">
        <v>92</v>
      </c>
      <c r="N35" s="50">
        <v>0</v>
      </c>
      <c r="O35" s="17">
        <f t="shared" si="0"/>
        <v>153</v>
      </c>
      <c r="P35" s="17">
        <f t="shared" si="1"/>
        <v>245</v>
      </c>
      <c r="R35" s="64" t="s">
        <v>91</v>
      </c>
      <c r="S35" s="65">
        <f t="shared" ref="S35:AF35" si="27">MAX(S13:S18)</f>
        <v>405</v>
      </c>
      <c r="T35" s="65">
        <f t="shared" si="27"/>
        <v>97</v>
      </c>
      <c r="U35" s="65">
        <f t="shared" si="27"/>
        <v>44</v>
      </c>
      <c r="V35" s="65">
        <f t="shared" si="27"/>
        <v>353</v>
      </c>
      <c r="W35" s="65">
        <f t="shared" si="27"/>
        <v>12</v>
      </c>
      <c r="X35" s="65">
        <f t="shared" si="27"/>
        <v>4</v>
      </c>
      <c r="Y35" s="65">
        <f t="shared" si="27"/>
        <v>55</v>
      </c>
      <c r="Z35" s="65">
        <f t="shared" si="27"/>
        <v>17</v>
      </c>
      <c r="AA35" s="65">
        <f t="shared" si="27"/>
        <v>19</v>
      </c>
      <c r="AB35" s="65">
        <f t="shared" si="27"/>
        <v>3</v>
      </c>
      <c r="AC35" s="65">
        <f t="shared" si="27"/>
        <v>471</v>
      </c>
      <c r="AD35" s="65">
        <f t="shared" si="27"/>
        <v>0</v>
      </c>
      <c r="AE35" s="40">
        <f t="shared" si="27"/>
        <v>951</v>
      </c>
      <c r="AF35" s="40">
        <f t="shared" si="27"/>
        <v>1359</v>
      </c>
    </row>
    <row r="36" spans="2:32" ht="23.1" customHeight="1" x14ac:dyDescent="0.25">
      <c r="B36" s="46" t="s">
        <v>63</v>
      </c>
      <c r="C36" s="50">
        <v>80</v>
      </c>
      <c r="D36" s="50">
        <v>14</v>
      </c>
      <c r="E36" s="50">
        <v>5</v>
      </c>
      <c r="F36" s="50">
        <v>60</v>
      </c>
      <c r="G36" s="50">
        <v>0</v>
      </c>
      <c r="H36" s="50">
        <v>1</v>
      </c>
      <c r="I36" s="50">
        <v>5</v>
      </c>
      <c r="J36" s="50">
        <v>1</v>
      </c>
      <c r="K36" s="50">
        <v>3</v>
      </c>
      <c r="L36" s="50">
        <v>1</v>
      </c>
      <c r="M36" s="50">
        <v>90</v>
      </c>
      <c r="N36" s="50">
        <v>0</v>
      </c>
      <c r="O36" s="17">
        <f t="shared" si="0"/>
        <v>170</v>
      </c>
      <c r="P36" s="17">
        <f t="shared" si="1"/>
        <v>260</v>
      </c>
      <c r="R36" s="64" t="s">
        <v>92</v>
      </c>
      <c r="S36" s="65">
        <f t="shared" ref="S36:AF36" si="28">MAX(S19:S21)</f>
        <v>255</v>
      </c>
      <c r="T36" s="65">
        <f t="shared" si="28"/>
        <v>52</v>
      </c>
      <c r="U36" s="65">
        <f t="shared" si="28"/>
        <v>45</v>
      </c>
      <c r="V36" s="65">
        <f t="shared" si="28"/>
        <v>233</v>
      </c>
      <c r="W36" s="65">
        <f t="shared" si="28"/>
        <v>5</v>
      </c>
      <c r="X36" s="65">
        <f t="shared" si="28"/>
        <v>4</v>
      </c>
      <c r="Y36" s="65">
        <f t="shared" si="28"/>
        <v>44</v>
      </c>
      <c r="Z36" s="65">
        <f t="shared" si="28"/>
        <v>12</v>
      </c>
      <c r="AA36" s="65">
        <f t="shared" si="28"/>
        <v>8</v>
      </c>
      <c r="AB36" s="65">
        <f t="shared" si="28"/>
        <v>3</v>
      </c>
      <c r="AC36" s="65">
        <f t="shared" si="28"/>
        <v>409</v>
      </c>
      <c r="AD36" s="65">
        <f t="shared" si="28"/>
        <v>0</v>
      </c>
      <c r="AE36" s="40">
        <f t="shared" si="28"/>
        <v>633</v>
      </c>
      <c r="AF36" s="40">
        <f t="shared" si="28"/>
        <v>1008</v>
      </c>
    </row>
    <row r="37" spans="2:32" ht="23.1" customHeight="1" x14ac:dyDescent="0.25">
      <c r="B37" s="45" t="s">
        <v>64</v>
      </c>
      <c r="C37" s="50">
        <v>81</v>
      </c>
      <c r="D37" s="50">
        <v>10</v>
      </c>
      <c r="E37" s="50">
        <v>11</v>
      </c>
      <c r="F37" s="50">
        <v>68</v>
      </c>
      <c r="G37" s="50">
        <v>3</v>
      </c>
      <c r="H37" s="50">
        <v>2</v>
      </c>
      <c r="I37" s="50">
        <v>8</v>
      </c>
      <c r="J37" s="50">
        <v>5</v>
      </c>
      <c r="K37" s="50">
        <v>4</v>
      </c>
      <c r="L37" s="50">
        <v>0</v>
      </c>
      <c r="M37" s="50">
        <v>92</v>
      </c>
      <c r="N37" s="50">
        <v>0</v>
      </c>
      <c r="O37" s="17">
        <f t="shared" si="0"/>
        <v>192</v>
      </c>
      <c r="P37" s="17">
        <f t="shared" si="1"/>
        <v>284</v>
      </c>
      <c r="R37" s="37" t="s">
        <v>85</v>
      </c>
      <c r="S37" s="35">
        <f t="shared" ref="S37:AF37" si="29">SUM(S10:S12)</f>
        <v>625</v>
      </c>
      <c r="T37" s="16">
        <f t="shared" si="29"/>
        <v>209</v>
      </c>
      <c r="U37" s="16">
        <f t="shared" si="29"/>
        <v>95</v>
      </c>
      <c r="V37" s="16">
        <f t="shared" si="29"/>
        <v>605</v>
      </c>
      <c r="W37" s="16">
        <f t="shared" si="29"/>
        <v>8</v>
      </c>
      <c r="X37" s="16">
        <f t="shared" si="29"/>
        <v>6</v>
      </c>
      <c r="Y37" s="16">
        <f t="shared" si="29"/>
        <v>100</v>
      </c>
      <c r="Z37" s="16">
        <f t="shared" si="29"/>
        <v>21</v>
      </c>
      <c r="AA37" s="16">
        <f t="shared" si="29"/>
        <v>40</v>
      </c>
      <c r="AB37" s="16">
        <f t="shared" si="29"/>
        <v>2</v>
      </c>
      <c r="AC37" s="16">
        <f t="shared" si="29"/>
        <v>1212</v>
      </c>
      <c r="AD37" s="16">
        <f t="shared" si="29"/>
        <v>0</v>
      </c>
      <c r="AE37" s="32">
        <f t="shared" si="29"/>
        <v>1711</v>
      </c>
      <c r="AF37" s="32">
        <f t="shared" si="29"/>
        <v>2923</v>
      </c>
    </row>
    <row r="38" spans="2:32" ht="23.1" customHeight="1" x14ac:dyDescent="0.25">
      <c r="B38" s="46" t="s">
        <v>65</v>
      </c>
      <c r="C38" s="50">
        <v>70</v>
      </c>
      <c r="D38" s="50">
        <v>15</v>
      </c>
      <c r="E38" s="50">
        <v>5</v>
      </c>
      <c r="F38" s="50">
        <v>90</v>
      </c>
      <c r="G38" s="50">
        <v>2</v>
      </c>
      <c r="H38" s="50">
        <v>0</v>
      </c>
      <c r="I38" s="50">
        <v>10</v>
      </c>
      <c r="J38" s="50">
        <v>1</v>
      </c>
      <c r="K38" s="50">
        <v>3</v>
      </c>
      <c r="L38" s="50">
        <v>0</v>
      </c>
      <c r="M38" s="50">
        <v>106</v>
      </c>
      <c r="N38" s="50">
        <v>0</v>
      </c>
      <c r="O38" s="17">
        <f t="shared" si="0"/>
        <v>196</v>
      </c>
      <c r="P38" s="17">
        <f t="shared" si="1"/>
        <v>302</v>
      </c>
      <c r="R38" s="28" t="s">
        <v>86</v>
      </c>
      <c r="S38" s="16">
        <f t="shared" ref="S38:AF38" si="30">SUM(S13:S18)</f>
        <v>1694</v>
      </c>
      <c r="T38" s="16">
        <f t="shared" si="30"/>
        <v>428</v>
      </c>
      <c r="U38" s="16">
        <f t="shared" si="30"/>
        <v>226</v>
      </c>
      <c r="V38" s="16">
        <f t="shared" si="30"/>
        <v>1642</v>
      </c>
      <c r="W38" s="16">
        <f t="shared" si="30"/>
        <v>27</v>
      </c>
      <c r="X38" s="16">
        <f t="shared" si="30"/>
        <v>15</v>
      </c>
      <c r="Y38" s="16">
        <f t="shared" si="30"/>
        <v>262</v>
      </c>
      <c r="Z38" s="16">
        <f t="shared" si="30"/>
        <v>76</v>
      </c>
      <c r="AA38" s="16">
        <f t="shared" si="30"/>
        <v>78</v>
      </c>
      <c r="AB38" s="16">
        <f t="shared" si="30"/>
        <v>6</v>
      </c>
      <c r="AC38" s="16">
        <f t="shared" si="30"/>
        <v>2449</v>
      </c>
      <c r="AD38" s="16">
        <f t="shared" si="30"/>
        <v>0</v>
      </c>
      <c r="AE38" s="32">
        <f t="shared" si="30"/>
        <v>4454</v>
      </c>
      <c r="AF38" s="32">
        <f t="shared" si="30"/>
        <v>6903</v>
      </c>
    </row>
    <row r="39" spans="2:32" ht="23.1" customHeight="1" x14ac:dyDescent="0.25">
      <c r="B39" s="46" t="s">
        <v>66</v>
      </c>
      <c r="C39" s="50">
        <v>72</v>
      </c>
      <c r="D39" s="50">
        <v>7</v>
      </c>
      <c r="E39" s="50">
        <v>8</v>
      </c>
      <c r="F39" s="50">
        <v>61</v>
      </c>
      <c r="G39" s="50">
        <v>0</v>
      </c>
      <c r="H39" s="50">
        <v>0</v>
      </c>
      <c r="I39" s="50">
        <v>8</v>
      </c>
      <c r="J39" s="50">
        <v>7</v>
      </c>
      <c r="K39" s="50">
        <v>3</v>
      </c>
      <c r="L39" s="50">
        <v>0</v>
      </c>
      <c r="M39" s="50">
        <v>94</v>
      </c>
      <c r="N39" s="50">
        <v>0</v>
      </c>
      <c r="O39" s="17">
        <f t="shared" si="0"/>
        <v>166</v>
      </c>
      <c r="P39" s="17">
        <f t="shared" si="1"/>
        <v>260</v>
      </c>
      <c r="R39" s="29" t="s">
        <v>87</v>
      </c>
      <c r="S39" s="16">
        <f t="shared" ref="S39:AF39" si="31">SUM(S19:S21)</f>
        <v>686</v>
      </c>
      <c r="T39" s="16">
        <f t="shared" si="31"/>
        <v>110</v>
      </c>
      <c r="U39" s="16">
        <f t="shared" si="31"/>
        <v>113</v>
      </c>
      <c r="V39" s="16">
        <f t="shared" si="31"/>
        <v>620</v>
      </c>
      <c r="W39" s="16">
        <f t="shared" si="31"/>
        <v>8</v>
      </c>
      <c r="X39" s="16">
        <f t="shared" si="31"/>
        <v>7</v>
      </c>
      <c r="Y39" s="16">
        <f t="shared" si="31"/>
        <v>90</v>
      </c>
      <c r="Z39" s="16">
        <f t="shared" si="31"/>
        <v>22</v>
      </c>
      <c r="AA39" s="16">
        <f t="shared" si="31"/>
        <v>17</v>
      </c>
      <c r="AB39" s="16">
        <f t="shared" si="31"/>
        <v>4</v>
      </c>
      <c r="AC39" s="16">
        <f t="shared" si="31"/>
        <v>1109</v>
      </c>
      <c r="AD39" s="16">
        <f t="shared" si="31"/>
        <v>0</v>
      </c>
      <c r="AE39" s="32">
        <f t="shared" si="31"/>
        <v>1677</v>
      </c>
      <c r="AF39" s="32">
        <f t="shared" si="31"/>
        <v>2786</v>
      </c>
    </row>
    <row r="40" spans="2:32" ht="23.1" customHeight="1" x14ac:dyDescent="0.25">
      <c r="B40" s="46" t="s">
        <v>67</v>
      </c>
      <c r="C40" s="50">
        <v>100</v>
      </c>
      <c r="D40" s="50">
        <v>30</v>
      </c>
      <c r="E40" s="50">
        <v>15</v>
      </c>
      <c r="F40" s="50">
        <v>65</v>
      </c>
      <c r="G40" s="50">
        <v>1</v>
      </c>
      <c r="H40" s="50">
        <v>3</v>
      </c>
      <c r="I40" s="50">
        <v>7</v>
      </c>
      <c r="J40" s="50">
        <v>0</v>
      </c>
      <c r="K40" s="50">
        <v>4</v>
      </c>
      <c r="L40" s="50">
        <v>0</v>
      </c>
      <c r="M40" s="50">
        <v>105</v>
      </c>
      <c r="N40" s="50">
        <v>0</v>
      </c>
      <c r="O40" s="17">
        <f t="shared" si="0"/>
        <v>225</v>
      </c>
      <c r="P40" s="17">
        <f t="shared" si="1"/>
        <v>330</v>
      </c>
      <c r="R40" s="5" t="s">
        <v>17</v>
      </c>
      <c r="S40" s="16">
        <f t="shared" ref="S40:AF40" si="32">SUM(S10:S21)</f>
        <v>3005</v>
      </c>
      <c r="T40" s="16">
        <f t="shared" si="32"/>
        <v>747</v>
      </c>
      <c r="U40" s="16">
        <f t="shared" si="32"/>
        <v>434</v>
      </c>
      <c r="V40" s="16">
        <f t="shared" si="32"/>
        <v>2867</v>
      </c>
      <c r="W40" s="16">
        <f t="shared" si="32"/>
        <v>43</v>
      </c>
      <c r="X40" s="16">
        <f t="shared" si="32"/>
        <v>28</v>
      </c>
      <c r="Y40" s="16">
        <f t="shared" si="32"/>
        <v>452</v>
      </c>
      <c r="Z40" s="16">
        <f t="shared" si="32"/>
        <v>119</v>
      </c>
      <c r="AA40" s="16">
        <f t="shared" si="32"/>
        <v>135</v>
      </c>
      <c r="AB40" s="16">
        <f t="shared" si="32"/>
        <v>12</v>
      </c>
      <c r="AC40" s="16">
        <f t="shared" si="32"/>
        <v>4770</v>
      </c>
      <c r="AD40" s="16">
        <f t="shared" si="32"/>
        <v>0</v>
      </c>
      <c r="AE40" s="32">
        <f t="shared" si="32"/>
        <v>7842</v>
      </c>
      <c r="AF40" s="32">
        <f t="shared" si="32"/>
        <v>12612</v>
      </c>
    </row>
    <row r="41" spans="2:32" ht="23.1" customHeight="1" x14ac:dyDescent="0.25">
      <c r="B41" s="45" t="s">
        <v>68</v>
      </c>
      <c r="C41" s="50">
        <v>80</v>
      </c>
      <c r="D41" s="50">
        <v>45</v>
      </c>
      <c r="E41" s="50">
        <v>0</v>
      </c>
      <c r="F41" s="50">
        <v>60</v>
      </c>
      <c r="G41" s="50">
        <v>1</v>
      </c>
      <c r="H41" s="50">
        <v>1</v>
      </c>
      <c r="I41" s="50">
        <v>6</v>
      </c>
      <c r="J41" s="50">
        <v>4</v>
      </c>
      <c r="K41" s="50">
        <v>7</v>
      </c>
      <c r="L41" s="50">
        <v>0</v>
      </c>
      <c r="M41" s="50">
        <v>95</v>
      </c>
      <c r="N41" s="50">
        <v>0</v>
      </c>
      <c r="O41" s="17">
        <f t="shared" si="0"/>
        <v>204</v>
      </c>
      <c r="P41" s="17">
        <f t="shared" si="1"/>
        <v>299</v>
      </c>
      <c r="R41" s="5" t="s">
        <v>159</v>
      </c>
      <c r="S41" s="16">
        <f>SUM(S10:S33)</f>
        <v>4455</v>
      </c>
      <c r="T41" s="16">
        <f t="shared" ref="T41:AF41" si="33">SUM(T10:T33)</f>
        <v>977</v>
      </c>
      <c r="U41" s="16">
        <f t="shared" si="33"/>
        <v>557</v>
      </c>
      <c r="V41" s="16">
        <f t="shared" si="33"/>
        <v>3896</v>
      </c>
      <c r="W41" s="16">
        <f t="shared" si="33"/>
        <v>77</v>
      </c>
      <c r="X41" s="16">
        <f t="shared" si="33"/>
        <v>40</v>
      </c>
      <c r="Y41" s="16">
        <f t="shared" si="33"/>
        <v>648</v>
      </c>
      <c r="Z41" s="16">
        <f t="shared" si="33"/>
        <v>166</v>
      </c>
      <c r="AA41" s="16">
        <f t="shared" si="33"/>
        <v>138</v>
      </c>
      <c r="AB41" s="16">
        <f t="shared" si="33"/>
        <v>41</v>
      </c>
      <c r="AC41" s="16">
        <f t="shared" si="33"/>
        <v>7215</v>
      </c>
      <c r="AD41" s="16">
        <f t="shared" si="33"/>
        <v>0</v>
      </c>
      <c r="AE41" s="32">
        <f t="shared" si="33"/>
        <v>10995</v>
      </c>
      <c r="AF41" s="32">
        <f t="shared" si="33"/>
        <v>18210</v>
      </c>
    </row>
    <row r="42" spans="2:32" ht="23.1" customHeight="1" x14ac:dyDescent="0.25">
      <c r="B42" s="46" t="s">
        <v>69</v>
      </c>
      <c r="C42" s="50">
        <v>55</v>
      </c>
      <c r="D42" s="50">
        <v>9</v>
      </c>
      <c r="E42" s="50">
        <v>20</v>
      </c>
      <c r="F42" s="50">
        <v>65</v>
      </c>
      <c r="G42" s="50">
        <v>0</v>
      </c>
      <c r="H42" s="50">
        <v>0</v>
      </c>
      <c r="I42" s="50">
        <v>25</v>
      </c>
      <c r="J42" s="50">
        <v>8</v>
      </c>
      <c r="K42" s="50">
        <v>0</v>
      </c>
      <c r="L42" s="50">
        <v>2</v>
      </c>
      <c r="M42" s="50">
        <v>119</v>
      </c>
      <c r="N42" s="50">
        <v>0</v>
      </c>
      <c r="O42" s="17">
        <f t="shared" si="0"/>
        <v>184</v>
      </c>
      <c r="P42" s="17">
        <f t="shared" si="1"/>
        <v>303</v>
      </c>
      <c r="R42" s="5" t="s">
        <v>160</v>
      </c>
      <c r="S42" s="48">
        <f>S41/S40</f>
        <v>1.4825291181364393</v>
      </c>
      <c r="T42" s="48">
        <f t="shared" ref="T42:AF42" si="34">T41/T40</f>
        <v>1.3078982597054887</v>
      </c>
      <c r="U42" s="48">
        <f t="shared" si="34"/>
        <v>1.2834101382488479</v>
      </c>
      <c r="V42" s="48">
        <f t="shared" si="34"/>
        <v>1.3589117544471574</v>
      </c>
      <c r="W42" s="48">
        <f t="shared" si="34"/>
        <v>1.7906976744186047</v>
      </c>
      <c r="X42" s="48">
        <f t="shared" si="34"/>
        <v>1.4285714285714286</v>
      </c>
      <c r="Y42" s="48">
        <f t="shared" si="34"/>
        <v>1.4336283185840708</v>
      </c>
      <c r="Z42" s="48">
        <f t="shared" si="34"/>
        <v>1.3949579831932772</v>
      </c>
      <c r="AA42" s="48">
        <f t="shared" si="34"/>
        <v>1.0222222222222221</v>
      </c>
      <c r="AB42" s="48">
        <f t="shared" si="34"/>
        <v>3.4166666666666665</v>
      </c>
      <c r="AC42" s="48">
        <f t="shared" si="34"/>
        <v>1.5125786163522013</v>
      </c>
      <c r="AD42" s="48" t="e">
        <f t="shared" si="34"/>
        <v>#DIV/0!</v>
      </c>
      <c r="AE42" s="48">
        <f t="shared" si="34"/>
        <v>1.4020657995409334</v>
      </c>
      <c r="AF42" s="48">
        <f t="shared" si="34"/>
        <v>1.4438629876308278</v>
      </c>
    </row>
    <row r="43" spans="2:32" ht="23.1" customHeight="1" x14ac:dyDescent="0.25">
      <c r="B43" s="45" t="s">
        <v>70</v>
      </c>
      <c r="C43" s="50">
        <v>35</v>
      </c>
      <c r="D43" s="50">
        <v>3</v>
      </c>
      <c r="E43" s="50">
        <v>5</v>
      </c>
      <c r="F43" s="50">
        <v>50</v>
      </c>
      <c r="G43" s="50">
        <v>0</v>
      </c>
      <c r="H43" s="50">
        <v>0</v>
      </c>
      <c r="I43" s="50">
        <v>17</v>
      </c>
      <c r="J43" s="50">
        <v>3</v>
      </c>
      <c r="K43" s="50">
        <v>0</v>
      </c>
      <c r="L43" s="50">
        <v>0</v>
      </c>
      <c r="M43" s="50">
        <v>93</v>
      </c>
      <c r="N43" s="50">
        <v>0</v>
      </c>
      <c r="O43" s="17">
        <f t="shared" si="0"/>
        <v>113</v>
      </c>
      <c r="P43" s="17">
        <f t="shared" si="1"/>
        <v>206</v>
      </c>
      <c r="R43"/>
      <c r="S43" s="19"/>
      <c r="T43" s="19"/>
    </row>
    <row r="44" spans="2:32" ht="23.1" customHeight="1" x14ac:dyDescent="0.25">
      <c r="B44" s="47" t="s">
        <v>71</v>
      </c>
      <c r="C44" s="50">
        <v>30</v>
      </c>
      <c r="D44" s="50">
        <v>12</v>
      </c>
      <c r="E44" s="50">
        <v>9</v>
      </c>
      <c r="F44" s="50">
        <v>25</v>
      </c>
      <c r="G44" s="50">
        <v>0</v>
      </c>
      <c r="H44" s="50">
        <v>1</v>
      </c>
      <c r="I44" s="50">
        <v>5</v>
      </c>
      <c r="J44" s="50">
        <v>2</v>
      </c>
      <c r="K44" s="50">
        <v>3</v>
      </c>
      <c r="L44" s="50">
        <v>1</v>
      </c>
      <c r="M44" s="50">
        <v>65</v>
      </c>
      <c r="N44" s="50">
        <v>0</v>
      </c>
      <c r="O44" s="17">
        <f t="shared" si="0"/>
        <v>88</v>
      </c>
      <c r="P44" s="17">
        <f t="shared" si="1"/>
        <v>153</v>
      </c>
      <c r="R44"/>
      <c r="S44" s="19"/>
      <c r="T44" s="19"/>
    </row>
    <row r="45" spans="2:32" ht="23.1" customHeight="1" x14ac:dyDescent="0.25">
      <c r="B45" s="45" t="s">
        <v>72</v>
      </c>
      <c r="C45" s="50">
        <v>70</v>
      </c>
      <c r="D45" s="50">
        <v>11</v>
      </c>
      <c r="E45" s="50">
        <v>5</v>
      </c>
      <c r="F45" s="50">
        <v>45</v>
      </c>
      <c r="G45" s="50">
        <v>0</v>
      </c>
      <c r="H45" s="50">
        <v>1</v>
      </c>
      <c r="I45" s="50">
        <v>7</v>
      </c>
      <c r="J45" s="50">
        <v>1</v>
      </c>
      <c r="K45" s="50">
        <v>2</v>
      </c>
      <c r="L45" s="50">
        <v>0</v>
      </c>
      <c r="M45" s="50">
        <v>86</v>
      </c>
      <c r="N45" s="50">
        <v>0</v>
      </c>
      <c r="O45" s="17">
        <f t="shared" si="0"/>
        <v>142</v>
      </c>
      <c r="P45" s="17">
        <f t="shared" si="1"/>
        <v>228</v>
      </c>
      <c r="R45"/>
      <c r="S45" s="19"/>
      <c r="T45" s="19"/>
    </row>
    <row r="46" spans="2:32" ht="23.1" customHeight="1" x14ac:dyDescent="0.25">
      <c r="B46" s="46" t="s">
        <v>73</v>
      </c>
      <c r="C46" s="50">
        <v>15</v>
      </c>
      <c r="D46" s="50">
        <v>7</v>
      </c>
      <c r="E46" s="50">
        <v>16</v>
      </c>
      <c r="F46" s="50">
        <v>45</v>
      </c>
      <c r="G46" s="50">
        <v>0</v>
      </c>
      <c r="H46" s="50">
        <v>0</v>
      </c>
      <c r="I46" s="50">
        <v>9</v>
      </c>
      <c r="J46" s="50">
        <v>0</v>
      </c>
      <c r="K46" s="50">
        <v>2</v>
      </c>
      <c r="L46" s="50">
        <v>0</v>
      </c>
      <c r="M46" s="50">
        <v>86</v>
      </c>
      <c r="N46" s="50">
        <v>0</v>
      </c>
      <c r="O46" s="17">
        <f t="shared" si="0"/>
        <v>94</v>
      </c>
      <c r="P46" s="17">
        <f t="shared" si="1"/>
        <v>180</v>
      </c>
      <c r="R46" s="19"/>
      <c r="S46" s="19"/>
      <c r="T46"/>
    </row>
    <row r="47" spans="2:32" ht="23.1" customHeight="1" x14ac:dyDescent="0.25">
      <c r="B47" s="46" t="s">
        <v>74</v>
      </c>
      <c r="C47" s="50">
        <v>57</v>
      </c>
      <c r="D47" s="50">
        <v>9</v>
      </c>
      <c r="E47" s="50">
        <v>4</v>
      </c>
      <c r="F47" s="50">
        <v>35</v>
      </c>
      <c r="G47" s="50">
        <v>0</v>
      </c>
      <c r="H47" s="50">
        <v>0</v>
      </c>
      <c r="I47" s="50">
        <v>9</v>
      </c>
      <c r="J47" s="50">
        <v>1</v>
      </c>
      <c r="K47" s="50">
        <v>0</v>
      </c>
      <c r="L47" s="50">
        <v>0</v>
      </c>
      <c r="M47" s="50">
        <v>90</v>
      </c>
      <c r="N47" s="50">
        <v>0</v>
      </c>
      <c r="O47" s="17">
        <f t="shared" si="0"/>
        <v>115</v>
      </c>
      <c r="P47" s="17">
        <f t="shared" si="1"/>
        <v>205</v>
      </c>
      <c r="R47" s="19"/>
      <c r="S47" s="19"/>
      <c r="T47"/>
    </row>
    <row r="48" spans="2:32" ht="23.1" customHeight="1" x14ac:dyDescent="0.25">
      <c r="B48" s="46" t="s">
        <v>75</v>
      </c>
      <c r="C48" s="50">
        <v>55</v>
      </c>
      <c r="D48" s="50">
        <v>6</v>
      </c>
      <c r="E48" s="50">
        <v>11</v>
      </c>
      <c r="F48" s="50">
        <v>40</v>
      </c>
      <c r="G48" s="50">
        <v>4</v>
      </c>
      <c r="H48" s="50">
        <v>0</v>
      </c>
      <c r="I48" s="50">
        <v>15</v>
      </c>
      <c r="J48" s="50">
        <v>1</v>
      </c>
      <c r="K48" s="50">
        <v>0</v>
      </c>
      <c r="L48" s="50">
        <v>0</v>
      </c>
      <c r="M48" s="50">
        <v>120</v>
      </c>
      <c r="N48" s="50">
        <v>0</v>
      </c>
      <c r="O48" s="17">
        <f t="shared" si="0"/>
        <v>132</v>
      </c>
      <c r="P48" s="17">
        <f t="shared" si="1"/>
        <v>252</v>
      </c>
      <c r="R48" s="19"/>
      <c r="S48" s="19"/>
      <c r="T48"/>
    </row>
    <row r="49" spans="2:20" ht="23.1" customHeight="1" x14ac:dyDescent="0.25">
      <c r="B49" s="45" t="s">
        <v>76</v>
      </c>
      <c r="C49" s="50">
        <v>70</v>
      </c>
      <c r="D49" s="50">
        <v>15</v>
      </c>
      <c r="E49" s="50">
        <v>13</v>
      </c>
      <c r="F49" s="50">
        <v>55</v>
      </c>
      <c r="G49" s="50">
        <v>1</v>
      </c>
      <c r="H49" s="50">
        <v>4</v>
      </c>
      <c r="I49" s="50">
        <v>11</v>
      </c>
      <c r="J49" s="50">
        <v>1</v>
      </c>
      <c r="K49" s="50">
        <v>1</v>
      </c>
      <c r="L49" s="50">
        <v>0</v>
      </c>
      <c r="M49" s="50">
        <v>113</v>
      </c>
      <c r="N49" s="50">
        <v>0</v>
      </c>
      <c r="O49" s="17">
        <f t="shared" si="0"/>
        <v>171</v>
      </c>
      <c r="P49" s="17">
        <f t="shared" si="1"/>
        <v>284</v>
      </c>
      <c r="R49" s="19"/>
      <c r="S49" s="19"/>
      <c r="T49"/>
    </row>
    <row r="50" spans="2:20" ht="23.1" customHeight="1" x14ac:dyDescent="0.25">
      <c r="B50" s="46" t="s">
        <v>77</v>
      </c>
      <c r="C50" s="50">
        <v>70</v>
      </c>
      <c r="D50" s="50">
        <v>9</v>
      </c>
      <c r="E50" s="50">
        <v>18</v>
      </c>
      <c r="F50" s="50">
        <v>70</v>
      </c>
      <c r="G50" s="50">
        <v>0</v>
      </c>
      <c r="H50" s="50">
        <v>1</v>
      </c>
      <c r="I50" s="50">
        <v>7</v>
      </c>
      <c r="J50" s="50">
        <v>2</v>
      </c>
      <c r="K50" s="50">
        <v>1</v>
      </c>
      <c r="L50" s="50">
        <v>0</v>
      </c>
      <c r="M50" s="50">
        <v>105</v>
      </c>
      <c r="N50" s="50">
        <v>0</v>
      </c>
      <c r="O50" s="17">
        <f t="shared" si="0"/>
        <v>178</v>
      </c>
      <c r="P50" s="17">
        <f t="shared" si="1"/>
        <v>283</v>
      </c>
      <c r="R50" s="19"/>
      <c r="S50" s="19"/>
      <c r="T50"/>
    </row>
    <row r="51" spans="2:20" ht="23.1" customHeight="1" x14ac:dyDescent="0.25">
      <c r="B51" s="46" t="s">
        <v>78</v>
      </c>
      <c r="C51" s="50">
        <v>45</v>
      </c>
      <c r="D51" s="50">
        <v>5</v>
      </c>
      <c r="E51" s="50">
        <v>5</v>
      </c>
      <c r="F51" s="50">
        <v>48</v>
      </c>
      <c r="G51" s="50">
        <v>0</v>
      </c>
      <c r="H51" s="50">
        <v>0</v>
      </c>
      <c r="I51" s="50">
        <v>10</v>
      </c>
      <c r="J51" s="50">
        <v>2</v>
      </c>
      <c r="K51" s="50">
        <v>3</v>
      </c>
      <c r="L51" s="50">
        <v>1</v>
      </c>
      <c r="M51" s="50">
        <v>105</v>
      </c>
      <c r="N51" s="50">
        <v>0</v>
      </c>
      <c r="O51" s="17">
        <f t="shared" si="0"/>
        <v>119</v>
      </c>
      <c r="P51" s="17">
        <f t="shared" si="1"/>
        <v>224</v>
      </c>
      <c r="R51" s="19"/>
      <c r="S51" s="19"/>
      <c r="T51"/>
    </row>
    <row r="52" spans="2:20" ht="23.1" customHeight="1" x14ac:dyDescent="0.25">
      <c r="B52" s="46" t="s">
        <v>79</v>
      </c>
      <c r="C52" s="50">
        <v>65</v>
      </c>
      <c r="D52" s="50">
        <v>18</v>
      </c>
      <c r="E52" s="50">
        <v>8</v>
      </c>
      <c r="F52" s="50">
        <v>60</v>
      </c>
      <c r="G52" s="50">
        <v>0</v>
      </c>
      <c r="H52" s="50">
        <v>0</v>
      </c>
      <c r="I52" s="50">
        <v>4</v>
      </c>
      <c r="J52" s="50">
        <v>4</v>
      </c>
      <c r="K52" s="50">
        <v>2</v>
      </c>
      <c r="L52" s="50">
        <v>1</v>
      </c>
      <c r="M52" s="50">
        <v>90</v>
      </c>
      <c r="N52" s="50">
        <v>0</v>
      </c>
      <c r="O52" s="17">
        <f t="shared" si="0"/>
        <v>162</v>
      </c>
      <c r="P52" s="17">
        <f t="shared" si="1"/>
        <v>252</v>
      </c>
      <c r="R52" s="19"/>
      <c r="S52" s="19"/>
      <c r="T52"/>
    </row>
    <row r="53" spans="2:20" ht="23.1" customHeight="1" x14ac:dyDescent="0.25">
      <c r="B53" s="45" t="s">
        <v>80</v>
      </c>
      <c r="C53" s="50">
        <v>75</v>
      </c>
      <c r="D53" s="50">
        <v>20</v>
      </c>
      <c r="E53" s="50">
        <v>14</v>
      </c>
      <c r="F53" s="50">
        <v>55</v>
      </c>
      <c r="G53" s="50">
        <v>1</v>
      </c>
      <c r="H53" s="50">
        <v>0</v>
      </c>
      <c r="I53" s="50">
        <v>2</v>
      </c>
      <c r="J53" s="50">
        <v>4</v>
      </c>
      <c r="K53" s="50">
        <v>2</v>
      </c>
      <c r="L53" s="50">
        <v>1</v>
      </c>
      <c r="M53" s="50">
        <v>75</v>
      </c>
      <c r="N53" s="50">
        <v>0</v>
      </c>
      <c r="O53" s="17">
        <f t="shared" si="0"/>
        <v>174</v>
      </c>
      <c r="P53" s="17">
        <f t="shared" si="1"/>
        <v>249</v>
      </c>
      <c r="R53" s="19"/>
      <c r="S53" s="19"/>
      <c r="T53"/>
    </row>
    <row r="54" spans="2:20" ht="23.1" customHeight="1" x14ac:dyDescent="0.25">
      <c r="B54" s="45" t="s">
        <v>81</v>
      </c>
      <c r="C54" s="50">
        <v>60</v>
      </c>
      <c r="D54" s="50">
        <v>6</v>
      </c>
      <c r="E54" s="50">
        <v>11</v>
      </c>
      <c r="F54" s="50">
        <v>35</v>
      </c>
      <c r="G54" s="50">
        <v>1</v>
      </c>
      <c r="H54" s="50">
        <v>1</v>
      </c>
      <c r="I54" s="50">
        <v>6</v>
      </c>
      <c r="J54" s="50">
        <v>5</v>
      </c>
      <c r="K54" s="50">
        <v>2</v>
      </c>
      <c r="L54" s="50">
        <v>1</v>
      </c>
      <c r="M54" s="50">
        <v>55</v>
      </c>
      <c r="N54" s="50">
        <v>0</v>
      </c>
      <c r="O54" s="17">
        <f t="shared" si="0"/>
        <v>128</v>
      </c>
      <c r="P54" s="17">
        <f t="shared" si="1"/>
        <v>183</v>
      </c>
      <c r="R54" s="19"/>
      <c r="S54" s="19"/>
      <c r="T54"/>
    </row>
    <row r="55" spans="2:20" ht="23.1" customHeight="1" x14ac:dyDescent="0.25">
      <c r="B55" s="45" t="s">
        <v>82</v>
      </c>
      <c r="C55" s="50">
        <v>49</v>
      </c>
      <c r="D55" s="50">
        <v>8</v>
      </c>
      <c r="E55" s="50">
        <v>3</v>
      </c>
      <c r="F55" s="50">
        <v>56</v>
      </c>
      <c r="G55" s="50">
        <v>1</v>
      </c>
      <c r="H55" s="50">
        <v>0</v>
      </c>
      <c r="I55" s="50">
        <v>8</v>
      </c>
      <c r="J55" s="50">
        <v>1</v>
      </c>
      <c r="K55" s="50">
        <v>2</v>
      </c>
      <c r="L55" s="50">
        <v>0</v>
      </c>
      <c r="M55" s="50">
        <v>71</v>
      </c>
      <c r="N55" s="50">
        <v>0</v>
      </c>
      <c r="O55" s="17">
        <f t="shared" si="0"/>
        <v>128</v>
      </c>
      <c r="P55" s="17">
        <f t="shared" si="1"/>
        <v>199</v>
      </c>
      <c r="R55" s="19"/>
      <c r="S55" s="19"/>
      <c r="T55"/>
    </row>
    <row r="56" spans="2:20" ht="23.1" customHeight="1" x14ac:dyDescent="0.25">
      <c r="B56" s="45" t="s">
        <v>83</v>
      </c>
      <c r="C56" s="50">
        <v>73</v>
      </c>
      <c r="D56" s="50">
        <v>1</v>
      </c>
      <c r="E56" s="50">
        <v>2</v>
      </c>
      <c r="F56" s="50">
        <v>70</v>
      </c>
      <c r="G56" s="50">
        <v>0</v>
      </c>
      <c r="H56" s="50">
        <v>1</v>
      </c>
      <c r="I56" s="50">
        <v>4</v>
      </c>
      <c r="J56" s="50">
        <v>0</v>
      </c>
      <c r="K56" s="50">
        <v>1</v>
      </c>
      <c r="L56" s="50">
        <v>0</v>
      </c>
      <c r="M56" s="50">
        <v>100</v>
      </c>
      <c r="N56" s="50">
        <v>0</v>
      </c>
      <c r="O56" s="17">
        <f t="shared" si="0"/>
        <v>152</v>
      </c>
      <c r="P56" s="17">
        <f t="shared" si="1"/>
        <v>252</v>
      </c>
      <c r="R56" s="19"/>
      <c r="S56" s="19"/>
      <c r="T56"/>
    </row>
    <row r="57" spans="2:20" ht="23.1" customHeight="1" x14ac:dyDescent="0.25">
      <c r="B57" s="45" t="s">
        <v>84</v>
      </c>
      <c r="C57" s="50">
        <v>52</v>
      </c>
      <c r="D57" s="50">
        <v>6</v>
      </c>
      <c r="E57" s="50">
        <v>8</v>
      </c>
      <c r="F57" s="50">
        <v>51</v>
      </c>
      <c r="G57" s="50">
        <v>0</v>
      </c>
      <c r="H57" s="50">
        <v>0</v>
      </c>
      <c r="I57" s="50">
        <v>5</v>
      </c>
      <c r="J57" s="50">
        <v>1</v>
      </c>
      <c r="K57" s="50">
        <v>1</v>
      </c>
      <c r="L57" s="50">
        <v>0</v>
      </c>
      <c r="M57" s="50">
        <v>99</v>
      </c>
      <c r="N57" s="50">
        <v>0</v>
      </c>
      <c r="O57" s="17">
        <f t="shared" si="0"/>
        <v>124</v>
      </c>
      <c r="P57" s="17">
        <f t="shared" si="1"/>
        <v>223</v>
      </c>
      <c r="R57" s="19"/>
      <c r="S57" s="19"/>
      <c r="T57"/>
    </row>
    <row r="58" spans="2:20" ht="23.1" customHeight="1" x14ac:dyDescent="0.25">
      <c r="B58" s="45" t="s">
        <v>99</v>
      </c>
      <c r="C58" s="50">
        <v>51</v>
      </c>
      <c r="D58" s="50">
        <v>9</v>
      </c>
      <c r="E58" s="50">
        <v>4</v>
      </c>
      <c r="F58" s="50">
        <v>50</v>
      </c>
      <c r="G58" s="50">
        <v>1</v>
      </c>
      <c r="H58" s="50">
        <v>0</v>
      </c>
      <c r="I58" s="50">
        <v>11</v>
      </c>
      <c r="J58" s="50">
        <v>0</v>
      </c>
      <c r="K58" s="50">
        <v>0</v>
      </c>
      <c r="L58" s="50">
        <v>0</v>
      </c>
      <c r="M58" s="50">
        <v>105</v>
      </c>
      <c r="N58" s="50">
        <v>0</v>
      </c>
      <c r="O58" s="17">
        <f t="shared" si="0"/>
        <v>126</v>
      </c>
      <c r="P58" s="17">
        <f t="shared" si="1"/>
        <v>231</v>
      </c>
      <c r="R58" s="19"/>
      <c r="S58" s="19"/>
      <c r="T58"/>
    </row>
    <row r="59" spans="2:20" ht="23.1" customHeight="1" x14ac:dyDescent="0.25">
      <c r="B59" s="45" t="s">
        <v>100</v>
      </c>
      <c r="C59" s="50">
        <v>65</v>
      </c>
      <c r="D59" s="50">
        <v>5</v>
      </c>
      <c r="E59" s="50">
        <v>2</v>
      </c>
      <c r="F59" s="50">
        <v>45</v>
      </c>
      <c r="G59" s="50">
        <v>4</v>
      </c>
      <c r="H59" s="50">
        <v>1</v>
      </c>
      <c r="I59" s="50">
        <v>9</v>
      </c>
      <c r="J59" s="50">
        <v>0</v>
      </c>
      <c r="K59" s="50">
        <v>0</v>
      </c>
      <c r="L59" s="50">
        <v>2</v>
      </c>
      <c r="M59" s="50">
        <v>120</v>
      </c>
      <c r="N59" s="50">
        <v>0</v>
      </c>
      <c r="O59" s="17">
        <f t="shared" si="0"/>
        <v>133</v>
      </c>
      <c r="P59" s="17">
        <f t="shared" si="1"/>
        <v>253</v>
      </c>
      <c r="R59" s="19"/>
      <c r="S59" s="19"/>
      <c r="T59"/>
    </row>
    <row r="60" spans="2:20" ht="23.1" customHeight="1" x14ac:dyDescent="0.25">
      <c r="B60" s="45" t="s">
        <v>101</v>
      </c>
      <c r="C60" s="50">
        <v>45</v>
      </c>
      <c r="D60" s="50">
        <v>5</v>
      </c>
      <c r="E60" s="50">
        <v>4</v>
      </c>
      <c r="F60" s="50">
        <v>37</v>
      </c>
      <c r="G60" s="50">
        <v>4</v>
      </c>
      <c r="H60" s="50">
        <v>0</v>
      </c>
      <c r="I60" s="50">
        <v>9</v>
      </c>
      <c r="J60" s="50">
        <v>4</v>
      </c>
      <c r="K60" s="50">
        <v>0</v>
      </c>
      <c r="L60" s="50">
        <v>1</v>
      </c>
      <c r="M60" s="50">
        <v>156</v>
      </c>
      <c r="N60" s="50">
        <v>0</v>
      </c>
      <c r="O60" s="17">
        <f t="shared" si="0"/>
        <v>109</v>
      </c>
      <c r="P60" s="17">
        <f t="shared" si="1"/>
        <v>265</v>
      </c>
      <c r="R60" s="19"/>
      <c r="S60" s="19"/>
      <c r="T60"/>
    </row>
    <row r="61" spans="2:20" ht="23.1" customHeight="1" x14ac:dyDescent="0.25">
      <c r="B61" s="45" t="s">
        <v>102</v>
      </c>
      <c r="C61" s="50">
        <v>58</v>
      </c>
      <c r="D61" s="50">
        <v>10</v>
      </c>
      <c r="E61" s="50">
        <v>6</v>
      </c>
      <c r="F61" s="50">
        <v>48</v>
      </c>
      <c r="G61" s="50">
        <v>1</v>
      </c>
      <c r="H61" s="50">
        <v>0</v>
      </c>
      <c r="I61" s="50">
        <v>4</v>
      </c>
      <c r="J61" s="50">
        <v>4</v>
      </c>
      <c r="K61" s="50">
        <v>0</v>
      </c>
      <c r="L61" s="50">
        <v>2</v>
      </c>
      <c r="M61" s="50">
        <v>160</v>
      </c>
      <c r="N61" s="50">
        <v>0</v>
      </c>
      <c r="O61" s="17">
        <f t="shared" si="0"/>
        <v>133</v>
      </c>
      <c r="P61" s="17">
        <f t="shared" si="1"/>
        <v>293</v>
      </c>
      <c r="R61" s="19"/>
      <c r="S61" s="19"/>
      <c r="T61"/>
    </row>
    <row r="62" spans="2:20" ht="23.1" customHeight="1" x14ac:dyDescent="0.25">
      <c r="B62" s="45" t="s">
        <v>107</v>
      </c>
      <c r="C62" s="50">
        <v>50</v>
      </c>
      <c r="D62" s="50">
        <v>15</v>
      </c>
      <c r="E62" s="50">
        <v>6</v>
      </c>
      <c r="F62" s="50">
        <v>35</v>
      </c>
      <c r="G62" s="50">
        <v>1</v>
      </c>
      <c r="H62" s="50">
        <v>0</v>
      </c>
      <c r="I62" s="50">
        <v>13</v>
      </c>
      <c r="J62" s="50">
        <v>1</v>
      </c>
      <c r="K62" s="50">
        <v>0</v>
      </c>
      <c r="L62" s="50">
        <v>0</v>
      </c>
      <c r="M62" s="50">
        <v>142</v>
      </c>
      <c r="N62" s="50">
        <v>0</v>
      </c>
      <c r="O62" s="17">
        <f t="shared" si="0"/>
        <v>121</v>
      </c>
      <c r="P62" s="17">
        <f t="shared" si="1"/>
        <v>263</v>
      </c>
      <c r="R62" s="19"/>
      <c r="S62" s="19"/>
      <c r="T62"/>
    </row>
    <row r="63" spans="2:20" ht="23.1" customHeight="1" x14ac:dyDescent="0.25">
      <c r="B63" s="45" t="s">
        <v>108</v>
      </c>
      <c r="C63" s="50">
        <v>45</v>
      </c>
      <c r="D63" s="50">
        <v>8</v>
      </c>
      <c r="E63" s="50">
        <v>6</v>
      </c>
      <c r="F63" s="50">
        <v>34</v>
      </c>
      <c r="G63" s="50">
        <v>3</v>
      </c>
      <c r="H63" s="50">
        <v>1</v>
      </c>
      <c r="I63" s="50">
        <v>3</v>
      </c>
      <c r="J63" s="50">
        <v>1</v>
      </c>
      <c r="K63" s="50">
        <v>0</v>
      </c>
      <c r="L63" s="50">
        <v>0</v>
      </c>
      <c r="M63" s="50">
        <v>114</v>
      </c>
      <c r="N63" s="50">
        <v>0</v>
      </c>
      <c r="O63" s="17">
        <f t="shared" si="0"/>
        <v>101</v>
      </c>
      <c r="P63" s="17">
        <f t="shared" si="1"/>
        <v>215</v>
      </c>
      <c r="R63" s="19"/>
      <c r="S63" s="19"/>
      <c r="T63"/>
    </row>
    <row r="64" spans="2:20" ht="23.1" customHeight="1" x14ac:dyDescent="0.25">
      <c r="B64" s="45" t="s">
        <v>109</v>
      </c>
      <c r="C64" s="50">
        <v>72</v>
      </c>
      <c r="D64" s="50">
        <v>6</v>
      </c>
      <c r="E64" s="50">
        <v>7</v>
      </c>
      <c r="F64" s="50">
        <v>50</v>
      </c>
      <c r="G64" s="50">
        <v>2</v>
      </c>
      <c r="H64" s="50">
        <v>4</v>
      </c>
      <c r="I64" s="50">
        <v>4</v>
      </c>
      <c r="J64" s="50">
        <v>0</v>
      </c>
      <c r="K64" s="50">
        <v>0</v>
      </c>
      <c r="L64" s="50">
        <v>1</v>
      </c>
      <c r="M64" s="50">
        <v>100</v>
      </c>
      <c r="N64" s="50">
        <v>0</v>
      </c>
      <c r="O64" s="17">
        <f t="shared" si="0"/>
        <v>146</v>
      </c>
      <c r="P64" s="17">
        <f t="shared" si="1"/>
        <v>246</v>
      </c>
      <c r="R64" s="19"/>
      <c r="S64" s="19"/>
      <c r="T64"/>
    </row>
    <row r="65" spans="2:20" ht="23.1" customHeight="1" x14ac:dyDescent="0.25">
      <c r="B65" s="45" t="s">
        <v>158</v>
      </c>
      <c r="C65" s="50">
        <v>66</v>
      </c>
      <c r="D65" s="50">
        <v>4</v>
      </c>
      <c r="E65" s="50">
        <v>5</v>
      </c>
      <c r="F65" s="50">
        <v>59</v>
      </c>
      <c r="G65" s="50">
        <v>2</v>
      </c>
      <c r="H65" s="50">
        <v>1</v>
      </c>
      <c r="I65" s="50">
        <v>6</v>
      </c>
      <c r="J65" s="50">
        <v>2</v>
      </c>
      <c r="K65" s="50">
        <v>0</v>
      </c>
      <c r="L65" s="50">
        <v>1</v>
      </c>
      <c r="M65" s="50">
        <v>112</v>
      </c>
      <c r="N65" s="50">
        <v>0</v>
      </c>
      <c r="O65" s="17">
        <f t="shared" si="0"/>
        <v>146</v>
      </c>
      <c r="P65" s="17">
        <f t="shared" si="1"/>
        <v>258</v>
      </c>
      <c r="R65" s="19"/>
      <c r="S65" s="19"/>
      <c r="T65"/>
    </row>
    <row r="66" spans="2:20" ht="23.1" customHeight="1" x14ac:dyDescent="0.25">
      <c r="B66" s="45" t="s">
        <v>103</v>
      </c>
      <c r="C66" s="50">
        <v>74</v>
      </c>
      <c r="D66" s="50">
        <v>6</v>
      </c>
      <c r="E66" s="50">
        <v>3</v>
      </c>
      <c r="F66" s="50">
        <v>55</v>
      </c>
      <c r="G66" s="50">
        <v>0</v>
      </c>
      <c r="H66" s="50">
        <v>0</v>
      </c>
      <c r="I66" s="50">
        <v>6</v>
      </c>
      <c r="J66" s="50">
        <v>0</v>
      </c>
      <c r="K66" s="50">
        <v>0</v>
      </c>
      <c r="L66" s="50">
        <v>0</v>
      </c>
      <c r="M66" s="50">
        <v>73</v>
      </c>
      <c r="N66" s="50">
        <v>0</v>
      </c>
      <c r="O66" s="17">
        <f t="shared" si="0"/>
        <v>144</v>
      </c>
      <c r="P66" s="17">
        <f t="shared" si="1"/>
        <v>217</v>
      </c>
      <c r="R66" s="19"/>
      <c r="S66" s="19"/>
      <c r="T66"/>
    </row>
    <row r="67" spans="2:20" ht="23.1" customHeight="1" x14ac:dyDescent="0.25">
      <c r="B67" s="45" t="s">
        <v>104</v>
      </c>
      <c r="C67" s="50">
        <v>84</v>
      </c>
      <c r="D67" s="50">
        <v>8</v>
      </c>
      <c r="E67" s="50">
        <v>11</v>
      </c>
      <c r="F67" s="50">
        <v>58</v>
      </c>
      <c r="G67" s="50">
        <v>1</v>
      </c>
      <c r="H67" s="50">
        <v>1</v>
      </c>
      <c r="I67" s="50">
        <v>15</v>
      </c>
      <c r="J67" s="50">
        <v>2</v>
      </c>
      <c r="K67" s="50">
        <v>0</v>
      </c>
      <c r="L67" s="50">
        <v>0</v>
      </c>
      <c r="M67" s="50">
        <v>79</v>
      </c>
      <c r="N67" s="50">
        <v>0</v>
      </c>
      <c r="O67" s="17">
        <f t="shared" si="0"/>
        <v>180</v>
      </c>
      <c r="P67" s="17">
        <f t="shared" si="1"/>
        <v>259</v>
      </c>
      <c r="R67" s="19"/>
      <c r="S67" s="19"/>
      <c r="T67"/>
    </row>
    <row r="68" spans="2:20" ht="23.1" customHeight="1" x14ac:dyDescent="0.25">
      <c r="B68" s="45" t="s">
        <v>105</v>
      </c>
      <c r="C68" s="50">
        <v>85</v>
      </c>
      <c r="D68" s="50">
        <v>5</v>
      </c>
      <c r="E68" s="50">
        <v>9</v>
      </c>
      <c r="F68" s="50">
        <v>50</v>
      </c>
      <c r="G68" s="50">
        <v>2</v>
      </c>
      <c r="H68" s="50">
        <v>3</v>
      </c>
      <c r="I68" s="50">
        <v>9</v>
      </c>
      <c r="J68" s="50">
        <v>0</v>
      </c>
      <c r="K68" s="50">
        <v>0</v>
      </c>
      <c r="L68" s="50">
        <v>1</v>
      </c>
      <c r="M68" s="50">
        <v>115</v>
      </c>
      <c r="N68" s="50">
        <v>0</v>
      </c>
      <c r="O68" s="17">
        <f t="shared" si="0"/>
        <v>164</v>
      </c>
      <c r="P68" s="17">
        <f t="shared" si="1"/>
        <v>279</v>
      </c>
      <c r="R68" s="19"/>
      <c r="S68" s="19"/>
      <c r="T68"/>
    </row>
    <row r="69" spans="2:20" ht="23.1" customHeight="1" x14ac:dyDescent="0.25">
      <c r="B69" s="45" t="s">
        <v>106</v>
      </c>
      <c r="C69" s="50">
        <v>87</v>
      </c>
      <c r="D69" s="50">
        <v>6</v>
      </c>
      <c r="E69" s="50">
        <v>4</v>
      </c>
      <c r="F69" s="50">
        <v>58</v>
      </c>
      <c r="G69" s="50">
        <v>3</v>
      </c>
      <c r="H69" s="50">
        <v>0</v>
      </c>
      <c r="I69" s="50">
        <v>3</v>
      </c>
      <c r="J69" s="50">
        <v>3</v>
      </c>
      <c r="K69" s="50">
        <v>0</v>
      </c>
      <c r="L69" s="50">
        <v>1</v>
      </c>
      <c r="M69" s="50">
        <v>81</v>
      </c>
      <c r="N69" s="50">
        <v>0</v>
      </c>
      <c r="O69" s="17">
        <f t="shared" si="0"/>
        <v>165</v>
      </c>
      <c r="P69" s="17">
        <f t="shared" si="1"/>
        <v>246</v>
      </c>
      <c r="R69" s="19"/>
      <c r="S69" s="19"/>
      <c r="T69"/>
    </row>
    <row r="70" spans="2:20" ht="23.1" customHeight="1" x14ac:dyDescent="0.25">
      <c r="B70" s="45" t="s">
        <v>110</v>
      </c>
      <c r="C70" s="50">
        <v>53</v>
      </c>
      <c r="D70" s="50">
        <v>10</v>
      </c>
      <c r="E70" s="50">
        <v>4</v>
      </c>
      <c r="F70" s="50">
        <v>61</v>
      </c>
      <c r="G70" s="50">
        <v>1</v>
      </c>
      <c r="H70" s="50">
        <v>0</v>
      </c>
      <c r="I70" s="50">
        <v>6</v>
      </c>
      <c r="J70" s="50">
        <v>1</v>
      </c>
      <c r="K70" s="50">
        <v>0</v>
      </c>
      <c r="L70" s="50">
        <v>0</v>
      </c>
      <c r="M70" s="50">
        <v>64</v>
      </c>
      <c r="N70" s="50">
        <v>0</v>
      </c>
      <c r="O70" s="17">
        <f t="shared" si="0"/>
        <v>136</v>
      </c>
      <c r="P70" s="17">
        <f t="shared" si="1"/>
        <v>200</v>
      </c>
      <c r="R70" s="19"/>
      <c r="S70" s="19"/>
      <c r="T70"/>
    </row>
    <row r="71" spans="2:20" ht="23.1" customHeight="1" x14ac:dyDescent="0.25">
      <c r="B71" s="45" t="s">
        <v>111</v>
      </c>
      <c r="C71" s="50">
        <v>56</v>
      </c>
      <c r="D71" s="50">
        <v>15</v>
      </c>
      <c r="E71" s="50">
        <v>3</v>
      </c>
      <c r="F71" s="50">
        <v>60</v>
      </c>
      <c r="G71" s="50">
        <v>0</v>
      </c>
      <c r="H71" s="50">
        <v>0</v>
      </c>
      <c r="I71" s="50">
        <v>4</v>
      </c>
      <c r="J71" s="50">
        <v>1</v>
      </c>
      <c r="K71" s="50">
        <v>0</v>
      </c>
      <c r="L71" s="50">
        <v>1</v>
      </c>
      <c r="M71" s="50">
        <v>68</v>
      </c>
      <c r="N71" s="50">
        <v>0</v>
      </c>
      <c r="O71" s="17">
        <f t="shared" si="0"/>
        <v>140</v>
      </c>
      <c r="P71" s="17">
        <f t="shared" si="1"/>
        <v>208</v>
      </c>
      <c r="R71" s="19"/>
      <c r="S71" s="19"/>
      <c r="T71"/>
    </row>
    <row r="72" spans="2:20" ht="23.1" customHeight="1" x14ac:dyDescent="0.25">
      <c r="B72" s="45" t="s">
        <v>112</v>
      </c>
      <c r="C72" s="50">
        <v>66</v>
      </c>
      <c r="D72" s="50">
        <v>19</v>
      </c>
      <c r="E72" s="50">
        <v>3</v>
      </c>
      <c r="F72" s="50">
        <v>36</v>
      </c>
      <c r="G72" s="50">
        <v>2</v>
      </c>
      <c r="H72" s="50">
        <v>1</v>
      </c>
      <c r="I72" s="50">
        <v>3</v>
      </c>
      <c r="J72" s="50">
        <v>1</v>
      </c>
      <c r="K72" s="50">
        <v>0</v>
      </c>
      <c r="L72" s="50">
        <v>0</v>
      </c>
      <c r="M72" s="50">
        <v>82</v>
      </c>
      <c r="N72" s="50">
        <v>0</v>
      </c>
      <c r="O72" s="17">
        <f t="shared" si="0"/>
        <v>131</v>
      </c>
      <c r="P72" s="17">
        <f t="shared" si="1"/>
        <v>213</v>
      </c>
      <c r="R72" s="19"/>
      <c r="S72" s="19"/>
      <c r="T72"/>
    </row>
    <row r="73" spans="2:20" ht="23.1" customHeight="1" x14ac:dyDescent="0.25">
      <c r="B73" s="45" t="s">
        <v>113</v>
      </c>
      <c r="C73" s="50">
        <v>51</v>
      </c>
      <c r="D73" s="50">
        <v>6</v>
      </c>
      <c r="E73" s="50">
        <v>1</v>
      </c>
      <c r="F73" s="50">
        <v>62</v>
      </c>
      <c r="G73" s="50">
        <v>1</v>
      </c>
      <c r="H73" s="50">
        <v>0</v>
      </c>
      <c r="I73" s="50">
        <v>4</v>
      </c>
      <c r="J73" s="50">
        <v>0</v>
      </c>
      <c r="K73" s="50">
        <v>0</v>
      </c>
      <c r="L73" s="50">
        <v>0</v>
      </c>
      <c r="M73" s="50">
        <v>47</v>
      </c>
      <c r="N73" s="50">
        <v>0</v>
      </c>
      <c r="O73" s="17">
        <f t="shared" si="0"/>
        <v>125</v>
      </c>
      <c r="P73" s="17">
        <f t="shared" si="1"/>
        <v>172</v>
      </c>
      <c r="R73" s="19"/>
      <c r="S73" s="19"/>
      <c r="T73"/>
    </row>
    <row r="74" spans="2:20" ht="23.1" customHeight="1" x14ac:dyDescent="0.25">
      <c r="B74" s="45" t="s">
        <v>114</v>
      </c>
      <c r="C74" s="50">
        <v>53</v>
      </c>
      <c r="D74" s="50">
        <v>19</v>
      </c>
      <c r="E74" s="50">
        <v>2</v>
      </c>
      <c r="F74" s="50">
        <v>32</v>
      </c>
      <c r="G74" s="50">
        <v>1</v>
      </c>
      <c r="H74" s="50">
        <v>0</v>
      </c>
      <c r="I74" s="50">
        <v>3</v>
      </c>
      <c r="J74" s="50">
        <v>0</v>
      </c>
      <c r="K74" s="50">
        <v>0</v>
      </c>
      <c r="L74" s="50">
        <v>0</v>
      </c>
      <c r="M74" s="50">
        <v>36</v>
      </c>
      <c r="N74" s="50">
        <v>0</v>
      </c>
      <c r="O74" s="17">
        <f t="shared" ref="O74:O105" si="35">SUM(C74:L74,N74)</f>
        <v>110</v>
      </c>
      <c r="P74" s="17">
        <f t="shared" ref="P74:P105" si="36">SUM(C74:N74)</f>
        <v>146</v>
      </c>
      <c r="R74" s="19"/>
      <c r="S74" s="19"/>
      <c r="T74"/>
    </row>
    <row r="75" spans="2:20" ht="23.1" customHeight="1" x14ac:dyDescent="0.25">
      <c r="B75" s="45" t="s">
        <v>115</v>
      </c>
      <c r="C75" s="50">
        <v>46</v>
      </c>
      <c r="D75" s="50">
        <v>13</v>
      </c>
      <c r="E75" s="50">
        <v>3</v>
      </c>
      <c r="F75" s="50">
        <v>27</v>
      </c>
      <c r="G75" s="50">
        <v>3</v>
      </c>
      <c r="H75" s="50">
        <v>0</v>
      </c>
      <c r="I75" s="50">
        <v>5</v>
      </c>
      <c r="J75" s="50">
        <v>1</v>
      </c>
      <c r="K75" s="50">
        <v>0</v>
      </c>
      <c r="L75" s="50">
        <v>0</v>
      </c>
      <c r="M75" s="50">
        <v>43</v>
      </c>
      <c r="N75" s="50">
        <v>0</v>
      </c>
      <c r="O75" s="17">
        <f t="shared" si="35"/>
        <v>98</v>
      </c>
      <c r="P75" s="17">
        <f t="shared" si="36"/>
        <v>141</v>
      </c>
      <c r="R75" s="19"/>
      <c r="S75" s="19"/>
      <c r="T75"/>
    </row>
    <row r="76" spans="2:20" ht="23.1" customHeight="1" x14ac:dyDescent="0.25">
      <c r="B76" s="45" t="s">
        <v>116</v>
      </c>
      <c r="C76" s="50">
        <v>32</v>
      </c>
      <c r="D76" s="50">
        <v>8</v>
      </c>
      <c r="E76" s="50">
        <v>2</v>
      </c>
      <c r="F76" s="50">
        <v>21</v>
      </c>
      <c r="G76" s="50">
        <v>1</v>
      </c>
      <c r="H76" s="50">
        <v>0</v>
      </c>
      <c r="I76" s="50">
        <v>4</v>
      </c>
      <c r="J76" s="50">
        <v>2</v>
      </c>
      <c r="K76" s="50">
        <v>0</v>
      </c>
      <c r="L76" s="50">
        <v>0</v>
      </c>
      <c r="M76" s="50">
        <v>68</v>
      </c>
      <c r="N76" s="50">
        <v>0</v>
      </c>
      <c r="O76" s="17">
        <f t="shared" si="35"/>
        <v>70</v>
      </c>
      <c r="P76" s="17">
        <f t="shared" si="36"/>
        <v>138</v>
      </c>
      <c r="R76" s="19"/>
      <c r="S76" s="19"/>
      <c r="T76"/>
    </row>
    <row r="77" spans="2:20" ht="23.1" customHeight="1" x14ac:dyDescent="0.25">
      <c r="B77" s="45" t="s">
        <v>117</v>
      </c>
      <c r="C77" s="50">
        <v>34</v>
      </c>
      <c r="D77" s="50">
        <v>3</v>
      </c>
      <c r="E77" s="50">
        <v>1</v>
      </c>
      <c r="F77" s="50">
        <v>17</v>
      </c>
      <c r="G77" s="50">
        <v>0</v>
      </c>
      <c r="H77" s="50">
        <v>0</v>
      </c>
      <c r="I77" s="50">
        <v>6</v>
      </c>
      <c r="J77" s="50">
        <v>2</v>
      </c>
      <c r="K77" s="50">
        <v>1</v>
      </c>
      <c r="L77" s="50">
        <v>2</v>
      </c>
      <c r="M77" s="50">
        <v>55</v>
      </c>
      <c r="N77" s="50">
        <v>0</v>
      </c>
      <c r="O77" s="17">
        <f t="shared" si="35"/>
        <v>66</v>
      </c>
      <c r="P77" s="17">
        <f t="shared" si="36"/>
        <v>121</v>
      </c>
      <c r="R77" s="19"/>
      <c r="S77" s="19"/>
      <c r="T77"/>
    </row>
    <row r="78" spans="2:20" ht="23.1" customHeight="1" x14ac:dyDescent="0.25">
      <c r="B78" s="46" t="s">
        <v>118</v>
      </c>
      <c r="C78" s="50">
        <v>31</v>
      </c>
      <c r="D78" s="50">
        <v>7</v>
      </c>
      <c r="E78" s="50">
        <v>2</v>
      </c>
      <c r="F78" s="50">
        <v>13</v>
      </c>
      <c r="G78" s="50">
        <v>0</v>
      </c>
      <c r="H78" s="50">
        <v>0</v>
      </c>
      <c r="I78" s="50">
        <v>1</v>
      </c>
      <c r="J78" s="50">
        <v>1</v>
      </c>
      <c r="K78" s="50">
        <v>0</v>
      </c>
      <c r="L78" s="50">
        <v>0</v>
      </c>
      <c r="M78" s="50">
        <v>38</v>
      </c>
      <c r="N78" s="50">
        <v>0</v>
      </c>
      <c r="O78" s="17">
        <f t="shared" si="35"/>
        <v>55</v>
      </c>
      <c r="P78" s="17">
        <f t="shared" si="36"/>
        <v>93</v>
      </c>
      <c r="R78" s="19"/>
      <c r="S78" s="19"/>
      <c r="T78"/>
    </row>
    <row r="79" spans="2:20" ht="23.1" customHeight="1" x14ac:dyDescent="0.25">
      <c r="B79" s="45" t="s">
        <v>119</v>
      </c>
      <c r="C79" s="50">
        <v>32</v>
      </c>
      <c r="D79" s="50">
        <v>5</v>
      </c>
      <c r="E79" s="50">
        <v>1</v>
      </c>
      <c r="F79" s="50">
        <v>9</v>
      </c>
      <c r="G79" s="50">
        <v>0</v>
      </c>
      <c r="H79" s="50">
        <v>0</v>
      </c>
      <c r="I79" s="50">
        <v>1</v>
      </c>
      <c r="J79" s="50">
        <v>0</v>
      </c>
      <c r="K79" s="50">
        <v>2</v>
      </c>
      <c r="L79" s="50">
        <v>0</v>
      </c>
      <c r="M79" s="50">
        <v>47</v>
      </c>
      <c r="N79" s="50">
        <v>0</v>
      </c>
      <c r="O79" s="17">
        <f t="shared" si="35"/>
        <v>50</v>
      </c>
      <c r="P79" s="17">
        <f t="shared" si="36"/>
        <v>97</v>
      </c>
      <c r="R79" s="19"/>
      <c r="S79" s="19"/>
      <c r="T79"/>
    </row>
    <row r="80" spans="2:20" ht="23.1" customHeight="1" x14ac:dyDescent="0.25">
      <c r="B80" s="47" t="s">
        <v>120</v>
      </c>
      <c r="C80" s="50">
        <v>22</v>
      </c>
      <c r="D80" s="50">
        <v>6</v>
      </c>
      <c r="E80" s="50">
        <v>0</v>
      </c>
      <c r="F80" s="50">
        <v>4</v>
      </c>
      <c r="G80" s="50">
        <v>0</v>
      </c>
      <c r="H80" s="50">
        <v>0</v>
      </c>
      <c r="I80" s="50">
        <v>3</v>
      </c>
      <c r="J80" s="50">
        <v>1</v>
      </c>
      <c r="K80" s="50">
        <v>0</v>
      </c>
      <c r="L80" s="50">
        <v>1</v>
      </c>
      <c r="M80" s="50">
        <v>33</v>
      </c>
      <c r="N80" s="50">
        <v>0</v>
      </c>
      <c r="O80" s="17">
        <f t="shared" si="35"/>
        <v>37</v>
      </c>
      <c r="P80" s="17">
        <f t="shared" si="36"/>
        <v>70</v>
      </c>
      <c r="R80" s="19"/>
      <c r="S80" s="19"/>
      <c r="T80"/>
    </row>
    <row r="81" spans="2:20" ht="23.1" customHeight="1" x14ac:dyDescent="0.25">
      <c r="B81" s="45" t="s">
        <v>121</v>
      </c>
      <c r="C81" s="50">
        <v>21</v>
      </c>
      <c r="D81" s="50">
        <v>6</v>
      </c>
      <c r="E81" s="50">
        <v>2</v>
      </c>
      <c r="F81" s="50">
        <v>5</v>
      </c>
      <c r="G81" s="50">
        <v>1</v>
      </c>
      <c r="H81" s="50">
        <v>0</v>
      </c>
      <c r="I81" s="50">
        <v>3</v>
      </c>
      <c r="J81" s="50">
        <v>2</v>
      </c>
      <c r="K81" s="50">
        <v>0</v>
      </c>
      <c r="L81" s="50">
        <v>0</v>
      </c>
      <c r="M81" s="50">
        <v>25</v>
      </c>
      <c r="N81" s="50">
        <v>0</v>
      </c>
      <c r="O81" s="17">
        <f t="shared" si="35"/>
        <v>40</v>
      </c>
      <c r="P81" s="17">
        <f t="shared" si="36"/>
        <v>65</v>
      </c>
      <c r="R81" s="19"/>
      <c r="S81" s="19"/>
      <c r="T81"/>
    </row>
    <row r="82" spans="2:20" ht="23.1" customHeight="1" x14ac:dyDescent="0.25">
      <c r="B82" s="46" t="s">
        <v>122</v>
      </c>
      <c r="C82" s="50">
        <v>18</v>
      </c>
      <c r="D82" s="50">
        <v>4</v>
      </c>
      <c r="E82" s="50">
        <v>3</v>
      </c>
      <c r="F82" s="50">
        <v>5</v>
      </c>
      <c r="G82" s="50">
        <v>0</v>
      </c>
      <c r="H82" s="50">
        <v>0</v>
      </c>
      <c r="I82" s="50">
        <v>0</v>
      </c>
      <c r="J82" s="50">
        <v>1</v>
      </c>
      <c r="K82" s="50">
        <v>0</v>
      </c>
      <c r="L82" s="50">
        <v>0</v>
      </c>
      <c r="M82" s="50">
        <v>34</v>
      </c>
      <c r="N82" s="50">
        <v>0</v>
      </c>
      <c r="O82" s="17">
        <f t="shared" si="35"/>
        <v>31</v>
      </c>
      <c r="P82" s="17">
        <f t="shared" si="36"/>
        <v>65</v>
      </c>
      <c r="R82" s="19"/>
      <c r="S82" s="19"/>
      <c r="T82"/>
    </row>
    <row r="83" spans="2:20" ht="23.1" customHeight="1" x14ac:dyDescent="0.25">
      <c r="B83" s="45" t="s">
        <v>123</v>
      </c>
      <c r="C83" s="50">
        <v>13</v>
      </c>
      <c r="D83" s="50">
        <v>0</v>
      </c>
      <c r="E83" s="50">
        <v>2</v>
      </c>
      <c r="F83" s="50">
        <v>1</v>
      </c>
      <c r="G83" s="50">
        <v>0</v>
      </c>
      <c r="H83" s="50">
        <v>0</v>
      </c>
      <c r="I83" s="50">
        <v>3</v>
      </c>
      <c r="J83" s="50">
        <v>2</v>
      </c>
      <c r="K83" s="50">
        <v>0</v>
      </c>
      <c r="L83" s="50">
        <v>1</v>
      </c>
      <c r="M83" s="50">
        <v>26</v>
      </c>
      <c r="N83" s="50">
        <v>0</v>
      </c>
      <c r="O83" s="17">
        <f t="shared" si="35"/>
        <v>22</v>
      </c>
      <c r="P83" s="17">
        <f t="shared" si="36"/>
        <v>48</v>
      </c>
      <c r="R83" s="19"/>
      <c r="S83" s="19"/>
      <c r="T83"/>
    </row>
    <row r="84" spans="2:20" ht="23.1" customHeight="1" x14ac:dyDescent="0.25">
      <c r="B84" s="47" t="s">
        <v>124</v>
      </c>
      <c r="C84" s="50">
        <v>9</v>
      </c>
      <c r="D84" s="50">
        <v>2</v>
      </c>
      <c r="E84" s="50">
        <v>1</v>
      </c>
      <c r="F84" s="50">
        <v>3</v>
      </c>
      <c r="G84" s="50">
        <v>0</v>
      </c>
      <c r="H84" s="50">
        <v>0</v>
      </c>
      <c r="I84" s="50">
        <v>4</v>
      </c>
      <c r="J84" s="50">
        <v>1</v>
      </c>
      <c r="K84" s="50">
        <v>0</v>
      </c>
      <c r="L84" s="50">
        <v>2</v>
      </c>
      <c r="M84" s="50">
        <v>28</v>
      </c>
      <c r="N84" s="50">
        <v>0</v>
      </c>
      <c r="O84" s="17">
        <f t="shared" si="35"/>
        <v>22</v>
      </c>
      <c r="P84" s="17">
        <f t="shared" si="36"/>
        <v>50</v>
      </c>
      <c r="R84" s="19"/>
      <c r="S84" s="19"/>
      <c r="T84"/>
    </row>
    <row r="85" spans="2:20" ht="23.1" customHeight="1" x14ac:dyDescent="0.25">
      <c r="B85" s="45" t="s">
        <v>125</v>
      </c>
      <c r="C85" s="50">
        <v>4</v>
      </c>
      <c r="D85" s="50">
        <v>0</v>
      </c>
      <c r="E85" s="50">
        <v>0</v>
      </c>
      <c r="F85" s="50">
        <v>1</v>
      </c>
      <c r="G85" s="50">
        <v>0</v>
      </c>
      <c r="H85" s="50">
        <v>0</v>
      </c>
      <c r="I85" s="50">
        <v>5</v>
      </c>
      <c r="J85" s="50">
        <v>0</v>
      </c>
      <c r="K85" s="50">
        <v>0</v>
      </c>
      <c r="L85" s="50">
        <v>3</v>
      </c>
      <c r="M85" s="50">
        <v>30</v>
      </c>
      <c r="N85" s="50">
        <v>0</v>
      </c>
      <c r="O85" s="17">
        <f t="shared" si="35"/>
        <v>13</v>
      </c>
      <c r="P85" s="17">
        <f t="shared" si="36"/>
        <v>43</v>
      </c>
      <c r="R85" s="19"/>
      <c r="S85" s="19"/>
      <c r="T85"/>
    </row>
    <row r="86" spans="2:20" ht="23.1" customHeight="1" x14ac:dyDescent="0.25">
      <c r="B86" s="46" t="s">
        <v>126</v>
      </c>
      <c r="C86" s="50">
        <v>9</v>
      </c>
      <c r="D86" s="50">
        <v>1</v>
      </c>
      <c r="E86" s="50">
        <v>1</v>
      </c>
      <c r="F86" s="50">
        <v>3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31</v>
      </c>
      <c r="N86" s="50">
        <v>0</v>
      </c>
      <c r="O86" s="17">
        <f t="shared" si="35"/>
        <v>14</v>
      </c>
      <c r="P86" s="17">
        <f t="shared" si="36"/>
        <v>45</v>
      </c>
      <c r="R86" s="19"/>
      <c r="S86" s="19"/>
      <c r="T86"/>
    </row>
    <row r="87" spans="2:20" ht="23.1" customHeight="1" x14ac:dyDescent="0.25">
      <c r="B87" s="45" t="s">
        <v>127</v>
      </c>
      <c r="C87" s="50">
        <v>6</v>
      </c>
      <c r="D87" s="50">
        <v>1</v>
      </c>
      <c r="E87" s="50">
        <v>1</v>
      </c>
      <c r="F87" s="50">
        <v>1</v>
      </c>
      <c r="G87" s="50">
        <v>0</v>
      </c>
      <c r="H87" s="50">
        <v>0</v>
      </c>
      <c r="I87" s="50">
        <v>4</v>
      </c>
      <c r="J87" s="50">
        <v>0</v>
      </c>
      <c r="K87" s="50">
        <v>0</v>
      </c>
      <c r="L87" s="50">
        <v>0</v>
      </c>
      <c r="M87" s="50">
        <v>15</v>
      </c>
      <c r="N87" s="50">
        <v>0</v>
      </c>
      <c r="O87" s="17">
        <f t="shared" si="35"/>
        <v>13</v>
      </c>
      <c r="P87" s="17">
        <f t="shared" si="36"/>
        <v>28</v>
      </c>
      <c r="R87" s="19"/>
      <c r="S87" s="19"/>
      <c r="T87"/>
    </row>
    <row r="88" spans="2:20" ht="23.1" customHeight="1" x14ac:dyDescent="0.25">
      <c r="B88" s="47" t="s">
        <v>128</v>
      </c>
      <c r="C88" s="50">
        <v>3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11</v>
      </c>
      <c r="N88" s="50">
        <v>0</v>
      </c>
      <c r="O88" s="17">
        <f t="shared" si="35"/>
        <v>4</v>
      </c>
      <c r="P88" s="17">
        <f t="shared" si="36"/>
        <v>15</v>
      </c>
      <c r="R88" s="19"/>
      <c r="S88" s="19"/>
      <c r="T88"/>
    </row>
    <row r="89" spans="2:20" ht="23.1" customHeight="1" x14ac:dyDescent="0.25">
      <c r="B89" s="45" t="s">
        <v>129</v>
      </c>
      <c r="C89" s="50">
        <v>7</v>
      </c>
      <c r="D89" s="50">
        <v>1</v>
      </c>
      <c r="E89" s="50">
        <v>0</v>
      </c>
      <c r="F89" s="50">
        <v>1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8</v>
      </c>
      <c r="N89" s="50">
        <v>0</v>
      </c>
      <c r="O89" s="17">
        <f t="shared" si="35"/>
        <v>10</v>
      </c>
      <c r="P89" s="17">
        <f t="shared" si="36"/>
        <v>18</v>
      </c>
      <c r="R89" s="19"/>
      <c r="S89" s="19"/>
      <c r="T89"/>
    </row>
    <row r="90" spans="2:20" ht="23.1" customHeight="1" x14ac:dyDescent="0.25">
      <c r="B90" s="46" t="s">
        <v>130</v>
      </c>
      <c r="C90" s="50">
        <v>4</v>
      </c>
      <c r="D90" s="50">
        <v>1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1</v>
      </c>
      <c r="M90" s="50">
        <v>13</v>
      </c>
      <c r="N90" s="50">
        <v>0</v>
      </c>
      <c r="O90" s="17">
        <f t="shared" si="35"/>
        <v>7</v>
      </c>
      <c r="P90" s="17">
        <f t="shared" si="36"/>
        <v>20</v>
      </c>
      <c r="R90" s="19"/>
      <c r="S90" s="19"/>
      <c r="T90"/>
    </row>
    <row r="91" spans="2:20" ht="23.1" customHeight="1" x14ac:dyDescent="0.25">
      <c r="B91" s="45" t="s">
        <v>131</v>
      </c>
      <c r="C91" s="50">
        <v>3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4</v>
      </c>
      <c r="J91" s="50">
        <v>0</v>
      </c>
      <c r="K91" s="50">
        <v>0</v>
      </c>
      <c r="L91" s="50">
        <v>0</v>
      </c>
      <c r="M91" s="50">
        <v>8</v>
      </c>
      <c r="N91" s="50">
        <v>0</v>
      </c>
      <c r="O91" s="17">
        <f t="shared" si="35"/>
        <v>8</v>
      </c>
      <c r="P91" s="17">
        <f t="shared" si="36"/>
        <v>16</v>
      </c>
      <c r="R91" s="19"/>
      <c r="S91" s="19"/>
      <c r="T91"/>
    </row>
    <row r="92" spans="2:20" ht="23.1" customHeight="1" x14ac:dyDescent="0.25">
      <c r="B92" s="47" t="s">
        <v>132</v>
      </c>
      <c r="C92" s="50">
        <v>3</v>
      </c>
      <c r="D92" s="50">
        <v>2</v>
      </c>
      <c r="E92" s="50">
        <v>2</v>
      </c>
      <c r="F92" s="50">
        <v>0</v>
      </c>
      <c r="G92" s="50">
        <v>0</v>
      </c>
      <c r="H92" s="50">
        <v>0</v>
      </c>
      <c r="I92" s="50">
        <v>2</v>
      </c>
      <c r="J92" s="50">
        <v>0</v>
      </c>
      <c r="K92" s="50">
        <v>0</v>
      </c>
      <c r="L92" s="50">
        <v>0</v>
      </c>
      <c r="M92" s="50">
        <v>6</v>
      </c>
      <c r="N92" s="50">
        <v>0</v>
      </c>
      <c r="O92" s="17">
        <f t="shared" si="35"/>
        <v>9</v>
      </c>
      <c r="P92" s="17">
        <f t="shared" si="36"/>
        <v>15</v>
      </c>
      <c r="R92" s="19"/>
      <c r="S92" s="19"/>
      <c r="T92"/>
    </row>
    <row r="93" spans="2:20" ht="23.1" customHeight="1" x14ac:dyDescent="0.25">
      <c r="B93" s="45" t="s">
        <v>133</v>
      </c>
      <c r="C93" s="50">
        <v>7</v>
      </c>
      <c r="D93" s="50">
        <v>2</v>
      </c>
      <c r="E93" s="50">
        <v>1</v>
      </c>
      <c r="F93" s="50">
        <v>3</v>
      </c>
      <c r="G93" s="50">
        <v>0</v>
      </c>
      <c r="H93" s="50">
        <v>0</v>
      </c>
      <c r="I93" s="50">
        <v>1</v>
      </c>
      <c r="J93" s="50">
        <v>1</v>
      </c>
      <c r="K93" s="50">
        <v>0</v>
      </c>
      <c r="L93" s="50">
        <v>0</v>
      </c>
      <c r="M93" s="50">
        <v>8</v>
      </c>
      <c r="N93" s="50">
        <v>0</v>
      </c>
      <c r="O93" s="17">
        <f t="shared" si="35"/>
        <v>15</v>
      </c>
      <c r="P93" s="17">
        <f t="shared" si="36"/>
        <v>23</v>
      </c>
      <c r="R93" s="19"/>
      <c r="S93" s="19"/>
      <c r="T93"/>
    </row>
    <row r="94" spans="2:20" ht="23.1" customHeight="1" x14ac:dyDescent="0.25">
      <c r="B94" s="46" t="s">
        <v>134</v>
      </c>
      <c r="C94" s="50">
        <v>3</v>
      </c>
      <c r="D94" s="50">
        <v>1</v>
      </c>
      <c r="E94" s="50">
        <v>0</v>
      </c>
      <c r="F94" s="50">
        <v>2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15</v>
      </c>
      <c r="N94" s="50">
        <v>0</v>
      </c>
      <c r="O94" s="17">
        <f t="shared" si="35"/>
        <v>7</v>
      </c>
      <c r="P94" s="17">
        <f t="shared" si="36"/>
        <v>22</v>
      </c>
      <c r="R94" s="19"/>
      <c r="S94" s="19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13</v>
      </c>
      <c r="N95" s="50">
        <v>0</v>
      </c>
      <c r="O95" s="17">
        <f t="shared" si="35"/>
        <v>3</v>
      </c>
      <c r="P95" s="17">
        <f t="shared" si="36"/>
        <v>16</v>
      </c>
      <c r="R95" s="19"/>
      <c r="S95" s="19"/>
      <c r="T95"/>
    </row>
    <row r="96" spans="2:20" ht="23.1" customHeight="1" x14ac:dyDescent="0.25">
      <c r="B96" s="47" t="s">
        <v>136</v>
      </c>
      <c r="C96" s="50">
        <v>1</v>
      </c>
      <c r="D96" s="50">
        <v>2</v>
      </c>
      <c r="E96" s="50">
        <v>0</v>
      </c>
      <c r="F96" s="50">
        <v>0</v>
      </c>
      <c r="G96" s="50">
        <v>0</v>
      </c>
      <c r="H96" s="50">
        <v>0</v>
      </c>
      <c r="I96" s="50">
        <v>3</v>
      </c>
      <c r="J96" s="50">
        <v>1</v>
      </c>
      <c r="K96" s="50">
        <v>0</v>
      </c>
      <c r="L96" s="50">
        <v>0</v>
      </c>
      <c r="M96" s="50">
        <v>19</v>
      </c>
      <c r="N96" s="50">
        <v>0</v>
      </c>
      <c r="O96" s="17">
        <f t="shared" si="35"/>
        <v>7</v>
      </c>
      <c r="P96" s="17">
        <f t="shared" si="36"/>
        <v>26</v>
      </c>
      <c r="R96" s="19"/>
      <c r="S96" s="19"/>
      <c r="T96"/>
    </row>
    <row r="97" spans="2:20" ht="23.1" customHeight="1" x14ac:dyDescent="0.25">
      <c r="B97" s="45" t="s">
        <v>137</v>
      </c>
      <c r="C97" s="50">
        <v>0</v>
      </c>
      <c r="D97" s="50">
        <v>2</v>
      </c>
      <c r="E97" s="50">
        <v>0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15</v>
      </c>
      <c r="N97" s="50">
        <v>0</v>
      </c>
      <c r="O97" s="17">
        <f t="shared" si="35"/>
        <v>3</v>
      </c>
      <c r="P97" s="17">
        <f t="shared" si="36"/>
        <v>18</v>
      </c>
      <c r="R97" s="19"/>
      <c r="S97" s="19"/>
      <c r="T97"/>
    </row>
    <row r="98" spans="2:20" ht="23.1" customHeight="1" x14ac:dyDescent="0.25">
      <c r="B98" s="46" t="s">
        <v>138</v>
      </c>
      <c r="C98" s="50">
        <v>5</v>
      </c>
      <c r="D98" s="50">
        <v>1</v>
      </c>
      <c r="E98" s="50">
        <v>2</v>
      </c>
      <c r="F98" s="50">
        <v>3</v>
      </c>
      <c r="G98" s="50">
        <v>0</v>
      </c>
      <c r="H98" s="50">
        <v>0</v>
      </c>
      <c r="I98" s="50">
        <v>0</v>
      </c>
      <c r="J98" s="50">
        <v>1</v>
      </c>
      <c r="K98" s="50">
        <v>0</v>
      </c>
      <c r="L98" s="50">
        <v>0</v>
      </c>
      <c r="M98" s="50">
        <v>10</v>
      </c>
      <c r="N98" s="50">
        <v>0</v>
      </c>
      <c r="O98" s="17">
        <f t="shared" si="35"/>
        <v>12</v>
      </c>
      <c r="P98" s="17">
        <f t="shared" si="36"/>
        <v>22</v>
      </c>
      <c r="R98" s="19"/>
      <c r="S98" s="19"/>
      <c r="T98"/>
    </row>
    <row r="99" spans="2:20" ht="23.1" customHeight="1" x14ac:dyDescent="0.25">
      <c r="B99" s="45" t="s">
        <v>139</v>
      </c>
      <c r="C99" s="50">
        <v>4</v>
      </c>
      <c r="D99" s="50">
        <v>1</v>
      </c>
      <c r="E99" s="50">
        <v>3</v>
      </c>
      <c r="F99" s="50">
        <v>2</v>
      </c>
      <c r="G99" s="50">
        <v>0</v>
      </c>
      <c r="H99" s="50">
        <v>0</v>
      </c>
      <c r="I99" s="50">
        <v>0</v>
      </c>
      <c r="J99" s="50">
        <v>1</v>
      </c>
      <c r="K99" s="50">
        <v>0</v>
      </c>
      <c r="L99" s="50">
        <v>1</v>
      </c>
      <c r="M99" s="50">
        <v>14</v>
      </c>
      <c r="N99" s="50">
        <v>0</v>
      </c>
      <c r="O99" s="17">
        <f t="shared" si="35"/>
        <v>12</v>
      </c>
      <c r="P99" s="17">
        <f t="shared" si="36"/>
        <v>26</v>
      </c>
      <c r="R99" s="19"/>
      <c r="S99" s="19"/>
      <c r="T99"/>
    </row>
    <row r="100" spans="2:20" ht="23.1" customHeight="1" x14ac:dyDescent="0.25">
      <c r="B100" s="47" t="s">
        <v>140</v>
      </c>
      <c r="C100" s="50">
        <v>11</v>
      </c>
      <c r="D100" s="50">
        <v>1</v>
      </c>
      <c r="E100" s="50">
        <v>1</v>
      </c>
      <c r="F100" s="50">
        <v>7</v>
      </c>
      <c r="G100" s="50">
        <v>0</v>
      </c>
      <c r="H100" s="50">
        <v>0</v>
      </c>
      <c r="I100" s="50">
        <v>2</v>
      </c>
      <c r="J100" s="50">
        <v>1</v>
      </c>
      <c r="K100" s="50">
        <v>0</v>
      </c>
      <c r="L100" s="50">
        <v>2</v>
      </c>
      <c r="M100" s="50">
        <v>17</v>
      </c>
      <c r="N100" s="50">
        <v>0</v>
      </c>
      <c r="O100" s="17">
        <f t="shared" si="35"/>
        <v>25</v>
      </c>
      <c r="P100" s="17">
        <f t="shared" si="36"/>
        <v>42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11</v>
      </c>
      <c r="D101" s="50">
        <v>1</v>
      </c>
      <c r="E101" s="50">
        <v>3</v>
      </c>
      <c r="F101" s="50">
        <v>12</v>
      </c>
      <c r="G101" s="50">
        <v>0</v>
      </c>
      <c r="H101" s="50">
        <v>0</v>
      </c>
      <c r="I101" s="50">
        <v>6</v>
      </c>
      <c r="J101" s="50">
        <v>0</v>
      </c>
      <c r="K101" s="50">
        <v>0</v>
      </c>
      <c r="L101" s="50">
        <v>1</v>
      </c>
      <c r="M101" s="50">
        <v>16</v>
      </c>
      <c r="N101" s="50">
        <v>0</v>
      </c>
      <c r="O101" s="17">
        <f t="shared" si="35"/>
        <v>34</v>
      </c>
      <c r="P101" s="17">
        <f t="shared" si="36"/>
        <v>50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5</v>
      </c>
      <c r="D102" s="50">
        <v>1</v>
      </c>
      <c r="E102" s="50">
        <v>0</v>
      </c>
      <c r="F102" s="50">
        <v>10</v>
      </c>
      <c r="G102" s="50">
        <v>0</v>
      </c>
      <c r="H102" s="50">
        <v>0</v>
      </c>
      <c r="I102" s="50">
        <v>3</v>
      </c>
      <c r="J102" s="50">
        <v>2</v>
      </c>
      <c r="K102" s="50">
        <v>0</v>
      </c>
      <c r="L102" s="50">
        <v>2</v>
      </c>
      <c r="M102" s="50">
        <v>23</v>
      </c>
      <c r="N102" s="50">
        <v>0</v>
      </c>
      <c r="O102" s="17">
        <f t="shared" si="35"/>
        <v>23</v>
      </c>
      <c r="P102" s="17">
        <f t="shared" si="36"/>
        <v>46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22</v>
      </c>
      <c r="D103" s="50">
        <v>0</v>
      </c>
      <c r="E103" s="50">
        <v>5</v>
      </c>
      <c r="F103" s="50">
        <v>16</v>
      </c>
      <c r="G103" s="50">
        <v>0</v>
      </c>
      <c r="H103" s="50">
        <v>0</v>
      </c>
      <c r="I103" s="50">
        <v>8</v>
      </c>
      <c r="J103" s="50">
        <v>2</v>
      </c>
      <c r="K103" s="50">
        <v>0</v>
      </c>
      <c r="L103" s="50">
        <v>3</v>
      </c>
      <c r="M103" s="50">
        <v>30</v>
      </c>
      <c r="N103" s="50">
        <v>0</v>
      </c>
      <c r="O103" s="17">
        <f t="shared" si="35"/>
        <v>56</v>
      </c>
      <c r="P103" s="17">
        <f t="shared" si="36"/>
        <v>86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10</v>
      </c>
      <c r="D104" s="50">
        <v>1</v>
      </c>
      <c r="E104" s="50">
        <v>2</v>
      </c>
      <c r="F104" s="50">
        <v>12</v>
      </c>
      <c r="G104" s="50">
        <v>0</v>
      </c>
      <c r="H104" s="50">
        <v>0</v>
      </c>
      <c r="I104" s="50">
        <v>8</v>
      </c>
      <c r="J104" s="50">
        <v>1</v>
      </c>
      <c r="K104" s="50">
        <v>0</v>
      </c>
      <c r="L104" s="50">
        <v>0</v>
      </c>
      <c r="M104" s="50">
        <v>37</v>
      </c>
      <c r="N104" s="50">
        <v>0</v>
      </c>
      <c r="O104" s="17">
        <f t="shared" si="35"/>
        <v>34</v>
      </c>
      <c r="P104" s="17">
        <f t="shared" si="36"/>
        <v>71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11</v>
      </c>
      <c r="D105" s="50">
        <v>1</v>
      </c>
      <c r="E105" s="50">
        <v>4</v>
      </c>
      <c r="F105" s="50">
        <v>18</v>
      </c>
      <c r="G105" s="50">
        <v>0</v>
      </c>
      <c r="H105" s="50">
        <v>0</v>
      </c>
      <c r="I105" s="50">
        <v>6</v>
      </c>
      <c r="J105" s="50">
        <v>3</v>
      </c>
      <c r="K105" s="50">
        <v>0</v>
      </c>
      <c r="L105" s="50">
        <v>0</v>
      </c>
      <c r="M105" s="50">
        <v>55</v>
      </c>
      <c r="N105" s="50">
        <v>0</v>
      </c>
      <c r="O105" s="17">
        <f t="shared" si="35"/>
        <v>43</v>
      </c>
      <c r="P105" s="17">
        <f t="shared" si="36"/>
        <v>98</v>
      </c>
      <c r="R105" s="19"/>
      <c r="S105" s="19"/>
      <c r="T105"/>
    </row>
    <row r="106" spans="2:20" ht="23.1" customHeight="1" x14ac:dyDescent="0.25">
      <c r="B106" s="66" t="s">
        <v>18</v>
      </c>
      <c r="C106" s="16">
        <f>SUM(C10:C105)</f>
        <v>4455</v>
      </c>
      <c r="D106" s="16">
        <f t="shared" ref="D106:P106" si="37">SUM(D10:D105)</f>
        <v>977</v>
      </c>
      <c r="E106" s="16">
        <f t="shared" si="37"/>
        <v>557</v>
      </c>
      <c r="F106" s="16">
        <f t="shared" si="37"/>
        <v>3896</v>
      </c>
      <c r="G106" s="16">
        <f t="shared" si="37"/>
        <v>77</v>
      </c>
      <c r="H106" s="16">
        <f t="shared" si="37"/>
        <v>40</v>
      </c>
      <c r="I106" s="16">
        <f t="shared" si="37"/>
        <v>648</v>
      </c>
      <c r="J106" s="16">
        <f t="shared" si="37"/>
        <v>166</v>
      </c>
      <c r="K106" s="16">
        <f t="shared" si="37"/>
        <v>138</v>
      </c>
      <c r="L106" s="16">
        <f t="shared" si="37"/>
        <v>41</v>
      </c>
      <c r="M106" s="16">
        <f t="shared" si="37"/>
        <v>7215</v>
      </c>
      <c r="N106" s="16">
        <f t="shared" si="37"/>
        <v>0</v>
      </c>
      <c r="O106" s="16">
        <f t="shared" si="37"/>
        <v>10995</v>
      </c>
      <c r="P106" s="16">
        <f t="shared" si="37"/>
        <v>18210</v>
      </c>
      <c r="R106" s="19"/>
      <c r="S106" s="19"/>
      <c r="T106"/>
    </row>
    <row r="107" spans="2:20" ht="23.1" customHeight="1" x14ac:dyDescent="0.25">
      <c r="B107" s="66" t="s">
        <v>93</v>
      </c>
      <c r="C107" s="43">
        <f t="shared" ref="C107:N107" si="38">C106/$P$106</f>
        <v>0.24464579901153213</v>
      </c>
      <c r="D107" s="43">
        <f t="shared" si="38"/>
        <v>5.3651839648544752E-2</v>
      </c>
      <c r="E107" s="43">
        <f t="shared" si="38"/>
        <v>3.058758923668314E-2</v>
      </c>
      <c r="F107" s="43">
        <f t="shared" si="38"/>
        <v>0.21394838001098299</v>
      </c>
      <c r="G107" s="43">
        <f t="shared" si="38"/>
        <v>4.2284459088412956E-3</v>
      </c>
      <c r="H107" s="43">
        <f t="shared" si="38"/>
        <v>2.1965952773201538E-3</v>
      </c>
      <c r="I107" s="43">
        <f t="shared" si="38"/>
        <v>3.558484349258649E-2</v>
      </c>
      <c r="J107" s="43">
        <f t="shared" si="38"/>
        <v>9.1158704008786375E-3</v>
      </c>
      <c r="K107" s="43">
        <f t="shared" si="38"/>
        <v>7.5782537067545308E-3</v>
      </c>
      <c r="L107" s="43">
        <f t="shared" si="38"/>
        <v>2.2515101592531575E-3</v>
      </c>
      <c r="M107" s="43">
        <f t="shared" si="38"/>
        <v>0.39621087314662273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67" t="s">
        <v>94</v>
      </c>
      <c r="C108" s="44">
        <f>C106/$O$106</f>
        <v>0.40518417462482947</v>
      </c>
      <c r="D108" s="44">
        <f t="shared" ref="D108:N108" si="39">D106/$O$106</f>
        <v>8.8858572078217374E-2</v>
      </c>
      <c r="E108" s="44">
        <f t="shared" si="39"/>
        <v>5.0659390632105505E-2</v>
      </c>
      <c r="F108" s="44">
        <f t="shared" si="39"/>
        <v>0.35434288312869489</v>
      </c>
      <c r="G108" s="44">
        <f t="shared" si="39"/>
        <v>7.0031832651205094E-3</v>
      </c>
      <c r="H108" s="44">
        <f t="shared" si="39"/>
        <v>3.6380172805820826E-3</v>
      </c>
      <c r="I108" s="44">
        <f t="shared" si="39"/>
        <v>5.8935879945429738E-2</v>
      </c>
      <c r="J108" s="44">
        <f t="shared" si="39"/>
        <v>1.5097771714415644E-2</v>
      </c>
      <c r="K108" s="44">
        <f t="shared" si="39"/>
        <v>1.2551159618008186E-2</v>
      </c>
      <c r="L108" s="44">
        <f t="shared" si="39"/>
        <v>3.728967712596635E-3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 s="19"/>
      <c r="T117" s="19"/>
      <c r="U117"/>
      <c r="V117"/>
      <c r="W117"/>
      <c r="X117"/>
      <c r="Y117"/>
      <c r="Z117"/>
      <c r="AA117"/>
      <c r="AB117"/>
      <c r="AC117"/>
      <c r="AD117"/>
      <c r="AE117"/>
      <c r="AF117"/>
    </row>
    <row r="118" spans="1:32" s="7" customFormat="1" ht="23.1" customHeight="1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 s="19"/>
      <c r="T118" s="19"/>
      <c r="U118"/>
      <c r="V118"/>
      <c r="W118"/>
      <c r="X118"/>
      <c r="Y118"/>
      <c r="Z118"/>
      <c r="AA118"/>
      <c r="AB118"/>
      <c r="AC118"/>
      <c r="AD118"/>
      <c r="AE118"/>
      <c r="AF118"/>
    </row>
    <row r="119" spans="1:32" s="7" customFormat="1" ht="23.1" customHeight="1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 s="19"/>
      <c r="T119" s="19"/>
      <c r="U119"/>
      <c r="V119"/>
      <c r="W119"/>
      <c r="X119"/>
      <c r="Y119"/>
      <c r="Z119"/>
      <c r="AA119"/>
      <c r="AB119"/>
      <c r="AC119"/>
      <c r="AD119"/>
      <c r="AE119"/>
      <c r="AF119"/>
    </row>
    <row r="120" spans="1:32" s="7" customFormat="1" ht="23.1" customHeight="1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 s="19"/>
      <c r="T120" s="19"/>
      <c r="U120"/>
      <c r="V120"/>
      <c r="W120"/>
      <c r="X120"/>
      <c r="Y120"/>
      <c r="Z120"/>
      <c r="AA120"/>
      <c r="AB120"/>
      <c r="AC120"/>
      <c r="AD120"/>
      <c r="AE120"/>
      <c r="AF120"/>
    </row>
    <row r="121" spans="1:32" s="7" customFormat="1" ht="23.1" customHeight="1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 s="19"/>
      <c r="T121" s="19"/>
      <c r="U121"/>
      <c r="V121"/>
      <c r="W121"/>
      <c r="X121"/>
      <c r="Y121"/>
      <c r="Z121"/>
      <c r="AA121"/>
      <c r="AB121"/>
      <c r="AC121"/>
      <c r="AD121"/>
      <c r="AE121"/>
      <c r="AF121"/>
    </row>
    <row r="122" spans="1:32" s="7" customFormat="1" ht="23.1" customHeight="1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 s="19"/>
      <c r="T122" s="19"/>
      <c r="U122"/>
      <c r="V122"/>
      <c r="W122"/>
      <c r="X122"/>
      <c r="Y122"/>
      <c r="Z122"/>
      <c r="AA122"/>
      <c r="AB122"/>
      <c r="AC122"/>
      <c r="AD122"/>
      <c r="AE122"/>
      <c r="AF122"/>
    </row>
    <row r="123" spans="1:32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1:32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1:32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1:32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1:32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1:32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A1:AF174"/>
  <sheetViews>
    <sheetView view="pageBreakPreview" zoomScale="60" workbookViewId="0">
      <selection activeCell="O6" sqref="O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78" t="str">
        <f>'[1]23.09. KASANGATI-GAYAZA'!C3:G3</f>
        <v>MCC - C2 - STN-69- Gayaza-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62" t="s">
        <v>176</v>
      </c>
      <c r="F5" s="41" t="s">
        <v>1</v>
      </c>
      <c r="G5" s="73" t="str">
        <f>'[1]26.07 Kibuye-Makindye-24h'!G5:H5</f>
        <v>TOTAL BULAMU</v>
      </c>
      <c r="H5" s="74"/>
      <c r="I5" s="14"/>
      <c r="J5" s="2" t="s">
        <v>5</v>
      </c>
      <c r="K5" s="73" t="str">
        <f>'[1]26.07 Kibuye-Makindye-24h'!K5:L5</f>
        <v>Muganga. S</v>
      </c>
      <c r="L5" s="74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3" t="str">
        <f>'[1]23.09.Gayaza-Kasangati'!D6:E6</f>
        <v>Gayaza</v>
      </c>
      <c r="E6" s="74"/>
      <c r="F6" s="2" t="s">
        <v>2</v>
      </c>
      <c r="G6" s="73" t="str">
        <f>'[1]24.09 Gayaza-Kasangati'!G6:H6</f>
        <v>Kasangati</v>
      </c>
      <c r="H6" s="74"/>
      <c r="J6" s="2" t="s">
        <v>21</v>
      </c>
      <c r="K6" s="73" t="str">
        <f>'[1]26.07 Kibuye-Makindye-24h'!K6:L6</f>
        <v>LAWRENCE</v>
      </c>
      <c r="L6" s="74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4" t="s">
        <v>88</v>
      </c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46</v>
      </c>
      <c r="D10" s="50">
        <v>8</v>
      </c>
      <c r="E10" s="50">
        <v>4</v>
      </c>
      <c r="F10" s="50">
        <v>58</v>
      </c>
      <c r="G10" s="50">
        <v>0</v>
      </c>
      <c r="H10" s="50">
        <v>0</v>
      </c>
      <c r="I10" s="50">
        <v>8</v>
      </c>
      <c r="J10" s="50">
        <v>0</v>
      </c>
      <c r="K10" s="50">
        <v>1</v>
      </c>
      <c r="L10" s="50">
        <v>1</v>
      </c>
      <c r="M10" s="50">
        <v>129</v>
      </c>
      <c r="N10" s="50">
        <v>0</v>
      </c>
      <c r="O10" s="17">
        <f t="shared" ref="O10:O73" si="0">SUM(C10:L10,N10)</f>
        <v>126</v>
      </c>
      <c r="P10" s="17">
        <f t="shared" ref="P10:P73" si="1">SUM(C10:N10)</f>
        <v>255</v>
      </c>
      <c r="R10" s="1" t="s">
        <v>6</v>
      </c>
      <c r="S10" s="17">
        <f t="shared" ref="S10:AF10" si="2">SUM(C10:C13)</f>
        <v>272</v>
      </c>
      <c r="T10" s="17">
        <f t="shared" si="2"/>
        <v>24</v>
      </c>
      <c r="U10" s="17">
        <f t="shared" si="2"/>
        <v>16</v>
      </c>
      <c r="V10" s="17">
        <f t="shared" si="2"/>
        <v>215</v>
      </c>
      <c r="W10" s="17">
        <f t="shared" si="2"/>
        <v>2</v>
      </c>
      <c r="X10" s="17">
        <f t="shared" si="2"/>
        <v>6</v>
      </c>
      <c r="Y10" s="17">
        <f t="shared" si="2"/>
        <v>36</v>
      </c>
      <c r="Z10" s="17">
        <f t="shared" si="2"/>
        <v>2</v>
      </c>
      <c r="AA10" s="17">
        <f t="shared" si="2"/>
        <v>5</v>
      </c>
      <c r="AB10" s="17">
        <f t="shared" si="2"/>
        <v>1</v>
      </c>
      <c r="AC10" s="17">
        <f t="shared" si="2"/>
        <v>610</v>
      </c>
      <c r="AD10" s="17">
        <f t="shared" si="2"/>
        <v>0</v>
      </c>
      <c r="AE10" s="31">
        <f t="shared" si="2"/>
        <v>579</v>
      </c>
      <c r="AF10" s="31">
        <f t="shared" si="2"/>
        <v>1189</v>
      </c>
    </row>
    <row r="11" spans="2:32" s="6" customFormat="1" ht="23.1" customHeight="1" x14ac:dyDescent="0.25">
      <c r="B11" s="45" t="s">
        <v>38</v>
      </c>
      <c r="C11" s="50">
        <v>48</v>
      </c>
      <c r="D11" s="50">
        <v>4</v>
      </c>
      <c r="E11" s="50">
        <v>5</v>
      </c>
      <c r="F11" s="50">
        <v>49</v>
      </c>
      <c r="G11" s="50">
        <v>0</v>
      </c>
      <c r="H11" s="50">
        <v>1</v>
      </c>
      <c r="I11" s="50">
        <v>11</v>
      </c>
      <c r="J11" s="50">
        <v>1</v>
      </c>
      <c r="K11" s="50">
        <v>0</v>
      </c>
      <c r="L11" s="50">
        <v>0</v>
      </c>
      <c r="M11" s="50">
        <v>144</v>
      </c>
      <c r="N11" s="50">
        <v>0</v>
      </c>
      <c r="O11" s="17">
        <f t="shared" si="0"/>
        <v>119</v>
      </c>
      <c r="P11" s="17">
        <f t="shared" si="1"/>
        <v>263</v>
      </c>
      <c r="R11" s="1" t="s">
        <v>7</v>
      </c>
      <c r="S11" s="17">
        <f t="shared" ref="S11:AF11" si="3">SUM(C14:C17)</f>
        <v>360</v>
      </c>
      <c r="T11" s="17">
        <f t="shared" si="3"/>
        <v>43</v>
      </c>
      <c r="U11" s="17">
        <f t="shared" si="3"/>
        <v>25</v>
      </c>
      <c r="V11" s="17">
        <f t="shared" si="3"/>
        <v>177</v>
      </c>
      <c r="W11" s="17">
        <f t="shared" si="3"/>
        <v>2</v>
      </c>
      <c r="X11" s="17">
        <f t="shared" si="3"/>
        <v>1</v>
      </c>
      <c r="Y11" s="17">
        <f t="shared" si="3"/>
        <v>43</v>
      </c>
      <c r="Z11" s="17">
        <f t="shared" si="3"/>
        <v>9</v>
      </c>
      <c r="AA11" s="17">
        <f t="shared" si="3"/>
        <v>19</v>
      </c>
      <c r="AB11" s="17">
        <f t="shared" si="3"/>
        <v>0</v>
      </c>
      <c r="AC11" s="17">
        <f t="shared" si="3"/>
        <v>768</v>
      </c>
      <c r="AD11" s="17">
        <f t="shared" si="3"/>
        <v>0</v>
      </c>
      <c r="AE11" s="31">
        <f t="shared" si="3"/>
        <v>679</v>
      </c>
      <c r="AF11" s="31">
        <f t="shared" si="3"/>
        <v>1447</v>
      </c>
    </row>
    <row r="12" spans="2:32" ht="23.1" customHeight="1" x14ac:dyDescent="0.25">
      <c r="B12" s="45" t="s">
        <v>39</v>
      </c>
      <c r="C12" s="50">
        <v>70</v>
      </c>
      <c r="D12" s="50">
        <v>5</v>
      </c>
      <c r="E12" s="50">
        <v>4</v>
      </c>
      <c r="F12" s="50">
        <v>54</v>
      </c>
      <c r="G12" s="50">
        <v>1</v>
      </c>
      <c r="H12" s="50">
        <v>4</v>
      </c>
      <c r="I12" s="50">
        <v>6</v>
      </c>
      <c r="J12" s="50">
        <v>1</v>
      </c>
      <c r="K12" s="50">
        <v>2</v>
      </c>
      <c r="L12" s="50">
        <v>0</v>
      </c>
      <c r="M12" s="50">
        <v>159</v>
      </c>
      <c r="N12" s="50">
        <v>0</v>
      </c>
      <c r="O12" s="17">
        <f t="shared" si="0"/>
        <v>147</v>
      </c>
      <c r="P12" s="17">
        <f t="shared" si="1"/>
        <v>306</v>
      </c>
      <c r="R12" s="1" t="s">
        <v>8</v>
      </c>
      <c r="S12" s="17">
        <f t="shared" ref="S12:AF12" si="4">SUM(C18:C21)</f>
        <v>372</v>
      </c>
      <c r="T12" s="17">
        <f t="shared" si="4"/>
        <v>37</v>
      </c>
      <c r="U12" s="17">
        <f t="shared" si="4"/>
        <v>33</v>
      </c>
      <c r="V12" s="17">
        <f t="shared" si="4"/>
        <v>168</v>
      </c>
      <c r="W12" s="17">
        <f t="shared" si="4"/>
        <v>5</v>
      </c>
      <c r="X12" s="17">
        <f t="shared" si="4"/>
        <v>0</v>
      </c>
      <c r="Y12" s="17">
        <f t="shared" si="4"/>
        <v>34</v>
      </c>
      <c r="Z12" s="17">
        <f t="shared" si="4"/>
        <v>6</v>
      </c>
      <c r="AA12" s="17">
        <f t="shared" si="4"/>
        <v>4</v>
      </c>
      <c r="AB12" s="17">
        <f t="shared" si="4"/>
        <v>0</v>
      </c>
      <c r="AC12" s="17">
        <f t="shared" si="4"/>
        <v>542</v>
      </c>
      <c r="AD12" s="17">
        <f t="shared" si="4"/>
        <v>0</v>
      </c>
      <c r="AE12" s="31">
        <f t="shared" si="4"/>
        <v>659</v>
      </c>
      <c r="AF12" s="31">
        <f t="shared" si="4"/>
        <v>1201</v>
      </c>
    </row>
    <row r="13" spans="2:32" ht="23.1" customHeight="1" x14ac:dyDescent="0.25">
      <c r="B13" s="45" t="s">
        <v>40</v>
      </c>
      <c r="C13" s="50">
        <v>108</v>
      </c>
      <c r="D13" s="50">
        <v>7</v>
      </c>
      <c r="E13" s="50">
        <v>3</v>
      </c>
      <c r="F13" s="50">
        <v>54</v>
      </c>
      <c r="G13" s="50">
        <v>1</v>
      </c>
      <c r="H13" s="50">
        <v>1</v>
      </c>
      <c r="I13" s="50">
        <v>11</v>
      </c>
      <c r="J13" s="50">
        <v>0</v>
      </c>
      <c r="K13" s="50">
        <v>2</v>
      </c>
      <c r="L13" s="50">
        <v>0</v>
      </c>
      <c r="M13" s="50">
        <v>178</v>
      </c>
      <c r="N13" s="50">
        <v>0</v>
      </c>
      <c r="O13" s="17">
        <f t="shared" si="0"/>
        <v>187</v>
      </c>
      <c r="P13" s="17">
        <f t="shared" si="1"/>
        <v>365</v>
      </c>
      <c r="R13" s="1" t="s">
        <v>9</v>
      </c>
      <c r="S13" s="17">
        <f t="shared" ref="S13:AF13" si="5">SUM(C22:C25)</f>
        <v>356</v>
      </c>
      <c r="T13" s="17">
        <f t="shared" si="5"/>
        <v>40</v>
      </c>
      <c r="U13" s="17">
        <f t="shared" si="5"/>
        <v>22</v>
      </c>
      <c r="V13" s="17">
        <f t="shared" si="5"/>
        <v>141</v>
      </c>
      <c r="W13" s="17">
        <f t="shared" si="5"/>
        <v>4</v>
      </c>
      <c r="X13" s="17">
        <f t="shared" si="5"/>
        <v>2</v>
      </c>
      <c r="Y13" s="17">
        <f t="shared" si="5"/>
        <v>43</v>
      </c>
      <c r="Z13" s="17">
        <f t="shared" si="5"/>
        <v>13</v>
      </c>
      <c r="AA13" s="17">
        <f t="shared" si="5"/>
        <v>8</v>
      </c>
      <c r="AB13" s="17">
        <f t="shared" si="5"/>
        <v>0</v>
      </c>
      <c r="AC13" s="17">
        <f t="shared" si="5"/>
        <v>472</v>
      </c>
      <c r="AD13" s="17">
        <f t="shared" si="5"/>
        <v>0</v>
      </c>
      <c r="AE13" s="31">
        <f t="shared" si="5"/>
        <v>629</v>
      </c>
      <c r="AF13" s="31">
        <f t="shared" si="5"/>
        <v>1101</v>
      </c>
    </row>
    <row r="14" spans="2:32" ht="23.1" customHeight="1" x14ac:dyDescent="0.25">
      <c r="B14" s="45" t="s">
        <v>41</v>
      </c>
      <c r="C14" s="50">
        <v>90</v>
      </c>
      <c r="D14" s="50">
        <v>12</v>
      </c>
      <c r="E14" s="50">
        <v>8</v>
      </c>
      <c r="F14" s="50">
        <v>50</v>
      </c>
      <c r="G14" s="50">
        <v>1</v>
      </c>
      <c r="H14" s="50">
        <v>0</v>
      </c>
      <c r="I14" s="50">
        <v>9</v>
      </c>
      <c r="J14" s="50">
        <v>2</v>
      </c>
      <c r="K14" s="50">
        <v>8</v>
      </c>
      <c r="L14" s="50">
        <v>0</v>
      </c>
      <c r="M14" s="50">
        <v>198</v>
      </c>
      <c r="N14" s="50">
        <v>0</v>
      </c>
      <c r="O14" s="17">
        <f t="shared" si="0"/>
        <v>180</v>
      </c>
      <c r="P14" s="17">
        <f t="shared" si="1"/>
        <v>378</v>
      </c>
      <c r="R14" s="1" t="s">
        <v>10</v>
      </c>
      <c r="S14" s="17">
        <f t="shared" ref="S14:AF14" si="6">SUM(C26:C29)</f>
        <v>336</v>
      </c>
      <c r="T14" s="17">
        <f t="shared" si="6"/>
        <v>36</v>
      </c>
      <c r="U14" s="17">
        <f t="shared" si="6"/>
        <v>25</v>
      </c>
      <c r="V14" s="17">
        <f t="shared" si="6"/>
        <v>148</v>
      </c>
      <c r="W14" s="17">
        <f t="shared" si="6"/>
        <v>3</v>
      </c>
      <c r="X14" s="17">
        <f t="shared" si="6"/>
        <v>1</v>
      </c>
      <c r="Y14" s="17">
        <f t="shared" si="6"/>
        <v>39</v>
      </c>
      <c r="Z14" s="17">
        <f t="shared" si="6"/>
        <v>4</v>
      </c>
      <c r="AA14" s="17">
        <f t="shared" si="6"/>
        <v>22</v>
      </c>
      <c r="AB14" s="17">
        <f t="shared" si="6"/>
        <v>1</v>
      </c>
      <c r="AC14" s="17">
        <f t="shared" si="6"/>
        <v>428</v>
      </c>
      <c r="AD14" s="17">
        <f t="shared" si="6"/>
        <v>0</v>
      </c>
      <c r="AE14" s="31">
        <f t="shared" si="6"/>
        <v>615</v>
      </c>
      <c r="AF14" s="31">
        <f t="shared" si="6"/>
        <v>1043</v>
      </c>
    </row>
    <row r="15" spans="2:32" ht="23.1" customHeight="1" x14ac:dyDescent="0.25">
      <c r="B15" s="45" t="s">
        <v>42</v>
      </c>
      <c r="C15" s="50">
        <v>82</v>
      </c>
      <c r="D15" s="50">
        <v>12</v>
      </c>
      <c r="E15" s="50">
        <v>4</v>
      </c>
      <c r="F15" s="50">
        <v>36</v>
      </c>
      <c r="G15" s="50">
        <v>0</v>
      </c>
      <c r="H15" s="50">
        <v>1</v>
      </c>
      <c r="I15" s="50">
        <v>13</v>
      </c>
      <c r="J15" s="50">
        <v>2</v>
      </c>
      <c r="K15" s="50">
        <v>2</v>
      </c>
      <c r="L15" s="50">
        <v>0</v>
      </c>
      <c r="M15" s="50">
        <v>183</v>
      </c>
      <c r="N15" s="50">
        <v>0</v>
      </c>
      <c r="O15" s="17">
        <f t="shared" si="0"/>
        <v>152</v>
      </c>
      <c r="P15" s="17">
        <f t="shared" si="1"/>
        <v>335</v>
      </c>
      <c r="R15" s="1" t="s">
        <v>11</v>
      </c>
      <c r="S15" s="17">
        <f t="shared" ref="S15:AF15" si="7">SUM(C30:C33)</f>
        <v>260</v>
      </c>
      <c r="T15" s="17">
        <f t="shared" si="7"/>
        <v>44</v>
      </c>
      <c r="U15" s="17">
        <f t="shared" si="7"/>
        <v>29</v>
      </c>
      <c r="V15" s="17">
        <f t="shared" si="7"/>
        <v>147</v>
      </c>
      <c r="W15" s="17">
        <f t="shared" si="7"/>
        <v>4</v>
      </c>
      <c r="X15" s="17">
        <f t="shared" si="7"/>
        <v>1</v>
      </c>
      <c r="Y15" s="17">
        <f t="shared" si="7"/>
        <v>31</v>
      </c>
      <c r="Z15" s="17">
        <f t="shared" si="7"/>
        <v>4</v>
      </c>
      <c r="AA15" s="17">
        <f t="shared" si="7"/>
        <v>19</v>
      </c>
      <c r="AB15" s="17">
        <f t="shared" si="7"/>
        <v>0</v>
      </c>
      <c r="AC15" s="17">
        <f t="shared" si="7"/>
        <v>300</v>
      </c>
      <c r="AD15" s="17">
        <f t="shared" si="7"/>
        <v>0</v>
      </c>
      <c r="AE15" s="31">
        <f t="shared" si="7"/>
        <v>539</v>
      </c>
      <c r="AF15" s="31">
        <f t="shared" si="7"/>
        <v>839</v>
      </c>
    </row>
    <row r="16" spans="2:32" ht="23.1" customHeight="1" x14ac:dyDescent="0.25">
      <c r="B16" s="45" t="s">
        <v>43</v>
      </c>
      <c r="C16" s="50">
        <v>90</v>
      </c>
      <c r="D16" s="50">
        <v>7</v>
      </c>
      <c r="E16" s="50">
        <v>6</v>
      </c>
      <c r="F16" s="50">
        <v>45</v>
      </c>
      <c r="G16" s="50">
        <v>0</v>
      </c>
      <c r="H16" s="50">
        <v>0</v>
      </c>
      <c r="I16" s="50">
        <v>11</v>
      </c>
      <c r="J16" s="50">
        <v>5</v>
      </c>
      <c r="K16" s="50">
        <v>7</v>
      </c>
      <c r="L16" s="50">
        <v>0</v>
      </c>
      <c r="M16" s="50">
        <v>188</v>
      </c>
      <c r="N16" s="50">
        <v>0</v>
      </c>
      <c r="O16" s="17">
        <f t="shared" si="0"/>
        <v>171</v>
      </c>
      <c r="P16" s="17">
        <f t="shared" si="1"/>
        <v>359</v>
      </c>
      <c r="R16" s="1" t="s">
        <v>12</v>
      </c>
      <c r="S16" s="17">
        <f t="shared" ref="S16:AF16" si="8">SUM(C34:C37)</f>
        <v>261</v>
      </c>
      <c r="T16" s="17">
        <f t="shared" si="8"/>
        <v>48</v>
      </c>
      <c r="U16" s="17">
        <f t="shared" si="8"/>
        <v>21</v>
      </c>
      <c r="V16" s="17">
        <f t="shared" si="8"/>
        <v>126</v>
      </c>
      <c r="W16" s="17">
        <f t="shared" si="8"/>
        <v>2</v>
      </c>
      <c r="X16" s="17">
        <f t="shared" si="8"/>
        <v>3</v>
      </c>
      <c r="Y16" s="17">
        <f t="shared" si="8"/>
        <v>43</v>
      </c>
      <c r="Z16" s="17">
        <f t="shared" si="8"/>
        <v>12</v>
      </c>
      <c r="AA16" s="17">
        <f t="shared" si="8"/>
        <v>14</v>
      </c>
      <c r="AB16" s="17">
        <f t="shared" si="8"/>
        <v>1</v>
      </c>
      <c r="AC16" s="17">
        <f t="shared" si="8"/>
        <v>354</v>
      </c>
      <c r="AD16" s="17">
        <f t="shared" si="8"/>
        <v>0</v>
      </c>
      <c r="AE16" s="31">
        <f t="shared" si="8"/>
        <v>531</v>
      </c>
      <c r="AF16" s="31">
        <f t="shared" si="8"/>
        <v>885</v>
      </c>
    </row>
    <row r="17" spans="2:32" ht="23.1" customHeight="1" x14ac:dyDescent="0.25">
      <c r="B17" s="45" t="s">
        <v>44</v>
      </c>
      <c r="C17" s="50">
        <v>98</v>
      </c>
      <c r="D17" s="50">
        <v>12</v>
      </c>
      <c r="E17" s="50">
        <v>7</v>
      </c>
      <c r="F17" s="50">
        <v>46</v>
      </c>
      <c r="G17" s="50">
        <v>1</v>
      </c>
      <c r="H17" s="50">
        <v>0</v>
      </c>
      <c r="I17" s="50">
        <v>10</v>
      </c>
      <c r="J17" s="50">
        <v>0</v>
      </c>
      <c r="K17" s="50">
        <v>2</v>
      </c>
      <c r="L17" s="50">
        <v>0</v>
      </c>
      <c r="M17" s="50">
        <v>199</v>
      </c>
      <c r="N17" s="50">
        <v>0</v>
      </c>
      <c r="O17" s="17">
        <f t="shared" si="0"/>
        <v>176</v>
      </c>
      <c r="P17" s="17">
        <f t="shared" si="1"/>
        <v>375</v>
      </c>
      <c r="R17" s="1" t="s">
        <v>13</v>
      </c>
      <c r="S17" s="17">
        <f t="shared" ref="S17:AF17" si="9">SUM(C38:C41)</f>
        <v>289</v>
      </c>
      <c r="T17" s="17">
        <f t="shared" si="9"/>
        <v>29</v>
      </c>
      <c r="U17" s="17">
        <f t="shared" si="9"/>
        <v>33</v>
      </c>
      <c r="V17" s="17">
        <f t="shared" si="9"/>
        <v>126</v>
      </c>
      <c r="W17" s="17">
        <f t="shared" si="9"/>
        <v>1</v>
      </c>
      <c r="X17" s="17">
        <f t="shared" si="9"/>
        <v>1</v>
      </c>
      <c r="Y17" s="17">
        <f t="shared" si="9"/>
        <v>52</v>
      </c>
      <c r="Z17" s="17">
        <f t="shared" si="9"/>
        <v>7</v>
      </c>
      <c r="AA17" s="17">
        <f t="shared" si="9"/>
        <v>10</v>
      </c>
      <c r="AB17" s="17">
        <f t="shared" si="9"/>
        <v>0</v>
      </c>
      <c r="AC17" s="17">
        <f t="shared" si="9"/>
        <v>352</v>
      </c>
      <c r="AD17" s="17">
        <f t="shared" si="9"/>
        <v>0</v>
      </c>
      <c r="AE17" s="31">
        <f t="shared" si="9"/>
        <v>548</v>
      </c>
      <c r="AF17" s="31">
        <f t="shared" si="9"/>
        <v>900</v>
      </c>
    </row>
    <row r="18" spans="2:32" ht="23.1" customHeight="1" x14ac:dyDescent="0.25">
      <c r="B18" s="45" t="s">
        <v>45</v>
      </c>
      <c r="C18" s="50">
        <v>75</v>
      </c>
      <c r="D18" s="50">
        <v>9</v>
      </c>
      <c r="E18" s="50">
        <v>8</v>
      </c>
      <c r="F18" s="50">
        <v>47</v>
      </c>
      <c r="G18" s="50">
        <v>4</v>
      </c>
      <c r="H18" s="50">
        <v>0</v>
      </c>
      <c r="I18" s="50">
        <v>9</v>
      </c>
      <c r="J18" s="50">
        <v>2</v>
      </c>
      <c r="K18" s="50">
        <v>2</v>
      </c>
      <c r="L18" s="50">
        <v>0</v>
      </c>
      <c r="M18" s="50">
        <v>130</v>
      </c>
      <c r="N18" s="50">
        <v>0</v>
      </c>
      <c r="O18" s="17">
        <f t="shared" si="0"/>
        <v>156</v>
      </c>
      <c r="P18" s="17">
        <f t="shared" si="1"/>
        <v>286</v>
      </c>
      <c r="R18" s="1" t="s">
        <v>14</v>
      </c>
      <c r="S18" s="17">
        <f t="shared" ref="S18:AF18" si="10">SUM(C42:C45)</f>
        <v>282</v>
      </c>
      <c r="T18" s="17">
        <f t="shared" si="10"/>
        <v>36</v>
      </c>
      <c r="U18" s="17">
        <f t="shared" si="10"/>
        <v>48</v>
      </c>
      <c r="V18" s="17">
        <f t="shared" si="10"/>
        <v>145</v>
      </c>
      <c r="W18" s="17">
        <f t="shared" si="10"/>
        <v>1</v>
      </c>
      <c r="X18" s="17">
        <f t="shared" si="10"/>
        <v>2</v>
      </c>
      <c r="Y18" s="17">
        <f t="shared" si="10"/>
        <v>72</v>
      </c>
      <c r="Z18" s="17">
        <f t="shared" si="10"/>
        <v>9</v>
      </c>
      <c r="AA18" s="17">
        <f t="shared" si="10"/>
        <v>11</v>
      </c>
      <c r="AB18" s="17">
        <f t="shared" si="10"/>
        <v>10</v>
      </c>
      <c r="AC18" s="17">
        <f t="shared" si="10"/>
        <v>354</v>
      </c>
      <c r="AD18" s="17">
        <f t="shared" si="10"/>
        <v>0</v>
      </c>
      <c r="AE18" s="31">
        <f t="shared" si="10"/>
        <v>616</v>
      </c>
      <c r="AF18" s="31">
        <f t="shared" si="10"/>
        <v>970</v>
      </c>
    </row>
    <row r="19" spans="2:32" ht="23.1" customHeight="1" x14ac:dyDescent="0.25">
      <c r="B19" s="45" t="s">
        <v>46</v>
      </c>
      <c r="C19" s="50">
        <v>108</v>
      </c>
      <c r="D19" s="50">
        <v>14</v>
      </c>
      <c r="E19" s="50">
        <v>7</v>
      </c>
      <c r="F19" s="50">
        <v>40</v>
      </c>
      <c r="G19" s="50">
        <v>0</v>
      </c>
      <c r="H19" s="50">
        <v>0</v>
      </c>
      <c r="I19" s="50">
        <v>12</v>
      </c>
      <c r="J19" s="50">
        <v>1</v>
      </c>
      <c r="K19" s="50">
        <v>2</v>
      </c>
      <c r="L19" s="50">
        <v>0</v>
      </c>
      <c r="M19" s="50">
        <v>110</v>
      </c>
      <c r="N19" s="50">
        <v>0</v>
      </c>
      <c r="O19" s="17">
        <f t="shared" si="0"/>
        <v>184</v>
      </c>
      <c r="P19" s="17">
        <f t="shared" si="1"/>
        <v>294</v>
      </c>
      <c r="R19" s="1" t="s">
        <v>15</v>
      </c>
      <c r="S19" s="17">
        <f t="shared" ref="S19:AF19" si="11">SUM(C46:C49)</f>
        <v>299</v>
      </c>
      <c r="T19" s="17">
        <f t="shared" si="11"/>
        <v>37</v>
      </c>
      <c r="U19" s="17">
        <f t="shared" si="11"/>
        <v>26</v>
      </c>
      <c r="V19" s="17">
        <f t="shared" si="11"/>
        <v>145</v>
      </c>
      <c r="W19" s="17">
        <f t="shared" si="11"/>
        <v>0</v>
      </c>
      <c r="X19" s="17">
        <f t="shared" si="11"/>
        <v>0</v>
      </c>
      <c r="Y19" s="17">
        <f t="shared" si="11"/>
        <v>57</v>
      </c>
      <c r="Z19" s="17">
        <f t="shared" si="11"/>
        <v>10</v>
      </c>
      <c r="AA19" s="17">
        <f t="shared" si="11"/>
        <v>6</v>
      </c>
      <c r="AB19" s="17">
        <f t="shared" si="11"/>
        <v>0</v>
      </c>
      <c r="AC19" s="17">
        <f t="shared" si="11"/>
        <v>398</v>
      </c>
      <c r="AD19" s="17">
        <f t="shared" si="11"/>
        <v>0</v>
      </c>
      <c r="AE19" s="31">
        <f t="shared" si="11"/>
        <v>580</v>
      </c>
      <c r="AF19" s="31">
        <f t="shared" si="11"/>
        <v>978</v>
      </c>
    </row>
    <row r="20" spans="2:32" ht="23.1" customHeight="1" x14ac:dyDescent="0.25">
      <c r="B20" s="45" t="s">
        <v>47</v>
      </c>
      <c r="C20" s="50">
        <v>91</v>
      </c>
      <c r="D20" s="50">
        <v>6</v>
      </c>
      <c r="E20" s="50">
        <v>11</v>
      </c>
      <c r="F20" s="50">
        <v>35</v>
      </c>
      <c r="G20" s="50">
        <v>1</v>
      </c>
      <c r="H20" s="50">
        <v>0</v>
      </c>
      <c r="I20" s="50">
        <v>10</v>
      </c>
      <c r="J20" s="50">
        <v>3</v>
      </c>
      <c r="K20" s="50">
        <v>0</v>
      </c>
      <c r="L20" s="50">
        <v>0</v>
      </c>
      <c r="M20" s="50">
        <v>174</v>
      </c>
      <c r="N20" s="50">
        <v>0</v>
      </c>
      <c r="O20" s="17">
        <f t="shared" si="0"/>
        <v>157</v>
      </c>
      <c r="P20" s="17">
        <f t="shared" si="1"/>
        <v>331</v>
      </c>
      <c r="R20" s="1" t="s">
        <v>16</v>
      </c>
      <c r="S20" s="17">
        <f t="shared" ref="S20:AF20" si="12">SUM(C50:C53)</f>
        <v>335</v>
      </c>
      <c r="T20" s="17">
        <f t="shared" si="12"/>
        <v>54</v>
      </c>
      <c r="U20" s="17">
        <f t="shared" si="12"/>
        <v>43</v>
      </c>
      <c r="V20" s="17">
        <f t="shared" si="12"/>
        <v>154</v>
      </c>
      <c r="W20" s="17">
        <f t="shared" si="12"/>
        <v>5</v>
      </c>
      <c r="X20" s="17">
        <f t="shared" si="12"/>
        <v>2</v>
      </c>
      <c r="Y20" s="17">
        <f t="shared" si="12"/>
        <v>46</v>
      </c>
      <c r="Z20" s="17">
        <f t="shared" si="12"/>
        <v>8</v>
      </c>
      <c r="AA20" s="17">
        <f t="shared" si="12"/>
        <v>13</v>
      </c>
      <c r="AB20" s="17">
        <f t="shared" si="12"/>
        <v>1</v>
      </c>
      <c r="AC20" s="17">
        <f t="shared" si="12"/>
        <v>490</v>
      </c>
      <c r="AD20" s="17">
        <f t="shared" si="12"/>
        <v>0</v>
      </c>
      <c r="AE20" s="31">
        <f t="shared" si="12"/>
        <v>661</v>
      </c>
      <c r="AF20" s="31">
        <f t="shared" si="12"/>
        <v>1151</v>
      </c>
    </row>
    <row r="21" spans="2:32" ht="23.1" customHeight="1" x14ac:dyDescent="0.25">
      <c r="B21" s="45" t="s">
        <v>48</v>
      </c>
      <c r="C21" s="50">
        <v>98</v>
      </c>
      <c r="D21" s="50">
        <v>8</v>
      </c>
      <c r="E21" s="50">
        <v>7</v>
      </c>
      <c r="F21" s="50">
        <v>46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128</v>
      </c>
      <c r="N21" s="50">
        <v>0</v>
      </c>
      <c r="O21" s="17">
        <f t="shared" si="0"/>
        <v>162</v>
      </c>
      <c r="P21" s="17">
        <f t="shared" si="1"/>
        <v>290</v>
      </c>
      <c r="R21" s="36" t="s">
        <v>20</v>
      </c>
      <c r="S21" s="34">
        <f t="shared" ref="S21:AF21" si="13">SUM(C54:C57)</f>
        <v>367</v>
      </c>
      <c r="T21" s="17">
        <f t="shared" si="13"/>
        <v>65</v>
      </c>
      <c r="U21" s="17">
        <f t="shared" si="13"/>
        <v>38</v>
      </c>
      <c r="V21" s="17">
        <f t="shared" si="13"/>
        <v>179</v>
      </c>
      <c r="W21" s="17">
        <f t="shared" si="13"/>
        <v>6</v>
      </c>
      <c r="X21" s="17">
        <f t="shared" si="13"/>
        <v>2</v>
      </c>
      <c r="Y21" s="17">
        <f t="shared" si="13"/>
        <v>62</v>
      </c>
      <c r="Z21" s="17">
        <f t="shared" si="13"/>
        <v>4</v>
      </c>
      <c r="AA21" s="17">
        <f t="shared" si="13"/>
        <v>5</v>
      </c>
      <c r="AB21" s="17">
        <f t="shared" si="13"/>
        <v>1</v>
      </c>
      <c r="AC21" s="17">
        <f t="shared" si="13"/>
        <v>448</v>
      </c>
      <c r="AD21" s="17">
        <f t="shared" si="13"/>
        <v>0</v>
      </c>
      <c r="AE21" s="31">
        <f t="shared" si="13"/>
        <v>729</v>
      </c>
      <c r="AF21" s="31">
        <f t="shared" si="13"/>
        <v>1177</v>
      </c>
    </row>
    <row r="22" spans="2:32" ht="23.1" customHeight="1" x14ac:dyDescent="0.25">
      <c r="B22" s="45" t="s">
        <v>49</v>
      </c>
      <c r="C22" s="50">
        <v>100</v>
      </c>
      <c r="D22" s="50">
        <v>10</v>
      </c>
      <c r="E22" s="50">
        <v>5</v>
      </c>
      <c r="F22" s="50">
        <v>38</v>
      </c>
      <c r="G22" s="50">
        <v>2</v>
      </c>
      <c r="H22" s="50">
        <v>0</v>
      </c>
      <c r="I22" s="50">
        <v>7</v>
      </c>
      <c r="J22" s="50">
        <v>3</v>
      </c>
      <c r="K22" s="50">
        <v>0</v>
      </c>
      <c r="L22" s="50">
        <v>0</v>
      </c>
      <c r="M22" s="50">
        <v>90</v>
      </c>
      <c r="N22" s="50">
        <v>0</v>
      </c>
      <c r="O22" s="17">
        <f t="shared" si="0"/>
        <v>165</v>
      </c>
      <c r="P22" s="17">
        <f t="shared" si="1"/>
        <v>255</v>
      </c>
      <c r="R22" s="36" t="s">
        <v>146</v>
      </c>
      <c r="S22" s="34">
        <f>SUM(C58:C61)</f>
        <v>310</v>
      </c>
      <c r="T22" s="34">
        <f t="shared" ref="T22:AF22" si="14">SUM(D58:D61)</f>
        <v>49</v>
      </c>
      <c r="U22" s="34">
        <f t="shared" si="14"/>
        <v>35</v>
      </c>
      <c r="V22" s="34">
        <f t="shared" si="14"/>
        <v>172</v>
      </c>
      <c r="W22" s="34">
        <f t="shared" si="14"/>
        <v>7</v>
      </c>
      <c r="X22" s="34">
        <f t="shared" si="14"/>
        <v>0</v>
      </c>
      <c r="Y22" s="34">
        <f t="shared" si="14"/>
        <v>32</v>
      </c>
      <c r="Z22" s="34">
        <f t="shared" si="14"/>
        <v>3</v>
      </c>
      <c r="AA22" s="34">
        <f t="shared" si="14"/>
        <v>4</v>
      </c>
      <c r="AB22" s="34">
        <f t="shared" si="14"/>
        <v>2</v>
      </c>
      <c r="AC22" s="34">
        <f t="shared" si="14"/>
        <v>332</v>
      </c>
      <c r="AD22" s="34">
        <f t="shared" si="14"/>
        <v>0</v>
      </c>
      <c r="AE22" s="31">
        <f t="shared" si="14"/>
        <v>614</v>
      </c>
      <c r="AF22" s="31">
        <f t="shared" si="14"/>
        <v>946</v>
      </c>
    </row>
    <row r="23" spans="2:32" ht="23.1" customHeight="1" x14ac:dyDescent="0.25">
      <c r="B23" s="45" t="s">
        <v>50</v>
      </c>
      <c r="C23" s="50">
        <v>84</v>
      </c>
      <c r="D23" s="50">
        <v>5</v>
      </c>
      <c r="E23" s="50">
        <v>5</v>
      </c>
      <c r="F23" s="50">
        <v>33</v>
      </c>
      <c r="G23" s="50">
        <v>0</v>
      </c>
      <c r="H23" s="50">
        <v>1</v>
      </c>
      <c r="I23" s="50">
        <v>13</v>
      </c>
      <c r="J23" s="50">
        <v>5</v>
      </c>
      <c r="K23" s="50">
        <v>3</v>
      </c>
      <c r="L23" s="50">
        <v>0</v>
      </c>
      <c r="M23" s="50">
        <v>130</v>
      </c>
      <c r="N23" s="50">
        <v>0</v>
      </c>
      <c r="O23" s="17">
        <f t="shared" si="0"/>
        <v>149</v>
      </c>
      <c r="P23" s="17">
        <f t="shared" si="1"/>
        <v>279</v>
      </c>
      <c r="R23" s="36" t="s">
        <v>147</v>
      </c>
      <c r="S23" s="34">
        <f>SUM(C62:C65)</f>
        <v>348</v>
      </c>
      <c r="T23" s="34">
        <f t="shared" ref="T23:AF23" si="15">SUM(D62:D65)</f>
        <v>58</v>
      </c>
      <c r="U23" s="34">
        <f t="shared" si="15"/>
        <v>45</v>
      </c>
      <c r="V23" s="34">
        <f t="shared" si="15"/>
        <v>192</v>
      </c>
      <c r="W23" s="34">
        <f t="shared" si="15"/>
        <v>6</v>
      </c>
      <c r="X23" s="34">
        <f t="shared" si="15"/>
        <v>0</v>
      </c>
      <c r="Y23" s="34">
        <f t="shared" si="15"/>
        <v>43</v>
      </c>
      <c r="Z23" s="34">
        <f t="shared" si="15"/>
        <v>8</v>
      </c>
      <c r="AA23" s="34">
        <f t="shared" si="15"/>
        <v>2</v>
      </c>
      <c r="AB23" s="34">
        <f t="shared" si="15"/>
        <v>0</v>
      </c>
      <c r="AC23" s="34">
        <f t="shared" si="15"/>
        <v>247</v>
      </c>
      <c r="AD23" s="34">
        <f t="shared" si="15"/>
        <v>0</v>
      </c>
      <c r="AE23" s="31">
        <f t="shared" si="15"/>
        <v>702</v>
      </c>
      <c r="AF23" s="31">
        <f t="shared" si="15"/>
        <v>949</v>
      </c>
    </row>
    <row r="24" spans="2:32" ht="23.1" customHeight="1" x14ac:dyDescent="0.25">
      <c r="B24" s="45" t="s">
        <v>51</v>
      </c>
      <c r="C24" s="50">
        <v>95</v>
      </c>
      <c r="D24" s="50">
        <v>12</v>
      </c>
      <c r="E24" s="50">
        <v>7</v>
      </c>
      <c r="F24" s="50">
        <v>30</v>
      </c>
      <c r="G24" s="50">
        <v>2</v>
      </c>
      <c r="H24" s="50">
        <v>0</v>
      </c>
      <c r="I24" s="50">
        <v>11</v>
      </c>
      <c r="J24" s="50">
        <v>3</v>
      </c>
      <c r="K24" s="50">
        <v>0</v>
      </c>
      <c r="L24" s="50">
        <v>0</v>
      </c>
      <c r="M24" s="50">
        <v>128</v>
      </c>
      <c r="N24" s="50">
        <v>0</v>
      </c>
      <c r="O24" s="17">
        <f t="shared" si="0"/>
        <v>160</v>
      </c>
      <c r="P24" s="17">
        <f t="shared" si="1"/>
        <v>288</v>
      </c>
      <c r="R24" s="36" t="s">
        <v>148</v>
      </c>
      <c r="S24" s="34">
        <f>SUM(C66:C69)</f>
        <v>226</v>
      </c>
      <c r="T24" s="34">
        <f t="shared" ref="T24:AF24" si="16">SUM(D66:D69)</f>
        <v>43</v>
      </c>
      <c r="U24" s="34">
        <f t="shared" si="16"/>
        <v>26</v>
      </c>
      <c r="V24" s="34">
        <f t="shared" si="16"/>
        <v>154</v>
      </c>
      <c r="W24" s="34">
        <f t="shared" si="16"/>
        <v>5</v>
      </c>
      <c r="X24" s="34">
        <f t="shared" si="16"/>
        <v>0</v>
      </c>
      <c r="Y24" s="34">
        <f t="shared" si="16"/>
        <v>35</v>
      </c>
      <c r="Z24" s="34">
        <f t="shared" si="16"/>
        <v>3</v>
      </c>
      <c r="AA24" s="34">
        <f t="shared" si="16"/>
        <v>7</v>
      </c>
      <c r="AB24" s="34">
        <f t="shared" si="16"/>
        <v>1</v>
      </c>
      <c r="AC24" s="34">
        <f t="shared" si="16"/>
        <v>177</v>
      </c>
      <c r="AD24" s="34">
        <f t="shared" si="16"/>
        <v>0</v>
      </c>
      <c r="AE24" s="31">
        <f t="shared" si="16"/>
        <v>500</v>
      </c>
      <c r="AF24" s="31">
        <f t="shared" si="16"/>
        <v>677</v>
      </c>
    </row>
    <row r="25" spans="2:32" ht="23.1" customHeight="1" x14ac:dyDescent="0.25">
      <c r="B25" s="45" t="s">
        <v>52</v>
      </c>
      <c r="C25" s="50">
        <v>77</v>
      </c>
      <c r="D25" s="50">
        <v>13</v>
      </c>
      <c r="E25" s="50">
        <v>5</v>
      </c>
      <c r="F25" s="50">
        <v>40</v>
      </c>
      <c r="G25" s="50">
        <v>0</v>
      </c>
      <c r="H25" s="50">
        <v>1</v>
      </c>
      <c r="I25" s="50">
        <v>12</v>
      </c>
      <c r="J25" s="50">
        <v>2</v>
      </c>
      <c r="K25" s="50">
        <v>5</v>
      </c>
      <c r="L25" s="50">
        <v>0</v>
      </c>
      <c r="M25" s="50">
        <v>124</v>
      </c>
      <c r="N25" s="50">
        <v>0</v>
      </c>
      <c r="O25" s="17">
        <f t="shared" si="0"/>
        <v>155</v>
      </c>
      <c r="P25" s="17">
        <f t="shared" si="1"/>
        <v>279</v>
      </c>
      <c r="R25" s="36" t="s">
        <v>149</v>
      </c>
      <c r="S25" s="34">
        <f>SUM(C70:C73)</f>
        <v>106</v>
      </c>
      <c r="T25" s="34">
        <f t="shared" ref="T25:AF25" si="17">SUM(D70:D73)</f>
        <v>15</v>
      </c>
      <c r="U25" s="34">
        <f t="shared" si="17"/>
        <v>12</v>
      </c>
      <c r="V25" s="34">
        <f t="shared" si="17"/>
        <v>107</v>
      </c>
      <c r="W25" s="34">
        <f t="shared" si="17"/>
        <v>5</v>
      </c>
      <c r="X25" s="34">
        <f t="shared" si="17"/>
        <v>0</v>
      </c>
      <c r="Y25" s="34">
        <f t="shared" si="17"/>
        <v>25</v>
      </c>
      <c r="Z25" s="34">
        <f t="shared" si="17"/>
        <v>1</v>
      </c>
      <c r="AA25" s="34">
        <f t="shared" si="17"/>
        <v>1</v>
      </c>
      <c r="AB25" s="34">
        <f t="shared" si="17"/>
        <v>1</v>
      </c>
      <c r="AC25" s="34">
        <f t="shared" si="17"/>
        <v>123</v>
      </c>
      <c r="AD25" s="34">
        <f t="shared" si="17"/>
        <v>0</v>
      </c>
      <c r="AE25" s="31">
        <f t="shared" si="17"/>
        <v>273</v>
      </c>
      <c r="AF25" s="31">
        <f t="shared" si="17"/>
        <v>396</v>
      </c>
    </row>
    <row r="26" spans="2:32" ht="23.1" customHeight="1" x14ac:dyDescent="0.25">
      <c r="B26" s="45" t="s">
        <v>53</v>
      </c>
      <c r="C26" s="50">
        <v>83</v>
      </c>
      <c r="D26" s="50">
        <v>8</v>
      </c>
      <c r="E26" s="50">
        <v>10</v>
      </c>
      <c r="F26" s="50">
        <v>38</v>
      </c>
      <c r="G26" s="50">
        <v>1</v>
      </c>
      <c r="H26" s="50">
        <v>0</v>
      </c>
      <c r="I26" s="50">
        <v>10</v>
      </c>
      <c r="J26" s="50">
        <v>1</v>
      </c>
      <c r="K26" s="50">
        <v>5</v>
      </c>
      <c r="L26" s="50">
        <v>0</v>
      </c>
      <c r="M26" s="50">
        <v>133</v>
      </c>
      <c r="N26" s="50">
        <v>0</v>
      </c>
      <c r="O26" s="17">
        <f t="shared" si="0"/>
        <v>156</v>
      </c>
      <c r="P26" s="17">
        <f t="shared" si="1"/>
        <v>289</v>
      </c>
      <c r="R26" s="36" t="s">
        <v>150</v>
      </c>
      <c r="S26" s="34">
        <f>SUM(C74:C77)</f>
        <v>97</v>
      </c>
      <c r="T26" s="34">
        <f t="shared" ref="T26:AF26" si="18">SUM(D74:D77)</f>
        <v>11</v>
      </c>
      <c r="U26" s="34">
        <f t="shared" si="18"/>
        <v>2</v>
      </c>
      <c r="V26" s="34">
        <f t="shared" si="18"/>
        <v>52</v>
      </c>
      <c r="W26" s="34">
        <f t="shared" si="18"/>
        <v>2</v>
      </c>
      <c r="X26" s="34">
        <f t="shared" si="18"/>
        <v>0</v>
      </c>
      <c r="Y26" s="34">
        <f t="shared" si="18"/>
        <v>16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87</v>
      </c>
      <c r="AD26" s="34">
        <f t="shared" si="18"/>
        <v>0</v>
      </c>
      <c r="AE26" s="31">
        <f t="shared" si="18"/>
        <v>182</v>
      </c>
      <c r="AF26" s="31">
        <f t="shared" si="18"/>
        <v>269</v>
      </c>
    </row>
    <row r="27" spans="2:32" ht="23.1" customHeight="1" x14ac:dyDescent="0.25">
      <c r="B27" s="45" t="s">
        <v>54</v>
      </c>
      <c r="C27" s="50">
        <v>92</v>
      </c>
      <c r="D27" s="50">
        <v>10</v>
      </c>
      <c r="E27" s="50">
        <v>7</v>
      </c>
      <c r="F27" s="50">
        <v>30</v>
      </c>
      <c r="G27" s="50">
        <v>0</v>
      </c>
      <c r="H27" s="50">
        <v>0</v>
      </c>
      <c r="I27" s="50">
        <v>7</v>
      </c>
      <c r="J27" s="50">
        <v>0</v>
      </c>
      <c r="K27" s="50">
        <v>2</v>
      </c>
      <c r="L27" s="50">
        <v>1</v>
      </c>
      <c r="M27" s="50">
        <v>96</v>
      </c>
      <c r="N27" s="50">
        <v>0</v>
      </c>
      <c r="O27" s="17">
        <f t="shared" si="0"/>
        <v>149</v>
      </c>
      <c r="P27" s="17">
        <f t="shared" si="1"/>
        <v>245</v>
      </c>
      <c r="R27" s="36" t="s">
        <v>151</v>
      </c>
      <c r="S27" s="34">
        <f>SUM(C78:C81)</f>
        <v>49</v>
      </c>
      <c r="T27" s="34">
        <f t="shared" ref="T27:AF27" si="19">SUM(D78:D81)</f>
        <v>6</v>
      </c>
      <c r="U27" s="34">
        <f t="shared" si="19"/>
        <v>5</v>
      </c>
      <c r="V27" s="34">
        <f t="shared" si="19"/>
        <v>30</v>
      </c>
      <c r="W27" s="34">
        <f t="shared" si="19"/>
        <v>1</v>
      </c>
      <c r="X27" s="34">
        <f t="shared" si="19"/>
        <v>0</v>
      </c>
      <c r="Y27" s="34">
        <f t="shared" si="19"/>
        <v>7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64</v>
      </c>
      <c r="AD27" s="34">
        <f t="shared" si="19"/>
        <v>0</v>
      </c>
      <c r="AE27" s="31">
        <f t="shared" si="19"/>
        <v>100</v>
      </c>
      <c r="AF27" s="31">
        <f t="shared" si="19"/>
        <v>164</v>
      </c>
    </row>
    <row r="28" spans="2:32" ht="23.1" customHeight="1" x14ac:dyDescent="0.25">
      <c r="B28" s="45" t="s">
        <v>55</v>
      </c>
      <c r="C28" s="50">
        <v>79</v>
      </c>
      <c r="D28" s="50">
        <v>10</v>
      </c>
      <c r="E28" s="50">
        <v>4</v>
      </c>
      <c r="F28" s="50">
        <v>30</v>
      </c>
      <c r="G28" s="50">
        <v>1</v>
      </c>
      <c r="H28" s="50">
        <v>1</v>
      </c>
      <c r="I28" s="50">
        <v>9</v>
      </c>
      <c r="J28" s="50">
        <v>1</v>
      </c>
      <c r="K28" s="50">
        <v>7</v>
      </c>
      <c r="L28" s="50">
        <v>0</v>
      </c>
      <c r="M28" s="50">
        <v>104</v>
      </c>
      <c r="N28" s="50">
        <v>0</v>
      </c>
      <c r="O28" s="17">
        <f t="shared" si="0"/>
        <v>142</v>
      </c>
      <c r="P28" s="17">
        <f t="shared" si="1"/>
        <v>246</v>
      </c>
      <c r="R28" s="36" t="s">
        <v>152</v>
      </c>
      <c r="S28" s="34">
        <f>SUM(C82:C85)</f>
        <v>15</v>
      </c>
      <c r="T28" s="34">
        <f t="shared" ref="T28:AF28" si="20">SUM(D82:D85)</f>
        <v>5</v>
      </c>
      <c r="U28" s="34">
        <f t="shared" si="20"/>
        <v>3</v>
      </c>
      <c r="V28" s="34">
        <f t="shared" si="20"/>
        <v>13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49</v>
      </c>
      <c r="AD28" s="34">
        <f t="shared" si="20"/>
        <v>0</v>
      </c>
      <c r="AE28" s="31">
        <f t="shared" si="20"/>
        <v>38</v>
      </c>
      <c r="AF28" s="31">
        <f t="shared" si="20"/>
        <v>87</v>
      </c>
    </row>
    <row r="29" spans="2:32" ht="23.1" customHeight="1" x14ac:dyDescent="0.25">
      <c r="B29" s="45" t="s">
        <v>56</v>
      </c>
      <c r="C29" s="50">
        <v>82</v>
      </c>
      <c r="D29" s="50">
        <v>8</v>
      </c>
      <c r="E29" s="50">
        <v>4</v>
      </c>
      <c r="F29" s="50">
        <v>50</v>
      </c>
      <c r="G29" s="50">
        <v>1</v>
      </c>
      <c r="H29" s="50">
        <v>0</v>
      </c>
      <c r="I29" s="50">
        <v>13</v>
      </c>
      <c r="J29" s="50">
        <v>2</v>
      </c>
      <c r="K29" s="50">
        <v>8</v>
      </c>
      <c r="L29" s="50">
        <v>0</v>
      </c>
      <c r="M29" s="50">
        <v>95</v>
      </c>
      <c r="N29" s="50">
        <v>0</v>
      </c>
      <c r="O29" s="17">
        <f t="shared" si="0"/>
        <v>168</v>
      </c>
      <c r="P29" s="17">
        <f t="shared" si="1"/>
        <v>263</v>
      </c>
      <c r="R29" s="36" t="s">
        <v>153</v>
      </c>
      <c r="S29" s="34">
        <f>SUM(C86:C89)</f>
        <v>14</v>
      </c>
      <c r="T29" s="34">
        <f t="shared" ref="T29:AF29" si="21">SUM(D86:D89)</f>
        <v>3</v>
      </c>
      <c r="U29" s="34">
        <f t="shared" si="21"/>
        <v>0</v>
      </c>
      <c r="V29" s="34">
        <f t="shared" si="21"/>
        <v>12</v>
      </c>
      <c r="W29" s="34">
        <f t="shared" si="21"/>
        <v>1</v>
      </c>
      <c r="X29" s="34">
        <f t="shared" si="21"/>
        <v>0</v>
      </c>
      <c r="Y29" s="34">
        <f t="shared" si="21"/>
        <v>1</v>
      </c>
      <c r="Z29" s="34">
        <f t="shared" si="21"/>
        <v>1</v>
      </c>
      <c r="AA29" s="34">
        <f t="shared" si="21"/>
        <v>1</v>
      </c>
      <c r="AB29" s="34">
        <f t="shared" si="21"/>
        <v>0</v>
      </c>
      <c r="AC29" s="34">
        <f t="shared" si="21"/>
        <v>27</v>
      </c>
      <c r="AD29" s="34">
        <f t="shared" si="21"/>
        <v>0</v>
      </c>
      <c r="AE29" s="31">
        <f t="shared" si="21"/>
        <v>33</v>
      </c>
      <c r="AF29" s="31">
        <f t="shared" si="21"/>
        <v>60</v>
      </c>
    </row>
    <row r="30" spans="2:32" ht="23.1" customHeight="1" x14ac:dyDescent="0.25">
      <c r="B30" s="45" t="s">
        <v>57</v>
      </c>
      <c r="C30" s="50">
        <v>57</v>
      </c>
      <c r="D30" s="50">
        <v>15</v>
      </c>
      <c r="E30" s="50">
        <v>10</v>
      </c>
      <c r="F30" s="50">
        <v>37</v>
      </c>
      <c r="G30" s="50">
        <v>0</v>
      </c>
      <c r="H30" s="50">
        <v>0</v>
      </c>
      <c r="I30" s="50">
        <v>6</v>
      </c>
      <c r="J30" s="50">
        <v>2</v>
      </c>
      <c r="K30" s="50">
        <v>3</v>
      </c>
      <c r="L30" s="50">
        <v>0</v>
      </c>
      <c r="M30" s="50">
        <v>73</v>
      </c>
      <c r="N30" s="50">
        <v>0</v>
      </c>
      <c r="O30" s="17">
        <f t="shared" si="0"/>
        <v>130</v>
      </c>
      <c r="P30" s="17">
        <f t="shared" si="1"/>
        <v>203</v>
      </c>
      <c r="R30" s="36" t="s">
        <v>154</v>
      </c>
      <c r="S30" s="34">
        <f>SUM(C90:C93)</f>
        <v>22</v>
      </c>
      <c r="T30" s="34">
        <f t="shared" ref="T30:AF30" si="22">SUM(D90:D93)</f>
        <v>0</v>
      </c>
      <c r="U30" s="34">
        <f t="shared" si="22"/>
        <v>3</v>
      </c>
      <c r="V30" s="34">
        <f t="shared" si="22"/>
        <v>6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4</v>
      </c>
      <c r="AA30" s="34">
        <f t="shared" si="22"/>
        <v>0</v>
      </c>
      <c r="AB30" s="34">
        <f t="shared" si="22"/>
        <v>0</v>
      </c>
      <c r="AC30" s="34">
        <f t="shared" si="22"/>
        <v>22</v>
      </c>
      <c r="AD30" s="34">
        <f t="shared" si="22"/>
        <v>0</v>
      </c>
      <c r="AE30" s="31">
        <f t="shared" si="22"/>
        <v>38</v>
      </c>
      <c r="AF30" s="31">
        <f t="shared" si="22"/>
        <v>60</v>
      </c>
    </row>
    <row r="31" spans="2:32" ht="23.1" customHeight="1" x14ac:dyDescent="0.25">
      <c r="B31" s="46" t="s">
        <v>58</v>
      </c>
      <c r="C31" s="50">
        <v>70</v>
      </c>
      <c r="D31" s="50">
        <v>10</v>
      </c>
      <c r="E31" s="50">
        <v>7</v>
      </c>
      <c r="F31" s="50">
        <v>35</v>
      </c>
      <c r="G31" s="50">
        <v>1</v>
      </c>
      <c r="H31" s="50">
        <v>0</v>
      </c>
      <c r="I31" s="50">
        <v>6</v>
      </c>
      <c r="J31" s="50">
        <v>2</v>
      </c>
      <c r="K31" s="50">
        <v>2</v>
      </c>
      <c r="L31" s="50">
        <v>0</v>
      </c>
      <c r="M31" s="50">
        <v>92</v>
      </c>
      <c r="N31" s="50">
        <v>0</v>
      </c>
      <c r="O31" s="17">
        <f t="shared" si="0"/>
        <v>133</v>
      </c>
      <c r="P31" s="17">
        <f t="shared" si="1"/>
        <v>225</v>
      </c>
      <c r="R31" s="36" t="s">
        <v>155</v>
      </c>
      <c r="S31" s="34">
        <f>SUM(C94:C97)</f>
        <v>10</v>
      </c>
      <c r="T31" s="34">
        <f t="shared" ref="T31:AF31" si="23">SUM(D94:D97)</f>
        <v>2</v>
      </c>
      <c r="U31" s="34">
        <f t="shared" si="23"/>
        <v>2</v>
      </c>
      <c r="V31" s="34">
        <f t="shared" si="23"/>
        <v>14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1</v>
      </c>
      <c r="AA31" s="34">
        <f t="shared" si="23"/>
        <v>1</v>
      </c>
      <c r="AB31" s="34">
        <f t="shared" si="23"/>
        <v>0</v>
      </c>
      <c r="AC31" s="34">
        <f t="shared" si="23"/>
        <v>53</v>
      </c>
      <c r="AD31" s="34">
        <f t="shared" si="23"/>
        <v>0</v>
      </c>
      <c r="AE31" s="31">
        <f t="shared" si="23"/>
        <v>33</v>
      </c>
      <c r="AF31" s="31">
        <f t="shared" si="23"/>
        <v>86</v>
      </c>
    </row>
    <row r="32" spans="2:32" ht="23.1" customHeight="1" x14ac:dyDescent="0.25">
      <c r="B32" s="46" t="s">
        <v>59</v>
      </c>
      <c r="C32" s="50">
        <v>72</v>
      </c>
      <c r="D32" s="50">
        <v>11</v>
      </c>
      <c r="E32" s="50">
        <v>6</v>
      </c>
      <c r="F32" s="50">
        <v>41</v>
      </c>
      <c r="G32" s="50">
        <v>2</v>
      </c>
      <c r="H32" s="50">
        <v>0</v>
      </c>
      <c r="I32" s="50">
        <v>6</v>
      </c>
      <c r="J32" s="50">
        <v>0</v>
      </c>
      <c r="K32" s="50">
        <v>4</v>
      </c>
      <c r="L32" s="50">
        <v>0</v>
      </c>
      <c r="M32" s="50">
        <v>60</v>
      </c>
      <c r="N32" s="50">
        <v>0</v>
      </c>
      <c r="O32" s="17">
        <f t="shared" si="0"/>
        <v>142</v>
      </c>
      <c r="P32" s="17">
        <f t="shared" si="1"/>
        <v>202</v>
      </c>
      <c r="R32" s="63" t="s">
        <v>156</v>
      </c>
      <c r="S32" s="34">
        <f>SUM(C98:C101)</f>
        <v>23</v>
      </c>
      <c r="T32" s="34">
        <f t="shared" ref="T32:AF32" si="24">SUM(D98:D101)</f>
        <v>8</v>
      </c>
      <c r="U32" s="34">
        <f t="shared" si="24"/>
        <v>2</v>
      </c>
      <c r="V32" s="34">
        <f t="shared" si="24"/>
        <v>34</v>
      </c>
      <c r="W32" s="34">
        <f t="shared" si="24"/>
        <v>0</v>
      </c>
      <c r="X32" s="34">
        <f t="shared" si="24"/>
        <v>1</v>
      </c>
      <c r="Y32" s="34">
        <f t="shared" si="24"/>
        <v>14</v>
      </c>
      <c r="Z32" s="34">
        <f t="shared" si="24"/>
        <v>3</v>
      </c>
      <c r="AA32" s="34">
        <f t="shared" si="24"/>
        <v>5</v>
      </c>
      <c r="AB32" s="34">
        <f t="shared" si="24"/>
        <v>0</v>
      </c>
      <c r="AC32" s="34">
        <f t="shared" si="24"/>
        <v>61</v>
      </c>
      <c r="AD32" s="34">
        <f t="shared" si="24"/>
        <v>0</v>
      </c>
      <c r="AE32" s="31">
        <f t="shared" si="24"/>
        <v>90</v>
      </c>
      <c r="AF32" s="31">
        <f t="shared" si="24"/>
        <v>151</v>
      </c>
    </row>
    <row r="33" spans="2:32" ht="23.1" customHeight="1" x14ac:dyDescent="0.25">
      <c r="B33" s="45" t="s">
        <v>60</v>
      </c>
      <c r="C33" s="50">
        <v>61</v>
      </c>
      <c r="D33" s="50">
        <v>8</v>
      </c>
      <c r="E33" s="50">
        <v>6</v>
      </c>
      <c r="F33" s="50">
        <v>34</v>
      </c>
      <c r="G33" s="50">
        <v>1</v>
      </c>
      <c r="H33" s="50">
        <v>1</v>
      </c>
      <c r="I33" s="50">
        <v>13</v>
      </c>
      <c r="J33" s="50">
        <v>0</v>
      </c>
      <c r="K33" s="50">
        <v>10</v>
      </c>
      <c r="L33" s="50">
        <v>0</v>
      </c>
      <c r="M33" s="50">
        <v>75</v>
      </c>
      <c r="N33" s="50">
        <v>0</v>
      </c>
      <c r="O33" s="17">
        <f t="shared" si="0"/>
        <v>134</v>
      </c>
      <c r="P33" s="17">
        <f t="shared" si="1"/>
        <v>209</v>
      </c>
      <c r="R33" s="63" t="s">
        <v>157</v>
      </c>
      <c r="S33" s="34">
        <f>SUM(C102:C105)</f>
        <v>61</v>
      </c>
      <c r="T33" s="34">
        <f t="shared" ref="T33:AF33" si="25">SUM(D102:D105)</f>
        <v>9</v>
      </c>
      <c r="U33" s="34">
        <f t="shared" si="25"/>
        <v>2</v>
      </c>
      <c r="V33" s="34">
        <f t="shared" si="25"/>
        <v>100</v>
      </c>
      <c r="W33" s="34">
        <f t="shared" si="25"/>
        <v>1</v>
      </c>
      <c r="X33" s="34">
        <f t="shared" si="25"/>
        <v>0</v>
      </c>
      <c r="Y33" s="34">
        <f t="shared" si="25"/>
        <v>19</v>
      </c>
      <c r="Z33" s="34">
        <f t="shared" si="25"/>
        <v>2</v>
      </c>
      <c r="AA33" s="34">
        <f t="shared" si="25"/>
        <v>7</v>
      </c>
      <c r="AB33" s="34">
        <f t="shared" si="25"/>
        <v>0</v>
      </c>
      <c r="AC33" s="34">
        <f t="shared" si="25"/>
        <v>220</v>
      </c>
      <c r="AD33" s="34">
        <f t="shared" si="25"/>
        <v>0</v>
      </c>
      <c r="AE33" s="31">
        <f t="shared" si="25"/>
        <v>201</v>
      </c>
      <c r="AF33" s="31">
        <f t="shared" si="25"/>
        <v>421</v>
      </c>
    </row>
    <row r="34" spans="2:32" ht="23.1" customHeight="1" x14ac:dyDescent="0.25">
      <c r="B34" s="46" t="s">
        <v>61</v>
      </c>
      <c r="C34" s="50">
        <v>60</v>
      </c>
      <c r="D34" s="50">
        <v>15</v>
      </c>
      <c r="E34" s="50">
        <v>6</v>
      </c>
      <c r="F34" s="50">
        <v>30</v>
      </c>
      <c r="G34" s="50">
        <v>0</v>
      </c>
      <c r="H34" s="50">
        <v>1</v>
      </c>
      <c r="I34" s="50">
        <v>15</v>
      </c>
      <c r="J34" s="50">
        <v>5</v>
      </c>
      <c r="K34" s="50">
        <v>0</v>
      </c>
      <c r="L34" s="50">
        <v>0</v>
      </c>
      <c r="M34" s="50">
        <v>105</v>
      </c>
      <c r="N34" s="50">
        <v>0</v>
      </c>
      <c r="O34" s="17">
        <f t="shared" si="0"/>
        <v>132</v>
      </c>
      <c r="P34" s="17">
        <f t="shared" si="1"/>
        <v>237</v>
      </c>
      <c r="R34" s="64" t="s">
        <v>90</v>
      </c>
      <c r="S34" s="65">
        <f t="shared" ref="S34:AF34" si="26">MAX(S10:S12)</f>
        <v>372</v>
      </c>
      <c r="T34" s="65">
        <f t="shared" si="26"/>
        <v>43</v>
      </c>
      <c r="U34" s="65">
        <f t="shared" si="26"/>
        <v>33</v>
      </c>
      <c r="V34" s="65">
        <f t="shared" si="26"/>
        <v>215</v>
      </c>
      <c r="W34" s="65">
        <f t="shared" si="26"/>
        <v>5</v>
      </c>
      <c r="X34" s="65">
        <f t="shared" si="26"/>
        <v>6</v>
      </c>
      <c r="Y34" s="65">
        <f t="shared" si="26"/>
        <v>43</v>
      </c>
      <c r="Z34" s="65">
        <f t="shared" si="26"/>
        <v>9</v>
      </c>
      <c r="AA34" s="65">
        <f t="shared" si="26"/>
        <v>19</v>
      </c>
      <c r="AB34" s="65">
        <f t="shared" si="26"/>
        <v>1</v>
      </c>
      <c r="AC34" s="65">
        <f t="shared" si="26"/>
        <v>768</v>
      </c>
      <c r="AD34" s="65">
        <f t="shared" si="26"/>
        <v>0</v>
      </c>
      <c r="AE34" s="40">
        <f t="shared" si="26"/>
        <v>679</v>
      </c>
      <c r="AF34" s="40">
        <f t="shared" si="26"/>
        <v>1447</v>
      </c>
    </row>
    <row r="35" spans="2:32" ht="23.1" customHeight="1" x14ac:dyDescent="0.25">
      <c r="B35" s="46" t="s">
        <v>62</v>
      </c>
      <c r="C35" s="50">
        <v>65</v>
      </c>
      <c r="D35" s="50">
        <v>12</v>
      </c>
      <c r="E35" s="50">
        <v>5</v>
      </c>
      <c r="F35" s="50">
        <v>31</v>
      </c>
      <c r="G35" s="50">
        <v>1</v>
      </c>
      <c r="H35" s="50">
        <v>0</v>
      </c>
      <c r="I35" s="50">
        <v>11</v>
      </c>
      <c r="J35" s="50">
        <v>3</v>
      </c>
      <c r="K35" s="50">
        <v>2</v>
      </c>
      <c r="L35" s="50">
        <v>1</v>
      </c>
      <c r="M35" s="50">
        <v>75</v>
      </c>
      <c r="N35" s="50">
        <v>0</v>
      </c>
      <c r="O35" s="17">
        <f t="shared" si="0"/>
        <v>131</v>
      </c>
      <c r="P35" s="17">
        <f t="shared" si="1"/>
        <v>206</v>
      </c>
      <c r="R35" s="64" t="s">
        <v>91</v>
      </c>
      <c r="S35" s="65">
        <f t="shared" ref="S35:AF35" si="27">MAX(S13:S18)</f>
        <v>356</v>
      </c>
      <c r="T35" s="65">
        <f t="shared" si="27"/>
        <v>48</v>
      </c>
      <c r="U35" s="65">
        <f t="shared" si="27"/>
        <v>48</v>
      </c>
      <c r="V35" s="65">
        <f t="shared" si="27"/>
        <v>148</v>
      </c>
      <c r="W35" s="65">
        <f t="shared" si="27"/>
        <v>4</v>
      </c>
      <c r="X35" s="65">
        <f t="shared" si="27"/>
        <v>3</v>
      </c>
      <c r="Y35" s="65">
        <f t="shared" si="27"/>
        <v>72</v>
      </c>
      <c r="Z35" s="65">
        <f t="shared" si="27"/>
        <v>13</v>
      </c>
      <c r="AA35" s="65">
        <f t="shared" si="27"/>
        <v>22</v>
      </c>
      <c r="AB35" s="65">
        <f t="shared" si="27"/>
        <v>10</v>
      </c>
      <c r="AC35" s="65">
        <f t="shared" si="27"/>
        <v>472</v>
      </c>
      <c r="AD35" s="65">
        <f t="shared" si="27"/>
        <v>0</v>
      </c>
      <c r="AE35" s="40">
        <f t="shared" si="27"/>
        <v>629</v>
      </c>
      <c r="AF35" s="40">
        <f t="shared" si="27"/>
        <v>1101</v>
      </c>
    </row>
    <row r="36" spans="2:32" ht="23.1" customHeight="1" x14ac:dyDescent="0.25">
      <c r="B36" s="46" t="s">
        <v>63</v>
      </c>
      <c r="C36" s="50">
        <v>63</v>
      </c>
      <c r="D36" s="50">
        <v>8</v>
      </c>
      <c r="E36" s="50">
        <v>5</v>
      </c>
      <c r="F36" s="50">
        <v>34</v>
      </c>
      <c r="G36" s="50">
        <v>0</v>
      </c>
      <c r="H36" s="50">
        <v>1</v>
      </c>
      <c r="I36" s="50">
        <v>8</v>
      </c>
      <c r="J36" s="50">
        <v>3</v>
      </c>
      <c r="K36" s="50">
        <v>4</v>
      </c>
      <c r="L36" s="50">
        <v>0</v>
      </c>
      <c r="M36" s="50">
        <v>96</v>
      </c>
      <c r="N36" s="50">
        <v>0</v>
      </c>
      <c r="O36" s="17">
        <f t="shared" si="0"/>
        <v>126</v>
      </c>
      <c r="P36" s="17">
        <f t="shared" si="1"/>
        <v>222</v>
      </c>
      <c r="R36" s="64" t="s">
        <v>92</v>
      </c>
      <c r="S36" s="65">
        <f t="shared" ref="S36:AF36" si="28">MAX(S19:S21)</f>
        <v>367</v>
      </c>
      <c r="T36" s="65">
        <f t="shared" si="28"/>
        <v>65</v>
      </c>
      <c r="U36" s="65">
        <f t="shared" si="28"/>
        <v>43</v>
      </c>
      <c r="V36" s="65">
        <f t="shared" si="28"/>
        <v>179</v>
      </c>
      <c r="W36" s="65">
        <f t="shared" si="28"/>
        <v>6</v>
      </c>
      <c r="X36" s="65">
        <f t="shared" si="28"/>
        <v>2</v>
      </c>
      <c r="Y36" s="65">
        <f t="shared" si="28"/>
        <v>62</v>
      </c>
      <c r="Z36" s="65">
        <f t="shared" si="28"/>
        <v>10</v>
      </c>
      <c r="AA36" s="65">
        <f t="shared" si="28"/>
        <v>13</v>
      </c>
      <c r="AB36" s="65">
        <f t="shared" si="28"/>
        <v>1</v>
      </c>
      <c r="AC36" s="65">
        <f t="shared" si="28"/>
        <v>490</v>
      </c>
      <c r="AD36" s="65">
        <f t="shared" si="28"/>
        <v>0</v>
      </c>
      <c r="AE36" s="40">
        <f t="shared" si="28"/>
        <v>729</v>
      </c>
      <c r="AF36" s="40">
        <f t="shared" si="28"/>
        <v>1177</v>
      </c>
    </row>
    <row r="37" spans="2:32" ht="23.1" customHeight="1" x14ac:dyDescent="0.25">
      <c r="B37" s="45" t="s">
        <v>64</v>
      </c>
      <c r="C37" s="50">
        <v>73</v>
      </c>
      <c r="D37" s="50">
        <v>13</v>
      </c>
      <c r="E37" s="50">
        <v>5</v>
      </c>
      <c r="F37" s="50">
        <v>31</v>
      </c>
      <c r="G37" s="50">
        <v>1</v>
      </c>
      <c r="H37" s="50">
        <v>1</v>
      </c>
      <c r="I37" s="50">
        <v>9</v>
      </c>
      <c r="J37" s="50">
        <v>1</v>
      </c>
      <c r="K37" s="50">
        <v>8</v>
      </c>
      <c r="L37" s="50">
        <v>0</v>
      </c>
      <c r="M37" s="50">
        <v>78</v>
      </c>
      <c r="N37" s="50">
        <v>0</v>
      </c>
      <c r="O37" s="17">
        <f t="shared" si="0"/>
        <v>142</v>
      </c>
      <c r="P37" s="17">
        <f t="shared" si="1"/>
        <v>220</v>
      </c>
      <c r="R37" s="37" t="s">
        <v>85</v>
      </c>
      <c r="S37" s="35">
        <f t="shared" ref="S37:AF37" si="29">SUM(S10:S12)</f>
        <v>1004</v>
      </c>
      <c r="T37" s="16">
        <f t="shared" si="29"/>
        <v>104</v>
      </c>
      <c r="U37" s="16">
        <f t="shared" si="29"/>
        <v>74</v>
      </c>
      <c r="V37" s="16">
        <f t="shared" si="29"/>
        <v>560</v>
      </c>
      <c r="W37" s="16">
        <f t="shared" si="29"/>
        <v>9</v>
      </c>
      <c r="X37" s="16">
        <f t="shared" si="29"/>
        <v>7</v>
      </c>
      <c r="Y37" s="16">
        <f t="shared" si="29"/>
        <v>113</v>
      </c>
      <c r="Z37" s="16">
        <f t="shared" si="29"/>
        <v>17</v>
      </c>
      <c r="AA37" s="16">
        <f t="shared" si="29"/>
        <v>28</v>
      </c>
      <c r="AB37" s="16">
        <f t="shared" si="29"/>
        <v>1</v>
      </c>
      <c r="AC37" s="16">
        <f t="shared" si="29"/>
        <v>1920</v>
      </c>
      <c r="AD37" s="16">
        <f t="shared" si="29"/>
        <v>0</v>
      </c>
      <c r="AE37" s="32">
        <f t="shared" si="29"/>
        <v>1917</v>
      </c>
      <c r="AF37" s="32">
        <f t="shared" si="29"/>
        <v>3837</v>
      </c>
    </row>
    <row r="38" spans="2:32" ht="23.1" customHeight="1" x14ac:dyDescent="0.25">
      <c r="B38" s="46" t="s">
        <v>65</v>
      </c>
      <c r="C38" s="50">
        <v>78</v>
      </c>
      <c r="D38" s="50">
        <v>9</v>
      </c>
      <c r="E38" s="50">
        <v>9</v>
      </c>
      <c r="F38" s="50">
        <v>26</v>
      </c>
      <c r="G38" s="50">
        <v>0</v>
      </c>
      <c r="H38" s="50">
        <v>1</v>
      </c>
      <c r="I38" s="50">
        <v>20</v>
      </c>
      <c r="J38" s="50">
        <v>1</v>
      </c>
      <c r="K38" s="50">
        <v>2</v>
      </c>
      <c r="L38" s="50">
        <v>0</v>
      </c>
      <c r="M38" s="50">
        <v>93</v>
      </c>
      <c r="N38" s="50">
        <v>0</v>
      </c>
      <c r="O38" s="17">
        <f t="shared" si="0"/>
        <v>146</v>
      </c>
      <c r="P38" s="17">
        <f t="shared" si="1"/>
        <v>239</v>
      </c>
      <c r="R38" s="28" t="s">
        <v>86</v>
      </c>
      <c r="S38" s="16">
        <f t="shared" ref="S38:AF38" si="30">SUM(S13:S18)</f>
        <v>1784</v>
      </c>
      <c r="T38" s="16">
        <f t="shared" si="30"/>
        <v>233</v>
      </c>
      <c r="U38" s="16">
        <f t="shared" si="30"/>
        <v>178</v>
      </c>
      <c r="V38" s="16">
        <f t="shared" si="30"/>
        <v>833</v>
      </c>
      <c r="W38" s="16">
        <f t="shared" si="30"/>
        <v>15</v>
      </c>
      <c r="X38" s="16">
        <f t="shared" si="30"/>
        <v>10</v>
      </c>
      <c r="Y38" s="16">
        <f t="shared" si="30"/>
        <v>280</v>
      </c>
      <c r="Z38" s="16">
        <f t="shared" si="30"/>
        <v>49</v>
      </c>
      <c r="AA38" s="16">
        <f t="shared" si="30"/>
        <v>84</v>
      </c>
      <c r="AB38" s="16">
        <f t="shared" si="30"/>
        <v>12</v>
      </c>
      <c r="AC38" s="16">
        <f t="shared" si="30"/>
        <v>2260</v>
      </c>
      <c r="AD38" s="16">
        <f t="shared" si="30"/>
        <v>0</v>
      </c>
      <c r="AE38" s="32">
        <f t="shared" si="30"/>
        <v>3478</v>
      </c>
      <c r="AF38" s="32">
        <f t="shared" si="30"/>
        <v>5738</v>
      </c>
    </row>
    <row r="39" spans="2:32" ht="23.1" customHeight="1" x14ac:dyDescent="0.25">
      <c r="B39" s="46" t="s">
        <v>66</v>
      </c>
      <c r="C39" s="50">
        <v>67</v>
      </c>
      <c r="D39" s="50">
        <v>10</v>
      </c>
      <c r="E39" s="50">
        <v>8</v>
      </c>
      <c r="F39" s="50">
        <v>34</v>
      </c>
      <c r="G39" s="50">
        <v>1</v>
      </c>
      <c r="H39" s="50">
        <v>0</v>
      </c>
      <c r="I39" s="50">
        <v>11</v>
      </c>
      <c r="J39" s="50">
        <v>1</v>
      </c>
      <c r="K39" s="50">
        <v>1</v>
      </c>
      <c r="L39" s="50">
        <v>0</v>
      </c>
      <c r="M39" s="50">
        <v>89</v>
      </c>
      <c r="N39" s="50">
        <v>0</v>
      </c>
      <c r="O39" s="17">
        <f t="shared" si="0"/>
        <v>133</v>
      </c>
      <c r="P39" s="17">
        <f t="shared" si="1"/>
        <v>222</v>
      </c>
      <c r="R39" s="29" t="s">
        <v>87</v>
      </c>
      <c r="S39" s="16">
        <f t="shared" ref="S39:AF39" si="31">SUM(S19:S21)</f>
        <v>1001</v>
      </c>
      <c r="T39" s="16">
        <f t="shared" si="31"/>
        <v>156</v>
      </c>
      <c r="U39" s="16">
        <f t="shared" si="31"/>
        <v>107</v>
      </c>
      <c r="V39" s="16">
        <f t="shared" si="31"/>
        <v>478</v>
      </c>
      <c r="W39" s="16">
        <f t="shared" si="31"/>
        <v>11</v>
      </c>
      <c r="X39" s="16">
        <f t="shared" si="31"/>
        <v>4</v>
      </c>
      <c r="Y39" s="16">
        <f t="shared" si="31"/>
        <v>165</v>
      </c>
      <c r="Z39" s="16">
        <f t="shared" si="31"/>
        <v>22</v>
      </c>
      <c r="AA39" s="16">
        <f t="shared" si="31"/>
        <v>24</v>
      </c>
      <c r="AB39" s="16">
        <f t="shared" si="31"/>
        <v>2</v>
      </c>
      <c r="AC39" s="16">
        <f t="shared" si="31"/>
        <v>1336</v>
      </c>
      <c r="AD39" s="16">
        <f t="shared" si="31"/>
        <v>0</v>
      </c>
      <c r="AE39" s="32">
        <f t="shared" si="31"/>
        <v>1970</v>
      </c>
      <c r="AF39" s="32">
        <f t="shared" si="31"/>
        <v>3306</v>
      </c>
    </row>
    <row r="40" spans="2:32" ht="23.1" customHeight="1" x14ac:dyDescent="0.25">
      <c r="B40" s="46" t="s">
        <v>67</v>
      </c>
      <c r="C40" s="50">
        <v>73</v>
      </c>
      <c r="D40" s="50">
        <v>6</v>
      </c>
      <c r="E40" s="50">
        <v>7</v>
      </c>
      <c r="F40" s="50">
        <v>31</v>
      </c>
      <c r="G40" s="50">
        <v>0</v>
      </c>
      <c r="H40" s="50">
        <v>0</v>
      </c>
      <c r="I40" s="50">
        <v>8</v>
      </c>
      <c r="J40" s="50">
        <v>4</v>
      </c>
      <c r="K40" s="50">
        <v>2</v>
      </c>
      <c r="L40" s="50">
        <v>0</v>
      </c>
      <c r="M40" s="50">
        <v>96</v>
      </c>
      <c r="N40" s="50">
        <v>0</v>
      </c>
      <c r="O40" s="17">
        <f t="shared" si="0"/>
        <v>131</v>
      </c>
      <c r="P40" s="17">
        <f t="shared" si="1"/>
        <v>227</v>
      </c>
      <c r="R40" s="5" t="s">
        <v>17</v>
      </c>
      <c r="S40" s="16">
        <f t="shared" ref="S40:AF40" si="32">SUM(S10:S21)</f>
        <v>3789</v>
      </c>
      <c r="T40" s="16">
        <f t="shared" si="32"/>
        <v>493</v>
      </c>
      <c r="U40" s="16">
        <f t="shared" si="32"/>
        <v>359</v>
      </c>
      <c r="V40" s="16">
        <f t="shared" si="32"/>
        <v>1871</v>
      </c>
      <c r="W40" s="16">
        <f t="shared" si="32"/>
        <v>35</v>
      </c>
      <c r="X40" s="16">
        <f t="shared" si="32"/>
        <v>21</v>
      </c>
      <c r="Y40" s="16">
        <f t="shared" si="32"/>
        <v>558</v>
      </c>
      <c r="Z40" s="16">
        <f t="shared" si="32"/>
        <v>88</v>
      </c>
      <c r="AA40" s="16">
        <f t="shared" si="32"/>
        <v>136</v>
      </c>
      <c r="AB40" s="16">
        <f t="shared" si="32"/>
        <v>15</v>
      </c>
      <c r="AC40" s="16">
        <f t="shared" si="32"/>
        <v>5516</v>
      </c>
      <c r="AD40" s="16">
        <f t="shared" si="32"/>
        <v>0</v>
      </c>
      <c r="AE40" s="32">
        <f t="shared" si="32"/>
        <v>7365</v>
      </c>
      <c r="AF40" s="32">
        <f t="shared" si="32"/>
        <v>12881</v>
      </c>
    </row>
    <row r="41" spans="2:32" ht="23.1" customHeight="1" x14ac:dyDescent="0.25">
      <c r="B41" s="45" t="s">
        <v>68</v>
      </c>
      <c r="C41" s="50">
        <v>71</v>
      </c>
      <c r="D41" s="50">
        <v>4</v>
      </c>
      <c r="E41" s="50">
        <v>9</v>
      </c>
      <c r="F41" s="50">
        <v>35</v>
      </c>
      <c r="G41" s="50">
        <v>0</v>
      </c>
      <c r="H41" s="50">
        <v>0</v>
      </c>
      <c r="I41" s="50">
        <v>13</v>
      </c>
      <c r="J41" s="50">
        <v>1</v>
      </c>
      <c r="K41" s="50">
        <v>5</v>
      </c>
      <c r="L41" s="50">
        <v>0</v>
      </c>
      <c r="M41" s="50">
        <v>74</v>
      </c>
      <c r="N41" s="50">
        <v>0</v>
      </c>
      <c r="O41" s="17">
        <f t="shared" si="0"/>
        <v>138</v>
      </c>
      <c r="P41" s="17">
        <f t="shared" si="1"/>
        <v>212</v>
      </c>
      <c r="R41" s="5" t="s">
        <v>159</v>
      </c>
      <c r="S41" s="16">
        <f>SUM(S10:S33)</f>
        <v>5070</v>
      </c>
      <c r="T41" s="16">
        <f t="shared" ref="T41:AF41" si="33">SUM(T10:T33)</f>
        <v>702</v>
      </c>
      <c r="U41" s="16">
        <f t="shared" si="33"/>
        <v>496</v>
      </c>
      <c r="V41" s="16">
        <f t="shared" si="33"/>
        <v>2757</v>
      </c>
      <c r="W41" s="16">
        <f t="shared" si="33"/>
        <v>63</v>
      </c>
      <c r="X41" s="16">
        <f t="shared" si="33"/>
        <v>22</v>
      </c>
      <c r="Y41" s="16">
        <f t="shared" si="33"/>
        <v>758</v>
      </c>
      <c r="Z41" s="16">
        <f t="shared" si="33"/>
        <v>118</v>
      </c>
      <c r="AA41" s="16">
        <f t="shared" si="33"/>
        <v>164</v>
      </c>
      <c r="AB41" s="16">
        <f t="shared" si="33"/>
        <v>19</v>
      </c>
      <c r="AC41" s="16">
        <f t="shared" si="33"/>
        <v>6978</v>
      </c>
      <c r="AD41" s="16">
        <f t="shared" si="33"/>
        <v>0</v>
      </c>
      <c r="AE41" s="32">
        <f t="shared" si="33"/>
        <v>10169</v>
      </c>
      <c r="AF41" s="32">
        <f t="shared" si="33"/>
        <v>17147</v>
      </c>
    </row>
    <row r="42" spans="2:32" ht="23.1" customHeight="1" x14ac:dyDescent="0.25">
      <c r="B42" s="46" t="s">
        <v>69</v>
      </c>
      <c r="C42" s="50">
        <v>84</v>
      </c>
      <c r="D42" s="50">
        <v>10</v>
      </c>
      <c r="E42" s="50">
        <v>11</v>
      </c>
      <c r="F42" s="50">
        <v>32</v>
      </c>
      <c r="G42" s="50">
        <v>0</v>
      </c>
      <c r="H42" s="50">
        <v>1</v>
      </c>
      <c r="I42" s="50">
        <v>22</v>
      </c>
      <c r="J42" s="50">
        <v>2</v>
      </c>
      <c r="K42" s="50">
        <v>1</v>
      </c>
      <c r="L42" s="50">
        <v>5</v>
      </c>
      <c r="M42" s="50">
        <v>85</v>
      </c>
      <c r="N42" s="50">
        <v>0</v>
      </c>
      <c r="O42" s="17">
        <f t="shared" si="0"/>
        <v>168</v>
      </c>
      <c r="P42" s="17">
        <f t="shared" si="1"/>
        <v>253</v>
      </c>
      <c r="R42" s="5" t="s">
        <v>160</v>
      </c>
      <c r="S42" s="48">
        <f>S41/S40</f>
        <v>1.3380839271575613</v>
      </c>
      <c r="T42" s="48">
        <f t="shared" ref="T42:AF42" si="34">T41/T40</f>
        <v>1.4239350912778905</v>
      </c>
      <c r="U42" s="48">
        <f t="shared" si="34"/>
        <v>1.3816155988857939</v>
      </c>
      <c r="V42" s="48">
        <f t="shared" si="34"/>
        <v>1.4735435595938</v>
      </c>
      <c r="W42" s="48">
        <f t="shared" si="34"/>
        <v>1.8</v>
      </c>
      <c r="X42" s="48">
        <f t="shared" si="34"/>
        <v>1.0476190476190477</v>
      </c>
      <c r="Y42" s="48">
        <f t="shared" si="34"/>
        <v>1.3584229390681004</v>
      </c>
      <c r="Z42" s="48">
        <f t="shared" si="34"/>
        <v>1.3409090909090908</v>
      </c>
      <c r="AA42" s="48">
        <f t="shared" si="34"/>
        <v>1.2058823529411764</v>
      </c>
      <c r="AB42" s="48">
        <f t="shared" si="34"/>
        <v>1.2666666666666666</v>
      </c>
      <c r="AC42" s="48">
        <f t="shared" si="34"/>
        <v>1.2650471356055113</v>
      </c>
      <c r="AD42" s="48" t="e">
        <f t="shared" si="34"/>
        <v>#DIV/0!</v>
      </c>
      <c r="AE42" s="48">
        <f t="shared" si="34"/>
        <v>1.3807196198234895</v>
      </c>
      <c r="AF42" s="48">
        <f t="shared" si="34"/>
        <v>1.3311854669668504</v>
      </c>
    </row>
    <row r="43" spans="2:32" ht="23.1" customHeight="1" x14ac:dyDescent="0.25">
      <c r="B43" s="45" t="s">
        <v>70</v>
      </c>
      <c r="C43" s="50">
        <v>70</v>
      </c>
      <c r="D43" s="50">
        <v>9</v>
      </c>
      <c r="E43" s="50">
        <v>10</v>
      </c>
      <c r="F43" s="50">
        <v>34</v>
      </c>
      <c r="G43" s="50">
        <v>0</v>
      </c>
      <c r="H43" s="50">
        <v>1</v>
      </c>
      <c r="I43" s="50">
        <v>18</v>
      </c>
      <c r="J43" s="50">
        <v>2</v>
      </c>
      <c r="K43" s="50">
        <v>6</v>
      </c>
      <c r="L43" s="50">
        <v>1</v>
      </c>
      <c r="M43" s="50">
        <v>101</v>
      </c>
      <c r="N43" s="50">
        <v>0</v>
      </c>
      <c r="O43" s="17">
        <f t="shared" si="0"/>
        <v>151</v>
      </c>
      <c r="P43" s="17">
        <f t="shared" si="1"/>
        <v>252</v>
      </c>
      <c r="R43"/>
      <c r="S43" s="19"/>
      <c r="T43" s="19"/>
    </row>
    <row r="44" spans="2:32" ht="23.1" customHeight="1" x14ac:dyDescent="0.25">
      <c r="B44" s="47" t="s">
        <v>71</v>
      </c>
      <c r="C44" s="50">
        <v>65</v>
      </c>
      <c r="D44" s="50">
        <v>10</v>
      </c>
      <c r="E44" s="50">
        <v>11</v>
      </c>
      <c r="F44" s="50">
        <v>41</v>
      </c>
      <c r="G44" s="50">
        <v>0</v>
      </c>
      <c r="H44" s="50">
        <v>0</v>
      </c>
      <c r="I44" s="50">
        <v>17</v>
      </c>
      <c r="J44" s="50">
        <v>4</v>
      </c>
      <c r="K44" s="50">
        <v>2</v>
      </c>
      <c r="L44" s="50">
        <v>2</v>
      </c>
      <c r="M44" s="50">
        <v>88</v>
      </c>
      <c r="N44" s="50">
        <v>0</v>
      </c>
      <c r="O44" s="17">
        <f t="shared" si="0"/>
        <v>152</v>
      </c>
      <c r="P44" s="17">
        <f t="shared" si="1"/>
        <v>240</v>
      </c>
      <c r="R44"/>
      <c r="S44" s="19"/>
      <c r="T44" s="19"/>
    </row>
    <row r="45" spans="2:32" ht="23.1" customHeight="1" x14ac:dyDescent="0.25">
      <c r="B45" s="45" t="s">
        <v>72</v>
      </c>
      <c r="C45" s="50">
        <v>63</v>
      </c>
      <c r="D45" s="50">
        <v>7</v>
      </c>
      <c r="E45" s="50">
        <v>16</v>
      </c>
      <c r="F45" s="50">
        <v>38</v>
      </c>
      <c r="G45" s="50">
        <v>1</v>
      </c>
      <c r="H45" s="50">
        <v>0</v>
      </c>
      <c r="I45" s="50">
        <v>15</v>
      </c>
      <c r="J45" s="50">
        <v>1</v>
      </c>
      <c r="K45" s="50">
        <v>2</v>
      </c>
      <c r="L45" s="50">
        <v>2</v>
      </c>
      <c r="M45" s="50">
        <v>80</v>
      </c>
      <c r="N45" s="50">
        <v>0</v>
      </c>
      <c r="O45" s="17">
        <f t="shared" si="0"/>
        <v>145</v>
      </c>
      <c r="P45" s="17">
        <f t="shared" si="1"/>
        <v>225</v>
      </c>
      <c r="R45"/>
      <c r="S45" s="19"/>
      <c r="T45" s="19"/>
    </row>
    <row r="46" spans="2:32" ht="23.1" customHeight="1" x14ac:dyDescent="0.25">
      <c r="B46" s="46" t="s">
        <v>73</v>
      </c>
      <c r="C46" s="50">
        <v>60</v>
      </c>
      <c r="D46" s="50">
        <v>10</v>
      </c>
      <c r="E46" s="50">
        <v>3</v>
      </c>
      <c r="F46" s="50">
        <v>29</v>
      </c>
      <c r="G46" s="50">
        <v>0</v>
      </c>
      <c r="H46" s="50">
        <v>0</v>
      </c>
      <c r="I46" s="50">
        <v>12</v>
      </c>
      <c r="J46" s="50">
        <v>5</v>
      </c>
      <c r="K46" s="50">
        <v>2</v>
      </c>
      <c r="L46" s="50">
        <v>0</v>
      </c>
      <c r="M46" s="50">
        <v>115</v>
      </c>
      <c r="N46" s="50">
        <v>0</v>
      </c>
      <c r="O46" s="17">
        <f t="shared" si="0"/>
        <v>121</v>
      </c>
      <c r="P46" s="17">
        <f t="shared" si="1"/>
        <v>236</v>
      </c>
      <c r="R46" s="19"/>
      <c r="S46" s="19"/>
      <c r="T46"/>
    </row>
    <row r="47" spans="2:32" ht="23.1" customHeight="1" x14ac:dyDescent="0.25">
      <c r="B47" s="46" t="s">
        <v>74</v>
      </c>
      <c r="C47" s="50">
        <v>64</v>
      </c>
      <c r="D47" s="50">
        <v>10</v>
      </c>
      <c r="E47" s="50">
        <v>5</v>
      </c>
      <c r="F47" s="50">
        <v>35</v>
      </c>
      <c r="G47" s="50">
        <v>0</v>
      </c>
      <c r="H47" s="50">
        <v>0</v>
      </c>
      <c r="I47" s="50">
        <v>15</v>
      </c>
      <c r="J47" s="50">
        <v>0</v>
      </c>
      <c r="K47" s="50">
        <v>1</v>
      </c>
      <c r="L47" s="50">
        <v>0</v>
      </c>
      <c r="M47" s="50">
        <v>77</v>
      </c>
      <c r="N47" s="50">
        <v>0</v>
      </c>
      <c r="O47" s="17">
        <f t="shared" si="0"/>
        <v>130</v>
      </c>
      <c r="P47" s="17">
        <f t="shared" si="1"/>
        <v>207</v>
      </c>
      <c r="R47" s="19"/>
      <c r="S47" s="19"/>
      <c r="T47"/>
    </row>
    <row r="48" spans="2:32" ht="23.1" customHeight="1" x14ac:dyDescent="0.25">
      <c r="B48" s="46" t="s">
        <v>75</v>
      </c>
      <c r="C48" s="50">
        <v>95</v>
      </c>
      <c r="D48" s="50">
        <v>11</v>
      </c>
      <c r="E48" s="50">
        <v>6</v>
      </c>
      <c r="F48" s="50">
        <v>49</v>
      </c>
      <c r="G48" s="50">
        <v>0</v>
      </c>
      <c r="H48" s="50">
        <v>0</v>
      </c>
      <c r="I48" s="50">
        <v>19</v>
      </c>
      <c r="J48" s="50">
        <v>4</v>
      </c>
      <c r="K48" s="50">
        <v>1</v>
      </c>
      <c r="L48" s="50">
        <v>0</v>
      </c>
      <c r="M48" s="50">
        <v>113</v>
      </c>
      <c r="N48" s="50">
        <v>0</v>
      </c>
      <c r="O48" s="17">
        <f t="shared" si="0"/>
        <v>185</v>
      </c>
      <c r="P48" s="17">
        <f t="shared" si="1"/>
        <v>298</v>
      </c>
      <c r="R48" s="19"/>
      <c r="S48" s="19"/>
      <c r="T48"/>
    </row>
    <row r="49" spans="2:20" ht="23.1" customHeight="1" x14ac:dyDescent="0.25">
      <c r="B49" s="45" t="s">
        <v>76</v>
      </c>
      <c r="C49" s="50">
        <v>80</v>
      </c>
      <c r="D49" s="50">
        <v>6</v>
      </c>
      <c r="E49" s="50">
        <v>12</v>
      </c>
      <c r="F49" s="50">
        <v>32</v>
      </c>
      <c r="G49" s="50">
        <v>0</v>
      </c>
      <c r="H49" s="50">
        <v>0</v>
      </c>
      <c r="I49" s="50">
        <v>11</v>
      </c>
      <c r="J49" s="50">
        <v>1</v>
      </c>
      <c r="K49" s="50">
        <v>2</v>
      </c>
      <c r="L49" s="50">
        <v>0</v>
      </c>
      <c r="M49" s="50">
        <v>93</v>
      </c>
      <c r="N49" s="50">
        <v>0</v>
      </c>
      <c r="O49" s="17">
        <f t="shared" si="0"/>
        <v>144</v>
      </c>
      <c r="P49" s="17">
        <f t="shared" si="1"/>
        <v>237</v>
      </c>
      <c r="R49" s="19"/>
      <c r="S49" s="19"/>
      <c r="T49"/>
    </row>
    <row r="50" spans="2:20" ht="23.1" customHeight="1" x14ac:dyDescent="0.25">
      <c r="B50" s="46" t="s">
        <v>77</v>
      </c>
      <c r="C50" s="50">
        <v>70</v>
      </c>
      <c r="D50" s="50">
        <v>14</v>
      </c>
      <c r="E50" s="50">
        <v>14</v>
      </c>
      <c r="F50" s="50">
        <v>37</v>
      </c>
      <c r="G50" s="50">
        <v>0</v>
      </c>
      <c r="H50" s="50">
        <v>1</v>
      </c>
      <c r="I50" s="50">
        <v>5</v>
      </c>
      <c r="J50" s="50">
        <v>2</v>
      </c>
      <c r="K50" s="50">
        <v>3</v>
      </c>
      <c r="L50" s="50">
        <v>0</v>
      </c>
      <c r="M50" s="50">
        <v>110</v>
      </c>
      <c r="N50" s="50">
        <v>0</v>
      </c>
      <c r="O50" s="17">
        <f t="shared" si="0"/>
        <v>146</v>
      </c>
      <c r="P50" s="17">
        <f t="shared" si="1"/>
        <v>256</v>
      </c>
      <c r="R50" s="19"/>
      <c r="S50" s="19"/>
      <c r="T50"/>
    </row>
    <row r="51" spans="2:20" ht="23.1" customHeight="1" x14ac:dyDescent="0.25">
      <c r="B51" s="46" t="s">
        <v>78</v>
      </c>
      <c r="C51" s="50">
        <v>87</v>
      </c>
      <c r="D51" s="50">
        <v>13</v>
      </c>
      <c r="E51" s="50">
        <v>8</v>
      </c>
      <c r="F51" s="50">
        <v>31</v>
      </c>
      <c r="G51" s="50">
        <v>1</v>
      </c>
      <c r="H51" s="50">
        <v>0</v>
      </c>
      <c r="I51" s="50">
        <v>18</v>
      </c>
      <c r="J51" s="50">
        <v>2</v>
      </c>
      <c r="K51" s="50">
        <v>3</v>
      </c>
      <c r="L51" s="50">
        <v>1</v>
      </c>
      <c r="M51" s="50">
        <v>132</v>
      </c>
      <c r="N51" s="50">
        <v>0</v>
      </c>
      <c r="O51" s="17">
        <f t="shared" si="0"/>
        <v>164</v>
      </c>
      <c r="P51" s="17">
        <f t="shared" si="1"/>
        <v>296</v>
      </c>
      <c r="R51" s="19"/>
      <c r="S51" s="19"/>
      <c r="T51"/>
    </row>
    <row r="52" spans="2:20" ht="23.1" customHeight="1" x14ac:dyDescent="0.25">
      <c r="B52" s="46" t="s">
        <v>79</v>
      </c>
      <c r="C52" s="50">
        <v>85</v>
      </c>
      <c r="D52" s="50">
        <v>11</v>
      </c>
      <c r="E52" s="50">
        <v>14</v>
      </c>
      <c r="F52" s="50">
        <v>39</v>
      </c>
      <c r="G52" s="50">
        <v>1</v>
      </c>
      <c r="H52" s="50">
        <v>1</v>
      </c>
      <c r="I52" s="50">
        <v>13</v>
      </c>
      <c r="J52" s="50">
        <v>2</v>
      </c>
      <c r="K52" s="50">
        <v>3</v>
      </c>
      <c r="L52" s="50">
        <v>0</v>
      </c>
      <c r="M52" s="50">
        <v>132</v>
      </c>
      <c r="N52" s="50">
        <v>0</v>
      </c>
      <c r="O52" s="17">
        <f t="shared" si="0"/>
        <v>169</v>
      </c>
      <c r="P52" s="17">
        <f t="shared" si="1"/>
        <v>301</v>
      </c>
      <c r="R52" s="19"/>
      <c r="S52" s="19"/>
      <c r="T52"/>
    </row>
    <row r="53" spans="2:20" ht="23.1" customHeight="1" x14ac:dyDescent="0.25">
      <c r="B53" s="45" t="s">
        <v>80</v>
      </c>
      <c r="C53" s="50">
        <v>93</v>
      </c>
      <c r="D53" s="50">
        <v>16</v>
      </c>
      <c r="E53" s="50">
        <v>7</v>
      </c>
      <c r="F53" s="50">
        <v>47</v>
      </c>
      <c r="G53" s="50">
        <v>3</v>
      </c>
      <c r="H53" s="50">
        <v>0</v>
      </c>
      <c r="I53" s="50">
        <v>10</v>
      </c>
      <c r="J53" s="50">
        <v>2</v>
      </c>
      <c r="K53" s="50">
        <v>4</v>
      </c>
      <c r="L53" s="50">
        <v>0</v>
      </c>
      <c r="M53" s="50">
        <v>116</v>
      </c>
      <c r="N53" s="50">
        <v>0</v>
      </c>
      <c r="O53" s="17">
        <f t="shared" si="0"/>
        <v>182</v>
      </c>
      <c r="P53" s="17">
        <f t="shared" si="1"/>
        <v>298</v>
      </c>
      <c r="R53" s="19"/>
      <c r="S53" s="19"/>
      <c r="T53"/>
    </row>
    <row r="54" spans="2:20" ht="23.1" customHeight="1" x14ac:dyDescent="0.25">
      <c r="B54" s="45" t="s">
        <v>81</v>
      </c>
      <c r="C54" s="50">
        <v>93</v>
      </c>
      <c r="D54" s="50">
        <v>12</v>
      </c>
      <c r="E54" s="50">
        <v>14</v>
      </c>
      <c r="F54" s="50">
        <v>41</v>
      </c>
      <c r="G54" s="50">
        <v>3</v>
      </c>
      <c r="H54" s="50">
        <v>0</v>
      </c>
      <c r="I54" s="50">
        <v>17</v>
      </c>
      <c r="J54" s="50">
        <v>2</v>
      </c>
      <c r="K54" s="50">
        <v>2</v>
      </c>
      <c r="L54" s="50">
        <v>0</v>
      </c>
      <c r="M54" s="50">
        <v>118</v>
      </c>
      <c r="N54" s="50">
        <v>0</v>
      </c>
      <c r="O54" s="17">
        <f t="shared" si="0"/>
        <v>184</v>
      </c>
      <c r="P54" s="17">
        <f t="shared" si="1"/>
        <v>302</v>
      </c>
      <c r="R54" s="19"/>
      <c r="S54" s="19"/>
      <c r="T54"/>
    </row>
    <row r="55" spans="2:20" ht="23.1" customHeight="1" x14ac:dyDescent="0.25">
      <c r="B55" s="45" t="s">
        <v>82</v>
      </c>
      <c r="C55" s="50">
        <v>95</v>
      </c>
      <c r="D55" s="50">
        <v>20</v>
      </c>
      <c r="E55" s="50">
        <v>7</v>
      </c>
      <c r="F55" s="50">
        <v>36</v>
      </c>
      <c r="G55" s="50">
        <v>1</v>
      </c>
      <c r="H55" s="50">
        <v>1</v>
      </c>
      <c r="I55" s="50">
        <v>13</v>
      </c>
      <c r="J55" s="50">
        <v>0</v>
      </c>
      <c r="K55" s="50">
        <v>1</v>
      </c>
      <c r="L55" s="50">
        <v>1</v>
      </c>
      <c r="M55" s="50">
        <v>119</v>
      </c>
      <c r="N55" s="50">
        <v>0</v>
      </c>
      <c r="O55" s="17">
        <f t="shared" si="0"/>
        <v>175</v>
      </c>
      <c r="P55" s="17">
        <f t="shared" si="1"/>
        <v>294</v>
      </c>
      <c r="R55" s="19"/>
      <c r="S55" s="19"/>
      <c r="T55"/>
    </row>
    <row r="56" spans="2:20" ht="23.1" customHeight="1" x14ac:dyDescent="0.25">
      <c r="B56" s="45" t="s">
        <v>83</v>
      </c>
      <c r="C56" s="50">
        <v>119</v>
      </c>
      <c r="D56" s="50">
        <v>22</v>
      </c>
      <c r="E56" s="50">
        <v>8</v>
      </c>
      <c r="F56" s="50">
        <v>62</v>
      </c>
      <c r="G56" s="50">
        <v>0</v>
      </c>
      <c r="H56" s="50">
        <v>1</v>
      </c>
      <c r="I56" s="50">
        <v>20</v>
      </c>
      <c r="J56" s="50">
        <v>2</v>
      </c>
      <c r="K56" s="50">
        <v>2</v>
      </c>
      <c r="L56" s="50">
        <v>0</v>
      </c>
      <c r="M56" s="50">
        <v>104</v>
      </c>
      <c r="N56" s="50">
        <v>0</v>
      </c>
      <c r="O56" s="17">
        <f t="shared" si="0"/>
        <v>236</v>
      </c>
      <c r="P56" s="17">
        <f t="shared" si="1"/>
        <v>340</v>
      </c>
      <c r="R56" s="19"/>
      <c r="S56" s="19"/>
      <c r="T56"/>
    </row>
    <row r="57" spans="2:20" ht="23.1" customHeight="1" x14ac:dyDescent="0.25">
      <c r="B57" s="45" t="s">
        <v>84</v>
      </c>
      <c r="C57" s="50">
        <v>60</v>
      </c>
      <c r="D57" s="50">
        <v>11</v>
      </c>
      <c r="E57" s="50">
        <v>9</v>
      </c>
      <c r="F57" s="50">
        <v>40</v>
      </c>
      <c r="G57" s="50">
        <v>2</v>
      </c>
      <c r="H57" s="50">
        <v>0</v>
      </c>
      <c r="I57" s="50">
        <v>12</v>
      </c>
      <c r="J57" s="50">
        <v>0</v>
      </c>
      <c r="K57" s="50">
        <v>0</v>
      </c>
      <c r="L57" s="50">
        <v>0</v>
      </c>
      <c r="M57" s="50">
        <v>107</v>
      </c>
      <c r="N57" s="50">
        <v>0</v>
      </c>
      <c r="O57" s="17">
        <f t="shared" si="0"/>
        <v>134</v>
      </c>
      <c r="P57" s="17">
        <f t="shared" si="1"/>
        <v>241</v>
      </c>
      <c r="R57" s="19"/>
      <c r="S57" s="19"/>
      <c r="T57"/>
    </row>
    <row r="58" spans="2:20" ht="23.1" customHeight="1" x14ac:dyDescent="0.25">
      <c r="B58" s="45" t="s">
        <v>99</v>
      </c>
      <c r="C58" s="50">
        <v>70</v>
      </c>
      <c r="D58" s="50">
        <v>2</v>
      </c>
      <c r="E58" s="50">
        <v>5</v>
      </c>
      <c r="F58" s="50">
        <v>26</v>
      </c>
      <c r="G58" s="50">
        <v>0</v>
      </c>
      <c r="H58" s="50">
        <v>0</v>
      </c>
      <c r="I58" s="50">
        <v>3</v>
      </c>
      <c r="J58" s="50">
        <v>0</v>
      </c>
      <c r="K58" s="50">
        <v>0</v>
      </c>
      <c r="L58" s="50">
        <v>0</v>
      </c>
      <c r="M58" s="50">
        <v>36</v>
      </c>
      <c r="N58" s="50">
        <v>0</v>
      </c>
      <c r="O58" s="17">
        <f t="shared" si="0"/>
        <v>106</v>
      </c>
      <c r="P58" s="17">
        <f t="shared" si="1"/>
        <v>142</v>
      </c>
      <c r="R58" s="19"/>
      <c r="S58" s="19"/>
      <c r="T58"/>
    </row>
    <row r="59" spans="2:20" ht="23.1" customHeight="1" x14ac:dyDescent="0.25">
      <c r="B59" s="45" t="s">
        <v>100</v>
      </c>
      <c r="C59" s="50">
        <v>80</v>
      </c>
      <c r="D59" s="50">
        <v>16</v>
      </c>
      <c r="E59" s="50">
        <v>8</v>
      </c>
      <c r="F59" s="50">
        <v>59</v>
      </c>
      <c r="G59" s="50">
        <v>3</v>
      </c>
      <c r="H59" s="50">
        <v>0</v>
      </c>
      <c r="I59" s="50">
        <v>9</v>
      </c>
      <c r="J59" s="50">
        <v>0</v>
      </c>
      <c r="K59" s="50">
        <v>3</v>
      </c>
      <c r="L59" s="50">
        <v>1</v>
      </c>
      <c r="M59" s="50">
        <v>104</v>
      </c>
      <c r="N59" s="50">
        <v>0</v>
      </c>
      <c r="O59" s="17">
        <f t="shared" si="0"/>
        <v>179</v>
      </c>
      <c r="P59" s="17">
        <f t="shared" si="1"/>
        <v>283</v>
      </c>
      <c r="R59" s="19"/>
      <c r="S59" s="19"/>
      <c r="T59"/>
    </row>
    <row r="60" spans="2:20" ht="23.1" customHeight="1" x14ac:dyDescent="0.25">
      <c r="B60" s="45" t="s">
        <v>101</v>
      </c>
      <c r="C60" s="50">
        <v>82</v>
      </c>
      <c r="D60" s="50">
        <v>19</v>
      </c>
      <c r="E60" s="50">
        <v>7</v>
      </c>
      <c r="F60" s="50">
        <v>49</v>
      </c>
      <c r="G60" s="50">
        <v>1</v>
      </c>
      <c r="H60" s="50">
        <v>0</v>
      </c>
      <c r="I60" s="50">
        <v>11</v>
      </c>
      <c r="J60" s="50">
        <v>2</v>
      </c>
      <c r="K60" s="50">
        <v>1</v>
      </c>
      <c r="L60" s="50">
        <v>1</v>
      </c>
      <c r="M60" s="50">
        <v>122</v>
      </c>
      <c r="N60" s="50">
        <v>0</v>
      </c>
      <c r="O60" s="17">
        <f t="shared" si="0"/>
        <v>173</v>
      </c>
      <c r="P60" s="17">
        <f t="shared" si="1"/>
        <v>295</v>
      </c>
      <c r="R60" s="19"/>
      <c r="S60" s="19"/>
      <c r="T60"/>
    </row>
    <row r="61" spans="2:20" ht="23.1" customHeight="1" x14ac:dyDescent="0.25">
      <c r="B61" s="45" t="s">
        <v>102</v>
      </c>
      <c r="C61" s="50">
        <v>78</v>
      </c>
      <c r="D61" s="50">
        <v>12</v>
      </c>
      <c r="E61" s="50">
        <v>15</v>
      </c>
      <c r="F61" s="50">
        <v>38</v>
      </c>
      <c r="G61" s="50">
        <v>3</v>
      </c>
      <c r="H61" s="50">
        <v>0</v>
      </c>
      <c r="I61" s="50">
        <v>9</v>
      </c>
      <c r="J61" s="50">
        <v>1</v>
      </c>
      <c r="K61" s="50">
        <v>0</v>
      </c>
      <c r="L61" s="50">
        <v>0</v>
      </c>
      <c r="M61" s="50">
        <v>70</v>
      </c>
      <c r="N61" s="50">
        <v>0</v>
      </c>
      <c r="O61" s="17">
        <f t="shared" si="0"/>
        <v>156</v>
      </c>
      <c r="P61" s="17">
        <f t="shared" si="1"/>
        <v>226</v>
      </c>
      <c r="R61" s="19"/>
      <c r="S61" s="19"/>
      <c r="T61"/>
    </row>
    <row r="62" spans="2:20" ht="23.1" customHeight="1" x14ac:dyDescent="0.25">
      <c r="B62" s="45" t="s">
        <v>107</v>
      </c>
      <c r="C62" s="50">
        <v>75</v>
      </c>
      <c r="D62" s="50">
        <v>5</v>
      </c>
      <c r="E62" s="50">
        <v>10</v>
      </c>
      <c r="F62" s="50">
        <v>56</v>
      </c>
      <c r="G62" s="50">
        <v>2</v>
      </c>
      <c r="H62" s="50">
        <v>0</v>
      </c>
      <c r="I62" s="50">
        <v>18</v>
      </c>
      <c r="J62" s="50">
        <v>3</v>
      </c>
      <c r="K62" s="50">
        <v>0</v>
      </c>
      <c r="L62" s="50">
        <v>0</v>
      </c>
      <c r="M62" s="50">
        <v>67</v>
      </c>
      <c r="N62" s="50">
        <v>0</v>
      </c>
      <c r="O62" s="17">
        <f t="shared" si="0"/>
        <v>169</v>
      </c>
      <c r="P62" s="17">
        <f t="shared" si="1"/>
        <v>236</v>
      </c>
      <c r="R62" s="19"/>
      <c r="S62" s="19"/>
      <c r="T62"/>
    </row>
    <row r="63" spans="2:20" ht="23.1" customHeight="1" x14ac:dyDescent="0.25">
      <c r="B63" s="45" t="s">
        <v>108</v>
      </c>
      <c r="C63" s="50">
        <v>92</v>
      </c>
      <c r="D63" s="50">
        <v>17</v>
      </c>
      <c r="E63" s="50">
        <v>14</v>
      </c>
      <c r="F63" s="50">
        <v>51</v>
      </c>
      <c r="G63" s="50">
        <v>1</v>
      </c>
      <c r="H63" s="50">
        <v>0</v>
      </c>
      <c r="I63" s="50">
        <v>7</v>
      </c>
      <c r="J63" s="50">
        <v>1</v>
      </c>
      <c r="K63" s="50">
        <v>1</v>
      </c>
      <c r="L63" s="50">
        <v>0</v>
      </c>
      <c r="M63" s="50">
        <v>65</v>
      </c>
      <c r="N63" s="50">
        <v>0</v>
      </c>
      <c r="O63" s="17">
        <f t="shared" si="0"/>
        <v>184</v>
      </c>
      <c r="P63" s="17">
        <f t="shared" si="1"/>
        <v>249</v>
      </c>
      <c r="R63" s="19"/>
      <c r="S63" s="19"/>
      <c r="T63"/>
    </row>
    <row r="64" spans="2:20" ht="23.1" customHeight="1" x14ac:dyDescent="0.25">
      <c r="B64" s="45" t="s">
        <v>109</v>
      </c>
      <c r="C64" s="50">
        <v>92</v>
      </c>
      <c r="D64" s="50">
        <v>16</v>
      </c>
      <c r="E64" s="50">
        <v>10</v>
      </c>
      <c r="F64" s="50">
        <v>50</v>
      </c>
      <c r="G64" s="50">
        <v>1</v>
      </c>
      <c r="H64" s="50">
        <v>0</v>
      </c>
      <c r="I64" s="50">
        <v>8</v>
      </c>
      <c r="J64" s="50">
        <v>3</v>
      </c>
      <c r="K64" s="50">
        <v>0</v>
      </c>
      <c r="L64" s="50">
        <v>0</v>
      </c>
      <c r="M64" s="50">
        <v>68</v>
      </c>
      <c r="N64" s="50">
        <v>0</v>
      </c>
      <c r="O64" s="17">
        <f t="shared" si="0"/>
        <v>180</v>
      </c>
      <c r="P64" s="17">
        <f t="shared" si="1"/>
        <v>248</v>
      </c>
      <c r="R64" s="19"/>
      <c r="S64" s="19"/>
      <c r="T64"/>
    </row>
    <row r="65" spans="2:20" ht="23.1" customHeight="1" x14ac:dyDescent="0.25">
      <c r="B65" s="45" t="s">
        <v>158</v>
      </c>
      <c r="C65" s="50">
        <v>89</v>
      </c>
      <c r="D65" s="50">
        <v>20</v>
      </c>
      <c r="E65" s="50">
        <v>11</v>
      </c>
      <c r="F65" s="50">
        <v>35</v>
      </c>
      <c r="G65" s="50">
        <v>2</v>
      </c>
      <c r="H65" s="50">
        <v>0</v>
      </c>
      <c r="I65" s="50">
        <v>10</v>
      </c>
      <c r="J65" s="50">
        <v>1</v>
      </c>
      <c r="K65" s="50">
        <v>1</v>
      </c>
      <c r="L65" s="50">
        <v>0</v>
      </c>
      <c r="M65" s="50">
        <v>47</v>
      </c>
      <c r="N65" s="50">
        <v>0</v>
      </c>
      <c r="O65" s="17">
        <f t="shared" si="0"/>
        <v>169</v>
      </c>
      <c r="P65" s="17">
        <f t="shared" si="1"/>
        <v>216</v>
      </c>
      <c r="R65" s="19"/>
      <c r="S65" s="19"/>
      <c r="T65"/>
    </row>
    <row r="66" spans="2:20" ht="23.1" customHeight="1" x14ac:dyDescent="0.25">
      <c r="B66" s="45" t="s">
        <v>103</v>
      </c>
      <c r="C66" s="50">
        <v>68</v>
      </c>
      <c r="D66" s="50">
        <v>9</v>
      </c>
      <c r="E66" s="50">
        <v>8</v>
      </c>
      <c r="F66" s="50">
        <v>41</v>
      </c>
      <c r="G66" s="50">
        <v>3</v>
      </c>
      <c r="H66" s="50">
        <v>0</v>
      </c>
      <c r="I66" s="50">
        <v>4</v>
      </c>
      <c r="J66" s="50">
        <v>1</v>
      </c>
      <c r="K66" s="50">
        <v>0</v>
      </c>
      <c r="L66" s="50">
        <v>1</v>
      </c>
      <c r="M66" s="50">
        <v>29</v>
      </c>
      <c r="N66" s="50">
        <v>0</v>
      </c>
      <c r="O66" s="17">
        <f t="shared" si="0"/>
        <v>135</v>
      </c>
      <c r="P66" s="17">
        <f t="shared" si="1"/>
        <v>164</v>
      </c>
      <c r="R66" s="19"/>
      <c r="S66" s="19"/>
      <c r="T66"/>
    </row>
    <row r="67" spans="2:20" ht="23.1" customHeight="1" x14ac:dyDescent="0.25">
      <c r="B67" s="45" t="s">
        <v>104</v>
      </c>
      <c r="C67" s="50">
        <v>65</v>
      </c>
      <c r="D67" s="50">
        <v>17</v>
      </c>
      <c r="E67" s="50">
        <v>7</v>
      </c>
      <c r="F67" s="50">
        <v>39</v>
      </c>
      <c r="G67" s="50">
        <v>0</v>
      </c>
      <c r="H67" s="50">
        <v>0</v>
      </c>
      <c r="I67" s="50">
        <v>12</v>
      </c>
      <c r="J67" s="50">
        <v>0</v>
      </c>
      <c r="K67" s="50">
        <v>0</v>
      </c>
      <c r="L67" s="50">
        <v>0</v>
      </c>
      <c r="M67" s="50">
        <v>46</v>
      </c>
      <c r="N67" s="50">
        <v>0</v>
      </c>
      <c r="O67" s="17">
        <f t="shared" si="0"/>
        <v>140</v>
      </c>
      <c r="P67" s="17">
        <f t="shared" si="1"/>
        <v>186</v>
      </c>
      <c r="R67" s="19"/>
      <c r="S67" s="19"/>
      <c r="T67"/>
    </row>
    <row r="68" spans="2:20" ht="23.1" customHeight="1" x14ac:dyDescent="0.25">
      <c r="B68" s="45" t="s">
        <v>105</v>
      </c>
      <c r="C68" s="50">
        <v>51</v>
      </c>
      <c r="D68" s="50">
        <v>11</v>
      </c>
      <c r="E68" s="50">
        <v>3</v>
      </c>
      <c r="F68" s="50">
        <v>38</v>
      </c>
      <c r="G68" s="50">
        <v>1</v>
      </c>
      <c r="H68" s="50">
        <v>0</v>
      </c>
      <c r="I68" s="50">
        <v>11</v>
      </c>
      <c r="J68" s="50">
        <v>1</v>
      </c>
      <c r="K68" s="50">
        <v>7</v>
      </c>
      <c r="L68" s="50">
        <v>0</v>
      </c>
      <c r="M68" s="50">
        <v>54</v>
      </c>
      <c r="N68" s="50">
        <v>0</v>
      </c>
      <c r="O68" s="17">
        <f t="shared" si="0"/>
        <v>123</v>
      </c>
      <c r="P68" s="17">
        <f t="shared" si="1"/>
        <v>177</v>
      </c>
      <c r="R68" s="19"/>
      <c r="S68" s="19"/>
      <c r="T68"/>
    </row>
    <row r="69" spans="2:20" ht="23.1" customHeight="1" x14ac:dyDescent="0.25">
      <c r="B69" s="45" t="s">
        <v>106</v>
      </c>
      <c r="C69" s="50">
        <v>42</v>
      </c>
      <c r="D69" s="50">
        <v>6</v>
      </c>
      <c r="E69" s="50">
        <v>8</v>
      </c>
      <c r="F69" s="50">
        <v>36</v>
      </c>
      <c r="G69" s="50">
        <v>1</v>
      </c>
      <c r="H69" s="50">
        <v>0</v>
      </c>
      <c r="I69" s="50">
        <v>8</v>
      </c>
      <c r="J69" s="50">
        <v>1</v>
      </c>
      <c r="K69" s="50">
        <v>0</v>
      </c>
      <c r="L69" s="50">
        <v>0</v>
      </c>
      <c r="M69" s="50">
        <v>48</v>
      </c>
      <c r="N69" s="50">
        <v>0</v>
      </c>
      <c r="O69" s="17">
        <f t="shared" si="0"/>
        <v>102</v>
      </c>
      <c r="P69" s="17">
        <f t="shared" si="1"/>
        <v>150</v>
      </c>
      <c r="R69" s="19"/>
      <c r="S69" s="19"/>
      <c r="T69"/>
    </row>
    <row r="70" spans="2:20" ht="23.1" customHeight="1" x14ac:dyDescent="0.25">
      <c r="B70" s="45" t="s">
        <v>110</v>
      </c>
      <c r="C70" s="50">
        <v>36</v>
      </c>
      <c r="D70" s="50">
        <v>7</v>
      </c>
      <c r="E70" s="50">
        <v>8</v>
      </c>
      <c r="F70" s="50">
        <v>52</v>
      </c>
      <c r="G70" s="50">
        <v>2</v>
      </c>
      <c r="H70" s="50">
        <v>0</v>
      </c>
      <c r="I70" s="50">
        <v>6</v>
      </c>
      <c r="J70" s="50">
        <v>1</v>
      </c>
      <c r="K70" s="50">
        <v>0</v>
      </c>
      <c r="L70" s="50">
        <v>0</v>
      </c>
      <c r="M70" s="50">
        <v>50</v>
      </c>
      <c r="N70" s="50">
        <v>0</v>
      </c>
      <c r="O70" s="17">
        <f t="shared" si="0"/>
        <v>112</v>
      </c>
      <c r="P70" s="17">
        <f t="shared" si="1"/>
        <v>162</v>
      </c>
      <c r="R70" s="19"/>
      <c r="S70" s="19"/>
      <c r="T70"/>
    </row>
    <row r="71" spans="2:20" ht="23.1" customHeight="1" x14ac:dyDescent="0.25">
      <c r="B71" s="45" t="s">
        <v>111</v>
      </c>
      <c r="C71" s="50">
        <v>16</v>
      </c>
      <c r="D71" s="50">
        <v>2</v>
      </c>
      <c r="E71" s="50">
        <v>1</v>
      </c>
      <c r="F71" s="50">
        <v>14</v>
      </c>
      <c r="G71" s="50">
        <v>1</v>
      </c>
      <c r="H71" s="50">
        <v>0</v>
      </c>
      <c r="I71" s="50">
        <v>3</v>
      </c>
      <c r="J71" s="50">
        <v>0</v>
      </c>
      <c r="K71" s="50">
        <v>0</v>
      </c>
      <c r="L71" s="50">
        <v>0</v>
      </c>
      <c r="M71" s="50">
        <v>28</v>
      </c>
      <c r="N71" s="50">
        <v>0</v>
      </c>
      <c r="O71" s="17">
        <f t="shared" si="0"/>
        <v>37</v>
      </c>
      <c r="P71" s="17">
        <f t="shared" si="1"/>
        <v>65</v>
      </c>
      <c r="R71" s="19"/>
      <c r="S71" s="19"/>
      <c r="T71"/>
    </row>
    <row r="72" spans="2:20" ht="23.1" customHeight="1" x14ac:dyDescent="0.25">
      <c r="B72" s="45" t="s">
        <v>112</v>
      </c>
      <c r="C72" s="50">
        <v>22</v>
      </c>
      <c r="D72" s="50">
        <v>5</v>
      </c>
      <c r="E72" s="50">
        <v>1</v>
      </c>
      <c r="F72" s="50">
        <v>21</v>
      </c>
      <c r="G72" s="50">
        <v>1</v>
      </c>
      <c r="H72" s="50">
        <v>0</v>
      </c>
      <c r="I72" s="50">
        <v>14</v>
      </c>
      <c r="J72" s="50">
        <v>0</v>
      </c>
      <c r="K72" s="50">
        <v>0</v>
      </c>
      <c r="L72" s="50">
        <v>1</v>
      </c>
      <c r="M72" s="50">
        <v>26</v>
      </c>
      <c r="N72" s="50">
        <v>0</v>
      </c>
      <c r="O72" s="17">
        <f t="shared" si="0"/>
        <v>65</v>
      </c>
      <c r="P72" s="17">
        <f t="shared" si="1"/>
        <v>91</v>
      </c>
      <c r="R72" s="19"/>
      <c r="S72" s="19"/>
      <c r="T72"/>
    </row>
    <row r="73" spans="2:20" ht="23.1" customHeight="1" x14ac:dyDescent="0.25">
      <c r="B73" s="45" t="s">
        <v>113</v>
      </c>
      <c r="C73" s="50">
        <v>32</v>
      </c>
      <c r="D73" s="50">
        <v>1</v>
      </c>
      <c r="E73" s="50">
        <v>2</v>
      </c>
      <c r="F73" s="50">
        <v>20</v>
      </c>
      <c r="G73" s="50">
        <v>1</v>
      </c>
      <c r="H73" s="50">
        <v>0</v>
      </c>
      <c r="I73" s="50">
        <v>2</v>
      </c>
      <c r="J73" s="50">
        <v>0</v>
      </c>
      <c r="K73" s="50">
        <v>1</v>
      </c>
      <c r="L73" s="50">
        <v>0</v>
      </c>
      <c r="M73" s="50">
        <v>19</v>
      </c>
      <c r="N73" s="50">
        <v>0</v>
      </c>
      <c r="O73" s="17">
        <f t="shared" si="0"/>
        <v>59</v>
      </c>
      <c r="P73" s="17">
        <f t="shared" si="1"/>
        <v>78</v>
      </c>
      <c r="R73" s="19"/>
      <c r="S73" s="19"/>
      <c r="T73"/>
    </row>
    <row r="74" spans="2:20" ht="23.1" customHeight="1" x14ac:dyDescent="0.25">
      <c r="B74" s="45" t="s">
        <v>114</v>
      </c>
      <c r="C74" s="50">
        <v>40</v>
      </c>
      <c r="D74" s="50">
        <v>2</v>
      </c>
      <c r="E74" s="50">
        <v>1</v>
      </c>
      <c r="F74" s="50">
        <v>18</v>
      </c>
      <c r="G74" s="50">
        <v>1</v>
      </c>
      <c r="H74" s="50">
        <v>0</v>
      </c>
      <c r="I74" s="50">
        <v>4</v>
      </c>
      <c r="J74" s="50">
        <v>0</v>
      </c>
      <c r="K74" s="50">
        <v>0</v>
      </c>
      <c r="L74" s="50">
        <v>0</v>
      </c>
      <c r="M74" s="50">
        <v>27</v>
      </c>
      <c r="N74" s="50">
        <v>0</v>
      </c>
      <c r="O74" s="17">
        <f t="shared" ref="O74:O105" si="35">SUM(C74:L74,N74)</f>
        <v>66</v>
      </c>
      <c r="P74" s="17">
        <f t="shared" ref="P74:P105" si="36">SUM(C74:N74)</f>
        <v>93</v>
      </c>
      <c r="R74" s="19"/>
      <c r="S74" s="19"/>
      <c r="T74"/>
    </row>
    <row r="75" spans="2:20" ht="23.1" customHeight="1" x14ac:dyDescent="0.25">
      <c r="B75" s="45" t="s">
        <v>115</v>
      </c>
      <c r="C75" s="50">
        <v>25</v>
      </c>
      <c r="D75" s="50">
        <v>4</v>
      </c>
      <c r="E75" s="50">
        <v>0</v>
      </c>
      <c r="F75" s="50">
        <v>11</v>
      </c>
      <c r="G75" s="50">
        <v>0</v>
      </c>
      <c r="H75" s="50">
        <v>0</v>
      </c>
      <c r="I75" s="50">
        <v>2</v>
      </c>
      <c r="J75" s="50">
        <v>1</v>
      </c>
      <c r="K75" s="50">
        <v>0</v>
      </c>
      <c r="L75" s="50">
        <v>0</v>
      </c>
      <c r="M75" s="50">
        <v>29</v>
      </c>
      <c r="N75" s="50">
        <v>0</v>
      </c>
      <c r="O75" s="17">
        <f t="shared" si="35"/>
        <v>43</v>
      </c>
      <c r="P75" s="17">
        <f t="shared" si="36"/>
        <v>72</v>
      </c>
      <c r="R75" s="19"/>
      <c r="S75" s="19"/>
      <c r="T75"/>
    </row>
    <row r="76" spans="2:20" ht="23.1" customHeight="1" x14ac:dyDescent="0.25">
      <c r="B76" s="45" t="s">
        <v>116</v>
      </c>
      <c r="C76" s="50">
        <v>15</v>
      </c>
      <c r="D76" s="50">
        <v>3</v>
      </c>
      <c r="E76" s="50">
        <v>0</v>
      </c>
      <c r="F76" s="50">
        <v>12</v>
      </c>
      <c r="G76" s="50">
        <v>1</v>
      </c>
      <c r="H76" s="50">
        <v>0</v>
      </c>
      <c r="I76" s="50">
        <v>7</v>
      </c>
      <c r="J76" s="50">
        <v>1</v>
      </c>
      <c r="K76" s="50">
        <v>0</v>
      </c>
      <c r="L76" s="50">
        <v>0</v>
      </c>
      <c r="M76" s="50">
        <v>16</v>
      </c>
      <c r="N76" s="50">
        <v>0</v>
      </c>
      <c r="O76" s="17">
        <f t="shared" si="35"/>
        <v>39</v>
      </c>
      <c r="P76" s="17">
        <f t="shared" si="36"/>
        <v>55</v>
      </c>
      <c r="R76" s="19"/>
      <c r="S76" s="19"/>
      <c r="T76"/>
    </row>
    <row r="77" spans="2:20" ht="23.1" customHeight="1" x14ac:dyDescent="0.25">
      <c r="B77" s="45" t="s">
        <v>117</v>
      </c>
      <c r="C77" s="50">
        <v>17</v>
      </c>
      <c r="D77" s="50">
        <v>2</v>
      </c>
      <c r="E77" s="50">
        <v>1</v>
      </c>
      <c r="F77" s="50">
        <v>11</v>
      </c>
      <c r="G77" s="50">
        <v>0</v>
      </c>
      <c r="H77" s="50">
        <v>0</v>
      </c>
      <c r="I77" s="50">
        <v>3</v>
      </c>
      <c r="J77" s="50">
        <v>0</v>
      </c>
      <c r="K77" s="50">
        <v>0</v>
      </c>
      <c r="L77" s="50">
        <v>0</v>
      </c>
      <c r="M77" s="50">
        <v>15</v>
      </c>
      <c r="N77" s="50">
        <v>0</v>
      </c>
      <c r="O77" s="17">
        <f t="shared" si="35"/>
        <v>34</v>
      </c>
      <c r="P77" s="17">
        <f t="shared" si="36"/>
        <v>49</v>
      </c>
      <c r="R77" s="19"/>
      <c r="S77" s="19"/>
      <c r="T77"/>
    </row>
    <row r="78" spans="2:20" ht="23.1" customHeight="1" x14ac:dyDescent="0.25">
      <c r="B78" s="46" t="s">
        <v>118</v>
      </c>
      <c r="C78" s="50">
        <v>20</v>
      </c>
      <c r="D78" s="50">
        <v>3</v>
      </c>
      <c r="E78" s="50">
        <v>1</v>
      </c>
      <c r="F78" s="50">
        <v>14</v>
      </c>
      <c r="G78" s="50">
        <v>1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16</v>
      </c>
      <c r="N78" s="50">
        <v>0</v>
      </c>
      <c r="O78" s="17">
        <f t="shared" si="35"/>
        <v>39</v>
      </c>
      <c r="P78" s="17">
        <f t="shared" si="36"/>
        <v>55</v>
      </c>
      <c r="R78" s="19"/>
      <c r="S78" s="19"/>
      <c r="T78"/>
    </row>
    <row r="79" spans="2:20" ht="23.1" customHeight="1" x14ac:dyDescent="0.25">
      <c r="B79" s="45" t="s">
        <v>119</v>
      </c>
      <c r="C79" s="50">
        <v>13</v>
      </c>
      <c r="D79" s="50">
        <v>2</v>
      </c>
      <c r="E79" s="50">
        <v>2</v>
      </c>
      <c r="F79" s="50">
        <v>8</v>
      </c>
      <c r="G79" s="50">
        <v>0</v>
      </c>
      <c r="H79" s="50">
        <v>0</v>
      </c>
      <c r="I79" s="50">
        <v>4</v>
      </c>
      <c r="J79" s="50">
        <v>0</v>
      </c>
      <c r="K79" s="50">
        <v>0</v>
      </c>
      <c r="L79" s="50">
        <v>0</v>
      </c>
      <c r="M79" s="50">
        <v>19</v>
      </c>
      <c r="N79" s="50">
        <v>0</v>
      </c>
      <c r="O79" s="17">
        <f t="shared" si="35"/>
        <v>29</v>
      </c>
      <c r="P79" s="17">
        <f t="shared" si="36"/>
        <v>48</v>
      </c>
      <c r="R79" s="19"/>
      <c r="S79" s="19"/>
      <c r="T79"/>
    </row>
    <row r="80" spans="2:20" ht="23.1" customHeight="1" x14ac:dyDescent="0.25">
      <c r="B80" s="47" t="s">
        <v>120</v>
      </c>
      <c r="C80" s="50">
        <v>7</v>
      </c>
      <c r="D80" s="50">
        <v>1</v>
      </c>
      <c r="E80" s="50">
        <v>1</v>
      </c>
      <c r="F80" s="50">
        <v>5</v>
      </c>
      <c r="G80" s="50">
        <v>0</v>
      </c>
      <c r="H80" s="50">
        <v>0</v>
      </c>
      <c r="I80" s="50">
        <v>1</v>
      </c>
      <c r="J80" s="50">
        <v>2</v>
      </c>
      <c r="K80" s="50">
        <v>0</v>
      </c>
      <c r="L80" s="50">
        <v>0</v>
      </c>
      <c r="M80" s="50">
        <v>17</v>
      </c>
      <c r="N80" s="50">
        <v>0</v>
      </c>
      <c r="O80" s="17">
        <f t="shared" si="35"/>
        <v>17</v>
      </c>
      <c r="P80" s="17">
        <f t="shared" si="36"/>
        <v>34</v>
      </c>
      <c r="R80" s="19"/>
      <c r="S80" s="19"/>
      <c r="T80"/>
    </row>
    <row r="81" spans="2:20" ht="23.1" customHeight="1" x14ac:dyDescent="0.25">
      <c r="B81" s="45" t="s">
        <v>121</v>
      </c>
      <c r="C81" s="50">
        <v>9</v>
      </c>
      <c r="D81" s="50">
        <v>0</v>
      </c>
      <c r="E81" s="50">
        <v>1</v>
      </c>
      <c r="F81" s="50">
        <v>3</v>
      </c>
      <c r="G81" s="50">
        <v>0</v>
      </c>
      <c r="H81" s="50">
        <v>0</v>
      </c>
      <c r="I81" s="50">
        <v>2</v>
      </c>
      <c r="J81" s="50">
        <v>0</v>
      </c>
      <c r="K81" s="50">
        <v>0</v>
      </c>
      <c r="L81" s="50">
        <v>0</v>
      </c>
      <c r="M81" s="50">
        <v>12</v>
      </c>
      <c r="N81" s="50">
        <v>0</v>
      </c>
      <c r="O81" s="17">
        <f t="shared" si="35"/>
        <v>15</v>
      </c>
      <c r="P81" s="17">
        <f t="shared" si="36"/>
        <v>27</v>
      </c>
      <c r="R81" s="19"/>
      <c r="S81" s="19"/>
      <c r="T81"/>
    </row>
    <row r="82" spans="2:20" ht="23.1" customHeight="1" x14ac:dyDescent="0.25">
      <c r="B82" s="46" t="s">
        <v>122</v>
      </c>
      <c r="C82" s="50">
        <v>5</v>
      </c>
      <c r="D82" s="50">
        <v>2</v>
      </c>
      <c r="E82" s="50">
        <v>1</v>
      </c>
      <c r="F82" s="50">
        <v>3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15</v>
      </c>
      <c r="N82" s="50">
        <v>0</v>
      </c>
      <c r="O82" s="17">
        <f t="shared" si="35"/>
        <v>11</v>
      </c>
      <c r="P82" s="17">
        <f t="shared" si="36"/>
        <v>26</v>
      </c>
      <c r="R82" s="19"/>
      <c r="S82" s="19"/>
      <c r="T82"/>
    </row>
    <row r="83" spans="2:20" ht="23.1" customHeight="1" x14ac:dyDescent="0.25">
      <c r="B83" s="45" t="s">
        <v>123</v>
      </c>
      <c r="C83" s="50">
        <v>3</v>
      </c>
      <c r="D83" s="50">
        <v>1</v>
      </c>
      <c r="E83" s="50">
        <v>1</v>
      </c>
      <c r="F83" s="50">
        <v>5</v>
      </c>
      <c r="G83" s="50">
        <v>0</v>
      </c>
      <c r="H83" s="50">
        <v>0</v>
      </c>
      <c r="I83" s="50">
        <v>2</v>
      </c>
      <c r="J83" s="50">
        <v>0</v>
      </c>
      <c r="K83" s="50">
        <v>0</v>
      </c>
      <c r="L83" s="50">
        <v>0</v>
      </c>
      <c r="M83" s="50">
        <v>10</v>
      </c>
      <c r="N83" s="50">
        <v>0</v>
      </c>
      <c r="O83" s="17">
        <f t="shared" si="35"/>
        <v>12</v>
      </c>
      <c r="P83" s="17">
        <f t="shared" si="36"/>
        <v>22</v>
      </c>
      <c r="R83" s="19"/>
      <c r="S83" s="19"/>
      <c r="T83"/>
    </row>
    <row r="84" spans="2:20" ht="23.1" customHeight="1" x14ac:dyDescent="0.25">
      <c r="B84" s="47" t="s">
        <v>124</v>
      </c>
      <c r="C84" s="50">
        <v>4</v>
      </c>
      <c r="D84" s="50">
        <v>0</v>
      </c>
      <c r="E84" s="50">
        <v>0</v>
      </c>
      <c r="F84" s="50">
        <v>2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14</v>
      </c>
      <c r="N84" s="50">
        <v>0</v>
      </c>
      <c r="O84" s="17">
        <f t="shared" si="35"/>
        <v>6</v>
      </c>
      <c r="P84" s="17">
        <f t="shared" si="36"/>
        <v>20</v>
      </c>
      <c r="R84" s="19"/>
      <c r="S84" s="19"/>
      <c r="T84"/>
    </row>
    <row r="85" spans="2:20" ht="23.1" customHeight="1" x14ac:dyDescent="0.25">
      <c r="B85" s="45" t="s">
        <v>125</v>
      </c>
      <c r="C85" s="50">
        <v>3</v>
      </c>
      <c r="D85" s="50">
        <v>2</v>
      </c>
      <c r="E85" s="50">
        <v>1</v>
      </c>
      <c r="F85" s="50">
        <v>3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10</v>
      </c>
      <c r="N85" s="50">
        <v>0</v>
      </c>
      <c r="O85" s="17">
        <f t="shared" si="35"/>
        <v>9</v>
      </c>
      <c r="P85" s="17">
        <f t="shared" si="36"/>
        <v>19</v>
      </c>
      <c r="R85" s="19"/>
      <c r="S85" s="19"/>
      <c r="T85"/>
    </row>
    <row r="86" spans="2:20" ht="23.1" customHeight="1" x14ac:dyDescent="0.25">
      <c r="B86" s="46" t="s">
        <v>126</v>
      </c>
      <c r="C86" s="50">
        <v>5</v>
      </c>
      <c r="D86" s="50">
        <v>1</v>
      </c>
      <c r="E86" s="50">
        <v>0</v>
      </c>
      <c r="F86" s="50">
        <v>2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13</v>
      </c>
      <c r="N86" s="50">
        <v>0</v>
      </c>
      <c r="O86" s="17">
        <f t="shared" si="35"/>
        <v>8</v>
      </c>
      <c r="P86" s="17">
        <f t="shared" si="36"/>
        <v>21</v>
      </c>
      <c r="R86" s="19"/>
      <c r="S86" s="19"/>
      <c r="T86"/>
    </row>
    <row r="87" spans="2:20" ht="23.1" customHeight="1" x14ac:dyDescent="0.25">
      <c r="B87" s="45" t="s">
        <v>127</v>
      </c>
      <c r="C87" s="50">
        <v>3</v>
      </c>
      <c r="D87" s="50">
        <v>1</v>
      </c>
      <c r="E87" s="50">
        <v>0</v>
      </c>
      <c r="F87" s="50">
        <v>2</v>
      </c>
      <c r="G87" s="50">
        <v>0</v>
      </c>
      <c r="H87" s="50">
        <v>0</v>
      </c>
      <c r="I87" s="50">
        <v>1</v>
      </c>
      <c r="J87" s="50">
        <v>0</v>
      </c>
      <c r="K87" s="50">
        <v>1</v>
      </c>
      <c r="L87" s="50">
        <v>0</v>
      </c>
      <c r="M87" s="50">
        <v>5</v>
      </c>
      <c r="N87" s="50">
        <v>0</v>
      </c>
      <c r="O87" s="17">
        <f t="shared" si="35"/>
        <v>8</v>
      </c>
      <c r="P87" s="17">
        <f t="shared" si="36"/>
        <v>13</v>
      </c>
      <c r="R87" s="19"/>
      <c r="S87" s="19"/>
      <c r="T87"/>
    </row>
    <row r="88" spans="2:20" ht="23.1" customHeight="1" x14ac:dyDescent="0.25">
      <c r="B88" s="47" t="s">
        <v>128</v>
      </c>
      <c r="C88" s="50">
        <v>5</v>
      </c>
      <c r="D88" s="50">
        <v>1</v>
      </c>
      <c r="E88" s="50">
        <v>0</v>
      </c>
      <c r="F88" s="50">
        <v>4</v>
      </c>
      <c r="G88" s="50">
        <v>1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5</v>
      </c>
      <c r="N88" s="50">
        <v>0</v>
      </c>
      <c r="O88" s="17">
        <f t="shared" si="35"/>
        <v>11</v>
      </c>
      <c r="P88" s="17">
        <f t="shared" si="36"/>
        <v>16</v>
      </c>
      <c r="R88" s="19"/>
      <c r="S88" s="19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4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0</v>
      </c>
      <c r="M89" s="50">
        <v>4</v>
      </c>
      <c r="N89" s="50">
        <v>0</v>
      </c>
      <c r="O89" s="17">
        <f t="shared" si="35"/>
        <v>6</v>
      </c>
      <c r="P89" s="17">
        <f t="shared" si="36"/>
        <v>10</v>
      </c>
      <c r="R89" s="19"/>
      <c r="S89" s="19"/>
      <c r="T89"/>
    </row>
    <row r="90" spans="2:20" ht="23.1" customHeight="1" x14ac:dyDescent="0.25">
      <c r="B90" s="46" t="s">
        <v>130</v>
      </c>
      <c r="C90" s="50">
        <v>5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0</v>
      </c>
      <c r="M90" s="50">
        <v>2</v>
      </c>
      <c r="N90" s="50">
        <v>0</v>
      </c>
      <c r="O90" s="17">
        <f t="shared" si="35"/>
        <v>6</v>
      </c>
      <c r="P90" s="17">
        <f t="shared" si="36"/>
        <v>8</v>
      </c>
      <c r="R90" s="19"/>
      <c r="S90" s="19"/>
      <c r="T90"/>
    </row>
    <row r="91" spans="2:20" ht="23.1" customHeight="1" x14ac:dyDescent="0.25">
      <c r="B91" s="45" t="s">
        <v>131</v>
      </c>
      <c r="C91" s="50">
        <v>6</v>
      </c>
      <c r="D91" s="50">
        <v>0</v>
      </c>
      <c r="E91" s="50">
        <v>1</v>
      </c>
      <c r="F91" s="50">
        <v>2</v>
      </c>
      <c r="G91" s="50">
        <v>0</v>
      </c>
      <c r="H91" s="50">
        <v>0</v>
      </c>
      <c r="I91" s="50">
        <v>0</v>
      </c>
      <c r="J91" s="50">
        <v>2</v>
      </c>
      <c r="K91" s="50">
        <v>0</v>
      </c>
      <c r="L91" s="50">
        <v>0</v>
      </c>
      <c r="M91" s="50">
        <v>1</v>
      </c>
      <c r="N91" s="50">
        <v>0</v>
      </c>
      <c r="O91" s="17">
        <f t="shared" si="35"/>
        <v>11</v>
      </c>
      <c r="P91" s="17">
        <f t="shared" si="36"/>
        <v>12</v>
      </c>
      <c r="R91" s="19"/>
      <c r="S91" s="19"/>
      <c r="T91"/>
    </row>
    <row r="92" spans="2:20" ht="23.1" customHeight="1" x14ac:dyDescent="0.25">
      <c r="B92" s="47" t="s">
        <v>132</v>
      </c>
      <c r="C92" s="50">
        <v>6</v>
      </c>
      <c r="D92" s="50">
        <v>0</v>
      </c>
      <c r="E92" s="50">
        <v>0</v>
      </c>
      <c r="F92" s="50">
        <v>3</v>
      </c>
      <c r="G92" s="50">
        <v>0</v>
      </c>
      <c r="H92" s="50">
        <v>0</v>
      </c>
      <c r="I92" s="50">
        <v>1</v>
      </c>
      <c r="J92" s="50">
        <v>1</v>
      </c>
      <c r="K92" s="50">
        <v>0</v>
      </c>
      <c r="L92" s="50">
        <v>0</v>
      </c>
      <c r="M92" s="50">
        <v>9</v>
      </c>
      <c r="N92" s="50">
        <v>0</v>
      </c>
      <c r="O92" s="17">
        <f t="shared" si="35"/>
        <v>11</v>
      </c>
      <c r="P92" s="17">
        <f t="shared" si="36"/>
        <v>20</v>
      </c>
      <c r="R92" s="19"/>
      <c r="S92" s="19"/>
      <c r="T92"/>
    </row>
    <row r="93" spans="2:20" ht="23.1" customHeight="1" x14ac:dyDescent="0.25">
      <c r="B93" s="45" t="s">
        <v>133</v>
      </c>
      <c r="C93" s="50">
        <v>5</v>
      </c>
      <c r="D93" s="50">
        <v>0</v>
      </c>
      <c r="E93" s="50">
        <v>2</v>
      </c>
      <c r="F93" s="50">
        <v>1</v>
      </c>
      <c r="G93" s="50">
        <v>0</v>
      </c>
      <c r="H93" s="50">
        <v>0</v>
      </c>
      <c r="I93" s="50">
        <v>2</v>
      </c>
      <c r="J93" s="50">
        <v>0</v>
      </c>
      <c r="K93" s="50">
        <v>0</v>
      </c>
      <c r="L93" s="50">
        <v>0</v>
      </c>
      <c r="M93" s="50">
        <v>10</v>
      </c>
      <c r="N93" s="50">
        <v>0</v>
      </c>
      <c r="O93" s="17">
        <f t="shared" si="35"/>
        <v>10</v>
      </c>
      <c r="P93" s="17">
        <f t="shared" si="36"/>
        <v>20</v>
      </c>
      <c r="R93" s="19"/>
      <c r="S93" s="19"/>
      <c r="T93"/>
    </row>
    <row r="94" spans="2:20" ht="23.1" customHeight="1" x14ac:dyDescent="0.25">
      <c r="B94" s="46" t="s">
        <v>134</v>
      </c>
      <c r="C94" s="50">
        <v>5</v>
      </c>
      <c r="D94" s="50">
        <v>0</v>
      </c>
      <c r="E94" s="50">
        <v>0</v>
      </c>
      <c r="F94" s="50">
        <v>3</v>
      </c>
      <c r="G94" s="50">
        <v>0</v>
      </c>
      <c r="H94" s="50">
        <v>0</v>
      </c>
      <c r="I94" s="50">
        <v>3</v>
      </c>
      <c r="J94" s="50">
        <v>0</v>
      </c>
      <c r="K94" s="50">
        <v>0</v>
      </c>
      <c r="L94" s="50">
        <v>0</v>
      </c>
      <c r="M94" s="50">
        <v>18</v>
      </c>
      <c r="N94" s="50">
        <v>0</v>
      </c>
      <c r="O94" s="17">
        <f t="shared" si="35"/>
        <v>11</v>
      </c>
      <c r="P94" s="17">
        <f t="shared" si="36"/>
        <v>29</v>
      </c>
      <c r="R94" s="19"/>
      <c r="S94" s="19"/>
      <c r="T94"/>
    </row>
    <row r="95" spans="2:20" ht="23.1" customHeight="1" x14ac:dyDescent="0.25">
      <c r="B95" s="45" t="s">
        <v>135</v>
      </c>
      <c r="C95" s="50">
        <v>4</v>
      </c>
      <c r="D95" s="50">
        <v>0</v>
      </c>
      <c r="E95" s="50">
        <v>1</v>
      </c>
      <c r="F95" s="50">
        <v>2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7</v>
      </c>
      <c r="N95" s="50">
        <v>0</v>
      </c>
      <c r="O95" s="17">
        <f t="shared" si="35"/>
        <v>7</v>
      </c>
      <c r="P95" s="17">
        <f t="shared" si="36"/>
        <v>14</v>
      </c>
      <c r="R95" s="19"/>
      <c r="S95" s="19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3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13</v>
      </c>
      <c r="N96" s="50">
        <v>0</v>
      </c>
      <c r="O96" s="17">
        <f t="shared" si="35"/>
        <v>4</v>
      </c>
      <c r="P96" s="17">
        <f t="shared" si="36"/>
        <v>17</v>
      </c>
      <c r="R96" s="19"/>
      <c r="S96" s="19"/>
      <c r="T96"/>
    </row>
    <row r="97" spans="2:20" ht="23.1" customHeight="1" x14ac:dyDescent="0.25">
      <c r="B97" s="45" t="s">
        <v>137</v>
      </c>
      <c r="C97" s="50">
        <v>0</v>
      </c>
      <c r="D97" s="50">
        <v>2</v>
      </c>
      <c r="E97" s="50">
        <v>1</v>
      </c>
      <c r="F97" s="50">
        <v>6</v>
      </c>
      <c r="G97" s="50">
        <v>0</v>
      </c>
      <c r="H97" s="50">
        <v>0</v>
      </c>
      <c r="I97" s="50">
        <v>0</v>
      </c>
      <c r="J97" s="50">
        <v>1</v>
      </c>
      <c r="K97" s="50">
        <v>1</v>
      </c>
      <c r="L97" s="50">
        <v>0</v>
      </c>
      <c r="M97" s="50">
        <v>15</v>
      </c>
      <c r="N97" s="50">
        <v>0</v>
      </c>
      <c r="O97" s="17">
        <f t="shared" si="35"/>
        <v>11</v>
      </c>
      <c r="P97" s="17">
        <f t="shared" si="36"/>
        <v>26</v>
      </c>
      <c r="R97" s="19"/>
      <c r="S97" s="19"/>
      <c r="T97"/>
    </row>
    <row r="98" spans="2:20" ht="23.1" customHeight="1" x14ac:dyDescent="0.25">
      <c r="B98" s="46" t="s">
        <v>138</v>
      </c>
      <c r="C98" s="50">
        <v>8</v>
      </c>
      <c r="D98" s="50">
        <v>1</v>
      </c>
      <c r="E98" s="50">
        <v>1</v>
      </c>
      <c r="F98" s="50">
        <v>7</v>
      </c>
      <c r="G98" s="50">
        <v>0</v>
      </c>
      <c r="H98" s="50">
        <v>0</v>
      </c>
      <c r="I98" s="50">
        <v>3</v>
      </c>
      <c r="J98" s="50">
        <v>0</v>
      </c>
      <c r="K98" s="50">
        <v>0</v>
      </c>
      <c r="L98" s="50">
        <v>0</v>
      </c>
      <c r="M98" s="50">
        <v>15</v>
      </c>
      <c r="N98" s="50">
        <v>0</v>
      </c>
      <c r="O98" s="17">
        <f t="shared" si="35"/>
        <v>20</v>
      </c>
      <c r="P98" s="17">
        <f t="shared" si="36"/>
        <v>35</v>
      </c>
      <c r="R98" s="19"/>
      <c r="S98" s="19"/>
      <c r="T98"/>
    </row>
    <row r="99" spans="2:20" ht="23.1" customHeight="1" x14ac:dyDescent="0.25">
      <c r="B99" s="45" t="s">
        <v>139</v>
      </c>
      <c r="C99" s="50">
        <v>5</v>
      </c>
      <c r="D99" s="50">
        <v>2</v>
      </c>
      <c r="E99" s="50">
        <v>0</v>
      </c>
      <c r="F99" s="50">
        <v>7</v>
      </c>
      <c r="G99" s="50">
        <v>0</v>
      </c>
      <c r="H99" s="50">
        <v>0</v>
      </c>
      <c r="I99" s="50">
        <v>1</v>
      </c>
      <c r="J99" s="50">
        <v>2</v>
      </c>
      <c r="K99" s="50">
        <v>2</v>
      </c>
      <c r="L99" s="50">
        <v>0</v>
      </c>
      <c r="M99" s="50">
        <v>10</v>
      </c>
      <c r="N99" s="50">
        <v>0</v>
      </c>
      <c r="O99" s="17">
        <f t="shared" si="35"/>
        <v>19</v>
      </c>
      <c r="P99" s="17">
        <f t="shared" si="36"/>
        <v>29</v>
      </c>
      <c r="R99" s="19"/>
      <c r="S99" s="19"/>
      <c r="T99"/>
    </row>
    <row r="100" spans="2:20" ht="23.1" customHeight="1" x14ac:dyDescent="0.25">
      <c r="B100" s="47" t="s">
        <v>140</v>
      </c>
      <c r="C100" s="50">
        <v>7</v>
      </c>
      <c r="D100" s="50">
        <v>3</v>
      </c>
      <c r="E100" s="50">
        <v>1</v>
      </c>
      <c r="F100" s="50">
        <v>10</v>
      </c>
      <c r="G100" s="50">
        <v>0</v>
      </c>
      <c r="H100" s="50">
        <v>0</v>
      </c>
      <c r="I100" s="50">
        <v>7</v>
      </c>
      <c r="J100" s="50">
        <v>0</v>
      </c>
      <c r="K100" s="50">
        <v>1</v>
      </c>
      <c r="L100" s="50">
        <v>0</v>
      </c>
      <c r="M100" s="50">
        <v>21</v>
      </c>
      <c r="N100" s="50">
        <v>0</v>
      </c>
      <c r="O100" s="17">
        <f t="shared" si="35"/>
        <v>29</v>
      </c>
      <c r="P100" s="17">
        <f t="shared" si="36"/>
        <v>50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3</v>
      </c>
      <c r="D101" s="50">
        <v>2</v>
      </c>
      <c r="E101" s="50">
        <v>0</v>
      </c>
      <c r="F101" s="50">
        <v>10</v>
      </c>
      <c r="G101" s="50">
        <v>0</v>
      </c>
      <c r="H101" s="50">
        <v>1</v>
      </c>
      <c r="I101" s="50">
        <v>3</v>
      </c>
      <c r="J101" s="50">
        <v>1</v>
      </c>
      <c r="K101" s="50">
        <v>2</v>
      </c>
      <c r="L101" s="50">
        <v>0</v>
      </c>
      <c r="M101" s="50">
        <v>15</v>
      </c>
      <c r="N101" s="50">
        <v>0</v>
      </c>
      <c r="O101" s="17">
        <f t="shared" si="35"/>
        <v>22</v>
      </c>
      <c r="P101" s="17">
        <f t="shared" si="36"/>
        <v>37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9</v>
      </c>
      <c r="D102" s="50">
        <v>3</v>
      </c>
      <c r="E102" s="50">
        <v>2</v>
      </c>
      <c r="F102" s="50">
        <v>22</v>
      </c>
      <c r="G102" s="50">
        <v>0</v>
      </c>
      <c r="H102" s="50">
        <v>0</v>
      </c>
      <c r="I102" s="50">
        <v>4</v>
      </c>
      <c r="J102" s="50">
        <v>0</v>
      </c>
      <c r="K102" s="50">
        <v>3</v>
      </c>
      <c r="L102" s="50">
        <v>0</v>
      </c>
      <c r="M102" s="50">
        <v>17</v>
      </c>
      <c r="N102" s="50">
        <v>0</v>
      </c>
      <c r="O102" s="17">
        <f t="shared" si="35"/>
        <v>43</v>
      </c>
      <c r="P102" s="17">
        <f t="shared" si="36"/>
        <v>60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3</v>
      </c>
      <c r="D103" s="50">
        <v>1</v>
      </c>
      <c r="E103" s="50">
        <v>0</v>
      </c>
      <c r="F103" s="50">
        <v>9</v>
      </c>
      <c r="G103" s="50">
        <v>0</v>
      </c>
      <c r="H103" s="50">
        <v>0</v>
      </c>
      <c r="I103" s="50">
        <v>7</v>
      </c>
      <c r="J103" s="50">
        <v>1</v>
      </c>
      <c r="K103" s="50">
        <v>0</v>
      </c>
      <c r="L103" s="50">
        <v>0</v>
      </c>
      <c r="M103" s="50">
        <v>34</v>
      </c>
      <c r="N103" s="50">
        <v>0</v>
      </c>
      <c r="O103" s="17">
        <f t="shared" si="35"/>
        <v>21</v>
      </c>
      <c r="P103" s="17">
        <f t="shared" si="36"/>
        <v>55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22</v>
      </c>
      <c r="D104" s="50">
        <v>2</v>
      </c>
      <c r="E104" s="50">
        <v>0</v>
      </c>
      <c r="F104" s="50">
        <v>34</v>
      </c>
      <c r="G104" s="50">
        <v>1</v>
      </c>
      <c r="H104" s="50">
        <v>0</v>
      </c>
      <c r="I104" s="50">
        <v>5</v>
      </c>
      <c r="J104" s="50">
        <v>0</v>
      </c>
      <c r="K104" s="50">
        <v>2</v>
      </c>
      <c r="L104" s="50">
        <v>0</v>
      </c>
      <c r="M104" s="50">
        <v>92</v>
      </c>
      <c r="N104" s="50">
        <v>0</v>
      </c>
      <c r="O104" s="17">
        <f t="shared" si="35"/>
        <v>66</v>
      </c>
      <c r="P104" s="17">
        <f t="shared" si="36"/>
        <v>158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27</v>
      </c>
      <c r="D105" s="50">
        <v>3</v>
      </c>
      <c r="E105" s="50">
        <v>0</v>
      </c>
      <c r="F105" s="50">
        <v>35</v>
      </c>
      <c r="G105" s="50">
        <v>0</v>
      </c>
      <c r="H105" s="50">
        <v>0</v>
      </c>
      <c r="I105" s="50">
        <v>3</v>
      </c>
      <c r="J105" s="50">
        <v>1</v>
      </c>
      <c r="K105" s="50">
        <v>2</v>
      </c>
      <c r="L105" s="50">
        <v>0</v>
      </c>
      <c r="M105" s="50">
        <v>77</v>
      </c>
      <c r="N105" s="50">
        <v>0</v>
      </c>
      <c r="O105" s="17">
        <f t="shared" si="35"/>
        <v>71</v>
      </c>
      <c r="P105" s="17">
        <f t="shared" si="36"/>
        <v>148</v>
      </c>
      <c r="R105" s="19"/>
      <c r="S105" s="19"/>
      <c r="T105"/>
    </row>
    <row r="106" spans="2:20" ht="23.1" customHeight="1" x14ac:dyDescent="0.25">
      <c r="B106" s="66" t="s">
        <v>18</v>
      </c>
      <c r="C106" s="16">
        <f>SUM(C10:C105)</f>
        <v>5070</v>
      </c>
      <c r="D106" s="16">
        <f t="shared" ref="D106:P106" si="37">SUM(D10:D105)</f>
        <v>702</v>
      </c>
      <c r="E106" s="16">
        <f t="shared" si="37"/>
        <v>496</v>
      </c>
      <c r="F106" s="16">
        <f t="shared" si="37"/>
        <v>2757</v>
      </c>
      <c r="G106" s="16">
        <f t="shared" si="37"/>
        <v>63</v>
      </c>
      <c r="H106" s="16">
        <f t="shared" si="37"/>
        <v>22</v>
      </c>
      <c r="I106" s="16">
        <f t="shared" si="37"/>
        <v>758</v>
      </c>
      <c r="J106" s="16">
        <f t="shared" si="37"/>
        <v>118</v>
      </c>
      <c r="K106" s="16">
        <f t="shared" si="37"/>
        <v>164</v>
      </c>
      <c r="L106" s="16">
        <f t="shared" si="37"/>
        <v>19</v>
      </c>
      <c r="M106" s="16">
        <f t="shared" si="37"/>
        <v>6978</v>
      </c>
      <c r="N106" s="16">
        <f t="shared" si="37"/>
        <v>0</v>
      </c>
      <c r="O106" s="16">
        <f t="shared" si="37"/>
        <v>10169</v>
      </c>
      <c r="P106" s="16">
        <f t="shared" si="37"/>
        <v>17147</v>
      </c>
      <c r="R106" s="19"/>
      <c r="S106" s="19"/>
      <c r="T106"/>
    </row>
    <row r="107" spans="2:20" ht="23.1" customHeight="1" x14ac:dyDescent="0.25">
      <c r="B107" s="66" t="s">
        <v>93</v>
      </c>
      <c r="C107" s="43">
        <f t="shared" ref="C107:N107" si="38">C106/$P$106</f>
        <v>0.29567854435178165</v>
      </c>
      <c r="D107" s="43">
        <f t="shared" si="38"/>
        <v>4.0940106141015918E-2</v>
      </c>
      <c r="E107" s="43">
        <f t="shared" si="38"/>
        <v>2.892634280048988E-2</v>
      </c>
      <c r="F107" s="43">
        <f t="shared" si="38"/>
        <v>0.16078614334869074</v>
      </c>
      <c r="G107" s="43">
        <f t="shared" si="38"/>
        <v>3.6741120895783519E-3</v>
      </c>
      <c r="H107" s="43">
        <f t="shared" si="38"/>
        <v>1.2830232693765674E-3</v>
      </c>
      <c r="I107" s="43">
        <f t="shared" si="38"/>
        <v>4.4205983553974454E-2</v>
      </c>
      <c r="J107" s="43">
        <f t="shared" si="38"/>
        <v>6.8816702630197703E-3</v>
      </c>
      <c r="K107" s="43">
        <f t="shared" si="38"/>
        <v>9.564355280807138E-3</v>
      </c>
      <c r="L107" s="43">
        <f t="shared" si="38"/>
        <v>1.1080655508252173E-3</v>
      </c>
      <c r="M107" s="43">
        <f t="shared" si="38"/>
        <v>0.40695165335044031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67" t="s">
        <v>94</v>
      </c>
      <c r="C108" s="44">
        <f>C106/$O$106</f>
        <v>0.49857409774805783</v>
      </c>
      <c r="D108" s="44">
        <f t="shared" ref="D108:N108" si="39">D106/$O$106</f>
        <v>6.903333661126955E-2</v>
      </c>
      <c r="E108" s="44">
        <f t="shared" si="39"/>
        <v>4.8775690825056547E-2</v>
      </c>
      <c r="F108" s="44">
        <f t="shared" si="39"/>
        <v>0.27111810404169534</v>
      </c>
      <c r="G108" s="44">
        <f t="shared" si="39"/>
        <v>6.1952994394729082E-3</v>
      </c>
      <c r="H108" s="44">
        <f t="shared" si="39"/>
        <v>2.163437899498476E-3</v>
      </c>
      <c r="I108" s="44">
        <f t="shared" si="39"/>
        <v>7.4540269446356569E-2</v>
      </c>
      <c r="J108" s="44">
        <f t="shared" si="39"/>
        <v>1.1603894188219097E-2</v>
      </c>
      <c r="K108" s="44">
        <f t="shared" si="39"/>
        <v>1.6127446159897727E-2</v>
      </c>
      <c r="L108" s="44">
        <f t="shared" si="39"/>
        <v>1.8684236404759563E-3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1:32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1:32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1:32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1:32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1:32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1:32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1:32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1:32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1:32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1:32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1:32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1:32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1:32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1:32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26"/>
  <sheetViews>
    <sheetView view="pageBreakPreview" zoomScale="60" workbookViewId="0">
      <selection activeCell="S53" sqref="S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78" t="str">
        <f>'[1]28.07 Makindye-Kibuye'!C3:G3</f>
        <v>MCC - C2 - STN-69- Gayaza-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 t="s">
        <v>178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85" t="s">
        <v>179</v>
      </c>
      <c r="E5" s="86"/>
      <c r="F5" s="41" t="s">
        <v>1</v>
      </c>
      <c r="G5" s="73" t="str">
        <f>'[1]28.07 Kibuye-Makindye'!G5:H5</f>
        <v>TOTAL BULAMU</v>
      </c>
      <c r="H5" s="74"/>
      <c r="I5" s="14"/>
      <c r="J5" s="2" t="s">
        <v>5</v>
      </c>
      <c r="K5" s="73" t="str">
        <f>'[1]28.07 Kibuye-Makindye'!K5:L5</f>
        <v>Muganga. S</v>
      </c>
      <c r="L5" s="74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3" t="str">
        <f>'[1]28.07 Kibuye-Makindye'!D6:E6</f>
        <v>KASANGATI</v>
      </c>
      <c r="E6" s="74"/>
      <c r="F6" s="2" t="s">
        <v>2</v>
      </c>
      <c r="G6" s="73" t="str">
        <f>'[1]28.07 Kibuye-Makindye'!G6:H6</f>
        <v>GAYAZA</v>
      </c>
      <c r="H6" s="74"/>
      <c r="J6" s="2" t="s">
        <v>21</v>
      </c>
      <c r="K6" s="73" t="str">
        <f>'[1]28.07 Kibuye-Makindye'!K6:L6</f>
        <v>LAWRENCE</v>
      </c>
      <c r="L6" s="74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4" t="s">
        <v>88</v>
      </c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68">
        <v>30</v>
      </c>
      <c r="D10" s="68">
        <v>3</v>
      </c>
      <c r="E10" s="68">
        <v>2</v>
      </c>
      <c r="F10" s="68">
        <v>36</v>
      </c>
      <c r="G10" s="68">
        <v>0</v>
      </c>
      <c r="H10" s="68">
        <v>0</v>
      </c>
      <c r="I10" s="68">
        <v>8</v>
      </c>
      <c r="J10" s="68">
        <v>4</v>
      </c>
      <c r="K10" s="68">
        <v>0</v>
      </c>
      <c r="L10" s="68">
        <f>AVERAGE('[1]23.09. KASANGATI-GAYAZA'!L10,'[1]24.09 Kasangati-Gayaza'!L10,'[1]25.09 Kasangati-Gayaza'!L10,'[1]25.07 Kibuye-Makindye'!L10,'[1]26.07 Kibuye-Makindye-24h'!L10,'[1]27.07 Kibuye-Makindye-24h'!L10,'[1]28.07 Kibuye-Makindye'!L10)</f>
        <v>0</v>
      </c>
      <c r="M10" s="68">
        <v>55</v>
      </c>
      <c r="N10" s="68">
        <v>0</v>
      </c>
      <c r="O10" s="17">
        <f>(C10+D10+E10+F10+G10+H10+I10+J10+K10+L10+N10)</f>
        <v>83</v>
      </c>
      <c r="P10" s="17">
        <f>SUM(C10:N10)</f>
        <v>138</v>
      </c>
      <c r="R10" s="1" t="s">
        <v>6</v>
      </c>
      <c r="S10" s="17">
        <f t="shared" ref="S10:AF10" si="0">SUM(C10:C13)</f>
        <v>115</v>
      </c>
      <c r="T10" s="17">
        <f t="shared" si="0"/>
        <v>21</v>
      </c>
      <c r="U10" s="17">
        <f t="shared" si="0"/>
        <v>12</v>
      </c>
      <c r="V10" s="17">
        <f t="shared" si="0"/>
        <v>143</v>
      </c>
      <c r="W10" s="17">
        <f t="shared" si="0"/>
        <v>0</v>
      </c>
      <c r="X10" s="17">
        <f t="shared" si="0"/>
        <v>0</v>
      </c>
      <c r="Y10" s="17">
        <f t="shared" si="0"/>
        <v>19</v>
      </c>
      <c r="Z10" s="17">
        <f t="shared" si="0"/>
        <v>9</v>
      </c>
      <c r="AA10" s="17">
        <f t="shared" si="0"/>
        <v>9</v>
      </c>
      <c r="AB10" s="17">
        <f t="shared" si="0"/>
        <v>0</v>
      </c>
      <c r="AC10" s="17">
        <f t="shared" si="0"/>
        <v>325</v>
      </c>
      <c r="AD10" s="17">
        <f t="shared" si="0"/>
        <v>0</v>
      </c>
      <c r="AE10" s="31">
        <f t="shared" si="0"/>
        <v>328</v>
      </c>
      <c r="AF10" s="31">
        <f t="shared" si="0"/>
        <v>653</v>
      </c>
    </row>
    <row r="11" spans="2:32" s="6" customFormat="1" ht="23.1" customHeight="1" x14ac:dyDescent="0.25">
      <c r="B11" s="23" t="s">
        <v>38</v>
      </c>
      <c r="C11" s="68">
        <v>18</v>
      </c>
      <c r="D11" s="68">
        <v>4</v>
      </c>
      <c r="E11" s="68">
        <v>2</v>
      </c>
      <c r="F11" s="68">
        <v>35</v>
      </c>
      <c r="G11" s="68">
        <v>0</v>
      </c>
      <c r="H11" s="68">
        <v>0</v>
      </c>
      <c r="I11" s="68">
        <v>1</v>
      </c>
      <c r="J11" s="68">
        <v>4</v>
      </c>
      <c r="K11" s="68">
        <v>3</v>
      </c>
      <c r="L11" s="68">
        <v>0</v>
      </c>
      <c r="M11" s="68">
        <v>66</v>
      </c>
      <c r="N11" s="68">
        <v>0</v>
      </c>
      <c r="O11" s="17">
        <f t="shared" ref="O11:O57" si="1">(C11+D11+E11+F11+G11+H11+I11+J11+K11+L11+N11)</f>
        <v>67</v>
      </c>
      <c r="P11" s="17">
        <f t="shared" ref="P11:P57" si="2">SUM(C11:N11)</f>
        <v>133</v>
      </c>
      <c r="R11" s="1" t="s">
        <v>7</v>
      </c>
      <c r="S11" s="17">
        <f t="shared" ref="S11:AF11" si="3">SUM(C14:C17)</f>
        <v>169</v>
      </c>
      <c r="T11" s="17">
        <f t="shared" si="3"/>
        <v>27</v>
      </c>
      <c r="U11" s="17">
        <f t="shared" si="3"/>
        <v>20</v>
      </c>
      <c r="V11" s="17">
        <f t="shared" si="3"/>
        <v>146</v>
      </c>
      <c r="W11" s="17">
        <f t="shared" si="3"/>
        <v>1</v>
      </c>
      <c r="X11" s="17">
        <f t="shared" si="3"/>
        <v>0</v>
      </c>
      <c r="Y11" s="17">
        <f t="shared" si="3"/>
        <v>29</v>
      </c>
      <c r="Z11" s="17">
        <f t="shared" si="3"/>
        <v>10</v>
      </c>
      <c r="AA11" s="17">
        <f t="shared" si="3"/>
        <v>12</v>
      </c>
      <c r="AB11" s="17">
        <f t="shared" si="3"/>
        <v>0</v>
      </c>
      <c r="AC11" s="17">
        <f t="shared" si="3"/>
        <v>426</v>
      </c>
      <c r="AD11" s="17">
        <f t="shared" si="3"/>
        <v>0</v>
      </c>
      <c r="AE11" s="31">
        <f t="shared" si="3"/>
        <v>414</v>
      </c>
      <c r="AF11" s="31">
        <f t="shared" si="3"/>
        <v>840</v>
      </c>
    </row>
    <row r="12" spans="2:32" ht="23.1" customHeight="1" x14ac:dyDescent="0.25">
      <c r="B12" s="23" t="s">
        <v>39</v>
      </c>
      <c r="C12" s="68">
        <v>24</v>
      </c>
      <c r="D12" s="68">
        <v>6</v>
      </c>
      <c r="E12" s="68">
        <v>4</v>
      </c>
      <c r="F12" s="68">
        <v>37</v>
      </c>
      <c r="G12" s="68">
        <v>0</v>
      </c>
      <c r="H12" s="68">
        <v>0</v>
      </c>
      <c r="I12" s="68">
        <v>4</v>
      </c>
      <c r="J12" s="68">
        <v>1</v>
      </c>
      <c r="K12" s="68">
        <v>4</v>
      </c>
      <c r="L12" s="68">
        <v>0</v>
      </c>
      <c r="M12" s="68">
        <v>100</v>
      </c>
      <c r="N12" s="68">
        <v>0</v>
      </c>
      <c r="O12" s="17">
        <f t="shared" si="1"/>
        <v>80</v>
      </c>
      <c r="P12" s="17">
        <f t="shared" si="2"/>
        <v>180</v>
      </c>
      <c r="R12" s="1" t="s">
        <v>8</v>
      </c>
      <c r="S12" s="17">
        <f t="shared" ref="S12:AF12" si="4">SUM(C18:C21)</f>
        <v>226</v>
      </c>
      <c r="T12" s="17">
        <f t="shared" si="4"/>
        <v>35</v>
      </c>
      <c r="U12" s="17">
        <f t="shared" si="4"/>
        <v>23</v>
      </c>
      <c r="V12" s="17">
        <f t="shared" si="4"/>
        <v>215</v>
      </c>
      <c r="W12" s="17">
        <f t="shared" si="4"/>
        <v>0</v>
      </c>
      <c r="X12" s="17">
        <f t="shared" si="4"/>
        <v>0</v>
      </c>
      <c r="Y12" s="17">
        <f t="shared" si="4"/>
        <v>31</v>
      </c>
      <c r="Z12" s="17">
        <f t="shared" si="4"/>
        <v>8</v>
      </c>
      <c r="AA12" s="17">
        <f t="shared" si="4"/>
        <v>12</v>
      </c>
      <c r="AB12" s="17">
        <f t="shared" si="4"/>
        <v>0</v>
      </c>
      <c r="AC12" s="17">
        <f t="shared" si="4"/>
        <v>440</v>
      </c>
      <c r="AD12" s="17">
        <f t="shared" si="4"/>
        <v>0</v>
      </c>
      <c r="AE12" s="31">
        <f t="shared" si="4"/>
        <v>550</v>
      </c>
      <c r="AF12" s="31">
        <f t="shared" si="4"/>
        <v>990</v>
      </c>
    </row>
    <row r="13" spans="2:32" ht="23.1" customHeight="1" x14ac:dyDescent="0.25">
      <c r="B13" s="23" t="s">
        <v>40</v>
      </c>
      <c r="C13" s="68">
        <v>43</v>
      </c>
      <c r="D13" s="68">
        <v>8</v>
      </c>
      <c r="E13" s="68">
        <v>4</v>
      </c>
      <c r="F13" s="68">
        <v>35</v>
      </c>
      <c r="G13" s="68">
        <v>0</v>
      </c>
      <c r="H13" s="68">
        <v>0</v>
      </c>
      <c r="I13" s="68">
        <v>6</v>
      </c>
      <c r="J13" s="68">
        <v>0</v>
      </c>
      <c r="K13" s="68">
        <v>2</v>
      </c>
      <c r="L13" s="68">
        <v>0</v>
      </c>
      <c r="M13" s="68">
        <v>104</v>
      </c>
      <c r="N13" s="68">
        <v>0</v>
      </c>
      <c r="O13" s="17">
        <f t="shared" si="1"/>
        <v>98</v>
      </c>
      <c r="P13" s="17">
        <f t="shared" si="2"/>
        <v>202</v>
      </c>
      <c r="R13" s="1" t="s">
        <v>9</v>
      </c>
      <c r="S13" s="17">
        <f t="shared" ref="S13:AF13" si="5">SUM(C22:C25)</f>
        <v>235</v>
      </c>
      <c r="T13" s="17">
        <f t="shared" si="5"/>
        <v>55</v>
      </c>
      <c r="U13" s="17">
        <f t="shared" si="5"/>
        <v>27</v>
      </c>
      <c r="V13" s="17">
        <f t="shared" si="5"/>
        <v>213</v>
      </c>
      <c r="W13" s="17">
        <f t="shared" si="5"/>
        <v>2</v>
      </c>
      <c r="X13" s="17">
        <f t="shared" si="5"/>
        <v>0</v>
      </c>
      <c r="Y13" s="17">
        <f t="shared" si="5"/>
        <v>36</v>
      </c>
      <c r="Z13" s="17">
        <f t="shared" si="5"/>
        <v>5</v>
      </c>
      <c r="AA13" s="17">
        <f t="shared" si="5"/>
        <v>7</v>
      </c>
      <c r="AB13" s="17">
        <f t="shared" si="5"/>
        <v>0</v>
      </c>
      <c r="AC13" s="17">
        <f t="shared" si="5"/>
        <v>495</v>
      </c>
      <c r="AD13" s="17">
        <f t="shared" si="5"/>
        <v>0</v>
      </c>
      <c r="AE13" s="31">
        <f t="shared" si="5"/>
        <v>580</v>
      </c>
      <c r="AF13" s="31">
        <f t="shared" si="5"/>
        <v>1075</v>
      </c>
    </row>
    <row r="14" spans="2:32" ht="23.1" customHeight="1" x14ac:dyDescent="0.25">
      <c r="B14" s="23" t="s">
        <v>41</v>
      </c>
      <c r="C14" s="68">
        <v>44</v>
      </c>
      <c r="D14" s="68">
        <v>4</v>
      </c>
      <c r="E14" s="68">
        <v>7</v>
      </c>
      <c r="F14" s="68">
        <v>40</v>
      </c>
      <c r="G14" s="68">
        <v>0</v>
      </c>
      <c r="H14" s="68">
        <v>0</v>
      </c>
      <c r="I14" s="68">
        <v>6</v>
      </c>
      <c r="J14" s="68">
        <v>4</v>
      </c>
      <c r="K14" s="68">
        <v>3</v>
      </c>
      <c r="L14" s="68">
        <v>0</v>
      </c>
      <c r="M14" s="68">
        <v>117</v>
      </c>
      <c r="N14" s="68">
        <v>0</v>
      </c>
      <c r="O14" s="17">
        <f t="shared" si="1"/>
        <v>108</v>
      </c>
      <c r="P14" s="17">
        <f t="shared" si="2"/>
        <v>225</v>
      </c>
      <c r="R14" s="1" t="s">
        <v>10</v>
      </c>
      <c r="S14" s="17">
        <f t="shared" ref="S14:AF14" si="6">SUM(C26:C29)</f>
        <v>225</v>
      </c>
      <c r="T14" s="17">
        <f t="shared" si="6"/>
        <v>62</v>
      </c>
      <c r="U14" s="17">
        <f t="shared" si="6"/>
        <v>47</v>
      </c>
      <c r="V14" s="17">
        <f t="shared" si="6"/>
        <v>276</v>
      </c>
      <c r="W14" s="17">
        <f t="shared" si="6"/>
        <v>2</v>
      </c>
      <c r="X14" s="17">
        <f t="shared" si="6"/>
        <v>4</v>
      </c>
      <c r="Y14" s="17">
        <f t="shared" si="6"/>
        <v>38</v>
      </c>
      <c r="Z14" s="17">
        <f t="shared" si="6"/>
        <v>5</v>
      </c>
      <c r="AA14" s="17">
        <f t="shared" si="6"/>
        <v>9</v>
      </c>
      <c r="AB14" s="17">
        <f t="shared" si="6"/>
        <v>1</v>
      </c>
      <c r="AC14" s="17">
        <f t="shared" si="6"/>
        <v>445</v>
      </c>
      <c r="AD14" s="17">
        <f t="shared" si="6"/>
        <v>0</v>
      </c>
      <c r="AE14" s="31">
        <f t="shared" si="6"/>
        <v>669</v>
      </c>
      <c r="AF14" s="31">
        <f t="shared" si="6"/>
        <v>1114</v>
      </c>
    </row>
    <row r="15" spans="2:32" ht="23.1" customHeight="1" x14ac:dyDescent="0.25">
      <c r="B15" s="23" t="s">
        <v>42</v>
      </c>
      <c r="C15" s="68">
        <v>31</v>
      </c>
      <c r="D15" s="68">
        <v>8</v>
      </c>
      <c r="E15" s="68">
        <v>5</v>
      </c>
      <c r="F15" s="68">
        <v>39</v>
      </c>
      <c r="G15" s="68">
        <v>1</v>
      </c>
      <c r="H15" s="68">
        <v>0</v>
      </c>
      <c r="I15" s="68">
        <v>11</v>
      </c>
      <c r="J15" s="68">
        <v>1</v>
      </c>
      <c r="K15" s="68">
        <v>2</v>
      </c>
      <c r="L15" s="68">
        <v>0</v>
      </c>
      <c r="M15" s="68">
        <v>101</v>
      </c>
      <c r="N15" s="68">
        <v>0</v>
      </c>
      <c r="O15" s="17">
        <f t="shared" si="1"/>
        <v>98</v>
      </c>
      <c r="P15" s="17">
        <f t="shared" si="2"/>
        <v>199</v>
      </c>
      <c r="R15" s="1" t="s">
        <v>11</v>
      </c>
      <c r="S15" s="17">
        <f t="shared" ref="S15:AF15" si="7">SUM(C30:C33)</f>
        <v>229</v>
      </c>
      <c r="T15" s="17">
        <f t="shared" si="7"/>
        <v>49</v>
      </c>
      <c r="U15" s="17">
        <f t="shared" si="7"/>
        <v>36</v>
      </c>
      <c r="V15" s="17">
        <f t="shared" si="7"/>
        <v>305</v>
      </c>
      <c r="W15" s="17">
        <f t="shared" si="7"/>
        <v>8</v>
      </c>
      <c r="X15" s="17">
        <f t="shared" si="7"/>
        <v>1</v>
      </c>
      <c r="Y15" s="17">
        <f t="shared" si="7"/>
        <v>35</v>
      </c>
      <c r="Z15" s="17">
        <f t="shared" si="7"/>
        <v>10</v>
      </c>
      <c r="AA15" s="17">
        <f t="shared" si="7"/>
        <v>6</v>
      </c>
      <c r="AB15" s="17">
        <f t="shared" si="7"/>
        <v>0</v>
      </c>
      <c r="AC15" s="17">
        <f t="shared" si="7"/>
        <v>328</v>
      </c>
      <c r="AD15" s="17">
        <f t="shared" si="7"/>
        <v>0</v>
      </c>
      <c r="AE15" s="31">
        <f t="shared" si="7"/>
        <v>679</v>
      </c>
      <c r="AF15" s="31">
        <f t="shared" si="7"/>
        <v>1007</v>
      </c>
    </row>
    <row r="16" spans="2:32" ht="23.1" customHeight="1" x14ac:dyDescent="0.25">
      <c r="B16" s="23" t="s">
        <v>43</v>
      </c>
      <c r="C16" s="68">
        <v>49</v>
      </c>
      <c r="D16" s="68">
        <v>11</v>
      </c>
      <c r="E16" s="68">
        <v>3</v>
      </c>
      <c r="F16" s="68">
        <v>25</v>
      </c>
      <c r="G16" s="68">
        <v>0</v>
      </c>
      <c r="H16" s="68">
        <v>0</v>
      </c>
      <c r="I16" s="68">
        <v>7</v>
      </c>
      <c r="J16" s="68">
        <v>3</v>
      </c>
      <c r="K16" s="68">
        <v>6</v>
      </c>
      <c r="L16" s="68">
        <v>0</v>
      </c>
      <c r="M16" s="68">
        <v>115</v>
      </c>
      <c r="N16" s="68">
        <v>0</v>
      </c>
      <c r="O16" s="17">
        <f t="shared" si="1"/>
        <v>104</v>
      </c>
      <c r="P16" s="17">
        <f t="shared" si="2"/>
        <v>219</v>
      </c>
      <c r="R16" s="1" t="s">
        <v>12</v>
      </c>
      <c r="S16" s="17">
        <f t="shared" ref="S16:AF16" si="8">SUM(C34:C37)</f>
        <v>395</v>
      </c>
      <c r="T16" s="17">
        <f t="shared" si="8"/>
        <v>47</v>
      </c>
      <c r="U16" s="17">
        <f t="shared" si="8"/>
        <v>39</v>
      </c>
      <c r="V16" s="17">
        <f t="shared" si="8"/>
        <v>313</v>
      </c>
      <c r="W16" s="17">
        <f t="shared" si="8"/>
        <v>5</v>
      </c>
      <c r="X16" s="17">
        <f t="shared" si="8"/>
        <v>1</v>
      </c>
      <c r="Y16" s="17">
        <f t="shared" si="8"/>
        <v>37</v>
      </c>
      <c r="Z16" s="17">
        <f t="shared" si="8"/>
        <v>6</v>
      </c>
      <c r="AA16" s="17">
        <f t="shared" si="8"/>
        <v>3</v>
      </c>
      <c r="AB16" s="17">
        <f t="shared" si="8"/>
        <v>1</v>
      </c>
      <c r="AC16" s="17">
        <f t="shared" si="8"/>
        <v>317</v>
      </c>
      <c r="AD16" s="17">
        <f t="shared" si="8"/>
        <v>0</v>
      </c>
      <c r="AE16" s="31">
        <f t="shared" si="8"/>
        <v>847</v>
      </c>
      <c r="AF16" s="31">
        <f t="shared" si="8"/>
        <v>1164</v>
      </c>
    </row>
    <row r="17" spans="2:32" ht="23.1" customHeight="1" x14ac:dyDescent="0.25">
      <c r="B17" s="23" t="s">
        <v>44</v>
      </c>
      <c r="C17" s="68">
        <v>45</v>
      </c>
      <c r="D17" s="68">
        <v>4</v>
      </c>
      <c r="E17" s="68">
        <v>5</v>
      </c>
      <c r="F17" s="68">
        <v>42</v>
      </c>
      <c r="G17" s="68">
        <v>0</v>
      </c>
      <c r="H17" s="68">
        <v>0</v>
      </c>
      <c r="I17" s="68">
        <v>5</v>
      </c>
      <c r="J17" s="68">
        <v>2</v>
      </c>
      <c r="K17" s="68">
        <v>1</v>
      </c>
      <c r="L17" s="68">
        <v>0</v>
      </c>
      <c r="M17" s="68">
        <v>93</v>
      </c>
      <c r="N17" s="68">
        <v>0</v>
      </c>
      <c r="O17" s="17">
        <f t="shared" si="1"/>
        <v>104</v>
      </c>
      <c r="P17" s="17">
        <f t="shared" si="2"/>
        <v>197</v>
      </c>
      <c r="R17" s="1" t="s">
        <v>13</v>
      </c>
      <c r="S17" s="17">
        <f t="shared" ref="S17:AF17" si="9">SUM(C38:C41)</f>
        <v>278</v>
      </c>
      <c r="T17" s="17">
        <f t="shared" si="9"/>
        <v>74</v>
      </c>
      <c r="U17" s="17">
        <f t="shared" si="9"/>
        <v>25</v>
      </c>
      <c r="V17" s="17">
        <f t="shared" si="9"/>
        <v>305</v>
      </c>
      <c r="W17" s="17">
        <f t="shared" si="9"/>
        <v>1</v>
      </c>
      <c r="X17" s="17">
        <f t="shared" si="9"/>
        <v>0</v>
      </c>
      <c r="Y17" s="17">
        <f t="shared" si="9"/>
        <v>24</v>
      </c>
      <c r="Z17" s="17">
        <f t="shared" si="9"/>
        <v>7</v>
      </c>
      <c r="AA17" s="17">
        <f t="shared" si="9"/>
        <v>14</v>
      </c>
      <c r="AB17" s="17">
        <f t="shared" si="9"/>
        <v>2</v>
      </c>
      <c r="AC17" s="17">
        <f t="shared" si="9"/>
        <v>364</v>
      </c>
      <c r="AD17" s="17">
        <f t="shared" si="9"/>
        <v>0</v>
      </c>
      <c r="AE17" s="31">
        <f t="shared" si="9"/>
        <v>730</v>
      </c>
      <c r="AF17" s="31">
        <f t="shared" si="9"/>
        <v>1094</v>
      </c>
    </row>
    <row r="18" spans="2:32" ht="23.1" customHeight="1" x14ac:dyDescent="0.25">
      <c r="B18" s="23" t="s">
        <v>45</v>
      </c>
      <c r="C18" s="68">
        <v>50</v>
      </c>
      <c r="D18" s="68">
        <v>6</v>
      </c>
      <c r="E18" s="68">
        <v>2</v>
      </c>
      <c r="F18" s="68">
        <v>52</v>
      </c>
      <c r="G18" s="68">
        <v>0</v>
      </c>
      <c r="H18" s="68">
        <v>0</v>
      </c>
      <c r="I18" s="68">
        <v>13</v>
      </c>
      <c r="J18" s="68">
        <v>2</v>
      </c>
      <c r="K18" s="68">
        <v>4</v>
      </c>
      <c r="L18" s="68">
        <v>0</v>
      </c>
      <c r="M18" s="68">
        <v>120</v>
      </c>
      <c r="N18" s="68">
        <v>0</v>
      </c>
      <c r="O18" s="17">
        <f t="shared" si="1"/>
        <v>129</v>
      </c>
      <c r="P18" s="17">
        <f t="shared" si="2"/>
        <v>249</v>
      </c>
      <c r="R18" s="1" t="s">
        <v>14</v>
      </c>
      <c r="S18" s="17">
        <f t="shared" ref="S18:AF18" si="10">SUM(C42:C45)</f>
        <v>339</v>
      </c>
      <c r="T18" s="17">
        <f t="shared" si="10"/>
        <v>45</v>
      </c>
      <c r="U18" s="17">
        <f t="shared" si="10"/>
        <v>39</v>
      </c>
      <c r="V18" s="17">
        <f t="shared" si="10"/>
        <v>191</v>
      </c>
      <c r="W18" s="17">
        <f t="shared" si="10"/>
        <v>0</v>
      </c>
      <c r="X18" s="17">
        <f t="shared" si="10"/>
        <v>0</v>
      </c>
      <c r="Y18" s="17">
        <f t="shared" si="10"/>
        <v>30</v>
      </c>
      <c r="Z18" s="17">
        <f t="shared" si="10"/>
        <v>3</v>
      </c>
      <c r="AA18" s="17">
        <f t="shared" si="10"/>
        <v>2</v>
      </c>
      <c r="AB18" s="17">
        <f t="shared" si="10"/>
        <v>0</v>
      </c>
      <c r="AC18" s="17">
        <f t="shared" si="10"/>
        <v>392</v>
      </c>
      <c r="AD18" s="17">
        <f t="shared" si="10"/>
        <v>0</v>
      </c>
      <c r="AE18" s="31">
        <f t="shared" si="10"/>
        <v>649</v>
      </c>
      <c r="AF18" s="31">
        <f t="shared" si="10"/>
        <v>1041</v>
      </c>
    </row>
    <row r="19" spans="2:32" ht="23.1" customHeight="1" x14ac:dyDescent="0.25">
      <c r="B19" s="23" t="s">
        <v>46</v>
      </c>
      <c r="C19" s="68">
        <v>75</v>
      </c>
      <c r="D19" s="68">
        <v>7</v>
      </c>
      <c r="E19" s="68">
        <v>4</v>
      </c>
      <c r="F19" s="68">
        <v>58</v>
      </c>
      <c r="G19" s="68">
        <v>0</v>
      </c>
      <c r="H19" s="68">
        <v>0</v>
      </c>
      <c r="I19" s="68">
        <v>4</v>
      </c>
      <c r="J19" s="68">
        <v>3</v>
      </c>
      <c r="K19" s="68">
        <v>4</v>
      </c>
      <c r="L19" s="68">
        <v>0</v>
      </c>
      <c r="M19" s="68">
        <v>110</v>
      </c>
      <c r="N19" s="68">
        <v>0</v>
      </c>
      <c r="O19" s="17">
        <f t="shared" si="1"/>
        <v>155</v>
      </c>
      <c r="P19" s="17">
        <f t="shared" si="2"/>
        <v>265</v>
      </c>
      <c r="R19" s="1" t="s">
        <v>15</v>
      </c>
      <c r="S19" s="17">
        <f t="shared" ref="S19:AF19" si="11">SUM(C46:C49)</f>
        <v>295</v>
      </c>
      <c r="T19" s="17">
        <f t="shared" si="11"/>
        <v>45</v>
      </c>
      <c r="U19" s="17">
        <f t="shared" si="11"/>
        <v>34</v>
      </c>
      <c r="V19" s="17">
        <f t="shared" si="11"/>
        <v>289</v>
      </c>
      <c r="W19" s="17">
        <f t="shared" si="11"/>
        <v>1</v>
      </c>
      <c r="X19" s="17">
        <f t="shared" si="11"/>
        <v>2</v>
      </c>
      <c r="Y19" s="17">
        <f t="shared" si="11"/>
        <v>28</v>
      </c>
      <c r="Z19" s="17">
        <f t="shared" si="11"/>
        <v>3</v>
      </c>
      <c r="AA19" s="17">
        <f t="shared" si="11"/>
        <v>3</v>
      </c>
      <c r="AB19" s="17">
        <f t="shared" si="11"/>
        <v>0</v>
      </c>
      <c r="AC19" s="17">
        <f t="shared" si="11"/>
        <v>433</v>
      </c>
      <c r="AD19" s="17">
        <f t="shared" si="11"/>
        <v>0</v>
      </c>
      <c r="AE19" s="31">
        <f t="shared" si="11"/>
        <v>700</v>
      </c>
      <c r="AF19" s="31">
        <f t="shared" si="11"/>
        <v>1133</v>
      </c>
    </row>
    <row r="20" spans="2:32" ht="23.1" customHeight="1" x14ac:dyDescent="0.25">
      <c r="B20" s="23" t="s">
        <v>47</v>
      </c>
      <c r="C20" s="68">
        <v>57</v>
      </c>
      <c r="D20" s="68">
        <v>12</v>
      </c>
      <c r="E20" s="68">
        <v>11</v>
      </c>
      <c r="F20" s="68">
        <v>46</v>
      </c>
      <c r="G20" s="68">
        <v>0</v>
      </c>
      <c r="H20" s="68">
        <v>0</v>
      </c>
      <c r="I20" s="68">
        <v>8</v>
      </c>
      <c r="J20" s="68">
        <v>0</v>
      </c>
      <c r="K20" s="68">
        <v>2</v>
      </c>
      <c r="L20" s="68">
        <v>0</v>
      </c>
      <c r="M20" s="68">
        <v>110</v>
      </c>
      <c r="N20" s="68">
        <v>0</v>
      </c>
      <c r="O20" s="17">
        <f t="shared" si="1"/>
        <v>136</v>
      </c>
      <c r="P20" s="17">
        <f t="shared" si="2"/>
        <v>246</v>
      </c>
      <c r="R20" s="1" t="s">
        <v>16</v>
      </c>
      <c r="S20" s="17">
        <f t="shared" ref="S20:AF20" si="12">SUM(C50:C53)</f>
        <v>310</v>
      </c>
      <c r="T20" s="17">
        <f t="shared" si="12"/>
        <v>34</v>
      </c>
      <c r="U20" s="17">
        <f t="shared" si="12"/>
        <v>15</v>
      </c>
      <c r="V20" s="17">
        <f t="shared" si="12"/>
        <v>381</v>
      </c>
      <c r="W20" s="17">
        <f t="shared" si="12"/>
        <v>1</v>
      </c>
      <c r="X20" s="17">
        <f t="shared" si="12"/>
        <v>1</v>
      </c>
      <c r="Y20" s="17">
        <f t="shared" si="12"/>
        <v>23</v>
      </c>
      <c r="Z20" s="17">
        <f t="shared" si="12"/>
        <v>4</v>
      </c>
      <c r="AA20" s="17">
        <f t="shared" si="12"/>
        <v>5</v>
      </c>
      <c r="AB20" s="17">
        <f t="shared" si="12"/>
        <v>0</v>
      </c>
      <c r="AC20" s="17">
        <f t="shared" si="12"/>
        <v>393</v>
      </c>
      <c r="AD20" s="17">
        <f t="shared" si="12"/>
        <v>0</v>
      </c>
      <c r="AE20" s="31">
        <f t="shared" si="12"/>
        <v>774</v>
      </c>
      <c r="AF20" s="31">
        <f t="shared" si="12"/>
        <v>1167</v>
      </c>
    </row>
    <row r="21" spans="2:32" ht="23.1" customHeight="1" x14ac:dyDescent="0.25">
      <c r="B21" s="23" t="s">
        <v>48</v>
      </c>
      <c r="C21" s="68">
        <v>44</v>
      </c>
      <c r="D21" s="68">
        <v>10</v>
      </c>
      <c r="E21" s="68">
        <v>6</v>
      </c>
      <c r="F21" s="68">
        <v>59</v>
      </c>
      <c r="G21" s="68">
        <v>0</v>
      </c>
      <c r="H21" s="68">
        <v>0</v>
      </c>
      <c r="I21" s="68">
        <v>6</v>
      </c>
      <c r="J21" s="68">
        <v>3</v>
      </c>
      <c r="K21" s="68">
        <v>2</v>
      </c>
      <c r="L21" s="68">
        <v>0</v>
      </c>
      <c r="M21" s="68">
        <v>100</v>
      </c>
      <c r="N21" s="68">
        <v>0</v>
      </c>
      <c r="O21" s="17">
        <f t="shared" si="1"/>
        <v>130</v>
      </c>
      <c r="P21" s="17">
        <f t="shared" si="2"/>
        <v>230</v>
      </c>
      <c r="R21" s="36" t="s">
        <v>20</v>
      </c>
      <c r="S21" s="34">
        <f t="shared" ref="S21:AF21" si="13">SUM(C54:C57)</f>
        <v>260</v>
      </c>
      <c r="T21" s="17">
        <f t="shared" si="13"/>
        <v>44</v>
      </c>
      <c r="U21" s="17">
        <f t="shared" si="13"/>
        <v>68</v>
      </c>
      <c r="V21" s="17">
        <f t="shared" si="13"/>
        <v>209</v>
      </c>
      <c r="W21" s="17">
        <f t="shared" si="13"/>
        <v>0</v>
      </c>
      <c r="X21" s="17">
        <f t="shared" si="13"/>
        <v>0</v>
      </c>
      <c r="Y21" s="17">
        <f t="shared" si="13"/>
        <v>19</v>
      </c>
      <c r="Z21" s="17">
        <f t="shared" si="13"/>
        <v>3</v>
      </c>
      <c r="AA21" s="17">
        <f t="shared" si="13"/>
        <v>8</v>
      </c>
      <c r="AB21" s="17">
        <f t="shared" si="13"/>
        <v>1</v>
      </c>
      <c r="AC21" s="17">
        <f t="shared" si="13"/>
        <v>423</v>
      </c>
      <c r="AD21" s="17">
        <f t="shared" si="13"/>
        <v>0</v>
      </c>
      <c r="AE21" s="31">
        <f t="shared" si="13"/>
        <v>612</v>
      </c>
      <c r="AF21" s="31">
        <f t="shared" si="13"/>
        <v>1035</v>
      </c>
    </row>
    <row r="22" spans="2:32" ht="23.1" customHeight="1" x14ac:dyDescent="0.25">
      <c r="B22" s="23" t="s">
        <v>49</v>
      </c>
      <c r="C22" s="68">
        <v>47</v>
      </c>
      <c r="D22" s="68">
        <v>11</v>
      </c>
      <c r="E22" s="68">
        <v>5</v>
      </c>
      <c r="F22" s="68">
        <v>62</v>
      </c>
      <c r="G22" s="68">
        <v>1</v>
      </c>
      <c r="H22" s="68">
        <v>0</v>
      </c>
      <c r="I22" s="68">
        <v>10</v>
      </c>
      <c r="J22" s="68">
        <v>3</v>
      </c>
      <c r="K22" s="68">
        <v>1</v>
      </c>
      <c r="L22" s="68">
        <v>0</v>
      </c>
      <c r="M22" s="68">
        <v>115</v>
      </c>
      <c r="N22" s="68">
        <v>0</v>
      </c>
      <c r="O22" s="17">
        <f t="shared" si="1"/>
        <v>140</v>
      </c>
      <c r="P22" s="17">
        <f t="shared" si="2"/>
        <v>255</v>
      </c>
      <c r="R22" s="64" t="s">
        <v>90</v>
      </c>
      <c r="S22" s="65">
        <f>MAX(S10:S12)</f>
        <v>226</v>
      </c>
      <c r="T22" s="65">
        <f t="shared" ref="T22:AF22" si="14">MAX(T10:T12)</f>
        <v>35</v>
      </c>
      <c r="U22" s="65">
        <f t="shared" si="14"/>
        <v>23</v>
      </c>
      <c r="V22" s="65">
        <f t="shared" si="14"/>
        <v>215</v>
      </c>
      <c r="W22" s="65">
        <f t="shared" si="14"/>
        <v>1</v>
      </c>
      <c r="X22" s="65">
        <f t="shared" si="14"/>
        <v>0</v>
      </c>
      <c r="Y22" s="65">
        <f t="shared" si="14"/>
        <v>31</v>
      </c>
      <c r="Z22" s="65">
        <f t="shared" si="14"/>
        <v>10</v>
      </c>
      <c r="AA22" s="65">
        <f t="shared" si="14"/>
        <v>12</v>
      </c>
      <c r="AB22" s="65">
        <f t="shared" si="14"/>
        <v>0</v>
      </c>
      <c r="AC22" s="65">
        <f t="shared" si="14"/>
        <v>440</v>
      </c>
      <c r="AD22" s="65">
        <f t="shared" si="14"/>
        <v>0</v>
      </c>
      <c r="AE22" s="40">
        <f t="shared" si="14"/>
        <v>550</v>
      </c>
      <c r="AF22" s="40">
        <f t="shared" si="14"/>
        <v>990</v>
      </c>
    </row>
    <row r="23" spans="2:32" ht="23.1" customHeight="1" x14ac:dyDescent="0.25">
      <c r="B23" s="23" t="s">
        <v>50</v>
      </c>
      <c r="C23" s="68">
        <v>73</v>
      </c>
      <c r="D23" s="68">
        <v>11</v>
      </c>
      <c r="E23" s="68">
        <v>6</v>
      </c>
      <c r="F23" s="68">
        <v>43</v>
      </c>
      <c r="G23" s="68">
        <v>0</v>
      </c>
      <c r="H23" s="68">
        <v>0</v>
      </c>
      <c r="I23" s="68">
        <v>7</v>
      </c>
      <c r="J23" s="68">
        <v>1</v>
      </c>
      <c r="K23" s="68">
        <v>3</v>
      </c>
      <c r="L23" s="68">
        <v>0</v>
      </c>
      <c r="M23" s="68">
        <v>125</v>
      </c>
      <c r="N23" s="68">
        <v>0</v>
      </c>
      <c r="O23" s="17">
        <f t="shared" si="1"/>
        <v>144</v>
      </c>
      <c r="P23" s="17">
        <f t="shared" si="2"/>
        <v>269</v>
      </c>
      <c r="R23" s="64" t="s">
        <v>91</v>
      </c>
      <c r="S23" s="65">
        <f>MAX(S13:S18)</f>
        <v>395</v>
      </c>
      <c r="T23" s="65">
        <f t="shared" ref="T23:AF23" si="15">MAX(T13:T18)</f>
        <v>74</v>
      </c>
      <c r="U23" s="65">
        <f t="shared" si="15"/>
        <v>47</v>
      </c>
      <c r="V23" s="65">
        <f t="shared" si="15"/>
        <v>313</v>
      </c>
      <c r="W23" s="65">
        <f t="shared" si="15"/>
        <v>8</v>
      </c>
      <c r="X23" s="65">
        <f t="shared" si="15"/>
        <v>4</v>
      </c>
      <c r="Y23" s="65">
        <f t="shared" si="15"/>
        <v>38</v>
      </c>
      <c r="Z23" s="65">
        <f t="shared" si="15"/>
        <v>10</v>
      </c>
      <c r="AA23" s="65">
        <f t="shared" si="15"/>
        <v>14</v>
      </c>
      <c r="AB23" s="65">
        <f t="shared" si="15"/>
        <v>2</v>
      </c>
      <c r="AC23" s="65">
        <f t="shared" si="15"/>
        <v>495</v>
      </c>
      <c r="AD23" s="65">
        <f t="shared" si="15"/>
        <v>0</v>
      </c>
      <c r="AE23" s="40">
        <f t="shared" si="15"/>
        <v>847</v>
      </c>
      <c r="AF23" s="40">
        <f t="shared" si="15"/>
        <v>1164</v>
      </c>
    </row>
    <row r="24" spans="2:32" ht="23.1" customHeight="1" x14ac:dyDescent="0.25">
      <c r="B24" s="23" t="s">
        <v>51</v>
      </c>
      <c r="C24" s="68">
        <v>70</v>
      </c>
      <c r="D24" s="68">
        <v>20</v>
      </c>
      <c r="E24" s="68">
        <v>7</v>
      </c>
      <c r="F24" s="68">
        <v>55</v>
      </c>
      <c r="G24" s="68">
        <v>0</v>
      </c>
      <c r="H24" s="68">
        <v>0</v>
      </c>
      <c r="I24" s="68">
        <v>9</v>
      </c>
      <c r="J24" s="68">
        <v>0</v>
      </c>
      <c r="K24" s="68">
        <v>3</v>
      </c>
      <c r="L24" s="68">
        <v>0</v>
      </c>
      <c r="M24" s="68">
        <v>125</v>
      </c>
      <c r="N24" s="68">
        <v>0</v>
      </c>
      <c r="O24" s="17">
        <f t="shared" si="1"/>
        <v>164</v>
      </c>
      <c r="P24" s="17">
        <f t="shared" si="2"/>
        <v>289</v>
      </c>
      <c r="R24" s="64" t="s">
        <v>92</v>
      </c>
      <c r="S24" s="65">
        <f>MAX(S19:S21)</f>
        <v>310</v>
      </c>
      <c r="T24" s="65">
        <f t="shared" ref="T24:AF24" si="16">MAX(T19:T21)</f>
        <v>45</v>
      </c>
      <c r="U24" s="65">
        <f t="shared" si="16"/>
        <v>68</v>
      </c>
      <c r="V24" s="65">
        <f t="shared" si="16"/>
        <v>381</v>
      </c>
      <c r="W24" s="65">
        <f t="shared" si="16"/>
        <v>1</v>
      </c>
      <c r="X24" s="65">
        <f t="shared" si="16"/>
        <v>2</v>
      </c>
      <c r="Y24" s="65">
        <f t="shared" si="16"/>
        <v>28</v>
      </c>
      <c r="Z24" s="65">
        <f t="shared" si="16"/>
        <v>4</v>
      </c>
      <c r="AA24" s="65">
        <f t="shared" si="16"/>
        <v>8</v>
      </c>
      <c r="AB24" s="65">
        <f t="shared" si="16"/>
        <v>1</v>
      </c>
      <c r="AC24" s="65">
        <f t="shared" si="16"/>
        <v>433</v>
      </c>
      <c r="AD24" s="65">
        <f t="shared" si="16"/>
        <v>0</v>
      </c>
      <c r="AE24" s="40">
        <f t="shared" si="16"/>
        <v>774</v>
      </c>
      <c r="AF24" s="40">
        <f t="shared" si="16"/>
        <v>1167</v>
      </c>
    </row>
    <row r="25" spans="2:32" ht="23.1" customHeight="1" x14ac:dyDescent="0.25">
      <c r="B25" s="23" t="s">
        <v>52</v>
      </c>
      <c r="C25" s="68">
        <v>45</v>
      </c>
      <c r="D25" s="68">
        <v>13</v>
      </c>
      <c r="E25" s="68">
        <v>9</v>
      </c>
      <c r="F25" s="68">
        <v>53</v>
      </c>
      <c r="G25" s="68">
        <v>1</v>
      </c>
      <c r="H25" s="68">
        <v>0</v>
      </c>
      <c r="I25" s="68">
        <v>10</v>
      </c>
      <c r="J25" s="68">
        <v>1</v>
      </c>
      <c r="K25" s="68">
        <v>0</v>
      </c>
      <c r="L25" s="68">
        <v>0</v>
      </c>
      <c r="M25" s="68">
        <v>130</v>
      </c>
      <c r="N25" s="68">
        <v>0</v>
      </c>
      <c r="O25" s="17">
        <f t="shared" si="1"/>
        <v>132</v>
      </c>
      <c r="P25" s="17">
        <f t="shared" si="2"/>
        <v>262</v>
      </c>
      <c r="R25" s="37" t="s">
        <v>85</v>
      </c>
      <c r="S25" s="35">
        <f t="shared" ref="S25:AF25" si="17">SUM(S10:S12)</f>
        <v>510</v>
      </c>
      <c r="T25" s="16">
        <f t="shared" si="17"/>
        <v>83</v>
      </c>
      <c r="U25" s="16">
        <f t="shared" si="17"/>
        <v>55</v>
      </c>
      <c r="V25" s="16">
        <f t="shared" si="17"/>
        <v>504</v>
      </c>
      <c r="W25" s="16">
        <f t="shared" si="17"/>
        <v>1</v>
      </c>
      <c r="X25" s="16">
        <f t="shared" si="17"/>
        <v>0</v>
      </c>
      <c r="Y25" s="16">
        <f t="shared" si="17"/>
        <v>79</v>
      </c>
      <c r="Z25" s="16">
        <f t="shared" si="17"/>
        <v>27</v>
      </c>
      <c r="AA25" s="16">
        <f t="shared" si="17"/>
        <v>33</v>
      </c>
      <c r="AB25" s="16">
        <f t="shared" si="17"/>
        <v>0</v>
      </c>
      <c r="AC25" s="16">
        <f t="shared" si="17"/>
        <v>1191</v>
      </c>
      <c r="AD25" s="16">
        <f t="shared" si="17"/>
        <v>0</v>
      </c>
      <c r="AE25" s="32">
        <f t="shared" si="17"/>
        <v>1292</v>
      </c>
      <c r="AF25" s="32">
        <f t="shared" si="17"/>
        <v>2483</v>
      </c>
    </row>
    <row r="26" spans="2:32" ht="23.1" customHeight="1" x14ac:dyDescent="0.25">
      <c r="B26" s="23" t="s">
        <v>53</v>
      </c>
      <c r="C26" s="68">
        <v>65</v>
      </c>
      <c r="D26" s="68">
        <v>12</v>
      </c>
      <c r="E26" s="68">
        <v>14</v>
      </c>
      <c r="F26" s="68">
        <v>80</v>
      </c>
      <c r="G26" s="68">
        <v>0</v>
      </c>
      <c r="H26" s="68">
        <v>1</v>
      </c>
      <c r="I26" s="68">
        <v>6</v>
      </c>
      <c r="J26" s="68">
        <v>4</v>
      </c>
      <c r="K26" s="68">
        <v>0</v>
      </c>
      <c r="L26" s="68">
        <v>0</v>
      </c>
      <c r="M26" s="68">
        <v>94</v>
      </c>
      <c r="N26" s="68">
        <v>0</v>
      </c>
      <c r="O26" s="17">
        <f t="shared" si="1"/>
        <v>182</v>
      </c>
      <c r="P26" s="17">
        <f t="shared" si="2"/>
        <v>276</v>
      </c>
      <c r="R26" s="28" t="s">
        <v>86</v>
      </c>
      <c r="S26" s="16">
        <f t="shared" ref="S26:AF26" si="18">SUM(S13:S18)</f>
        <v>1701</v>
      </c>
      <c r="T26" s="16">
        <f t="shared" si="18"/>
        <v>332</v>
      </c>
      <c r="U26" s="16">
        <f t="shared" si="18"/>
        <v>213</v>
      </c>
      <c r="V26" s="16">
        <f t="shared" si="18"/>
        <v>1603</v>
      </c>
      <c r="W26" s="16">
        <f t="shared" si="18"/>
        <v>18</v>
      </c>
      <c r="X26" s="16">
        <f t="shared" si="18"/>
        <v>6</v>
      </c>
      <c r="Y26" s="16">
        <f t="shared" si="18"/>
        <v>200</v>
      </c>
      <c r="Z26" s="16">
        <f t="shared" si="18"/>
        <v>36</v>
      </c>
      <c r="AA26" s="16">
        <f t="shared" si="18"/>
        <v>41</v>
      </c>
      <c r="AB26" s="16">
        <f t="shared" si="18"/>
        <v>4</v>
      </c>
      <c r="AC26" s="16">
        <f t="shared" si="18"/>
        <v>2341</v>
      </c>
      <c r="AD26" s="16">
        <f t="shared" si="18"/>
        <v>0</v>
      </c>
      <c r="AE26" s="32">
        <f t="shared" si="18"/>
        <v>4154</v>
      </c>
      <c r="AF26" s="32">
        <f t="shared" si="18"/>
        <v>6495</v>
      </c>
    </row>
    <row r="27" spans="2:32" ht="23.1" customHeight="1" x14ac:dyDescent="0.25">
      <c r="B27" s="23" t="s">
        <v>54</v>
      </c>
      <c r="C27" s="68">
        <v>49</v>
      </c>
      <c r="D27" s="68">
        <v>16</v>
      </c>
      <c r="E27" s="68">
        <v>12</v>
      </c>
      <c r="F27" s="68">
        <v>100</v>
      </c>
      <c r="G27" s="68">
        <v>1</v>
      </c>
      <c r="H27" s="68">
        <v>1</v>
      </c>
      <c r="I27" s="68">
        <v>9</v>
      </c>
      <c r="J27" s="68">
        <v>1</v>
      </c>
      <c r="K27" s="68">
        <v>1</v>
      </c>
      <c r="L27" s="68">
        <v>0</v>
      </c>
      <c r="M27" s="68">
        <v>118</v>
      </c>
      <c r="N27" s="68">
        <v>0</v>
      </c>
      <c r="O27" s="17">
        <f t="shared" si="1"/>
        <v>190</v>
      </c>
      <c r="P27" s="17">
        <f t="shared" si="2"/>
        <v>308</v>
      </c>
      <c r="R27" s="29" t="s">
        <v>87</v>
      </c>
      <c r="S27" s="16">
        <f t="shared" ref="S27:AF27" si="19">SUM(S19:S21)</f>
        <v>865</v>
      </c>
      <c r="T27" s="16">
        <f t="shared" si="19"/>
        <v>123</v>
      </c>
      <c r="U27" s="16">
        <f t="shared" si="19"/>
        <v>117</v>
      </c>
      <c r="V27" s="16">
        <f t="shared" si="19"/>
        <v>879</v>
      </c>
      <c r="W27" s="16">
        <f t="shared" si="19"/>
        <v>2</v>
      </c>
      <c r="X27" s="16">
        <f t="shared" si="19"/>
        <v>3</v>
      </c>
      <c r="Y27" s="16">
        <f t="shared" si="19"/>
        <v>70</v>
      </c>
      <c r="Z27" s="16">
        <f t="shared" si="19"/>
        <v>10</v>
      </c>
      <c r="AA27" s="16">
        <f t="shared" si="19"/>
        <v>16</v>
      </c>
      <c r="AB27" s="16">
        <f t="shared" si="19"/>
        <v>1</v>
      </c>
      <c r="AC27" s="16">
        <f t="shared" si="19"/>
        <v>1249</v>
      </c>
      <c r="AD27" s="16">
        <f t="shared" si="19"/>
        <v>0</v>
      </c>
      <c r="AE27" s="32">
        <f t="shared" si="19"/>
        <v>2086</v>
      </c>
      <c r="AF27" s="32">
        <f t="shared" si="19"/>
        <v>3335</v>
      </c>
    </row>
    <row r="28" spans="2:32" ht="23.1" customHeight="1" x14ac:dyDescent="0.25">
      <c r="B28" s="23" t="s">
        <v>55</v>
      </c>
      <c r="C28" s="68">
        <v>46</v>
      </c>
      <c r="D28" s="68">
        <v>12</v>
      </c>
      <c r="E28" s="68">
        <v>8</v>
      </c>
      <c r="F28" s="68">
        <v>45</v>
      </c>
      <c r="G28" s="68">
        <v>0</v>
      </c>
      <c r="H28" s="68">
        <v>2</v>
      </c>
      <c r="I28" s="68">
        <v>13</v>
      </c>
      <c r="J28" s="68">
        <v>0</v>
      </c>
      <c r="K28" s="68">
        <v>8</v>
      </c>
      <c r="L28" s="68">
        <v>0</v>
      </c>
      <c r="M28" s="68">
        <v>106</v>
      </c>
      <c r="N28" s="68">
        <v>0</v>
      </c>
      <c r="O28" s="17">
        <f t="shared" si="1"/>
        <v>134</v>
      </c>
      <c r="P28" s="17">
        <f t="shared" si="2"/>
        <v>240</v>
      </c>
      <c r="R28" s="5" t="s">
        <v>17</v>
      </c>
      <c r="S28" s="16">
        <f t="shared" ref="S28:AF28" si="20">SUM(S10:S21)</f>
        <v>3076</v>
      </c>
      <c r="T28" s="16">
        <f t="shared" si="20"/>
        <v>538</v>
      </c>
      <c r="U28" s="16">
        <f t="shared" si="20"/>
        <v>385</v>
      </c>
      <c r="V28" s="16">
        <f t="shared" si="20"/>
        <v>2986</v>
      </c>
      <c r="W28" s="16">
        <f t="shared" si="20"/>
        <v>21</v>
      </c>
      <c r="X28" s="16">
        <f t="shared" si="20"/>
        <v>9</v>
      </c>
      <c r="Y28" s="16">
        <f t="shared" si="20"/>
        <v>349</v>
      </c>
      <c r="Z28" s="16">
        <f t="shared" si="20"/>
        <v>73</v>
      </c>
      <c r="AA28" s="16">
        <f t="shared" si="20"/>
        <v>90</v>
      </c>
      <c r="AB28" s="16">
        <f t="shared" si="20"/>
        <v>5</v>
      </c>
      <c r="AC28" s="16">
        <f t="shared" si="20"/>
        <v>4781</v>
      </c>
      <c r="AD28" s="16">
        <f t="shared" si="20"/>
        <v>0</v>
      </c>
      <c r="AE28" s="32">
        <f t="shared" si="20"/>
        <v>7532</v>
      </c>
      <c r="AF28" s="32">
        <f t="shared" si="20"/>
        <v>12313</v>
      </c>
    </row>
    <row r="29" spans="2:32" ht="23.1" customHeight="1" x14ac:dyDescent="0.25">
      <c r="B29" s="23" t="s">
        <v>56</v>
      </c>
      <c r="C29" s="68">
        <v>65</v>
      </c>
      <c r="D29" s="68">
        <v>22</v>
      </c>
      <c r="E29" s="68">
        <v>13</v>
      </c>
      <c r="F29" s="68">
        <v>51</v>
      </c>
      <c r="G29" s="68">
        <v>1</v>
      </c>
      <c r="H29" s="68">
        <v>0</v>
      </c>
      <c r="I29" s="68">
        <v>10</v>
      </c>
      <c r="J29" s="68">
        <v>0</v>
      </c>
      <c r="K29" s="68">
        <v>0</v>
      </c>
      <c r="L29" s="68">
        <v>1</v>
      </c>
      <c r="M29" s="68">
        <v>127</v>
      </c>
      <c r="N29" s="68">
        <v>0</v>
      </c>
      <c r="O29" s="17">
        <f t="shared" si="1"/>
        <v>163</v>
      </c>
      <c r="P29" s="17">
        <f t="shared" si="2"/>
        <v>290</v>
      </c>
      <c r="R29"/>
      <c r="S29" s="20"/>
      <c r="T29" s="19"/>
    </row>
    <row r="30" spans="2:32" ht="23.1" customHeight="1" x14ac:dyDescent="0.25">
      <c r="B30" s="23" t="s">
        <v>57</v>
      </c>
      <c r="C30" s="68">
        <v>50</v>
      </c>
      <c r="D30" s="68">
        <v>3</v>
      </c>
      <c r="E30" s="68">
        <v>8</v>
      </c>
      <c r="F30" s="68">
        <v>80</v>
      </c>
      <c r="G30" s="68">
        <v>3</v>
      </c>
      <c r="H30" s="68">
        <v>0</v>
      </c>
      <c r="I30" s="68">
        <v>9</v>
      </c>
      <c r="J30" s="68">
        <v>3</v>
      </c>
      <c r="K30" s="68">
        <v>2</v>
      </c>
      <c r="L30" s="68">
        <v>0</v>
      </c>
      <c r="M30" s="68">
        <v>113</v>
      </c>
      <c r="N30" s="68">
        <v>0</v>
      </c>
      <c r="O30" s="17">
        <f t="shared" si="1"/>
        <v>158</v>
      </c>
      <c r="P30" s="17">
        <f t="shared" si="2"/>
        <v>271</v>
      </c>
      <c r="R30"/>
      <c r="S30" s="19"/>
      <c r="T30" s="19"/>
    </row>
    <row r="31" spans="2:32" ht="23.1" customHeight="1" x14ac:dyDescent="0.25">
      <c r="B31" s="24" t="s">
        <v>58</v>
      </c>
      <c r="C31" s="68">
        <v>38</v>
      </c>
      <c r="D31" s="68">
        <v>20</v>
      </c>
      <c r="E31" s="68">
        <v>7</v>
      </c>
      <c r="F31" s="68">
        <v>75</v>
      </c>
      <c r="G31" s="68">
        <v>3</v>
      </c>
      <c r="H31" s="68">
        <v>0</v>
      </c>
      <c r="I31" s="68">
        <v>7</v>
      </c>
      <c r="J31" s="68">
        <v>2</v>
      </c>
      <c r="K31" s="68">
        <v>2</v>
      </c>
      <c r="L31" s="68">
        <v>0</v>
      </c>
      <c r="M31" s="68">
        <v>109</v>
      </c>
      <c r="N31" s="68">
        <v>0</v>
      </c>
      <c r="O31" s="17">
        <f t="shared" si="1"/>
        <v>154</v>
      </c>
      <c r="P31" s="17">
        <f t="shared" si="2"/>
        <v>263</v>
      </c>
      <c r="R31"/>
      <c r="S31" s="19"/>
      <c r="T31" s="19"/>
    </row>
    <row r="32" spans="2:32" ht="23.1" customHeight="1" x14ac:dyDescent="0.25">
      <c r="B32" s="24" t="s">
        <v>59</v>
      </c>
      <c r="C32" s="68">
        <v>75</v>
      </c>
      <c r="D32" s="68">
        <v>6</v>
      </c>
      <c r="E32" s="68">
        <v>8</v>
      </c>
      <c r="F32" s="68">
        <v>70</v>
      </c>
      <c r="G32" s="68">
        <v>0</v>
      </c>
      <c r="H32" s="68">
        <v>1</v>
      </c>
      <c r="I32" s="68">
        <v>7</v>
      </c>
      <c r="J32" s="68">
        <v>2</v>
      </c>
      <c r="K32" s="68">
        <v>1</v>
      </c>
      <c r="L32" s="68">
        <v>0</v>
      </c>
      <c r="M32" s="68">
        <v>70</v>
      </c>
      <c r="N32" s="68">
        <v>0</v>
      </c>
      <c r="O32" s="17">
        <f t="shared" si="1"/>
        <v>170</v>
      </c>
      <c r="P32" s="17">
        <f t="shared" si="2"/>
        <v>240</v>
      </c>
      <c r="R32"/>
      <c r="S32" s="19"/>
      <c r="T32" s="19"/>
    </row>
    <row r="33" spans="2:20" ht="23.1" customHeight="1" x14ac:dyDescent="0.25">
      <c r="B33" s="23" t="s">
        <v>60</v>
      </c>
      <c r="C33" s="68">
        <v>66</v>
      </c>
      <c r="D33" s="68">
        <v>20</v>
      </c>
      <c r="E33" s="68">
        <v>13</v>
      </c>
      <c r="F33" s="68">
        <v>80</v>
      </c>
      <c r="G33" s="68">
        <v>2</v>
      </c>
      <c r="H33" s="68">
        <v>0</v>
      </c>
      <c r="I33" s="68">
        <v>12</v>
      </c>
      <c r="J33" s="68">
        <v>3</v>
      </c>
      <c r="K33" s="68">
        <v>1</v>
      </c>
      <c r="L33" s="68">
        <v>0</v>
      </c>
      <c r="M33" s="68">
        <v>36</v>
      </c>
      <c r="N33" s="68">
        <v>0</v>
      </c>
      <c r="O33" s="17">
        <f t="shared" si="1"/>
        <v>197</v>
      </c>
      <c r="P33" s="17">
        <f t="shared" si="2"/>
        <v>233</v>
      </c>
      <c r="R33"/>
      <c r="S33" s="19"/>
      <c r="T33" s="19"/>
    </row>
    <row r="34" spans="2:20" ht="23.1" customHeight="1" x14ac:dyDescent="0.25">
      <c r="B34" s="24" t="s">
        <v>61</v>
      </c>
      <c r="C34" s="68">
        <v>80</v>
      </c>
      <c r="D34" s="68">
        <v>5</v>
      </c>
      <c r="E34" s="68">
        <v>12</v>
      </c>
      <c r="F34" s="68">
        <v>90</v>
      </c>
      <c r="G34" s="68">
        <v>2</v>
      </c>
      <c r="H34" s="68">
        <v>0</v>
      </c>
      <c r="I34" s="68">
        <v>14</v>
      </c>
      <c r="J34" s="68">
        <v>1</v>
      </c>
      <c r="K34" s="68">
        <v>0</v>
      </c>
      <c r="L34" s="68">
        <v>0</v>
      </c>
      <c r="M34" s="68">
        <v>60</v>
      </c>
      <c r="N34" s="68">
        <v>0</v>
      </c>
      <c r="O34" s="17">
        <f t="shared" si="1"/>
        <v>204</v>
      </c>
      <c r="P34" s="17">
        <f t="shared" si="2"/>
        <v>264</v>
      </c>
      <c r="R34"/>
      <c r="S34" s="19"/>
      <c r="T34" s="19"/>
    </row>
    <row r="35" spans="2:20" ht="23.1" customHeight="1" x14ac:dyDescent="0.25">
      <c r="B35" s="24" t="s">
        <v>62</v>
      </c>
      <c r="C35" s="68">
        <v>95</v>
      </c>
      <c r="D35" s="68">
        <v>7</v>
      </c>
      <c r="E35" s="68">
        <v>9</v>
      </c>
      <c r="F35" s="68">
        <v>73</v>
      </c>
      <c r="G35" s="68">
        <v>0</v>
      </c>
      <c r="H35" s="68">
        <v>0</v>
      </c>
      <c r="I35" s="68">
        <v>6</v>
      </c>
      <c r="J35" s="68">
        <v>1</v>
      </c>
      <c r="K35" s="68">
        <v>2</v>
      </c>
      <c r="L35" s="68">
        <v>1</v>
      </c>
      <c r="M35" s="68">
        <v>57</v>
      </c>
      <c r="N35" s="68">
        <v>0</v>
      </c>
      <c r="O35" s="17">
        <f t="shared" si="1"/>
        <v>194</v>
      </c>
      <c r="P35" s="17">
        <f t="shared" si="2"/>
        <v>251</v>
      </c>
      <c r="R35"/>
      <c r="S35" s="19"/>
      <c r="T35" s="19"/>
    </row>
    <row r="36" spans="2:20" ht="23.1" customHeight="1" x14ac:dyDescent="0.25">
      <c r="B36" s="24" t="s">
        <v>63</v>
      </c>
      <c r="C36" s="68">
        <v>150</v>
      </c>
      <c r="D36" s="68">
        <v>26</v>
      </c>
      <c r="E36" s="68">
        <v>16</v>
      </c>
      <c r="F36" s="68">
        <v>105</v>
      </c>
      <c r="G36" s="68">
        <v>3</v>
      </c>
      <c r="H36" s="68">
        <v>1</v>
      </c>
      <c r="I36" s="68">
        <v>11</v>
      </c>
      <c r="J36" s="68">
        <v>3</v>
      </c>
      <c r="K36" s="68">
        <v>0</v>
      </c>
      <c r="L36" s="68">
        <v>0</v>
      </c>
      <c r="M36" s="68">
        <v>85</v>
      </c>
      <c r="N36" s="68">
        <v>0</v>
      </c>
      <c r="O36" s="17">
        <f t="shared" si="1"/>
        <v>315</v>
      </c>
      <c r="P36" s="17">
        <f t="shared" si="2"/>
        <v>400</v>
      </c>
      <c r="R36"/>
      <c r="S36" s="19"/>
      <c r="T36" s="19"/>
    </row>
    <row r="37" spans="2:20" ht="23.1" customHeight="1" x14ac:dyDescent="0.25">
      <c r="B37" s="23" t="s">
        <v>64</v>
      </c>
      <c r="C37" s="68">
        <v>70</v>
      </c>
      <c r="D37" s="68">
        <v>9</v>
      </c>
      <c r="E37" s="68">
        <v>2</v>
      </c>
      <c r="F37" s="68">
        <v>45</v>
      </c>
      <c r="G37" s="68">
        <v>0</v>
      </c>
      <c r="H37" s="68">
        <v>0</v>
      </c>
      <c r="I37" s="68">
        <v>6</v>
      </c>
      <c r="J37" s="68">
        <v>1</v>
      </c>
      <c r="K37" s="68">
        <v>1</v>
      </c>
      <c r="L37" s="68">
        <v>0</v>
      </c>
      <c r="M37" s="68">
        <v>115</v>
      </c>
      <c r="N37" s="68">
        <v>0</v>
      </c>
      <c r="O37" s="17">
        <f t="shared" si="1"/>
        <v>134</v>
      </c>
      <c r="P37" s="17">
        <f t="shared" si="2"/>
        <v>249</v>
      </c>
      <c r="R37"/>
      <c r="S37" s="19"/>
      <c r="T37" s="19"/>
    </row>
    <row r="38" spans="2:20" ht="23.1" customHeight="1" x14ac:dyDescent="0.25">
      <c r="B38" s="24" t="s">
        <v>65</v>
      </c>
      <c r="C38" s="68">
        <v>58</v>
      </c>
      <c r="D38" s="68">
        <v>9</v>
      </c>
      <c r="E38" s="68">
        <v>5</v>
      </c>
      <c r="F38" s="68">
        <v>70</v>
      </c>
      <c r="G38" s="68">
        <v>0</v>
      </c>
      <c r="H38" s="68">
        <v>0</v>
      </c>
      <c r="I38" s="68">
        <v>5</v>
      </c>
      <c r="J38" s="68">
        <v>1</v>
      </c>
      <c r="K38" s="68">
        <v>2</v>
      </c>
      <c r="L38" s="68">
        <v>1</v>
      </c>
      <c r="M38" s="68">
        <v>97</v>
      </c>
      <c r="N38" s="68">
        <v>0</v>
      </c>
      <c r="O38" s="17">
        <f t="shared" si="1"/>
        <v>151</v>
      </c>
      <c r="P38" s="17">
        <f t="shared" si="2"/>
        <v>248</v>
      </c>
      <c r="R38"/>
      <c r="S38" s="19"/>
      <c r="T38" s="19"/>
    </row>
    <row r="39" spans="2:20" ht="23.1" customHeight="1" x14ac:dyDescent="0.25">
      <c r="B39" s="24" t="s">
        <v>66</v>
      </c>
      <c r="C39" s="68">
        <v>80</v>
      </c>
      <c r="D39" s="68">
        <v>25</v>
      </c>
      <c r="E39" s="68">
        <v>13</v>
      </c>
      <c r="F39" s="68">
        <v>60</v>
      </c>
      <c r="G39" s="68">
        <v>0</v>
      </c>
      <c r="H39" s="68">
        <v>0</v>
      </c>
      <c r="I39" s="68">
        <v>6</v>
      </c>
      <c r="J39" s="68">
        <v>4</v>
      </c>
      <c r="K39" s="68">
        <v>6</v>
      </c>
      <c r="L39" s="68">
        <v>0</v>
      </c>
      <c r="M39" s="68">
        <v>80</v>
      </c>
      <c r="N39" s="68">
        <v>0</v>
      </c>
      <c r="O39" s="17">
        <f t="shared" si="1"/>
        <v>194</v>
      </c>
      <c r="P39" s="17">
        <f t="shared" si="2"/>
        <v>274</v>
      </c>
      <c r="R39"/>
      <c r="S39" s="19"/>
      <c r="T39" s="19"/>
    </row>
    <row r="40" spans="2:20" ht="23.1" customHeight="1" x14ac:dyDescent="0.25">
      <c r="B40" s="24" t="s">
        <v>67</v>
      </c>
      <c r="C40" s="68">
        <v>45</v>
      </c>
      <c r="D40" s="68">
        <v>25</v>
      </c>
      <c r="E40" s="68">
        <v>2</v>
      </c>
      <c r="F40" s="68">
        <v>70</v>
      </c>
      <c r="G40" s="68">
        <v>0</v>
      </c>
      <c r="H40" s="68">
        <v>0</v>
      </c>
      <c r="I40" s="68">
        <v>8</v>
      </c>
      <c r="J40" s="68">
        <v>1</v>
      </c>
      <c r="K40" s="68">
        <v>3</v>
      </c>
      <c r="L40" s="68">
        <v>0</v>
      </c>
      <c r="M40" s="68">
        <v>100</v>
      </c>
      <c r="N40" s="68">
        <v>0</v>
      </c>
      <c r="O40" s="17">
        <f t="shared" si="1"/>
        <v>154</v>
      </c>
      <c r="P40" s="17">
        <f t="shared" si="2"/>
        <v>254</v>
      </c>
      <c r="R40"/>
      <c r="S40" s="19"/>
      <c r="T40" s="19"/>
    </row>
    <row r="41" spans="2:20" ht="23.1" customHeight="1" x14ac:dyDescent="0.25">
      <c r="B41" s="23" t="s">
        <v>68</v>
      </c>
      <c r="C41" s="68">
        <v>95</v>
      </c>
      <c r="D41" s="68">
        <v>15</v>
      </c>
      <c r="E41" s="68">
        <v>5</v>
      </c>
      <c r="F41" s="68">
        <v>105</v>
      </c>
      <c r="G41" s="68">
        <v>1</v>
      </c>
      <c r="H41" s="68">
        <v>0</v>
      </c>
      <c r="I41" s="68">
        <v>5</v>
      </c>
      <c r="J41" s="68">
        <v>1</v>
      </c>
      <c r="K41" s="68">
        <v>3</v>
      </c>
      <c r="L41" s="68">
        <v>1</v>
      </c>
      <c r="M41" s="68">
        <v>87</v>
      </c>
      <c r="N41" s="68">
        <v>0</v>
      </c>
      <c r="O41" s="17">
        <f t="shared" si="1"/>
        <v>231</v>
      </c>
      <c r="P41" s="17">
        <f t="shared" si="2"/>
        <v>318</v>
      </c>
      <c r="R41"/>
      <c r="S41" s="19"/>
      <c r="T41" s="19"/>
    </row>
    <row r="42" spans="2:20" ht="23.1" customHeight="1" x14ac:dyDescent="0.25">
      <c r="B42" s="24" t="s">
        <v>69</v>
      </c>
      <c r="C42" s="68">
        <v>107</v>
      </c>
      <c r="D42" s="68">
        <v>6</v>
      </c>
      <c r="E42" s="68">
        <v>3</v>
      </c>
      <c r="F42" s="68">
        <v>73</v>
      </c>
      <c r="G42" s="68">
        <v>0</v>
      </c>
      <c r="H42" s="68">
        <v>0</v>
      </c>
      <c r="I42" s="68">
        <v>4</v>
      </c>
      <c r="J42" s="68">
        <v>1</v>
      </c>
      <c r="K42" s="68">
        <v>1</v>
      </c>
      <c r="L42" s="68">
        <v>0</v>
      </c>
      <c r="M42" s="68">
        <v>95</v>
      </c>
      <c r="N42" s="68">
        <v>0</v>
      </c>
      <c r="O42" s="17">
        <f t="shared" si="1"/>
        <v>195</v>
      </c>
      <c r="P42" s="17">
        <f t="shared" si="2"/>
        <v>290</v>
      </c>
      <c r="R42"/>
      <c r="S42" s="19"/>
      <c r="T42" s="19"/>
    </row>
    <row r="43" spans="2:20" ht="23.1" customHeight="1" x14ac:dyDescent="0.25">
      <c r="B43" s="23" t="s">
        <v>70</v>
      </c>
      <c r="C43" s="68">
        <v>85</v>
      </c>
      <c r="D43" s="68">
        <v>8</v>
      </c>
      <c r="E43" s="68">
        <v>6</v>
      </c>
      <c r="F43" s="68">
        <v>43</v>
      </c>
      <c r="G43" s="68">
        <v>0</v>
      </c>
      <c r="H43" s="68">
        <v>0</v>
      </c>
      <c r="I43" s="68">
        <v>6</v>
      </c>
      <c r="J43" s="68">
        <v>0</v>
      </c>
      <c r="K43" s="68">
        <v>0</v>
      </c>
      <c r="L43" s="68">
        <v>0</v>
      </c>
      <c r="M43" s="68">
        <v>105</v>
      </c>
      <c r="N43" s="68">
        <v>0</v>
      </c>
      <c r="O43" s="17">
        <f t="shared" si="1"/>
        <v>148</v>
      </c>
      <c r="P43" s="17">
        <f t="shared" si="2"/>
        <v>253</v>
      </c>
      <c r="R43"/>
      <c r="S43" s="19"/>
      <c r="T43" s="19"/>
    </row>
    <row r="44" spans="2:20" ht="23.1" customHeight="1" x14ac:dyDescent="0.25">
      <c r="B44" s="25" t="s">
        <v>71</v>
      </c>
      <c r="C44" s="68">
        <v>65</v>
      </c>
      <c r="D44" s="68">
        <v>15</v>
      </c>
      <c r="E44" s="68">
        <v>15</v>
      </c>
      <c r="F44" s="68">
        <v>35</v>
      </c>
      <c r="G44" s="68">
        <v>0</v>
      </c>
      <c r="H44" s="68">
        <v>0</v>
      </c>
      <c r="I44" s="68">
        <v>7</v>
      </c>
      <c r="J44" s="68">
        <v>1</v>
      </c>
      <c r="K44" s="68">
        <v>0</v>
      </c>
      <c r="L44" s="68">
        <v>0</v>
      </c>
      <c r="M44" s="68">
        <v>82</v>
      </c>
      <c r="N44" s="68">
        <v>0</v>
      </c>
      <c r="O44" s="17">
        <f t="shared" si="1"/>
        <v>138</v>
      </c>
      <c r="P44" s="17">
        <f t="shared" si="2"/>
        <v>220</v>
      </c>
      <c r="R44"/>
      <c r="S44" s="19"/>
      <c r="T44" s="19"/>
    </row>
    <row r="45" spans="2:20" ht="23.1" customHeight="1" x14ac:dyDescent="0.25">
      <c r="B45" s="23" t="s">
        <v>72</v>
      </c>
      <c r="C45" s="68">
        <v>82</v>
      </c>
      <c r="D45" s="68">
        <v>16</v>
      </c>
      <c r="E45" s="68">
        <v>15</v>
      </c>
      <c r="F45" s="68">
        <v>40</v>
      </c>
      <c r="G45" s="68">
        <v>0</v>
      </c>
      <c r="H45" s="68">
        <v>0</v>
      </c>
      <c r="I45" s="68">
        <v>13</v>
      </c>
      <c r="J45" s="68">
        <v>1</v>
      </c>
      <c r="K45" s="68">
        <v>1</v>
      </c>
      <c r="L45" s="68">
        <v>0</v>
      </c>
      <c r="M45" s="68">
        <v>110</v>
      </c>
      <c r="N45" s="68">
        <v>0</v>
      </c>
      <c r="O45" s="17">
        <f t="shared" si="1"/>
        <v>168</v>
      </c>
      <c r="P45" s="17">
        <f t="shared" si="2"/>
        <v>278</v>
      </c>
      <c r="R45"/>
      <c r="S45" s="19"/>
      <c r="T45" s="19"/>
    </row>
    <row r="46" spans="2:20" ht="23.1" customHeight="1" x14ac:dyDescent="0.25">
      <c r="B46" s="24" t="s">
        <v>73</v>
      </c>
      <c r="C46" s="68">
        <v>65</v>
      </c>
      <c r="D46" s="68">
        <v>7</v>
      </c>
      <c r="E46" s="68">
        <v>8</v>
      </c>
      <c r="F46" s="68">
        <v>70</v>
      </c>
      <c r="G46" s="68">
        <v>0</v>
      </c>
      <c r="H46" s="68">
        <v>0</v>
      </c>
      <c r="I46" s="68">
        <v>4</v>
      </c>
      <c r="J46" s="68">
        <v>1</v>
      </c>
      <c r="K46" s="68">
        <v>1</v>
      </c>
      <c r="L46" s="68">
        <v>0</v>
      </c>
      <c r="M46" s="68">
        <v>108</v>
      </c>
      <c r="N46" s="68">
        <v>0</v>
      </c>
      <c r="O46" s="17">
        <f t="shared" si="1"/>
        <v>156</v>
      </c>
      <c r="P46" s="17">
        <f t="shared" si="2"/>
        <v>264</v>
      </c>
      <c r="R46" s="19"/>
      <c r="S46" s="19"/>
      <c r="T46"/>
    </row>
    <row r="47" spans="2:20" ht="23.1" customHeight="1" x14ac:dyDescent="0.25">
      <c r="B47" s="24" t="s">
        <v>74</v>
      </c>
      <c r="C47" s="68">
        <v>90</v>
      </c>
      <c r="D47" s="68">
        <v>20</v>
      </c>
      <c r="E47" s="68">
        <v>8</v>
      </c>
      <c r="F47" s="68">
        <v>100</v>
      </c>
      <c r="G47" s="68">
        <v>1</v>
      </c>
      <c r="H47" s="68">
        <v>0</v>
      </c>
      <c r="I47" s="68">
        <v>8</v>
      </c>
      <c r="J47" s="68">
        <v>0</v>
      </c>
      <c r="K47" s="68">
        <v>0</v>
      </c>
      <c r="L47" s="68">
        <v>0</v>
      </c>
      <c r="M47" s="68">
        <v>115</v>
      </c>
      <c r="N47" s="68">
        <v>0</v>
      </c>
      <c r="O47" s="17">
        <f t="shared" si="1"/>
        <v>227</v>
      </c>
      <c r="P47" s="17">
        <f t="shared" si="2"/>
        <v>342</v>
      </c>
      <c r="R47" s="19"/>
      <c r="S47" s="19"/>
      <c r="T47"/>
    </row>
    <row r="48" spans="2:20" ht="23.1" customHeight="1" x14ac:dyDescent="0.25">
      <c r="B48" s="24" t="s">
        <v>75</v>
      </c>
      <c r="C48" s="68">
        <v>85</v>
      </c>
      <c r="D48" s="68">
        <v>13</v>
      </c>
      <c r="E48" s="68">
        <v>11</v>
      </c>
      <c r="F48" s="68">
        <v>60</v>
      </c>
      <c r="G48" s="68">
        <v>0</v>
      </c>
      <c r="H48" s="68">
        <v>0</v>
      </c>
      <c r="I48" s="68">
        <v>11</v>
      </c>
      <c r="J48" s="68">
        <v>1</v>
      </c>
      <c r="K48" s="68">
        <v>1</v>
      </c>
      <c r="L48" s="68">
        <v>0</v>
      </c>
      <c r="M48" s="68">
        <v>110</v>
      </c>
      <c r="N48" s="68">
        <v>0</v>
      </c>
      <c r="O48" s="17">
        <f t="shared" si="1"/>
        <v>182</v>
      </c>
      <c r="P48" s="17">
        <f t="shared" si="2"/>
        <v>292</v>
      </c>
      <c r="R48" s="19"/>
      <c r="S48" s="19"/>
      <c r="T48"/>
    </row>
    <row r="49" spans="2:20" ht="23.1" customHeight="1" x14ac:dyDescent="0.25">
      <c r="B49" s="23" t="s">
        <v>76</v>
      </c>
      <c r="C49" s="68">
        <v>55</v>
      </c>
      <c r="D49" s="68">
        <v>5</v>
      </c>
      <c r="E49" s="68">
        <v>7</v>
      </c>
      <c r="F49" s="68">
        <v>59</v>
      </c>
      <c r="G49" s="68">
        <v>0</v>
      </c>
      <c r="H49" s="68">
        <v>2</v>
      </c>
      <c r="I49" s="68">
        <v>5</v>
      </c>
      <c r="J49" s="68">
        <v>1</v>
      </c>
      <c r="K49" s="68">
        <v>1</v>
      </c>
      <c r="L49" s="68">
        <v>0</v>
      </c>
      <c r="M49" s="68">
        <v>100</v>
      </c>
      <c r="N49" s="68">
        <v>0</v>
      </c>
      <c r="O49" s="17">
        <f t="shared" si="1"/>
        <v>135</v>
      </c>
      <c r="P49" s="17">
        <f t="shared" si="2"/>
        <v>235</v>
      </c>
      <c r="R49" s="19"/>
      <c r="S49" s="19"/>
      <c r="T49"/>
    </row>
    <row r="50" spans="2:20" ht="23.1" customHeight="1" x14ac:dyDescent="0.25">
      <c r="B50" s="24" t="s">
        <v>77</v>
      </c>
      <c r="C50" s="68">
        <v>55</v>
      </c>
      <c r="D50" s="68">
        <v>6</v>
      </c>
      <c r="E50" s="68">
        <v>0</v>
      </c>
      <c r="F50" s="68">
        <v>58</v>
      </c>
      <c r="G50" s="68">
        <v>0</v>
      </c>
      <c r="H50" s="68">
        <v>1</v>
      </c>
      <c r="I50" s="68">
        <v>6</v>
      </c>
      <c r="J50" s="68">
        <v>1</v>
      </c>
      <c r="K50" s="68">
        <v>1</v>
      </c>
      <c r="L50" s="68">
        <v>0</v>
      </c>
      <c r="M50" s="68">
        <v>92</v>
      </c>
      <c r="N50" s="68">
        <v>0</v>
      </c>
      <c r="O50" s="17">
        <f t="shared" si="1"/>
        <v>128</v>
      </c>
      <c r="P50" s="17">
        <f t="shared" si="2"/>
        <v>220</v>
      </c>
      <c r="R50" s="19"/>
      <c r="S50" s="19"/>
      <c r="T50"/>
    </row>
    <row r="51" spans="2:20" ht="23.1" customHeight="1" x14ac:dyDescent="0.25">
      <c r="B51" s="24" t="s">
        <v>78</v>
      </c>
      <c r="C51" s="68">
        <v>85</v>
      </c>
      <c r="D51" s="68">
        <v>13</v>
      </c>
      <c r="E51" s="68">
        <v>5</v>
      </c>
      <c r="F51" s="68">
        <v>105</v>
      </c>
      <c r="G51" s="68">
        <v>0</v>
      </c>
      <c r="H51" s="68">
        <v>0</v>
      </c>
      <c r="I51" s="68">
        <v>3</v>
      </c>
      <c r="J51" s="68">
        <v>3</v>
      </c>
      <c r="K51" s="68">
        <v>1</v>
      </c>
      <c r="L51" s="68">
        <v>0</v>
      </c>
      <c r="M51" s="68">
        <v>101</v>
      </c>
      <c r="N51" s="68">
        <v>0</v>
      </c>
      <c r="O51" s="17">
        <f t="shared" si="1"/>
        <v>215</v>
      </c>
      <c r="P51" s="17">
        <f t="shared" si="2"/>
        <v>316</v>
      </c>
      <c r="R51" s="19"/>
      <c r="S51" s="19"/>
      <c r="T51"/>
    </row>
    <row r="52" spans="2:20" ht="23.1" customHeight="1" x14ac:dyDescent="0.25">
      <c r="B52" s="24" t="s">
        <v>79</v>
      </c>
      <c r="C52" s="68">
        <v>75</v>
      </c>
      <c r="D52" s="68">
        <v>14</v>
      </c>
      <c r="E52" s="68">
        <v>10</v>
      </c>
      <c r="F52" s="68">
        <v>140</v>
      </c>
      <c r="G52" s="68">
        <v>1</v>
      </c>
      <c r="H52" s="68">
        <v>0</v>
      </c>
      <c r="I52" s="68">
        <v>6</v>
      </c>
      <c r="J52" s="68">
        <v>0</v>
      </c>
      <c r="K52" s="68">
        <v>2</v>
      </c>
      <c r="L52" s="68">
        <v>0</v>
      </c>
      <c r="M52" s="68">
        <v>90</v>
      </c>
      <c r="N52" s="68">
        <v>0</v>
      </c>
      <c r="O52" s="17">
        <f t="shared" si="1"/>
        <v>248</v>
      </c>
      <c r="P52" s="17">
        <f t="shared" si="2"/>
        <v>338</v>
      </c>
      <c r="R52" s="19"/>
      <c r="S52" s="19"/>
      <c r="T52"/>
    </row>
    <row r="53" spans="2:20" ht="23.1" customHeight="1" x14ac:dyDescent="0.25">
      <c r="B53" s="23" t="s">
        <v>80</v>
      </c>
      <c r="C53" s="68">
        <v>95</v>
      </c>
      <c r="D53" s="68">
        <v>1</v>
      </c>
      <c r="E53" s="68">
        <v>0</v>
      </c>
      <c r="F53" s="68">
        <v>78</v>
      </c>
      <c r="G53" s="68">
        <v>0</v>
      </c>
      <c r="H53" s="68">
        <v>0</v>
      </c>
      <c r="I53" s="68">
        <v>8</v>
      </c>
      <c r="J53" s="68">
        <v>0</v>
      </c>
      <c r="K53" s="68">
        <v>1</v>
      </c>
      <c r="L53" s="68">
        <v>0</v>
      </c>
      <c r="M53" s="68">
        <v>110</v>
      </c>
      <c r="N53" s="68">
        <v>0</v>
      </c>
      <c r="O53" s="17">
        <f t="shared" si="1"/>
        <v>183</v>
      </c>
      <c r="P53" s="17">
        <f t="shared" si="2"/>
        <v>293</v>
      </c>
      <c r="R53" s="19"/>
      <c r="S53" s="19"/>
      <c r="T53"/>
    </row>
    <row r="54" spans="2:20" ht="23.1" customHeight="1" x14ac:dyDescent="0.25">
      <c r="B54" s="23" t="s">
        <v>81</v>
      </c>
      <c r="C54" s="68">
        <v>80</v>
      </c>
      <c r="D54" s="68">
        <v>25</v>
      </c>
      <c r="E54" s="68">
        <v>12</v>
      </c>
      <c r="F54" s="68">
        <v>85</v>
      </c>
      <c r="G54" s="68">
        <v>0</v>
      </c>
      <c r="H54" s="68">
        <v>0</v>
      </c>
      <c r="I54" s="68">
        <v>8</v>
      </c>
      <c r="J54" s="68">
        <v>0</v>
      </c>
      <c r="K54" s="68">
        <v>1</v>
      </c>
      <c r="L54" s="68">
        <v>0</v>
      </c>
      <c r="M54" s="68">
        <v>103</v>
      </c>
      <c r="N54" s="68">
        <v>0</v>
      </c>
      <c r="O54" s="17">
        <f t="shared" si="1"/>
        <v>211</v>
      </c>
      <c r="P54" s="17">
        <f t="shared" si="2"/>
        <v>314</v>
      </c>
      <c r="R54" s="19"/>
      <c r="S54" s="19"/>
      <c r="T54"/>
    </row>
    <row r="55" spans="2:20" ht="23.1" customHeight="1" x14ac:dyDescent="0.25">
      <c r="B55" s="23" t="s">
        <v>82</v>
      </c>
      <c r="C55" s="68">
        <v>35</v>
      </c>
      <c r="D55" s="68">
        <v>10</v>
      </c>
      <c r="E55" s="68">
        <v>12</v>
      </c>
      <c r="F55" s="68">
        <v>44</v>
      </c>
      <c r="G55" s="68">
        <v>0</v>
      </c>
      <c r="H55" s="68">
        <v>0</v>
      </c>
      <c r="I55" s="68">
        <v>5</v>
      </c>
      <c r="J55" s="68">
        <v>1</v>
      </c>
      <c r="K55" s="68">
        <v>3</v>
      </c>
      <c r="L55" s="68">
        <v>0</v>
      </c>
      <c r="M55" s="68">
        <v>105</v>
      </c>
      <c r="N55" s="68">
        <v>0</v>
      </c>
      <c r="O55" s="17">
        <f t="shared" si="1"/>
        <v>110</v>
      </c>
      <c r="P55" s="17">
        <f t="shared" si="2"/>
        <v>215</v>
      </c>
      <c r="R55" s="19"/>
      <c r="S55" s="19"/>
      <c r="T55"/>
    </row>
    <row r="56" spans="2:20" ht="23.1" customHeight="1" x14ac:dyDescent="0.25">
      <c r="B56" s="23" t="s">
        <v>83</v>
      </c>
      <c r="C56" s="68">
        <v>60</v>
      </c>
      <c r="D56" s="68">
        <v>4</v>
      </c>
      <c r="E56" s="68">
        <v>40</v>
      </c>
      <c r="F56" s="68">
        <v>45</v>
      </c>
      <c r="G56" s="68">
        <v>0</v>
      </c>
      <c r="H56" s="68">
        <v>0</v>
      </c>
      <c r="I56" s="68">
        <v>4</v>
      </c>
      <c r="J56" s="68">
        <v>0</v>
      </c>
      <c r="K56" s="68">
        <v>3</v>
      </c>
      <c r="L56" s="68">
        <v>1</v>
      </c>
      <c r="M56" s="68">
        <v>110</v>
      </c>
      <c r="N56" s="68">
        <v>0</v>
      </c>
      <c r="O56" s="17">
        <f t="shared" si="1"/>
        <v>157</v>
      </c>
      <c r="P56" s="17">
        <f t="shared" si="2"/>
        <v>267</v>
      </c>
      <c r="R56" s="19"/>
      <c r="S56" s="19"/>
      <c r="T56"/>
    </row>
    <row r="57" spans="2:20" ht="23.1" customHeight="1" x14ac:dyDescent="0.25">
      <c r="B57" s="23" t="s">
        <v>84</v>
      </c>
      <c r="C57" s="68">
        <v>85</v>
      </c>
      <c r="D57" s="68">
        <v>5</v>
      </c>
      <c r="E57" s="68">
        <v>4</v>
      </c>
      <c r="F57" s="68">
        <v>35</v>
      </c>
      <c r="G57" s="68">
        <v>0</v>
      </c>
      <c r="H57" s="68">
        <v>0</v>
      </c>
      <c r="I57" s="68">
        <v>2</v>
      </c>
      <c r="J57" s="68">
        <v>2</v>
      </c>
      <c r="K57" s="68">
        <v>1</v>
      </c>
      <c r="L57" s="68">
        <v>0</v>
      </c>
      <c r="M57" s="68">
        <v>105</v>
      </c>
      <c r="N57" s="68">
        <v>0</v>
      </c>
      <c r="O57" s="17">
        <f t="shared" si="1"/>
        <v>134</v>
      </c>
      <c r="P57" s="17">
        <f t="shared" si="2"/>
        <v>239</v>
      </c>
      <c r="R57" s="19"/>
      <c r="S57" s="19"/>
      <c r="T57"/>
    </row>
    <row r="58" spans="2:20" ht="23.1" customHeight="1" x14ac:dyDescent="0.25">
      <c r="B58" s="66" t="s">
        <v>18</v>
      </c>
      <c r="C58" s="16">
        <f t="shared" ref="C58:P58" si="21">SUM(C10:C57)</f>
        <v>3076</v>
      </c>
      <c r="D58" s="16">
        <f t="shared" si="21"/>
        <v>538</v>
      </c>
      <c r="E58" s="16">
        <f t="shared" si="21"/>
        <v>385</v>
      </c>
      <c r="F58" s="16">
        <f t="shared" si="21"/>
        <v>2986</v>
      </c>
      <c r="G58" s="16">
        <f t="shared" si="21"/>
        <v>21</v>
      </c>
      <c r="H58" s="16">
        <f t="shared" si="21"/>
        <v>9</v>
      </c>
      <c r="I58" s="16">
        <f t="shared" si="21"/>
        <v>349</v>
      </c>
      <c r="J58" s="16">
        <f t="shared" si="21"/>
        <v>73</v>
      </c>
      <c r="K58" s="16">
        <f t="shared" si="21"/>
        <v>90</v>
      </c>
      <c r="L58" s="16">
        <f t="shared" si="21"/>
        <v>5</v>
      </c>
      <c r="M58" s="16">
        <f t="shared" si="21"/>
        <v>4781</v>
      </c>
      <c r="N58" s="16">
        <f t="shared" si="21"/>
        <v>0</v>
      </c>
      <c r="O58" s="16">
        <f t="shared" si="21"/>
        <v>7532</v>
      </c>
      <c r="P58" s="16">
        <f t="shared" si="21"/>
        <v>12313</v>
      </c>
      <c r="R58" s="19"/>
      <c r="S58" s="19"/>
      <c r="T58"/>
    </row>
    <row r="59" spans="2:20" ht="23.1" customHeight="1" x14ac:dyDescent="0.25">
      <c r="B59" s="66" t="s">
        <v>93</v>
      </c>
      <c r="C59" s="43">
        <f t="shared" ref="C59:N59" si="22">C58/$P$58</f>
        <v>0.24981726630390644</v>
      </c>
      <c r="D59" s="43">
        <f t="shared" si="22"/>
        <v>4.3693657110371154E-2</v>
      </c>
      <c r="E59" s="43">
        <f t="shared" si="22"/>
        <v>3.1267765776009093E-2</v>
      </c>
      <c r="F59" s="43">
        <f t="shared" si="22"/>
        <v>0.24250791846016406</v>
      </c>
      <c r="G59" s="43">
        <f t="shared" si="22"/>
        <v>1.7055144968732233E-3</v>
      </c>
      <c r="H59" s="43">
        <f t="shared" si="22"/>
        <v>7.3093478437423866E-4</v>
      </c>
      <c r="I59" s="43">
        <f t="shared" si="22"/>
        <v>2.834402663851214E-2</v>
      </c>
      <c r="J59" s="43">
        <f t="shared" si="22"/>
        <v>5.9286932510354906E-3</v>
      </c>
      <c r="K59" s="43">
        <f t="shared" si="22"/>
        <v>7.3093478437423857E-3</v>
      </c>
      <c r="L59" s="43">
        <f t="shared" si="22"/>
        <v>4.0607488020791033E-4</v>
      </c>
      <c r="M59" s="43">
        <f t="shared" si="22"/>
        <v>0.38828880045480385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67" t="s">
        <v>94</v>
      </c>
      <c r="C60" s="44">
        <f>C58/$O$58</f>
        <v>0.40839086563993626</v>
      </c>
      <c r="D60" s="44">
        <f t="shared" ref="D60:N60" si="23">D58/$O$58</f>
        <v>7.1428571428571425E-2</v>
      </c>
      <c r="E60" s="44">
        <f t="shared" si="23"/>
        <v>5.111524163568773E-2</v>
      </c>
      <c r="F60" s="44">
        <f t="shared" si="23"/>
        <v>0.39644184811471056</v>
      </c>
      <c r="G60" s="44">
        <f t="shared" si="23"/>
        <v>2.7881040892193307E-3</v>
      </c>
      <c r="H60" s="44">
        <f t="shared" si="23"/>
        <v>1.1949017525225705E-3</v>
      </c>
      <c r="I60" s="44">
        <f t="shared" si="23"/>
        <v>4.6335634625597449E-2</v>
      </c>
      <c r="J60" s="44">
        <f t="shared" si="23"/>
        <v>9.6919808815719589E-3</v>
      </c>
      <c r="K60" s="44">
        <f t="shared" si="23"/>
        <v>1.1949017525225704E-2</v>
      </c>
      <c r="L60" s="44">
        <f t="shared" si="23"/>
        <v>6.6383430695698357E-4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1:32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1:32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1:32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1:32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1:32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1:32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10">
    <mergeCell ref="R8:AF8"/>
    <mergeCell ref="D6:E6"/>
    <mergeCell ref="K5:L5"/>
    <mergeCell ref="K6:L6"/>
    <mergeCell ref="B1:AE1"/>
    <mergeCell ref="B2:AE2"/>
    <mergeCell ref="C3:G3"/>
    <mergeCell ref="G5:H5"/>
    <mergeCell ref="G6:H6"/>
    <mergeCell ref="D5:E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87" t="str">
        <f>'[1]28.07 Makindye-Kibuye'!C3:G3</f>
        <v>MCC - C2 - STN-69- Gayaza- ROAD</v>
      </c>
      <c r="D3" s="87"/>
      <c r="E3" s="87"/>
      <c r="F3" s="87"/>
      <c r="G3" s="87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88" t="str">
        <f>'29.09 Kasangati-Gayaza'!D5:E5</f>
        <v>29.09.19</v>
      </c>
      <c r="E5" s="89"/>
      <c r="F5" s="41" t="s">
        <v>1</v>
      </c>
      <c r="G5" s="82" t="str">
        <f>'[1]28.07 Makindye-Kibuye'!G5:H5</f>
        <v>TOTAL BULAMU</v>
      </c>
      <c r="H5" s="83"/>
      <c r="I5" s="14"/>
      <c r="J5" s="2" t="s">
        <v>5</v>
      </c>
      <c r="K5" s="82" t="str">
        <f>'[1]28.07 Makindye-Kibuye'!K5:L5</f>
        <v>Muganga. S</v>
      </c>
      <c r="L5" s="83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82" t="str">
        <f>'[1]28.07 Makindye-Kibuye'!D6:E6</f>
        <v>Gayaza</v>
      </c>
      <c r="E6" s="83"/>
      <c r="F6" s="2" t="s">
        <v>2</v>
      </c>
      <c r="G6" s="82" t="str">
        <f>'[1]28.07 Makindye-Kibuye'!G6:H6</f>
        <v>Kasangati</v>
      </c>
      <c r="H6" s="83"/>
      <c r="J6" s="2" t="s">
        <v>21</v>
      </c>
      <c r="K6" s="82" t="str">
        <f>'[1]28.07 Makindye-Kibuye'!K6:L6</f>
        <v>LAWRENCE</v>
      </c>
      <c r="L6" s="83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4" t="s">
        <v>88</v>
      </c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68">
        <v>22</v>
      </c>
      <c r="D10" s="68">
        <v>3</v>
      </c>
      <c r="E10" s="68">
        <v>0</v>
      </c>
      <c r="F10" s="68">
        <v>37</v>
      </c>
      <c r="G10" s="68">
        <v>1</v>
      </c>
      <c r="H10" s="68">
        <v>0</v>
      </c>
      <c r="I10" s="68">
        <v>15</v>
      </c>
      <c r="J10" s="68">
        <v>0</v>
      </c>
      <c r="K10" s="68">
        <v>2</v>
      </c>
      <c r="L10" s="68">
        <v>0</v>
      </c>
      <c r="M10" s="68">
        <v>105</v>
      </c>
      <c r="N10" s="68">
        <v>0</v>
      </c>
      <c r="O10" s="68">
        <v>0</v>
      </c>
      <c r="P10" s="68">
        <v>0</v>
      </c>
      <c r="R10" s="1" t="s">
        <v>6</v>
      </c>
      <c r="S10" s="17">
        <f t="shared" ref="S10:AF10" si="0">SUM(C10:C13)</f>
        <v>111</v>
      </c>
      <c r="T10" s="17">
        <f t="shared" si="0"/>
        <v>26</v>
      </c>
      <c r="U10" s="17">
        <f t="shared" si="0"/>
        <v>5</v>
      </c>
      <c r="V10" s="17">
        <f t="shared" si="0"/>
        <v>136</v>
      </c>
      <c r="W10" s="17">
        <f t="shared" si="0"/>
        <v>2</v>
      </c>
      <c r="X10" s="17">
        <f t="shared" si="0"/>
        <v>0</v>
      </c>
      <c r="Y10" s="17">
        <f t="shared" si="0"/>
        <v>29</v>
      </c>
      <c r="Z10" s="17">
        <f t="shared" si="0"/>
        <v>2</v>
      </c>
      <c r="AA10" s="17">
        <f t="shared" si="0"/>
        <v>3</v>
      </c>
      <c r="AB10" s="17">
        <f t="shared" si="0"/>
        <v>0</v>
      </c>
      <c r="AC10" s="17">
        <f t="shared" si="0"/>
        <v>428</v>
      </c>
      <c r="AD10" s="17">
        <f t="shared" si="0"/>
        <v>0</v>
      </c>
      <c r="AE10" s="31">
        <f t="shared" si="0"/>
        <v>0</v>
      </c>
      <c r="AF10" s="31">
        <f t="shared" si="0"/>
        <v>0</v>
      </c>
    </row>
    <row r="11" spans="2:32" s="6" customFormat="1" ht="23.1" customHeight="1" x14ac:dyDescent="0.25">
      <c r="B11" s="23" t="s">
        <v>38</v>
      </c>
      <c r="C11" s="68">
        <v>25</v>
      </c>
      <c r="D11" s="68">
        <v>3</v>
      </c>
      <c r="E11" s="68">
        <v>0</v>
      </c>
      <c r="F11" s="68">
        <v>16</v>
      </c>
      <c r="G11" s="68">
        <v>0</v>
      </c>
      <c r="H11" s="68">
        <v>0</v>
      </c>
      <c r="I11" s="68">
        <v>3</v>
      </c>
      <c r="J11" s="68">
        <v>0</v>
      </c>
      <c r="K11" s="68">
        <v>0</v>
      </c>
      <c r="L11" s="68">
        <v>0</v>
      </c>
      <c r="M11" s="68">
        <v>79</v>
      </c>
      <c r="N11" s="68">
        <v>0</v>
      </c>
      <c r="O11" s="68">
        <v>0</v>
      </c>
      <c r="P11" s="68">
        <v>0</v>
      </c>
      <c r="R11" s="1" t="s">
        <v>7</v>
      </c>
      <c r="S11" s="17">
        <f t="shared" ref="S11:AF11" si="1">SUM(C14:C17)</f>
        <v>150</v>
      </c>
      <c r="T11" s="17">
        <f t="shared" si="1"/>
        <v>35</v>
      </c>
      <c r="U11" s="17">
        <f t="shared" si="1"/>
        <v>10</v>
      </c>
      <c r="V11" s="17">
        <f t="shared" si="1"/>
        <v>156</v>
      </c>
      <c r="W11" s="17">
        <f t="shared" si="1"/>
        <v>2</v>
      </c>
      <c r="X11" s="17">
        <f t="shared" si="1"/>
        <v>1</v>
      </c>
      <c r="Y11" s="17">
        <f t="shared" si="1"/>
        <v>27</v>
      </c>
      <c r="Z11" s="17">
        <f t="shared" si="1"/>
        <v>5</v>
      </c>
      <c r="AA11" s="17">
        <f t="shared" si="1"/>
        <v>9</v>
      </c>
      <c r="AB11" s="17">
        <f t="shared" si="1"/>
        <v>0</v>
      </c>
      <c r="AC11" s="17">
        <f t="shared" si="1"/>
        <v>450</v>
      </c>
      <c r="AD11" s="17">
        <f t="shared" si="1"/>
        <v>0</v>
      </c>
      <c r="AE11" s="31">
        <f t="shared" si="1"/>
        <v>0</v>
      </c>
      <c r="AF11" s="31">
        <f t="shared" si="1"/>
        <v>0</v>
      </c>
    </row>
    <row r="12" spans="2:32" ht="23.1" customHeight="1" x14ac:dyDescent="0.25">
      <c r="B12" s="23" t="s">
        <v>39</v>
      </c>
      <c r="C12" s="68">
        <v>31</v>
      </c>
      <c r="D12" s="68">
        <v>9</v>
      </c>
      <c r="E12" s="68">
        <v>4</v>
      </c>
      <c r="F12" s="68">
        <v>40</v>
      </c>
      <c r="G12" s="68">
        <v>1</v>
      </c>
      <c r="H12" s="68">
        <v>0</v>
      </c>
      <c r="I12" s="68">
        <v>6</v>
      </c>
      <c r="J12" s="68">
        <v>2</v>
      </c>
      <c r="K12" s="68">
        <v>1</v>
      </c>
      <c r="L12" s="68">
        <v>0</v>
      </c>
      <c r="M12" s="68">
        <v>134</v>
      </c>
      <c r="N12" s="68">
        <v>0</v>
      </c>
      <c r="O12" s="68">
        <v>0</v>
      </c>
      <c r="P12" s="68">
        <v>0</v>
      </c>
      <c r="R12" s="1" t="s">
        <v>8</v>
      </c>
      <c r="S12" s="17">
        <f t="shared" ref="S12:AF12" si="2">SUM(C18:C21)</f>
        <v>189</v>
      </c>
      <c r="T12" s="17">
        <f t="shared" si="2"/>
        <v>66</v>
      </c>
      <c r="U12" s="17">
        <f t="shared" si="2"/>
        <v>15</v>
      </c>
      <c r="V12" s="17">
        <f t="shared" si="2"/>
        <v>146</v>
      </c>
      <c r="W12" s="17">
        <f t="shared" si="2"/>
        <v>1</v>
      </c>
      <c r="X12" s="17">
        <f t="shared" si="2"/>
        <v>1</v>
      </c>
      <c r="Y12" s="17">
        <f t="shared" si="2"/>
        <v>31</v>
      </c>
      <c r="Z12" s="17">
        <f t="shared" si="2"/>
        <v>3</v>
      </c>
      <c r="AA12" s="17">
        <f t="shared" si="2"/>
        <v>3</v>
      </c>
      <c r="AB12" s="17">
        <f t="shared" si="2"/>
        <v>3</v>
      </c>
      <c r="AC12" s="17">
        <f t="shared" si="2"/>
        <v>462</v>
      </c>
      <c r="AD12" s="17">
        <f t="shared" si="2"/>
        <v>0</v>
      </c>
      <c r="AE12" s="31">
        <f t="shared" si="2"/>
        <v>0</v>
      </c>
      <c r="AF12" s="31">
        <f t="shared" si="2"/>
        <v>0</v>
      </c>
    </row>
    <row r="13" spans="2:32" ht="23.1" customHeight="1" x14ac:dyDescent="0.25">
      <c r="B13" s="23" t="s">
        <v>40</v>
      </c>
      <c r="C13" s="68">
        <v>33</v>
      </c>
      <c r="D13" s="68">
        <v>11</v>
      </c>
      <c r="E13" s="68">
        <v>1</v>
      </c>
      <c r="F13" s="68">
        <v>43</v>
      </c>
      <c r="G13" s="68">
        <v>0</v>
      </c>
      <c r="H13" s="68">
        <v>0</v>
      </c>
      <c r="I13" s="68">
        <v>5</v>
      </c>
      <c r="J13" s="68">
        <v>0</v>
      </c>
      <c r="K13" s="68">
        <v>0</v>
      </c>
      <c r="L13" s="68">
        <v>0</v>
      </c>
      <c r="M13" s="68">
        <v>110</v>
      </c>
      <c r="N13" s="68">
        <v>0</v>
      </c>
      <c r="O13" s="68">
        <v>0</v>
      </c>
      <c r="P13" s="68">
        <v>0</v>
      </c>
      <c r="R13" s="1" t="s">
        <v>9</v>
      </c>
      <c r="S13" s="17">
        <f t="shared" ref="S13:AF13" si="3">SUM(C22:C25)</f>
        <v>228</v>
      </c>
      <c r="T13" s="17">
        <f t="shared" si="3"/>
        <v>65</v>
      </c>
      <c r="U13" s="17">
        <f t="shared" si="3"/>
        <v>18</v>
      </c>
      <c r="V13" s="17">
        <f t="shared" si="3"/>
        <v>157</v>
      </c>
      <c r="W13" s="17">
        <f t="shared" si="3"/>
        <v>1</v>
      </c>
      <c r="X13" s="17">
        <f t="shared" si="3"/>
        <v>0</v>
      </c>
      <c r="Y13" s="17">
        <f t="shared" si="3"/>
        <v>27</v>
      </c>
      <c r="Z13" s="17">
        <f t="shared" si="3"/>
        <v>1</v>
      </c>
      <c r="AA13" s="17">
        <f t="shared" si="3"/>
        <v>5</v>
      </c>
      <c r="AB13" s="17">
        <f t="shared" si="3"/>
        <v>1</v>
      </c>
      <c r="AC13" s="17">
        <f t="shared" si="3"/>
        <v>373</v>
      </c>
      <c r="AD13" s="17">
        <f t="shared" si="3"/>
        <v>0</v>
      </c>
      <c r="AE13" s="31">
        <f t="shared" si="3"/>
        <v>0</v>
      </c>
      <c r="AF13" s="31">
        <f t="shared" si="3"/>
        <v>0</v>
      </c>
    </row>
    <row r="14" spans="2:32" ht="23.1" customHeight="1" x14ac:dyDescent="0.25">
      <c r="B14" s="23" t="s">
        <v>41</v>
      </c>
      <c r="C14" s="68">
        <v>32</v>
      </c>
      <c r="D14" s="68">
        <v>5</v>
      </c>
      <c r="E14" s="68">
        <v>3</v>
      </c>
      <c r="F14" s="68">
        <v>44</v>
      </c>
      <c r="G14" s="68">
        <v>0</v>
      </c>
      <c r="H14" s="68">
        <v>1</v>
      </c>
      <c r="I14" s="68">
        <v>2</v>
      </c>
      <c r="J14" s="68">
        <v>0</v>
      </c>
      <c r="K14" s="68">
        <v>3</v>
      </c>
      <c r="L14" s="68">
        <v>0</v>
      </c>
      <c r="M14" s="68">
        <v>94</v>
      </c>
      <c r="N14" s="68">
        <v>0</v>
      </c>
      <c r="O14" s="68">
        <v>0</v>
      </c>
      <c r="P14" s="68">
        <v>0</v>
      </c>
      <c r="R14" s="1" t="s">
        <v>10</v>
      </c>
      <c r="S14" s="17">
        <f t="shared" ref="S14:AF14" si="4">SUM(C26:C29)</f>
        <v>201</v>
      </c>
      <c r="T14" s="17">
        <f t="shared" si="4"/>
        <v>55</v>
      </c>
      <c r="U14" s="17">
        <f t="shared" si="4"/>
        <v>20</v>
      </c>
      <c r="V14" s="17">
        <f t="shared" si="4"/>
        <v>130</v>
      </c>
      <c r="W14" s="17">
        <f t="shared" si="4"/>
        <v>0</v>
      </c>
      <c r="X14" s="17">
        <f t="shared" si="4"/>
        <v>1</v>
      </c>
      <c r="Y14" s="17">
        <f t="shared" si="4"/>
        <v>49</v>
      </c>
      <c r="Z14" s="17">
        <f t="shared" si="4"/>
        <v>2</v>
      </c>
      <c r="AA14" s="17">
        <f t="shared" si="4"/>
        <v>10</v>
      </c>
      <c r="AB14" s="17">
        <f t="shared" si="4"/>
        <v>0</v>
      </c>
      <c r="AC14" s="17">
        <f t="shared" si="4"/>
        <v>401</v>
      </c>
      <c r="AD14" s="17">
        <f t="shared" si="4"/>
        <v>0</v>
      </c>
      <c r="AE14" s="31">
        <f t="shared" si="4"/>
        <v>0</v>
      </c>
      <c r="AF14" s="31">
        <f t="shared" si="4"/>
        <v>0</v>
      </c>
    </row>
    <row r="15" spans="2:32" ht="23.1" customHeight="1" x14ac:dyDescent="0.25">
      <c r="B15" s="23" t="s">
        <v>42</v>
      </c>
      <c r="C15" s="68">
        <v>52</v>
      </c>
      <c r="D15" s="68">
        <v>5</v>
      </c>
      <c r="E15" s="68">
        <v>3</v>
      </c>
      <c r="F15" s="68">
        <v>42</v>
      </c>
      <c r="G15" s="68">
        <v>2</v>
      </c>
      <c r="H15" s="68">
        <v>0</v>
      </c>
      <c r="I15" s="68">
        <v>6</v>
      </c>
      <c r="J15" s="68">
        <v>1</v>
      </c>
      <c r="K15" s="68">
        <v>3</v>
      </c>
      <c r="L15" s="68">
        <v>0</v>
      </c>
      <c r="M15" s="68">
        <v>141</v>
      </c>
      <c r="N15" s="68">
        <v>0</v>
      </c>
      <c r="O15" s="68">
        <v>0</v>
      </c>
      <c r="P15" s="68">
        <v>0</v>
      </c>
      <c r="R15" s="1" t="s">
        <v>11</v>
      </c>
      <c r="S15" s="17">
        <f t="shared" ref="S15:AF15" si="5">SUM(C30:C33)</f>
        <v>195</v>
      </c>
      <c r="T15" s="17">
        <f t="shared" si="5"/>
        <v>80</v>
      </c>
      <c r="U15" s="17">
        <f t="shared" si="5"/>
        <v>26</v>
      </c>
      <c r="V15" s="17">
        <f t="shared" si="5"/>
        <v>139</v>
      </c>
      <c r="W15" s="17">
        <f t="shared" si="5"/>
        <v>0</v>
      </c>
      <c r="X15" s="17">
        <f t="shared" si="5"/>
        <v>1</v>
      </c>
      <c r="Y15" s="17">
        <f t="shared" si="5"/>
        <v>31</v>
      </c>
      <c r="Z15" s="17">
        <f t="shared" si="5"/>
        <v>6</v>
      </c>
      <c r="AA15" s="17">
        <f t="shared" si="5"/>
        <v>10</v>
      </c>
      <c r="AB15" s="17">
        <f t="shared" si="5"/>
        <v>1</v>
      </c>
      <c r="AC15" s="17">
        <f t="shared" si="5"/>
        <v>309</v>
      </c>
      <c r="AD15" s="17">
        <f t="shared" si="5"/>
        <v>0</v>
      </c>
      <c r="AE15" s="31">
        <f t="shared" si="5"/>
        <v>0</v>
      </c>
      <c r="AF15" s="31">
        <f t="shared" si="5"/>
        <v>0</v>
      </c>
    </row>
    <row r="16" spans="2:32" ht="23.1" customHeight="1" x14ac:dyDescent="0.25">
      <c r="B16" s="23" t="s">
        <v>43</v>
      </c>
      <c r="C16" s="68">
        <v>24</v>
      </c>
      <c r="D16" s="68">
        <v>15</v>
      </c>
      <c r="E16" s="68">
        <v>2</v>
      </c>
      <c r="F16" s="68">
        <v>30</v>
      </c>
      <c r="G16" s="68">
        <v>0</v>
      </c>
      <c r="H16" s="68">
        <v>0</v>
      </c>
      <c r="I16" s="68">
        <v>10</v>
      </c>
      <c r="J16" s="68">
        <v>2</v>
      </c>
      <c r="K16" s="68">
        <v>2</v>
      </c>
      <c r="L16" s="68">
        <v>0</v>
      </c>
      <c r="M16" s="68">
        <v>104</v>
      </c>
      <c r="N16" s="68">
        <v>0</v>
      </c>
      <c r="O16" s="68">
        <v>0</v>
      </c>
      <c r="P16" s="68">
        <v>0</v>
      </c>
      <c r="R16" s="1" t="s">
        <v>12</v>
      </c>
      <c r="S16" s="17">
        <f t="shared" ref="S16:AF16" si="6">SUM(C34:C37)</f>
        <v>106</v>
      </c>
      <c r="T16" s="17">
        <f t="shared" si="6"/>
        <v>78</v>
      </c>
      <c r="U16" s="17">
        <f t="shared" si="6"/>
        <v>19</v>
      </c>
      <c r="V16" s="17">
        <f t="shared" si="6"/>
        <v>93</v>
      </c>
      <c r="W16" s="17">
        <f t="shared" si="6"/>
        <v>0</v>
      </c>
      <c r="X16" s="17">
        <f t="shared" si="6"/>
        <v>0</v>
      </c>
      <c r="Y16" s="17">
        <f t="shared" si="6"/>
        <v>28</v>
      </c>
      <c r="Z16" s="17">
        <f t="shared" si="6"/>
        <v>3</v>
      </c>
      <c r="AA16" s="17">
        <f t="shared" si="6"/>
        <v>5</v>
      </c>
      <c r="AB16" s="17">
        <f t="shared" si="6"/>
        <v>4</v>
      </c>
      <c r="AC16" s="17">
        <f t="shared" si="6"/>
        <v>144</v>
      </c>
      <c r="AD16" s="17">
        <f t="shared" si="6"/>
        <v>0</v>
      </c>
      <c r="AE16" s="31">
        <f t="shared" si="6"/>
        <v>0</v>
      </c>
      <c r="AF16" s="31">
        <f t="shared" si="6"/>
        <v>0</v>
      </c>
    </row>
    <row r="17" spans="2:32" ht="23.1" customHeight="1" x14ac:dyDescent="0.25">
      <c r="B17" s="23" t="s">
        <v>44</v>
      </c>
      <c r="C17" s="68">
        <v>42</v>
      </c>
      <c r="D17" s="68">
        <v>10</v>
      </c>
      <c r="E17" s="68">
        <v>2</v>
      </c>
      <c r="F17" s="68">
        <v>40</v>
      </c>
      <c r="G17" s="68">
        <v>0</v>
      </c>
      <c r="H17" s="68">
        <v>0</v>
      </c>
      <c r="I17" s="68">
        <v>9</v>
      </c>
      <c r="J17" s="68">
        <v>2</v>
      </c>
      <c r="K17" s="68">
        <v>1</v>
      </c>
      <c r="L17" s="68">
        <v>0</v>
      </c>
      <c r="M17" s="68">
        <v>111</v>
      </c>
      <c r="N17" s="68">
        <v>0</v>
      </c>
      <c r="O17" s="68">
        <v>0</v>
      </c>
      <c r="P17" s="68">
        <v>0</v>
      </c>
      <c r="R17" s="1" t="s">
        <v>13</v>
      </c>
      <c r="S17" s="17">
        <f t="shared" ref="S17:AF17" si="7">SUM(C38:C41)</f>
        <v>149</v>
      </c>
      <c r="T17" s="17">
        <f t="shared" si="7"/>
        <v>89</v>
      </c>
      <c r="U17" s="17">
        <f t="shared" si="7"/>
        <v>21</v>
      </c>
      <c r="V17" s="17">
        <f t="shared" si="7"/>
        <v>110</v>
      </c>
      <c r="W17" s="17">
        <f t="shared" si="7"/>
        <v>0</v>
      </c>
      <c r="X17" s="17">
        <f t="shared" si="7"/>
        <v>0</v>
      </c>
      <c r="Y17" s="17">
        <f t="shared" si="7"/>
        <v>39</v>
      </c>
      <c r="Z17" s="17">
        <f t="shared" si="7"/>
        <v>2</v>
      </c>
      <c r="AA17" s="17">
        <f t="shared" si="7"/>
        <v>5</v>
      </c>
      <c r="AB17" s="17">
        <f t="shared" si="7"/>
        <v>2</v>
      </c>
      <c r="AC17" s="17">
        <f t="shared" si="7"/>
        <v>315</v>
      </c>
      <c r="AD17" s="17">
        <f t="shared" si="7"/>
        <v>0</v>
      </c>
      <c r="AE17" s="31">
        <f t="shared" si="7"/>
        <v>0</v>
      </c>
      <c r="AF17" s="31">
        <f t="shared" si="7"/>
        <v>0</v>
      </c>
    </row>
    <row r="18" spans="2:32" ht="23.1" customHeight="1" x14ac:dyDescent="0.25">
      <c r="B18" s="23" t="s">
        <v>45</v>
      </c>
      <c r="C18" s="68">
        <v>45</v>
      </c>
      <c r="D18" s="68">
        <v>27</v>
      </c>
      <c r="E18" s="68">
        <v>5</v>
      </c>
      <c r="F18" s="68">
        <v>33</v>
      </c>
      <c r="G18" s="68">
        <v>0</v>
      </c>
      <c r="H18" s="68">
        <v>0</v>
      </c>
      <c r="I18" s="68">
        <v>3</v>
      </c>
      <c r="J18" s="68">
        <v>2</v>
      </c>
      <c r="K18" s="68">
        <v>1</v>
      </c>
      <c r="L18" s="68">
        <v>1</v>
      </c>
      <c r="M18" s="68">
        <v>60</v>
      </c>
      <c r="N18" s="68">
        <v>0</v>
      </c>
      <c r="O18" s="68">
        <v>0</v>
      </c>
      <c r="P18" s="68">
        <v>0</v>
      </c>
      <c r="R18" s="1" t="s">
        <v>14</v>
      </c>
      <c r="S18" s="17">
        <f t="shared" ref="S18:AF18" si="8">SUM(C42:C45)</f>
        <v>156</v>
      </c>
      <c r="T18" s="17">
        <f t="shared" si="8"/>
        <v>84</v>
      </c>
      <c r="U18" s="17">
        <f t="shared" si="8"/>
        <v>19</v>
      </c>
      <c r="V18" s="17">
        <f t="shared" si="8"/>
        <v>167</v>
      </c>
      <c r="W18" s="17">
        <f t="shared" si="8"/>
        <v>0</v>
      </c>
      <c r="X18" s="17">
        <f t="shared" si="8"/>
        <v>0</v>
      </c>
      <c r="Y18" s="17">
        <f t="shared" si="8"/>
        <v>36</v>
      </c>
      <c r="Z18" s="17">
        <f t="shared" si="8"/>
        <v>5</v>
      </c>
      <c r="AA18" s="17">
        <f t="shared" si="8"/>
        <v>6</v>
      </c>
      <c r="AB18" s="17">
        <f t="shared" si="8"/>
        <v>0</v>
      </c>
      <c r="AC18" s="17">
        <f t="shared" si="8"/>
        <v>375</v>
      </c>
      <c r="AD18" s="17">
        <f t="shared" si="8"/>
        <v>0</v>
      </c>
      <c r="AE18" s="31">
        <f t="shared" si="8"/>
        <v>0</v>
      </c>
      <c r="AF18" s="31">
        <f t="shared" si="8"/>
        <v>0</v>
      </c>
    </row>
    <row r="19" spans="2:32" ht="23.1" customHeight="1" x14ac:dyDescent="0.25">
      <c r="B19" s="23" t="s">
        <v>46</v>
      </c>
      <c r="C19" s="68">
        <v>43</v>
      </c>
      <c r="D19" s="68">
        <v>13</v>
      </c>
      <c r="E19" s="68">
        <v>2</v>
      </c>
      <c r="F19" s="68">
        <v>37</v>
      </c>
      <c r="G19" s="68">
        <v>0</v>
      </c>
      <c r="H19" s="68">
        <v>0</v>
      </c>
      <c r="I19" s="68">
        <v>5</v>
      </c>
      <c r="J19" s="68">
        <v>1</v>
      </c>
      <c r="K19" s="68">
        <v>1</v>
      </c>
      <c r="L19" s="68">
        <v>1</v>
      </c>
      <c r="M19" s="68">
        <v>104</v>
      </c>
      <c r="N19" s="68">
        <v>0</v>
      </c>
      <c r="O19" s="68">
        <v>0</v>
      </c>
      <c r="P19" s="68">
        <v>0</v>
      </c>
      <c r="R19" s="1" t="s">
        <v>15</v>
      </c>
      <c r="S19" s="17">
        <f t="shared" ref="S19:AF19" si="9">SUM(C46:C49)</f>
        <v>225</v>
      </c>
      <c r="T19" s="17">
        <f t="shared" si="9"/>
        <v>103</v>
      </c>
      <c r="U19" s="17">
        <f t="shared" si="9"/>
        <v>22</v>
      </c>
      <c r="V19" s="17">
        <f t="shared" si="9"/>
        <v>164</v>
      </c>
      <c r="W19" s="17">
        <f t="shared" si="9"/>
        <v>1</v>
      </c>
      <c r="X19" s="17">
        <f t="shared" si="9"/>
        <v>0</v>
      </c>
      <c r="Y19" s="17">
        <f t="shared" si="9"/>
        <v>28</v>
      </c>
      <c r="Z19" s="17">
        <f t="shared" si="9"/>
        <v>6</v>
      </c>
      <c r="AA19" s="17">
        <f t="shared" si="9"/>
        <v>4</v>
      </c>
      <c r="AB19" s="17">
        <f t="shared" si="9"/>
        <v>0</v>
      </c>
      <c r="AC19" s="17">
        <f t="shared" si="9"/>
        <v>419</v>
      </c>
      <c r="AD19" s="17">
        <f t="shared" si="9"/>
        <v>0</v>
      </c>
      <c r="AE19" s="31">
        <f t="shared" si="9"/>
        <v>0</v>
      </c>
      <c r="AF19" s="31">
        <f t="shared" si="9"/>
        <v>0</v>
      </c>
    </row>
    <row r="20" spans="2:32" ht="23.1" customHeight="1" x14ac:dyDescent="0.25">
      <c r="B20" s="23" t="s">
        <v>47</v>
      </c>
      <c r="C20" s="68">
        <v>51</v>
      </c>
      <c r="D20" s="68">
        <v>13</v>
      </c>
      <c r="E20" s="68">
        <v>6</v>
      </c>
      <c r="F20" s="68">
        <v>36</v>
      </c>
      <c r="G20" s="68">
        <v>1</v>
      </c>
      <c r="H20" s="68">
        <v>1</v>
      </c>
      <c r="I20" s="68">
        <v>10</v>
      </c>
      <c r="J20" s="68">
        <v>0</v>
      </c>
      <c r="K20" s="68">
        <v>0</v>
      </c>
      <c r="L20" s="68">
        <v>1</v>
      </c>
      <c r="M20" s="68">
        <v>158</v>
      </c>
      <c r="N20" s="68">
        <v>0</v>
      </c>
      <c r="O20" s="68">
        <v>0</v>
      </c>
      <c r="P20" s="68">
        <v>0</v>
      </c>
      <c r="R20" s="1" t="s">
        <v>16</v>
      </c>
      <c r="S20" s="17">
        <f t="shared" ref="S20:AF20" si="10">SUM(C50:C53)</f>
        <v>190</v>
      </c>
      <c r="T20" s="17">
        <f t="shared" si="10"/>
        <v>76</v>
      </c>
      <c r="U20" s="17">
        <f t="shared" si="10"/>
        <v>12</v>
      </c>
      <c r="V20" s="17">
        <f t="shared" si="10"/>
        <v>184</v>
      </c>
      <c r="W20" s="17">
        <f t="shared" si="10"/>
        <v>5</v>
      </c>
      <c r="X20" s="17">
        <f t="shared" si="10"/>
        <v>3</v>
      </c>
      <c r="Y20" s="17">
        <f t="shared" si="10"/>
        <v>40</v>
      </c>
      <c r="Z20" s="17">
        <f t="shared" si="10"/>
        <v>3</v>
      </c>
      <c r="AA20" s="17">
        <f t="shared" si="10"/>
        <v>5</v>
      </c>
      <c r="AB20" s="17">
        <f t="shared" si="10"/>
        <v>0</v>
      </c>
      <c r="AC20" s="17">
        <f t="shared" si="10"/>
        <v>428</v>
      </c>
      <c r="AD20" s="17">
        <f t="shared" si="10"/>
        <v>0</v>
      </c>
      <c r="AE20" s="31">
        <f t="shared" si="10"/>
        <v>0</v>
      </c>
      <c r="AF20" s="31">
        <f t="shared" si="10"/>
        <v>0</v>
      </c>
    </row>
    <row r="21" spans="2:32" ht="23.1" customHeight="1" x14ac:dyDescent="0.25">
      <c r="B21" s="23" t="s">
        <v>48</v>
      </c>
      <c r="C21" s="68">
        <v>50</v>
      </c>
      <c r="D21" s="68">
        <v>13</v>
      </c>
      <c r="E21" s="68">
        <v>2</v>
      </c>
      <c r="F21" s="68">
        <v>40</v>
      </c>
      <c r="G21" s="68">
        <v>0</v>
      </c>
      <c r="H21" s="68">
        <v>0</v>
      </c>
      <c r="I21" s="68">
        <v>13</v>
      </c>
      <c r="J21" s="68">
        <v>0</v>
      </c>
      <c r="K21" s="68">
        <v>1</v>
      </c>
      <c r="L21" s="68">
        <v>0</v>
      </c>
      <c r="M21" s="68">
        <v>140</v>
      </c>
      <c r="N21" s="68">
        <v>0</v>
      </c>
      <c r="O21" s="68">
        <v>0</v>
      </c>
      <c r="P21" s="68">
        <v>0</v>
      </c>
      <c r="R21" s="36" t="s">
        <v>20</v>
      </c>
      <c r="S21" s="34">
        <f t="shared" ref="S21:AF21" si="11">SUM(C54:C57)</f>
        <v>146</v>
      </c>
      <c r="T21" s="17">
        <f t="shared" si="11"/>
        <v>106</v>
      </c>
      <c r="U21" s="17">
        <f t="shared" si="11"/>
        <v>47</v>
      </c>
      <c r="V21" s="17">
        <f t="shared" si="11"/>
        <v>160</v>
      </c>
      <c r="W21" s="17">
        <f t="shared" si="11"/>
        <v>0</v>
      </c>
      <c r="X21" s="17">
        <f t="shared" si="11"/>
        <v>0</v>
      </c>
      <c r="Y21" s="17">
        <f t="shared" si="11"/>
        <v>43</v>
      </c>
      <c r="Z21" s="17">
        <f t="shared" si="11"/>
        <v>9</v>
      </c>
      <c r="AA21" s="17">
        <f t="shared" si="11"/>
        <v>7</v>
      </c>
      <c r="AB21" s="17">
        <f t="shared" si="11"/>
        <v>1</v>
      </c>
      <c r="AC21" s="17">
        <f t="shared" si="11"/>
        <v>423</v>
      </c>
      <c r="AD21" s="17">
        <f t="shared" si="11"/>
        <v>0</v>
      </c>
      <c r="AE21" s="31">
        <f t="shared" si="11"/>
        <v>0</v>
      </c>
      <c r="AF21" s="31">
        <f t="shared" si="11"/>
        <v>0</v>
      </c>
    </row>
    <row r="22" spans="2:32" ht="23.1" customHeight="1" x14ac:dyDescent="0.25">
      <c r="B22" s="23" t="s">
        <v>49</v>
      </c>
      <c r="C22" s="68">
        <v>65</v>
      </c>
      <c r="D22" s="68">
        <v>16</v>
      </c>
      <c r="E22" s="68">
        <v>7</v>
      </c>
      <c r="F22" s="68">
        <v>33</v>
      </c>
      <c r="G22" s="68">
        <v>0</v>
      </c>
      <c r="H22" s="68">
        <v>0</v>
      </c>
      <c r="I22" s="68">
        <v>6</v>
      </c>
      <c r="J22" s="68">
        <v>0</v>
      </c>
      <c r="K22" s="68">
        <v>2</v>
      </c>
      <c r="L22" s="68">
        <v>0</v>
      </c>
      <c r="M22" s="68">
        <v>64</v>
      </c>
      <c r="N22" s="68">
        <v>0</v>
      </c>
      <c r="O22" s="68">
        <v>0</v>
      </c>
      <c r="P22" s="68">
        <v>0</v>
      </c>
      <c r="R22" s="64" t="s">
        <v>90</v>
      </c>
      <c r="S22" s="65">
        <f>MAX(S10:S12)</f>
        <v>189</v>
      </c>
      <c r="T22" s="65">
        <f t="shared" ref="T22:AF22" si="12">MAX(T10:T12)</f>
        <v>66</v>
      </c>
      <c r="U22" s="65">
        <f t="shared" si="12"/>
        <v>15</v>
      </c>
      <c r="V22" s="65">
        <f t="shared" si="12"/>
        <v>156</v>
      </c>
      <c r="W22" s="65">
        <f t="shared" si="12"/>
        <v>2</v>
      </c>
      <c r="X22" s="65">
        <f t="shared" si="12"/>
        <v>1</v>
      </c>
      <c r="Y22" s="65">
        <f t="shared" si="12"/>
        <v>31</v>
      </c>
      <c r="Z22" s="65">
        <f t="shared" si="12"/>
        <v>5</v>
      </c>
      <c r="AA22" s="65">
        <f t="shared" si="12"/>
        <v>9</v>
      </c>
      <c r="AB22" s="65">
        <f t="shared" si="12"/>
        <v>3</v>
      </c>
      <c r="AC22" s="65">
        <f t="shared" si="12"/>
        <v>462</v>
      </c>
      <c r="AD22" s="65">
        <f t="shared" si="12"/>
        <v>0</v>
      </c>
      <c r="AE22" s="40">
        <f t="shared" si="12"/>
        <v>0</v>
      </c>
      <c r="AF22" s="40">
        <f t="shared" si="12"/>
        <v>0</v>
      </c>
    </row>
    <row r="23" spans="2:32" ht="23.1" customHeight="1" x14ac:dyDescent="0.25">
      <c r="B23" s="23" t="s">
        <v>50</v>
      </c>
      <c r="C23" s="68">
        <v>46</v>
      </c>
      <c r="D23" s="68">
        <v>16</v>
      </c>
      <c r="E23" s="68">
        <v>5</v>
      </c>
      <c r="F23" s="68">
        <v>34</v>
      </c>
      <c r="G23" s="68">
        <v>1</v>
      </c>
      <c r="H23" s="68">
        <v>0</v>
      </c>
      <c r="I23" s="68">
        <v>4</v>
      </c>
      <c r="J23" s="68">
        <v>0</v>
      </c>
      <c r="K23" s="68">
        <v>3</v>
      </c>
      <c r="L23" s="68">
        <v>1</v>
      </c>
      <c r="M23" s="68">
        <v>87</v>
      </c>
      <c r="N23" s="68">
        <v>0</v>
      </c>
      <c r="O23" s="68">
        <v>0</v>
      </c>
      <c r="P23" s="68">
        <v>0</v>
      </c>
      <c r="R23" s="64" t="s">
        <v>91</v>
      </c>
      <c r="S23" s="65">
        <f>MAX(S13:S18)</f>
        <v>228</v>
      </c>
      <c r="T23" s="65">
        <f t="shared" ref="T23:AF23" si="13">MAX(T13:T18)</f>
        <v>89</v>
      </c>
      <c r="U23" s="65">
        <f t="shared" si="13"/>
        <v>26</v>
      </c>
      <c r="V23" s="65">
        <f t="shared" si="13"/>
        <v>167</v>
      </c>
      <c r="W23" s="65">
        <f t="shared" si="13"/>
        <v>1</v>
      </c>
      <c r="X23" s="65">
        <f t="shared" si="13"/>
        <v>1</v>
      </c>
      <c r="Y23" s="65">
        <f t="shared" si="13"/>
        <v>49</v>
      </c>
      <c r="Z23" s="65">
        <f t="shared" si="13"/>
        <v>6</v>
      </c>
      <c r="AA23" s="65">
        <f t="shared" si="13"/>
        <v>10</v>
      </c>
      <c r="AB23" s="65">
        <f t="shared" si="13"/>
        <v>4</v>
      </c>
      <c r="AC23" s="65">
        <f t="shared" si="13"/>
        <v>401</v>
      </c>
      <c r="AD23" s="65">
        <f t="shared" si="13"/>
        <v>0</v>
      </c>
      <c r="AE23" s="40">
        <f t="shared" si="13"/>
        <v>0</v>
      </c>
      <c r="AF23" s="40">
        <f t="shared" si="13"/>
        <v>0</v>
      </c>
    </row>
    <row r="24" spans="2:32" ht="23.1" customHeight="1" x14ac:dyDescent="0.25">
      <c r="B24" s="23" t="s">
        <v>51</v>
      </c>
      <c r="C24" s="68">
        <v>62</v>
      </c>
      <c r="D24" s="68">
        <v>20</v>
      </c>
      <c r="E24" s="68">
        <v>1</v>
      </c>
      <c r="F24" s="68">
        <v>40</v>
      </c>
      <c r="G24" s="68">
        <v>0</v>
      </c>
      <c r="H24" s="68">
        <v>0</v>
      </c>
      <c r="I24" s="68">
        <v>8</v>
      </c>
      <c r="J24" s="68">
        <v>1</v>
      </c>
      <c r="K24" s="68">
        <v>0</v>
      </c>
      <c r="L24" s="68">
        <v>0</v>
      </c>
      <c r="M24" s="68">
        <v>95</v>
      </c>
      <c r="N24" s="68">
        <v>0</v>
      </c>
      <c r="O24" s="68">
        <v>0</v>
      </c>
      <c r="P24" s="68">
        <v>0</v>
      </c>
      <c r="R24" s="64" t="s">
        <v>92</v>
      </c>
      <c r="S24" s="65">
        <f>MAX(S19:S21)</f>
        <v>225</v>
      </c>
      <c r="T24" s="65">
        <f t="shared" ref="T24:AF24" si="14">MAX(T19:T21)</f>
        <v>106</v>
      </c>
      <c r="U24" s="65">
        <f t="shared" si="14"/>
        <v>47</v>
      </c>
      <c r="V24" s="65">
        <f t="shared" si="14"/>
        <v>184</v>
      </c>
      <c r="W24" s="65">
        <f t="shared" si="14"/>
        <v>5</v>
      </c>
      <c r="X24" s="65">
        <f t="shared" si="14"/>
        <v>3</v>
      </c>
      <c r="Y24" s="65">
        <f t="shared" si="14"/>
        <v>43</v>
      </c>
      <c r="Z24" s="65">
        <f t="shared" si="14"/>
        <v>9</v>
      </c>
      <c r="AA24" s="65">
        <f t="shared" si="14"/>
        <v>7</v>
      </c>
      <c r="AB24" s="65">
        <f t="shared" si="14"/>
        <v>1</v>
      </c>
      <c r="AC24" s="65">
        <f t="shared" si="14"/>
        <v>428</v>
      </c>
      <c r="AD24" s="65">
        <f t="shared" si="14"/>
        <v>0</v>
      </c>
      <c r="AE24" s="40">
        <f t="shared" si="14"/>
        <v>0</v>
      </c>
      <c r="AF24" s="40">
        <f t="shared" si="14"/>
        <v>0</v>
      </c>
    </row>
    <row r="25" spans="2:32" ht="23.1" customHeight="1" x14ac:dyDescent="0.25">
      <c r="B25" s="23" t="s">
        <v>52</v>
      </c>
      <c r="C25" s="68">
        <v>55</v>
      </c>
      <c r="D25" s="68">
        <v>13</v>
      </c>
      <c r="E25" s="68">
        <v>5</v>
      </c>
      <c r="F25" s="68">
        <v>50</v>
      </c>
      <c r="G25" s="68">
        <v>0</v>
      </c>
      <c r="H25" s="68">
        <v>0</v>
      </c>
      <c r="I25" s="68">
        <v>9</v>
      </c>
      <c r="J25" s="68">
        <v>0</v>
      </c>
      <c r="K25" s="68">
        <v>0</v>
      </c>
      <c r="L25" s="68">
        <v>0</v>
      </c>
      <c r="M25" s="68">
        <v>127</v>
      </c>
      <c r="N25" s="68">
        <v>0</v>
      </c>
      <c r="O25" s="68">
        <v>0</v>
      </c>
      <c r="P25" s="68">
        <v>0</v>
      </c>
      <c r="R25" s="37" t="s">
        <v>85</v>
      </c>
      <c r="S25" s="35">
        <f t="shared" ref="S25:AF25" si="15">SUM(S10:S12)</f>
        <v>450</v>
      </c>
      <c r="T25" s="16">
        <f t="shared" si="15"/>
        <v>127</v>
      </c>
      <c r="U25" s="16">
        <f t="shared" si="15"/>
        <v>30</v>
      </c>
      <c r="V25" s="16">
        <f t="shared" si="15"/>
        <v>438</v>
      </c>
      <c r="W25" s="16">
        <f t="shared" si="15"/>
        <v>5</v>
      </c>
      <c r="X25" s="16">
        <f t="shared" si="15"/>
        <v>2</v>
      </c>
      <c r="Y25" s="16">
        <f t="shared" si="15"/>
        <v>87</v>
      </c>
      <c r="Z25" s="16">
        <f t="shared" si="15"/>
        <v>10</v>
      </c>
      <c r="AA25" s="16">
        <f t="shared" si="15"/>
        <v>15</v>
      </c>
      <c r="AB25" s="16">
        <f t="shared" si="15"/>
        <v>3</v>
      </c>
      <c r="AC25" s="16">
        <f t="shared" si="15"/>
        <v>1340</v>
      </c>
      <c r="AD25" s="16">
        <f t="shared" si="15"/>
        <v>0</v>
      </c>
      <c r="AE25" s="32">
        <f t="shared" si="15"/>
        <v>0</v>
      </c>
      <c r="AF25" s="32">
        <f t="shared" si="15"/>
        <v>0</v>
      </c>
    </row>
    <row r="26" spans="2:32" ht="23.1" customHeight="1" x14ac:dyDescent="0.25">
      <c r="B26" s="23" t="s">
        <v>53</v>
      </c>
      <c r="C26" s="68">
        <v>29</v>
      </c>
      <c r="D26" s="68">
        <v>14</v>
      </c>
      <c r="E26" s="68">
        <v>1</v>
      </c>
      <c r="F26" s="68">
        <v>20</v>
      </c>
      <c r="G26" s="68">
        <v>0</v>
      </c>
      <c r="H26" s="68">
        <v>0</v>
      </c>
      <c r="I26" s="68">
        <v>9</v>
      </c>
      <c r="J26" s="68">
        <v>2</v>
      </c>
      <c r="K26" s="68">
        <v>1</v>
      </c>
      <c r="L26" s="68">
        <v>0</v>
      </c>
      <c r="M26" s="68">
        <v>100</v>
      </c>
      <c r="N26" s="68">
        <v>0</v>
      </c>
      <c r="O26" s="68">
        <v>0</v>
      </c>
      <c r="P26" s="68">
        <v>0</v>
      </c>
      <c r="R26" s="28" t="s">
        <v>86</v>
      </c>
      <c r="S26" s="16">
        <f t="shared" ref="S26:AF26" si="16">SUM(S13:S18)</f>
        <v>1035</v>
      </c>
      <c r="T26" s="16">
        <f t="shared" si="16"/>
        <v>451</v>
      </c>
      <c r="U26" s="16">
        <f t="shared" si="16"/>
        <v>123</v>
      </c>
      <c r="V26" s="16">
        <f t="shared" si="16"/>
        <v>796</v>
      </c>
      <c r="W26" s="16">
        <f t="shared" si="16"/>
        <v>1</v>
      </c>
      <c r="X26" s="16">
        <f t="shared" si="16"/>
        <v>2</v>
      </c>
      <c r="Y26" s="16">
        <f t="shared" si="16"/>
        <v>210</v>
      </c>
      <c r="Z26" s="16">
        <f t="shared" si="16"/>
        <v>19</v>
      </c>
      <c r="AA26" s="16">
        <f t="shared" si="16"/>
        <v>41</v>
      </c>
      <c r="AB26" s="16">
        <f t="shared" si="16"/>
        <v>8</v>
      </c>
      <c r="AC26" s="16">
        <f t="shared" si="16"/>
        <v>1917</v>
      </c>
      <c r="AD26" s="16">
        <f t="shared" si="16"/>
        <v>0</v>
      </c>
      <c r="AE26" s="32">
        <f t="shared" si="16"/>
        <v>0</v>
      </c>
      <c r="AF26" s="32">
        <f t="shared" si="16"/>
        <v>0</v>
      </c>
    </row>
    <row r="27" spans="2:32" ht="23.1" customHeight="1" x14ac:dyDescent="0.25">
      <c r="B27" s="23" t="s">
        <v>54</v>
      </c>
      <c r="C27" s="68">
        <v>72</v>
      </c>
      <c r="D27" s="68">
        <v>12</v>
      </c>
      <c r="E27" s="68">
        <v>3</v>
      </c>
      <c r="F27" s="68">
        <v>37</v>
      </c>
      <c r="G27" s="68">
        <v>0</v>
      </c>
      <c r="H27" s="68">
        <v>0</v>
      </c>
      <c r="I27" s="68">
        <v>6</v>
      </c>
      <c r="J27" s="68">
        <v>0</v>
      </c>
      <c r="K27" s="68">
        <v>3</v>
      </c>
      <c r="L27" s="68">
        <v>0</v>
      </c>
      <c r="M27" s="68">
        <v>98</v>
      </c>
      <c r="N27" s="68">
        <v>0</v>
      </c>
      <c r="O27" s="68">
        <v>0</v>
      </c>
      <c r="P27" s="68">
        <v>0</v>
      </c>
      <c r="R27" s="29" t="s">
        <v>87</v>
      </c>
      <c r="S27" s="16">
        <f t="shared" ref="S27:AF27" si="17">SUM(S19:S21)</f>
        <v>561</v>
      </c>
      <c r="T27" s="16">
        <f t="shared" si="17"/>
        <v>285</v>
      </c>
      <c r="U27" s="16">
        <f t="shared" si="17"/>
        <v>81</v>
      </c>
      <c r="V27" s="16">
        <f t="shared" si="17"/>
        <v>508</v>
      </c>
      <c r="W27" s="16">
        <f t="shared" si="17"/>
        <v>6</v>
      </c>
      <c r="X27" s="16">
        <f t="shared" si="17"/>
        <v>3</v>
      </c>
      <c r="Y27" s="16">
        <f t="shared" si="17"/>
        <v>111</v>
      </c>
      <c r="Z27" s="16">
        <f t="shared" si="17"/>
        <v>18</v>
      </c>
      <c r="AA27" s="16">
        <f t="shared" si="17"/>
        <v>16</v>
      </c>
      <c r="AB27" s="16">
        <f t="shared" si="17"/>
        <v>1</v>
      </c>
      <c r="AC27" s="16">
        <f t="shared" si="17"/>
        <v>1270</v>
      </c>
      <c r="AD27" s="16">
        <f t="shared" si="17"/>
        <v>0</v>
      </c>
      <c r="AE27" s="32">
        <f t="shared" si="17"/>
        <v>0</v>
      </c>
      <c r="AF27" s="32">
        <f t="shared" si="17"/>
        <v>0</v>
      </c>
    </row>
    <row r="28" spans="2:32" ht="23.1" customHeight="1" x14ac:dyDescent="0.25">
      <c r="B28" s="23" t="s">
        <v>55</v>
      </c>
      <c r="C28" s="68">
        <v>44</v>
      </c>
      <c r="D28" s="68">
        <v>23</v>
      </c>
      <c r="E28" s="68">
        <v>11</v>
      </c>
      <c r="F28" s="68">
        <v>41</v>
      </c>
      <c r="G28" s="68">
        <v>0</v>
      </c>
      <c r="H28" s="68">
        <v>1</v>
      </c>
      <c r="I28" s="68">
        <v>18</v>
      </c>
      <c r="J28" s="68">
        <v>0</v>
      </c>
      <c r="K28" s="68">
        <v>2</v>
      </c>
      <c r="L28" s="68">
        <v>0</v>
      </c>
      <c r="M28" s="68">
        <v>110</v>
      </c>
      <c r="N28" s="68">
        <v>0</v>
      </c>
      <c r="O28" s="68">
        <v>0</v>
      </c>
      <c r="P28" s="68">
        <v>0</v>
      </c>
      <c r="R28" s="5" t="s">
        <v>17</v>
      </c>
      <c r="S28" s="16">
        <f t="shared" ref="S28:AF28" si="18">SUM(S10:S21)</f>
        <v>2046</v>
      </c>
      <c r="T28" s="16">
        <f t="shared" si="18"/>
        <v>863</v>
      </c>
      <c r="U28" s="16">
        <f t="shared" si="18"/>
        <v>234</v>
      </c>
      <c r="V28" s="16">
        <f t="shared" si="18"/>
        <v>1742</v>
      </c>
      <c r="W28" s="16">
        <f t="shared" si="18"/>
        <v>12</v>
      </c>
      <c r="X28" s="16">
        <f t="shared" si="18"/>
        <v>7</v>
      </c>
      <c r="Y28" s="16">
        <f t="shared" si="18"/>
        <v>408</v>
      </c>
      <c r="Z28" s="16">
        <f t="shared" si="18"/>
        <v>47</v>
      </c>
      <c r="AA28" s="16">
        <f t="shared" si="18"/>
        <v>72</v>
      </c>
      <c r="AB28" s="16">
        <f t="shared" si="18"/>
        <v>12</v>
      </c>
      <c r="AC28" s="16">
        <f t="shared" si="18"/>
        <v>4527</v>
      </c>
      <c r="AD28" s="16">
        <f t="shared" si="18"/>
        <v>0</v>
      </c>
      <c r="AE28" s="32">
        <f t="shared" si="18"/>
        <v>0</v>
      </c>
      <c r="AF28" s="32">
        <f t="shared" si="18"/>
        <v>0</v>
      </c>
    </row>
    <row r="29" spans="2:32" ht="23.1" customHeight="1" x14ac:dyDescent="0.25">
      <c r="B29" s="23" t="s">
        <v>56</v>
      </c>
      <c r="C29" s="68">
        <v>56</v>
      </c>
      <c r="D29" s="68">
        <v>6</v>
      </c>
      <c r="E29" s="68">
        <v>5</v>
      </c>
      <c r="F29" s="68">
        <v>32</v>
      </c>
      <c r="G29" s="68">
        <v>0</v>
      </c>
      <c r="H29" s="68">
        <v>0</v>
      </c>
      <c r="I29" s="68">
        <v>16</v>
      </c>
      <c r="J29" s="68">
        <v>0</v>
      </c>
      <c r="K29" s="68">
        <v>4</v>
      </c>
      <c r="L29" s="68">
        <v>0</v>
      </c>
      <c r="M29" s="68">
        <v>93</v>
      </c>
      <c r="N29" s="68">
        <v>0</v>
      </c>
      <c r="O29" s="68">
        <v>0</v>
      </c>
      <c r="P29" s="68">
        <v>0</v>
      </c>
      <c r="R29"/>
      <c r="S29" s="20"/>
      <c r="T29" s="19"/>
    </row>
    <row r="30" spans="2:32" ht="23.1" customHeight="1" x14ac:dyDescent="0.25">
      <c r="B30" s="23" t="s">
        <v>57</v>
      </c>
      <c r="C30" s="68">
        <v>62</v>
      </c>
      <c r="D30" s="68">
        <v>11</v>
      </c>
      <c r="E30" s="68">
        <v>7</v>
      </c>
      <c r="F30" s="68">
        <v>39</v>
      </c>
      <c r="G30" s="68">
        <v>0</v>
      </c>
      <c r="H30" s="68">
        <v>1</v>
      </c>
      <c r="I30" s="68">
        <v>13</v>
      </c>
      <c r="J30" s="68">
        <v>1</v>
      </c>
      <c r="K30" s="68">
        <v>3</v>
      </c>
      <c r="L30" s="68">
        <v>0</v>
      </c>
      <c r="M30" s="68">
        <v>100</v>
      </c>
      <c r="N30" s="68">
        <v>0</v>
      </c>
      <c r="O30" s="68">
        <v>0</v>
      </c>
      <c r="P30" s="68">
        <v>0</v>
      </c>
      <c r="R30"/>
      <c r="S30" s="19"/>
      <c r="T30" s="19"/>
    </row>
    <row r="31" spans="2:32" ht="23.1" customHeight="1" x14ac:dyDescent="0.25">
      <c r="B31" s="24" t="s">
        <v>58</v>
      </c>
      <c r="C31" s="68">
        <v>44</v>
      </c>
      <c r="D31" s="68">
        <v>17</v>
      </c>
      <c r="E31" s="68">
        <v>6</v>
      </c>
      <c r="F31" s="68">
        <v>38</v>
      </c>
      <c r="G31" s="68">
        <v>0</v>
      </c>
      <c r="H31" s="68">
        <v>0</v>
      </c>
      <c r="I31" s="68">
        <v>5</v>
      </c>
      <c r="J31" s="68">
        <v>0</v>
      </c>
      <c r="K31" s="68">
        <v>4</v>
      </c>
      <c r="L31" s="68">
        <v>0</v>
      </c>
      <c r="M31" s="68">
        <v>96</v>
      </c>
      <c r="N31" s="68">
        <v>0</v>
      </c>
      <c r="O31" s="68">
        <v>0</v>
      </c>
      <c r="P31" s="68">
        <v>0</v>
      </c>
      <c r="R31"/>
      <c r="S31" s="19"/>
      <c r="T31" s="19"/>
    </row>
    <row r="32" spans="2:32" ht="23.1" customHeight="1" x14ac:dyDescent="0.25">
      <c r="B32" s="24" t="s">
        <v>59</v>
      </c>
      <c r="C32" s="68">
        <v>46</v>
      </c>
      <c r="D32" s="68">
        <v>22</v>
      </c>
      <c r="E32" s="68">
        <v>7</v>
      </c>
      <c r="F32" s="68">
        <v>26</v>
      </c>
      <c r="G32" s="68">
        <v>0</v>
      </c>
      <c r="H32" s="68">
        <v>0</v>
      </c>
      <c r="I32" s="68">
        <v>7</v>
      </c>
      <c r="J32" s="68">
        <v>5</v>
      </c>
      <c r="K32" s="68">
        <v>1</v>
      </c>
      <c r="L32" s="68">
        <v>1</v>
      </c>
      <c r="M32" s="68">
        <v>63</v>
      </c>
      <c r="N32" s="68">
        <v>0</v>
      </c>
      <c r="O32" s="68">
        <v>0</v>
      </c>
      <c r="P32" s="68">
        <v>0</v>
      </c>
      <c r="R32"/>
      <c r="S32" s="19"/>
      <c r="T32" s="19"/>
    </row>
    <row r="33" spans="2:20" ht="23.1" customHeight="1" x14ac:dyDescent="0.25">
      <c r="B33" s="23" t="s">
        <v>60</v>
      </c>
      <c r="C33" s="68">
        <v>43</v>
      </c>
      <c r="D33" s="68">
        <v>30</v>
      </c>
      <c r="E33" s="68">
        <v>6</v>
      </c>
      <c r="F33" s="68">
        <v>36</v>
      </c>
      <c r="G33" s="68">
        <v>0</v>
      </c>
      <c r="H33" s="68">
        <v>0</v>
      </c>
      <c r="I33" s="68">
        <v>6</v>
      </c>
      <c r="J33" s="68">
        <v>0</v>
      </c>
      <c r="K33" s="68">
        <v>2</v>
      </c>
      <c r="L33" s="68">
        <v>0</v>
      </c>
      <c r="M33" s="68">
        <v>50</v>
      </c>
      <c r="N33" s="68">
        <v>0</v>
      </c>
      <c r="O33" s="68">
        <v>0</v>
      </c>
      <c r="P33" s="68">
        <v>0</v>
      </c>
      <c r="R33"/>
      <c r="S33" s="19"/>
      <c r="T33" s="19"/>
    </row>
    <row r="34" spans="2:20" ht="23.1" customHeight="1" x14ac:dyDescent="0.25">
      <c r="B34" s="24" t="s">
        <v>61</v>
      </c>
      <c r="C34" s="68">
        <v>20</v>
      </c>
      <c r="D34" s="68">
        <v>8</v>
      </c>
      <c r="E34" s="68">
        <v>0</v>
      </c>
      <c r="F34" s="68">
        <v>36</v>
      </c>
      <c r="G34" s="68">
        <v>0</v>
      </c>
      <c r="H34" s="68">
        <v>0</v>
      </c>
      <c r="I34" s="68">
        <v>6</v>
      </c>
      <c r="J34" s="68">
        <v>1</v>
      </c>
      <c r="K34" s="68">
        <v>0</v>
      </c>
      <c r="L34" s="68">
        <v>0</v>
      </c>
      <c r="M34" s="68">
        <v>35</v>
      </c>
      <c r="N34" s="68">
        <v>0</v>
      </c>
      <c r="O34" s="68">
        <v>0</v>
      </c>
      <c r="P34" s="68">
        <v>0</v>
      </c>
      <c r="R34"/>
      <c r="S34" s="19"/>
      <c r="T34" s="19"/>
    </row>
    <row r="35" spans="2:20" ht="23.1" customHeight="1" x14ac:dyDescent="0.25">
      <c r="B35" s="24" t="s">
        <v>62</v>
      </c>
      <c r="C35" s="68">
        <v>27</v>
      </c>
      <c r="D35" s="68">
        <v>16</v>
      </c>
      <c r="E35" s="68">
        <v>4</v>
      </c>
      <c r="F35" s="68">
        <v>15</v>
      </c>
      <c r="G35" s="68">
        <v>0</v>
      </c>
      <c r="H35" s="68">
        <v>0</v>
      </c>
      <c r="I35" s="68">
        <v>14</v>
      </c>
      <c r="J35" s="68">
        <v>0</v>
      </c>
      <c r="K35" s="68">
        <v>2</v>
      </c>
      <c r="L35" s="68">
        <v>0</v>
      </c>
      <c r="M35" s="68">
        <v>30</v>
      </c>
      <c r="N35" s="68">
        <v>0</v>
      </c>
      <c r="O35" s="68">
        <v>0</v>
      </c>
      <c r="P35" s="68">
        <v>0</v>
      </c>
      <c r="R35"/>
      <c r="S35" s="19"/>
      <c r="T35" s="19"/>
    </row>
    <row r="36" spans="2:20" ht="23.1" customHeight="1" x14ac:dyDescent="0.25">
      <c r="B36" s="24" t="s">
        <v>63</v>
      </c>
      <c r="C36" s="68">
        <v>34</v>
      </c>
      <c r="D36" s="68">
        <v>29</v>
      </c>
      <c r="E36" s="68">
        <v>9</v>
      </c>
      <c r="F36" s="68">
        <v>19</v>
      </c>
      <c r="G36" s="68">
        <v>0</v>
      </c>
      <c r="H36" s="68">
        <v>0</v>
      </c>
      <c r="I36" s="68">
        <v>6</v>
      </c>
      <c r="J36" s="68">
        <v>2</v>
      </c>
      <c r="K36" s="68">
        <v>2</v>
      </c>
      <c r="L36" s="68">
        <v>4</v>
      </c>
      <c r="M36" s="68">
        <v>39</v>
      </c>
      <c r="N36" s="68">
        <v>0</v>
      </c>
      <c r="O36" s="68">
        <v>0</v>
      </c>
      <c r="P36" s="68">
        <v>0</v>
      </c>
      <c r="R36"/>
      <c r="S36" s="19"/>
      <c r="T36" s="19"/>
    </row>
    <row r="37" spans="2:20" ht="23.1" customHeight="1" x14ac:dyDescent="0.25">
      <c r="B37" s="23" t="s">
        <v>64</v>
      </c>
      <c r="C37" s="68">
        <v>25</v>
      </c>
      <c r="D37" s="68">
        <v>25</v>
      </c>
      <c r="E37" s="68">
        <v>6</v>
      </c>
      <c r="F37" s="68">
        <v>23</v>
      </c>
      <c r="G37" s="68">
        <v>0</v>
      </c>
      <c r="H37" s="68">
        <v>0</v>
      </c>
      <c r="I37" s="68">
        <v>2</v>
      </c>
      <c r="J37" s="68">
        <v>0</v>
      </c>
      <c r="K37" s="68">
        <v>1</v>
      </c>
      <c r="L37" s="68">
        <v>0</v>
      </c>
      <c r="M37" s="68">
        <v>40</v>
      </c>
      <c r="N37" s="68">
        <v>0</v>
      </c>
      <c r="O37" s="68">
        <v>0</v>
      </c>
      <c r="P37" s="68">
        <v>0</v>
      </c>
      <c r="R37"/>
      <c r="S37" s="19"/>
      <c r="T37" s="19"/>
    </row>
    <row r="38" spans="2:20" ht="23.1" customHeight="1" x14ac:dyDescent="0.25">
      <c r="B38" s="24" t="s">
        <v>65</v>
      </c>
      <c r="C38" s="68">
        <v>30</v>
      </c>
      <c r="D38" s="68">
        <v>24</v>
      </c>
      <c r="E38" s="68">
        <v>4</v>
      </c>
      <c r="F38" s="68">
        <v>26</v>
      </c>
      <c r="G38" s="68">
        <v>0</v>
      </c>
      <c r="H38" s="68">
        <v>0</v>
      </c>
      <c r="I38" s="68">
        <v>14</v>
      </c>
      <c r="J38" s="68">
        <v>0</v>
      </c>
      <c r="K38" s="68">
        <v>2</v>
      </c>
      <c r="L38" s="68">
        <v>0</v>
      </c>
      <c r="M38" s="68">
        <v>51</v>
      </c>
      <c r="N38" s="68">
        <v>0</v>
      </c>
      <c r="O38" s="68">
        <v>0</v>
      </c>
      <c r="P38" s="68">
        <v>0</v>
      </c>
      <c r="R38"/>
      <c r="S38" s="19"/>
      <c r="T38" s="19"/>
    </row>
    <row r="39" spans="2:20" ht="23.1" customHeight="1" x14ac:dyDescent="0.25">
      <c r="B39" s="24" t="s">
        <v>66</v>
      </c>
      <c r="C39" s="68">
        <v>40</v>
      </c>
      <c r="D39" s="68">
        <v>18</v>
      </c>
      <c r="E39" s="68">
        <v>6</v>
      </c>
      <c r="F39" s="68">
        <v>27</v>
      </c>
      <c r="G39" s="68">
        <v>0</v>
      </c>
      <c r="H39" s="68">
        <v>0</v>
      </c>
      <c r="I39" s="68">
        <v>7</v>
      </c>
      <c r="J39" s="68">
        <v>1</v>
      </c>
      <c r="K39" s="68">
        <v>1</v>
      </c>
      <c r="L39" s="68">
        <v>1</v>
      </c>
      <c r="M39" s="68">
        <v>69</v>
      </c>
      <c r="N39" s="68">
        <v>0</v>
      </c>
      <c r="O39" s="68">
        <v>0</v>
      </c>
      <c r="P39" s="68">
        <v>0</v>
      </c>
      <c r="R39"/>
      <c r="S39" s="19"/>
      <c r="T39" s="19"/>
    </row>
    <row r="40" spans="2:20" ht="23.1" customHeight="1" x14ac:dyDescent="0.25">
      <c r="B40" s="24" t="s">
        <v>67</v>
      </c>
      <c r="C40" s="68">
        <v>39</v>
      </c>
      <c r="D40" s="68">
        <v>15</v>
      </c>
      <c r="E40" s="68">
        <v>6</v>
      </c>
      <c r="F40" s="68">
        <v>26</v>
      </c>
      <c r="G40" s="68">
        <v>0</v>
      </c>
      <c r="H40" s="68">
        <v>0</v>
      </c>
      <c r="I40" s="68">
        <v>9</v>
      </c>
      <c r="J40" s="68">
        <v>0</v>
      </c>
      <c r="K40" s="68">
        <v>1</v>
      </c>
      <c r="L40" s="68">
        <v>1</v>
      </c>
      <c r="M40" s="68">
        <v>88</v>
      </c>
      <c r="N40" s="68">
        <v>0</v>
      </c>
      <c r="O40" s="68">
        <v>0</v>
      </c>
      <c r="P40" s="68">
        <v>0</v>
      </c>
      <c r="R40"/>
      <c r="S40" s="19"/>
      <c r="T40" s="19"/>
    </row>
    <row r="41" spans="2:20" ht="23.1" customHeight="1" x14ac:dyDescent="0.25">
      <c r="B41" s="23" t="s">
        <v>68</v>
      </c>
      <c r="C41" s="68">
        <v>40</v>
      </c>
      <c r="D41" s="68">
        <v>32</v>
      </c>
      <c r="E41" s="68">
        <v>5</v>
      </c>
      <c r="F41" s="68">
        <v>31</v>
      </c>
      <c r="G41" s="68">
        <v>0</v>
      </c>
      <c r="H41" s="68">
        <v>0</v>
      </c>
      <c r="I41" s="68">
        <v>9</v>
      </c>
      <c r="J41" s="68">
        <v>1</v>
      </c>
      <c r="K41" s="68">
        <v>1</v>
      </c>
      <c r="L41" s="68">
        <v>0</v>
      </c>
      <c r="M41" s="68">
        <v>107</v>
      </c>
      <c r="N41" s="68">
        <v>0</v>
      </c>
      <c r="O41" s="68">
        <v>0</v>
      </c>
      <c r="P41" s="68">
        <v>0</v>
      </c>
      <c r="R41"/>
      <c r="S41" s="19"/>
      <c r="T41" s="19"/>
    </row>
    <row r="42" spans="2:20" ht="23.1" customHeight="1" x14ac:dyDescent="0.25">
      <c r="B42" s="24" t="s">
        <v>69</v>
      </c>
      <c r="C42" s="68">
        <v>49</v>
      </c>
      <c r="D42" s="68">
        <v>24</v>
      </c>
      <c r="E42" s="68">
        <v>5</v>
      </c>
      <c r="F42" s="68">
        <v>41</v>
      </c>
      <c r="G42" s="68">
        <v>0</v>
      </c>
      <c r="H42" s="68">
        <v>0</v>
      </c>
      <c r="I42" s="68">
        <v>9</v>
      </c>
      <c r="J42" s="68">
        <v>1</v>
      </c>
      <c r="K42" s="68">
        <v>0</v>
      </c>
      <c r="L42" s="68">
        <v>0</v>
      </c>
      <c r="M42" s="68">
        <v>84</v>
      </c>
      <c r="N42" s="68">
        <v>0</v>
      </c>
      <c r="O42" s="68">
        <v>0</v>
      </c>
      <c r="P42" s="68">
        <v>0</v>
      </c>
      <c r="R42"/>
      <c r="S42" s="19"/>
      <c r="T42" s="19"/>
    </row>
    <row r="43" spans="2:20" ht="23.1" customHeight="1" x14ac:dyDescent="0.25">
      <c r="B43" s="23" t="s">
        <v>70</v>
      </c>
      <c r="C43" s="68">
        <v>27</v>
      </c>
      <c r="D43" s="68">
        <v>25</v>
      </c>
      <c r="E43" s="68">
        <v>5</v>
      </c>
      <c r="F43" s="68">
        <v>35</v>
      </c>
      <c r="G43" s="68">
        <v>0</v>
      </c>
      <c r="H43" s="68">
        <v>0</v>
      </c>
      <c r="I43" s="68">
        <v>11</v>
      </c>
      <c r="J43" s="68">
        <v>1</v>
      </c>
      <c r="K43" s="68">
        <v>2</v>
      </c>
      <c r="L43" s="68">
        <v>0</v>
      </c>
      <c r="M43" s="68">
        <v>92</v>
      </c>
      <c r="N43" s="68">
        <v>0</v>
      </c>
      <c r="O43" s="68">
        <v>0</v>
      </c>
      <c r="P43" s="68">
        <v>0</v>
      </c>
      <c r="R43"/>
      <c r="S43" s="19"/>
      <c r="T43" s="19"/>
    </row>
    <row r="44" spans="2:20" ht="23.1" customHeight="1" x14ac:dyDescent="0.25">
      <c r="B44" s="25" t="s">
        <v>71</v>
      </c>
      <c r="C44" s="68">
        <v>30</v>
      </c>
      <c r="D44" s="68">
        <v>7</v>
      </c>
      <c r="E44" s="68">
        <v>4</v>
      </c>
      <c r="F44" s="68">
        <v>26</v>
      </c>
      <c r="G44" s="68">
        <v>0</v>
      </c>
      <c r="H44" s="68">
        <v>0</v>
      </c>
      <c r="I44" s="68">
        <v>7</v>
      </c>
      <c r="J44" s="68">
        <v>3</v>
      </c>
      <c r="K44" s="68">
        <v>2</v>
      </c>
      <c r="L44" s="68">
        <v>0</v>
      </c>
      <c r="M44" s="68">
        <v>105</v>
      </c>
      <c r="N44" s="68">
        <v>0</v>
      </c>
      <c r="O44" s="68">
        <v>0</v>
      </c>
      <c r="P44" s="68">
        <v>0</v>
      </c>
      <c r="R44"/>
      <c r="S44" s="19"/>
      <c r="T44" s="19"/>
    </row>
    <row r="45" spans="2:20" ht="23.1" customHeight="1" x14ac:dyDescent="0.25">
      <c r="B45" s="23" t="s">
        <v>72</v>
      </c>
      <c r="C45" s="68">
        <v>50</v>
      </c>
      <c r="D45" s="68">
        <v>28</v>
      </c>
      <c r="E45" s="68">
        <v>5</v>
      </c>
      <c r="F45" s="68">
        <v>65</v>
      </c>
      <c r="G45" s="68">
        <v>0</v>
      </c>
      <c r="H45" s="68">
        <v>0</v>
      </c>
      <c r="I45" s="68">
        <v>9</v>
      </c>
      <c r="J45" s="68">
        <v>0</v>
      </c>
      <c r="K45" s="68">
        <v>2</v>
      </c>
      <c r="L45" s="68">
        <v>0</v>
      </c>
      <c r="M45" s="68">
        <v>94</v>
      </c>
      <c r="N45" s="68">
        <v>0</v>
      </c>
      <c r="O45" s="68">
        <v>0</v>
      </c>
      <c r="P45" s="68">
        <v>0</v>
      </c>
      <c r="R45"/>
      <c r="S45" s="19"/>
      <c r="T45" s="19"/>
    </row>
    <row r="46" spans="2:20" ht="23.1" customHeight="1" x14ac:dyDescent="0.25">
      <c r="B46" s="24" t="s">
        <v>73</v>
      </c>
      <c r="C46" s="68">
        <v>50</v>
      </c>
      <c r="D46" s="68">
        <v>35</v>
      </c>
      <c r="E46" s="68">
        <v>6</v>
      </c>
      <c r="F46" s="68">
        <v>40</v>
      </c>
      <c r="G46" s="68">
        <v>0</v>
      </c>
      <c r="H46" s="68">
        <v>0</v>
      </c>
      <c r="I46" s="68">
        <v>2</v>
      </c>
      <c r="J46" s="68">
        <v>3</v>
      </c>
      <c r="K46" s="68">
        <v>1</v>
      </c>
      <c r="L46" s="68">
        <v>0</v>
      </c>
      <c r="M46" s="68">
        <v>90</v>
      </c>
      <c r="N46" s="68">
        <v>0</v>
      </c>
      <c r="O46" s="68">
        <v>0</v>
      </c>
      <c r="P46" s="68">
        <v>0</v>
      </c>
      <c r="R46" s="19"/>
      <c r="S46" s="19"/>
      <c r="T46"/>
    </row>
    <row r="47" spans="2:20" ht="23.1" customHeight="1" x14ac:dyDescent="0.25">
      <c r="B47" s="24" t="s">
        <v>74</v>
      </c>
      <c r="C47" s="68">
        <v>60</v>
      </c>
      <c r="D47" s="68">
        <v>26</v>
      </c>
      <c r="E47" s="68">
        <v>5</v>
      </c>
      <c r="F47" s="68">
        <v>45</v>
      </c>
      <c r="G47" s="68">
        <v>0</v>
      </c>
      <c r="H47" s="68">
        <v>0</v>
      </c>
      <c r="I47" s="68">
        <v>7</v>
      </c>
      <c r="J47" s="68">
        <v>2</v>
      </c>
      <c r="K47" s="68">
        <v>0</v>
      </c>
      <c r="L47" s="68">
        <v>0</v>
      </c>
      <c r="M47" s="68">
        <v>99</v>
      </c>
      <c r="N47" s="68">
        <v>0</v>
      </c>
      <c r="O47" s="68">
        <v>0</v>
      </c>
      <c r="P47" s="68">
        <v>0</v>
      </c>
      <c r="R47" s="19"/>
      <c r="S47" s="19"/>
      <c r="T47"/>
    </row>
    <row r="48" spans="2:20" ht="23.1" customHeight="1" x14ac:dyDescent="0.25">
      <c r="B48" s="24" t="s">
        <v>75</v>
      </c>
      <c r="C48" s="68">
        <v>60</v>
      </c>
      <c r="D48" s="68">
        <v>19</v>
      </c>
      <c r="E48" s="68">
        <v>4</v>
      </c>
      <c r="F48" s="68">
        <v>40</v>
      </c>
      <c r="G48" s="68">
        <v>1</v>
      </c>
      <c r="H48" s="68">
        <v>0</v>
      </c>
      <c r="I48" s="68">
        <v>10</v>
      </c>
      <c r="J48" s="68">
        <v>0</v>
      </c>
      <c r="K48" s="68">
        <v>2</v>
      </c>
      <c r="L48" s="68">
        <v>0</v>
      </c>
      <c r="M48" s="68">
        <v>100</v>
      </c>
      <c r="N48" s="68">
        <v>0</v>
      </c>
      <c r="O48" s="68">
        <v>0</v>
      </c>
      <c r="P48" s="68">
        <v>0</v>
      </c>
      <c r="R48" s="19"/>
      <c r="S48" s="19"/>
      <c r="T48"/>
    </row>
    <row r="49" spans="2:20" ht="23.1" customHeight="1" x14ac:dyDescent="0.25">
      <c r="B49" s="23" t="s">
        <v>76</v>
      </c>
      <c r="C49" s="68">
        <v>55</v>
      </c>
      <c r="D49" s="68">
        <v>23</v>
      </c>
      <c r="E49" s="68">
        <v>7</v>
      </c>
      <c r="F49" s="68">
        <v>39</v>
      </c>
      <c r="G49" s="68">
        <v>0</v>
      </c>
      <c r="H49" s="68">
        <v>0</v>
      </c>
      <c r="I49" s="68">
        <v>9</v>
      </c>
      <c r="J49" s="68">
        <v>1</v>
      </c>
      <c r="K49" s="68">
        <v>1</v>
      </c>
      <c r="L49" s="68">
        <v>0</v>
      </c>
      <c r="M49" s="68">
        <v>130</v>
      </c>
      <c r="N49" s="68">
        <v>0</v>
      </c>
      <c r="O49" s="68">
        <v>0</v>
      </c>
      <c r="P49" s="68">
        <v>0</v>
      </c>
      <c r="R49" s="19"/>
      <c r="S49" s="19"/>
      <c r="T49"/>
    </row>
    <row r="50" spans="2:20" ht="23.1" customHeight="1" x14ac:dyDescent="0.25">
      <c r="B50" s="24" t="s">
        <v>77</v>
      </c>
      <c r="C50" s="68">
        <v>60</v>
      </c>
      <c r="D50" s="68">
        <v>28</v>
      </c>
      <c r="E50" s="68">
        <v>4</v>
      </c>
      <c r="F50" s="68">
        <v>49</v>
      </c>
      <c r="G50" s="68">
        <v>0</v>
      </c>
      <c r="H50" s="68">
        <v>0</v>
      </c>
      <c r="I50" s="68">
        <v>9</v>
      </c>
      <c r="J50" s="68">
        <v>0</v>
      </c>
      <c r="K50" s="68">
        <v>1</v>
      </c>
      <c r="L50" s="68">
        <v>0</v>
      </c>
      <c r="M50" s="68">
        <v>93</v>
      </c>
      <c r="N50" s="68">
        <v>0</v>
      </c>
      <c r="O50" s="68">
        <v>0</v>
      </c>
      <c r="P50" s="68">
        <v>0</v>
      </c>
      <c r="R50" s="19"/>
      <c r="S50" s="19"/>
      <c r="T50"/>
    </row>
    <row r="51" spans="2:20" ht="23.1" customHeight="1" x14ac:dyDescent="0.25">
      <c r="B51" s="24" t="s">
        <v>78</v>
      </c>
      <c r="C51" s="68">
        <v>0</v>
      </c>
      <c r="D51" s="68">
        <v>0</v>
      </c>
      <c r="E51" s="68">
        <v>0</v>
      </c>
      <c r="F51" s="68">
        <v>51</v>
      </c>
      <c r="G51" s="68">
        <v>3</v>
      </c>
      <c r="H51" s="68">
        <v>1</v>
      </c>
      <c r="I51" s="68">
        <v>9</v>
      </c>
      <c r="J51" s="68">
        <v>0</v>
      </c>
      <c r="K51" s="68">
        <v>2</v>
      </c>
      <c r="L51" s="68">
        <v>0</v>
      </c>
      <c r="M51" s="68">
        <v>105</v>
      </c>
      <c r="N51" s="68">
        <v>0</v>
      </c>
      <c r="O51" s="68">
        <v>0</v>
      </c>
      <c r="P51" s="68">
        <v>0</v>
      </c>
      <c r="R51" s="19"/>
      <c r="S51" s="19"/>
      <c r="T51"/>
    </row>
    <row r="52" spans="2:20" ht="23.1" customHeight="1" x14ac:dyDescent="0.25">
      <c r="B52" s="24" t="s">
        <v>79</v>
      </c>
      <c r="C52" s="68">
        <v>70</v>
      </c>
      <c r="D52" s="68">
        <v>25</v>
      </c>
      <c r="E52" s="68">
        <v>6</v>
      </c>
      <c r="F52" s="68">
        <v>57</v>
      </c>
      <c r="G52" s="68">
        <v>1</v>
      </c>
      <c r="H52" s="68">
        <v>1</v>
      </c>
      <c r="I52" s="68">
        <v>8</v>
      </c>
      <c r="J52" s="68">
        <v>1</v>
      </c>
      <c r="K52" s="68">
        <v>2</v>
      </c>
      <c r="L52" s="68">
        <v>0</v>
      </c>
      <c r="M52" s="68">
        <v>93</v>
      </c>
      <c r="N52" s="68">
        <v>0</v>
      </c>
      <c r="O52" s="68">
        <v>0</v>
      </c>
      <c r="P52" s="68">
        <v>0</v>
      </c>
      <c r="R52" s="19"/>
      <c r="S52" s="19"/>
      <c r="T52"/>
    </row>
    <row r="53" spans="2:20" ht="23.1" customHeight="1" x14ac:dyDescent="0.25">
      <c r="B53" s="23" t="s">
        <v>80</v>
      </c>
      <c r="C53" s="68">
        <v>60</v>
      </c>
      <c r="D53" s="68">
        <v>23</v>
      </c>
      <c r="E53" s="68">
        <v>2</v>
      </c>
      <c r="F53" s="68">
        <v>27</v>
      </c>
      <c r="G53" s="68">
        <v>1</v>
      </c>
      <c r="H53" s="68">
        <v>1</v>
      </c>
      <c r="I53" s="68">
        <v>14</v>
      </c>
      <c r="J53" s="68">
        <v>2</v>
      </c>
      <c r="K53" s="68">
        <v>0</v>
      </c>
      <c r="L53" s="68">
        <v>0</v>
      </c>
      <c r="M53" s="68">
        <v>137</v>
      </c>
      <c r="N53" s="68">
        <v>0</v>
      </c>
      <c r="O53" s="68">
        <v>0</v>
      </c>
      <c r="P53" s="68">
        <v>0</v>
      </c>
      <c r="R53" s="19"/>
      <c r="S53" s="19"/>
      <c r="T53"/>
    </row>
    <row r="54" spans="2:20" ht="23.1" customHeight="1" x14ac:dyDescent="0.25">
      <c r="B54" s="23" t="s">
        <v>81</v>
      </c>
      <c r="C54" s="68">
        <v>60</v>
      </c>
      <c r="D54" s="68">
        <v>36</v>
      </c>
      <c r="E54" s="68">
        <v>12</v>
      </c>
      <c r="F54" s="68">
        <v>42</v>
      </c>
      <c r="G54" s="68">
        <v>0</v>
      </c>
      <c r="H54" s="68">
        <v>0</v>
      </c>
      <c r="I54" s="68">
        <v>14</v>
      </c>
      <c r="J54" s="68">
        <v>0</v>
      </c>
      <c r="K54" s="68">
        <v>1</v>
      </c>
      <c r="L54" s="68">
        <v>0</v>
      </c>
      <c r="M54" s="68">
        <v>106</v>
      </c>
      <c r="N54" s="68">
        <v>0</v>
      </c>
      <c r="O54" s="68">
        <v>0</v>
      </c>
      <c r="P54" s="68">
        <v>0</v>
      </c>
      <c r="R54" s="19"/>
      <c r="S54" s="19"/>
      <c r="T54"/>
    </row>
    <row r="55" spans="2:20" ht="23.1" customHeight="1" x14ac:dyDescent="0.25">
      <c r="B55" s="23" t="s">
        <v>82</v>
      </c>
      <c r="C55" s="68">
        <v>26</v>
      </c>
      <c r="D55" s="68">
        <v>13</v>
      </c>
      <c r="E55" s="68">
        <v>9</v>
      </c>
      <c r="F55" s="68">
        <v>43</v>
      </c>
      <c r="G55" s="68">
        <v>0</v>
      </c>
      <c r="H55" s="68">
        <v>0</v>
      </c>
      <c r="I55" s="68">
        <v>13</v>
      </c>
      <c r="J55" s="68">
        <v>3</v>
      </c>
      <c r="K55" s="68">
        <v>2</v>
      </c>
      <c r="L55" s="68">
        <v>1</v>
      </c>
      <c r="M55" s="68">
        <v>115</v>
      </c>
      <c r="N55" s="68">
        <v>0</v>
      </c>
      <c r="O55" s="68">
        <v>0</v>
      </c>
      <c r="P55" s="68">
        <v>0</v>
      </c>
      <c r="R55" s="19"/>
      <c r="S55" s="19"/>
      <c r="T55"/>
    </row>
    <row r="56" spans="2:20" ht="23.1" customHeight="1" x14ac:dyDescent="0.25">
      <c r="B56" s="23" t="s">
        <v>83</v>
      </c>
      <c r="C56" s="68">
        <v>28</v>
      </c>
      <c r="D56" s="68">
        <v>27</v>
      </c>
      <c r="E56" s="68">
        <v>11</v>
      </c>
      <c r="F56" s="68">
        <v>30</v>
      </c>
      <c r="G56" s="68">
        <v>0</v>
      </c>
      <c r="H56" s="68">
        <v>0</v>
      </c>
      <c r="I56" s="68">
        <v>8</v>
      </c>
      <c r="J56" s="68">
        <v>3</v>
      </c>
      <c r="K56" s="68">
        <v>2</v>
      </c>
      <c r="L56" s="68">
        <v>0</v>
      </c>
      <c r="M56" s="68">
        <v>111</v>
      </c>
      <c r="N56" s="68">
        <v>0</v>
      </c>
      <c r="O56" s="68">
        <v>0</v>
      </c>
      <c r="P56" s="68">
        <v>0</v>
      </c>
      <c r="R56" s="19"/>
      <c r="S56" s="19"/>
      <c r="T56"/>
    </row>
    <row r="57" spans="2:20" ht="23.1" customHeight="1" x14ac:dyDescent="0.25">
      <c r="B57" s="23" t="s">
        <v>84</v>
      </c>
      <c r="C57" s="68">
        <v>32</v>
      </c>
      <c r="D57" s="68">
        <v>30</v>
      </c>
      <c r="E57" s="68">
        <v>15</v>
      </c>
      <c r="F57" s="68">
        <v>45</v>
      </c>
      <c r="G57" s="68">
        <v>0</v>
      </c>
      <c r="H57" s="68">
        <v>0</v>
      </c>
      <c r="I57" s="68">
        <v>8</v>
      </c>
      <c r="J57" s="68">
        <v>3</v>
      </c>
      <c r="K57" s="68">
        <v>2</v>
      </c>
      <c r="L57" s="68">
        <v>0</v>
      </c>
      <c r="M57" s="68">
        <v>91</v>
      </c>
      <c r="N57" s="68">
        <v>0</v>
      </c>
      <c r="O57" s="68">
        <v>0</v>
      </c>
      <c r="P57" s="68">
        <v>0</v>
      </c>
      <c r="R57" s="19"/>
      <c r="S57" s="19"/>
      <c r="T57"/>
    </row>
    <row r="58" spans="2:20" ht="23.1" customHeight="1" x14ac:dyDescent="0.25">
      <c r="B58" s="66" t="s">
        <v>18</v>
      </c>
      <c r="C58" s="16">
        <f t="shared" ref="C58:P58" si="19">SUM(C10:C57)</f>
        <v>2046</v>
      </c>
      <c r="D58" s="16">
        <f t="shared" si="19"/>
        <v>863</v>
      </c>
      <c r="E58" s="16">
        <f t="shared" si="19"/>
        <v>234</v>
      </c>
      <c r="F58" s="16">
        <f t="shared" si="19"/>
        <v>1742</v>
      </c>
      <c r="G58" s="16">
        <f t="shared" si="19"/>
        <v>12</v>
      </c>
      <c r="H58" s="16">
        <f t="shared" si="19"/>
        <v>7</v>
      </c>
      <c r="I58" s="16">
        <f t="shared" si="19"/>
        <v>408</v>
      </c>
      <c r="J58" s="16">
        <f t="shared" si="19"/>
        <v>47</v>
      </c>
      <c r="K58" s="16">
        <f t="shared" si="19"/>
        <v>72</v>
      </c>
      <c r="L58" s="16">
        <f t="shared" si="19"/>
        <v>12</v>
      </c>
      <c r="M58" s="16">
        <f t="shared" si="19"/>
        <v>4527</v>
      </c>
      <c r="N58" s="16">
        <f t="shared" si="19"/>
        <v>0</v>
      </c>
      <c r="O58" s="16">
        <f t="shared" si="19"/>
        <v>0</v>
      </c>
      <c r="P58" s="16">
        <f t="shared" si="19"/>
        <v>0</v>
      </c>
      <c r="R58" s="19"/>
      <c r="S58" s="19"/>
      <c r="T58"/>
    </row>
    <row r="59" spans="2:20" ht="23.1" customHeight="1" x14ac:dyDescent="0.25">
      <c r="B59" s="66" t="s">
        <v>93</v>
      </c>
      <c r="C59" s="43" t="e">
        <f t="shared" ref="C59:N59" si="20">C58/$P$58</f>
        <v>#DIV/0!</v>
      </c>
      <c r="D59" s="43" t="e">
        <f t="shared" si="20"/>
        <v>#DIV/0!</v>
      </c>
      <c r="E59" s="43" t="e">
        <f t="shared" si="20"/>
        <v>#DIV/0!</v>
      </c>
      <c r="F59" s="43" t="e">
        <f t="shared" si="20"/>
        <v>#DIV/0!</v>
      </c>
      <c r="G59" s="43" t="e">
        <f t="shared" si="20"/>
        <v>#DIV/0!</v>
      </c>
      <c r="H59" s="43" t="e">
        <f t="shared" si="20"/>
        <v>#DIV/0!</v>
      </c>
      <c r="I59" s="43" t="e">
        <f t="shared" si="20"/>
        <v>#DIV/0!</v>
      </c>
      <c r="J59" s="43" t="e">
        <f t="shared" si="20"/>
        <v>#DIV/0!</v>
      </c>
      <c r="K59" s="43" t="e">
        <f t="shared" si="20"/>
        <v>#DIV/0!</v>
      </c>
      <c r="L59" s="43" t="e">
        <f t="shared" si="20"/>
        <v>#DIV/0!</v>
      </c>
      <c r="M59" s="43" t="e">
        <f t="shared" si="20"/>
        <v>#DIV/0!</v>
      </c>
      <c r="N59" s="43" t="e">
        <f t="shared" si="20"/>
        <v>#DIV/0!</v>
      </c>
      <c r="R59" s="19"/>
      <c r="S59" s="19"/>
      <c r="T59"/>
    </row>
    <row r="60" spans="2:20" ht="23.1" customHeight="1" x14ac:dyDescent="0.25">
      <c r="B60" s="67" t="s">
        <v>94</v>
      </c>
      <c r="C60" s="44" t="e">
        <f>C58/$O$58</f>
        <v>#DIV/0!</v>
      </c>
      <c r="D60" s="44" t="e">
        <f t="shared" ref="D60:N60" si="21">D58/$O$58</f>
        <v>#DIV/0!</v>
      </c>
      <c r="E60" s="44" t="e">
        <f t="shared" si="21"/>
        <v>#DIV/0!</v>
      </c>
      <c r="F60" s="44" t="e">
        <f t="shared" si="21"/>
        <v>#DIV/0!</v>
      </c>
      <c r="G60" s="44" t="e">
        <f t="shared" si="21"/>
        <v>#DIV/0!</v>
      </c>
      <c r="H60" s="44" t="e">
        <f t="shared" si="21"/>
        <v>#DIV/0!</v>
      </c>
      <c r="I60" s="44" t="e">
        <f t="shared" si="21"/>
        <v>#DIV/0!</v>
      </c>
      <c r="J60" s="44" t="e">
        <f t="shared" si="21"/>
        <v>#DIV/0!</v>
      </c>
      <c r="K60" s="44" t="e">
        <f t="shared" si="21"/>
        <v>#DIV/0!</v>
      </c>
      <c r="L60" s="44" t="e">
        <f t="shared" si="21"/>
        <v>#DIV/0!</v>
      </c>
      <c r="M60" s="44"/>
      <c r="N60" s="44" t="e">
        <f t="shared" si="21"/>
        <v>#DIV/0!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10">
    <mergeCell ref="R8:AF8"/>
    <mergeCell ref="D6:E6"/>
    <mergeCell ref="K6:L6"/>
    <mergeCell ref="K5:L5"/>
    <mergeCell ref="B1:AE1"/>
    <mergeCell ref="B2:AE2"/>
    <mergeCell ref="C3:G3"/>
    <mergeCell ref="G5:H5"/>
    <mergeCell ref="G6:H6"/>
    <mergeCell ref="D5:E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tabSelected="1" view="pageBreakPreview" topLeftCell="F34" zoomScale="60" workbookViewId="0">
      <selection activeCell="X78" sqref="X7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81" t="str">
        <f>'29.09 Gayaza-Kasangati'!C3:G3</f>
        <v>MCC - C2 - STN-69- Gayaza- ROAD</v>
      </c>
      <c r="D3" s="81"/>
      <c r="E3" s="81"/>
      <c r="F3" s="81"/>
      <c r="G3" s="8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88" t="s">
        <v>162</v>
      </c>
      <c r="E5" s="89"/>
      <c r="F5" s="41" t="s">
        <v>1</v>
      </c>
      <c r="G5" s="82" t="str">
        <f>'29.09 Kasangati-Gayaza'!G5:H5</f>
        <v>TOTAL BULAMU</v>
      </c>
      <c r="H5" s="83"/>
      <c r="I5" s="14"/>
      <c r="J5" s="2" t="s">
        <v>5</v>
      </c>
      <c r="K5" s="82" t="str">
        <f>'29.09 Kasangati-Gayaza'!K5:L5</f>
        <v>Muganga. S</v>
      </c>
      <c r="L5" s="83"/>
      <c r="M5" s="10"/>
      <c r="N5" s="10"/>
      <c r="O5" s="3"/>
      <c r="P5" s="3"/>
    </row>
    <row r="6" spans="2:32" ht="23.25" customHeight="1" x14ac:dyDescent="0.25">
      <c r="C6" s="2" t="s">
        <v>4</v>
      </c>
      <c r="D6" s="82" t="str">
        <f>'29.09 Kasangati-Gayaza'!D6:E6</f>
        <v>KASANGATI</v>
      </c>
      <c r="E6" s="83"/>
      <c r="F6" s="2" t="s">
        <v>2</v>
      </c>
      <c r="G6" s="82" t="str">
        <f>'29.09 Kasangati-Gayaza'!G6:H6</f>
        <v>GAYAZA</v>
      </c>
      <c r="H6" s="83"/>
      <c r="J6" s="2" t="s">
        <v>21</v>
      </c>
      <c r="K6" s="82" t="str">
        <f>'29.09 Kasangati-Gayaza'!K6:L6</f>
        <v>LAWRENCE</v>
      </c>
      <c r="L6" s="8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AVERAGE('23.09. KASANGATI-GAYAZA'!C10,'24.09 Kasangati-Gayaza'!C10,'25.09 Kasangati-Gayaza'!C10,'27.09 Kasangati-Gayaza'!C10,'26.09 Kasangati-Gayaza-24h'!C10,'28.09 Kasangati-Gayaza-24h'!C10,'29.09 Kasangati-Gayaza'!C10)</f>
        <v>37.142857142857146</v>
      </c>
      <c r="D10" s="49">
        <f>AVERAGE('23.09. KASANGATI-GAYAZA'!D10,'24.09 Kasangati-Gayaza'!D10,'25.09 Kasangati-Gayaza'!D10,'27.09 Kasangati-Gayaza'!D10,'26.09 Kasangati-Gayaza-24h'!D10,'28.09 Kasangati-Gayaza-24h'!D10,'29.09 Kasangati-Gayaza'!D10)</f>
        <v>10.714285714285714</v>
      </c>
      <c r="E10" s="49">
        <f>AVERAGE('23.09. KASANGATI-GAYAZA'!E10,'24.09 Kasangati-Gayaza'!E10,'25.09 Kasangati-Gayaza'!E10,'27.09 Kasangati-Gayaza'!E10,'26.09 Kasangati-Gayaza-24h'!E10,'28.09 Kasangati-Gayaza-24h'!E10,'29.09 Kasangati-Gayaza'!E10)</f>
        <v>6.4285714285714288</v>
      </c>
      <c r="F10" s="49">
        <f>AVERAGE('23.09. KASANGATI-GAYAZA'!F10,'24.09 Kasangati-Gayaza'!F10,'25.09 Kasangati-Gayaza'!F10,'27.09 Kasangati-Gayaza'!F10,'26.09 Kasangati-Gayaza-24h'!F10,'28.09 Kasangati-Gayaza-24h'!F10,'29.09 Kasangati-Gayaza'!F10)</f>
        <v>40.285714285714285</v>
      </c>
      <c r="G10" s="49">
        <f>AVERAGE('23.09. KASANGATI-GAYAZA'!G10,'24.09 Kasangati-Gayaza'!G10,'25.09 Kasangati-Gayaza'!G10,'27.09 Kasangati-Gayaza'!G10,'26.09 Kasangati-Gayaza-24h'!G10,'28.09 Kasangati-Gayaza-24h'!G10,'29.09 Kasangati-Gayaza'!G10)</f>
        <v>0.8571428571428571</v>
      </c>
      <c r="H10" s="49">
        <f>AVERAGE('23.09. KASANGATI-GAYAZA'!H10,'24.09 Kasangati-Gayaza'!H10,'25.09 Kasangati-Gayaza'!H10,'27.09 Kasangati-Gayaza'!H10,'26.09 Kasangati-Gayaza-24h'!H10,'28.09 Kasangati-Gayaza-24h'!H10,'29.09 Kasangati-Gayaza'!H10)</f>
        <v>0.2857142857142857</v>
      </c>
      <c r="I10" s="49">
        <f>AVERAGE('23.09. KASANGATI-GAYAZA'!I10,'24.09 Kasangati-Gayaza'!I10,'25.09 Kasangati-Gayaza'!I10,'27.09 Kasangati-Gayaza'!I10,'26.09 Kasangati-Gayaza-24h'!I10,'28.09 Kasangati-Gayaza-24h'!I10,'29.09 Kasangati-Gayaza'!I10)</f>
        <v>8.1428571428571423</v>
      </c>
      <c r="J10" s="49">
        <f>AVERAGE('23.09. KASANGATI-GAYAZA'!J10,'24.09 Kasangati-Gayaza'!J10,'25.09 Kasangati-Gayaza'!J10,'27.09 Kasangati-Gayaza'!J10,'26.09 Kasangati-Gayaza-24h'!J10,'28.09 Kasangati-Gayaza-24h'!J10,'29.09 Kasangati-Gayaza'!J10)</f>
        <v>4.1428571428571432</v>
      </c>
      <c r="K10" s="49">
        <f>AVERAGE('23.09. KASANGATI-GAYAZA'!K10,'24.09 Kasangati-Gayaza'!K10,'25.09 Kasangati-Gayaza'!K10,'27.09 Kasangati-Gayaza'!K10,'26.09 Kasangati-Gayaza-24h'!K10,'28.09 Kasangati-Gayaza-24h'!K10,'29.09 Kasangati-Gayaza'!K10)</f>
        <v>3</v>
      </c>
      <c r="L10" s="49">
        <f>AVERAGE('23.09. KASANGATI-GAYAZA'!L10,'24.09 Kasangati-Gayaza'!L10,'25.09 Kasangati-Gayaza'!L10,'27.09 Kasangati-Gayaza'!L10,'26.09 Kasangati-Gayaza-24h'!L10,'28.09 Kasangati-Gayaza-24h'!L10,'29.09 Kasangati-Gayaza'!L10)</f>
        <v>0</v>
      </c>
      <c r="M10" s="49">
        <f>AVERAGE('23.09. KASANGATI-GAYAZA'!M10,'24.09 Kasangati-Gayaza'!M10,'25.09 Kasangati-Gayaza'!M10,'27.09 Kasangati-Gayaza'!M10,'26.09 Kasangati-Gayaza-24h'!M10,'28.09 Kasangati-Gayaza-24h'!M10,'29.09 Kasangati-Gayaza'!M10)</f>
        <v>84.142857142857139</v>
      </c>
      <c r="N10" s="49">
        <f>AVERAGE('23.09. KASANGATI-GAYAZA'!N10,'24.09 Kasangati-Gayaza'!N10,'25.09 Kasangati-Gayaza'!N10,'27.09 Kasangati-Gayaza'!N10,'26.09 Kasangati-Gayaza-24h'!N10,'28.09 Kasangati-Gayaza-24h'!N10,'29.09 Kasangati-Gayaza'!N10)</f>
        <v>0</v>
      </c>
      <c r="O10" s="15">
        <f t="shared" ref="O10:O58" si="0">SUM(C10:L10,N10)</f>
        <v>111.00000000000001</v>
      </c>
      <c r="P10" s="15">
        <f t="shared" ref="P10:P58" si="1">SUM(C10:N10)</f>
        <v>195.14285714285717</v>
      </c>
      <c r="R10" s="1" t="s">
        <v>6</v>
      </c>
      <c r="S10" s="17">
        <f t="shared" ref="S10:AF10" si="2">SUM(C10:C13)</f>
        <v>153.42857142857144</v>
      </c>
      <c r="T10" s="17">
        <f t="shared" si="2"/>
        <v>39</v>
      </c>
      <c r="U10" s="17">
        <f t="shared" si="2"/>
        <v>28.285714285714285</v>
      </c>
      <c r="V10" s="17">
        <f t="shared" si="2"/>
        <v>163.28571428571428</v>
      </c>
      <c r="W10" s="17">
        <f t="shared" si="2"/>
        <v>3</v>
      </c>
      <c r="X10" s="17">
        <f t="shared" si="2"/>
        <v>0.71428571428571419</v>
      </c>
      <c r="Y10" s="17">
        <f t="shared" si="2"/>
        <v>32.714285714285715</v>
      </c>
      <c r="Z10" s="17">
        <f t="shared" si="2"/>
        <v>15.428571428571427</v>
      </c>
      <c r="AA10" s="17">
        <f t="shared" si="2"/>
        <v>13</v>
      </c>
      <c r="AB10" s="17">
        <f t="shared" si="2"/>
        <v>0.42857142857142855</v>
      </c>
      <c r="AC10" s="17">
        <f t="shared" si="2"/>
        <v>373</v>
      </c>
      <c r="AD10" s="17">
        <f t="shared" si="2"/>
        <v>0</v>
      </c>
      <c r="AE10" s="31">
        <f t="shared" si="2"/>
        <v>449.28571428571428</v>
      </c>
      <c r="AF10" s="31">
        <f t="shared" si="2"/>
        <v>822.28571428571433</v>
      </c>
    </row>
    <row r="11" spans="2:32" s="6" customFormat="1" ht="23.1" customHeight="1" x14ac:dyDescent="0.25">
      <c r="B11" s="23" t="s">
        <v>38</v>
      </c>
      <c r="C11" s="49">
        <f>AVERAGE('23.09. KASANGATI-GAYAZA'!C11,'24.09 Kasangati-Gayaza'!C11,'25.09 Kasangati-Gayaza'!C11,'27.09 Kasangati-Gayaza'!C11,'26.09 Kasangati-Gayaza-24h'!C11,'28.09 Kasangati-Gayaza-24h'!C11,'29.09 Kasangati-Gayaza'!C11)</f>
        <v>40.428571428571431</v>
      </c>
      <c r="D11" s="49">
        <f>AVERAGE('23.09. KASANGATI-GAYAZA'!D11,'24.09 Kasangati-Gayaza'!D11,'25.09 Kasangati-Gayaza'!D11,'27.09 Kasangati-Gayaza'!D11,'26.09 Kasangati-Gayaza-24h'!D11,'28.09 Kasangati-Gayaza-24h'!D11,'29.09 Kasangati-Gayaza'!D11)</f>
        <v>9</v>
      </c>
      <c r="E11" s="49">
        <f>AVERAGE('23.09. KASANGATI-GAYAZA'!E11,'24.09 Kasangati-Gayaza'!E11,'25.09 Kasangati-Gayaza'!E11,'27.09 Kasangati-Gayaza'!E11,'26.09 Kasangati-Gayaza-24h'!E11,'28.09 Kasangati-Gayaza-24h'!E11,'29.09 Kasangati-Gayaza'!E11)</f>
        <v>7.4285714285714288</v>
      </c>
      <c r="F11" s="49">
        <f>AVERAGE('23.09. KASANGATI-GAYAZA'!F11,'24.09 Kasangati-Gayaza'!F11,'25.09 Kasangati-Gayaza'!F11,'27.09 Kasangati-Gayaza'!F11,'26.09 Kasangati-Gayaza-24h'!F11,'28.09 Kasangati-Gayaza-24h'!F11,'29.09 Kasangati-Gayaza'!F11)</f>
        <v>38.142857142857146</v>
      </c>
      <c r="G11" s="49">
        <f>AVERAGE('23.09. KASANGATI-GAYAZA'!G11,'24.09 Kasangati-Gayaza'!G11,'25.09 Kasangati-Gayaza'!G11,'27.09 Kasangati-Gayaza'!G11,'26.09 Kasangati-Gayaza-24h'!G11,'28.09 Kasangati-Gayaza-24h'!G11,'29.09 Kasangati-Gayaza'!G11)</f>
        <v>1.1428571428571428</v>
      </c>
      <c r="H11" s="49">
        <f>AVERAGE('23.09. KASANGATI-GAYAZA'!H11,'24.09 Kasangati-Gayaza'!H11,'25.09 Kasangati-Gayaza'!H11,'27.09 Kasangati-Gayaza'!H11,'26.09 Kasangati-Gayaza-24h'!H11,'28.09 Kasangati-Gayaza-24h'!H11,'29.09 Kasangati-Gayaza'!H11)</f>
        <v>0.14285714285714285</v>
      </c>
      <c r="I11" s="49">
        <f>AVERAGE('23.09. KASANGATI-GAYAZA'!I11,'24.09 Kasangati-Gayaza'!I11,'25.09 Kasangati-Gayaza'!I11,'27.09 Kasangati-Gayaza'!I11,'26.09 Kasangati-Gayaza-24h'!I11,'28.09 Kasangati-Gayaza-24h'!I11,'29.09 Kasangati-Gayaza'!I11)</f>
        <v>8.5714285714285712</v>
      </c>
      <c r="J11" s="49">
        <f>AVERAGE('23.09. KASANGATI-GAYAZA'!J11,'24.09 Kasangati-Gayaza'!J11,'25.09 Kasangati-Gayaza'!J11,'27.09 Kasangati-Gayaza'!J11,'26.09 Kasangati-Gayaza-24h'!J11,'28.09 Kasangati-Gayaza-24h'!J11,'29.09 Kasangati-Gayaza'!J11)</f>
        <v>4</v>
      </c>
      <c r="K11" s="49">
        <f>AVERAGE('23.09. KASANGATI-GAYAZA'!K11,'24.09 Kasangati-Gayaza'!K11,'25.09 Kasangati-Gayaza'!K11,'27.09 Kasangati-Gayaza'!K11,'26.09 Kasangati-Gayaza-24h'!K11,'28.09 Kasangati-Gayaza-24h'!K11,'29.09 Kasangati-Gayaza'!K11)</f>
        <v>3.7142857142857144</v>
      </c>
      <c r="L11" s="49">
        <f>AVERAGE('23.09. KASANGATI-GAYAZA'!L11,'24.09 Kasangati-Gayaza'!L11,'25.09 Kasangati-Gayaza'!L11,'27.09 Kasangati-Gayaza'!L11,'26.09 Kasangati-Gayaza-24h'!L11,'28.09 Kasangati-Gayaza-24h'!L11,'29.09 Kasangati-Gayaza'!L11)</f>
        <v>0</v>
      </c>
      <c r="M11" s="49">
        <f>AVERAGE('23.09. KASANGATI-GAYAZA'!M11,'24.09 Kasangati-Gayaza'!M11,'25.09 Kasangati-Gayaza'!M11,'27.09 Kasangati-Gayaza'!M11,'26.09 Kasangati-Gayaza-24h'!M11,'28.09 Kasangati-Gayaza-24h'!M11,'29.09 Kasangati-Gayaza'!M11)</f>
        <v>78.142857142857139</v>
      </c>
      <c r="N11" s="49">
        <f>AVERAGE('23.09. KASANGATI-GAYAZA'!N11,'24.09 Kasangati-Gayaza'!N11,'25.09 Kasangati-Gayaza'!N11,'27.09 Kasangati-Gayaza'!N11,'26.09 Kasangati-Gayaza-24h'!N11,'28.09 Kasangati-Gayaza-24h'!N11,'29.09 Kasangati-Gayaza'!N11)</f>
        <v>0</v>
      </c>
      <c r="O11" s="15">
        <f t="shared" si="0"/>
        <v>112.57142857142856</v>
      </c>
      <c r="P11" s="15">
        <f t="shared" si="1"/>
        <v>190.71428571428569</v>
      </c>
      <c r="R11" s="1" t="s">
        <v>7</v>
      </c>
      <c r="S11" s="17">
        <f t="shared" ref="S11:AF11" si="3">SUM(C14:C17)</f>
        <v>154.71428571428572</v>
      </c>
      <c r="T11" s="17">
        <f t="shared" si="3"/>
        <v>37.857142857142861</v>
      </c>
      <c r="U11" s="17">
        <f t="shared" si="3"/>
        <v>29</v>
      </c>
      <c r="V11" s="17">
        <f t="shared" si="3"/>
        <v>164.14285714285714</v>
      </c>
      <c r="W11" s="17">
        <f t="shared" si="3"/>
        <v>2.8571428571428572</v>
      </c>
      <c r="X11" s="17">
        <f t="shared" si="3"/>
        <v>1.4285714285714284</v>
      </c>
      <c r="Y11" s="17">
        <f t="shared" si="3"/>
        <v>30.428571428571431</v>
      </c>
      <c r="Z11" s="17">
        <f t="shared" si="3"/>
        <v>9.8571428571428577</v>
      </c>
      <c r="AA11" s="17">
        <f t="shared" si="3"/>
        <v>12.571428571428571</v>
      </c>
      <c r="AB11" s="17">
        <f t="shared" si="3"/>
        <v>1</v>
      </c>
      <c r="AC11" s="17">
        <f t="shared" si="3"/>
        <v>451</v>
      </c>
      <c r="AD11" s="17">
        <f t="shared" si="3"/>
        <v>0</v>
      </c>
      <c r="AE11" s="31">
        <f t="shared" si="3"/>
        <v>443.85714285714289</v>
      </c>
      <c r="AF11" s="31">
        <f t="shared" si="3"/>
        <v>894.85714285714278</v>
      </c>
    </row>
    <row r="12" spans="2:32" ht="23.1" customHeight="1" x14ac:dyDescent="0.25">
      <c r="B12" s="23" t="s">
        <v>39</v>
      </c>
      <c r="C12" s="49">
        <f>AVERAGE('23.09. KASANGATI-GAYAZA'!C12,'24.09 Kasangati-Gayaza'!C12,'25.09 Kasangati-Gayaza'!C12,'27.09 Kasangati-Gayaza'!C12,'26.09 Kasangati-Gayaza-24h'!C12,'28.09 Kasangati-Gayaza-24h'!C12,'29.09 Kasangati-Gayaza'!C12)</f>
        <v>34.285714285714285</v>
      </c>
      <c r="D12" s="49">
        <f>AVERAGE('23.09. KASANGATI-GAYAZA'!D12,'24.09 Kasangati-Gayaza'!D12,'25.09 Kasangati-Gayaza'!D12,'27.09 Kasangati-Gayaza'!D12,'26.09 Kasangati-Gayaza-24h'!D12,'28.09 Kasangati-Gayaza-24h'!D12,'29.09 Kasangati-Gayaza'!D12)</f>
        <v>7</v>
      </c>
      <c r="E12" s="49">
        <f>AVERAGE('23.09. KASANGATI-GAYAZA'!E12,'24.09 Kasangati-Gayaza'!E12,'25.09 Kasangati-Gayaza'!E12,'27.09 Kasangati-Gayaza'!E12,'26.09 Kasangati-Gayaza-24h'!E12,'28.09 Kasangati-Gayaza-24h'!E12,'29.09 Kasangati-Gayaza'!E12)</f>
        <v>7.4285714285714288</v>
      </c>
      <c r="F12" s="49">
        <f>AVERAGE('23.09. KASANGATI-GAYAZA'!F12,'24.09 Kasangati-Gayaza'!F12,'25.09 Kasangati-Gayaza'!F12,'27.09 Kasangati-Gayaza'!F12,'26.09 Kasangati-Gayaza-24h'!F12,'28.09 Kasangati-Gayaza-24h'!F12,'29.09 Kasangati-Gayaza'!F12)</f>
        <v>43.285714285714285</v>
      </c>
      <c r="G12" s="49">
        <f>AVERAGE('23.09. KASANGATI-GAYAZA'!G12,'24.09 Kasangati-Gayaza'!G12,'25.09 Kasangati-Gayaza'!G12,'27.09 Kasangati-Gayaza'!G12,'26.09 Kasangati-Gayaza-24h'!G12,'28.09 Kasangati-Gayaza-24h'!G12,'29.09 Kasangati-Gayaza'!G12)</f>
        <v>0.2857142857142857</v>
      </c>
      <c r="H12" s="49">
        <f>AVERAGE('23.09. KASANGATI-GAYAZA'!H12,'24.09 Kasangati-Gayaza'!H12,'25.09 Kasangati-Gayaza'!H12,'27.09 Kasangati-Gayaza'!H12,'26.09 Kasangati-Gayaza-24h'!H12,'28.09 Kasangati-Gayaza-24h'!H12,'29.09 Kasangati-Gayaza'!H12)</f>
        <v>0.2857142857142857</v>
      </c>
      <c r="I12" s="49">
        <f>AVERAGE('23.09. KASANGATI-GAYAZA'!I12,'24.09 Kasangati-Gayaza'!I12,'25.09 Kasangati-Gayaza'!I12,'27.09 Kasangati-Gayaza'!I12,'26.09 Kasangati-Gayaza-24h'!I12,'28.09 Kasangati-Gayaza-24h'!I12,'29.09 Kasangati-Gayaza'!I12)</f>
        <v>7.2857142857142856</v>
      </c>
      <c r="J12" s="49">
        <f>AVERAGE('23.09. KASANGATI-GAYAZA'!J12,'24.09 Kasangati-Gayaza'!J12,'25.09 Kasangati-Gayaza'!J12,'27.09 Kasangati-Gayaza'!J12,'26.09 Kasangati-Gayaza-24h'!J12,'28.09 Kasangati-Gayaza-24h'!J12,'29.09 Kasangati-Gayaza'!J12)</f>
        <v>3.1428571428571428</v>
      </c>
      <c r="K12" s="49">
        <f>AVERAGE('23.09. KASANGATI-GAYAZA'!K12,'24.09 Kasangati-Gayaza'!K12,'25.09 Kasangati-Gayaza'!K12,'27.09 Kasangati-Gayaza'!K12,'26.09 Kasangati-Gayaza-24h'!K12,'28.09 Kasangati-Gayaza-24h'!K12,'29.09 Kasangati-Gayaza'!K12)</f>
        <v>3.2857142857142856</v>
      </c>
      <c r="L12" s="49">
        <f>AVERAGE('23.09. KASANGATI-GAYAZA'!L12,'24.09 Kasangati-Gayaza'!L12,'25.09 Kasangati-Gayaza'!L12,'27.09 Kasangati-Gayaza'!L12,'26.09 Kasangati-Gayaza-24h'!L12,'28.09 Kasangati-Gayaza-24h'!L12,'29.09 Kasangati-Gayaza'!L12)</f>
        <v>0.2857142857142857</v>
      </c>
      <c r="M12" s="49">
        <f>AVERAGE('23.09. KASANGATI-GAYAZA'!M12,'24.09 Kasangati-Gayaza'!M12,'25.09 Kasangati-Gayaza'!M12,'27.09 Kasangati-Gayaza'!M12,'26.09 Kasangati-Gayaza-24h'!M12,'28.09 Kasangati-Gayaza-24h'!M12,'29.09 Kasangati-Gayaza'!M12)</f>
        <v>99.285714285714292</v>
      </c>
      <c r="N12" s="49">
        <f>AVERAGE('23.09. KASANGATI-GAYAZA'!N12,'24.09 Kasangati-Gayaza'!N12,'25.09 Kasangati-Gayaza'!N12,'27.09 Kasangati-Gayaza'!N12,'26.09 Kasangati-Gayaza-24h'!N12,'28.09 Kasangati-Gayaza-24h'!N12,'29.09 Kasangati-Gayaza'!N12)</f>
        <v>0</v>
      </c>
      <c r="O12" s="15">
        <f t="shared" si="0"/>
        <v>106.5714285714286</v>
      </c>
      <c r="P12" s="15">
        <f t="shared" si="1"/>
        <v>205.85714285714289</v>
      </c>
      <c r="R12" s="1" t="s">
        <v>8</v>
      </c>
      <c r="S12" s="17">
        <f t="shared" ref="S12:AF12" si="4">SUM(C18:C21)</f>
        <v>163.71428571428572</v>
      </c>
      <c r="T12" s="17">
        <f t="shared" si="4"/>
        <v>41.857142857142861</v>
      </c>
      <c r="U12" s="17">
        <f t="shared" si="4"/>
        <v>30.857142857142858</v>
      </c>
      <c r="V12" s="17">
        <f t="shared" si="4"/>
        <v>176.42857142857142</v>
      </c>
      <c r="W12" s="17">
        <f t="shared" si="4"/>
        <v>2</v>
      </c>
      <c r="X12" s="17">
        <f t="shared" si="4"/>
        <v>1.1428571428571428</v>
      </c>
      <c r="Y12" s="17">
        <f t="shared" si="4"/>
        <v>41.714285714285708</v>
      </c>
      <c r="Z12" s="17">
        <f t="shared" si="4"/>
        <v>13.714285714285715</v>
      </c>
      <c r="AA12" s="17">
        <f t="shared" si="4"/>
        <v>13</v>
      </c>
      <c r="AB12" s="17">
        <f t="shared" si="4"/>
        <v>0.2857142857142857</v>
      </c>
      <c r="AC12" s="17">
        <f t="shared" si="4"/>
        <v>450.28571428571422</v>
      </c>
      <c r="AD12" s="17">
        <f t="shared" si="4"/>
        <v>0</v>
      </c>
      <c r="AE12" s="31">
        <f t="shared" si="4"/>
        <v>484.71428571428572</v>
      </c>
      <c r="AF12" s="31">
        <f t="shared" si="4"/>
        <v>935</v>
      </c>
    </row>
    <row r="13" spans="2:32" ht="23.1" customHeight="1" x14ac:dyDescent="0.25">
      <c r="B13" s="23" t="s">
        <v>40</v>
      </c>
      <c r="C13" s="49">
        <f>AVERAGE('23.09. KASANGATI-GAYAZA'!C13,'24.09 Kasangati-Gayaza'!C13,'25.09 Kasangati-Gayaza'!C13,'27.09 Kasangati-Gayaza'!C13,'26.09 Kasangati-Gayaza-24h'!C13,'28.09 Kasangati-Gayaza-24h'!C13,'29.09 Kasangati-Gayaza'!C13)</f>
        <v>41.571428571428569</v>
      </c>
      <c r="D13" s="49">
        <f>AVERAGE('23.09. KASANGATI-GAYAZA'!D13,'24.09 Kasangati-Gayaza'!D13,'25.09 Kasangati-Gayaza'!D13,'27.09 Kasangati-Gayaza'!D13,'26.09 Kasangati-Gayaza-24h'!D13,'28.09 Kasangati-Gayaza-24h'!D13,'29.09 Kasangati-Gayaza'!D13)</f>
        <v>12.285714285714286</v>
      </c>
      <c r="E13" s="49">
        <f>AVERAGE('23.09. KASANGATI-GAYAZA'!E13,'24.09 Kasangati-Gayaza'!E13,'25.09 Kasangati-Gayaza'!E13,'27.09 Kasangati-Gayaza'!E13,'26.09 Kasangati-Gayaza-24h'!E13,'28.09 Kasangati-Gayaza-24h'!E13,'29.09 Kasangati-Gayaza'!E13)</f>
        <v>7</v>
      </c>
      <c r="F13" s="49">
        <f>AVERAGE('23.09. KASANGATI-GAYAZA'!F13,'24.09 Kasangati-Gayaza'!F13,'25.09 Kasangati-Gayaza'!F13,'27.09 Kasangati-Gayaza'!F13,'26.09 Kasangati-Gayaza-24h'!F13,'28.09 Kasangati-Gayaza-24h'!F13,'29.09 Kasangati-Gayaza'!F13)</f>
        <v>41.571428571428569</v>
      </c>
      <c r="G13" s="49">
        <f>AVERAGE('23.09. KASANGATI-GAYAZA'!G13,'24.09 Kasangati-Gayaza'!G13,'25.09 Kasangati-Gayaza'!G13,'27.09 Kasangati-Gayaza'!G13,'26.09 Kasangati-Gayaza-24h'!G13,'28.09 Kasangati-Gayaza-24h'!G13,'29.09 Kasangati-Gayaza'!G13)</f>
        <v>0.7142857142857143</v>
      </c>
      <c r="H13" s="49">
        <f>AVERAGE('23.09. KASANGATI-GAYAZA'!H13,'24.09 Kasangati-Gayaza'!H13,'25.09 Kasangati-Gayaza'!H13,'27.09 Kasangati-Gayaza'!H13,'26.09 Kasangati-Gayaza-24h'!H13,'28.09 Kasangati-Gayaza-24h'!H13,'29.09 Kasangati-Gayaza'!H13)</f>
        <v>0</v>
      </c>
      <c r="I13" s="49">
        <f>AVERAGE('23.09. KASANGATI-GAYAZA'!I13,'24.09 Kasangati-Gayaza'!I13,'25.09 Kasangati-Gayaza'!I13,'27.09 Kasangati-Gayaza'!I13,'26.09 Kasangati-Gayaza-24h'!I13,'28.09 Kasangati-Gayaza-24h'!I13,'29.09 Kasangati-Gayaza'!I13)</f>
        <v>8.7142857142857135</v>
      </c>
      <c r="J13" s="49">
        <f>AVERAGE('23.09. KASANGATI-GAYAZA'!J13,'24.09 Kasangati-Gayaza'!J13,'25.09 Kasangati-Gayaza'!J13,'27.09 Kasangati-Gayaza'!J13,'26.09 Kasangati-Gayaza-24h'!J13,'28.09 Kasangati-Gayaza-24h'!J13,'29.09 Kasangati-Gayaza'!J13)</f>
        <v>4.1428571428571432</v>
      </c>
      <c r="K13" s="49">
        <f>AVERAGE('23.09. KASANGATI-GAYAZA'!K13,'24.09 Kasangati-Gayaza'!K13,'25.09 Kasangati-Gayaza'!K13,'27.09 Kasangati-Gayaza'!K13,'26.09 Kasangati-Gayaza-24h'!K13,'28.09 Kasangati-Gayaza-24h'!K13,'29.09 Kasangati-Gayaza'!K13)</f>
        <v>3</v>
      </c>
      <c r="L13" s="49">
        <f>AVERAGE('23.09. KASANGATI-GAYAZA'!L13,'24.09 Kasangati-Gayaza'!L13,'25.09 Kasangati-Gayaza'!L13,'27.09 Kasangati-Gayaza'!L13,'26.09 Kasangati-Gayaza-24h'!L13,'28.09 Kasangati-Gayaza-24h'!L13,'29.09 Kasangati-Gayaza'!L13)</f>
        <v>0.14285714285714285</v>
      </c>
      <c r="M13" s="49">
        <f>AVERAGE('23.09. KASANGATI-GAYAZA'!M13,'24.09 Kasangati-Gayaza'!M13,'25.09 Kasangati-Gayaza'!M13,'27.09 Kasangati-Gayaza'!M13,'26.09 Kasangati-Gayaza-24h'!M13,'28.09 Kasangati-Gayaza-24h'!M13,'29.09 Kasangati-Gayaza'!M13)</f>
        <v>111.42857142857143</v>
      </c>
      <c r="N13" s="49">
        <f>AVERAGE('23.09. KASANGATI-GAYAZA'!N13,'24.09 Kasangati-Gayaza'!N13,'25.09 Kasangati-Gayaza'!N13,'27.09 Kasangati-Gayaza'!N13,'26.09 Kasangati-Gayaza-24h'!N13,'28.09 Kasangati-Gayaza-24h'!N13,'29.09 Kasangati-Gayaza'!N13)</f>
        <v>0</v>
      </c>
      <c r="O13" s="15">
        <f t="shared" si="0"/>
        <v>119.14285714285711</v>
      </c>
      <c r="P13" s="15">
        <f t="shared" si="1"/>
        <v>230.57142857142856</v>
      </c>
      <c r="R13" s="1" t="s">
        <v>9</v>
      </c>
      <c r="S13" s="17">
        <f t="shared" ref="S13:AF13" si="5">SUM(C22:C25)</f>
        <v>189.28571428571428</v>
      </c>
      <c r="T13" s="17">
        <f t="shared" si="5"/>
        <v>45</v>
      </c>
      <c r="U13" s="17">
        <f t="shared" si="5"/>
        <v>32.857142857142861</v>
      </c>
      <c r="V13" s="17">
        <f t="shared" si="5"/>
        <v>198.85714285714286</v>
      </c>
      <c r="W13" s="17">
        <f t="shared" si="5"/>
        <v>2.4285714285714284</v>
      </c>
      <c r="X13" s="17">
        <f t="shared" si="5"/>
        <v>1.4285714285714284</v>
      </c>
      <c r="Y13" s="17">
        <f t="shared" si="5"/>
        <v>42</v>
      </c>
      <c r="Z13" s="17">
        <f t="shared" si="5"/>
        <v>11.857142857142858</v>
      </c>
      <c r="AA13" s="17">
        <f t="shared" si="5"/>
        <v>12.571428571428573</v>
      </c>
      <c r="AB13" s="17">
        <f t="shared" si="5"/>
        <v>0.42857142857142855</v>
      </c>
      <c r="AC13" s="17">
        <f t="shared" si="5"/>
        <v>438.85714285714289</v>
      </c>
      <c r="AD13" s="17">
        <f t="shared" si="5"/>
        <v>0</v>
      </c>
      <c r="AE13" s="31">
        <f t="shared" si="5"/>
        <v>536.71428571428567</v>
      </c>
      <c r="AF13" s="31">
        <f t="shared" si="5"/>
        <v>975.57142857142856</v>
      </c>
    </row>
    <row r="14" spans="2:32" ht="23.1" customHeight="1" x14ac:dyDescent="0.25">
      <c r="B14" s="23" t="s">
        <v>41</v>
      </c>
      <c r="C14" s="49">
        <f>AVERAGE('23.09. KASANGATI-GAYAZA'!C14,'24.09 Kasangati-Gayaza'!C14,'25.09 Kasangati-Gayaza'!C14,'27.09 Kasangati-Gayaza'!C14,'26.09 Kasangati-Gayaza-24h'!C14,'28.09 Kasangati-Gayaza-24h'!C14,'29.09 Kasangati-Gayaza'!C14)</f>
        <v>36.285714285714285</v>
      </c>
      <c r="D14" s="49">
        <f>AVERAGE('23.09. KASANGATI-GAYAZA'!D14,'24.09 Kasangati-Gayaza'!D14,'25.09 Kasangati-Gayaza'!D14,'27.09 Kasangati-Gayaza'!D14,'26.09 Kasangati-Gayaza-24h'!D14,'28.09 Kasangati-Gayaza-24h'!D14,'29.09 Kasangati-Gayaza'!D14)</f>
        <v>6.2857142857142856</v>
      </c>
      <c r="E14" s="49">
        <f>AVERAGE('23.09. KASANGATI-GAYAZA'!E14,'24.09 Kasangati-Gayaza'!E14,'25.09 Kasangati-Gayaza'!E14,'27.09 Kasangati-Gayaza'!E14,'26.09 Kasangati-Gayaza-24h'!E14,'28.09 Kasangati-Gayaza-24h'!E14,'29.09 Kasangati-Gayaza'!E14)</f>
        <v>6.4285714285714288</v>
      </c>
      <c r="F14" s="49">
        <f>AVERAGE('23.09. KASANGATI-GAYAZA'!F14,'24.09 Kasangati-Gayaza'!F14,'25.09 Kasangati-Gayaza'!F14,'27.09 Kasangati-Gayaza'!F14,'26.09 Kasangati-Gayaza-24h'!F14,'28.09 Kasangati-Gayaza-24h'!F14,'29.09 Kasangati-Gayaza'!F14)</f>
        <v>38.142857142857146</v>
      </c>
      <c r="G14" s="49">
        <f>AVERAGE('23.09. KASANGATI-GAYAZA'!G14,'24.09 Kasangati-Gayaza'!G14,'25.09 Kasangati-Gayaza'!G14,'27.09 Kasangati-Gayaza'!G14,'26.09 Kasangati-Gayaza-24h'!G14,'28.09 Kasangati-Gayaza-24h'!G14,'29.09 Kasangati-Gayaza'!G14)</f>
        <v>0.5714285714285714</v>
      </c>
      <c r="H14" s="49">
        <f>AVERAGE('23.09. KASANGATI-GAYAZA'!H14,'24.09 Kasangati-Gayaza'!H14,'25.09 Kasangati-Gayaza'!H14,'27.09 Kasangati-Gayaza'!H14,'26.09 Kasangati-Gayaza-24h'!H14,'28.09 Kasangati-Gayaza-24h'!H14,'29.09 Kasangati-Gayaza'!H14)</f>
        <v>0.5714285714285714</v>
      </c>
      <c r="I14" s="49">
        <f>AVERAGE('23.09. KASANGATI-GAYAZA'!I14,'24.09 Kasangati-Gayaza'!I14,'25.09 Kasangati-Gayaza'!I14,'27.09 Kasangati-Gayaza'!I14,'26.09 Kasangati-Gayaza-24h'!I14,'28.09 Kasangati-Gayaza-24h'!I14,'29.09 Kasangati-Gayaza'!I14)</f>
        <v>9.1428571428571423</v>
      </c>
      <c r="J14" s="49">
        <f>AVERAGE('23.09. KASANGATI-GAYAZA'!J14,'24.09 Kasangati-Gayaza'!J14,'25.09 Kasangati-Gayaza'!J14,'27.09 Kasangati-Gayaza'!J14,'26.09 Kasangati-Gayaza-24h'!J14,'28.09 Kasangati-Gayaza-24h'!J14,'29.09 Kasangati-Gayaza'!J14)</f>
        <v>2.5714285714285716</v>
      </c>
      <c r="K14" s="49">
        <f>AVERAGE('23.09. KASANGATI-GAYAZA'!K14,'24.09 Kasangati-Gayaza'!K14,'25.09 Kasangati-Gayaza'!K14,'27.09 Kasangati-Gayaza'!K14,'26.09 Kasangati-Gayaza-24h'!K14,'28.09 Kasangati-Gayaza-24h'!K14,'29.09 Kasangati-Gayaza'!K14)</f>
        <v>4.1428571428571432</v>
      </c>
      <c r="L14" s="49">
        <f>AVERAGE('23.09. KASANGATI-GAYAZA'!L14,'24.09 Kasangati-Gayaza'!L14,'25.09 Kasangati-Gayaza'!L14,'27.09 Kasangati-Gayaza'!L14,'26.09 Kasangati-Gayaza-24h'!L14,'28.09 Kasangati-Gayaza-24h'!L14,'29.09 Kasangati-Gayaza'!L14)</f>
        <v>0.2857142857142857</v>
      </c>
      <c r="M14" s="49">
        <f>AVERAGE('23.09. KASANGATI-GAYAZA'!M14,'24.09 Kasangati-Gayaza'!M14,'25.09 Kasangati-Gayaza'!M14,'27.09 Kasangati-Gayaza'!M14,'26.09 Kasangati-Gayaza-24h'!M14,'28.09 Kasangati-Gayaza-24h'!M14,'29.09 Kasangati-Gayaza'!M14)</f>
        <v>119.14285714285714</v>
      </c>
      <c r="N14" s="49">
        <f>AVERAGE('23.09. KASANGATI-GAYAZA'!N14,'24.09 Kasangati-Gayaza'!N14,'25.09 Kasangati-Gayaza'!N14,'27.09 Kasangati-Gayaza'!N14,'26.09 Kasangati-Gayaza-24h'!N14,'28.09 Kasangati-Gayaza-24h'!N14,'29.09 Kasangati-Gayaza'!N14)</f>
        <v>0</v>
      </c>
      <c r="O14" s="15">
        <f t="shared" si="0"/>
        <v>104.42857142857142</v>
      </c>
      <c r="P14" s="15">
        <f t="shared" si="1"/>
        <v>223.57142857142856</v>
      </c>
      <c r="R14" s="1" t="s">
        <v>10</v>
      </c>
      <c r="S14" s="17">
        <f t="shared" ref="S14:AF14" si="6">SUM(C26:C29)</f>
        <v>180.85714285714283</v>
      </c>
      <c r="T14" s="17">
        <f t="shared" si="6"/>
        <v>56.714285714285722</v>
      </c>
      <c r="U14" s="17">
        <f t="shared" si="6"/>
        <v>36.857142857142854</v>
      </c>
      <c r="V14" s="17">
        <f t="shared" si="6"/>
        <v>203.42857142857142</v>
      </c>
      <c r="W14" s="17">
        <f t="shared" si="6"/>
        <v>2.7142857142857144</v>
      </c>
      <c r="X14" s="17">
        <f t="shared" si="6"/>
        <v>1.857142857142857</v>
      </c>
      <c r="Y14" s="17">
        <f t="shared" si="6"/>
        <v>41.857142857142854</v>
      </c>
      <c r="Z14" s="17">
        <f t="shared" si="6"/>
        <v>15.714285714285715</v>
      </c>
      <c r="AA14" s="17">
        <f t="shared" si="6"/>
        <v>16.142857142857146</v>
      </c>
      <c r="AB14" s="17">
        <f t="shared" si="6"/>
        <v>1.1428571428571428</v>
      </c>
      <c r="AC14" s="17">
        <f t="shared" si="6"/>
        <v>407.42857142857144</v>
      </c>
      <c r="AD14" s="17">
        <f t="shared" si="6"/>
        <v>0.2857142857142857</v>
      </c>
      <c r="AE14" s="31">
        <f t="shared" si="6"/>
        <v>557.57142857142856</v>
      </c>
      <c r="AF14" s="31">
        <f t="shared" si="6"/>
        <v>965</v>
      </c>
    </row>
    <row r="15" spans="2:32" ht="23.1" customHeight="1" x14ac:dyDescent="0.25">
      <c r="B15" s="23" t="s">
        <v>42</v>
      </c>
      <c r="C15" s="49">
        <f>AVERAGE('23.09. KASANGATI-GAYAZA'!C15,'24.09 Kasangati-Gayaza'!C15,'25.09 Kasangati-Gayaza'!C15,'27.09 Kasangati-Gayaza'!C15,'26.09 Kasangati-Gayaza-24h'!C15,'28.09 Kasangati-Gayaza-24h'!C15,'29.09 Kasangati-Gayaza'!C15)</f>
        <v>38.285714285714285</v>
      </c>
      <c r="D15" s="49">
        <f>AVERAGE('23.09. KASANGATI-GAYAZA'!D15,'24.09 Kasangati-Gayaza'!D15,'25.09 Kasangati-Gayaza'!D15,'27.09 Kasangati-Gayaza'!D15,'26.09 Kasangati-Gayaza-24h'!D15,'28.09 Kasangati-Gayaza-24h'!D15,'29.09 Kasangati-Gayaza'!D15)</f>
        <v>15.714285714285714</v>
      </c>
      <c r="E15" s="49">
        <f>AVERAGE('23.09. KASANGATI-GAYAZA'!E15,'24.09 Kasangati-Gayaza'!E15,'25.09 Kasangati-Gayaza'!E15,'27.09 Kasangati-Gayaza'!E15,'26.09 Kasangati-Gayaza-24h'!E15,'28.09 Kasangati-Gayaza-24h'!E15,'29.09 Kasangati-Gayaza'!E15)</f>
        <v>7.8571428571428568</v>
      </c>
      <c r="F15" s="49">
        <f>AVERAGE('23.09. KASANGATI-GAYAZA'!F15,'24.09 Kasangati-Gayaza'!F15,'25.09 Kasangati-Gayaza'!F15,'27.09 Kasangati-Gayaza'!F15,'26.09 Kasangati-Gayaza-24h'!F15,'28.09 Kasangati-Gayaza-24h'!F15,'29.09 Kasangati-Gayaza'!F15)</f>
        <v>44.571428571428569</v>
      </c>
      <c r="G15" s="49">
        <f>AVERAGE('23.09. KASANGATI-GAYAZA'!G15,'24.09 Kasangati-Gayaza'!G15,'25.09 Kasangati-Gayaza'!G15,'27.09 Kasangati-Gayaza'!G15,'26.09 Kasangati-Gayaza-24h'!G15,'28.09 Kasangati-Gayaza-24h'!G15,'29.09 Kasangati-Gayaza'!G15)</f>
        <v>0.7142857142857143</v>
      </c>
      <c r="H15" s="49">
        <f>AVERAGE('23.09. KASANGATI-GAYAZA'!H15,'24.09 Kasangati-Gayaza'!H15,'25.09 Kasangati-Gayaza'!H15,'27.09 Kasangati-Gayaza'!H15,'26.09 Kasangati-Gayaza-24h'!H15,'28.09 Kasangati-Gayaza-24h'!H15,'29.09 Kasangati-Gayaza'!H15)</f>
        <v>0.2857142857142857</v>
      </c>
      <c r="I15" s="49">
        <f>AVERAGE('23.09. KASANGATI-GAYAZA'!I15,'24.09 Kasangati-Gayaza'!I15,'25.09 Kasangati-Gayaza'!I15,'27.09 Kasangati-Gayaza'!I15,'26.09 Kasangati-Gayaza-24h'!I15,'28.09 Kasangati-Gayaza-24h'!I15,'29.09 Kasangati-Gayaza'!I15)</f>
        <v>9</v>
      </c>
      <c r="J15" s="49">
        <f>AVERAGE('23.09. KASANGATI-GAYAZA'!J15,'24.09 Kasangati-Gayaza'!J15,'25.09 Kasangati-Gayaza'!J15,'27.09 Kasangati-Gayaza'!J15,'26.09 Kasangati-Gayaza-24h'!J15,'28.09 Kasangati-Gayaza-24h'!J15,'29.09 Kasangati-Gayaza'!J15)</f>
        <v>2</v>
      </c>
      <c r="K15" s="49">
        <f>AVERAGE('23.09. KASANGATI-GAYAZA'!K15,'24.09 Kasangati-Gayaza'!K15,'25.09 Kasangati-Gayaza'!K15,'27.09 Kasangati-Gayaza'!K15,'26.09 Kasangati-Gayaza-24h'!K15,'28.09 Kasangati-Gayaza-24h'!K15,'29.09 Kasangati-Gayaza'!K15)</f>
        <v>2</v>
      </c>
      <c r="L15" s="49">
        <f>AVERAGE('23.09. KASANGATI-GAYAZA'!L15,'24.09 Kasangati-Gayaza'!L15,'25.09 Kasangati-Gayaza'!L15,'27.09 Kasangati-Gayaza'!L15,'26.09 Kasangati-Gayaza-24h'!L15,'28.09 Kasangati-Gayaza-24h'!L15,'29.09 Kasangati-Gayaza'!L15)</f>
        <v>0</v>
      </c>
      <c r="M15" s="49">
        <f>AVERAGE('23.09. KASANGATI-GAYAZA'!M15,'24.09 Kasangati-Gayaza'!M15,'25.09 Kasangati-Gayaza'!M15,'27.09 Kasangati-Gayaza'!M15,'26.09 Kasangati-Gayaza-24h'!M15,'28.09 Kasangati-Gayaza-24h'!M15,'29.09 Kasangati-Gayaza'!M15)</f>
        <v>117.28571428571429</v>
      </c>
      <c r="N15" s="49">
        <f>AVERAGE('23.09. KASANGATI-GAYAZA'!N15,'24.09 Kasangati-Gayaza'!N15,'25.09 Kasangati-Gayaza'!N15,'27.09 Kasangati-Gayaza'!N15,'26.09 Kasangati-Gayaza-24h'!N15,'28.09 Kasangati-Gayaza-24h'!N15,'29.09 Kasangati-Gayaza'!N15)</f>
        <v>0</v>
      </c>
      <c r="O15" s="15">
        <f t="shared" si="0"/>
        <v>120.42857142857142</v>
      </c>
      <c r="P15" s="15">
        <f t="shared" si="1"/>
        <v>237.71428571428572</v>
      </c>
      <c r="R15" s="1" t="s">
        <v>11</v>
      </c>
      <c r="S15" s="17">
        <f t="shared" ref="S15:AF15" si="7">SUM(C30:C33)</f>
        <v>229.57142857142858</v>
      </c>
      <c r="T15" s="17">
        <f t="shared" si="7"/>
        <v>41.714285714285715</v>
      </c>
      <c r="U15" s="17">
        <f t="shared" si="7"/>
        <v>32.428571428571431</v>
      </c>
      <c r="V15" s="17">
        <f t="shared" si="7"/>
        <v>228.71428571428572</v>
      </c>
      <c r="W15" s="17">
        <f t="shared" si="7"/>
        <v>5.8571428571428577</v>
      </c>
      <c r="X15" s="17">
        <f t="shared" si="7"/>
        <v>1.4285714285714284</v>
      </c>
      <c r="Y15" s="17">
        <f t="shared" si="7"/>
        <v>40.285714285714292</v>
      </c>
      <c r="Z15" s="17">
        <f t="shared" si="7"/>
        <v>19.142857142857142</v>
      </c>
      <c r="AA15" s="17">
        <f t="shared" si="7"/>
        <v>12.285714285714285</v>
      </c>
      <c r="AB15" s="17">
        <f t="shared" si="7"/>
        <v>1.4285714285714284</v>
      </c>
      <c r="AC15" s="17">
        <f t="shared" si="7"/>
        <v>349.42857142857144</v>
      </c>
      <c r="AD15" s="17">
        <f t="shared" si="7"/>
        <v>0</v>
      </c>
      <c r="AE15" s="31">
        <f t="shared" si="7"/>
        <v>612.85714285714289</v>
      </c>
      <c r="AF15" s="31">
        <f t="shared" si="7"/>
        <v>962.28571428571422</v>
      </c>
    </row>
    <row r="16" spans="2:32" ht="23.1" customHeight="1" x14ac:dyDescent="0.25">
      <c r="B16" s="23" t="s">
        <v>43</v>
      </c>
      <c r="C16" s="49">
        <f>AVERAGE('23.09. KASANGATI-GAYAZA'!C16,'24.09 Kasangati-Gayaza'!C16,'25.09 Kasangati-Gayaza'!C16,'27.09 Kasangati-Gayaza'!C16,'26.09 Kasangati-Gayaza-24h'!C16,'28.09 Kasangati-Gayaza-24h'!C16,'29.09 Kasangati-Gayaza'!C16)</f>
        <v>43</v>
      </c>
      <c r="D16" s="49">
        <f>AVERAGE('23.09. KASANGATI-GAYAZA'!D16,'24.09 Kasangati-Gayaza'!D16,'25.09 Kasangati-Gayaza'!D16,'27.09 Kasangati-Gayaza'!D16,'26.09 Kasangati-Gayaza-24h'!D16,'28.09 Kasangati-Gayaza-24h'!D16,'29.09 Kasangati-Gayaza'!D16)</f>
        <v>7</v>
      </c>
      <c r="E16" s="49">
        <f>AVERAGE('23.09. KASANGATI-GAYAZA'!E16,'24.09 Kasangati-Gayaza'!E16,'25.09 Kasangati-Gayaza'!E16,'27.09 Kasangati-Gayaza'!E16,'26.09 Kasangati-Gayaza-24h'!E16,'28.09 Kasangati-Gayaza-24h'!E16,'29.09 Kasangati-Gayaza'!E16)</f>
        <v>8.1428571428571423</v>
      </c>
      <c r="F16" s="49">
        <f>AVERAGE('23.09. KASANGATI-GAYAZA'!F16,'24.09 Kasangati-Gayaza'!F16,'25.09 Kasangati-Gayaza'!F16,'27.09 Kasangati-Gayaza'!F16,'26.09 Kasangati-Gayaza-24h'!F16,'28.09 Kasangati-Gayaza-24h'!F16,'29.09 Kasangati-Gayaza'!F16)</f>
        <v>39.142857142857146</v>
      </c>
      <c r="G16" s="49">
        <f>AVERAGE('23.09. KASANGATI-GAYAZA'!G16,'24.09 Kasangati-Gayaza'!G16,'25.09 Kasangati-Gayaza'!G16,'27.09 Kasangati-Gayaza'!G16,'26.09 Kasangati-Gayaza-24h'!G16,'28.09 Kasangati-Gayaza-24h'!G16,'29.09 Kasangati-Gayaza'!G16)</f>
        <v>0.8571428571428571</v>
      </c>
      <c r="H16" s="49">
        <f>AVERAGE('23.09. KASANGATI-GAYAZA'!H16,'24.09 Kasangati-Gayaza'!H16,'25.09 Kasangati-Gayaza'!H16,'27.09 Kasangati-Gayaza'!H16,'26.09 Kasangati-Gayaza-24h'!H16,'28.09 Kasangati-Gayaza-24h'!H16,'29.09 Kasangati-Gayaza'!H16)</f>
        <v>0.2857142857142857</v>
      </c>
      <c r="I16" s="49">
        <f>AVERAGE('23.09. KASANGATI-GAYAZA'!I16,'24.09 Kasangati-Gayaza'!I16,'25.09 Kasangati-Gayaza'!I16,'27.09 Kasangati-Gayaza'!I16,'26.09 Kasangati-Gayaza-24h'!I16,'28.09 Kasangati-Gayaza-24h'!I16,'29.09 Kasangati-Gayaza'!I16)</f>
        <v>4.8571428571428568</v>
      </c>
      <c r="J16" s="49">
        <f>AVERAGE('23.09. KASANGATI-GAYAZA'!J16,'24.09 Kasangati-Gayaza'!J16,'25.09 Kasangati-Gayaza'!J16,'27.09 Kasangati-Gayaza'!J16,'26.09 Kasangati-Gayaza-24h'!J16,'28.09 Kasangati-Gayaza-24h'!J16,'29.09 Kasangati-Gayaza'!J16)</f>
        <v>2.2857142857142856</v>
      </c>
      <c r="K16" s="49">
        <f>AVERAGE('23.09. KASANGATI-GAYAZA'!K16,'24.09 Kasangati-Gayaza'!K16,'25.09 Kasangati-Gayaza'!K16,'27.09 Kasangati-Gayaza'!K16,'26.09 Kasangati-Gayaza-24h'!K16,'28.09 Kasangati-Gayaza-24h'!K16,'29.09 Kasangati-Gayaza'!K16)</f>
        <v>3.8571428571428572</v>
      </c>
      <c r="L16" s="49">
        <f>AVERAGE('23.09. KASANGATI-GAYAZA'!L16,'24.09 Kasangati-Gayaza'!L16,'25.09 Kasangati-Gayaza'!L16,'27.09 Kasangati-Gayaza'!L16,'26.09 Kasangati-Gayaza-24h'!L16,'28.09 Kasangati-Gayaza-24h'!L16,'29.09 Kasangati-Gayaza'!L16)</f>
        <v>0.14285714285714285</v>
      </c>
      <c r="M16" s="49">
        <f>AVERAGE('23.09. KASANGATI-GAYAZA'!M16,'24.09 Kasangati-Gayaza'!M16,'25.09 Kasangati-Gayaza'!M16,'27.09 Kasangati-Gayaza'!M16,'26.09 Kasangati-Gayaza-24h'!M16,'28.09 Kasangati-Gayaza-24h'!M16,'29.09 Kasangati-Gayaza'!M16)</f>
        <v>106.42857142857143</v>
      </c>
      <c r="N16" s="49">
        <f>AVERAGE('23.09. KASANGATI-GAYAZA'!N16,'24.09 Kasangati-Gayaza'!N16,'25.09 Kasangati-Gayaza'!N16,'27.09 Kasangati-Gayaza'!N16,'26.09 Kasangati-Gayaza-24h'!N16,'28.09 Kasangati-Gayaza-24h'!N16,'29.09 Kasangati-Gayaza'!N16)</f>
        <v>0</v>
      </c>
      <c r="O16" s="15">
        <f t="shared" si="0"/>
        <v>109.57142857142858</v>
      </c>
      <c r="P16" s="15">
        <f t="shared" si="1"/>
        <v>216</v>
      </c>
      <c r="R16" s="1" t="s">
        <v>12</v>
      </c>
      <c r="S16" s="17">
        <f t="shared" ref="S16:AF16" si="8">SUM(C34:C37)</f>
        <v>201.14285714285714</v>
      </c>
      <c r="T16" s="17">
        <f t="shared" si="8"/>
        <v>50.571428571428569</v>
      </c>
      <c r="U16" s="17">
        <f t="shared" si="8"/>
        <v>27.428571428571427</v>
      </c>
      <c r="V16" s="17">
        <f t="shared" si="8"/>
        <v>194</v>
      </c>
      <c r="W16" s="17">
        <f t="shared" si="8"/>
        <v>3.1428571428571428</v>
      </c>
      <c r="X16" s="17">
        <f t="shared" si="8"/>
        <v>2.5714285714285712</v>
      </c>
      <c r="Y16" s="17">
        <f t="shared" si="8"/>
        <v>39.142857142857146</v>
      </c>
      <c r="Z16" s="17">
        <f t="shared" si="8"/>
        <v>14.571428571428573</v>
      </c>
      <c r="AA16" s="17">
        <f t="shared" si="8"/>
        <v>11.571428571428573</v>
      </c>
      <c r="AB16" s="17">
        <f t="shared" si="8"/>
        <v>1.4285714285714284</v>
      </c>
      <c r="AC16" s="17">
        <f t="shared" si="8"/>
        <v>309</v>
      </c>
      <c r="AD16" s="17">
        <f t="shared" si="8"/>
        <v>0</v>
      </c>
      <c r="AE16" s="31">
        <f t="shared" si="8"/>
        <v>545.57142857142867</v>
      </c>
      <c r="AF16" s="31">
        <f t="shared" si="8"/>
        <v>854.57142857142867</v>
      </c>
    </row>
    <row r="17" spans="2:32" ht="23.1" customHeight="1" x14ac:dyDescent="0.25">
      <c r="B17" s="23" t="s">
        <v>44</v>
      </c>
      <c r="C17" s="49">
        <f>AVERAGE('23.09. KASANGATI-GAYAZA'!C17,'24.09 Kasangati-Gayaza'!C17,'25.09 Kasangati-Gayaza'!C17,'27.09 Kasangati-Gayaza'!C17,'26.09 Kasangati-Gayaza-24h'!C17,'28.09 Kasangati-Gayaza-24h'!C17,'29.09 Kasangati-Gayaza'!C17)</f>
        <v>37.142857142857146</v>
      </c>
      <c r="D17" s="49">
        <f>AVERAGE('23.09. KASANGATI-GAYAZA'!D17,'24.09 Kasangati-Gayaza'!D17,'25.09 Kasangati-Gayaza'!D17,'27.09 Kasangati-Gayaza'!D17,'26.09 Kasangati-Gayaza-24h'!D17,'28.09 Kasangati-Gayaza-24h'!D17,'29.09 Kasangati-Gayaza'!D17)</f>
        <v>8.8571428571428577</v>
      </c>
      <c r="E17" s="49">
        <f>AVERAGE('23.09. KASANGATI-GAYAZA'!E17,'24.09 Kasangati-Gayaza'!E17,'25.09 Kasangati-Gayaza'!E17,'27.09 Kasangati-Gayaza'!E17,'26.09 Kasangati-Gayaza-24h'!E17,'28.09 Kasangati-Gayaza-24h'!E17,'29.09 Kasangati-Gayaza'!E17)</f>
        <v>6.5714285714285712</v>
      </c>
      <c r="F17" s="49">
        <f>AVERAGE('23.09. KASANGATI-GAYAZA'!F17,'24.09 Kasangati-Gayaza'!F17,'25.09 Kasangati-Gayaza'!F17,'27.09 Kasangati-Gayaza'!F17,'26.09 Kasangati-Gayaza-24h'!F17,'28.09 Kasangati-Gayaza-24h'!F17,'29.09 Kasangati-Gayaza'!F17)</f>
        <v>42.285714285714285</v>
      </c>
      <c r="G17" s="49">
        <f>AVERAGE('23.09. KASANGATI-GAYAZA'!G17,'24.09 Kasangati-Gayaza'!G17,'25.09 Kasangati-Gayaza'!G17,'27.09 Kasangati-Gayaza'!G17,'26.09 Kasangati-Gayaza-24h'!G17,'28.09 Kasangati-Gayaza-24h'!G17,'29.09 Kasangati-Gayaza'!G17)</f>
        <v>0.7142857142857143</v>
      </c>
      <c r="H17" s="49">
        <f>AVERAGE('23.09. KASANGATI-GAYAZA'!H17,'24.09 Kasangati-Gayaza'!H17,'25.09 Kasangati-Gayaza'!H17,'27.09 Kasangati-Gayaza'!H17,'26.09 Kasangati-Gayaza-24h'!H17,'28.09 Kasangati-Gayaza-24h'!H17,'29.09 Kasangati-Gayaza'!H17)</f>
        <v>0.2857142857142857</v>
      </c>
      <c r="I17" s="49">
        <f>AVERAGE('23.09. KASANGATI-GAYAZA'!I17,'24.09 Kasangati-Gayaza'!I17,'25.09 Kasangati-Gayaza'!I17,'27.09 Kasangati-Gayaza'!I17,'26.09 Kasangati-Gayaza-24h'!I17,'28.09 Kasangati-Gayaza-24h'!I17,'29.09 Kasangati-Gayaza'!I17)</f>
        <v>7.4285714285714288</v>
      </c>
      <c r="J17" s="49">
        <f>AVERAGE('23.09. KASANGATI-GAYAZA'!J17,'24.09 Kasangati-Gayaza'!J17,'25.09 Kasangati-Gayaza'!J17,'27.09 Kasangati-Gayaza'!J17,'26.09 Kasangati-Gayaza-24h'!J17,'28.09 Kasangati-Gayaza-24h'!J17,'29.09 Kasangati-Gayaza'!J17)</f>
        <v>3</v>
      </c>
      <c r="K17" s="49">
        <f>AVERAGE('23.09. KASANGATI-GAYAZA'!K17,'24.09 Kasangati-Gayaza'!K17,'25.09 Kasangati-Gayaza'!K17,'27.09 Kasangati-Gayaza'!K17,'26.09 Kasangati-Gayaza-24h'!K17,'28.09 Kasangati-Gayaza-24h'!K17,'29.09 Kasangati-Gayaza'!K17)</f>
        <v>2.5714285714285716</v>
      </c>
      <c r="L17" s="49">
        <f>AVERAGE('23.09. KASANGATI-GAYAZA'!L17,'24.09 Kasangati-Gayaza'!L17,'25.09 Kasangati-Gayaza'!L17,'27.09 Kasangati-Gayaza'!L17,'26.09 Kasangati-Gayaza-24h'!L17,'28.09 Kasangati-Gayaza-24h'!L17,'29.09 Kasangati-Gayaza'!L17)</f>
        <v>0.5714285714285714</v>
      </c>
      <c r="M17" s="49">
        <f>AVERAGE('23.09. KASANGATI-GAYAZA'!M17,'24.09 Kasangati-Gayaza'!M17,'25.09 Kasangati-Gayaza'!M17,'27.09 Kasangati-Gayaza'!M17,'26.09 Kasangati-Gayaza-24h'!M17,'28.09 Kasangati-Gayaza-24h'!M17,'29.09 Kasangati-Gayaza'!M17)</f>
        <v>108.14285714285714</v>
      </c>
      <c r="N17" s="49">
        <f>AVERAGE('23.09. KASANGATI-GAYAZA'!N17,'24.09 Kasangati-Gayaza'!N17,'25.09 Kasangati-Gayaza'!N17,'27.09 Kasangati-Gayaza'!N17,'26.09 Kasangati-Gayaza-24h'!N17,'28.09 Kasangati-Gayaza-24h'!N17,'29.09 Kasangati-Gayaza'!N17)</f>
        <v>0</v>
      </c>
      <c r="O17" s="15">
        <f t="shared" si="0"/>
        <v>109.42857142857143</v>
      </c>
      <c r="P17" s="15">
        <f t="shared" si="1"/>
        <v>217.57142857142856</v>
      </c>
      <c r="R17" s="1" t="s">
        <v>13</v>
      </c>
      <c r="S17" s="17">
        <f t="shared" ref="S17:AF17" si="9">SUM(C38:C41)</f>
        <v>214.28571428571428</v>
      </c>
      <c r="T17" s="17">
        <f t="shared" si="9"/>
        <v>60.428571428571431</v>
      </c>
      <c r="U17" s="17">
        <f t="shared" si="9"/>
        <v>29.571428571428569</v>
      </c>
      <c r="V17" s="17">
        <f t="shared" si="9"/>
        <v>200.14285714285717</v>
      </c>
      <c r="W17" s="17">
        <f t="shared" si="9"/>
        <v>3.1428571428571428</v>
      </c>
      <c r="X17" s="17">
        <f t="shared" si="9"/>
        <v>3.1428571428571428</v>
      </c>
      <c r="Y17" s="17">
        <f t="shared" si="9"/>
        <v>37.714285714285715</v>
      </c>
      <c r="Z17" s="17">
        <f t="shared" si="9"/>
        <v>14</v>
      </c>
      <c r="AA17" s="17">
        <f t="shared" si="9"/>
        <v>17.714285714285715</v>
      </c>
      <c r="AB17" s="17">
        <f t="shared" si="9"/>
        <v>0.99999999999999989</v>
      </c>
      <c r="AC17" s="17">
        <f t="shared" si="9"/>
        <v>321.57142857142856</v>
      </c>
      <c r="AD17" s="17">
        <f t="shared" si="9"/>
        <v>0</v>
      </c>
      <c r="AE17" s="31">
        <f t="shared" si="9"/>
        <v>581.14285714285711</v>
      </c>
      <c r="AF17" s="31">
        <f t="shared" si="9"/>
        <v>902.71428571428578</v>
      </c>
    </row>
    <row r="18" spans="2:32" ht="23.1" customHeight="1" x14ac:dyDescent="0.25">
      <c r="B18" s="23" t="s">
        <v>45</v>
      </c>
      <c r="C18" s="49">
        <f>AVERAGE('23.09. KASANGATI-GAYAZA'!C18,'24.09 Kasangati-Gayaza'!C18,'25.09 Kasangati-Gayaza'!C18,'27.09 Kasangati-Gayaza'!C18,'26.09 Kasangati-Gayaza-24h'!C18,'28.09 Kasangati-Gayaza-24h'!C18,'29.09 Kasangati-Gayaza'!C18)</f>
        <v>43</v>
      </c>
      <c r="D18" s="49">
        <f>AVERAGE('23.09. KASANGATI-GAYAZA'!D18,'24.09 Kasangati-Gayaza'!D18,'25.09 Kasangati-Gayaza'!D18,'27.09 Kasangati-Gayaza'!D18,'26.09 Kasangati-Gayaza-24h'!D18,'28.09 Kasangati-Gayaza-24h'!D18,'29.09 Kasangati-Gayaza'!D18)</f>
        <v>8</v>
      </c>
      <c r="E18" s="49">
        <f>AVERAGE('23.09. KASANGATI-GAYAZA'!E18,'24.09 Kasangati-Gayaza'!E18,'25.09 Kasangati-Gayaza'!E18,'27.09 Kasangati-Gayaza'!E18,'26.09 Kasangati-Gayaza-24h'!E18,'28.09 Kasangati-Gayaza-24h'!E18,'29.09 Kasangati-Gayaza'!E18)</f>
        <v>7</v>
      </c>
      <c r="F18" s="49">
        <f>AVERAGE('23.09. KASANGATI-GAYAZA'!F18,'24.09 Kasangati-Gayaza'!F18,'25.09 Kasangati-Gayaza'!F18,'27.09 Kasangati-Gayaza'!F18,'26.09 Kasangati-Gayaza-24h'!F18,'28.09 Kasangati-Gayaza-24h'!F18,'29.09 Kasangati-Gayaza'!F18)</f>
        <v>41.714285714285715</v>
      </c>
      <c r="G18" s="49">
        <f>AVERAGE('23.09. KASANGATI-GAYAZA'!G18,'24.09 Kasangati-Gayaza'!G18,'25.09 Kasangati-Gayaza'!G18,'27.09 Kasangati-Gayaza'!G18,'26.09 Kasangati-Gayaza-24h'!G18,'28.09 Kasangati-Gayaza-24h'!G18,'29.09 Kasangati-Gayaza'!G18)</f>
        <v>0.2857142857142857</v>
      </c>
      <c r="H18" s="49">
        <f>AVERAGE('23.09. KASANGATI-GAYAZA'!H18,'24.09 Kasangati-Gayaza'!H18,'25.09 Kasangati-Gayaza'!H18,'27.09 Kasangati-Gayaza'!H18,'26.09 Kasangati-Gayaza-24h'!H18,'28.09 Kasangati-Gayaza-24h'!H18,'29.09 Kasangati-Gayaza'!H18)</f>
        <v>0.2857142857142857</v>
      </c>
      <c r="I18" s="49">
        <f>AVERAGE('23.09. KASANGATI-GAYAZA'!I18,'24.09 Kasangati-Gayaza'!I18,'25.09 Kasangati-Gayaza'!I18,'27.09 Kasangati-Gayaza'!I18,'26.09 Kasangati-Gayaza-24h'!I18,'28.09 Kasangati-Gayaza-24h'!I18,'29.09 Kasangati-Gayaza'!I18)</f>
        <v>12</v>
      </c>
      <c r="J18" s="49">
        <f>AVERAGE('23.09. KASANGATI-GAYAZA'!J18,'24.09 Kasangati-Gayaza'!J18,'25.09 Kasangati-Gayaza'!J18,'27.09 Kasangati-Gayaza'!J18,'26.09 Kasangati-Gayaza-24h'!J18,'28.09 Kasangati-Gayaza-24h'!J18,'29.09 Kasangati-Gayaza'!J18)</f>
        <v>3.8571428571428572</v>
      </c>
      <c r="K18" s="49">
        <f>AVERAGE('23.09. KASANGATI-GAYAZA'!K18,'24.09 Kasangati-Gayaza'!K18,'25.09 Kasangati-Gayaza'!K18,'27.09 Kasangati-Gayaza'!K18,'26.09 Kasangati-Gayaza-24h'!K18,'28.09 Kasangati-Gayaza-24h'!K18,'29.09 Kasangati-Gayaza'!K18)</f>
        <v>3.2857142857142856</v>
      </c>
      <c r="L18" s="49">
        <f>AVERAGE('23.09. KASANGATI-GAYAZA'!L18,'24.09 Kasangati-Gayaza'!L18,'25.09 Kasangati-Gayaza'!L18,'27.09 Kasangati-Gayaza'!L18,'26.09 Kasangati-Gayaza-24h'!L18,'28.09 Kasangati-Gayaza-24h'!L18,'29.09 Kasangati-Gayaza'!L18)</f>
        <v>0</v>
      </c>
      <c r="M18" s="49">
        <f>AVERAGE('23.09. KASANGATI-GAYAZA'!M18,'24.09 Kasangati-Gayaza'!M18,'25.09 Kasangati-Gayaza'!M18,'27.09 Kasangati-Gayaza'!M18,'26.09 Kasangati-Gayaza-24h'!M18,'28.09 Kasangati-Gayaza-24h'!M18,'29.09 Kasangati-Gayaza'!M18)</f>
        <v>117.14285714285714</v>
      </c>
      <c r="N18" s="49">
        <f>AVERAGE('23.09. KASANGATI-GAYAZA'!N18,'24.09 Kasangati-Gayaza'!N18,'25.09 Kasangati-Gayaza'!N18,'27.09 Kasangati-Gayaza'!N18,'26.09 Kasangati-Gayaza-24h'!N18,'28.09 Kasangati-Gayaza-24h'!N18,'29.09 Kasangati-Gayaza'!N18)</f>
        <v>0</v>
      </c>
      <c r="O18" s="15">
        <f t="shared" si="0"/>
        <v>119.42857142857146</v>
      </c>
      <c r="P18" s="15">
        <f t="shared" si="1"/>
        <v>236.57142857142861</v>
      </c>
      <c r="R18" s="1" t="s">
        <v>14</v>
      </c>
      <c r="S18" s="17">
        <f t="shared" ref="S18:AF18" si="10">SUM(C42:C45)</f>
        <v>190.57142857142858</v>
      </c>
      <c r="T18" s="17">
        <f t="shared" si="10"/>
        <v>51.428571428571431</v>
      </c>
      <c r="U18" s="17">
        <f t="shared" si="10"/>
        <v>28.857142857142854</v>
      </c>
      <c r="V18" s="17">
        <f t="shared" si="10"/>
        <v>155.42857142857142</v>
      </c>
      <c r="W18" s="17">
        <f t="shared" si="10"/>
        <v>0.42857142857142855</v>
      </c>
      <c r="X18" s="17">
        <f t="shared" si="10"/>
        <v>2.4285714285714284</v>
      </c>
      <c r="Y18" s="17">
        <f t="shared" si="10"/>
        <v>40</v>
      </c>
      <c r="Z18" s="17">
        <f t="shared" si="10"/>
        <v>14</v>
      </c>
      <c r="AA18" s="17">
        <f t="shared" si="10"/>
        <v>9</v>
      </c>
      <c r="AB18" s="17">
        <f t="shared" si="10"/>
        <v>0.71428571428571419</v>
      </c>
      <c r="AC18" s="17">
        <f t="shared" si="10"/>
        <v>322.42857142857144</v>
      </c>
      <c r="AD18" s="17">
        <f t="shared" si="10"/>
        <v>0</v>
      </c>
      <c r="AE18" s="31">
        <f t="shared" si="10"/>
        <v>492.85714285714278</v>
      </c>
      <c r="AF18" s="31">
        <f t="shared" si="10"/>
        <v>815.28571428571422</v>
      </c>
    </row>
    <row r="19" spans="2:32" ht="23.1" customHeight="1" x14ac:dyDescent="0.25">
      <c r="B19" s="23" t="s">
        <v>46</v>
      </c>
      <c r="C19" s="49">
        <f>AVERAGE('23.09. KASANGATI-GAYAZA'!C19,'24.09 Kasangati-Gayaza'!C19,'25.09 Kasangati-Gayaza'!C19,'27.09 Kasangati-Gayaza'!C19,'26.09 Kasangati-Gayaza-24h'!C19,'28.09 Kasangati-Gayaza-24h'!C19,'29.09 Kasangati-Gayaza'!C19)</f>
        <v>46.428571428571431</v>
      </c>
      <c r="D19" s="49">
        <f>AVERAGE('23.09. KASANGATI-GAYAZA'!D19,'24.09 Kasangati-Gayaza'!D19,'25.09 Kasangati-Gayaza'!D19,'27.09 Kasangati-Gayaza'!D19,'26.09 Kasangati-Gayaza-24h'!D19,'28.09 Kasangati-Gayaza-24h'!D19,'29.09 Kasangati-Gayaza'!D19)</f>
        <v>12.714285714285714</v>
      </c>
      <c r="E19" s="49">
        <f>AVERAGE('23.09. KASANGATI-GAYAZA'!E19,'24.09 Kasangati-Gayaza'!E19,'25.09 Kasangati-Gayaza'!E19,'27.09 Kasangati-Gayaza'!E19,'26.09 Kasangati-Gayaza-24h'!E19,'28.09 Kasangati-Gayaza-24h'!E19,'29.09 Kasangati-Gayaza'!E19)</f>
        <v>5.4285714285714288</v>
      </c>
      <c r="F19" s="49">
        <f>AVERAGE('23.09. KASANGATI-GAYAZA'!F19,'24.09 Kasangati-Gayaza'!F19,'25.09 Kasangati-Gayaza'!F19,'27.09 Kasangati-Gayaza'!F19,'26.09 Kasangati-Gayaza-24h'!F19,'28.09 Kasangati-Gayaza-24h'!F19,'29.09 Kasangati-Gayaza'!F19)</f>
        <v>47.714285714285715</v>
      </c>
      <c r="G19" s="49">
        <f>AVERAGE('23.09. KASANGATI-GAYAZA'!G19,'24.09 Kasangati-Gayaza'!G19,'25.09 Kasangati-Gayaza'!G19,'27.09 Kasangati-Gayaza'!G19,'26.09 Kasangati-Gayaza-24h'!G19,'28.09 Kasangati-Gayaza-24h'!G19,'29.09 Kasangati-Gayaza'!G19)</f>
        <v>0.2857142857142857</v>
      </c>
      <c r="H19" s="49">
        <f>AVERAGE('23.09. KASANGATI-GAYAZA'!H19,'24.09 Kasangati-Gayaza'!H19,'25.09 Kasangati-Gayaza'!H19,'27.09 Kasangati-Gayaza'!H19,'26.09 Kasangati-Gayaza-24h'!H19,'28.09 Kasangati-Gayaza-24h'!H19,'29.09 Kasangati-Gayaza'!H19)</f>
        <v>0.2857142857142857</v>
      </c>
      <c r="I19" s="49">
        <f>AVERAGE('23.09. KASANGATI-GAYAZA'!I19,'24.09 Kasangati-Gayaza'!I19,'25.09 Kasangati-Gayaza'!I19,'27.09 Kasangati-Gayaza'!I19,'26.09 Kasangati-Gayaza-24h'!I19,'28.09 Kasangati-Gayaza-24h'!I19,'29.09 Kasangati-Gayaza'!I19)</f>
        <v>7.5714285714285712</v>
      </c>
      <c r="J19" s="49">
        <f>AVERAGE('23.09. KASANGATI-GAYAZA'!J19,'24.09 Kasangati-Gayaza'!J19,'25.09 Kasangati-Gayaza'!J19,'27.09 Kasangati-Gayaza'!J19,'26.09 Kasangati-Gayaza-24h'!J19,'28.09 Kasangati-Gayaza-24h'!J19,'29.09 Kasangati-Gayaza'!J19)</f>
        <v>3</v>
      </c>
      <c r="K19" s="49">
        <f>AVERAGE('23.09. KASANGATI-GAYAZA'!K19,'24.09 Kasangati-Gayaza'!K19,'25.09 Kasangati-Gayaza'!K19,'27.09 Kasangati-Gayaza'!K19,'26.09 Kasangati-Gayaza-24h'!K19,'28.09 Kasangati-Gayaza-24h'!K19,'29.09 Kasangati-Gayaza'!K19)</f>
        <v>3</v>
      </c>
      <c r="L19" s="49">
        <f>AVERAGE('23.09. KASANGATI-GAYAZA'!L19,'24.09 Kasangati-Gayaza'!L19,'25.09 Kasangati-Gayaza'!L19,'27.09 Kasangati-Gayaza'!L19,'26.09 Kasangati-Gayaza-24h'!L19,'28.09 Kasangati-Gayaza-24h'!L19,'29.09 Kasangati-Gayaza'!L19)</f>
        <v>0</v>
      </c>
      <c r="M19" s="49">
        <f>AVERAGE('23.09. KASANGATI-GAYAZA'!M19,'24.09 Kasangati-Gayaza'!M19,'25.09 Kasangati-Gayaza'!M19,'27.09 Kasangati-Gayaza'!M19,'26.09 Kasangati-Gayaza-24h'!M19,'28.09 Kasangati-Gayaza-24h'!M19,'29.09 Kasangati-Gayaza'!M19)</f>
        <v>108.42857142857143</v>
      </c>
      <c r="N19" s="49">
        <f>AVERAGE('23.09. KASANGATI-GAYAZA'!N19,'24.09 Kasangati-Gayaza'!N19,'25.09 Kasangati-Gayaza'!N19,'27.09 Kasangati-Gayaza'!N19,'26.09 Kasangati-Gayaza-24h'!N19,'28.09 Kasangati-Gayaza-24h'!N19,'29.09 Kasangati-Gayaza'!N19)</f>
        <v>0</v>
      </c>
      <c r="O19" s="15">
        <f t="shared" si="0"/>
        <v>126.42857142857143</v>
      </c>
      <c r="P19" s="15">
        <f t="shared" si="1"/>
        <v>234.85714285714286</v>
      </c>
      <c r="R19" s="1" t="s">
        <v>15</v>
      </c>
      <c r="S19" s="17">
        <f t="shared" ref="S19:AF19" si="11">SUM(C46:C49)</f>
        <v>220.42857142857144</v>
      </c>
      <c r="T19" s="17">
        <f t="shared" si="11"/>
        <v>50.285714285714285</v>
      </c>
      <c r="U19" s="17">
        <f t="shared" si="11"/>
        <v>41.857142857142861</v>
      </c>
      <c r="V19" s="17">
        <f t="shared" si="11"/>
        <v>172</v>
      </c>
      <c r="W19" s="17">
        <f t="shared" si="11"/>
        <v>2.7142857142857144</v>
      </c>
      <c r="X19" s="17">
        <f t="shared" si="11"/>
        <v>4.1428571428571423</v>
      </c>
      <c r="Y19" s="17">
        <f t="shared" si="11"/>
        <v>35.142857142857139</v>
      </c>
      <c r="Z19" s="17">
        <f t="shared" si="11"/>
        <v>9.5714285714285712</v>
      </c>
      <c r="AA19" s="17">
        <f t="shared" si="11"/>
        <v>8.4285714285714288</v>
      </c>
      <c r="AB19" s="17">
        <f t="shared" si="11"/>
        <v>0.8571428571428571</v>
      </c>
      <c r="AC19" s="17">
        <f t="shared" si="11"/>
        <v>355</v>
      </c>
      <c r="AD19" s="17">
        <f t="shared" si="11"/>
        <v>0.2857142857142857</v>
      </c>
      <c r="AE19" s="31">
        <f t="shared" si="11"/>
        <v>545.71428571428567</v>
      </c>
      <c r="AF19" s="31">
        <f t="shared" si="11"/>
        <v>900.71428571428567</v>
      </c>
    </row>
    <row r="20" spans="2:32" ht="23.1" customHeight="1" x14ac:dyDescent="0.25">
      <c r="B20" s="23" t="s">
        <v>47</v>
      </c>
      <c r="C20" s="49">
        <f>AVERAGE('23.09. KASANGATI-GAYAZA'!C20,'24.09 Kasangati-Gayaza'!C20,'25.09 Kasangati-Gayaza'!C20,'27.09 Kasangati-Gayaza'!C20,'26.09 Kasangati-Gayaza-24h'!C20,'28.09 Kasangati-Gayaza-24h'!C20,'29.09 Kasangati-Gayaza'!C20)</f>
        <v>37.571428571428569</v>
      </c>
      <c r="D20" s="49">
        <f>AVERAGE('23.09. KASANGATI-GAYAZA'!D20,'24.09 Kasangati-Gayaza'!D20,'25.09 Kasangati-Gayaza'!D20,'27.09 Kasangati-Gayaza'!D20,'26.09 Kasangati-Gayaza-24h'!D20,'28.09 Kasangati-Gayaza-24h'!D20,'29.09 Kasangati-Gayaza'!D20)</f>
        <v>11.428571428571429</v>
      </c>
      <c r="E20" s="49">
        <f>AVERAGE('23.09. KASANGATI-GAYAZA'!E20,'24.09 Kasangati-Gayaza'!E20,'25.09 Kasangati-Gayaza'!E20,'27.09 Kasangati-Gayaza'!E20,'26.09 Kasangati-Gayaza-24h'!E20,'28.09 Kasangati-Gayaza-24h'!E20,'29.09 Kasangati-Gayaza'!E20)</f>
        <v>11.285714285714286</v>
      </c>
      <c r="F20" s="49">
        <f>AVERAGE('23.09. KASANGATI-GAYAZA'!F20,'24.09 Kasangati-Gayaza'!F20,'25.09 Kasangati-Gayaza'!F20,'27.09 Kasangati-Gayaza'!F20,'26.09 Kasangati-Gayaza-24h'!F20,'28.09 Kasangati-Gayaza-24h'!F20,'29.09 Kasangati-Gayaza'!F20)</f>
        <v>38.714285714285715</v>
      </c>
      <c r="G20" s="49">
        <f>AVERAGE('23.09. KASANGATI-GAYAZA'!G20,'24.09 Kasangati-Gayaza'!G20,'25.09 Kasangati-Gayaza'!G20,'27.09 Kasangati-Gayaza'!G20,'26.09 Kasangati-Gayaza-24h'!G20,'28.09 Kasangati-Gayaza-24h'!G20,'29.09 Kasangati-Gayaza'!G20)</f>
        <v>0.5714285714285714</v>
      </c>
      <c r="H20" s="49">
        <f>AVERAGE('23.09. KASANGATI-GAYAZA'!H20,'24.09 Kasangati-Gayaza'!H20,'25.09 Kasangati-Gayaza'!H20,'27.09 Kasangati-Gayaza'!H20,'26.09 Kasangati-Gayaza-24h'!H20,'28.09 Kasangati-Gayaza-24h'!H20,'29.09 Kasangati-Gayaza'!H20)</f>
        <v>0.14285714285714285</v>
      </c>
      <c r="I20" s="49">
        <f>AVERAGE('23.09. KASANGATI-GAYAZA'!I20,'24.09 Kasangati-Gayaza'!I20,'25.09 Kasangati-Gayaza'!I20,'27.09 Kasangati-Gayaza'!I20,'26.09 Kasangati-Gayaza-24h'!I20,'28.09 Kasangati-Gayaza-24h'!I20,'29.09 Kasangati-Gayaza'!I20)</f>
        <v>12</v>
      </c>
      <c r="J20" s="49">
        <f>AVERAGE('23.09. KASANGATI-GAYAZA'!J20,'24.09 Kasangati-Gayaza'!J20,'25.09 Kasangati-Gayaza'!J20,'27.09 Kasangati-Gayaza'!J20,'26.09 Kasangati-Gayaza-24h'!J20,'28.09 Kasangati-Gayaza-24h'!J20,'29.09 Kasangati-Gayaza'!J20)</f>
        <v>3.1428571428571428</v>
      </c>
      <c r="K20" s="49">
        <f>AVERAGE('23.09. KASANGATI-GAYAZA'!K20,'24.09 Kasangati-Gayaza'!K20,'25.09 Kasangati-Gayaza'!K20,'27.09 Kasangati-Gayaza'!K20,'26.09 Kasangati-Gayaza-24h'!K20,'28.09 Kasangati-Gayaza-24h'!K20,'29.09 Kasangati-Gayaza'!K20)</f>
        <v>4.2857142857142856</v>
      </c>
      <c r="L20" s="49">
        <f>AVERAGE('23.09. KASANGATI-GAYAZA'!L20,'24.09 Kasangati-Gayaza'!L20,'25.09 Kasangati-Gayaza'!L20,'27.09 Kasangati-Gayaza'!L20,'26.09 Kasangati-Gayaza-24h'!L20,'28.09 Kasangati-Gayaza-24h'!L20,'29.09 Kasangati-Gayaza'!L20)</f>
        <v>0</v>
      </c>
      <c r="M20" s="49">
        <f>AVERAGE('23.09. KASANGATI-GAYAZA'!M20,'24.09 Kasangati-Gayaza'!M20,'25.09 Kasangati-Gayaza'!M20,'27.09 Kasangati-Gayaza'!M20,'26.09 Kasangati-Gayaza-24h'!M20,'28.09 Kasangati-Gayaza-24h'!M20,'29.09 Kasangati-Gayaza'!M20)</f>
        <v>110.14285714285714</v>
      </c>
      <c r="N20" s="49">
        <f>AVERAGE('23.09. KASANGATI-GAYAZA'!N20,'24.09 Kasangati-Gayaza'!N20,'25.09 Kasangati-Gayaza'!N20,'27.09 Kasangati-Gayaza'!N20,'26.09 Kasangati-Gayaza-24h'!N20,'28.09 Kasangati-Gayaza-24h'!N20,'29.09 Kasangati-Gayaza'!N20)</f>
        <v>0</v>
      </c>
      <c r="O20" s="15">
        <f t="shared" si="0"/>
        <v>119.14285714285714</v>
      </c>
      <c r="P20" s="15">
        <f t="shared" si="1"/>
        <v>229.28571428571428</v>
      </c>
      <c r="R20" s="1" t="s">
        <v>16</v>
      </c>
      <c r="S20" s="17">
        <f t="shared" ref="S20:AF20" si="12">SUM(C50:C53)</f>
        <v>273.14285714285711</v>
      </c>
      <c r="T20" s="17">
        <f t="shared" si="12"/>
        <v>44</v>
      </c>
      <c r="U20" s="17">
        <f t="shared" si="12"/>
        <v>32.428571428571423</v>
      </c>
      <c r="V20" s="17">
        <f t="shared" si="12"/>
        <v>210.28571428571428</v>
      </c>
      <c r="W20" s="17">
        <f t="shared" si="12"/>
        <v>2.2857142857142856</v>
      </c>
      <c r="X20" s="17">
        <f t="shared" si="12"/>
        <v>3.2857142857142856</v>
      </c>
      <c r="Y20" s="17">
        <f t="shared" si="12"/>
        <v>30.285714285714288</v>
      </c>
      <c r="Z20" s="17">
        <f t="shared" si="12"/>
        <v>9</v>
      </c>
      <c r="AA20" s="17">
        <f t="shared" si="12"/>
        <v>7.4285714285714288</v>
      </c>
      <c r="AB20" s="17">
        <f t="shared" si="12"/>
        <v>0.85714285714285698</v>
      </c>
      <c r="AC20" s="17">
        <f t="shared" si="12"/>
        <v>403.85714285714289</v>
      </c>
      <c r="AD20" s="17">
        <f t="shared" si="12"/>
        <v>0</v>
      </c>
      <c r="AE20" s="31">
        <f t="shared" si="12"/>
        <v>613</v>
      </c>
      <c r="AF20" s="31">
        <f t="shared" si="12"/>
        <v>1016.8571428571429</v>
      </c>
    </row>
    <row r="21" spans="2:32" ht="23.1" customHeight="1" x14ac:dyDescent="0.25">
      <c r="B21" s="23" t="s">
        <v>48</v>
      </c>
      <c r="C21" s="49">
        <f>AVERAGE('23.09. KASANGATI-GAYAZA'!C21,'24.09 Kasangati-Gayaza'!C21,'25.09 Kasangati-Gayaza'!C21,'27.09 Kasangati-Gayaza'!C21,'26.09 Kasangati-Gayaza-24h'!C21,'28.09 Kasangati-Gayaza-24h'!C21,'29.09 Kasangati-Gayaza'!C21)</f>
        <v>36.714285714285715</v>
      </c>
      <c r="D21" s="49">
        <f>AVERAGE('23.09. KASANGATI-GAYAZA'!D21,'24.09 Kasangati-Gayaza'!D21,'25.09 Kasangati-Gayaza'!D21,'27.09 Kasangati-Gayaza'!D21,'26.09 Kasangati-Gayaza-24h'!D21,'28.09 Kasangati-Gayaza-24h'!D21,'29.09 Kasangati-Gayaza'!D21)</f>
        <v>9.7142857142857135</v>
      </c>
      <c r="E21" s="49">
        <f>AVERAGE('23.09. KASANGATI-GAYAZA'!E21,'24.09 Kasangati-Gayaza'!E21,'25.09 Kasangati-Gayaza'!E21,'27.09 Kasangati-Gayaza'!E21,'26.09 Kasangati-Gayaza-24h'!E21,'28.09 Kasangati-Gayaza-24h'!E21,'29.09 Kasangati-Gayaza'!E21)</f>
        <v>7.1428571428571432</v>
      </c>
      <c r="F21" s="49">
        <f>AVERAGE('23.09. KASANGATI-GAYAZA'!F21,'24.09 Kasangati-Gayaza'!F21,'25.09 Kasangati-Gayaza'!F21,'27.09 Kasangati-Gayaza'!F21,'26.09 Kasangati-Gayaza-24h'!F21,'28.09 Kasangati-Gayaza-24h'!F21,'29.09 Kasangati-Gayaza'!F21)</f>
        <v>48.285714285714285</v>
      </c>
      <c r="G21" s="49">
        <f>AVERAGE('23.09. KASANGATI-GAYAZA'!G21,'24.09 Kasangati-Gayaza'!G21,'25.09 Kasangati-Gayaza'!G21,'27.09 Kasangati-Gayaza'!G21,'26.09 Kasangati-Gayaza-24h'!G21,'28.09 Kasangati-Gayaza-24h'!G21,'29.09 Kasangati-Gayaza'!G21)</f>
        <v>0.8571428571428571</v>
      </c>
      <c r="H21" s="49">
        <f>AVERAGE('23.09. KASANGATI-GAYAZA'!H21,'24.09 Kasangati-Gayaza'!H21,'25.09 Kasangati-Gayaza'!H21,'27.09 Kasangati-Gayaza'!H21,'26.09 Kasangati-Gayaza-24h'!H21,'28.09 Kasangati-Gayaza-24h'!H21,'29.09 Kasangati-Gayaza'!H21)</f>
        <v>0.42857142857142855</v>
      </c>
      <c r="I21" s="49">
        <f>AVERAGE('23.09. KASANGATI-GAYAZA'!I21,'24.09 Kasangati-Gayaza'!I21,'25.09 Kasangati-Gayaza'!I21,'27.09 Kasangati-Gayaza'!I21,'26.09 Kasangati-Gayaza-24h'!I21,'28.09 Kasangati-Gayaza-24h'!I21,'29.09 Kasangati-Gayaza'!I21)</f>
        <v>10.142857142857142</v>
      </c>
      <c r="J21" s="49">
        <f>AVERAGE('23.09. KASANGATI-GAYAZA'!J21,'24.09 Kasangati-Gayaza'!J21,'25.09 Kasangati-Gayaza'!J21,'27.09 Kasangati-Gayaza'!J21,'26.09 Kasangati-Gayaza-24h'!J21,'28.09 Kasangati-Gayaza-24h'!J21,'29.09 Kasangati-Gayaza'!J21)</f>
        <v>3.7142857142857144</v>
      </c>
      <c r="K21" s="49">
        <f>AVERAGE('23.09. KASANGATI-GAYAZA'!K21,'24.09 Kasangati-Gayaza'!K21,'25.09 Kasangati-Gayaza'!K21,'27.09 Kasangati-Gayaza'!K21,'26.09 Kasangati-Gayaza-24h'!K21,'28.09 Kasangati-Gayaza-24h'!K21,'29.09 Kasangati-Gayaza'!K21)</f>
        <v>2.4285714285714284</v>
      </c>
      <c r="L21" s="49">
        <f>AVERAGE('23.09. KASANGATI-GAYAZA'!L21,'24.09 Kasangati-Gayaza'!L21,'25.09 Kasangati-Gayaza'!L21,'27.09 Kasangati-Gayaza'!L21,'26.09 Kasangati-Gayaza-24h'!L21,'28.09 Kasangati-Gayaza-24h'!L21,'29.09 Kasangati-Gayaza'!L21)</f>
        <v>0.2857142857142857</v>
      </c>
      <c r="M21" s="49">
        <f>AVERAGE('23.09. KASANGATI-GAYAZA'!M21,'24.09 Kasangati-Gayaza'!M21,'25.09 Kasangati-Gayaza'!M21,'27.09 Kasangati-Gayaza'!M21,'26.09 Kasangati-Gayaza-24h'!M21,'28.09 Kasangati-Gayaza-24h'!M21,'29.09 Kasangati-Gayaza'!M21)</f>
        <v>114.57142857142857</v>
      </c>
      <c r="N21" s="49">
        <f>AVERAGE('23.09. KASANGATI-GAYAZA'!N21,'24.09 Kasangati-Gayaza'!N21,'25.09 Kasangati-Gayaza'!N21,'27.09 Kasangati-Gayaza'!N21,'26.09 Kasangati-Gayaza-24h'!N21,'28.09 Kasangati-Gayaza-24h'!N21,'29.09 Kasangati-Gayaza'!N21)</f>
        <v>0</v>
      </c>
      <c r="O21" s="15">
        <f t="shared" si="0"/>
        <v>119.71428571428572</v>
      </c>
      <c r="P21" s="15">
        <f t="shared" si="1"/>
        <v>234.28571428571428</v>
      </c>
      <c r="R21" s="36" t="s">
        <v>20</v>
      </c>
      <c r="S21" s="34">
        <f t="shared" ref="S21:AF21" si="13">SUM(C54:C57)</f>
        <v>279.42857142857144</v>
      </c>
      <c r="T21" s="17">
        <f t="shared" si="13"/>
        <v>44.857142857142854</v>
      </c>
      <c r="U21" s="17">
        <f t="shared" si="13"/>
        <v>37.714285714285715</v>
      </c>
      <c r="V21" s="17">
        <f t="shared" si="13"/>
        <v>194.14285714285714</v>
      </c>
      <c r="W21" s="17">
        <f t="shared" si="13"/>
        <v>5.1428571428571432</v>
      </c>
      <c r="X21" s="17">
        <f t="shared" si="13"/>
        <v>2.2857142857142856</v>
      </c>
      <c r="Y21" s="17">
        <f t="shared" si="13"/>
        <v>27.714285714285715</v>
      </c>
      <c r="Z21" s="17">
        <f t="shared" si="13"/>
        <v>7.5714285714285721</v>
      </c>
      <c r="AA21" s="17">
        <f t="shared" si="13"/>
        <v>3.5714285714285712</v>
      </c>
      <c r="AB21" s="17">
        <f t="shared" si="13"/>
        <v>0.71428571428571419</v>
      </c>
      <c r="AC21" s="17">
        <f t="shared" si="13"/>
        <v>447.85714285714289</v>
      </c>
      <c r="AD21" s="17">
        <f t="shared" si="13"/>
        <v>0.14285714285714285</v>
      </c>
      <c r="AE21" s="31">
        <f t="shared" si="13"/>
        <v>603.28571428571422</v>
      </c>
      <c r="AF21" s="31">
        <f t="shared" si="13"/>
        <v>1051.1428571428569</v>
      </c>
    </row>
    <row r="22" spans="2:32" ht="23.1" customHeight="1" x14ac:dyDescent="0.25">
      <c r="B22" s="23" t="s">
        <v>49</v>
      </c>
      <c r="C22" s="49">
        <f>AVERAGE('23.09. KASANGATI-GAYAZA'!C22,'24.09 Kasangati-Gayaza'!C22,'25.09 Kasangati-Gayaza'!C22,'27.09 Kasangati-Gayaza'!C22,'26.09 Kasangati-Gayaza-24h'!C22,'28.09 Kasangati-Gayaza-24h'!C22,'29.09 Kasangati-Gayaza'!C22)</f>
        <v>42.285714285714285</v>
      </c>
      <c r="D22" s="49">
        <f>AVERAGE('23.09. KASANGATI-GAYAZA'!D22,'24.09 Kasangati-Gayaza'!D22,'25.09 Kasangati-Gayaza'!D22,'27.09 Kasangati-Gayaza'!D22,'26.09 Kasangati-Gayaza-24h'!D22,'28.09 Kasangati-Gayaza-24h'!D22,'29.09 Kasangati-Gayaza'!D22)</f>
        <v>10</v>
      </c>
      <c r="E22" s="49">
        <f>AVERAGE('23.09. KASANGATI-GAYAZA'!E22,'24.09 Kasangati-Gayaza'!E22,'25.09 Kasangati-Gayaza'!E22,'27.09 Kasangati-Gayaza'!E22,'26.09 Kasangati-Gayaza-24h'!E22,'28.09 Kasangati-Gayaza-24h'!E22,'29.09 Kasangati-Gayaza'!E22)</f>
        <v>7.4285714285714288</v>
      </c>
      <c r="F22" s="49">
        <f>AVERAGE('23.09. KASANGATI-GAYAZA'!F22,'24.09 Kasangati-Gayaza'!F22,'25.09 Kasangati-Gayaza'!F22,'27.09 Kasangati-Gayaza'!F22,'26.09 Kasangati-Gayaza-24h'!F22,'28.09 Kasangati-Gayaza-24h'!F22,'29.09 Kasangati-Gayaza'!F22)</f>
        <v>51.142857142857146</v>
      </c>
      <c r="G22" s="49">
        <f>AVERAGE('23.09. KASANGATI-GAYAZA'!G22,'24.09 Kasangati-Gayaza'!G22,'25.09 Kasangati-Gayaza'!G22,'27.09 Kasangati-Gayaza'!G22,'26.09 Kasangati-Gayaza-24h'!G22,'28.09 Kasangati-Gayaza-24h'!G22,'29.09 Kasangati-Gayaza'!G22)</f>
        <v>0.42857142857142855</v>
      </c>
      <c r="H22" s="49">
        <f>AVERAGE('23.09. KASANGATI-GAYAZA'!H22,'24.09 Kasangati-Gayaza'!H22,'25.09 Kasangati-Gayaza'!H22,'27.09 Kasangati-Gayaza'!H22,'26.09 Kasangati-Gayaza-24h'!H22,'28.09 Kasangati-Gayaza-24h'!H22,'29.09 Kasangati-Gayaza'!H22)</f>
        <v>0.8571428571428571</v>
      </c>
      <c r="I22" s="49">
        <f>AVERAGE('23.09. KASANGATI-GAYAZA'!I22,'24.09 Kasangati-Gayaza'!I22,'25.09 Kasangati-Gayaza'!I22,'27.09 Kasangati-Gayaza'!I22,'26.09 Kasangati-Gayaza-24h'!I22,'28.09 Kasangati-Gayaza-24h'!I22,'29.09 Kasangati-Gayaza'!I22)</f>
        <v>10.285714285714286</v>
      </c>
      <c r="J22" s="49">
        <f>AVERAGE('23.09. KASANGATI-GAYAZA'!J22,'24.09 Kasangati-Gayaza'!J22,'25.09 Kasangati-Gayaza'!J22,'27.09 Kasangati-Gayaza'!J22,'26.09 Kasangati-Gayaza-24h'!J22,'28.09 Kasangati-Gayaza-24h'!J22,'29.09 Kasangati-Gayaza'!J22)</f>
        <v>2.8571428571428572</v>
      </c>
      <c r="K22" s="49">
        <f>AVERAGE('23.09. KASANGATI-GAYAZA'!K22,'24.09 Kasangati-Gayaza'!K22,'25.09 Kasangati-Gayaza'!K22,'27.09 Kasangati-Gayaza'!K22,'26.09 Kasangati-Gayaza-24h'!K22,'28.09 Kasangati-Gayaza-24h'!K22,'29.09 Kasangati-Gayaza'!K22)</f>
        <v>2.8571428571428572</v>
      </c>
      <c r="L22" s="49">
        <f>AVERAGE('23.09. KASANGATI-GAYAZA'!L22,'24.09 Kasangati-Gayaza'!L22,'25.09 Kasangati-Gayaza'!L22,'27.09 Kasangati-Gayaza'!L22,'26.09 Kasangati-Gayaza-24h'!L22,'28.09 Kasangati-Gayaza-24h'!L22,'29.09 Kasangati-Gayaza'!L22)</f>
        <v>0.14285714285714285</v>
      </c>
      <c r="M22" s="49">
        <f>AVERAGE('23.09. KASANGATI-GAYAZA'!M22,'24.09 Kasangati-Gayaza'!M22,'25.09 Kasangati-Gayaza'!M22,'27.09 Kasangati-Gayaza'!M22,'26.09 Kasangati-Gayaza-24h'!M22,'28.09 Kasangati-Gayaza-24h'!M22,'29.09 Kasangati-Gayaza'!M22)</f>
        <v>107.57142857142857</v>
      </c>
      <c r="N22" s="49">
        <f>AVERAGE('23.09. KASANGATI-GAYAZA'!N22,'24.09 Kasangati-Gayaza'!N22,'25.09 Kasangati-Gayaza'!N22,'27.09 Kasangati-Gayaza'!N22,'26.09 Kasangati-Gayaza-24h'!N22,'28.09 Kasangati-Gayaza-24h'!N22,'29.09 Kasangati-Gayaza'!N22)</f>
        <v>0</v>
      </c>
      <c r="O22" s="15">
        <f t="shared" si="0"/>
        <v>128.28571428571431</v>
      </c>
      <c r="P22" s="15">
        <f t="shared" si="1"/>
        <v>235.85714285714289</v>
      </c>
      <c r="R22" s="1" t="s">
        <v>146</v>
      </c>
      <c r="S22" s="34">
        <f>SUM(C58:C61)</f>
        <v>194</v>
      </c>
      <c r="T22" s="34">
        <f t="shared" ref="T22:AF22" si="14">SUM(D58:D61)</f>
        <v>54</v>
      </c>
      <c r="U22" s="34">
        <f t="shared" si="14"/>
        <v>32.5</v>
      </c>
      <c r="V22" s="34">
        <f t="shared" si="14"/>
        <v>189.5</v>
      </c>
      <c r="W22" s="34">
        <f t="shared" si="14"/>
        <v>9.5</v>
      </c>
      <c r="X22" s="34">
        <f t="shared" si="14"/>
        <v>2</v>
      </c>
      <c r="Y22" s="34">
        <f t="shared" si="14"/>
        <v>27.5</v>
      </c>
      <c r="Z22" s="34">
        <f t="shared" si="14"/>
        <v>9.5</v>
      </c>
      <c r="AA22" s="34">
        <f t="shared" si="14"/>
        <v>1</v>
      </c>
      <c r="AB22" s="34">
        <f t="shared" si="14"/>
        <v>3.5</v>
      </c>
      <c r="AC22" s="34">
        <f t="shared" si="14"/>
        <v>563.5</v>
      </c>
      <c r="AD22" s="34">
        <f t="shared" si="14"/>
        <v>0.5</v>
      </c>
      <c r="AE22" s="69">
        <f t="shared" si="14"/>
        <v>523.5</v>
      </c>
      <c r="AF22" s="69">
        <f t="shared" si="14"/>
        <v>1087</v>
      </c>
    </row>
    <row r="23" spans="2:32" ht="23.1" customHeight="1" x14ac:dyDescent="0.25">
      <c r="B23" s="23" t="s">
        <v>50</v>
      </c>
      <c r="C23" s="49">
        <f>AVERAGE('23.09. KASANGATI-GAYAZA'!C23,'24.09 Kasangati-Gayaza'!C23,'25.09 Kasangati-Gayaza'!C23,'27.09 Kasangati-Gayaza'!C23,'26.09 Kasangati-Gayaza-24h'!C23,'28.09 Kasangati-Gayaza-24h'!C23,'29.09 Kasangati-Gayaza'!C23)</f>
        <v>46.571428571428569</v>
      </c>
      <c r="D23" s="49">
        <f>AVERAGE('23.09. KASANGATI-GAYAZA'!D23,'24.09 Kasangati-Gayaza'!D23,'25.09 Kasangati-Gayaza'!D23,'27.09 Kasangati-Gayaza'!D23,'26.09 Kasangati-Gayaza-24h'!D23,'28.09 Kasangati-Gayaza-24h'!D23,'29.09 Kasangati-Gayaza'!D23)</f>
        <v>10.714285714285714</v>
      </c>
      <c r="E23" s="49">
        <f>AVERAGE('23.09. KASANGATI-GAYAZA'!E23,'24.09 Kasangati-Gayaza'!E23,'25.09 Kasangati-Gayaza'!E23,'27.09 Kasangati-Gayaza'!E23,'26.09 Kasangati-Gayaza-24h'!E23,'28.09 Kasangati-Gayaza-24h'!E23,'29.09 Kasangati-Gayaza'!E23)</f>
        <v>8.2857142857142865</v>
      </c>
      <c r="F23" s="49">
        <f>AVERAGE('23.09. KASANGATI-GAYAZA'!F23,'24.09 Kasangati-Gayaza'!F23,'25.09 Kasangati-Gayaza'!F23,'27.09 Kasangati-Gayaza'!F23,'26.09 Kasangati-Gayaza-24h'!F23,'28.09 Kasangati-Gayaza-24h'!F23,'29.09 Kasangati-Gayaza'!F23)</f>
        <v>48.571428571428569</v>
      </c>
      <c r="G23" s="49">
        <f>AVERAGE('23.09. KASANGATI-GAYAZA'!G23,'24.09 Kasangati-Gayaza'!G23,'25.09 Kasangati-Gayaza'!G23,'27.09 Kasangati-Gayaza'!G23,'26.09 Kasangati-Gayaza-24h'!G23,'28.09 Kasangati-Gayaza-24h'!G23,'29.09 Kasangati-Gayaza'!G23)</f>
        <v>0.7142857142857143</v>
      </c>
      <c r="H23" s="49">
        <f>AVERAGE('23.09. KASANGATI-GAYAZA'!H23,'24.09 Kasangati-Gayaza'!H23,'25.09 Kasangati-Gayaza'!H23,'27.09 Kasangati-Gayaza'!H23,'26.09 Kasangati-Gayaza-24h'!H23,'28.09 Kasangati-Gayaza-24h'!H23,'29.09 Kasangati-Gayaza'!H23)</f>
        <v>0.2857142857142857</v>
      </c>
      <c r="I23" s="49">
        <f>AVERAGE('23.09. KASANGATI-GAYAZA'!I23,'24.09 Kasangati-Gayaza'!I23,'25.09 Kasangati-Gayaza'!I23,'27.09 Kasangati-Gayaza'!I23,'26.09 Kasangati-Gayaza-24h'!I23,'28.09 Kasangati-Gayaza-24h'!I23,'29.09 Kasangati-Gayaza'!I23)</f>
        <v>12</v>
      </c>
      <c r="J23" s="49">
        <f>AVERAGE('23.09. KASANGATI-GAYAZA'!J23,'24.09 Kasangati-Gayaza'!J23,'25.09 Kasangati-Gayaza'!J23,'27.09 Kasangati-Gayaza'!J23,'26.09 Kasangati-Gayaza-24h'!J23,'28.09 Kasangati-Gayaza-24h'!J23,'29.09 Kasangati-Gayaza'!J23)</f>
        <v>3.1428571428571428</v>
      </c>
      <c r="K23" s="49">
        <f>AVERAGE('23.09. KASANGATI-GAYAZA'!K23,'24.09 Kasangati-Gayaza'!K23,'25.09 Kasangati-Gayaza'!K23,'27.09 Kasangati-Gayaza'!K23,'26.09 Kasangati-Gayaza-24h'!K23,'28.09 Kasangati-Gayaza-24h'!K23,'29.09 Kasangati-Gayaza'!K23)</f>
        <v>4</v>
      </c>
      <c r="L23" s="49">
        <f>AVERAGE('23.09. KASANGATI-GAYAZA'!L23,'24.09 Kasangati-Gayaza'!L23,'25.09 Kasangati-Gayaza'!L23,'27.09 Kasangati-Gayaza'!L23,'26.09 Kasangati-Gayaza-24h'!L23,'28.09 Kasangati-Gayaza-24h'!L23,'29.09 Kasangati-Gayaza'!L23)</f>
        <v>0.14285714285714285</v>
      </c>
      <c r="M23" s="49">
        <f>AVERAGE('23.09. KASANGATI-GAYAZA'!M23,'24.09 Kasangati-Gayaza'!M23,'25.09 Kasangati-Gayaza'!M23,'27.09 Kasangati-Gayaza'!M23,'26.09 Kasangati-Gayaza-24h'!M23,'28.09 Kasangati-Gayaza-24h'!M23,'29.09 Kasangati-Gayaza'!M23)</f>
        <v>113.57142857142857</v>
      </c>
      <c r="N23" s="49">
        <f>AVERAGE('23.09. KASANGATI-GAYAZA'!N23,'24.09 Kasangati-Gayaza'!N23,'25.09 Kasangati-Gayaza'!N23,'27.09 Kasangati-Gayaza'!N23,'26.09 Kasangati-Gayaza-24h'!N23,'28.09 Kasangati-Gayaza-24h'!N23,'29.09 Kasangati-Gayaza'!N23)</f>
        <v>0</v>
      </c>
      <c r="O23" s="15">
        <f t="shared" si="0"/>
        <v>134.42857142857142</v>
      </c>
      <c r="P23" s="15">
        <f t="shared" si="1"/>
        <v>248</v>
      </c>
      <c r="R23" s="1" t="s">
        <v>147</v>
      </c>
      <c r="S23" s="34">
        <f>SUM(C62:C65)</f>
        <v>208</v>
      </c>
      <c r="T23" s="34">
        <f t="shared" ref="T23:AF23" si="15">SUM(D62:D65)</f>
        <v>64.5</v>
      </c>
      <c r="U23" s="34">
        <f t="shared" si="15"/>
        <v>21</v>
      </c>
      <c r="V23" s="34">
        <f t="shared" si="15"/>
        <v>186.5</v>
      </c>
      <c r="W23" s="34">
        <f t="shared" si="15"/>
        <v>14.5</v>
      </c>
      <c r="X23" s="34">
        <f t="shared" si="15"/>
        <v>4</v>
      </c>
      <c r="Y23" s="34">
        <f t="shared" si="15"/>
        <v>31</v>
      </c>
      <c r="Z23" s="34">
        <f t="shared" si="15"/>
        <v>6.5</v>
      </c>
      <c r="AA23" s="34">
        <f t="shared" si="15"/>
        <v>0.5</v>
      </c>
      <c r="AB23" s="34">
        <f t="shared" si="15"/>
        <v>2.5</v>
      </c>
      <c r="AC23" s="34">
        <f t="shared" si="15"/>
        <v>488.5</v>
      </c>
      <c r="AD23" s="34">
        <f t="shared" si="15"/>
        <v>0</v>
      </c>
      <c r="AE23" s="69">
        <f t="shared" si="15"/>
        <v>539</v>
      </c>
      <c r="AF23" s="69">
        <f t="shared" si="15"/>
        <v>1027.5</v>
      </c>
    </row>
    <row r="24" spans="2:32" ht="23.1" customHeight="1" x14ac:dyDescent="0.25">
      <c r="B24" s="23" t="s">
        <v>51</v>
      </c>
      <c r="C24" s="49">
        <f>AVERAGE('23.09. KASANGATI-GAYAZA'!C24,'24.09 Kasangati-Gayaza'!C24,'25.09 Kasangati-Gayaza'!C24,'27.09 Kasangati-Gayaza'!C24,'26.09 Kasangati-Gayaza-24h'!C24,'28.09 Kasangati-Gayaza-24h'!C24,'29.09 Kasangati-Gayaza'!C24)</f>
        <v>52</v>
      </c>
      <c r="D24" s="49">
        <f>AVERAGE('23.09. KASANGATI-GAYAZA'!D24,'24.09 Kasangati-Gayaza'!D24,'25.09 Kasangati-Gayaza'!D24,'27.09 Kasangati-Gayaza'!D24,'26.09 Kasangati-Gayaza-24h'!D24,'28.09 Kasangati-Gayaza-24h'!D24,'29.09 Kasangati-Gayaza'!D24)</f>
        <v>13.142857142857142</v>
      </c>
      <c r="E24" s="49">
        <f>AVERAGE('23.09. KASANGATI-GAYAZA'!E24,'24.09 Kasangati-Gayaza'!E24,'25.09 Kasangati-Gayaza'!E24,'27.09 Kasangati-Gayaza'!E24,'26.09 Kasangati-Gayaza-24h'!E24,'28.09 Kasangati-Gayaza-24h'!E24,'29.09 Kasangati-Gayaza'!E24)</f>
        <v>7.7142857142857144</v>
      </c>
      <c r="F24" s="49">
        <f>AVERAGE('23.09. KASANGATI-GAYAZA'!F24,'24.09 Kasangati-Gayaza'!F24,'25.09 Kasangati-Gayaza'!F24,'27.09 Kasangati-Gayaza'!F24,'26.09 Kasangati-Gayaza-24h'!F24,'28.09 Kasangati-Gayaza-24h'!F24,'29.09 Kasangati-Gayaza'!F24)</f>
        <v>50</v>
      </c>
      <c r="G24" s="49">
        <f>AVERAGE('23.09. KASANGATI-GAYAZA'!G24,'24.09 Kasangati-Gayaza'!G24,'25.09 Kasangati-Gayaza'!G24,'27.09 Kasangati-Gayaza'!G24,'26.09 Kasangati-Gayaza-24h'!G24,'28.09 Kasangati-Gayaza-24h'!G24,'29.09 Kasangati-Gayaza'!G24)</f>
        <v>0.5714285714285714</v>
      </c>
      <c r="H24" s="49">
        <f>AVERAGE('23.09. KASANGATI-GAYAZA'!H24,'24.09 Kasangati-Gayaza'!H24,'25.09 Kasangati-Gayaza'!H24,'27.09 Kasangati-Gayaza'!H24,'26.09 Kasangati-Gayaza-24h'!H24,'28.09 Kasangati-Gayaza-24h'!H24,'29.09 Kasangati-Gayaza'!H24)</f>
        <v>0.14285714285714285</v>
      </c>
      <c r="I24" s="49">
        <f>AVERAGE('23.09. KASANGATI-GAYAZA'!I24,'24.09 Kasangati-Gayaza'!I24,'25.09 Kasangati-Gayaza'!I24,'27.09 Kasangati-Gayaza'!I24,'26.09 Kasangati-Gayaza-24h'!I24,'28.09 Kasangati-Gayaza-24h'!I24,'29.09 Kasangati-Gayaza'!I24)</f>
        <v>12.142857142857142</v>
      </c>
      <c r="J24" s="49">
        <f>AVERAGE('23.09. KASANGATI-GAYAZA'!J24,'24.09 Kasangati-Gayaza'!J24,'25.09 Kasangati-Gayaza'!J24,'27.09 Kasangati-Gayaza'!J24,'26.09 Kasangati-Gayaza-24h'!J24,'28.09 Kasangati-Gayaza-24h'!J24,'29.09 Kasangati-Gayaza'!J24)</f>
        <v>3.5714285714285716</v>
      </c>
      <c r="K24" s="49">
        <f>AVERAGE('23.09. KASANGATI-GAYAZA'!K24,'24.09 Kasangati-Gayaza'!K24,'25.09 Kasangati-Gayaza'!K24,'27.09 Kasangati-Gayaza'!K24,'26.09 Kasangati-Gayaza-24h'!K24,'28.09 Kasangati-Gayaza-24h'!K24,'29.09 Kasangati-Gayaza'!K24)</f>
        <v>3.4285714285714284</v>
      </c>
      <c r="L24" s="49">
        <f>AVERAGE('23.09. KASANGATI-GAYAZA'!L24,'24.09 Kasangati-Gayaza'!L24,'25.09 Kasangati-Gayaza'!L24,'27.09 Kasangati-Gayaza'!L24,'26.09 Kasangati-Gayaza-24h'!L24,'28.09 Kasangati-Gayaza-24h'!L24,'29.09 Kasangati-Gayaza'!L24)</f>
        <v>0.14285714285714285</v>
      </c>
      <c r="M24" s="49">
        <f>AVERAGE('23.09. KASANGATI-GAYAZA'!M24,'24.09 Kasangati-Gayaza'!M24,'25.09 Kasangati-Gayaza'!M24,'27.09 Kasangati-Gayaza'!M24,'26.09 Kasangati-Gayaza-24h'!M24,'28.09 Kasangati-Gayaza-24h'!M24,'29.09 Kasangati-Gayaza'!M24)</f>
        <v>106.28571428571429</v>
      </c>
      <c r="N24" s="49">
        <f>AVERAGE('23.09. KASANGATI-GAYAZA'!N24,'24.09 Kasangati-Gayaza'!N24,'25.09 Kasangati-Gayaza'!N24,'27.09 Kasangati-Gayaza'!N24,'26.09 Kasangati-Gayaza-24h'!N24,'28.09 Kasangati-Gayaza-24h'!N24,'29.09 Kasangati-Gayaza'!N24)</f>
        <v>0</v>
      </c>
      <c r="O24" s="15">
        <f t="shared" si="0"/>
        <v>142.85714285714283</v>
      </c>
      <c r="P24" s="15">
        <f t="shared" si="1"/>
        <v>249.14285714285711</v>
      </c>
      <c r="R24" s="1" t="s">
        <v>148</v>
      </c>
      <c r="S24" s="34">
        <f>SUM(C66:C69)</f>
        <v>274</v>
      </c>
      <c r="T24" s="34">
        <f t="shared" ref="T24:AF24" si="16">SUM(D66:D69)</f>
        <v>46</v>
      </c>
      <c r="U24" s="34">
        <f t="shared" si="16"/>
        <v>21.5</v>
      </c>
      <c r="V24" s="34">
        <f t="shared" si="16"/>
        <v>233</v>
      </c>
      <c r="W24" s="34">
        <f t="shared" si="16"/>
        <v>9</v>
      </c>
      <c r="X24" s="34">
        <f t="shared" si="16"/>
        <v>3</v>
      </c>
      <c r="Y24" s="34">
        <f t="shared" si="16"/>
        <v>28</v>
      </c>
      <c r="Z24" s="34">
        <f t="shared" si="16"/>
        <v>4</v>
      </c>
      <c r="AA24" s="34">
        <f t="shared" si="16"/>
        <v>0.5</v>
      </c>
      <c r="AB24" s="34">
        <f t="shared" si="16"/>
        <v>2</v>
      </c>
      <c r="AC24" s="34">
        <f t="shared" si="16"/>
        <v>374</v>
      </c>
      <c r="AD24" s="34">
        <f t="shared" si="16"/>
        <v>0</v>
      </c>
      <c r="AE24" s="69">
        <f t="shared" si="16"/>
        <v>621</v>
      </c>
      <c r="AF24" s="69">
        <f t="shared" si="16"/>
        <v>995</v>
      </c>
    </row>
    <row r="25" spans="2:32" ht="23.1" customHeight="1" x14ac:dyDescent="0.25">
      <c r="B25" s="23" t="s">
        <v>52</v>
      </c>
      <c r="C25" s="49">
        <f>AVERAGE('23.09. KASANGATI-GAYAZA'!C25,'24.09 Kasangati-Gayaza'!C25,'25.09 Kasangati-Gayaza'!C25,'27.09 Kasangati-Gayaza'!C25,'26.09 Kasangati-Gayaza-24h'!C25,'28.09 Kasangati-Gayaza-24h'!C25,'29.09 Kasangati-Gayaza'!C25)</f>
        <v>48.428571428571431</v>
      </c>
      <c r="D25" s="49">
        <f>AVERAGE('23.09. KASANGATI-GAYAZA'!D25,'24.09 Kasangati-Gayaza'!D25,'25.09 Kasangati-Gayaza'!D25,'27.09 Kasangati-Gayaza'!D25,'26.09 Kasangati-Gayaza-24h'!D25,'28.09 Kasangati-Gayaza-24h'!D25,'29.09 Kasangati-Gayaza'!D25)</f>
        <v>11.142857142857142</v>
      </c>
      <c r="E25" s="49">
        <f>AVERAGE('23.09. KASANGATI-GAYAZA'!E25,'24.09 Kasangati-Gayaza'!E25,'25.09 Kasangati-Gayaza'!E25,'27.09 Kasangati-Gayaza'!E25,'26.09 Kasangati-Gayaza-24h'!E25,'28.09 Kasangati-Gayaza-24h'!E25,'29.09 Kasangati-Gayaza'!E25)</f>
        <v>9.4285714285714288</v>
      </c>
      <c r="F25" s="49">
        <f>AVERAGE('23.09. KASANGATI-GAYAZA'!F25,'24.09 Kasangati-Gayaza'!F25,'25.09 Kasangati-Gayaza'!F25,'27.09 Kasangati-Gayaza'!F25,'26.09 Kasangati-Gayaza-24h'!F25,'28.09 Kasangati-Gayaza-24h'!F25,'29.09 Kasangati-Gayaza'!F25)</f>
        <v>49.142857142857146</v>
      </c>
      <c r="G25" s="49">
        <f>AVERAGE('23.09. KASANGATI-GAYAZA'!G25,'24.09 Kasangati-Gayaza'!G25,'25.09 Kasangati-Gayaza'!G25,'27.09 Kasangati-Gayaza'!G25,'26.09 Kasangati-Gayaza-24h'!G25,'28.09 Kasangati-Gayaza-24h'!G25,'29.09 Kasangati-Gayaza'!G25)</f>
        <v>0.7142857142857143</v>
      </c>
      <c r="H25" s="49">
        <f>AVERAGE('23.09. KASANGATI-GAYAZA'!H25,'24.09 Kasangati-Gayaza'!H25,'25.09 Kasangati-Gayaza'!H25,'27.09 Kasangati-Gayaza'!H25,'26.09 Kasangati-Gayaza-24h'!H25,'28.09 Kasangati-Gayaza-24h'!H25,'29.09 Kasangati-Gayaza'!H25)</f>
        <v>0.14285714285714285</v>
      </c>
      <c r="I25" s="49">
        <f>AVERAGE('23.09. KASANGATI-GAYAZA'!I25,'24.09 Kasangati-Gayaza'!I25,'25.09 Kasangati-Gayaza'!I25,'27.09 Kasangati-Gayaza'!I25,'26.09 Kasangati-Gayaza-24h'!I25,'28.09 Kasangati-Gayaza-24h'!I25,'29.09 Kasangati-Gayaza'!I25)</f>
        <v>7.5714285714285712</v>
      </c>
      <c r="J25" s="49">
        <f>AVERAGE('23.09. KASANGATI-GAYAZA'!J25,'24.09 Kasangati-Gayaza'!J25,'25.09 Kasangati-Gayaza'!J25,'27.09 Kasangati-Gayaza'!J25,'26.09 Kasangati-Gayaza-24h'!J25,'28.09 Kasangati-Gayaza-24h'!J25,'29.09 Kasangati-Gayaza'!J25)</f>
        <v>2.2857142857142856</v>
      </c>
      <c r="K25" s="49">
        <f>AVERAGE('23.09. KASANGATI-GAYAZA'!K25,'24.09 Kasangati-Gayaza'!K25,'25.09 Kasangati-Gayaza'!K25,'27.09 Kasangati-Gayaza'!K25,'26.09 Kasangati-Gayaza-24h'!K25,'28.09 Kasangati-Gayaza-24h'!K25,'29.09 Kasangati-Gayaza'!K25)</f>
        <v>2.2857142857142856</v>
      </c>
      <c r="L25" s="49">
        <f>AVERAGE('23.09. KASANGATI-GAYAZA'!L25,'24.09 Kasangati-Gayaza'!L25,'25.09 Kasangati-Gayaza'!L25,'27.09 Kasangati-Gayaza'!L25,'26.09 Kasangati-Gayaza-24h'!L25,'28.09 Kasangati-Gayaza-24h'!L25,'29.09 Kasangati-Gayaza'!L25)</f>
        <v>0</v>
      </c>
      <c r="M25" s="49">
        <f>AVERAGE('23.09. KASANGATI-GAYAZA'!M25,'24.09 Kasangati-Gayaza'!M25,'25.09 Kasangati-Gayaza'!M25,'27.09 Kasangati-Gayaza'!M25,'26.09 Kasangati-Gayaza-24h'!M25,'28.09 Kasangati-Gayaza-24h'!M25,'29.09 Kasangati-Gayaza'!M25)</f>
        <v>111.42857142857143</v>
      </c>
      <c r="N25" s="49">
        <f>AVERAGE('23.09. KASANGATI-GAYAZA'!N25,'24.09 Kasangati-Gayaza'!N25,'25.09 Kasangati-Gayaza'!N25,'27.09 Kasangati-Gayaza'!N25,'26.09 Kasangati-Gayaza-24h'!N25,'28.09 Kasangati-Gayaza-24h'!N25,'29.09 Kasangati-Gayaza'!N25)</f>
        <v>0</v>
      </c>
      <c r="O25" s="15">
        <f t="shared" si="0"/>
        <v>131.14285714285711</v>
      </c>
      <c r="P25" s="15">
        <f t="shared" si="1"/>
        <v>242.57142857142856</v>
      </c>
      <c r="R25" s="1" t="s">
        <v>149</v>
      </c>
      <c r="S25" s="34">
        <f>SUM(C70:C73)</f>
        <v>199</v>
      </c>
      <c r="T25" s="34">
        <f t="shared" ref="T25:AF25" si="17">SUM(D70:D73)</f>
        <v>53</v>
      </c>
      <c r="U25" s="34">
        <f t="shared" si="17"/>
        <v>11.5</v>
      </c>
      <c r="V25" s="34">
        <f t="shared" si="17"/>
        <v>191</v>
      </c>
      <c r="W25" s="34">
        <f t="shared" si="17"/>
        <v>5</v>
      </c>
      <c r="X25" s="34">
        <f t="shared" si="17"/>
        <v>1</v>
      </c>
      <c r="Y25" s="34">
        <f t="shared" si="17"/>
        <v>18.5</v>
      </c>
      <c r="Z25" s="34">
        <f t="shared" si="17"/>
        <v>4</v>
      </c>
      <c r="AA25" s="34">
        <f t="shared" si="17"/>
        <v>0</v>
      </c>
      <c r="AB25" s="34">
        <f t="shared" si="17"/>
        <v>2.5</v>
      </c>
      <c r="AC25" s="34">
        <f t="shared" si="17"/>
        <v>287</v>
      </c>
      <c r="AD25" s="34">
        <f t="shared" si="17"/>
        <v>0</v>
      </c>
      <c r="AE25" s="69">
        <f t="shared" si="17"/>
        <v>485.5</v>
      </c>
      <c r="AF25" s="69">
        <f t="shared" si="17"/>
        <v>772.5</v>
      </c>
    </row>
    <row r="26" spans="2:32" ht="23.1" customHeight="1" x14ac:dyDescent="0.25">
      <c r="B26" s="23" t="s">
        <v>53</v>
      </c>
      <c r="C26" s="49">
        <f>AVERAGE('23.09. KASANGATI-GAYAZA'!C26,'24.09 Kasangati-Gayaza'!C26,'25.09 Kasangati-Gayaza'!C26,'27.09 Kasangati-Gayaza'!C26,'26.09 Kasangati-Gayaza-24h'!C26,'28.09 Kasangati-Gayaza-24h'!C26,'29.09 Kasangati-Gayaza'!C26)</f>
        <v>50</v>
      </c>
      <c r="D26" s="49">
        <f>AVERAGE('23.09. KASANGATI-GAYAZA'!D26,'24.09 Kasangati-Gayaza'!D26,'25.09 Kasangati-Gayaza'!D26,'27.09 Kasangati-Gayaza'!D26,'26.09 Kasangati-Gayaza-24h'!D26,'28.09 Kasangati-Gayaza-24h'!D26,'29.09 Kasangati-Gayaza'!D26)</f>
        <v>16.285714285714285</v>
      </c>
      <c r="E26" s="49">
        <f>AVERAGE('23.09. KASANGATI-GAYAZA'!E26,'24.09 Kasangati-Gayaza'!E26,'25.09 Kasangati-Gayaza'!E26,'27.09 Kasangati-Gayaza'!E26,'26.09 Kasangati-Gayaza-24h'!E26,'28.09 Kasangati-Gayaza-24h'!E26,'29.09 Kasangati-Gayaza'!E26)</f>
        <v>12</v>
      </c>
      <c r="F26" s="49">
        <f>AVERAGE('23.09. KASANGATI-GAYAZA'!F26,'24.09 Kasangati-Gayaza'!F26,'25.09 Kasangati-Gayaza'!F26,'27.09 Kasangati-Gayaza'!F26,'26.09 Kasangati-Gayaza-24h'!F26,'28.09 Kasangati-Gayaza-24h'!F26,'29.09 Kasangati-Gayaza'!F26)</f>
        <v>51.285714285714285</v>
      </c>
      <c r="G26" s="49">
        <f>AVERAGE('23.09. KASANGATI-GAYAZA'!G26,'24.09 Kasangati-Gayaza'!G26,'25.09 Kasangati-Gayaza'!G26,'27.09 Kasangati-Gayaza'!G26,'26.09 Kasangati-Gayaza-24h'!G26,'28.09 Kasangati-Gayaza-24h'!G26,'29.09 Kasangati-Gayaza'!G26)</f>
        <v>1</v>
      </c>
      <c r="H26" s="49">
        <f>AVERAGE('23.09. KASANGATI-GAYAZA'!H26,'24.09 Kasangati-Gayaza'!H26,'25.09 Kasangati-Gayaza'!H26,'27.09 Kasangati-Gayaza'!H26,'26.09 Kasangati-Gayaza-24h'!H26,'28.09 Kasangati-Gayaza-24h'!H26,'29.09 Kasangati-Gayaza'!H26)</f>
        <v>0.5714285714285714</v>
      </c>
      <c r="I26" s="49">
        <f>AVERAGE('23.09. KASANGATI-GAYAZA'!I26,'24.09 Kasangati-Gayaza'!I26,'25.09 Kasangati-Gayaza'!I26,'27.09 Kasangati-Gayaza'!I26,'26.09 Kasangati-Gayaza-24h'!I26,'28.09 Kasangati-Gayaza-24h'!I26,'29.09 Kasangati-Gayaza'!I26)</f>
        <v>10.285714285714286</v>
      </c>
      <c r="J26" s="49">
        <f>AVERAGE('23.09. KASANGATI-GAYAZA'!J26,'24.09 Kasangati-Gayaza'!J26,'25.09 Kasangati-Gayaza'!J26,'27.09 Kasangati-Gayaza'!J26,'26.09 Kasangati-Gayaza-24h'!J26,'28.09 Kasangati-Gayaza-24h'!J26,'29.09 Kasangati-Gayaza'!J26)</f>
        <v>4</v>
      </c>
      <c r="K26" s="49">
        <f>AVERAGE('23.09. KASANGATI-GAYAZA'!K26,'24.09 Kasangati-Gayaza'!K26,'25.09 Kasangati-Gayaza'!K26,'27.09 Kasangati-Gayaza'!K26,'26.09 Kasangati-Gayaza-24h'!K26,'28.09 Kasangati-Gayaza-24h'!K26,'29.09 Kasangati-Gayaza'!K26)</f>
        <v>4.2857142857142856</v>
      </c>
      <c r="L26" s="49">
        <f>AVERAGE('23.09. KASANGATI-GAYAZA'!L26,'24.09 Kasangati-Gayaza'!L26,'25.09 Kasangati-Gayaza'!L26,'27.09 Kasangati-Gayaza'!L26,'26.09 Kasangati-Gayaza-24h'!L26,'28.09 Kasangati-Gayaza-24h'!L26,'29.09 Kasangati-Gayaza'!L26)</f>
        <v>0.14285714285714285</v>
      </c>
      <c r="M26" s="49">
        <f>AVERAGE('23.09. KASANGATI-GAYAZA'!M26,'24.09 Kasangati-Gayaza'!M26,'25.09 Kasangati-Gayaza'!M26,'27.09 Kasangati-Gayaza'!M26,'26.09 Kasangati-Gayaza-24h'!M26,'28.09 Kasangati-Gayaza-24h'!M26,'29.09 Kasangati-Gayaza'!M26)</f>
        <v>108.85714285714286</v>
      </c>
      <c r="N26" s="49">
        <f>AVERAGE('23.09. KASANGATI-GAYAZA'!N26,'24.09 Kasangati-Gayaza'!N26,'25.09 Kasangati-Gayaza'!N26,'27.09 Kasangati-Gayaza'!N26,'26.09 Kasangati-Gayaza-24h'!N26,'28.09 Kasangati-Gayaza-24h'!N26,'29.09 Kasangati-Gayaza'!N26)</f>
        <v>0.14285714285714285</v>
      </c>
      <c r="O26" s="15">
        <f t="shared" si="0"/>
        <v>149.99999999999997</v>
      </c>
      <c r="P26" s="15">
        <f t="shared" si="1"/>
        <v>258.85714285714283</v>
      </c>
      <c r="R26" s="1" t="s">
        <v>150</v>
      </c>
      <c r="S26" s="34">
        <f>SUM(C74:C77)</f>
        <v>141.5</v>
      </c>
      <c r="T26" s="34">
        <f t="shared" ref="T26:AF26" si="18">SUM(D74:D77)</f>
        <v>37</v>
      </c>
      <c r="U26" s="34">
        <f t="shared" si="18"/>
        <v>7.5</v>
      </c>
      <c r="V26" s="34">
        <f t="shared" si="18"/>
        <v>85</v>
      </c>
      <c r="W26" s="34">
        <f t="shared" si="18"/>
        <v>3.5</v>
      </c>
      <c r="X26" s="34">
        <f t="shared" si="18"/>
        <v>0.5</v>
      </c>
      <c r="Y26" s="34">
        <f t="shared" si="18"/>
        <v>12</v>
      </c>
      <c r="Z26" s="34">
        <f t="shared" si="18"/>
        <v>4</v>
      </c>
      <c r="AA26" s="34">
        <f t="shared" si="18"/>
        <v>0.5</v>
      </c>
      <c r="AB26" s="34">
        <f t="shared" si="18"/>
        <v>2.5</v>
      </c>
      <c r="AC26" s="34">
        <f t="shared" si="18"/>
        <v>182.5</v>
      </c>
      <c r="AD26" s="34">
        <f t="shared" si="18"/>
        <v>0</v>
      </c>
      <c r="AE26" s="69">
        <f t="shared" si="18"/>
        <v>294</v>
      </c>
      <c r="AF26" s="69">
        <f t="shared" si="18"/>
        <v>476.5</v>
      </c>
    </row>
    <row r="27" spans="2:32" ht="23.1" customHeight="1" x14ac:dyDescent="0.25">
      <c r="B27" s="23" t="s">
        <v>54</v>
      </c>
      <c r="C27" s="49">
        <f>AVERAGE('23.09. KASANGATI-GAYAZA'!C27,'24.09 Kasangati-Gayaza'!C27,'25.09 Kasangati-Gayaza'!C27,'27.09 Kasangati-Gayaza'!C27,'26.09 Kasangati-Gayaza-24h'!C27,'28.09 Kasangati-Gayaza-24h'!C27,'29.09 Kasangati-Gayaza'!C27)</f>
        <v>42.857142857142854</v>
      </c>
      <c r="D27" s="49">
        <f>AVERAGE('23.09. KASANGATI-GAYAZA'!D27,'24.09 Kasangati-Gayaza'!D27,'25.09 Kasangati-Gayaza'!D27,'27.09 Kasangati-Gayaza'!D27,'26.09 Kasangati-Gayaza-24h'!D27,'28.09 Kasangati-Gayaza-24h'!D27,'29.09 Kasangati-Gayaza'!D27)</f>
        <v>12.714285714285714</v>
      </c>
      <c r="E27" s="49">
        <f>AVERAGE('23.09. KASANGATI-GAYAZA'!E27,'24.09 Kasangati-Gayaza'!E27,'25.09 Kasangati-Gayaza'!E27,'27.09 Kasangati-Gayaza'!E27,'26.09 Kasangati-Gayaza-24h'!E27,'28.09 Kasangati-Gayaza-24h'!E27,'29.09 Kasangati-Gayaza'!E27)</f>
        <v>7.2857142857142856</v>
      </c>
      <c r="F27" s="49">
        <f>AVERAGE('23.09. KASANGATI-GAYAZA'!F27,'24.09 Kasangati-Gayaza'!F27,'25.09 Kasangati-Gayaza'!F27,'27.09 Kasangati-Gayaza'!F27,'26.09 Kasangati-Gayaza-24h'!F27,'28.09 Kasangati-Gayaza-24h'!F27,'29.09 Kasangati-Gayaza'!F27)</f>
        <v>55.142857142857146</v>
      </c>
      <c r="G27" s="49">
        <f>AVERAGE('23.09. KASANGATI-GAYAZA'!G27,'24.09 Kasangati-Gayaza'!G27,'25.09 Kasangati-Gayaza'!G27,'27.09 Kasangati-Gayaza'!G27,'26.09 Kasangati-Gayaza-24h'!G27,'28.09 Kasangati-Gayaza-24h'!G27,'29.09 Kasangati-Gayaza'!G27)</f>
        <v>0.42857142857142855</v>
      </c>
      <c r="H27" s="49">
        <f>AVERAGE('23.09. KASANGATI-GAYAZA'!H27,'24.09 Kasangati-Gayaza'!H27,'25.09 Kasangati-Gayaza'!H27,'27.09 Kasangati-Gayaza'!H27,'26.09 Kasangati-Gayaza-24h'!H27,'28.09 Kasangati-Gayaza-24h'!H27,'29.09 Kasangati-Gayaza'!H27)</f>
        <v>0.42857142857142855</v>
      </c>
      <c r="I27" s="49">
        <f>AVERAGE('23.09. KASANGATI-GAYAZA'!I27,'24.09 Kasangati-Gayaza'!I27,'25.09 Kasangati-Gayaza'!I27,'27.09 Kasangati-Gayaza'!I27,'26.09 Kasangati-Gayaza-24h'!I27,'28.09 Kasangati-Gayaza-24h'!I27,'29.09 Kasangati-Gayaza'!I27)</f>
        <v>11.285714285714286</v>
      </c>
      <c r="J27" s="49">
        <f>AVERAGE('23.09. KASANGATI-GAYAZA'!J27,'24.09 Kasangati-Gayaza'!J27,'25.09 Kasangati-Gayaza'!J27,'27.09 Kasangati-Gayaza'!J27,'26.09 Kasangati-Gayaza-24h'!J27,'28.09 Kasangati-Gayaza-24h'!J27,'29.09 Kasangati-Gayaza'!J27)</f>
        <v>4.4285714285714288</v>
      </c>
      <c r="K27" s="49">
        <f>AVERAGE('23.09. KASANGATI-GAYAZA'!K27,'24.09 Kasangati-Gayaza'!K27,'25.09 Kasangati-Gayaza'!K27,'27.09 Kasangati-Gayaza'!K27,'26.09 Kasangati-Gayaza-24h'!K27,'28.09 Kasangati-Gayaza-24h'!K27,'29.09 Kasangati-Gayaza'!K27)</f>
        <v>3.1428571428571428</v>
      </c>
      <c r="L27" s="49">
        <f>AVERAGE('23.09. KASANGATI-GAYAZA'!L27,'24.09 Kasangati-Gayaza'!L27,'25.09 Kasangati-Gayaza'!L27,'27.09 Kasangati-Gayaza'!L27,'26.09 Kasangati-Gayaza-24h'!L27,'28.09 Kasangati-Gayaza-24h'!L27,'29.09 Kasangati-Gayaza'!L27)</f>
        <v>0.2857142857142857</v>
      </c>
      <c r="M27" s="49">
        <f>AVERAGE('23.09. KASANGATI-GAYAZA'!M27,'24.09 Kasangati-Gayaza'!M27,'25.09 Kasangati-Gayaza'!M27,'27.09 Kasangati-Gayaza'!M27,'26.09 Kasangati-Gayaza-24h'!M27,'28.09 Kasangati-Gayaza-24h'!M27,'29.09 Kasangati-Gayaza'!M27)</f>
        <v>103</v>
      </c>
      <c r="N27" s="49">
        <f>AVERAGE('23.09. KASANGATI-GAYAZA'!N27,'24.09 Kasangati-Gayaza'!N27,'25.09 Kasangati-Gayaza'!N27,'27.09 Kasangati-Gayaza'!N27,'26.09 Kasangati-Gayaza-24h'!N27,'28.09 Kasangati-Gayaza-24h'!N27,'29.09 Kasangati-Gayaza'!N27)</f>
        <v>0</v>
      </c>
      <c r="O27" s="15">
        <f t="shared" si="0"/>
        <v>137.99999999999997</v>
      </c>
      <c r="P27" s="15">
        <f t="shared" si="1"/>
        <v>240.99999999999997</v>
      </c>
      <c r="R27" s="1" t="s">
        <v>151</v>
      </c>
      <c r="S27" s="34">
        <f>SUM(C78:C81)</f>
        <v>72</v>
      </c>
      <c r="T27" s="34">
        <f t="shared" ref="T27:AF27" si="19">SUM(D78:D81)</f>
        <v>16.5</v>
      </c>
      <c r="U27" s="34">
        <f t="shared" si="19"/>
        <v>5.5</v>
      </c>
      <c r="V27" s="34">
        <f t="shared" si="19"/>
        <v>25</v>
      </c>
      <c r="W27" s="34">
        <f t="shared" si="19"/>
        <v>0.5</v>
      </c>
      <c r="X27" s="34">
        <f t="shared" si="19"/>
        <v>0</v>
      </c>
      <c r="Y27" s="34">
        <f t="shared" si="19"/>
        <v>8</v>
      </c>
      <c r="Z27" s="34">
        <f t="shared" si="19"/>
        <v>3.5</v>
      </c>
      <c r="AA27" s="34">
        <f t="shared" si="19"/>
        <v>1</v>
      </c>
      <c r="AB27" s="34">
        <f t="shared" si="19"/>
        <v>1</v>
      </c>
      <c r="AC27" s="34">
        <f t="shared" si="19"/>
        <v>114.5</v>
      </c>
      <c r="AD27" s="34">
        <f t="shared" si="19"/>
        <v>0</v>
      </c>
      <c r="AE27" s="69">
        <f t="shared" si="19"/>
        <v>133</v>
      </c>
      <c r="AF27" s="69">
        <f t="shared" si="19"/>
        <v>247.5</v>
      </c>
    </row>
    <row r="28" spans="2:32" ht="23.1" customHeight="1" x14ac:dyDescent="0.25">
      <c r="B28" s="23" t="s">
        <v>55</v>
      </c>
      <c r="C28" s="49">
        <f>AVERAGE('23.09. KASANGATI-GAYAZA'!C28,'24.09 Kasangati-Gayaza'!C28,'25.09 Kasangati-Gayaza'!C28,'27.09 Kasangati-Gayaza'!C28,'26.09 Kasangati-Gayaza-24h'!C28,'28.09 Kasangati-Gayaza-24h'!C28,'29.09 Kasangati-Gayaza'!C28)</f>
        <v>41.428571428571431</v>
      </c>
      <c r="D28" s="49">
        <f>AVERAGE('23.09. KASANGATI-GAYAZA'!D28,'24.09 Kasangati-Gayaza'!D28,'25.09 Kasangati-Gayaza'!D28,'27.09 Kasangati-Gayaza'!D28,'26.09 Kasangati-Gayaza-24h'!D28,'28.09 Kasangati-Gayaza-24h'!D28,'29.09 Kasangati-Gayaza'!D28)</f>
        <v>11.857142857142858</v>
      </c>
      <c r="E28" s="49">
        <f>AVERAGE('23.09. KASANGATI-GAYAZA'!E28,'24.09 Kasangati-Gayaza'!E28,'25.09 Kasangati-Gayaza'!E28,'27.09 Kasangati-Gayaza'!E28,'26.09 Kasangati-Gayaza-24h'!E28,'28.09 Kasangati-Gayaza-24h'!E28,'29.09 Kasangati-Gayaza'!E28)</f>
        <v>8.2857142857142865</v>
      </c>
      <c r="F28" s="49">
        <f>AVERAGE('23.09. KASANGATI-GAYAZA'!F28,'24.09 Kasangati-Gayaza'!F28,'25.09 Kasangati-Gayaza'!F28,'27.09 Kasangati-Gayaza'!F28,'26.09 Kasangati-Gayaza-24h'!F28,'28.09 Kasangati-Gayaza-24h'!F28,'29.09 Kasangati-Gayaza'!F28)</f>
        <v>49.714285714285715</v>
      </c>
      <c r="G28" s="49">
        <f>AVERAGE('23.09. KASANGATI-GAYAZA'!G28,'24.09 Kasangati-Gayaza'!G28,'25.09 Kasangati-Gayaza'!G28,'27.09 Kasangati-Gayaza'!G28,'26.09 Kasangati-Gayaza-24h'!G28,'28.09 Kasangati-Gayaza-24h'!G28,'29.09 Kasangati-Gayaza'!G28)</f>
        <v>0.42857142857142855</v>
      </c>
      <c r="H28" s="49">
        <f>AVERAGE('23.09. KASANGATI-GAYAZA'!H28,'24.09 Kasangati-Gayaza'!H28,'25.09 Kasangati-Gayaza'!H28,'27.09 Kasangati-Gayaza'!H28,'26.09 Kasangati-Gayaza-24h'!H28,'28.09 Kasangati-Gayaza-24h'!H28,'29.09 Kasangati-Gayaza'!H28)</f>
        <v>0.2857142857142857</v>
      </c>
      <c r="I28" s="49">
        <f>AVERAGE('23.09. KASANGATI-GAYAZA'!I28,'24.09 Kasangati-Gayaza'!I28,'25.09 Kasangati-Gayaza'!I28,'27.09 Kasangati-Gayaza'!I28,'26.09 Kasangati-Gayaza-24h'!I28,'28.09 Kasangati-Gayaza-24h'!I28,'29.09 Kasangati-Gayaza'!I28)</f>
        <v>11.714285714285714</v>
      </c>
      <c r="J28" s="49">
        <f>AVERAGE('23.09. KASANGATI-GAYAZA'!J28,'24.09 Kasangati-Gayaza'!J28,'25.09 Kasangati-Gayaza'!J28,'27.09 Kasangati-Gayaza'!J28,'26.09 Kasangati-Gayaza-24h'!J28,'28.09 Kasangati-Gayaza-24h'!J28,'29.09 Kasangati-Gayaza'!J28)</f>
        <v>3.4285714285714284</v>
      </c>
      <c r="K28" s="49">
        <f>AVERAGE('23.09. KASANGATI-GAYAZA'!K28,'24.09 Kasangati-Gayaza'!K28,'25.09 Kasangati-Gayaza'!K28,'27.09 Kasangati-Gayaza'!K28,'26.09 Kasangati-Gayaza-24h'!K28,'28.09 Kasangati-Gayaza-24h'!K28,'29.09 Kasangati-Gayaza'!K28)</f>
        <v>5.1428571428571432</v>
      </c>
      <c r="L28" s="49">
        <f>AVERAGE('23.09. KASANGATI-GAYAZA'!L28,'24.09 Kasangati-Gayaza'!L28,'25.09 Kasangati-Gayaza'!L28,'27.09 Kasangati-Gayaza'!L28,'26.09 Kasangati-Gayaza-24h'!L28,'28.09 Kasangati-Gayaza-24h'!L28,'29.09 Kasangati-Gayaza'!L28)</f>
        <v>0.5714285714285714</v>
      </c>
      <c r="M28" s="49">
        <f>AVERAGE('23.09. KASANGATI-GAYAZA'!M28,'24.09 Kasangati-Gayaza'!M28,'25.09 Kasangati-Gayaza'!M28,'27.09 Kasangati-Gayaza'!M28,'26.09 Kasangati-Gayaza-24h'!M28,'28.09 Kasangati-Gayaza-24h'!M28,'29.09 Kasangati-Gayaza'!M28)</f>
        <v>95.285714285714292</v>
      </c>
      <c r="N28" s="49">
        <f>AVERAGE('23.09. KASANGATI-GAYAZA'!N28,'24.09 Kasangati-Gayaza'!N28,'25.09 Kasangati-Gayaza'!N28,'27.09 Kasangati-Gayaza'!N28,'26.09 Kasangati-Gayaza-24h'!N28,'28.09 Kasangati-Gayaza-24h'!N28,'29.09 Kasangati-Gayaza'!N28)</f>
        <v>0</v>
      </c>
      <c r="O28" s="15">
        <f t="shared" si="0"/>
        <v>132.85714285714289</v>
      </c>
      <c r="P28" s="15">
        <f t="shared" si="1"/>
        <v>228.14285714285717</v>
      </c>
      <c r="R28" s="1" t="s">
        <v>152</v>
      </c>
      <c r="S28" s="34">
        <f>SUM(C82:C85)</f>
        <v>32</v>
      </c>
      <c r="T28" s="34">
        <f t="shared" ref="T28:AF28" si="20">SUM(D82:D85)</f>
        <v>7.5</v>
      </c>
      <c r="U28" s="34">
        <f t="shared" si="20"/>
        <v>4</v>
      </c>
      <c r="V28" s="34">
        <f t="shared" si="20"/>
        <v>9.5</v>
      </c>
      <c r="W28" s="34">
        <f t="shared" si="20"/>
        <v>0</v>
      </c>
      <c r="X28" s="34">
        <f t="shared" si="20"/>
        <v>1</v>
      </c>
      <c r="Y28" s="34">
        <f t="shared" si="20"/>
        <v>11.5</v>
      </c>
      <c r="Z28" s="34">
        <f t="shared" si="20"/>
        <v>3.5</v>
      </c>
      <c r="AA28" s="34">
        <f t="shared" si="20"/>
        <v>0</v>
      </c>
      <c r="AB28" s="34">
        <f t="shared" si="20"/>
        <v>4</v>
      </c>
      <c r="AC28" s="34">
        <f t="shared" si="20"/>
        <v>96.5</v>
      </c>
      <c r="AD28" s="34">
        <f t="shared" si="20"/>
        <v>0</v>
      </c>
      <c r="AE28" s="69">
        <f t="shared" si="20"/>
        <v>73</v>
      </c>
      <c r="AF28" s="69">
        <f t="shared" si="20"/>
        <v>169.5</v>
      </c>
    </row>
    <row r="29" spans="2:32" ht="23.1" customHeight="1" x14ac:dyDescent="0.25">
      <c r="B29" s="23" t="s">
        <v>56</v>
      </c>
      <c r="C29" s="49">
        <f>AVERAGE('23.09. KASANGATI-GAYAZA'!C29,'24.09 Kasangati-Gayaza'!C29,'25.09 Kasangati-Gayaza'!C29,'27.09 Kasangati-Gayaza'!C29,'26.09 Kasangati-Gayaza-24h'!C29,'28.09 Kasangati-Gayaza-24h'!C29,'29.09 Kasangati-Gayaza'!C29)</f>
        <v>46.571428571428569</v>
      </c>
      <c r="D29" s="49">
        <f>AVERAGE('23.09. KASANGATI-GAYAZA'!D29,'24.09 Kasangati-Gayaza'!D29,'25.09 Kasangati-Gayaza'!D29,'27.09 Kasangati-Gayaza'!D29,'26.09 Kasangati-Gayaza-24h'!D29,'28.09 Kasangati-Gayaza-24h'!D29,'29.09 Kasangati-Gayaza'!D29)</f>
        <v>15.857142857142858</v>
      </c>
      <c r="E29" s="49">
        <f>AVERAGE('23.09. KASANGATI-GAYAZA'!E29,'24.09 Kasangati-Gayaza'!E29,'25.09 Kasangati-Gayaza'!E29,'27.09 Kasangati-Gayaza'!E29,'26.09 Kasangati-Gayaza-24h'!E29,'28.09 Kasangati-Gayaza-24h'!E29,'29.09 Kasangati-Gayaza'!E29)</f>
        <v>9.2857142857142865</v>
      </c>
      <c r="F29" s="49">
        <f>AVERAGE('23.09. KASANGATI-GAYAZA'!F29,'24.09 Kasangati-Gayaza'!F29,'25.09 Kasangati-Gayaza'!F29,'27.09 Kasangati-Gayaza'!F29,'26.09 Kasangati-Gayaza-24h'!F29,'28.09 Kasangati-Gayaza-24h'!F29,'29.09 Kasangati-Gayaza'!F29)</f>
        <v>47.285714285714285</v>
      </c>
      <c r="G29" s="49">
        <f>AVERAGE('23.09. KASANGATI-GAYAZA'!G29,'24.09 Kasangati-Gayaza'!G29,'25.09 Kasangati-Gayaza'!G29,'27.09 Kasangati-Gayaza'!G29,'26.09 Kasangati-Gayaza-24h'!G29,'28.09 Kasangati-Gayaza-24h'!G29,'29.09 Kasangati-Gayaza'!G29)</f>
        <v>0.8571428571428571</v>
      </c>
      <c r="H29" s="49">
        <f>AVERAGE('23.09. KASANGATI-GAYAZA'!H29,'24.09 Kasangati-Gayaza'!H29,'25.09 Kasangati-Gayaza'!H29,'27.09 Kasangati-Gayaza'!H29,'26.09 Kasangati-Gayaza-24h'!H29,'28.09 Kasangati-Gayaza-24h'!H29,'29.09 Kasangati-Gayaza'!H29)</f>
        <v>0.5714285714285714</v>
      </c>
      <c r="I29" s="49">
        <f>AVERAGE('23.09. KASANGATI-GAYAZA'!I29,'24.09 Kasangati-Gayaza'!I29,'25.09 Kasangati-Gayaza'!I29,'27.09 Kasangati-Gayaza'!I29,'26.09 Kasangati-Gayaza-24h'!I29,'28.09 Kasangati-Gayaza-24h'!I29,'29.09 Kasangati-Gayaza'!I29)</f>
        <v>8.5714285714285712</v>
      </c>
      <c r="J29" s="49">
        <f>AVERAGE('23.09. KASANGATI-GAYAZA'!J29,'24.09 Kasangati-Gayaza'!J29,'25.09 Kasangati-Gayaza'!J29,'27.09 Kasangati-Gayaza'!J29,'26.09 Kasangati-Gayaza-24h'!J29,'28.09 Kasangati-Gayaza-24h'!J29,'29.09 Kasangati-Gayaza'!J29)</f>
        <v>3.8571428571428572</v>
      </c>
      <c r="K29" s="49">
        <f>AVERAGE('23.09. KASANGATI-GAYAZA'!K29,'24.09 Kasangati-Gayaza'!K29,'25.09 Kasangati-Gayaza'!K29,'27.09 Kasangati-Gayaza'!K29,'26.09 Kasangati-Gayaza-24h'!K29,'28.09 Kasangati-Gayaza-24h'!K29,'29.09 Kasangati-Gayaza'!K29)</f>
        <v>3.5714285714285716</v>
      </c>
      <c r="L29" s="49">
        <f>AVERAGE('23.09. KASANGATI-GAYAZA'!L29,'24.09 Kasangati-Gayaza'!L29,'25.09 Kasangati-Gayaza'!L29,'27.09 Kasangati-Gayaza'!L29,'26.09 Kasangati-Gayaza-24h'!L29,'28.09 Kasangati-Gayaza-24h'!L29,'29.09 Kasangati-Gayaza'!L29)</f>
        <v>0.14285714285714285</v>
      </c>
      <c r="M29" s="49">
        <f>AVERAGE('23.09. KASANGATI-GAYAZA'!M29,'24.09 Kasangati-Gayaza'!M29,'25.09 Kasangati-Gayaza'!M29,'27.09 Kasangati-Gayaza'!M29,'26.09 Kasangati-Gayaza-24h'!M29,'28.09 Kasangati-Gayaza-24h'!M29,'29.09 Kasangati-Gayaza'!M29)</f>
        <v>100.28571428571429</v>
      </c>
      <c r="N29" s="49">
        <f>AVERAGE('23.09. KASANGATI-GAYAZA'!N29,'24.09 Kasangati-Gayaza'!N29,'25.09 Kasangati-Gayaza'!N29,'27.09 Kasangati-Gayaza'!N29,'26.09 Kasangati-Gayaza-24h'!N29,'28.09 Kasangati-Gayaza-24h'!N29,'29.09 Kasangati-Gayaza'!N29)</f>
        <v>0.14285714285714285</v>
      </c>
      <c r="O29" s="15">
        <f t="shared" si="0"/>
        <v>136.71428571428572</v>
      </c>
      <c r="P29" s="15">
        <f t="shared" si="1"/>
        <v>237.00000000000003</v>
      </c>
      <c r="R29" s="1" t="s">
        <v>153</v>
      </c>
      <c r="S29" s="34">
        <f>SUM(C86:C89)</f>
        <v>19.5</v>
      </c>
      <c r="T29" s="34">
        <f t="shared" ref="T29:AF29" si="21">SUM(D86:D89)</f>
        <v>2</v>
      </c>
      <c r="U29" s="34">
        <f t="shared" si="21"/>
        <v>1.5</v>
      </c>
      <c r="V29" s="34">
        <f t="shared" si="21"/>
        <v>5.5</v>
      </c>
      <c r="W29" s="34">
        <f t="shared" si="21"/>
        <v>0</v>
      </c>
      <c r="X29" s="34">
        <f t="shared" si="21"/>
        <v>0</v>
      </c>
      <c r="Y29" s="34">
        <f t="shared" si="21"/>
        <v>5</v>
      </c>
      <c r="Z29" s="34">
        <f t="shared" si="21"/>
        <v>0.5</v>
      </c>
      <c r="AA29" s="34">
        <f t="shared" si="21"/>
        <v>0.5</v>
      </c>
      <c r="AB29" s="34">
        <f t="shared" si="21"/>
        <v>0.5</v>
      </c>
      <c r="AC29" s="34">
        <f t="shared" si="21"/>
        <v>45</v>
      </c>
      <c r="AD29" s="34">
        <f t="shared" si="21"/>
        <v>0</v>
      </c>
      <c r="AE29" s="69">
        <f t="shared" si="21"/>
        <v>35</v>
      </c>
      <c r="AF29" s="69">
        <f t="shared" si="21"/>
        <v>80</v>
      </c>
    </row>
    <row r="30" spans="2:32" ht="23.1" customHeight="1" x14ac:dyDescent="0.25">
      <c r="B30" s="23" t="s">
        <v>57</v>
      </c>
      <c r="C30" s="49">
        <f>AVERAGE('23.09. KASANGATI-GAYAZA'!C30,'24.09 Kasangati-Gayaza'!C30,'25.09 Kasangati-Gayaza'!C30,'27.09 Kasangati-Gayaza'!C30,'26.09 Kasangati-Gayaza-24h'!C30,'28.09 Kasangati-Gayaza-24h'!C30,'29.09 Kasangati-Gayaza'!C30)</f>
        <v>52.714285714285715</v>
      </c>
      <c r="D30" s="49">
        <f>AVERAGE('23.09. KASANGATI-GAYAZA'!D30,'24.09 Kasangati-Gayaza'!D30,'25.09 Kasangati-Gayaza'!D30,'27.09 Kasangati-Gayaza'!D30,'26.09 Kasangati-Gayaza-24h'!D30,'28.09 Kasangati-Gayaza-24h'!D30,'29.09 Kasangati-Gayaza'!D30)</f>
        <v>7.7142857142857144</v>
      </c>
      <c r="E30" s="49">
        <f>AVERAGE('23.09. KASANGATI-GAYAZA'!E30,'24.09 Kasangati-Gayaza'!E30,'25.09 Kasangati-Gayaza'!E30,'27.09 Kasangati-Gayaza'!E30,'26.09 Kasangati-Gayaza-24h'!E30,'28.09 Kasangati-Gayaza-24h'!E30,'29.09 Kasangati-Gayaza'!E30)</f>
        <v>8.1428571428571423</v>
      </c>
      <c r="F30" s="49">
        <f>AVERAGE('23.09. KASANGATI-GAYAZA'!F30,'24.09 Kasangati-Gayaza'!F30,'25.09 Kasangati-Gayaza'!F30,'27.09 Kasangati-Gayaza'!F30,'26.09 Kasangati-Gayaza-24h'!F30,'28.09 Kasangati-Gayaza-24h'!F30,'29.09 Kasangati-Gayaza'!F30)</f>
        <v>55.142857142857146</v>
      </c>
      <c r="G30" s="49">
        <f>AVERAGE('23.09. KASANGATI-GAYAZA'!G30,'24.09 Kasangati-Gayaza'!G30,'25.09 Kasangati-Gayaza'!G30,'27.09 Kasangati-Gayaza'!G30,'26.09 Kasangati-Gayaza-24h'!G30,'28.09 Kasangati-Gayaza-24h'!G30,'29.09 Kasangati-Gayaza'!G30)</f>
        <v>1.8571428571428572</v>
      </c>
      <c r="H30" s="49">
        <f>AVERAGE('23.09. KASANGATI-GAYAZA'!H30,'24.09 Kasangati-Gayaza'!H30,'25.09 Kasangati-Gayaza'!H30,'27.09 Kasangati-Gayaza'!H30,'26.09 Kasangati-Gayaza-24h'!H30,'28.09 Kasangati-Gayaza-24h'!H30,'29.09 Kasangati-Gayaza'!H30)</f>
        <v>0.2857142857142857</v>
      </c>
      <c r="I30" s="49">
        <f>AVERAGE('23.09. KASANGATI-GAYAZA'!I30,'24.09 Kasangati-Gayaza'!I30,'25.09 Kasangati-Gayaza'!I30,'27.09 Kasangati-Gayaza'!I30,'26.09 Kasangati-Gayaza-24h'!I30,'28.09 Kasangati-Gayaza-24h'!I30,'29.09 Kasangati-Gayaza'!I30)</f>
        <v>9.4285714285714288</v>
      </c>
      <c r="J30" s="49">
        <f>AVERAGE('23.09. KASANGATI-GAYAZA'!J30,'24.09 Kasangati-Gayaza'!J30,'25.09 Kasangati-Gayaza'!J30,'27.09 Kasangati-Gayaza'!J30,'26.09 Kasangati-Gayaza-24h'!J30,'28.09 Kasangati-Gayaza-24h'!J30,'29.09 Kasangati-Gayaza'!J30)</f>
        <v>4.4285714285714288</v>
      </c>
      <c r="K30" s="49">
        <f>AVERAGE('23.09. KASANGATI-GAYAZA'!K30,'24.09 Kasangati-Gayaza'!K30,'25.09 Kasangati-Gayaza'!K30,'27.09 Kasangati-Gayaza'!K30,'26.09 Kasangati-Gayaza-24h'!K30,'28.09 Kasangati-Gayaza-24h'!K30,'29.09 Kasangati-Gayaza'!K30)</f>
        <v>4</v>
      </c>
      <c r="L30" s="49">
        <f>AVERAGE('23.09. KASANGATI-GAYAZA'!L30,'24.09 Kasangati-Gayaza'!L30,'25.09 Kasangati-Gayaza'!L30,'27.09 Kasangati-Gayaza'!L30,'26.09 Kasangati-Gayaza-24h'!L30,'28.09 Kasangati-Gayaza-24h'!L30,'29.09 Kasangati-Gayaza'!L30)</f>
        <v>0.14285714285714285</v>
      </c>
      <c r="M30" s="49">
        <f>AVERAGE('23.09. KASANGATI-GAYAZA'!M30,'24.09 Kasangati-Gayaza'!M30,'25.09 Kasangati-Gayaza'!M30,'27.09 Kasangati-Gayaza'!M30,'26.09 Kasangati-Gayaza-24h'!M30,'28.09 Kasangati-Gayaza-24h'!M30,'29.09 Kasangati-Gayaza'!M30)</f>
        <v>93.714285714285708</v>
      </c>
      <c r="N30" s="49">
        <f>AVERAGE('23.09. KASANGATI-GAYAZA'!N30,'24.09 Kasangati-Gayaza'!N30,'25.09 Kasangati-Gayaza'!N30,'27.09 Kasangati-Gayaza'!N30,'26.09 Kasangati-Gayaza-24h'!N30,'28.09 Kasangati-Gayaza-24h'!N30,'29.09 Kasangati-Gayaza'!N30)</f>
        <v>0</v>
      </c>
      <c r="O30" s="15">
        <f t="shared" si="0"/>
        <v>143.85714285714286</v>
      </c>
      <c r="P30" s="15">
        <f t="shared" si="1"/>
        <v>237.57142857142856</v>
      </c>
      <c r="R30" s="1" t="s">
        <v>154</v>
      </c>
      <c r="S30" s="34">
        <f>SUM(C90:C93)</f>
        <v>12</v>
      </c>
      <c r="T30" s="34">
        <f t="shared" ref="T30:AF30" si="22">SUM(D90:D93)</f>
        <v>3</v>
      </c>
      <c r="U30" s="34">
        <f t="shared" si="22"/>
        <v>2.5</v>
      </c>
      <c r="V30" s="34">
        <f t="shared" si="22"/>
        <v>4.5</v>
      </c>
      <c r="W30" s="34">
        <f t="shared" si="22"/>
        <v>0.5</v>
      </c>
      <c r="X30" s="34">
        <f t="shared" si="22"/>
        <v>0</v>
      </c>
      <c r="Y30" s="34">
        <f t="shared" si="22"/>
        <v>4.5</v>
      </c>
      <c r="Z30" s="34">
        <f t="shared" si="22"/>
        <v>2</v>
      </c>
      <c r="AA30" s="34">
        <f t="shared" si="22"/>
        <v>0</v>
      </c>
      <c r="AB30" s="34">
        <f t="shared" si="22"/>
        <v>2</v>
      </c>
      <c r="AC30" s="34">
        <f t="shared" si="22"/>
        <v>31</v>
      </c>
      <c r="AD30" s="34">
        <f t="shared" si="22"/>
        <v>0</v>
      </c>
      <c r="AE30" s="69">
        <f t="shared" si="22"/>
        <v>31</v>
      </c>
      <c r="AF30" s="69">
        <f t="shared" si="22"/>
        <v>62</v>
      </c>
    </row>
    <row r="31" spans="2:32" ht="23.1" customHeight="1" x14ac:dyDescent="0.25">
      <c r="B31" s="24" t="s">
        <v>58</v>
      </c>
      <c r="C31" s="49">
        <f>AVERAGE('23.09. KASANGATI-GAYAZA'!C31,'24.09 Kasangati-Gayaza'!C31,'25.09 Kasangati-Gayaza'!C31,'27.09 Kasangati-Gayaza'!C31,'26.09 Kasangati-Gayaza-24h'!C31,'28.09 Kasangati-Gayaza-24h'!C31,'29.09 Kasangati-Gayaza'!C31)</f>
        <v>55.285714285714285</v>
      </c>
      <c r="D31" s="49">
        <f>AVERAGE('23.09. KASANGATI-GAYAZA'!D31,'24.09 Kasangati-Gayaza'!D31,'25.09 Kasangati-Gayaza'!D31,'27.09 Kasangati-Gayaza'!D31,'26.09 Kasangati-Gayaza-24h'!D31,'28.09 Kasangati-Gayaza-24h'!D31,'29.09 Kasangati-Gayaza'!D31)</f>
        <v>12.714285714285714</v>
      </c>
      <c r="E31" s="49">
        <f>AVERAGE('23.09. KASANGATI-GAYAZA'!E31,'24.09 Kasangati-Gayaza'!E31,'25.09 Kasangati-Gayaza'!E31,'27.09 Kasangati-Gayaza'!E31,'26.09 Kasangati-Gayaza-24h'!E31,'28.09 Kasangati-Gayaza-24h'!E31,'29.09 Kasangati-Gayaza'!E31)</f>
        <v>8.2857142857142865</v>
      </c>
      <c r="F31" s="49">
        <f>AVERAGE('23.09. KASANGATI-GAYAZA'!F31,'24.09 Kasangati-Gayaza'!F31,'25.09 Kasangati-Gayaza'!F31,'27.09 Kasangati-Gayaza'!F31,'26.09 Kasangati-Gayaza-24h'!F31,'28.09 Kasangati-Gayaza-24h'!F31,'29.09 Kasangati-Gayaza'!F31)</f>
        <v>59.285714285714285</v>
      </c>
      <c r="G31" s="49">
        <f>AVERAGE('23.09. KASANGATI-GAYAZA'!G31,'24.09 Kasangati-Gayaza'!G31,'25.09 Kasangati-Gayaza'!G31,'27.09 Kasangati-Gayaza'!G31,'26.09 Kasangati-Gayaza-24h'!G31,'28.09 Kasangati-Gayaza-24h'!G31,'29.09 Kasangati-Gayaza'!G31)</f>
        <v>1.5714285714285714</v>
      </c>
      <c r="H31" s="49">
        <f>AVERAGE('23.09. KASANGATI-GAYAZA'!H31,'24.09 Kasangati-Gayaza'!H31,'25.09 Kasangati-Gayaza'!H31,'27.09 Kasangati-Gayaza'!H31,'26.09 Kasangati-Gayaza-24h'!H31,'28.09 Kasangati-Gayaza-24h'!H31,'29.09 Kasangati-Gayaza'!H31)</f>
        <v>0.5714285714285714</v>
      </c>
      <c r="I31" s="49">
        <f>AVERAGE('23.09. KASANGATI-GAYAZA'!I31,'24.09 Kasangati-Gayaza'!I31,'25.09 Kasangati-Gayaza'!I31,'27.09 Kasangati-Gayaza'!I31,'26.09 Kasangati-Gayaza-24h'!I31,'28.09 Kasangati-Gayaza-24h'!I31,'29.09 Kasangati-Gayaza'!I31)</f>
        <v>12.714285714285714</v>
      </c>
      <c r="J31" s="49">
        <f>AVERAGE('23.09. KASANGATI-GAYAZA'!J31,'24.09 Kasangati-Gayaza'!J31,'25.09 Kasangati-Gayaza'!J31,'27.09 Kasangati-Gayaza'!J31,'26.09 Kasangati-Gayaza-24h'!J31,'28.09 Kasangati-Gayaza-24h'!J31,'29.09 Kasangati-Gayaza'!J31)</f>
        <v>3.2857142857142856</v>
      </c>
      <c r="K31" s="49">
        <f>AVERAGE('23.09. KASANGATI-GAYAZA'!K31,'24.09 Kasangati-Gayaza'!K31,'25.09 Kasangati-Gayaza'!K31,'27.09 Kasangati-Gayaza'!K31,'26.09 Kasangati-Gayaza-24h'!K31,'28.09 Kasangati-Gayaza-24h'!K31,'29.09 Kasangati-Gayaza'!K31)</f>
        <v>3.4285714285714284</v>
      </c>
      <c r="L31" s="49">
        <f>AVERAGE('23.09. KASANGATI-GAYAZA'!L31,'24.09 Kasangati-Gayaza'!L31,'25.09 Kasangati-Gayaza'!L31,'27.09 Kasangati-Gayaza'!L31,'26.09 Kasangati-Gayaza-24h'!L31,'28.09 Kasangati-Gayaza-24h'!L31,'29.09 Kasangati-Gayaza'!L31)</f>
        <v>0.14285714285714285</v>
      </c>
      <c r="M31" s="49">
        <f>AVERAGE('23.09. KASANGATI-GAYAZA'!M31,'24.09 Kasangati-Gayaza'!M31,'25.09 Kasangati-Gayaza'!M31,'27.09 Kasangati-Gayaza'!M31,'26.09 Kasangati-Gayaza-24h'!M31,'28.09 Kasangati-Gayaza-24h'!M31,'29.09 Kasangati-Gayaza'!M31)</f>
        <v>95.285714285714292</v>
      </c>
      <c r="N31" s="49">
        <f>AVERAGE('23.09. KASANGATI-GAYAZA'!N31,'24.09 Kasangati-Gayaza'!N31,'25.09 Kasangati-Gayaza'!N31,'27.09 Kasangati-Gayaza'!N31,'26.09 Kasangati-Gayaza-24h'!N31,'28.09 Kasangati-Gayaza-24h'!N31,'29.09 Kasangati-Gayaza'!N31)</f>
        <v>0</v>
      </c>
      <c r="O31" s="15">
        <f t="shared" si="0"/>
        <v>157.28571428571431</v>
      </c>
      <c r="P31" s="15">
        <f t="shared" si="1"/>
        <v>252.57142857142861</v>
      </c>
      <c r="R31" s="1" t="s">
        <v>155</v>
      </c>
      <c r="S31" s="34">
        <f>SUM(C94:C97)</f>
        <v>6.5</v>
      </c>
      <c r="T31" s="34">
        <f t="shared" ref="T31:AF31" si="23">SUM(D94:D97)</f>
        <v>3</v>
      </c>
      <c r="U31" s="34">
        <f t="shared" si="23"/>
        <v>2.5</v>
      </c>
      <c r="V31" s="34">
        <f t="shared" si="23"/>
        <v>7.5</v>
      </c>
      <c r="W31" s="34">
        <f t="shared" si="23"/>
        <v>0.5</v>
      </c>
      <c r="X31" s="34">
        <f t="shared" si="23"/>
        <v>0</v>
      </c>
      <c r="Y31" s="34">
        <f t="shared" si="23"/>
        <v>4.5</v>
      </c>
      <c r="Z31" s="34">
        <f t="shared" si="23"/>
        <v>3</v>
      </c>
      <c r="AA31" s="34">
        <f t="shared" si="23"/>
        <v>0</v>
      </c>
      <c r="AB31" s="34">
        <f t="shared" si="23"/>
        <v>0.5</v>
      </c>
      <c r="AC31" s="34">
        <f t="shared" si="23"/>
        <v>46</v>
      </c>
      <c r="AD31" s="34">
        <f t="shared" si="23"/>
        <v>0</v>
      </c>
      <c r="AE31" s="69">
        <f t="shared" si="23"/>
        <v>28</v>
      </c>
      <c r="AF31" s="69">
        <f t="shared" si="23"/>
        <v>74</v>
      </c>
    </row>
    <row r="32" spans="2:32" ht="23.1" customHeight="1" x14ac:dyDescent="0.25">
      <c r="B32" s="24" t="s">
        <v>59</v>
      </c>
      <c r="C32" s="49">
        <f>AVERAGE('23.09. KASANGATI-GAYAZA'!C32,'24.09 Kasangati-Gayaza'!C32,'25.09 Kasangati-Gayaza'!C32,'27.09 Kasangati-Gayaza'!C32,'26.09 Kasangati-Gayaza-24h'!C32,'28.09 Kasangati-Gayaza-24h'!C32,'29.09 Kasangati-Gayaza'!C32)</f>
        <v>60.428571428571431</v>
      </c>
      <c r="D32" s="49">
        <f>AVERAGE('23.09. KASANGATI-GAYAZA'!D32,'24.09 Kasangati-Gayaza'!D32,'25.09 Kasangati-Gayaza'!D32,'27.09 Kasangati-Gayaza'!D32,'26.09 Kasangati-Gayaza-24h'!D32,'28.09 Kasangati-Gayaza-24h'!D32,'29.09 Kasangati-Gayaza'!D32)</f>
        <v>8.2857142857142865</v>
      </c>
      <c r="E32" s="49">
        <f>AVERAGE('23.09. KASANGATI-GAYAZA'!E32,'24.09 Kasangati-Gayaza'!E32,'25.09 Kasangati-Gayaza'!E32,'27.09 Kasangati-Gayaza'!E32,'26.09 Kasangati-Gayaza-24h'!E32,'28.09 Kasangati-Gayaza-24h'!E32,'29.09 Kasangati-Gayaza'!E32)</f>
        <v>7.7142857142857144</v>
      </c>
      <c r="F32" s="49">
        <f>AVERAGE('23.09. KASANGATI-GAYAZA'!F32,'24.09 Kasangati-Gayaza'!F32,'25.09 Kasangati-Gayaza'!F32,'27.09 Kasangati-Gayaza'!F32,'26.09 Kasangati-Gayaza-24h'!F32,'28.09 Kasangati-Gayaza-24h'!F32,'29.09 Kasangati-Gayaza'!F32)</f>
        <v>52.428571428571431</v>
      </c>
      <c r="G32" s="49">
        <f>AVERAGE('23.09. KASANGATI-GAYAZA'!G32,'24.09 Kasangati-Gayaza'!G32,'25.09 Kasangati-Gayaza'!G32,'27.09 Kasangati-Gayaza'!G32,'26.09 Kasangati-Gayaza-24h'!G32,'28.09 Kasangati-Gayaza-24h'!G32,'29.09 Kasangati-Gayaza'!G32)</f>
        <v>1.2857142857142858</v>
      </c>
      <c r="H32" s="49">
        <f>AVERAGE('23.09. KASANGATI-GAYAZA'!H32,'24.09 Kasangati-Gayaza'!H32,'25.09 Kasangati-Gayaza'!H32,'27.09 Kasangati-Gayaza'!H32,'26.09 Kasangati-Gayaza-24h'!H32,'28.09 Kasangati-Gayaza-24h'!H32,'29.09 Kasangati-Gayaza'!H32)</f>
        <v>0.2857142857142857</v>
      </c>
      <c r="I32" s="49">
        <f>AVERAGE('23.09. KASANGATI-GAYAZA'!I32,'24.09 Kasangati-Gayaza'!I32,'25.09 Kasangati-Gayaza'!I32,'27.09 Kasangati-Gayaza'!I32,'26.09 Kasangati-Gayaza-24h'!I32,'28.09 Kasangati-Gayaza-24h'!I32,'29.09 Kasangati-Gayaza'!I32)</f>
        <v>9.2857142857142865</v>
      </c>
      <c r="J32" s="49">
        <f>AVERAGE('23.09. KASANGATI-GAYAZA'!J32,'24.09 Kasangati-Gayaza'!J32,'25.09 Kasangati-Gayaza'!J32,'27.09 Kasangati-Gayaza'!J32,'26.09 Kasangati-Gayaza-24h'!J32,'28.09 Kasangati-Gayaza-24h'!J32,'29.09 Kasangati-Gayaza'!J32)</f>
        <v>3.4285714285714284</v>
      </c>
      <c r="K32" s="49">
        <f>AVERAGE('23.09. KASANGATI-GAYAZA'!K32,'24.09 Kasangati-Gayaza'!K32,'25.09 Kasangati-Gayaza'!K32,'27.09 Kasangati-Gayaza'!K32,'26.09 Kasangati-Gayaza-24h'!K32,'28.09 Kasangati-Gayaza-24h'!K32,'29.09 Kasangati-Gayaza'!K32)</f>
        <v>1.7142857142857142</v>
      </c>
      <c r="L32" s="49">
        <f>AVERAGE('23.09. KASANGATI-GAYAZA'!L32,'24.09 Kasangati-Gayaza'!L32,'25.09 Kasangati-Gayaza'!L32,'27.09 Kasangati-Gayaza'!L32,'26.09 Kasangati-Gayaza-24h'!L32,'28.09 Kasangati-Gayaza-24h'!L32,'29.09 Kasangati-Gayaza'!L32)</f>
        <v>0.8571428571428571</v>
      </c>
      <c r="M32" s="49">
        <f>AVERAGE('23.09. KASANGATI-GAYAZA'!M32,'24.09 Kasangati-Gayaza'!M32,'25.09 Kasangati-Gayaza'!M32,'27.09 Kasangati-Gayaza'!M32,'26.09 Kasangati-Gayaza-24h'!M32,'28.09 Kasangati-Gayaza-24h'!M32,'29.09 Kasangati-Gayaza'!M32)</f>
        <v>93.714285714285708</v>
      </c>
      <c r="N32" s="49">
        <f>AVERAGE('23.09. KASANGATI-GAYAZA'!N32,'24.09 Kasangati-Gayaza'!N32,'25.09 Kasangati-Gayaza'!N32,'27.09 Kasangati-Gayaza'!N32,'26.09 Kasangati-Gayaza-24h'!N32,'28.09 Kasangati-Gayaza-24h'!N32,'29.09 Kasangati-Gayaza'!N32)</f>
        <v>0</v>
      </c>
      <c r="O32" s="15">
        <f t="shared" si="0"/>
        <v>145.71428571428569</v>
      </c>
      <c r="P32" s="15">
        <f t="shared" si="1"/>
        <v>239.42857142857139</v>
      </c>
      <c r="R32" s="1" t="s">
        <v>156</v>
      </c>
      <c r="S32" s="34">
        <f>SUM(C98:C101)</f>
        <v>28</v>
      </c>
      <c r="T32" s="34">
        <f t="shared" ref="T32:AF32" si="24">SUM(D98:D101)</f>
        <v>2</v>
      </c>
      <c r="U32" s="34">
        <f t="shared" si="24"/>
        <v>9.5</v>
      </c>
      <c r="V32" s="34">
        <f t="shared" si="24"/>
        <v>28</v>
      </c>
      <c r="W32" s="34">
        <f t="shared" si="24"/>
        <v>1</v>
      </c>
      <c r="X32" s="34">
        <f t="shared" si="24"/>
        <v>0</v>
      </c>
      <c r="Y32" s="34">
        <f t="shared" si="24"/>
        <v>14</v>
      </c>
      <c r="Z32" s="34">
        <f t="shared" si="24"/>
        <v>5.5</v>
      </c>
      <c r="AA32" s="34">
        <f t="shared" si="24"/>
        <v>0</v>
      </c>
      <c r="AB32" s="34">
        <f t="shared" si="24"/>
        <v>3</v>
      </c>
      <c r="AC32" s="34">
        <f t="shared" si="24"/>
        <v>51</v>
      </c>
      <c r="AD32" s="34">
        <f t="shared" si="24"/>
        <v>0</v>
      </c>
      <c r="AE32" s="69">
        <f t="shared" si="24"/>
        <v>91</v>
      </c>
      <c r="AF32" s="69">
        <f t="shared" si="24"/>
        <v>142</v>
      </c>
    </row>
    <row r="33" spans="2:32" ht="23.1" customHeight="1" x14ac:dyDescent="0.25">
      <c r="B33" s="23" t="s">
        <v>60</v>
      </c>
      <c r="C33" s="49">
        <f>AVERAGE('23.09. KASANGATI-GAYAZA'!C33,'24.09 Kasangati-Gayaza'!C33,'25.09 Kasangati-Gayaza'!C33,'27.09 Kasangati-Gayaza'!C33,'26.09 Kasangati-Gayaza-24h'!C33,'28.09 Kasangati-Gayaza-24h'!C33,'29.09 Kasangati-Gayaza'!C33)</f>
        <v>61.142857142857146</v>
      </c>
      <c r="D33" s="49">
        <f>AVERAGE('23.09. KASANGATI-GAYAZA'!D33,'24.09 Kasangati-Gayaza'!D33,'25.09 Kasangati-Gayaza'!D33,'27.09 Kasangati-Gayaza'!D33,'26.09 Kasangati-Gayaza-24h'!D33,'28.09 Kasangati-Gayaza-24h'!D33,'29.09 Kasangati-Gayaza'!D33)</f>
        <v>13</v>
      </c>
      <c r="E33" s="49">
        <f>AVERAGE('23.09. KASANGATI-GAYAZA'!E33,'24.09 Kasangati-Gayaza'!E33,'25.09 Kasangati-Gayaza'!E33,'27.09 Kasangati-Gayaza'!E33,'26.09 Kasangati-Gayaza-24h'!E33,'28.09 Kasangati-Gayaza-24h'!E33,'29.09 Kasangati-Gayaza'!E33)</f>
        <v>8.2857142857142865</v>
      </c>
      <c r="F33" s="49">
        <f>AVERAGE('23.09. KASANGATI-GAYAZA'!F33,'24.09 Kasangati-Gayaza'!F33,'25.09 Kasangati-Gayaza'!F33,'27.09 Kasangati-Gayaza'!F33,'26.09 Kasangati-Gayaza-24h'!F33,'28.09 Kasangati-Gayaza-24h'!F33,'29.09 Kasangati-Gayaza'!F33)</f>
        <v>61.857142857142854</v>
      </c>
      <c r="G33" s="49">
        <f>AVERAGE('23.09. KASANGATI-GAYAZA'!G33,'24.09 Kasangati-Gayaza'!G33,'25.09 Kasangati-Gayaza'!G33,'27.09 Kasangati-Gayaza'!G33,'26.09 Kasangati-Gayaza-24h'!G33,'28.09 Kasangati-Gayaza-24h'!G33,'29.09 Kasangati-Gayaza'!G33)</f>
        <v>1.1428571428571428</v>
      </c>
      <c r="H33" s="49">
        <f>AVERAGE('23.09. KASANGATI-GAYAZA'!H33,'24.09 Kasangati-Gayaza'!H33,'25.09 Kasangati-Gayaza'!H33,'27.09 Kasangati-Gayaza'!H33,'26.09 Kasangati-Gayaza-24h'!H33,'28.09 Kasangati-Gayaza-24h'!H33,'29.09 Kasangati-Gayaza'!H33)</f>
        <v>0.2857142857142857</v>
      </c>
      <c r="I33" s="49">
        <f>AVERAGE('23.09. KASANGATI-GAYAZA'!I33,'24.09 Kasangati-Gayaza'!I33,'25.09 Kasangati-Gayaza'!I33,'27.09 Kasangati-Gayaza'!I33,'26.09 Kasangati-Gayaza-24h'!I33,'28.09 Kasangati-Gayaza-24h'!I33,'29.09 Kasangati-Gayaza'!I33)</f>
        <v>8.8571428571428577</v>
      </c>
      <c r="J33" s="49">
        <f>AVERAGE('23.09. KASANGATI-GAYAZA'!J33,'24.09 Kasangati-Gayaza'!J33,'25.09 Kasangati-Gayaza'!J33,'27.09 Kasangati-Gayaza'!J33,'26.09 Kasangati-Gayaza-24h'!J33,'28.09 Kasangati-Gayaza-24h'!J33,'29.09 Kasangati-Gayaza'!J33)</f>
        <v>8</v>
      </c>
      <c r="K33" s="49">
        <f>AVERAGE('23.09. KASANGATI-GAYAZA'!K33,'24.09 Kasangati-Gayaza'!K33,'25.09 Kasangati-Gayaza'!K33,'27.09 Kasangati-Gayaza'!K33,'26.09 Kasangati-Gayaza-24h'!K33,'28.09 Kasangati-Gayaza-24h'!K33,'29.09 Kasangati-Gayaza'!K33)</f>
        <v>3.1428571428571428</v>
      </c>
      <c r="L33" s="49">
        <f>AVERAGE('23.09. KASANGATI-GAYAZA'!L33,'24.09 Kasangati-Gayaza'!L33,'25.09 Kasangati-Gayaza'!L33,'27.09 Kasangati-Gayaza'!L33,'26.09 Kasangati-Gayaza-24h'!L33,'28.09 Kasangati-Gayaza-24h'!L33,'29.09 Kasangati-Gayaza'!L33)</f>
        <v>0.2857142857142857</v>
      </c>
      <c r="M33" s="49">
        <f>AVERAGE('23.09. KASANGATI-GAYAZA'!M33,'24.09 Kasangati-Gayaza'!M33,'25.09 Kasangati-Gayaza'!M33,'27.09 Kasangati-Gayaza'!M33,'26.09 Kasangati-Gayaza-24h'!M33,'28.09 Kasangati-Gayaza-24h'!M33,'29.09 Kasangati-Gayaza'!M33)</f>
        <v>66.714285714285708</v>
      </c>
      <c r="N33" s="49">
        <f>AVERAGE('23.09. KASANGATI-GAYAZA'!N33,'24.09 Kasangati-Gayaza'!N33,'25.09 Kasangati-Gayaza'!N33,'27.09 Kasangati-Gayaza'!N33,'26.09 Kasangati-Gayaza-24h'!N33,'28.09 Kasangati-Gayaza-24h'!N33,'29.09 Kasangati-Gayaza'!N33)</f>
        <v>0</v>
      </c>
      <c r="O33" s="15">
        <f t="shared" si="0"/>
        <v>165.99999999999997</v>
      </c>
      <c r="P33" s="15">
        <f t="shared" si="1"/>
        <v>232.71428571428567</v>
      </c>
      <c r="R33" s="1" t="s">
        <v>157</v>
      </c>
      <c r="S33" s="34">
        <f>SUM(C102:C105)</f>
        <v>44</v>
      </c>
      <c r="T33" s="34">
        <f t="shared" ref="T33:AF33" si="25">SUM(D102:D105)</f>
        <v>8</v>
      </c>
      <c r="U33" s="34">
        <f t="shared" si="25"/>
        <v>8.5</v>
      </c>
      <c r="V33" s="34">
        <f t="shared" si="25"/>
        <v>53.5</v>
      </c>
      <c r="W33" s="34">
        <f t="shared" si="25"/>
        <v>0.5</v>
      </c>
      <c r="X33" s="34">
        <f t="shared" si="25"/>
        <v>0</v>
      </c>
      <c r="Y33" s="34">
        <f t="shared" si="25"/>
        <v>26.5</v>
      </c>
      <c r="Z33" s="34">
        <f t="shared" si="25"/>
        <v>8.5</v>
      </c>
      <c r="AA33" s="34">
        <f t="shared" si="25"/>
        <v>1.5</v>
      </c>
      <c r="AB33" s="34">
        <f t="shared" si="25"/>
        <v>6.5</v>
      </c>
      <c r="AC33" s="34">
        <f t="shared" si="25"/>
        <v>105</v>
      </c>
      <c r="AD33" s="34">
        <f t="shared" si="25"/>
        <v>0</v>
      </c>
      <c r="AE33" s="69">
        <f t="shared" si="25"/>
        <v>157.5</v>
      </c>
      <c r="AF33" s="69">
        <f t="shared" si="25"/>
        <v>262.5</v>
      </c>
    </row>
    <row r="34" spans="2:32" ht="23.1" customHeight="1" x14ac:dyDescent="0.25">
      <c r="B34" s="24" t="s">
        <v>61</v>
      </c>
      <c r="C34" s="49">
        <f>AVERAGE('23.09. KASANGATI-GAYAZA'!C34,'24.09 Kasangati-Gayaza'!C34,'25.09 Kasangati-Gayaza'!C34,'27.09 Kasangati-Gayaza'!C34,'26.09 Kasangati-Gayaza-24h'!C34,'28.09 Kasangati-Gayaza-24h'!C34,'29.09 Kasangati-Gayaza'!C34)</f>
        <v>41.285714285714285</v>
      </c>
      <c r="D34" s="49">
        <f>AVERAGE('23.09. KASANGATI-GAYAZA'!D34,'24.09 Kasangati-Gayaza'!D34,'25.09 Kasangati-Gayaza'!D34,'27.09 Kasangati-Gayaza'!D34,'26.09 Kasangati-Gayaza-24h'!D34,'28.09 Kasangati-Gayaza-24h'!D34,'29.09 Kasangati-Gayaza'!D34)</f>
        <v>18.857142857142858</v>
      </c>
      <c r="E34" s="49">
        <f>AVERAGE('23.09. KASANGATI-GAYAZA'!E34,'24.09 Kasangati-Gayaza'!E34,'25.09 Kasangati-Gayaza'!E34,'27.09 Kasangati-Gayaza'!E34,'26.09 Kasangati-Gayaza-24h'!E34,'28.09 Kasangati-Gayaza-24h'!E34,'29.09 Kasangati-Gayaza'!E34)</f>
        <v>6.2857142857142856</v>
      </c>
      <c r="F34" s="49">
        <f>AVERAGE('23.09. KASANGATI-GAYAZA'!F34,'24.09 Kasangati-Gayaza'!F34,'25.09 Kasangati-Gayaza'!F34,'27.09 Kasangati-Gayaza'!F34,'26.09 Kasangati-Gayaza-24h'!F34,'28.09 Kasangati-Gayaza-24h'!F34,'29.09 Kasangati-Gayaza'!F34)</f>
        <v>49.571428571428569</v>
      </c>
      <c r="G34" s="49">
        <f>AVERAGE('23.09. KASANGATI-GAYAZA'!G34,'24.09 Kasangati-Gayaza'!G34,'25.09 Kasangati-Gayaza'!G34,'27.09 Kasangati-Gayaza'!G34,'26.09 Kasangati-Gayaza-24h'!G34,'28.09 Kasangati-Gayaza-24h'!G34,'29.09 Kasangati-Gayaza'!G34)</f>
        <v>0.7142857142857143</v>
      </c>
      <c r="H34" s="49">
        <f>AVERAGE('23.09. KASANGATI-GAYAZA'!H34,'24.09 Kasangati-Gayaza'!H34,'25.09 Kasangati-Gayaza'!H34,'27.09 Kasangati-Gayaza'!H34,'26.09 Kasangati-Gayaza-24h'!H34,'28.09 Kasangati-Gayaza-24h'!H34,'29.09 Kasangati-Gayaza'!H34)</f>
        <v>0.2857142857142857</v>
      </c>
      <c r="I34" s="49">
        <f>AVERAGE('23.09. KASANGATI-GAYAZA'!I34,'24.09 Kasangati-Gayaza'!I34,'25.09 Kasangati-Gayaza'!I34,'27.09 Kasangati-Gayaza'!I34,'26.09 Kasangati-Gayaza-24h'!I34,'28.09 Kasangati-Gayaza-24h'!I34,'29.09 Kasangati-Gayaza'!I34)</f>
        <v>11.428571428571429</v>
      </c>
      <c r="J34" s="49">
        <f>AVERAGE('23.09. KASANGATI-GAYAZA'!J34,'24.09 Kasangati-Gayaza'!J34,'25.09 Kasangati-Gayaza'!J34,'27.09 Kasangati-Gayaza'!J34,'26.09 Kasangati-Gayaza-24h'!J34,'28.09 Kasangati-Gayaza-24h'!J34,'29.09 Kasangati-Gayaza'!J34)</f>
        <v>4.1428571428571432</v>
      </c>
      <c r="K34" s="49">
        <f>AVERAGE('23.09. KASANGATI-GAYAZA'!K34,'24.09 Kasangati-Gayaza'!K34,'25.09 Kasangati-Gayaza'!K34,'27.09 Kasangati-Gayaza'!K34,'26.09 Kasangati-Gayaza-24h'!K34,'28.09 Kasangati-Gayaza-24h'!K34,'29.09 Kasangati-Gayaza'!K34)</f>
        <v>2.8571428571428572</v>
      </c>
      <c r="L34" s="49">
        <f>AVERAGE('23.09. KASANGATI-GAYAZA'!L34,'24.09 Kasangati-Gayaza'!L34,'25.09 Kasangati-Gayaza'!L34,'27.09 Kasangati-Gayaza'!L34,'26.09 Kasangati-Gayaza-24h'!L34,'28.09 Kasangati-Gayaza-24h'!L34,'29.09 Kasangati-Gayaza'!L34)</f>
        <v>0.14285714285714285</v>
      </c>
      <c r="M34" s="49">
        <f>AVERAGE('23.09. KASANGATI-GAYAZA'!M34,'24.09 Kasangati-Gayaza'!M34,'25.09 Kasangati-Gayaza'!M34,'27.09 Kasangati-Gayaza'!M34,'26.09 Kasangati-Gayaza-24h'!M34,'28.09 Kasangati-Gayaza-24h'!M34,'29.09 Kasangati-Gayaza'!M34)</f>
        <v>75.428571428571431</v>
      </c>
      <c r="N34" s="49">
        <f>AVERAGE('23.09. KASANGATI-GAYAZA'!N34,'24.09 Kasangati-Gayaza'!N34,'25.09 Kasangati-Gayaza'!N34,'27.09 Kasangati-Gayaza'!N34,'26.09 Kasangati-Gayaza-24h'!N34,'28.09 Kasangati-Gayaza-24h'!N34,'29.09 Kasangati-Gayaza'!N34)</f>
        <v>0</v>
      </c>
      <c r="O34" s="15">
        <f t="shared" si="0"/>
        <v>135.57142857142856</v>
      </c>
      <c r="P34" s="15">
        <f t="shared" si="1"/>
        <v>211</v>
      </c>
      <c r="R34" s="38" t="s">
        <v>90</v>
      </c>
      <c r="S34" s="39">
        <f t="shared" ref="S34:AF34" si="26">MAX(S10:S12)</f>
        <v>163.71428571428572</v>
      </c>
      <c r="T34" s="39">
        <f t="shared" si="26"/>
        <v>41.857142857142861</v>
      </c>
      <c r="U34" s="39">
        <f t="shared" si="26"/>
        <v>30.857142857142858</v>
      </c>
      <c r="V34" s="39">
        <f t="shared" si="26"/>
        <v>176.42857142857142</v>
      </c>
      <c r="W34" s="39">
        <f t="shared" si="26"/>
        <v>3</v>
      </c>
      <c r="X34" s="39">
        <f t="shared" si="26"/>
        <v>1.4285714285714284</v>
      </c>
      <c r="Y34" s="39">
        <f t="shared" si="26"/>
        <v>41.714285714285708</v>
      </c>
      <c r="Z34" s="39">
        <f t="shared" si="26"/>
        <v>15.428571428571427</v>
      </c>
      <c r="AA34" s="39">
        <f t="shared" si="26"/>
        <v>13</v>
      </c>
      <c r="AB34" s="39">
        <f t="shared" si="26"/>
        <v>1</v>
      </c>
      <c r="AC34" s="39">
        <f t="shared" si="26"/>
        <v>451</v>
      </c>
      <c r="AD34" s="39">
        <f t="shared" si="26"/>
        <v>0</v>
      </c>
      <c r="AE34" s="40">
        <f t="shared" si="26"/>
        <v>484.71428571428572</v>
      </c>
      <c r="AF34" s="40">
        <f t="shared" si="26"/>
        <v>935</v>
      </c>
    </row>
    <row r="35" spans="2:32" ht="23.1" customHeight="1" x14ac:dyDescent="0.25">
      <c r="B35" s="24" t="s">
        <v>62</v>
      </c>
      <c r="C35" s="49">
        <f>AVERAGE('23.09. KASANGATI-GAYAZA'!C35,'24.09 Kasangati-Gayaza'!C35,'25.09 Kasangati-Gayaza'!C35,'27.09 Kasangati-Gayaza'!C35,'26.09 Kasangati-Gayaza-24h'!C35,'28.09 Kasangati-Gayaza-24h'!C35,'29.09 Kasangati-Gayaza'!C35)</f>
        <v>43.571428571428569</v>
      </c>
      <c r="D35" s="49">
        <f>AVERAGE('23.09. KASANGATI-GAYAZA'!D35,'24.09 Kasangati-Gayaza'!D35,'25.09 Kasangati-Gayaza'!D35,'27.09 Kasangati-Gayaza'!D35,'26.09 Kasangati-Gayaza-24h'!D35,'28.09 Kasangati-Gayaza-24h'!D35,'29.09 Kasangati-Gayaza'!D35)</f>
        <v>7</v>
      </c>
      <c r="E35" s="49">
        <f>AVERAGE('23.09. KASANGATI-GAYAZA'!E35,'24.09 Kasangati-Gayaza'!E35,'25.09 Kasangati-Gayaza'!E35,'27.09 Kasangati-Gayaza'!E35,'26.09 Kasangati-Gayaza-24h'!E35,'28.09 Kasangati-Gayaza-24h'!E35,'29.09 Kasangati-Gayaza'!E35)</f>
        <v>5.7142857142857144</v>
      </c>
      <c r="F35" s="49">
        <f>AVERAGE('23.09. KASANGATI-GAYAZA'!F35,'24.09 Kasangati-Gayaza'!F35,'25.09 Kasangati-Gayaza'!F35,'27.09 Kasangati-Gayaza'!F35,'26.09 Kasangati-Gayaza-24h'!F35,'28.09 Kasangati-Gayaza-24h'!F35,'29.09 Kasangati-Gayaza'!F35)</f>
        <v>46.857142857142854</v>
      </c>
      <c r="G35" s="49">
        <f>AVERAGE('23.09. KASANGATI-GAYAZA'!G35,'24.09 Kasangati-Gayaza'!G35,'25.09 Kasangati-Gayaza'!G35,'27.09 Kasangati-Gayaza'!G35,'26.09 Kasangati-Gayaza-24h'!G35,'28.09 Kasangati-Gayaza-24h'!G35,'29.09 Kasangati-Gayaza'!G35)</f>
        <v>0.42857142857142855</v>
      </c>
      <c r="H35" s="49">
        <f>AVERAGE('23.09. KASANGATI-GAYAZA'!H35,'24.09 Kasangati-Gayaza'!H35,'25.09 Kasangati-Gayaza'!H35,'27.09 Kasangati-Gayaza'!H35,'26.09 Kasangati-Gayaza-24h'!H35,'28.09 Kasangati-Gayaza-24h'!H35,'29.09 Kasangati-Gayaza'!H35)</f>
        <v>0.5714285714285714</v>
      </c>
      <c r="I35" s="49">
        <f>AVERAGE('23.09. KASANGATI-GAYAZA'!I35,'24.09 Kasangati-Gayaza'!I35,'25.09 Kasangati-Gayaza'!I35,'27.09 Kasangati-Gayaza'!I35,'26.09 Kasangati-Gayaza-24h'!I35,'28.09 Kasangati-Gayaza-24h'!I35,'29.09 Kasangati-Gayaza'!I35)</f>
        <v>9.2857142857142865</v>
      </c>
      <c r="J35" s="49">
        <f>AVERAGE('23.09. KASANGATI-GAYAZA'!J35,'24.09 Kasangati-Gayaza'!J35,'25.09 Kasangati-Gayaza'!J35,'27.09 Kasangati-Gayaza'!J35,'26.09 Kasangati-Gayaza-24h'!J35,'28.09 Kasangati-Gayaza-24h'!J35,'29.09 Kasangati-Gayaza'!J35)</f>
        <v>3.8571428571428572</v>
      </c>
      <c r="K35" s="49">
        <f>AVERAGE('23.09. KASANGATI-GAYAZA'!K35,'24.09 Kasangati-Gayaza'!K35,'25.09 Kasangati-Gayaza'!K35,'27.09 Kasangati-Gayaza'!K35,'26.09 Kasangati-Gayaza-24h'!K35,'28.09 Kasangati-Gayaza-24h'!K35,'29.09 Kasangati-Gayaza'!K35)</f>
        <v>2.8571428571428572</v>
      </c>
      <c r="L35" s="49">
        <f>AVERAGE('23.09. KASANGATI-GAYAZA'!L35,'24.09 Kasangati-Gayaza'!L35,'25.09 Kasangati-Gayaza'!L35,'27.09 Kasangati-Gayaza'!L35,'26.09 Kasangati-Gayaza-24h'!L35,'28.09 Kasangati-Gayaza-24h'!L35,'29.09 Kasangati-Gayaza'!L35)</f>
        <v>0.2857142857142857</v>
      </c>
      <c r="M35" s="49">
        <f>AVERAGE('23.09. KASANGATI-GAYAZA'!M35,'24.09 Kasangati-Gayaza'!M35,'25.09 Kasangati-Gayaza'!M35,'27.09 Kasangati-Gayaza'!M35,'26.09 Kasangati-Gayaza-24h'!M35,'28.09 Kasangati-Gayaza-24h'!M35,'29.09 Kasangati-Gayaza'!M35)</f>
        <v>76.428571428571431</v>
      </c>
      <c r="N35" s="49">
        <f>AVERAGE('23.09. KASANGATI-GAYAZA'!N35,'24.09 Kasangati-Gayaza'!N35,'25.09 Kasangati-Gayaza'!N35,'27.09 Kasangati-Gayaza'!N35,'26.09 Kasangati-Gayaza-24h'!N35,'28.09 Kasangati-Gayaza-24h'!N35,'29.09 Kasangati-Gayaza'!N35)</f>
        <v>0</v>
      </c>
      <c r="O35" s="15">
        <f t="shared" si="0"/>
        <v>120.42857142857144</v>
      </c>
      <c r="P35" s="15">
        <f t="shared" si="1"/>
        <v>196.85714285714289</v>
      </c>
      <c r="R35" s="38" t="s">
        <v>91</v>
      </c>
      <c r="S35" s="39">
        <f t="shared" ref="S35:AF35" si="27">MAX(S13:S18)</f>
        <v>229.57142857142858</v>
      </c>
      <c r="T35" s="39">
        <f t="shared" si="27"/>
        <v>60.428571428571431</v>
      </c>
      <c r="U35" s="39">
        <f t="shared" si="27"/>
        <v>36.857142857142854</v>
      </c>
      <c r="V35" s="39">
        <f t="shared" si="27"/>
        <v>228.71428571428572</v>
      </c>
      <c r="W35" s="39">
        <f t="shared" si="27"/>
        <v>5.8571428571428577</v>
      </c>
      <c r="X35" s="39">
        <f t="shared" si="27"/>
        <v>3.1428571428571428</v>
      </c>
      <c r="Y35" s="39">
        <f t="shared" si="27"/>
        <v>42</v>
      </c>
      <c r="Z35" s="39">
        <f t="shared" si="27"/>
        <v>19.142857142857142</v>
      </c>
      <c r="AA35" s="39">
        <f t="shared" si="27"/>
        <v>17.714285714285715</v>
      </c>
      <c r="AB35" s="39">
        <f t="shared" si="27"/>
        <v>1.4285714285714284</v>
      </c>
      <c r="AC35" s="39">
        <f t="shared" si="27"/>
        <v>438.85714285714289</v>
      </c>
      <c r="AD35" s="39">
        <f t="shared" si="27"/>
        <v>0.2857142857142857</v>
      </c>
      <c r="AE35" s="40">
        <f t="shared" si="27"/>
        <v>612.85714285714289</v>
      </c>
      <c r="AF35" s="40">
        <f t="shared" si="27"/>
        <v>975.57142857142856</v>
      </c>
    </row>
    <row r="36" spans="2:32" ht="23.1" customHeight="1" x14ac:dyDescent="0.25">
      <c r="B36" s="24" t="s">
        <v>63</v>
      </c>
      <c r="C36" s="49">
        <f>AVERAGE('23.09. KASANGATI-GAYAZA'!C36,'24.09 Kasangati-Gayaza'!C36,'25.09 Kasangati-Gayaza'!C36,'27.09 Kasangati-Gayaza'!C36,'26.09 Kasangati-Gayaza-24h'!C36,'28.09 Kasangati-Gayaza-24h'!C36,'29.09 Kasangati-Gayaza'!C36)</f>
        <v>66.142857142857139</v>
      </c>
      <c r="D36" s="49">
        <f>AVERAGE('23.09. KASANGATI-GAYAZA'!D36,'24.09 Kasangati-Gayaza'!D36,'25.09 Kasangati-Gayaza'!D36,'27.09 Kasangati-Gayaza'!D36,'26.09 Kasangati-Gayaza-24h'!D36,'28.09 Kasangati-Gayaza-24h'!D36,'29.09 Kasangati-Gayaza'!D36)</f>
        <v>15.857142857142858</v>
      </c>
      <c r="E36" s="49">
        <f>AVERAGE('23.09. KASANGATI-GAYAZA'!E36,'24.09 Kasangati-Gayaza'!E36,'25.09 Kasangati-Gayaza'!E36,'27.09 Kasangati-Gayaza'!E36,'26.09 Kasangati-Gayaza-24h'!E36,'28.09 Kasangati-Gayaza-24h'!E36,'29.09 Kasangati-Gayaza'!E36)</f>
        <v>8.1428571428571423</v>
      </c>
      <c r="F36" s="49">
        <f>AVERAGE('23.09. KASANGATI-GAYAZA'!F36,'24.09 Kasangati-Gayaza'!F36,'25.09 Kasangati-Gayaza'!F36,'27.09 Kasangati-Gayaza'!F36,'26.09 Kasangati-Gayaza-24h'!F36,'28.09 Kasangati-Gayaza-24h'!F36,'29.09 Kasangati-Gayaza'!F36)</f>
        <v>54.571428571428569</v>
      </c>
      <c r="G36" s="49">
        <f>AVERAGE('23.09. KASANGATI-GAYAZA'!G36,'24.09 Kasangati-Gayaza'!G36,'25.09 Kasangati-Gayaza'!G36,'27.09 Kasangati-Gayaza'!G36,'26.09 Kasangati-Gayaza-24h'!G36,'28.09 Kasangati-Gayaza-24h'!G36,'29.09 Kasangati-Gayaza'!G36)</f>
        <v>0.8571428571428571</v>
      </c>
      <c r="H36" s="49">
        <f>AVERAGE('23.09. KASANGATI-GAYAZA'!H36,'24.09 Kasangati-Gayaza'!H36,'25.09 Kasangati-Gayaza'!H36,'27.09 Kasangati-Gayaza'!H36,'26.09 Kasangati-Gayaza-24h'!H36,'28.09 Kasangati-Gayaza-24h'!H36,'29.09 Kasangati-Gayaza'!H36)</f>
        <v>0.5714285714285714</v>
      </c>
      <c r="I36" s="49">
        <f>AVERAGE('23.09. KASANGATI-GAYAZA'!I36,'24.09 Kasangati-Gayaza'!I36,'25.09 Kasangati-Gayaza'!I36,'27.09 Kasangati-Gayaza'!I36,'26.09 Kasangati-Gayaza-24h'!I36,'28.09 Kasangati-Gayaza-24h'!I36,'29.09 Kasangati-Gayaza'!I36)</f>
        <v>9.1428571428571423</v>
      </c>
      <c r="J36" s="49">
        <f>AVERAGE('23.09. KASANGATI-GAYAZA'!J36,'24.09 Kasangati-Gayaza'!J36,'25.09 Kasangati-Gayaza'!J36,'27.09 Kasangati-Gayaza'!J36,'26.09 Kasangati-Gayaza-24h'!J36,'28.09 Kasangati-Gayaza-24h'!J36,'29.09 Kasangati-Gayaza'!J36)</f>
        <v>2.7142857142857144</v>
      </c>
      <c r="K36" s="49">
        <f>AVERAGE('23.09. KASANGATI-GAYAZA'!K36,'24.09 Kasangati-Gayaza'!K36,'25.09 Kasangati-Gayaza'!K36,'27.09 Kasangati-Gayaza'!K36,'26.09 Kasangati-Gayaza-24h'!K36,'28.09 Kasangati-Gayaza-24h'!K36,'29.09 Kasangati-Gayaza'!K36)</f>
        <v>3</v>
      </c>
      <c r="L36" s="49">
        <f>AVERAGE('23.09. KASANGATI-GAYAZA'!L36,'24.09 Kasangati-Gayaza'!L36,'25.09 Kasangati-Gayaza'!L36,'27.09 Kasangati-Gayaza'!L36,'26.09 Kasangati-Gayaza-24h'!L36,'28.09 Kasangati-Gayaza-24h'!L36,'29.09 Kasangati-Gayaza'!L36)</f>
        <v>0.42857142857142855</v>
      </c>
      <c r="M36" s="49">
        <f>AVERAGE('23.09. KASANGATI-GAYAZA'!M36,'24.09 Kasangati-Gayaza'!M36,'25.09 Kasangati-Gayaza'!M36,'27.09 Kasangati-Gayaza'!M36,'26.09 Kasangati-Gayaza-24h'!M36,'28.09 Kasangati-Gayaza-24h'!M36,'29.09 Kasangati-Gayaza'!M36)</f>
        <v>80.142857142857139</v>
      </c>
      <c r="N36" s="49">
        <f>AVERAGE('23.09. KASANGATI-GAYAZA'!N36,'24.09 Kasangati-Gayaza'!N36,'25.09 Kasangati-Gayaza'!N36,'27.09 Kasangati-Gayaza'!N36,'26.09 Kasangati-Gayaza-24h'!N36,'28.09 Kasangati-Gayaza-24h'!N36,'29.09 Kasangati-Gayaza'!N36)</f>
        <v>0</v>
      </c>
      <c r="O36" s="15">
        <f t="shared" si="0"/>
        <v>161.42857142857144</v>
      </c>
      <c r="P36" s="15">
        <f t="shared" si="1"/>
        <v>241.57142857142858</v>
      </c>
      <c r="R36" s="38" t="s">
        <v>92</v>
      </c>
      <c r="S36" s="39">
        <f t="shared" ref="S36:AF36" si="28">MAX(S19:S21)</f>
        <v>279.42857142857144</v>
      </c>
      <c r="T36" s="39">
        <f t="shared" si="28"/>
        <v>50.285714285714285</v>
      </c>
      <c r="U36" s="39">
        <f t="shared" si="28"/>
        <v>41.857142857142861</v>
      </c>
      <c r="V36" s="39">
        <f t="shared" si="28"/>
        <v>210.28571428571428</v>
      </c>
      <c r="W36" s="39">
        <f t="shared" si="28"/>
        <v>5.1428571428571432</v>
      </c>
      <c r="X36" s="39">
        <f t="shared" si="28"/>
        <v>4.1428571428571423</v>
      </c>
      <c r="Y36" s="39">
        <f t="shared" si="28"/>
        <v>35.142857142857139</v>
      </c>
      <c r="Z36" s="39">
        <f t="shared" si="28"/>
        <v>9.5714285714285712</v>
      </c>
      <c r="AA36" s="39">
        <f t="shared" si="28"/>
        <v>8.4285714285714288</v>
      </c>
      <c r="AB36" s="39">
        <f t="shared" si="28"/>
        <v>0.8571428571428571</v>
      </c>
      <c r="AC36" s="39">
        <f t="shared" si="28"/>
        <v>447.85714285714289</v>
      </c>
      <c r="AD36" s="39">
        <f t="shared" si="28"/>
        <v>0.2857142857142857</v>
      </c>
      <c r="AE36" s="40">
        <f t="shared" si="28"/>
        <v>613</v>
      </c>
      <c r="AF36" s="40">
        <f t="shared" si="28"/>
        <v>1051.1428571428569</v>
      </c>
    </row>
    <row r="37" spans="2:32" ht="23.1" customHeight="1" x14ac:dyDescent="0.25">
      <c r="B37" s="23" t="s">
        <v>64</v>
      </c>
      <c r="C37" s="49">
        <f>AVERAGE('23.09. KASANGATI-GAYAZA'!C37,'24.09 Kasangati-Gayaza'!C37,'25.09 Kasangati-Gayaza'!C37,'27.09 Kasangati-Gayaza'!C37,'26.09 Kasangati-Gayaza-24h'!C37,'28.09 Kasangati-Gayaza-24h'!C37,'29.09 Kasangati-Gayaza'!C37)</f>
        <v>50.142857142857146</v>
      </c>
      <c r="D37" s="49">
        <f>AVERAGE('23.09. KASANGATI-GAYAZA'!D37,'24.09 Kasangati-Gayaza'!D37,'25.09 Kasangati-Gayaza'!D37,'27.09 Kasangati-Gayaza'!D37,'26.09 Kasangati-Gayaza-24h'!D37,'28.09 Kasangati-Gayaza-24h'!D37,'29.09 Kasangati-Gayaza'!D37)</f>
        <v>8.8571428571428577</v>
      </c>
      <c r="E37" s="49">
        <f>AVERAGE('23.09. KASANGATI-GAYAZA'!E37,'24.09 Kasangati-Gayaza'!E37,'25.09 Kasangati-Gayaza'!E37,'27.09 Kasangati-Gayaza'!E37,'26.09 Kasangati-Gayaza-24h'!E37,'28.09 Kasangati-Gayaza-24h'!E37,'29.09 Kasangati-Gayaza'!E37)</f>
        <v>7.2857142857142856</v>
      </c>
      <c r="F37" s="49">
        <f>AVERAGE('23.09. KASANGATI-GAYAZA'!F37,'24.09 Kasangati-Gayaza'!F37,'25.09 Kasangati-Gayaza'!F37,'27.09 Kasangati-Gayaza'!F37,'26.09 Kasangati-Gayaza-24h'!F37,'28.09 Kasangati-Gayaza-24h'!F37,'29.09 Kasangati-Gayaza'!F37)</f>
        <v>43</v>
      </c>
      <c r="G37" s="49">
        <f>AVERAGE('23.09. KASANGATI-GAYAZA'!G37,'24.09 Kasangati-Gayaza'!G37,'25.09 Kasangati-Gayaza'!G37,'27.09 Kasangati-Gayaza'!G37,'26.09 Kasangati-Gayaza-24h'!G37,'28.09 Kasangati-Gayaza-24h'!G37,'29.09 Kasangati-Gayaza'!G37)</f>
        <v>1.1428571428571428</v>
      </c>
      <c r="H37" s="49">
        <f>AVERAGE('23.09. KASANGATI-GAYAZA'!H37,'24.09 Kasangati-Gayaza'!H37,'25.09 Kasangati-Gayaza'!H37,'27.09 Kasangati-Gayaza'!H37,'26.09 Kasangati-Gayaza-24h'!H37,'28.09 Kasangati-Gayaza-24h'!H37,'29.09 Kasangati-Gayaza'!H37)</f>
        <v>1.1428571428571428</v>
      </c>
      <c r="I37" s="49">
        <f>AVERAGE('23.09. KASANGATI-GAYAZA'!I37,'24.09 Kasangati-Gayaza'!I37,'25.09 Kasangati-Gayaza'!I37,'27.09 Kasangati-Gayaza'!I37,'26.09 Kasangati-Gayaza-24h'!I37,'28.09 Kasangati-Gayaza-24h'!I37,'29.09 Kasangati-Gayaza'!I37)</f>
        <v>9.2857142857142865</v>
      </c>
      <c r="J37" s="49">
        <f>AVERAGE('23.09. KASANGATI-GAYAZA'!J37,'24.09 Kasangati-Gayaza'!J37,'25.09 Kasangati-Gayaza'!J37,'27.09 Kasangati-Gayaza'!J37,'26.09 Kasangati-Gayaza-24h'!J37,'28.09 Kasangati-Gayaza-24h'!J37,'29.09 Kasangati-Gayaza'!J37)</f>
        <v>3.8571428571428572</v>
      </c>
      <c r="K37" s="49">
        <f>AVERAGE('23.09. KASANGATI-GAYAZA'!K37,'24.09 Kasangati-Gayaza'!K37,'25.09 Kasangati-Gayaza'!K37,'27.09 Kasangati-Gayaza'!K37,'26.09 Kasangati-Gayaza-24h'!K37,'28.09 Kasangati-Gayaza-24h'!K37,'29.09 Kasangati-Gayaza'!K37)</f>
        <v>2.8571428571428572</v>
      </c>
      <c r="L37" s="49">
        <f>AVERAGE('23.09. KASANGATI-GAYAZA'!L37,'24.09 Kasangati-Gayaza'!L37,'25.09 Kasangati-Gayaza'!L37,'27.09 Kasangati-Gayaza'!L37,'26.09 Kasangati-Gayaza-24h'!L37,'28.09 Kasangati-Gayaza-24h'!L37,'29.09 Kasangati-Gayaza'!L37)</f>
        <v>0.5714285714285714</v>
      </c>
      <c r="M37" s="49">
        <f>AVERAGE('23.09. KASANGATI-GAYAZA'!M37,'24.09 Kasangati-Gayaza'!M37,'25.09 Kasangati-Gayaza'!M37,'27.09 Kasangati-Gayaza'!M37,'26.09 Kasangati-Gayaza-24h'!M37,'28.09 Kasangati-Gayaza-24h'!M37,'29.09 Kasangati-Gayaza'!M37)</f>
        <v>77</v>
      </c>
      <c r="N37" s="49">
        <f>AVERAGE('23.09. KASANGATI-GAYAZA'!N37,'24.09 Kasangati-Gayaza'!N37,'25.09 Kasangati-Gayaza'!N37,'27.09 Kasangati-Gayaza'!N37,'26.09 Kasangati-Gayaza-24h'!N37,'28.09 Kasangati-Gayaza-24h'!N37,'29.09 Kasangati-Gayaza'!N37)</f>
        <v>0</v>
      </c>
      <c r="O37" s="15">
        <f t="shared" si="0"/>
        <v>128.14285714285717</v>
      </c>
      <c r="P37" s="15">
        <f t="shared" si="1"/>
        <v>205.14285714285717</v>
      </c>
      <c r="R37" s="37" t="s">
        <v>85</v>
      </c>
      <c r="S37" s="35">
        <f t="shared" ref="S37:AF37" si="29">SUM(S10:S12)</f>
        <v>471.85714285714289</v>
      </c>
      <c r="T37" s="16">
        <f t="shared" si="29"/>
        <v>118.71428571428572</v>
      </c>
      <c r="U37" s="16">
        <f t="shared" si="29"/>
        <v>88.142857142857139</v>
      </c>
      <c r="V37" s="16">
        <f t="shared" si="29"/>
        <v>503.85714285714289</v>
      </c>
      <c r="W37" s="16">
        <f t="shared" si="29"/>
        <v>7.8571428571428577</v>
      </c>
      <c r="X37" s="16">
        <f t="shared" si="29"/>
        <v>3.2857142857142851</v>
      </c>
      <c r="Y37" s="16">
        <f t="shared" si="29"/>
        <v>104.85714285714286</v>
      </c>
      <c r="Z37" s="16">
        <f t="shared" si="29"/>
        <v>39</v>
      </c>
      <c r="AA37" s="16">
        <f t="shared" si="29"/>
        <v>38.571428571428569</v>
      </c>
      <c r="AB37" s="16">
        <f t="shared" si="29"/>
        <v>1.7142857142857144</v>
      </c>
      <c r="AC37" s="16">
        <f t="shared" si="29"/>
        <v>1274.2857142857142</v>
      </c>
      <c r="AD37" s="16">
        <f t="shared" si="29"/>
        <v>0</v>
      </c>
      <c r="AE37" s="32">
        <f t="shared" si="29"/>
        <v>1377.8571428571429</v>
      </c>
      <c r="AF37" s="32">
        <f t="shared" si="29"/>
        <v>2652.1428571428569</v>
      </c>
    </row>
    <row r="38" spans="2:32" ht="23.1" customHeight="1" x14ac:dyDescent="0.25">
      <c r="B38" s="24" t="s">
        <v>65</v>
      </c>
      <c r="C38" s="49">
        <f>AVERAGE('23.09. KASANGATI-GAYAZA'!C38,'24.09 Kasangati-Gayaza'!C38,'25.09 Kasangati-Gayaza'!C38,'27.09 Kasangati-Gayaza'!C38,'26.09 Kasangati-Gayaza-24h'!C38,'28.09 Kasangati-Gayaza-24h'!C38,'29.09 Kasangati-Gayaza'!C38)</f>
        <v>51.285714285714285</v>
      </c>
      <c r="D38" s="49">
        <f>AVERAGE('23.09. KASANGATI-GAYAZA'!D38,'24.09 Kasangati-Gayaza'!D38,'25.09 Kasangati-Gayaza'!D38,'27.09 Kasangati-Gayaza'!D38,'26.09 Kasangati-Gayaza-24h'!D38,'28.09 Kasangati-Gayaza-24h'!D38,'29.09 Kasangati-Gayaza'!D38)</f>
        <v>10</v>
      </c>
      <c r="E38" s="49">
        <f>AVERAGE('23.09. KASANGATI-GAYAZA'!E38,'24.09 Kasangati-Gayaza'!E38,'25.09 Kasangati-Gayaza'!E38,'27.09 Kasangati-Gayaza'!E38,'26.09 Kasangati-Gayaza-24h'!E38,'28.09 Kasangati-Gayaza-24h'!E38,'29.09 Kasangati-Gayaza'!E38)</f>
        <v>6.5714285714285712</v>
      </c>
      <c r="F38" s="49">
        <f>AVERAGE('23.09. KASANGATI-GAYAZA'!F38,'24.09 Kasangati-Gayaza'!F38,'25.09 Kasangati-Gayaza'!F38,'27.09 Kasangati-Gayaza'!F38,'26.09 Kasangati-Gayaza-24h'!F38,'28.09 Kasangati-Gayaza-24h'!F38,'29.09 Kasangati-Gayaza'!F38)</f>
        <v>53.714285714285715</v>
      </c>
      <c r="G38" s="49">
        <f>AVERAGE('23.09. KASANGATI-GAYAZA'!G38,'24.09 Kasangati-Gayaza'!G38,'25.09 Kasangati-Gayaza'!G38,'27.09 Kasangati-Gayaza'!G38,'26.09 Kasangati-Gayaza-24h'!G38,'28.09 Kasangati-Gayaza-24h'!G38,'29.09 Kasangati-Gayaza'!G38)</f>
        <v>1.5714285714285714</v>
      </c>
      <c r="H38" s="49">
        <f>AVERAGE('23.09. KASANGATI-GAYAZA'!H38,'24.09 Kasangati-Gayaza'!H38,'25.09 Kasangati-Gayaza'!H38,'27.09 Kasangati-Gayaza'!H38,'26.09 Kasangati-Gayaza-24h'!H38,'28.09 Kasangati-Gayaza-24h'!H38,'29.09 Kasangati-Gayaza'!H38)</f>
        <v>0.42857142857142855</v>
      </c>
      <c r="I38" s="49">
        <f>AVERAGE('23.09. KASANGATI-GAYAZA'!I38,'24.09 Kasangati-Gayaza'!I38,'25.09 Kasangati-Gayaza'!I38,'27.09 Kasangati-Gayaza'!I38,'26.09 Kasangati-Gayaza-24h'!I38,'28.09 Kasangati-Gayaza-24h'!I38,'29.09 Kasangati-Gayaza'!I38)</f>
        <v>8.5714285714285712</v>
      </c>
      <c r="J38" s="49">
        <f>AVERAGE('23.09. KASANGATI-GAYAZA'!J38,'24.09 Kasangati-Gayaza'!J38,'25.09 Kasangati-Gayaza'!J38,'27.09 Kasangati-Gayaza'!J38,'26.09 Kasangati-Gayaza-24h'!J38,'28.09 Kasangati-Gayaza-24h'!J38,'29.09 Kasangati-Gayaza'!J38)</f>
        <v>3.4285714285714284</v>
      </c>
      <c r="K38" s="49">
        <f>AVERAGE('23.09. KASANGATI-GAYAZA'!K38,'24.09 Kasangati-Gayaza'!K38,'25.09 Kasangati-Gayaza'!K38,'27.09 Kasangati-Gayaza'!K38,'26.09 Kasangati-Gayaza-24h'!K38,'28.09 Kasangati-Gayaza-24h'!K38,'29.09 Kasangati-Gayaza'!K38)</f>
        <v>3.7142857142857144</v>
      </c>
      <c r="L38" s="49">
        <f>AVERAGE('23.09. KASANGATI-GAYAZA'!L38,'24.09 Kasangati-Gayaza'!L38,'25.09 Kasangati-Gayaza'!L38,'27.09 Kasangati-Gayaza'!L38,'26.09 Kasangati-Gayaza-24h'!L38,'28.09 Kasangati-Gayaza-24h'!L38,'29.09 Kasangati-Gayaza'!L38)</f>
        <v>0.42857142857142855</v>
      </c>
      <c r="M38" s="49">
        <f>AVERAGE('23.09. KASANGATI-GAYAZA'!M38,'24.09 Kasangati-Gayaza'!M38,'25.09 Kasangati-Gayaza'!M38,'27.09 Kasangati-Gayaza'!M38,'26.09 Kasangati-Gayaza-24h'!M38,'28.09 Kasangati-Gayaza-24h'!M38,'29.09 Kasangati-Gayaza'!M38)</f>
        <v>81</v>
      </c>
      <c r="N38" s="49">
        <f>AVERAGE('23.09. KASANGATI-GAYAZA'!N38,'24.09 Kasangati-Gayaza'!N38,'25.09 Kasangati-Gayaza'!N38,'27.09 Kasangati-Gayaza'!N38,'26.09 Kasangati-Gayaza-24h'!N38,'28.09 Kasangati-Gayaza-24h'!N38,'29.09 Kasangati-Gayaza'!N38)</f>
        <v>0</v>
      </c>
      <c r="O38" s="15">
        <f t="shared" si="0"/>
        <v>139.71428571428572</v>
      </c>
      <c r="P38" s="15">
        <f t="shared" si="1"/>
        <v>220.71428571428572</v>
      </c>
      <c r="R38" s="28" t="s">
        <v>86</v>
      </c>
      <c r="S38" s="16">
        <f t="shared" ref="S38:AF38" si="30">SUM(S13:S18)</f>
        <v>1205.7142857142858</v>
      </c>
      <c r="T38" s="16">
        <f t="shared" si="30"/>
        <v>305.85714285714289</v>
      </c>
      <c r="U38" s="16">
        <f t="shared" si="30"/>
        <v>188.00000000000003</v>
      </c>
      <c r="V38" s="16">
        <f t="shared" si="30"/>
        <v>1180.5714285714284</v>
      </c>
      <c r="W38" s="16">
        <f t="shared" si="30"/>
        <v>17.714285714285712</v>
      </c>
      <c r="X38" s="16">
        <f t="shared" si="30"/>
        <v>12.857142857142856</v>
      </c>
      <c r="Y38" s="16">
        <f t="shared" si="30"/>
        <v>241.00000000000003</v>
      </c>
      <c r="Z38" s="16">
        <f t="shared" si="30"/>
        <v>89.285714285714292</v>
      </c>
      <c r="AA38" s="16">
        <f t="shared" si="30"/>
        <v>79.285714285714278</v>
      </c>
      <c r="AB38" s="16">
        <f t="shared" si="30"/>
        <v>6.1428571428571432</v>
      </c>
      <c r="AC38" s="16">
        <f t="shared" si="30"/>
        <v>2148.7142857142858</v>
      </c>
      <c r="AD38" s="16">
        <f t="shared" si="30"/>
        <v>0.2857142857142857</v>
      </c>
      <c r="AE38" s="32">
        <f t="shared" si="30"/>
        <v>3326.7142857142858</v>
      </c>
      <c r="AF38" s="32">
        <f t="shared" si="30"/>
        <v>5475.4285714285706</v>
      </c>
    </row>
    <row r="39" spans="2:32" ht="23.1" customHeight="1" x14ac:dyDescent="0.25">
      <c r="B39" s="24" t="s">
        <v>66</v>
      </c>
      <c r="C39" s="49">
        <f>AVERAGE('23.09. KASANGATI-GAYAZA'!C39,'24.09 Kasangati-Gayaza'!C39,'25.09 Kasangati-Gayaza'!C39,'27.09 Kasangati-Gayaza'!C39,'26.09 Kasangati-Gayaza-24h'!C39,'28.09 Kasangati-Gayaza-24h'!C39,'29.09 Kasangati-Gayaza'!C39)</f>
        <v>55</v>
      </c>
      <c r="D39" s="49">
        <f>AVERAGE('23.09. KASANGATI-GAYAZA'!D39,'24.09 Kasangati-Gayaza'!D39,'25.09 Kasangati-Gayaza'!D39,'27.09 Kasangati-Gayaza'!D39,'26.09 Kasangati-Gayaza-24h'!D39,'28.09 Kasangati-Gayaza-24h'!D39,'29.09 Kasangati-Gayaza'!D39)</f>
        <v>11.857142857142858</v>
      </c>
      <c r="E39" s="49">
        <f>AVERAGE('23.09. KASANGATI-GAYAZA'!E39,'24.09 Kasangati-Gayaza'!E39,'25.09 Kasangati-Gayaza'!E39,'27.09 Kasangati-Gayaza'!E39,'26.09 Kasangati-Gayaza-24h'!E39,'28.09 Kasangati-Gayaza-24h'!E39,'29.09 Kasangati-Gayaza'!E39)</f>
        <v>9.7142857142857135</v>
      </c>
      <c r="F39" s="49">
        <f>AVERAGE('23.09. KASANGATI-GAYAZA'!F39,'24.09 Kasangati-Gayaza'!F39,'25.09 Kasangati-Gayaza'!F39,'27.09 Kasangati-Gayaza'!F39,'26.09 Kasangati-Gayaza-24h'!F39,'28.09 Kasangati-Gayaza-24h'!F39,'29.09 Kasangati-Gayaza'!F39)</f>
        <v>47</v>
      </c>
      <c r="G39" s="49">
        <f>AVERAGE('23.09. KASANGATI-GAYAZA'!G39,'24.09 Kasangati-Gayaza'!G39,'25.09 Kasangati-Gayaza'!G39,'27.09 Kasangati-Gayaza'!G39,'26.09 Kasangati-Gayaza-24h'!G39,'28.09 Kasangati-Gayaza-24h'!G39,'29.09 Kasangati-Gayaza'!G39)</f>
        <v>0.42857142857142855</v>
      </c>
      <c r="H39" s="49">
        <f>AVERAGE('23.09. KASANGATI-GAYAZA'!H39,'24.09 Kasangati-Gayaza'!H39,'25.09 Kasangati-Gayaza'!H39,'27.09 Kasangati-Gayaza'!H39,'26.09 Kasangati-Gayaza-24h'!H39,'28.09 Kasangati-Gayaza-24h'!H39,'29.09 Kasangati-Gayaza'!H39)</f>
        <v>0.2857142857142857</v>
      </c>
      <c r="I39" s="49">
        <f>AVERAGE('23.09. KASANGATI-GAYAZA'!I39,'24.09 Kasangati-Gayaza'!I39,'25.09 Kasangati-Gayaza'!I39,'27.09 Kasangati-Gayaza'!I39,'26.09 Kasangati-Gayaza-24h'!I39,'28.09 Kasangati-Gayaza-24h'!I39,'29.09 Kasangati-Gayaza'!I39)</f>
        <v>11</v>
      </c>
      <c r="J39" s="49">
        <f>AVERAGE('23.09. KASANGATI-GAYAZA'!J39,'24.09 Kasangati-Gayaza'!J39,'25.09 Kasangati-Gayaza'!J39,'27.09 Kasangati-Gayaza'!J39,'26.09 Kasangati-Gayaza-24h'!J39,'28.09 Kasangati-Gayaza-24h'!J39,'29.09 Kasangati-Gayaza'!J39)</f>
        <v>4.7142857142857144</v>
      </c>
      <c r="K39" s="49">
        <f>AVERAGE('23.09. KASANGATI-GAYAZA'!K39,'24.09 Kasangati-Gayaza'!K39,'25.09 Kasangati-Gayaza'!K39,'27.09 Kasangati-Gayaza'!K39,'26.09 Kasangati-Gayaza-24h'!K39,'28.09 Kasangati-Gayaza-24h'!K39,'29.09 Kasangati-Gayaza'!K39)</f>
        <v>4.8571428571428568</v>
      </c>
      <c r="L39" s="49">
        <f>AVERAGE('23.09. KASANGATI-GAYAZA'!L39,'24.09 Kasangati-Gayaza'!L39,'25.09 Kasangati-Gayaza'!L39,'27.09 Kasangati-Gayaza'!L39,'26.09 Kasangati-Gayaza-24h'!L39,'28.09 Kasangati-Gayaza-24h'!L39,'29.09 Kasangati-Gayaza'!L39)</f>
        <v>0.14285714285714285</v>
      </c>
      <c r="M39" s="49">
        <f>AVERAGE('23.09. KASANGATI-GAYAZA'!M39,'24.09 Kasangati-Gayaza'!M39,'25.09 Kasangati-Gayaza'!M39,'27.09 Kasangati-Gayaza'!M39,'26.09 Kasangati-Gayaza-24h'!M39,'28.09 Kasangati-Gayaza-24h'!M39,'29.09 Kasangati-Gayaza'!M39)</f>
        <v>80.285714285714292</v>
      </c>
      <c r="N39" s="49">
        <f>AVERAGE('23.09. KASANGATI-GAYAZA'!N39,'24.09 Kasangati-Gayaza'!N39,'25.09 Kasangati-Gayaza'!N39,'27.09 Kasangati-Gayaza'!N39,'26.09 Kasangati-Gayaza-24h'!N39,'28.09 Kasangati-Gayaza-24h'!N39,'29.09 Kasangati-Gayaza'!N39)</f>
        <v>0</v>
      </c>
      <c r="O39" s="15">
        <f t="shared" si="0"/>
        <v>145</v>
      </c>
      <c r="P39" s="15">
        <f t="shared" si="1"/>
        <v>225.28571428571428</v>
      </c>
      <c r="R39" s="29" t="s">
        <v>87</v>
      </c>
      <c r="S39" s="16">
        <f t="shared" ref="S39:AF39" si="31">SUM(S19:S21)</f>
        <v>773</v>
      </c>
      <c r="T39" s="16">
        <f t="shared" si="31"/>
        <v>139.14285714285714</v>
      </c>
      <c r="U39" s="16">
        <f t="shared" si="31"/>
        <v>112</v>
      </c>
      <c r="V39" s="16">
        <f t="shared" si="31"/>
        <v>576.42857142857144</v>
      </c>
      <c r="W39" s="16">
        <f t="shared" si="31"/>
        <v>10.142857142857142</v>
      </c>
      <c r="X39" s="16">
        <f t="shared" si="31"/>
        <v>9.7142857142857135</v>
      </c>
      <c r="Y39" s="16">
        <f t="shared" si="31"/>
        <v>93.142857142857139</v>
      </c>
      <c r="Z39" s="16">
        <f t="shared" si="31"/>
        <v>26.142857142857142</v>
      </c>
      <c r="AA39" s="16">
        <f t="shared" si="31"/>
        <v>19.428571428571431</v>
      </c>
      <c r="AB39" s="16">
        <f t="shared" si="31"/>
        <v>2.4285714285714279</v>
      </c>
      <c r="AC39" s="16">
        <f t="shared" si="31"/>
        <v>1206.7142857142858</v>
      </c>
      <c r="AD39" s="16">
        <f t="shared" si="31"/>
        <v>0.42857142857142855</v>
      </c>
      <c r="AE39" s="32">
        <f t="shared" si="31"/>
        <v>1762</v>
      </c>
      <c r="AF39" s="32">
        <f t="shared" si="31"/>
        <v>2968.7142857142853</v>
      </c>
    </row>
    <row r="40" spans="2:32" ht="23.1" customHeight="1" x14ac:dyDescent="0.25">
      <c r="B40" s="24" t="s">
        <v>67</v>
      </c>
      <c r="C40" s="49">
        <f>AVERAGE('23.09. KASANGATI-GAYAZA'!C40,'24.09 Kasangati-Gayaza'!C40,'25.09 Kasangati-Gayaza'!C40,'27.09 Kasangati-Gayaza'!C40,'26.09 Kasangati-Gayaza-24h'!C40,'28.09 Kasangati-Gayaza-24h'!C40,'29.09 Kasangati-Gayaza'!C40)</f>
        <v>54</v>
      </c>
      <c r="D40" s="49">
        <f>AVERAGE('23.09. KASANGATI-GAYAZA'!D40,'24.09 Kasangati-Gayaza'!D40,'25.09 Kasangati-Gayaza'!D40,'27.09 Kasangati-Gayaza'!D40,'26.09 Kasangati-Gayaza-24h'!D40,'28.09 Kasangati-Gayaza-24h'!D40,'29.09 Kasangati-Gayaza'!D40)</f>
        <v>16.857142857142858</v>
      </c>
      <c r="E40" s="49">
        <f>AVERAGE('23.09. KASANGATI-GAYAZA'!E40,'24.09 Kasangati-Gayaza'!E40,'25.09 Kasangati-Gayaza'!E40,'27.09 Kasangati-Gayaza'!E40,'26.09 Kasangati-Gayaza-24h'!E40,'28.09 Kasangati-Gayaza-24h'!E40,'29.09 Kasangati-Gayaza'!E40)</f>
        <v>7.2857142857142856</v>
      </c>
      <c r="F40" s="49">
        <f>AVERAGE('23.09. KASANGATI-GAYAZA'!F40,'24.09 Kasangati-Gayaza'!F40,'25.09 Kasangati-Gayaza'!F40,'27.09 Kasangati-Gayaza'!F40,'26.09 Kasangati-Gayaza-24h'!F40,'28.09 Kasangati-Gayaza-24h'!F40,'29.09 Kasangati-Gayaza'!F40)</f>
        <v>46</v>
      </c>
      <c r="G40" s="49">
        <f>AVERAGE('23.09. KASANGATI-GAYAZA'!G40,'24.09 Kasangati-Gayaza'!G40,'25.09 Kasangati-Gayaza'!G40,'27.09 Kasangati-Gayaza'!G40,'26.09 Kasangati-Gayaza-24h'!G40,'28.09 Kasangati-Gayaza-24h'!G40,'29.09 Kasangati-Gayaza'!G40)</f>
        <v>0.7142857142857143</v>
      </c>
      <c r="H40" s="49">
        <f>AVERAGE('23.09. KASANGATI-GAYAZA'!H40,'24.09 Kasangati-Gayaza'!H40,'25.09 Kasangati-Gayaza'!H40,'27.09 Kasangati-Gayaza'!H40,'26.09 Kasangati-Gayaza-24h'!H40,'28.09 Kasangati-Gayaza-24h'!H40,'29.09 Kasangati-Gayaza'!H40)</f>
        <v>1.1428571428571428</v>
      </c>
      <c r="I40" s="49">
        <f>AVERAGE('23.09. KASANGATI-GAYAZA'!I40,'24.09 Kasangati-Gayaza'!I40,'25.09 Kasangati-Gayaza'!I40,'27.09 Kasangati-Gayaza'!I40,'26.09 Kasangati-Gayaza-24h'!I40,'28.09 Kasangati-Gayaza-24h'!I40,'29.09 Kasangati-Gayaza'!I40)</f>
        <v>9.8571428571428577</v>
      </c>
      <c r="J40" s="49">
        <f>AVERAGE('23.09. KASANGATI-GAYAZA'!J40,'24.09 Kasangati-Gayaza'!J40,'25.09 Kasangati-Gayaza'!J40,'27.09 Kasangati-Gayaza'!J40,'26.09 Kasangati-Gayaza-24h'!J40,'28.09 Kasangati-Gayaza-24h'!J40,'29.09 Kasangati-Gayaza'!J40)</f>
        <v>2.4285714285714284</v>
      </c>
      <c r="K40" s="49">
        <f>AVERAGE('23.09. KASANGATI-GAYAZA'!K40,'24.09 Kasangati-Gayaza'!K40,'25.09 Kasangati-Gayaza'!K40,'27.09 Kasangati-Gayaza'!K40,'26.09 Kasangati-Gayaza-24h'!K40,'28.09 Kasangati-Gayaza-24h'!K40,'29.09 Kasangati-Gayaza'!K40)</f>
        <v>3.8571428571428572</v>
      </c>
      <c r="L40" s="49">
        <f>AVERAGE('23.09. KASANGATI-GAYAZA'!L40,'24.09 Kasangati-Gayaza'!L40,'25.09 Kasangati-Gayaza'!L40,'27.09 Kasangati-Gayaza'!L40,'26.09 Kasangati-Gayaza-24h'!L40,'28.09 Kasangati-Gayaza-24h'!L40,'29.09 Kasangati-Gayaza'!L40)</f>
        <v>0.14285714285714285</v>
      </c>
      <c r="M40" s="49">
        <f>AVERAGE('23.09. KASANGATI-GAYAZA'!M40,'24.09 Kasangati-Gayaza'!M40,'25.09 Kasangati-Gayaza'!M40,'27.09 Kasangati-Gayaza'!M40,'26.09 Kasangati-Gayaza-24h'!M40,'28.09 Kasangati-Gayaza-24h'!M40,'29.09 Kasangati-Gayaza'!M40)</f>
        <v>82.571428571428569</v>
      </c>
      <c r="N40" s="49">
        <f>AVERAGE('23.09. KASANGATI-GAYAZA'!N40,'24.09 Kasangati-Gayaza'!N40,'25.09 Kasangati-Gayaza'!N40,'27.09 Kasangati-Gayaza'!N40,'26.09 Kasangati-Gayaza-24h'!N40,'28.09 Kasangati-Gayaza-24h'!N40,'29.09 Kasangati-Gayaza'!N40)</f>
        <v>0</v>
      </c>
      <c r="O40" s="15">
        <f t="shared" si="0"/>
        <v>142.28571428571428</v>
      </c>
      <c r="P40" s="15">
        <f t="shared" si="1"/>
        <v>224.85714285714283</v>
      </c>
      <c r="R40" s="5" t="s">
        <v>17</v>
      </c>
      <c r="S40" s="16">
        <f t="shared" ref="S40:AF40" si="32">SUM(S10:S21)</f>
        <v>2450.5714285714284</v>
      </c>
      <c r="T40" s="16">
        <f t="shared" si="32"/>
        <v>563.71428571428578</v>
      </c>
      <c r="U40" s="16">
        <f t="shared" si="32"/>
        <v>388.14285714285717</v>
      </c>
      <c r="V40" s="16">
        <f t="shared" si="32"/>
        <v>2260.8571428571431</v>
      </c>
      <c r="W40" s="16">
        <f t="shared" si="32"/>
        <v>35.714285714285715</v>
      </c>
      <c r="X40" s="16">
        <f t="shared" si="32"/>
        <v>25.857142857142851</v>
      </c>
      <c r="Y40" s="16">
        <f t="shared" si="32"/>
        <v>439</v>
      </c>
      <c r="Z40" s="16">
        <f t="shared" si="32"/>
        <v>154.42857142857144</v>
      </c>
      <c r="AA40" s="16">
        <f t="shared" si="32"/>
        <v>137.28571428571428</v>
      </c>
      <c r="AB40" s="16">
        <f t="shared" si="32"/>
        <v>10.285714285714285</v>
      </c>
      <c r="AC40" s="16">
        <f t="shared" si="32"/>
        <v>4629.7142857142862</v>
      </c>
      <c r="AD40" s="16">
        <f t="shared" si="32"/>
        <v>0.71428571428571419</v>
      </c>
      <c r="AE40" s="32">
        <f t="shared" si="32"/>
        <v>6466.5714285714275</v>
      </c>
      <c r="AF40" s="32">
        <f t="shared" si="32"/>
        <v>11096.285714285714</v>
      </c>
    </row>
    <row r="41" spans="2:32" ht="23.1" customHeight="1" x14ac:dyDescent="0.25">
      <c r="B41" s="23" t="s">
        <v>68</v>
      </c>
      <c r="C41" s="49">
        <f>AVERAGE('23.09. KASANGATI-GAYAZA'!C41,'24.09 Kasangati-Gayaza'!C41,'25.09 Kasangati-Gayaza'!C41,'27.09 Kasangati-Gayaza'!C41,'26.09 Kasangati-Gayaza-24h'!C41,'28.09 Kasangati-Gayaza-24h'!C41,'29.09 Kasangati-Gayaza'!C41)</f>
        <v>54</v>
      </c>
      <c r="D41" s="49">
        <f>AVERAGE('23.09. KASANGATI-GAYAZA'!D41,'24.09 Kasangati-Gayaza'!D41,'25.09 Kasangati-Gayaza'!D41,'27.09 Kasangati-Gayaza'!D41,'26.09 Kasangati-Gayaza-24h'!D41,'28.09 Kasangati-Gayaza-24h'!D41,'29.09 Kasangati-Gayaza'!D41)</f>
        <v>21.714285714285715</v>
      </c>
      <c r="E41" s="49">
        <f>AVERAGE('23.09. KASANGATI-GAYAZA'!E41,'24.09 Kasangati-Gayaza'!E41,'25.09 Kasangati-Gayaza'!E41,'27.09 Kasangati-Gayaza'!E41,'26.09 Kasangati-Gayaza-24h'!E41,'28.09 Kasangati-Gayaza-24h'!E41,'29.09 Kasangati-Gayaza'!E41)</f>
        <v>6</v>
      </c>
      <c r="F41" s="49">
        <f>AVERAGE('23.09. KASANGATI-GAYAZA'!F41,'24.09 Kasangati-Gayaza'!F41,'25.09 Kasangati-Gayaza'!F41,'27.09 Kasangati-Gayaza'!F41,'26.09 Kasangati-Gayaza-24h'!F41,'28.09 Kasangati-Gayaza-24h'!F41,'29.09 Kasangati-Gayaza'!F41)</f>
        <v>53.428571428571431</v>
      </c>
      <c r="G41" s="49">
        <f>AVERAGE('23.09. KASANGATI-GAYAZA'!G41,'24.09 Kasangati-Gayaza'!G41,'25.09 Kasangati-Gayaza'!G41,'27.09 Kasangati-Gayaza'!G41,'26.09 Kasangati-Gayaza-24h'!G41,'28.09 Kasangati-Gayaza-24h'!G41,'29.09 Kasangati-Gayaza'!G41)</f>
        <v>0.42857142857142855</v>
      </c>
      <c r="H41" s="49">
        <f>AVERAGE('23.09. KASANGATI-GAYAZA'!H41,'24.09 Kasangati-Gayaza'!H41,'25.09 Kasangati-Gayaza'!H41,'27.09 Kasangati-Gayaza'!H41,'26.09 Kasangati-Gayaza-24h'!H41,'28.09 Kasangati-Gayaza-24h'!H41,'29.09 Kasangati-Gayaza'!H41)</f>
        <v>1.2857142857142858</v>
      </c>
      <c r="I41" s="49">
        <f>AVERAGE('23.09. KASANGATI-GAYAZA'!I41,'24.09 Kasangati-Gayaza'!I41,'25.09 Kasangati-Gayaza'!I41,'27.09 Kasangati-Gayaza'!I41,'26.09 Kasangati-Gayaza-24h'!I41,'28.09 Kasangati-Gayaza-24h'!I41,'29.09 Kasangati-Gayaza'!I41)</f>
        <v>8.2857142857142865</v>
      </c>
      <c r="J41" s="49">
        <f>AVERAGE('23.09. KASANGATI-GAYAZA'!J41,'24.09 Kasangati-Gayaza'!J41,'25.09 Kasangati-Gayaza'!J41,'27.09 Kasangati-Gayaza'!J41,'26.09 Kasangati-Gayaza-24h'!J41,'28.09 Kasangati-Gayaza-24h'!J41,'29.09 Kasangati-Gayaza'!J41)</f>
        <v>3.4285714285714284</v>
      </c>
      <c r="K41" s="49">
        <f>AVERAGE('23.09. KASANGATI-GAYAZA'!K41,'24.09 Kasangati-Gayaza'!K41,'25.09 Kasangati-Gayaza'!K41,'27.09 Kasangati-Gayaza'!K41,'26.09 Kasangati-Gayaza-24h'!K41,'28.09 Kasangati-Gayaza-24h'!K41,'29.09 Kasangati-Gayaza'!K41)</f>
        <v>5.2857142857142856</v>
      </c>
      <c r="L41" s="49">
        <f>AVERAGE('23.09. KASANGATI-GAYAZA'!L41,'24.09 Kasangati-Gayaza'!L41,'25.09 Kasangati-Gayaza'!L41,'27.09 Kasangati-Gayaza'!L41,'26.09 Kasangati-Gayaza-24h'!L41,'28.09 Kasangati-Gayaza-24h'!L41,'29.09 Kasangati-Gayaza'!L41)</f>
        <v>0.2857142857142857</v>
      </c>
      <c r="M41" s="49">
        <f>AVERAGE('23.09. KASANGATI-GAYAZA'!M41,'24.09 Kasangati-Gayaza'!M41,'25.09 Kasangati-Gayaza'!M41,'27.09 Kasangati-Gayaza'!M41,'26.09 Kasangati-Gayaza-24h'!M41,'28.09 Kasangati-Gayaza-24h'!M41,'29.09 Kasangati-Gayaza'!M41)</f>
        <v>77.714285714285708</v>
      </c>
      <c r="N41" s="49">
        <f>AVERAGE('23.09. KASANGATI-GAYAZA'!N41,'24.09 Kasangati-Gayaza'!N41,'25.09 Kasangati-Gayaza'!N41,'27.09 Kasangati-Gayaza'!N41,'26.09 Kasangati-Gayaza-24h'!N41,'28.09 Kasangati-Gayaza-24h'!N41,'29.09 Kasangati-Gayaza'!N41)</f>
        <v>0</v>
      </c>
      <c r="O41" s="15">
        <f t="shared" si="0"/>
        <v>154.14285714285711</v>
      </c>
      <c r="P41" s="15">
        <f t="shared" si="1"/>
        <v>231.85714285714283</v>
      </c>
      <c r="R41" s="5" t="s">
        <v>184</v>
      </c>
      <c r="S41" s="16">
        <f>SUM(S10:S33)</f>
        <v>3681.0714285714284</v>
      </c>
      <c r="T41" s="16">
        <f t="shared" ref="T41:AD41" si="33">SUM(T10:T33)</f>
        <v>860.21428571428578</v>
      </c>
      <c r="U41" s="16">
        <f t="shared" si="33"/>
        <v>516.14285714285711</v>
      </c>
      <c r="V41" s="16">
        <f t="shared" si="33"/>
        <v>3279.3571428571431</v>
      </c>
      <c r="W41" s="16">
        <f t="shared" si="33"/>
        <v>80.214285714285722</v>
      </c>
      <c r="X41" s="16">
        <f t="shared" si="33"/>
        <v>37.357142857142847</v>
      </c>
      <c r="Y41" s="16">
        <f t="shared" si="33"/>
        <v>630</v>
      </c>
      <c r="Z41" s="16">
        <f t="shared" si="33"/>
        <v>208.92857142857144</v>
      </c>
      <c r="AA41" s="16">
        <f t="shared" si="33"/>
        <v>142.78571428571428</v>
      </c>
      <c r="AB41" s="16">
        <f t="shared" si="33"/>
        <v>40.785714285714285</v>
      </c>
      <c r="AC41" s="16">
        <f t="shared" si="33"/>
        <v>7014.2142857142862</v>
      </c>
      <c r="AD41" s="16">
        <f t="shared" si="33"/>
        <v>1.2142857142857142</v>
      </c>
      <c r="AE41" s="32">
        <f>SUM(AE10:AE33)</f>
        <v>9478.0714285714275</v>
      </c>
      <c r="AF41" s="32">
        <f>SUM(AF10:AF33)</f>
        <v>16492.285714285714</v>
      </c>
    </row>
    <row r="42" spans="2:32" ht="23.1" customHeight="1" x14ac:dyDescent="0.25">
      <c r="B42" s="24" t="s">
        <v>69</v>
      </c>
      <c r="C42" s="49">
        <f>AVERAGE('23.09. KASANGATI-GAYAZA'!C42,'24.09 Kasangati-Gayaza'!C42,'25.09 Kasangati-Gayaza'!C42,'27.09 Kasangati-Gayaza'!C42,'26.09 Kasangati-Gayaza-24h'!C42,'28.09 Kasangati-Gayaza-24h'!C42,'29.09 Kasangati-Gayaza'!C42)</f>
        <v>51.285714285714285</v>
      </c>
      <c r="D42" s="49">
        <f>AVERAGE('23.09. KASANGATI-GAYAZA'!D42,'24.09 Kasangati-Gayaza'!D42,'25.09 Kasangati-Gayaza'!D42,'27.09 Kasangati-Gayaza'!D42,'26.09 Kasangati-Gayaza-24h'!D42,'28.09 Kasangati-Gayaza-24h'!D42,'29.09 Kasangati-Gayaza'!D42)</f>
        <v>11.142857142857142</v>
      </c>
      <c r="E42" s="49">
        <f>AVERAGE('23.09. KASANGATI-GAYAZA'!E42,'24.09 Kasangati-Gayaza'!E42,'25.09 Kasangati-Gayaza'!E42,'27.09 Kasangati-Gayaza'!E42,'26.09 Kasangati-Gayaza-24h'!E42,'28.09 Kasangati-Gayaza-24h'!E42,'29.09 Kasangati-Gayaza'!E42)</f>
        <v>8</v>
      </c>
      <c r="F42" s="49">
        <f>AVERAGE('23.09. KASANGATI-GAYAZA'!F42,'24.09 Kasangati-Gayaza'!F42,'25.09 Kasangati-Gayaza'!F42,'27.09 Kasangati-Gayaza'!F42,'26.09 Kasangati-Gayaza-24h'!F42,'28.09 Kasangati-Gayaza-24h'!F42,'29.09 Kasangati-Gayaza'!F42)</f>
        <v>43.571428571428569</v>
      </c>
      <c r="G42" s="49">
        <f>AVERAGE('23.09. KASANGATI-GAYAZA'!G42,'24.09 Kasangati-Gayaza'!G42,'25.09 Kasangati-Gayaza'!G42,'27.09 Kasangati-Gayaza'!G42,'26.09 Kasangati-Gayaza-24h'!G42,'28.09 Kasangati-Gayaza-24h'!G42,'29.09 Kasangati-Gayaza'!G42)</f>
        <v>0.14285714285714285</v>
      </c>
      <c r="H42" s="49">
        <f>AVERAGE('23.09. KASANGATI-GAYAZA'!H42,'24.09 Kasangati-Gayaza'!H42,'25.09 Kasangati-Gayaza'!H42,'27.09 Kasangati-Gayaza'!H42,'26.09 Kasangati-Gayaza-24h'!H42,'28.09 Kasangati-Gayaza-24h'!H42,'29.09 Kasangati-Gayaza'!H42)</f>
        <v>0.42857142857142855</v>
      </c>
      <c r="I42" s="49">
        <f>AVERAGE('23.09. KASANGATI-GAYAZA'!I42,'24.09 Kasangati-Gayaza'!I42,'25.09 Kasangati-Gayaza'!I42,'27.09 Kasangati-Gayaza'!I42,'26.09 Kasangati-Gayaza-24h'!I42,'28.09 Kasangati-Gayaza-24h'!I42,'29.09 Kasangati-Gayaza'!I42)</f>
        <v>12.142857142857142</v>
      </c>
      <c r="J42" s="49">
        <f>AVERAGE('23.09. KASANGATI-GAYAZA'!J42,'24.09 Kasangati-Gayaza'!J42,'25.09 Kasangati-Gayaza'!J42,'27.09 Kasangati-Gayaza'!J42,'26.09 Kasangati-Gayaza-24h'!J42,'28.09 Kasangati-Gayaza-24h'!J42,'29.09 Kasangati-Gayaza'!J42)</f>
        <v>4</v>
      </c>
      <c r="K42" s="49">
        <f>AVERAGE('23.09. KASANGATI-GAYAZA'!K42,'24.09 Kasangati-Gayaza'!K42,'25.09 Kasangati-Gayaza'!K42,'27.09 Kasangati-Gayaza'!K42,'26.09 Kasangati-Gayaza-24h'!K42,'28.09 Kasangati-Gayaza-24h'!K42,'29.09 Kasangati-Gayaza'!K42)</f>
        <v>3</v>
      </c>
      <c r="L42" s="49">
        <f>AVERAGE('23.09. KASANGATI-GAYAZA'!L42,'24.09 Kasangati-Gayaza'!L42,'25.09 Kasangati-Gayaza'!L42,'27.09 Kasangati-Gayaza'!L42,'26.09 Kasangati-Gayaza-24h'!L42,'28.09 Kasangati-Gayaza-24h'!L42,'29.09 Kasangati-Gayaza'!L42)</f>
        <v>0.42857142857142855</v>
      </c>
      <c r="M42" s="49">
        <f>AVERAGE('23.09. KASANGATI-GAYAZA'!M42,'24.09 Kasangati-Gayaza'!M42,'25.09 Kasangati-Gayaza'!M42,'27.09 Kasangati-Gayaza'!M42,'26.09 Kasangati-Gayaza-24h'!M42,'28.09 Kasangati-Gayaza-24h'!M42,'29.09 Kasangati-Gayaza'!M42)</f>
        <v>84</v>
      </c>
      <c r="N42" s="49">
        <f>AVERAGE('23.09. KASANGATI-GAYAZA'!N42,'24.09 Kasangati-Gayaza'!N42,'25.09 Kasangati-Gayaza'!N42,'27.09 Kasangati-Gayaza'!N42,'26.09 Kasangati-Gayaza-24h'!N42,'28.09 Kasangati-Gayaza-24h'!N42,'29.09 Kasangati-Gayaza'!N42)</f>
        <v>0</v>
      </c>
      <c r="O42" s="15">
        <f t="shared" si="0"/>
        <v>134.14285714285714</v>
      </c>
      <c r="P42" s="15">
        <f t="shared" si="1"/>
        <v>218.14285714285714</v>
      </c>
      <c r="R42" s="5" t="s">
        <v>160</v>
      </c>
      <c r="S42" s="48">
        <f>S41/S40</f>
        <v>1.5021277836073219</v>
      </c>
      <c r="T42" s="48">
        <f t="shared" ref="T42:AF42" si="34">T41/T40</f>
        <v>1.5259756715661428</v>
      </c>
      <c r="U42" s="48">
        <f t="shared" si="34"/>
        <v>1.3297754876702244</v>
      </c>
      <c r="V42" s="48">
        <f t="shared" si="34"/>
        <v>1.4504928598508782</v>
      </c>
      <c r="W42" s="48">
        <f t="shared" si="34"/>
        <v>2.246</v>
      </c>
      <c r="X42" s="48">
        <f t="shared" si="34"/>
        <v>1.4447513812154695</v>
      </c>
      <c r="Y42" s="48">
        <f t="shared" si="34"/>
        <v>1.4350797266514805</v>
      </c>
      <c r="Z42" s="48">
        <f t="shared" si="34"/>
        <v>1.352913968547641</v>
      </c>
      <c r="AA42" s="48">
        <f t="shared" si="34"/>
        <v>1.0400624349635796</v>
      </c>
      <c r="AB42" s="48">
        <f t="shared" si="34"/>
        <v>3.9652777777777781</v>
      </c>
      <c r="AC42" s="48">
        <f t="shared" si="34"/>
        <v>1.5150425820784992</v>
      </c>
      <c r="AD42" s="48">
        <f t="shared" si="34"/>
        <v>1.7000000000000002</v>
      </c>
      <c r="AE42" s="70">
        <f t="shared" si="34"/>
        <v>1.4657027349445502</v>
      </c>
      <c r="AF42" s="70">
        <f t="shared" si="34"/>
        <v>1.4862888482632541</v>
      </c>
    </row>
    <row r="43" spans="2:32" ht="23.1" customHeight="1" x14ac:dyDescent="0.25">
      <c r="B43" s="23" t="s">
        <v>70</v>
      </c>
      <c r="C43" s="49">
        <f>AVERAGE('23.09. KASANGATI-GAYAZA'!C43,'24.09 Kasangati-Gayaza'!C43,'25.09 Kasangati-Gayaza'!C43,'27.09 Kasangati-Gayaza'!C43,'26.09 Kasangati-Gayaza-24h'!C43,'28.09 Kasangati-Gayaza-24h'!C43,'29.09 Kasangati-Gayaza'!C43)</f>
        <v>48.857142857142854</v>
      </c>
      <c r="D43" s="49">
        <f>AVERAGE('23.09. KASANGATI-GAYAZA'!D43,'24.09 Kasangati-Gayaza'!D43,'25.09 Kasangati-Gayaza'!D43,'27.09 Kasangati-Gayaza'!D43,'26.09 Kasangati-Gayaza-24h'!D43,'28.09 Kasangati-Gayaza-24h'!D43,'29.09 Kasangati-Gayaza'!D43)</f>
        <v>11.285714285714286</v>
      </c>
      <c r="E43" s="49">
        <f>AVERAGE('23.09. KASANGATI-GAYAZA'!E43,'24.09 Kasangati-Gayaza'!E43,'25.09 Kasangati-Gayaza'!E43,'27.09 Kasangati-Gayaza'!E43,'26.09 Kasangati-Gayaza-24h'!E43,'28.09 Kasangati-Gayaza-24h'!E43,'29.09 Kasangati-Gayaza'!E43)</f>
        <v>6.4285714285714288</v>
      </c>
      <c r="F43" s="49">
        <f>AVERAGE('23.09. KASANGATI-GAYAZA'!F43,'24.09 Kasangati-Gayaza'!F43,'25.09 Kasangati-Gayaza'!F43,'27.09 Kasangati-Gayaza'!F43,'26.09 Kasangati-Gayaza-24h'!F43,'28.09 Kasangati-Gayaza-24h'!F43,'29.09 Kasangati-Gayaza'!F43)</f>
        <v>38.857142857142854</v>
      </c>
      <c r="G43" s="49">
        <f>AVERAGE('23.09. KASANGATI-GAYAZA'!G43,'24.09 Kasangati-Gayaza'!G43,'25.09 Kasangati-Gayaza'!G43,'27.09 Kasangati-Gayaza'!G43,'26.09 Kasangati-Gayaza-24h'!G43,'28.09 Kasangati-Gayaza-24h'!G43,'29.09 Kasangati-Gayaza'!G43)</f>
        <v>0.14285714285714285</v>
      </c>
      <c r="H43" s="49">
        <f>AVERAGE('23.09. KASANGATI-GAYAZA'!H43,'24.09 Kasangati-Gayaza'!H43,'25.09 Kasangati-Gayaza'!H43,'27.09 Kasangati-Gayaza'!H43,'26.09 Kasangati-Gayaza-24h'!H43,'28.09 Kasangati-Gayaza-24h'!H43,'29.09 Kasangati-Gayaza'!H43)</f>
        <v>0.2857142857142857</v>
      </c>
      <c r="I43" s="49">
        <f>AVERAGE('23.09. KASANGATI-GAYAZA'!I43,'24.09 Kasangati-Gayaza'!I43,'25.09 Kasangati-Gayaza'!I43,'27.09 Kasangati-Gayaza'!I43,'26.09 Kasangati-Gayaza-24h'!I43,'28.09 Kasangati-Gayaza-24h'!I43,'29.09 Kasangati-Gayaza'!I43)</f>
        <v>11.142857142857142</v>
      </c>
      <c r="J43" s="49">
        <f>AVERAGE('23.09. KASANGATI-GAYAZA'!J43,'24.09 Kasangati-Gayaza'!J43,'25.09 Kasangati-Gayaza'!J43,'27.09 Kasangati-Gayaza'!J43,'26.09 Kasangati-Gayaza-24h'!J43,'28.09 Kasangati-Gayaza-24h'!J43,'29.09 Kasangati-Gayaza'!J43)</f>
        <v>4</v>
      </c>
      <c r="K43" s="49">
        <f>AVERAGE('23.09. KASANGATI-GAYAZA'!K43,'24.09 Kasangati-Gayaza'!K43,'25.09 Kasangati-Gayaza'!K43,'27.09 Kasangati-Gayaza'!K43,'26.09 Kasangati-Gayaza-24h'!K43,'28.09 Kasangati-Gayaza-24h'!K43,'29.09 Kasangati-Gayaza'!K43)</f>
        <v>1.5714285714285714</v>
      </c>
      <c r="L43" s="49">
        <f>AVERAGE('23.09. KASANGATI-GAYAZA'!L43,'24.09 Kasangati-Gayaza'!L43,'25.09 Kasangati-Gayaza'!L43,'27.09 Kasangati-Gayaza'!L43,'26.09 Kasangati-Gayaza-24h'!L43,'28.09 Kasangati-Gayaza-24h'!L43,'29.09 Kasangati-Gayaza'!L43)</f>
        <v>0</v>
      </c>
      <c r="M43" s="49">
        <f>AVERAGE('23.09. KASANGATI-GAYAZA'!M43,'24.09 Kasangati-Gayaza'!M43,'25.09 Kasangati-Gayaza'!M43,'27.09 Kasangati-Gayaza'!M43,'26.09 Kasangati-Gayaza-24h'!M43,'28.09 Kasangati-Gayaza-24h'!M43,'29.09 Kasangati-Gayaza'!M43)</f>
        <v>86.714285714285708</v>
      </c>
      <c r="N43" s="49">
        <f>AVERAGE('23.09. KASANGATI-GAYAZA'!N43,'24.09 Kasangati-Gayaza'!N43,'25.09 Kasangati-Gayaza'!N43,'27.09 Kasangati-Gayaza'!N43,'26.09 Kasangati-Gayaza-24h'!N43,'28.09 Kasangati-Gayaza-24h'!N43,'29.09 Kasangati-Gayaza'!N43)</f>
        <v>0</v>
      </c>
      <c r="O43" s="15">
        <f t="shared" si="0"/>
        <v>122.57142857142856</v>
      </c>
      <c r="P43" s="15">
        <f t="shared" si="1"/>
        <v>209.28571428571428</v>
      </c>
    </row>
    <row r="44" spans="2:32" ht="23.1" customHeight="1" x14ac:dyDescent="0.25">
      <c r="B44" s="25" t="s">
        <v>71</v>
      </c>
      <c r="C44" s="49">
        <f>AVERAGE('23.09. KASANGATI-GAYAZA'!C44,'24.09 Kasangati-Gayaza'!C44,'25.09 Kasangati-Gayaza'!C44,'27.09 Kasangati-Gayaza'!C44,'26.09 Kasangati-Gayaza-24h'!C44,'28.09 Kasangati-Gayaza-24h'!C44,'29.09 Kasangati-Gayaza'!C44)</f>
        <v>42.714285714285715</v>
      </c>
      <c r="D44" s="49">
        <f>AVERAGE('23.09. KASANGATI-GAYAZA'!D44,'24.09 Kasangati-Gayaza'!D44,'25.09 Kasangati-Gayaza'!D44,'27.09 Kasangati-Gayaza'!D44,'26.09 Kasangati-Gayaza-24h'!D44,'28.09 Kasangati-Gayaza-24h'!D44,'29.09 Kasangati-Gayaza'!D44)</f>
        <v>14.285714285714286</v>
      </c>
      <c r="E44" s="49">
        <f>AVERAGE('23.09. KASANGATI-GAYAZA'!E44,'24.09 Kasangati-Gayaza'!E44,'25.09 Kasangati-Gayaza'!E44,'27.09 Kasangati-Gayaza'!E44,'26.09 Kasangati-Gayaza-24h'!E44,'28.09 Kasangati-Gayaza-24h'!E44,'29.09 Kasangati-Gayaza'!E44)</f>
        <v>8.1428571428571423</v>
      </c>
      <c r="F44" s="49">
        <f>AVERAGE('23.09. KASANGATI-GAYAZA'!F44,'24.09 Kasangati-Gayaza'!F44,'25.09 Kasangati-Gayaza'!F44,'27.09 Kasangati-Gayaza'!F44,'26.09 Kasangati-Gayaza-24h'!F44,'28.09 Kasangati-Gayaza-24h'!F44,'29.09 Kasangati-Gayaza'!F44)</f>
        <v>36.142857142857146</v>
      </c>
      <c r="G44" s="49">
        <f>AVERAGE('23.09. KASANGATI-GAYAZA'!G44,'24.09 Kasangati-Gayaza'!G44,'25.09 Kasangati-Gayaza'!G44,'27.09 Kasangati-Gayaza'!G44,'26.09 Kasangati-Gayaza-24h'!G44,'28.09 Kasangati-Gayaza-24h'!G44,'29.09 Kasangati-Gayaza'!G44)</f>
        <v>0</v>
      </c>
      <c r="H44" s="49">
        <f>AVERAGE('23.09. KASANGATI-GAYAZA'!H44,'24.09 Kasangati-Gayaza'!H44,'25.09 Kasangati-Gayaza'!H44,'27.09 Kasangati-Gayaza'!H44,'26.09 Kasangati-Gayaza-24h'!H44,'28.09 Kasangati-Gayaza-24h'!H44,'29.09 Kasangati-Gayaza'!H44)</f>
        <v>1</v>
      </c>
      <c r="I44" s="49">
        <f>AVERAGE('23.09. KASANGATI-GAYAZA'!I44,'24.09 Kasangati-Gayaza'!I44,'25.09 Kasangati-Gayaza'!I44,'27.09 Kasangati-Gayaza'!I44,'26.09 Kasangati-Gayaza-24h'!I44,'28.09 Kasangati-Gayaza-24h'!I44,'29.09 Kasangati-Gayaza'!I44)</f>
        <v>6.8571428571428568</v>
      </c>
      <c r="J44" s="49">
        <f>AVERAGE('23.09. KASANGATI-GAYAZA'!J44,'24.09 Kasangati-Gayaza'!J44,'25.09 Kasangati-Gayaza'!J44,'27.09 Kasangati-Gayaza'!J44,'26.09 Kasangati-Gayaza-24h'!J44,'28.09 Kasangati-Gayaza-24h'!J44,'29.09 Kasangati-Gayaza'!J44)</f>
        <v>3.7142857142857144</v>
      </c>
      <c r="K44" s="49">
        <f>AVERAGE('23.09. KASANGATI-GAYAZA'!K44,'24.09 Kasangati-Gayaza'!K44,'25.09 Kasangati-Gayaza'!K44,'27.09 Kasangati-Gayaza'!K44,'26.09 Kasangati-Gayaza-24h'!K44,'28.09 Kasangati-Gayaza-24h'!K44,'29.09 Kasangati-Gayaza'!K44)</f>
        <v>2.5714285714285716</v>
      </c>
      <c r="L44" s="49">
        <f>AVERAGE('23.09. KASANGATI-GAYAZA'!L44,'24.09 Kasangati-Gayaza'!L44,'25.09 Kasangati-Gayaza'!L44,'27.09 Kasangati-Gayaza'!L44,'26.09 Kasangati-Gayaza-24h'!L44,'28.09 Kasangati-Gayaza-24h'!L44,'29.09 Kasangati-Gayaza'!L44)</f>
        <v>0.14285714285714285</v>
      </c>
      <c r="M44" s="49">
        <f>AVERAGE('23.09. KASANGATI-GAYAZA'!M44,'24.09 Kasangati-Gayaza'!M44,'25.09 Kasangati-Gayaza'!M44,'27.09 Kasangati-Gayaza'!M44,'26.09 Kasangati-Gayaza-24h'!M44,'28.09 Kasangati-Gayaza-24h'!M44,'29.09 Kasangati-Gayaza'!M44)</f>
        <v>78.142857142857139</v>
      </c>
      <c r="N44" s="49">
        <f>AVERAGE('23.09. KASANGATI-GAYAZA'!N44,'24.09 Kasangati-Gayaza'!N44,'25.09 Kasangati-Gayaza'!N44,'27.09 Kasangati-Gayaza'!N44,'26.09 Kasangati-Gayaza-24h'!N44,'28.09 Kasangati-Gayaza-24h'!N44,'29.09 Kasangati-Gayaza'!N44)</f>
        <v>0</v>
      </c>
      <c r="O44" s="15">
        <f t="shared" si="0"/>
        <v>115.57142857142856</v>
      </c>
      <c r="P44" s="15">
        <f t="shared" si="1"/>
        <v>193.71428571428569</v>
      </c>
    </row>
    <row r="45" spans="2:32" ht="23.1" customHeight="1" x14ac:dyDescent="0.25">
      <c r="B45" s="23" t="s">
        <v>72</v>
      </c>
      <c r="C45" s="49">
        <f>AVERAGE('23.09. KASANGATI-GAYAZA'!C45,'24.09 Kasangati-Gayaza'!C45,'25.09 Kasangati-Gayaza'!C45,'27.09 Kasangati-Gayaza'!C45,'26.09 Kasangati-Gayaza-24h'!C45,'28.09 Kasangati-Gayaza-24h'!C45,'29.09 Kasangati-Gayaza'!C45)</f>
        <v>47.714285714285715</v>
      </c>
      <c r="D45" s="49">
        <f>AVERAGE('23.09. KASANGATI-GAYAZA'!D45,'24.09 Kasangati-Gayaza'!D45,'25.09 Kasangati-Gayaza'!D45,'27.09 Kasangati-Gayaza'!D45,'26.09 Kasangati-Gayaza-24h'!D45,'28.09 Kasangati-Gayaza-24h'!D45,'29.09 Kasangati-Gayaza'!D45)</f>
        <v>14.714285714285714</v>
      </c>
      <c r="E45" s="49">
        <f>AVERAGE('23.09. KASANGATI-GAYAZA'!E45,'24.09 Kasangati-Gayaza'!E45,'25.09 Kasangati-Gayaza'!E45,'27.09 Kasangati-Gayaza'!E45,'26.09 Kasangati-Gayaza-24h'!E45,'28.09 Kasangati-Gayaza-24h'!E45,'29.09 Kasangati-Gayaza'!E45)</f>
        <v>6.2857142857142856</v>
      </c>
      <c r="F45" s="49">
        <f>AVERAGE('23.09. KASANGATI-GAYAZA'!F45,'24.09 Kasangati-Gayaza'!F45,'25.09 Kasangati-Gayaza'!F45,'27.09 Kasangati-Gayaza'!F45,'26.09 Kasangati-Gayaza-24h'!F45,'28.09 Kasangati-Gayaza-24h'!F45,'29.09 Kasangati-Gayaza'!F45)</f>
        <v>36.857142857142854</v>
      </c>
      <c r="G45" s="49">
        <f>AVERAGE('23.09. KASANGATI-GAYAZA'!G45,'24.09 Kasangati-Gayaza'!G45,'25.09 Kasangati-Gayaza'!G45,'27.09 Kasangati-Gayaza'!G45,'26.09 Kasangati-Gayaza-24h'!G45,'28.09 Kasangati-Gayaza-24h'!G45,'29.09 Kasangati-Gayaza'!G45)</f>
        <v>0.14285714285714285</v>
      </c>
      <c r="H45" s="49">
        <f>AVERAGE('23.09. KASANGATI-GAYAZA'!H45,'24.09 Kasangati-Gayaza'!H45,'25.09 Kasangati-Gayaza'!H45,'27.09 Kasangati-Gayaza'!H45,'26.09 Kasangati-Gayaza-24h'!H45,'28.09 Kasangati-Gayaza-24h'!H45,'29.09 Kasangati-Gayaza'!H45)</f>
        <v>0.7142857142857143</v>
      </c>
      <c r="I45" s="49">
        <f>AVERAGE('23.09. KASANGATI-GAYAZA'!I45,'24.09 Kasangati-Gayaza'!I45,'25.09 Kasangati-Gayaza'!I45,'27.09 Kasangati-Gayaza'!I45,'26.09 Kasangati-Gayaza-24h'!I45,'28.09 Kasangati-Gayaza-24h'!I45,'29.09 Kasangati-Gayaza'!I45)</f>
        <v>9.8571428571428577</v>
      </c>
      <c r="J45" s="49">
        <f>AVERAGE('23.09. KASANGATI-GAYAZA'!J45,'24.09 Kasangati-Gayaza'!J45,'25.09 Kasangati-Gayaza'!J45,'27.09 Kasangati-Gayaza'!J45,'26.09 Kasangati-Gayaza-24h'!J45,'28.09 Kasangati-Gayaza-24h'!J45,'29.09 Kasangati-Gayaza'!J45)</f>
        <v>2.2857142857142856</v>
      </c>
      <c r="K45" s="49">
        <f>AVERAGE('23.09. KASANGATI-GAYAZA'!K45,'24.09 Kasangati-Gayaza'!K45,'25.09 Kasangati-Gayaza'!K45,'27.09 Kasangati-Gayaza'!K45,'26.09 Kasangati-Gayaza-24h'!K45,'28.09 Kasangati-Gayaza-24h'!K45,'29.09 Kasangati-Gayaza'!K45)</f>
        <v>1.8571428571428572</v>
      </c>
      <c r="L45" s="49">
        <f>AVERAGE('23.09. KASANGATI-GAYAZA'!L45,'24.09 Kasangati-Gayaza'!L45,'25.09 Kasangati-Gayaza'!L45,'27.09 Kasangati-Gayaza'!L45,'26.09 Kasangati-Gayaza-24h'!L45,'28.09 Kasangati-Gayaza-24h'!L45,'29.09 Kasangati-Gayaza'!L45)</f>
        <v>0.14285714285714285</v>
      </c>
      <c r="M45" s="49">
        <f>AVERAGE('23.09. KASANGATI-GAYAZA'!M45,'24.09 Kasangati-Gayaza'!M45,'25.09 Kasangati-Gayaza'!M45,'27.09 Kasangati-Gayaza'!M45,'26.09 Kasangati-Gayaza-24h'!M45,'28.09 Kasangati-Gayaza-24h'!M45,'29.09 Kasangati-Gayaza'!M45)</f>
        <v>73.571428571428569</v>
      </c>
      <c r="N45" s="49">
        <f>AVERAGE('23.09. KASANGATI-GAYAZA'!N45,'24.09 Kasangati-Gayaza'!N45,'25.09 Kasangati-Gayaza'!N45,'27.09 Kasangati-Gayaza'!N45,'26.09 Kasangati-Gayaza-24h'!N45,'28.09 Kasangati-Gayaza-24h'!N45,'29.09 Kasangati-Gayaza'!N45)</f>
        <v>0</v>
      </c>
      <c r="O45" s="15">
        <f t="shared" si="0"/>
        <v>120.57142857142858</v>
      </c>
      <c r="P45" s="15">
        <f t="shared" si="1"/>
        <v>194.14285714285717</v>
      </c>
    </row>
    <row r="46" spans="2:32" ht="23.1" customHeight="1" x14ac:dyDescent="0.25">
      <c r="B46" s="24" t="s">
        <v>73</v>
      </c>
      <c r="C46" s="49">
        <f>AVERAGE('23.09. KASANGATI-GAYAZA'!C46,'24.09 Kasangati-Gayaza'!C46,'25.09 Kasangati-Gayaza'!C46,'27.09 Kasangati-Gayaza'!C46,'26.09 Kasangati-Gayaza-24h'!C46,'28.09 Kasangati-Gayaza-24h'!C46,'29.09 Kasangati-Gayaza'!C46)</f>
        <v>42.714285714285715</v>
      </c>
      <c r="D46" s="49">
        <f>AVERAGE('23.09. KASANGATI-GAYAZA'!D46,'24.09 Kasangati-Gayaza'!D46,'25.09 Kasangati-Gayaza'!D46,'27.09 Kasangati-Gayaza'!D46,'26.09 Kasangati-Gayaza-24h'!D46,'28.09 Kasangati-Gayaza-24h'!D46,'29.09 Kasangati-Gayaza'!D46)</f>
        <v>12.285714285714286</v>
      </c>
      <c r="E46" s="49">
        <f>AVERAGE('23.09. KASANGATI-GAYAZA'!E46,'24.09 Kasangati-Gayaza'!E46,'25.09 Kasangati-Gayaza'!E46,'27.09 Kasangati-Gayaza'!E46,'26.09 Kasangati-Gayaza-24h'!E46,'28.09 Kasangati-Gayaza-24h'!E46,'29.09 Kasangati-Gayaza'!E46)</f>
        <v>12.428571428571429</v>
      </c>
      <c r="F46" s="49">
        <f>AVERAGE('23.09. KASANGATI-GAYAZA'!F46,'24.09 Kasangati-Gayaza'!F46,'25.09 Kasangati-Gayaza'!F46,'27.09 Kasangati-Gayaza'!F46,'26.09 Kasangati-Gayaza-24h'!F46,'28.09 Kasangati-Gayaza-24h'!F46,'29.09 Kasangati-Gayaza'!F46)</f>
        <v>34.428571428571431</v>
      </c>
      <c r="G46" s="49">
        <f>AVERAGE('23.09. KASANGATI-GAYAZA'!G46,'24.09 Kasangati-Gayaza'!G46,'25.09 Kasangati-Gayaza'!G46,'27.09 Kasangati-Gayaza'!G46,'26.09 Kasangati-Gayaza-24h'!G46,'28.09 Kasangati-Gayaza-24h'!G46,'29.09 Kasangati-Gayaza'!G46)</f>
        <v>0</v>
      </c>
      <c r="H46" s="49">
        <f>AVERAGE('23.09. KASANGATI-GAYAZA'!H46,'24.09 Kasangati-Gayaza'!H46,'25.09 Kasangati-Gayaza'!H46,'27.09 Kasangati-Gayaza'!H46,'26.09 Kasangati-Gayaza-24h'!H46,'28.09 Kasangati-Gayaza-24h'!H46,'29.09 Kasangati-Gayaza'!H46)</f>
        <v>0.2857142857142857</v>
      </c>
      <c r="I46" s="49">
        <f>AVERAGE('23.09. KASANGATI-GAYAZA'!I46,'24.09 Kasangati-Gayaza'!I46,'25.09 Kasangati-Gayaza'!I46,'27.09 Kasangati-Gayaza'!I46,'26.09 Kasangati-Gayaza-24h'!I46,'28.09 Kasangati-Gayaza-24h'!I46,'29.09 Kasangati-Gayaza'!I46)</f>
        <v>7.5714285714285712</v>
      </c>
      <c r="J46" s="49">
        <f>AVERAGE('23.09. KASANGATI-GAYAZA'!J46,'24.09 Kasangati-Gayaza'!J46,'25.09 Kasangati-Gayaza'!J46,'27.09 Kasangati-Gayaza'!J46,'26.09 Kasangati-Gayaza-24h'!J46,'28.09 Kasangati-Gayaza-24h'!J46,'29.09 Kasangati-Gayaza'!J46)</f>
        <v>2.7142857142857144</v>
      </c>
      <c r="K46" s="49">
        <f>AVERAGE('23.09. KASANGATI-GAYAZA'!K46,'24.09 Kasangati-Gayaza'!K46,'25.09 Kasangati-Gayaza'!K46,'27.09 Kasangati-Gayaza'!K46,'26.09 Kasangati-Gayaza-24h'!K46,'28.09 Kasangati-Gayaza-24h'!K46,'29.09 Kasangati-Gayaza'!K46)</f>
        <v>2.4285714285714284</v>
      </c>
      <c r="L46" s="49">
        <f>AVERAGE('23.09. KASANGATI-GAYAZA'!L46,'24.09 Kasangati-Gayaza'!L46,'25.09 Kasangati-Gayaza'!L46,'27.09 Kasangati-Gayaza'!L46,'26.09 Kasangati-Gayaza-24h'!L46,'28.09 Kasangati-Gayaza-24h'!L46,'29.09 Kasangati-Gayaza'!L46)</f>
        <v>0</v>
      </c>
      <c r="M46" s="49">
        <f>AVERAGE('23.09. KASANGATI-GAYAZA'!M46,'24.09 Kasangati-Gayaza'!M46,'25.09 Kasangati-Gayaza'!M46,'27.09 Kasangati-Gayaza'!M46,'26.09 Kasangati-Gayaza-24h'!M46,'28.09 Kasangati-Gayaza-24h'!M46,'29.09 Kasangati-Gayaza'!M46)</f>
        <v>82.571428571428569</v>
      </c>
      <c r="N46" s="49">
        <f>AVERAGE('23.09. KASANGATI-GAYAZA'!N46,'24.09 Kasangati-Gayaza'!N46,'25.09 Kasangati-Gayaza'!N46,'27.09 Kasangati-Gayaza'!N46,'26.09 Kasangati-Gayaza-24h'!N46,'28.09 Kasangati-Gayaza-24h'!N46,'29.09 Kasangati-Gayaza'!N46)</f>
        <v>0</v>
      </c>
      <c r="O46" s="15">
        <f t="shared" si="0"/>
        <v>114.85714285714286</v>
      </c>
      <c r="P46" s="15">
        <f t="shared" si="1"/>
        <v>197.42857142857144</v>
      </c>
      <c r="R46" s="8"/>
      <c r="T46"/>
    </row>
    <row r="47" spans="2:32" ht="23.1" customHeight="1" x14ac:dyDescent="0.25">
      <c r="B47" s="24" t="s">
        <v>74</v>
      </c>
      <c r="C47" s="49">
        <f>AVERAGE('23.09. KASANGATI-GAYAZA'!C47,'24.09 Kasangati-Gayaza'!C47,'25.09 Kasangati-Gayaza'!C47,'27.09 Kasangati-Gayaza'!C47,'26.09 Kasangati-Gayaza-24h'!C47,'28.09 Kasangati-Gayaza-24h'!C47,'29.09 Kasangati-Gayaza'!C47)</f>
        <v>59.285714285714285</v>
      </c>
      <c r="D47" s="49">
        <f>AVERAGE('23.09. KASANGATI-GAYAZA'!D47,'24.09 Kasangati-Gayaza'!D47,'25.09 Kasangati-Gayaza'!D47,'27.09 Kasangati-Gayaza'!D47,'26.09 Kasangati-Gayaza-24h'!D47,'28.09 Kasangati-Gayaza-24h'!D47,'29.09 Kasangati-Gayaza'!D47)</f>
        <v>14</v>
      </c>
      <c r="E47" s="49">
        <f>AVERAGE('23.09. KASANGATI-GAYAZA'!E47,'24.09 Kasangati-Gayaza'!E47,'25.09 Kasangati-Gayaza'!E47,'27.09 Kasangati-Gayaza'!E47,'26.09 Kasangati-Gayaza-24h'!E47,'28.09 Kasangati-Gayaza-24h'!E47,'29.09 Kasangati-Gayaza'!E47)</f>
        <v>7</v>
      </c>
      <c r="F47" s="49">
        <f>AVERAGE('23.09. KASANGATI-GAYAZA'!F47,'24.09 Kasangati-Gayaza'!F47,'25.09 Kasangati-Gayaza'!F47,'27.09 Kasangati-Gayaza'!F47,'26.09 Kasangati-Gayaza-24h'!F47,'28.09 Kasangati-Gayaza-24h'!F47,'29.09 Kasangati-Gayaza'!F47)</f>
        <v>53.285714285714285</v>
      </c>
      <c r="G47" s="49">
        <f>AVERAGE('23.09. KASANGATI-GAYAZA'!G47,'24.09 Kasangati-Gayaza'!G47,'25.09 Kasangati-Gayaza'!G47,'27.09 Kasangati-Gayaza'!G47,'26.09 Kasangati-Gayaza-24h'!G47,'28.09 Kasangati-Gayaza-24h'!G47,'29.09 Kasangati-Gayaza'!G47)</f>
        <v>0.7142857142857143</v>
      </c>
      <c r="H47" s="49">
        <f>AVERAGE('23.09. KASANGATI-GAYAZA'!H47,'24.09 Kasangati-Gayaza'!H47,'25.09 Kasangati-Gayaza'!H47,'27.09 Kasangati-Gayaza'!H47,'26.09 Kasangati-Gayaza-24h'!H47,'28.09 Kasangati-Gayaza-24h'!H47,'29.09 Kasangati-Gayaza'!H47)</f>
        <v>0.42857142857142855</v>
      </c>
      <c r="I47" s="49">
        <f>AVERAGE('23.09. KASANGATI-GAYAZA'!I47,'24.09 Kasangati-Gayaza'!I47,'25.09 Kasangati-Gayaza'!I47,'27.09 Kasangati-Gayaza'!I47,'26.09 Kasangati-Gayaza-24h'!I47,'28.09 Kasangati-Gayaza-24h'!I47,'29.09 Kasangati-Gayaza'!I47)</f>
        <v>7.8571428571428568</v>
      </c>
      <c r="J47" s="49">
        <f>AVERAGE('23.09. KASANGATI-GAYAZA'!J47,'24.09 Kasangati-Gayaza'!J47,'25.09 Kasangati-Gayaza'!J47,'27.09 Kasangati-Gayaza'!J47,'26.09 Kasangati-Gayaza-24h'!J47,'28.09 Kasangati-Gayaza-24h'!J47,'29.09 Kasangati-Gayaza'!J47)</f>
        <v>2.8571428571428572</v>
      </c>
      <c r="K47" s="49">
        <f>AVERAGE('23.09. KASANGATI-GAYAZA'!K47,'24.09 Kasangati-Gayaza'!K47,'25.09 Kasangati-Gayaza'!K47,'27.09 Kasangati-Gayaza'!K47,'26.09 Kasangati-Gayaza-24h'!K47,'28.09 Kasangati-Gayaza-24h'!K47,'29.09 Kasangati-Gayaza'!K47)</f>
        <v>1.5714285714285714</v>
      </c>
      <c r="L47" s="49">
        <f>AVERAGE('23.09. KASANGATI-GAYAZA'!L47,'24.09 Kasangati-Gayaza'!L47,'25.09 Kasangati-Gayaza'!L47,'27.09 Kasangati-Gayaza'!L47,'26.09 Kasangati-Gayaza-24h'!L47,'28.09 Kasangati-Gayaza-24h'!L47,'29.09 Kasangati-Gayaza'!L47)</f>
        <v>0</v>
      </c>
      <c r="M47" s="49">
        <f>AVERAGE('23.09. KASANGATI-GAYAZA'!M47,'24.09 Kasangati-Gayaza'!M47,'25.09 Kasangati-Gayaza'!M47,'27.09 Kasangati-Gayaza'!M47,'26.09 Kasangati-Gayaza-24h'!M47,'28.09 Kasangati-Gayaza-24h'!M47,'29.09 Kasangati-Gayaza'!M47)</f>
        <v>88.142857142857139</v>
      </c>
      <c r="N47" s="49">
        <f>AVERAGE('23.09. KASANGATI-GAYAZA'!N47,'24.09 Kasangati-Gayaza'!N47,'25.09 Kasangati-Gayaza'!N47,'27.09 Kasangati-Gayaza'!N47,'26.09 Kasangati-Gayaza-24h'!N47,'28.09 Kasangati-Gayaza-24h'!N47,'29.09 Kasangati-Gayaza'!N47)</f>
        <v>0</v>
      </c>
      <c r="O47" s="15">
        <f t="shared" si="0"/>
        <v>147</v>
      </c>
      <c r="P47" s="15">
        <f t="shared" si="1"/>
        <v>235.14285714285714</v>
      </c>
      <c r="R47" s="8"/>
      <c r="T47"/>
    </row>
    <row r="48" spans="2:32" ht="23.1" customHeight="1" x14ac:dyDescent="0.25">
      <c r="B48" s="24" t="s">
        <v>75</v>
      </c>
      <c r="C48" s="49">
        <f>AVERAGE('23.09. KASANGATI-GAYAZA'!C48,'24.09 Kasangati-Gayaza'!C48,'25.09 Kasangati-Gayaza'!C48,'27.09 Kasangati-Gayaza'!C48,'26.09 Kasangati-Gayaza-24h'!C48,'28.09 Kasangati-Gayaza-24h'!C48,'29.09 Kasangati-Gayaza'!C48)</f>
        <v>61</v>
      </c>
      <c r="D48" s="49">
        <f>AVERAGE('23.09. KASANGATI-GAYAZA'!D48,'24.09 Kasangati-Gayaza'!D48,'25.09 Kasangati-Gayaza'!D48,'27.09 Kasangati-Gayaza'!D48,'26.09 Kasangati-Gayaza-24h'!D48,'28.09 Kasangati-Gayaza-24h'!D48,'29.09 Kasangati-Gayaza'!D48)</f>
        <v>11.714285714285714</v>
      </c>
      <c r="E48" s="49">
        <f>AVERAGE('23.09. KASANGATI-GAYAZA'!E48,'24.09 Kasangati-Gayaza'!E48,'25.09 Kasangati-Gayaza'!E48,'27.09 Kasangati-Gayaza'!E48,'26.09 Kasangati-Gayaza-24h'!E48,'28.09 Kasangati-Gayaza-24h'!E48,'29.09 Kasangati-Gayaza'!E48)</f>
        <v>11.714285714285714</v>
      </c>
      <c r="F48" s="49">
        <f>AVERAGE('23.09. KASANGATI-GAYAZA'!F48,'24.09 Kasangati-Gayaza'!F48,'25.09 Kasangati-Gayaza'!F48,'27.09 Kasangati-Gayaza'!F48,'26.09 Kasangati-Gayaza-24h'!F48,'28.09 Kasangati-Gayaza-24h'!F48,'29.09 Kasangati-Gayaza'!F48)</f>
        <v>49.714285714285715</v>
      </c>
      <c r="G48" s="49">
        <f>AVERAGE('23.09. KASANGATI-GAYAZA'!G48,'24.09 Kasangati-Gayaza'!G48,'25.09 Kasangati-Gayaza'!G48,'27.09 Kasangati-Gayaza'!G48,'26.09 Kasangati-Gayaza-24h'!G48,'28.09 Kasangati-Gayaza-24h'!G48,'29.09 Kasangati-Gayaza'!G48)</f>
        <v>1.2857142857142858</v>
      </c>
      <c r="H48" s="49">
        <f>AVERAGE('23.09. KASANGATI-GAYAZA'!H48,'24.09 Kasangati-Gayaza'!H48,'25.09 Kasangati-Gayaza'!H48,'27.09 Kasangati-Gayaza'!H48,'26.09 Kasangati-Gayaza-24h'!H48,'28.09 Kasangati-Gayaza-24h'!H48,'29.09 Kasangati-Gayaza'!H48)</f>
        <v>1</v>
      </c>
      <c r="I48" s="49">
        <f>AVERAGE('23.09. KASANGATI-GAYAZA'!I48,'24.09 Kasangati-Gayaza'!I48,'25.09 Kasangati-Gayaza'!I48,'27.09 Kasangati-Gayaza'!I48,'26.09 Kasangati-Gayaza-24h'!I48,'28.09 Kasangati-Gayaza-24h'!I48,'29.09 Kasangati-Gayaza'!I48)</f>
        <v>11.857142857142858</v>
      </c>
      <c r="J48" s="49">
        <f>AVERAGE('23.09. KASANGATI-GAYAZA'!J48,'24.09 Kasangati-Gayaza'!J48,'25.09 Kasangati-Gayaza'!J48,'27.09 Kasangati-Gayaza'!J48,'26.09 Kasangati-Gayaza-24h'!J48,'28.09 Kasangati-Gayaza-24h'!J48,'29.09 Kasangati-Gayaza'!J48)</f>
        <v>2</v>
      </c>
      <c r="K48" s="49">
        <f>AVERAGE('23.09. KASANGATI-GAYAZA'!K48,'24.09 Kasangati-Gayaza'!K48,'25.09 Kasangati-Gayaza'!K48,'27.09 Kasangati-Gayaza'!K48,'26.09 Kasangati-Gayaza-24h'!K48,'28.09 Kasangati-Gayaza-24h'!K48,'29.09 Kasangati-Gayaza'!K48)</f>
        <v>1.8571428571428572</v>
      </c>
      <c r="L48" s="49">
        <f>AVERAGE('23.09. KASANGATI-GAYAZA'!L48,'24.09 Kasangati-Gayaza'!L48,'25.09 Kasangati-Gayaza'!L48,'27.09 Kasangati-Gayaza'!L48,'26.09 Kasangati-Gayaza-24h'!L48,'28.09 Kasangati-Gayaza-24h'!L48,'29.09 Kasangati-Gayaza'!L48)</f>
        <v>0.42857142857142855</v>
      </c>
      <c r="M48" s="49">
        <f>AVERAGE('23.09. KASANGATI-GAYAZA'!M48,'24.09 Kasangati-Gayaza'!M48,'25.09 Kasangati-Gayaza'!M48,'27.09 Kasangati-Gayaza'!M48,'26.09 Kasangati-Gayaza-24h'!M48,'28.09 Kasangati-Gayaza-24h'!M48,'29.09 Kasangati-Gayaza'!M48)</f>
        <v>93.285714285714292</v>
      </c>
      <c r="N48" s="49">
        <f>AVERAGE('23.09. KASANGATI-GAYAZA'!N48,'24.09 Kasangati-Gayaza'!N48,'25.09 Kasangati-Gayaza'!N48,'27.09 Kasangati-Gayaza'!N48,'26.09 Kasangati-Gayaza-24h'!N48,'28.09 Kasangati-Gayaza-24h'!N48,'29.09 Kasangati-Gayaza'!N48)</f>
        <v>0.14285714285714285</v>
      </c>
      <c r="O48" s="15">
        <f t="shared" si="0"/>
        <v>152.71428571428569</v>
      </c>
      <c r="P48" s="15">
        <f t="shared" si="1"/>
        <v>245.99999999999997</v>
      </c>
      <c r="R48" s="8"/>
      <c r="T48"/>
    </row>
    <row r="49" spans="2:20" ht="23.1" customHeight="1" x14ac:dyDescent="0.25">
      <c r="B49" s="23" t="s">
        <v>76</v>
      </c>
      <c r="C49" s="49">
        <f>AVERAGE('23.09. KASANGATI-GAYAZA'!C49,'24.09 Kasangati-Gayaza'!C49,'25.09 Kasangati-Gayaza'!C49,'27.09 Kasangati-Gayaza'!C49,'26.09 Kasangati-Gayaza-24h'!C49,'28.09 Kasangati-Gayaza-24h'!C49,'29.09 Kasangati-Gayaza'!C49)</f>
        <v>57.428571428571431</v>
      </c>
      <c r="D49" s="49">
        <f>AVERAGE('23.09. KASANGATI-GAYAZA'!D49,'24.09 Kasangati-Gayaza'!D49,'25.09 Kasangati-Gayaza'!D49,'27.09 Kasangati-Gayaza'!D49,'26.09 Kasangati-Gayaza-24h'!D49,'28.09 Kasangati-Gayaza-24h'!D49,'29.09 Kasangati-Gayaza'!D49)</f>
        <v>12.285714285714286</v>
      </c>
      <c r="E49" s="49">
        <f>AVERAGE('23.09. KASANGATI-GAYAZA'!E49,'24.09 Kasangati-Gayaza'!E49,'25.09 Kasangati-Gayaza'!E49,'27.09 Kasangati-Gayaza'!E49,'26.09 Kasangati-Gayaza-24h'!E49,'28.09 Kasangati-Gayaza-24h'!E49,'29.09 Kasangati-Gayaza'!E49)</f>
        <v>10.714285714285714</v>
      </c>
      <c r="F49" s="49">
        <f>AVERAGE('23.09. KASANGATI-GAYAZA'!F49,'24.09 Kasangati-Gayaza'!F49,'25.09 Kasangati-Gayaza'!F49,'27.09 Kasangati-Gayaza'!F49,'26.09 Kasangati-Gayaza-24h'!F49,'28.09 Kasangati-Gayaza-24h'!F49,'29.09 Kasangati-Gayaza'!F49)</f>
        <v>34.571428571428569</v>
      </c>
      <c r="G49" s="49">
        <f>AVERAGE('23.09. KASANGATI-GAYAZA'!G49,'24.09 Kasangati-Gayaza'!G49,'25.09 Kasangati-Gayaza'!G49,'27.09 Kasangati-Gayaza'!G49,'26.09 Kasangati-Gayaza-24h'!G49,'28.09 Kasangati-Gayaza-24h'!G49,'29.09 Kasangati-Gayaza'!G49)</f>
        <v>0.7142857142857143</v>
      </c>
      <c r="H49" s="49">
        <f>AVERAGE('23.09. KASANGATI-GAYAZA'!H49,'24.09 Kasangati-Gayaza'!H49,'25.09 Kasangati-Gayaza'!H49,'27.09 Kasangati-Gayaza'!H49,'26.09 Kasangati-Gayaza-24h'!H49,'28.09 Kasangati-Gayaza-24h'!H49,'29.09 Kasangati-Gayaza'!H49)</f>
        <v>2.4285714285714284</v>
      </c>
      <c r="I49" s="49">
        <f>AVERAGE('23.09. KASANGATI-GAYAZA'!I49,'24.09 Kasangati-Gayaza'!I49,'25.09 Kasangati-Gayaza'!I49,'27.09 Kasangati-Gayaza'!I49,'26.09 Kasangati-Gayaza-24h'!I49,'28.09 Kasangati-Gayaza-24h'!I49,'29.09 Kasangati-Gayaza'!I49)</f>
        <v>7.8571428571428568</v>
      </c>
      <c r="J49" s="49">
        <f>AVERAGE('23.09. KASANGATI-GAYAZA'!J49,'24.09 Kasangati-Gayaza'!J49,'25.09 Kasangati-Gayaza'!J49,'27.09 Kasangati-Gayaza'!J49,'26.09 Kasangati-Gayaza-24h'!J49,'28.09 Kasangati-Gayaza-24h'!J49,'29.09 Kasangati-Gayaza'!J49)</f>
        <v>2</v>
      </c>
      <c r="K49" s="49">
        <f>AVERAGE('23.09. KASANGATI-GAYAZA'!K49,'24.09 Kasangati-Gayaza'!K49,'25.09 Kasangati-Gayaza'!K49,'27.09 Kasangati-Gayaza'!K49,'26.09 Kasangati-Gayaza-24h'!K49,'28.09 Kasangati-Gayaza-24h'!K49,'29.09 Kasangati-Gayaza'!K49)</f>
        <v>2.5714285714285716</v>
      </c>
      <c r="L49" s="49">
        <f>AVERAGE('23.09. KASANGATI-GAYAZA'!L49,'24.09 Kasangati-Gayaza'!L49,'25.09 Kasangati-Gayaza'!L49,'27.09 Kasangati-Gayaza'!L49,'26.09 Kasangati-Gayaza-24h'!L49,'28.09 Kasangati-Gayaza-24h'!L49,'29.09 Kasangati-Gayaza'!L49)</f>
        <v>0.42857142857142855</v>
      </c>
      <c r="M49" s="49">
        <f>AVERAGE('23.09. KASANGATI-GAYAZA'!M49,'24.09 Kasangati-Gayaza'!M49,'25.09 Kasangati-Gayaza'!M49,'27.09 Kasangati-Gayaza'!M49,'26.09 Kasangati-Gayaza-24h'!M49,'28.09 Kasangati-Gayaza-24h'!M49,'29.09 Kasangati-Gayaza'!M49)</f>
        <v>91</v>
      </c>
      <c r="N49" s="49">
        <f>AVERAGE('23.09. KASANGATI-GAYAZA'!N49,'24.09 Kasangati-Gayaza'!N49,'25.09 Kasangati-Gayaza'!N49,'27.09 Kasangati-Gayaza'!N49,'26.09 Kasangati-Gayaza-24h'!N49,'28.09 Kasangati-Gayaza-24h'!N49,'29.09 Kasangati-Gayaza'!N49)</f>
        <v>0.14285714285714285</v>
      </c>
      <c r="O49" s="15">
        <f t="shared" si="0"/>
        <v>131.14285714285714</v>
      </c>
      <c r="P49" s="15">
        <f t="shared" si="1"/>
        <v>222.14285714285714</v>
      </c>
      <c r="R49" s="8"/>
      <c r="T49"/>
    </row>
    <row r="50" spans="2:20" ht="23.1" customHeight="1" x14ac:dyDescent="0.25">
      <c r="B50" s="24" t="s">
        <v>77</v>
      </c>
      <c r="C50" s="49">
        <f>AVERAGE('23.09. KASANGATI-GAYAZA'!C50,'24.09 Kasangati-Gayaza'!C50,'25.09 Kasangati-Gayaza'!C50,'27.09 Kasangati-Gayaza'!C50,'26.09 Kasangati-Gayaza-24h'!C50,'28.09 Kasangati-Gayaza-24h'!C50,'29.09 Kasangati-Gayaza'!C50)</f>
        <v>61.857142857142854</v>
      </c>
      <c r="D50" s="49">
        <f>AVERAGE('23.09. KASANGATI-GAYAZA'!D50,'24.09 Kasangati-Gayaza'!D50,'25.09 Kasangati-Gayaza'!D50,'27.09 Kasangati-Gayaza'!D50,'26.09 Kasangati-Gayaza-24h'!D50,'28.09 Kasangati-Gayaza-24h'!D50,'29.09 Kasangati-Gayaza'!D50)</f>
        <v>11</v>
      </c>
      <c r="E50" s="49">
        <f>AVERAGE('23.09. KASANGATI-GAYAZA'!E50,'24.09 Kasangati-Gayaza'!E50,'25.09 Kasangati-Gayaza'!E50,'27.09 Kasangati-Gayaza'!E50,'26.09 Kasangati-Gayaza-24h'!E50,'28.09 Kasangati-Gayaza-24h'!E50,'29.09 Kasangati-Gayaza'!E50)</f>
        <v>9.8571428571428577</v>
      </c>
      <c r="F50" s="49">
        <f>AVERAGE('23.09. KASANGATI-GAYAZA'!F50,'24.09 Kasangati-Gayaza'!F50,'25.09 Kasangati-Gayaza'!F50,'27.09 Kasangati-Gayaza'!F50,'26.09 Kasangati-Gayaza-24h'!F50,'28.09 Kasangati-Gayaza-24h'!F50,'29.09 Kasangati-Gayaza'!F50)</f>
        <v>48.428571428571431</v>
      </c>
      <c r="G50" s="49">
        <f>AVERAGE('23.09. KASANGATI-GAYAZA'!G50,'24.09 Kasangati-Gayaza'!G50,'25.09 Kasangati-Gayaza'!G50,'27.09 Kasangati-Gayaza'!G50,'26.09 Kasangati-Gayaza-24h'!G50,'28.09 Kasangati-Gayaza-24h'!G50,'29.09 Kasangati-Gayaza'!G50)</f>
        <v>0.14285714285714285</v>
      </c>
      <c r="H50" s="49">
        <f>AVERAGE('23.09. KASANGATI-GAYAZA'!H50,'24.09 Kasangati-Gayaza'!H50,'25.09 Kasangati-Gayaza'!H50,'27.09 Kasangati-Gayaza'!H50,'26.09 Kasangati-Gayaza-24h'!H50,'28.09 Kasangati-Gayaza-24h'!H50,'29.09 Kasangati-Gayaza'!H50)</f>
        <v>1.1428571428571428</v>
      </c>
      <c r="I50" s="49">
        <f>AVERAGE('23.09. KASANGATI-GAYAZA'!I50,'24.09 Kasangati-Gayaza'!I50,'25.09 Kasangati-Gayaza'!I50,'27.09 Kasangati-Gayaza'!I50,'26.09 Kasangati-Gayaza-24h'!I50,'28.09 Kasangati-Gayaza-24h'!I50,'29.09 Kasangati-Gayaza'!I50)</f>
        <v>7.2857142857142856</v>
      </c>
      <c r="J50" s="49">
        <f>AVERAGE('23.09. KASANGATI-GAYAZA'!J50,'24.09 Kasangati-Gayaza'!J50,'25.09 Kasangati-Gayaza'!J50,'27.09 Kasangati-Gayaza'!J50,'26.09 Kasangati-Gayaza-24h'!J50,'28.09 Kasangati-Gayaza-24h'!J50,'29.09 Kasangati-Gayaza'!J50)</f>
        <v>2.7142857142857144</v>
      </c>
      <c r="K50" s="49">
        <f>AVERAGE('23.09. KASANGATI-GAYAZA'!K50,'24.09 Kasangati-Gayaza'!K50,'25.09 Kasangati-Gayaza'!K50,'27.09 Kasangati-Gayaza'!K50,'26.09 Kasangati-Gayaza-24h'!K50,'28.09 Kasangati-Gayaza-24h'!K50,'29.09 Kasangati-Gayaza'!K50)</f>
        <v>2.2857142857142856</v>
      </c>
      <c r="L50" s="49">
        <f>AVERAGE('23.09. KASANGATI-GAYAZA'!L50,'24.09 Kasangati-Gayaza'!L50,'25.09 Kasangati-Gayaza'!L50,'27.09 Kasangati-Gayaza'!L50,'26.09 Kasangati-Gayaza-24h'!L50,'28.09 Kasangati-Gayaza-24h'!L50,'29.09 Kasangati-Gayaza'!L50)</f>
        <v>0.14285714285714285</v>
      </c>
      <c r="M50" s="49">
        <f>AVERAGE('23.09. KASANGATI-GAYAZA'!M50,'24.09 Kasangati-Gayaza'!M50,'25.09 Kasangati-Gayaza'!M50,'27.09 Kasangati-Gayaza'!M50,'26.09 Kasangati-Gayaza-24h'!M50,'28.09 Kasangati-Gayaza-24h'!M50,'29.09 Kasangati-Gayaza'!M50)</f>
        <v>98.428571428571431</v>
      </c>
      <c r="N50" s="49">
        <f>AVERAGE('23.09. KASANGATI-GAYAZA'!N50,'24.09 Kasangati-Gayaza'!N50,'25.09 Kasangati-Gayaza'!N50,'27.09 Kasangati-Gayaza'!N50,'26.09 Kasangati-Gayaza-24h'!N50,'28.09 Kasangati-Gayaza-24h'!N50,'29.09 Kasangati-Gayaza'!N50)</f>
        <v>0</v>
      </c>
      <c r="O50" s="15">
        <f t="shared" si="0"/>
        <v>144.85714285714286</v>
      </c>
      <c r="P50" s="15">
        <f t="shared" si="1"/>
        <v>243.28571428571428</v>
      </c>
      <c r="R50" s="8"/>
      <c r="T50"/>
    </row>
    <row r="51" spans="2:20" ht="23.1" customHeight="1" x14ac:dyDescent="0.25">
      <c r="B51" s="24" t="s">
        <v>78</v>
      </c>
      <c r="C51" s="49">
        <f>AVERAGE('23.09. KASANGATI-GAYAZA'!C51,'24.09 Kasangati-Gayaza'!C51,'25.09 Kasangati-Gayaza'!C51,'27.09 Kasangati-Gayaza'!C51,'26.09 Kasangati-Gayaza-24h'!C51,'28.09 Kasangati-Gayaza-24h'!C51,'29.09 Kasangati-Gayaza'!C51)</f>
        <v>67</v>
      </c>
      <c r="D51" s="49">
        <f>AVERAGE('23.09. KASANGATI-GAYAZA'!D51,'24.09 Kasangati-Gayaza'!D51,'25.09 Kasangati-Gayaza'!D51,'27.09 Kasangati-Gayaza'!D51,'26.09 Kasangati-Gayaza-24h'!D51,'28.09 Kasangati-Gayaza-24h'!D51,'29.09 Kasangati-Gayaza'!D51)</f>
        <v>9.8571428571428577</v>
      </c>
      <c r="E51" s="49">
        <f>AVERAGE('23.09. KASANGATI-GAYAZA'!E51,'24.09 Kasangati-Gayaza'!E51,'25.09 Kasangati-Gayaza'!E51,'27.09 Kasangati-Gayaza'!E51,'26.09 Kasangati-Gayaza-24h'!E51,'28.09 Kasangati-Gayaza-24h'!E51,'29.09 Kasangati-Gayaza'!E51)</f>
        <v>7.2857142857142856</v>
      </c>
      <c r="F51" s="49">
        <f>AVERAGE('23.09. KASANGATI-GAYAZA'!F51,'24.09 Kasangati-Gayaza'!F51,'25.09 Kasangati-Gayaza'!F51,'27.09 Kasangati-Gayaza'!F51,'26.09 Kasangati-Gayaza-24h'!F51,'28.09 Kasangati-Gayaza-24h'!F51,'29.09 Kasangati-Gayaza'!F51)</f>
        <v>51.428571428571431</v>
      </c>
      <c r="G51" s="49">
        <f>AVERAGE('23.09. KASANGATI-GAYAZA'!G51,'24.09 Kasangati-Gayaza'!G51,'25.09 Kasangati-Gayaza'!G51,'27.09 Kasangati-Gayaza'!G51,'26.09 Kasangati-Gayaza-24h'!G51,'28.09 Kasangati-Gayaza-24h'!G51,'29.09 Kasangati-Gayaza'!G51)</f>
        <v>0.2857142857142857</v>
      </c>
      <c r="H51" s="49">
        <f>AVERAGE('23.09. KASANGATI-GAYAZA'!H51,'24.09 Kasangati-Gayaza'!H51,'25.09 Kasangati-Gayaza'!H51,'27.09 Kasangati-Gayaza'!H51,'26.09 Kasangati-Gayaza-24h'!H51,'28.09 Kasangati-Gayaza-24h'!H51,'29.09 Kasangati-Gayaza'!H51)</f>
        <v>0.7142857142857143</v>
      </c>
      <c r="I51" s="49">
        <f>AVERAGE('23.09. KASANGATI-GAYAZA'!I51,'24.09 Kasangati-Gayaza'!I51,'25.09 Kasangati-Gayaza'!I51,'27.09 Kasangati-Gayaza'!I51,'26.09 Kasangati-Gayaza-24h'!I51,'28.09 Kasangati-Gayaza-24h'!I51,'29.09 Kasangati-Gayaza'!I51)</f>
        <v>7.4285714285714288</v>
      </c>
      <c r="J51" s="49">
        <f>AVERAGE('23.09. KASANGATI-GAYAZA'!J51,'24.09 Kasangati-Gayaza'!J51,'25.09 Kasangati-Gayaza'!J51,'27.09 Kasangati-Gayaza'!J51,'26.09 Kasangati-Gayaza-24h'!J51,'28.09 Kasangati-Gayaza-24h'!J51,'29.09 Kasangati-Gayaza'!J51)</f>
        <v>3</v>
      </c>
      <c r="K51" s="49">
        <f>AVERAGE('23.09. KASANGATI-GAYAZA'!K51,'24.09 Kasangati-Gayaza'!K51,'25.09 Kasangati-Gayaza'!K51,'27.09 Kasangati-Gayaza'!K51,'26.09 Kasangati-Gayaza-24h'!K51,'28.09 Kasangati-Gayaza-24h'!K51,'29.09 Kasangati-Gayaza'!K51)</f>
        <v>2.5714285714285716</v>
      </c>
      <c r="L51" s="49">
        <f>AVERAGE('23.09. KASANGATI-GAYAZA'!L51,'24.09 Kasangati-Gayaza'!L51,'25.09 Kasangati-Gayaza'!L51,'27.09 Kasangati-Gayaza'!L51,'26.09 Kasangati-Gayaza-24h'!L51,'28.09 Kasangati-Gayaza-24h'!L51,'29.09 Kasangati-Gayaza'!L51)</f>
        <v>0.42857142857142855</v>
      </c>
      <c r="M51" s="49">
        <f>AVERAGE('23.09. KASANGATI-GAYAZA'!M51,'24.09 Kasangati-Gayaza'!M51,'25.09 Kasangati-Gayaza'!M51,'27.09 Kasangati-Gayaza'!M51,'26.09 Kasangati-Gayaza-24h'!M51,'28.09 Kasangati-Gayaza-24h'!M51,'29.09 Kasangati-Gayaza'!M51)</f>
        <v>106.71428571428571</v>
      </c>
      <c r="N51" s="49">
        <f>AVERAGE('23.09. KASANGATI-GAYAZA'!N51,'24.09 Kasangati-Gayaza'!N51,'25.09 Kasangati-Gayaza'!N51,'27.09 Kasangati-Gayaza'!N51,'26.09 Kasangati-Gayaza-24h'!N51,'28.09 Kasangati-Gayaza-24h'!N51,'29.09 Kasangati-Gayaza'!N51)</f>
        <v>0</v>
      </c>
      <c r="O51" s="15">
        <f t="shared" si="0"/>
        <v>150</v>
      </c>
      <c r="P51" s="15">
        <f t="shared" si="1"/>
        <v>256.71428571428572</v>
      </c>
      <c r="R51" s="8"/>
      <c r="T51"/>
    </row>
    <row r="52" spans="2:20" ht="23.1" customHeight="1" x14ac:dyDescent="0.25">
      <c r="B52" s="24" t="s">
        <v>79</v>
      </c>
      <c r="C52" s="49">
        <f>AVERAGE('23.09. KASANGATI-GAYAZA'!C52,'24.09 Kasangati-Gayaza'!C52,'25.09 Kasangati-Gayaza'!C52,'27.09 Kasangati-Gayaza'!C52,'26.09 Kasangati-Gayaza-24h'!C52,'28.09 Kasangati-Gayaza-24h'!C52,'29.09 Kasangati-Gayaza'!C52)</f>
        <v>69.142857142857139</v>
      </c>
      <c r="D52" s="49">
        <f>AVERAGE('23.09. KASANGATI-GAYAZA'!D52,'24.09 Kasangati-Gayaza'!D52,'25.09 Kasangati-Gayaza'!D52,'27.09 Kasangati-Gayaza'!D52,'26.09 Kasangati-Gayaza-24h'!D52,'28.09 Kasangati-Gayaza-24h'!D52,'29.09 Kasangati-Gayaza'!D52)</f>
        <v>10.571428571428571</v>
      </c>
      <c r="E52" s="49">
        <f>AVERAGE('23.09. KASANGATI-GAYAZA'!E52,'24.09 Kasangati-Gayaza'!E52,'25.09 Kasangati-Gayaza'!E52,'27.09 Kasangati-Gayaza'!E52,'26.09 Kasangati-Gayaza-24h'!E52,'28.09 Kasangati-Gayaza-24h'!E52,'29.09 Kasangati-Gayaza'!E52)</f>
        <v>7.4285714285714288</v>
      </c>
      <c r="F52" s="49">
        <f>AVERAGE('23.09. KASANGATI-GAYAZA'!F52,'24.09 Kasangati-Gayaza'!F52,'25.09 Kasangati-Gayaza'!F52,'27.09 Kasangati-Gayaza'!F52,'26.09 Kasangati-Gayaza-24h'!F52,'28.09 Kasangati-Gayaza-24h'!F52,'29.09 Kasangati-Gayaza'!F52)</f>
        <v>55.857142857142854</v>
      </c>
      <c r="G52" s="49">
        <f>AVERAGE('23.09. KASANGATI-GAYAZA'!G52,'24.09 Kasangati-Gayaza'!G52,'25.09 Kasangati-Gayaza'!G52,'27.09 Kasangati-Gayaza'!G52,'26.09 Kasangati-Gayaza-24h'!G52,'28.09 Kasangati-Gayaza-24h'!G52,'29.09 Kasangati-Gayaza'!G52)</f>
        <v>0.7142857142857143</v>
      </c>
      <c r="H52" s="49">
        <f>AVERAGE('23.09. KASANGATI-GAYAZA'!H52,'24.09 Kasangati-Gayaza'!H52,'25.09 Kasangati-Gayaza'!H52,'27.09 Kasangati-Gayaza'!H52,'26.09 Kasangati-Gayaza-24h'!H52,'28.09 Kasangati-Gayaza-24h'!H52,'29.09 Kasangati-Gayaza'!H52)</f>
        <v>0.42857142857142855</v>
      </c>
      <c r="I52" s="49">
        <f>AVERAGE('23.09. KASANGATI-GAYAZA'!I52,'24.09 Kasangati-Gayaza'!I52,'25.09 Kasangati-Gayaza'!I52,'27.09 Kasangati-Gayaza'!I52,'26.09 Kasangati-Gayaza-24h'!I52,'28.09 Kasangati-Gayaza-24h'!I52,'29.09 Kasangati-Gayaza'!I52)</f>
        <v>8.8571428571428577</v>
      </c>
      <c r="J52" s="49">
        <f>AVERAGE('23.09. KASANGATI-GAYAZA'!J52,'24.09 Kasangati-Gayaza'!J52,'25.09 Kasangati-Gayaza'!J52,'27.09 Kasangati-Gayaza'!J52,'26.09 Kasangati-Gayaza-24h'!J52,'28.09 Kasangati-Gayaza-24h'!J52,'29.09 Kasangati-Gayaza'!J52)</f>
        <v>2.2857142857142856</v>
      </c>
      <c r="K52" s="49">
        <f>AVERAGE('23.09. KASANGATI-GAYAZA'!K52,'24.09 Kasangati-Gayaza'!K52,'25.09 Kasangati-Gayaza'!K52,'27.09 Kasangati-Gayaza'!K52,'26.09 Kasangati-Gayaza-24h'!K52,'28.09 Kasangati-Gayaza-24h'!K52,'29.09 Kasangati-Gayaza'!K52)</f>
        <v>1.4285714285714286</v>
      </c>
      <c r="L52" s="49">
        <f>AVERAGE('23.09. KASANGATI-GAYAZA'!L52,'24.09 Kasangati-Gayaza'!L52,'25.09 Kasangati-Gayaza'!L52,'27.09 Kasangati-Gayaza'!L52,'26.09 Kasangati-Gayaza-24h'!L52,'28.09 Kasangati-Gayaza-24h'!L52,'29.09 Kasangati-Gayaza'!L52)</f>
        <v>0.14285714285714285</v>
      </c>
      <c r="M52" s="49">
        <f>AVERAGE('23.09. KASANGATI-GAYAZA'!M52,'24.09 Kasangati-Gayaza'!M52,'25.09 Kasangati-Gayaza'!M52,'27.09 Kasangati-Gayaza'!M52,'26.09 Kasangati-Gayaza-24h'!M52,'28.09 Kasangati-Gayaza-24h'!M52,'29.09 Kasangati-Gayaza'!M52)</f>
        <v>98.285714285714292</v>
      </c>
      <c r="N52" s="49">
        <f>AVERAGE('23.09. KASANGATI-GAYAZA'!N52,'24.09 Kasangati-Gayaza'!N52,'25.09 Kasangati-Gayaza'!N52,'27.09 Kasangati-Gayaza'!N52,'26.09 Kasangati-Gayaza-24h'!N52,'28.09 Kasangati-Gayaza-24h'!N52,'29.09 Kasangati-Gayaza'!N52)</f>
        <v>0</v>
      </c>
      <c r="O52" s="15">
        <f t="shared" si="0"/>
        <v>156.85714285714283</v>
      </c>
      <c r="P52" s="15">
        <f t="shared" si="1"/>
        <v>255.14285714285711</v>
      </c>
      <c r="R52" s="8"/>
      <c r="T52"/>
    </row>
    <row r="53" spans="2:20" ht="23.1" customHeight="1" x14ac:dyDescent="0.25">
      <c r="B53" s="23" t="s">
        <v>80</v>
      </c>
      <c r="C53" s="49">
        <f>AVERAGE('23.09. KASANGATI-GAYAZA'!C53,'24.09 Kasangati-Gayaza'!C53,'25.09 Kasangati-Gayaza'!C53,'27.09 Kasangati-Gayaza'!C53,'26.09 Kasangati-Gayaza-24h'!C53,'28.09 Kasangati-Gayaza-24h'!C53,'29.09 Kasangati-Gayaza'!C53)</f>
        <v>75.142857142857139</v>
      </c>
      <c r="D53" s="49">
        <f>AVERAGE('23.09. KASANGATI-GAYAZA'!D53,'24.09 Kasangati-Gayaza'!D53,'25.09 Kasangati-Gayaza'!D53,'27.09 Kasangati-Gayaza'!D53,'26.09 Kasangati-Gayaza-24h'!D53,'28.09 Kasangati-Gayaza-24h'!D53,'29.09 Kasangati-Gayaza'!D53)</f>
        <v>12.571428571428571</v>
      </c>
      <c r="E53" s="49">
        <f>AVERAGE('23.09. KASANGATI-GAYAZA'!E53,'24.09 Kasangati-Gayaza'!E53,'25.09 Kasangati-Gayaza'!E53,'27.09 Kasangati-Gayaza'!E53,'26.09 Kasangati-Gayaza-24h'!E53,'28.09 Kasangati-Gayaza-24h'!E53,'29.09 Kasangati-Gayaza'!E53)</f>
        <v>7.8571428571428568</v>
      </c>
      <c r="F53" s="49">
        <f>AVERAGE('23.09. KASANGATI-GAYAZA'!F53,'24.09 Kasangati-Gayaza'!F53,'25.09 Kasangati-Gayaza'!F53,'27.09 Kasangati-Gayaza'!F53,'26.09 Kasangati-Gayaza-24h'!F53,'28.09 Kasangati-Gayaza-24h'!F53,'29.09 Kasangati-Gayaza'!F53)</f>
        <v>54.571428571428569</v>
      </c>
      <c r="G53" s="49">
        <f>AVERAGE('23.09. KASANGATI-GAYAZA'!G53,'24.09 Kasangati-Gayaza'!G53,'25.09 Kasangati-Gayaza'!G53,'27.09 Kasangati-Gayaza'!G53,'26.09 Kasangati-Gayaza-24h'!G53,'28.09 Kasangati-Gayaza-24h'!G53,'29.09 Kasangati-Gayaza'!G53)</f>
        <v>1.1428571428571428</v>
      </c>
      <c r="H53" s="49">
        <f>AVERAGE('23.09. KASANGATI-GAYAZA'!H53,'24.09 Kasangati-Gayaza'!H53,'25.09 Kasangati-Gayaza'!H53,'27.09 Kasangati-Gayaza'!H53,'26.09 Kasangati-Gayaza-24h'!H53,'28.09 Kasangati-Gayaza-24h'!H53,'29.09 Kasangati-Gayaza'!H53)</f>
        <v>1</v>
      </c>
      <c r="I53" s="49">
        <f>AVERAGE('23.09. KASANGATI-GAYAZA'!I53,'24.09 Kasangati-Gayaza'!I53,'25.09 Kasangati-Gayaza'!I53,'27.09 Kasangati-Gayaza'!I53,'26.09 Kasangati-Gayaza-24h'!I53,'28.09 Kasangati-Gayaza-24h'!I53,'29.09 Kasangati-Gayaza'!I53)</f>
        <v>6.7142857142857144</v>
      </c>
      <c r="J53" s="49">
        <f>AVERAGE('23.09. KASANGATI-GAYAZA'!J53,'24.09 Kasangati-Gayaza'!J53,'25.09 Kasangati-Gayaza'!J53,'27.09 Kasangati-Gayaza'!J53,'26.09 Kasangati-Gayaza-24h'!J53,'28.09 Kasangati-Gayaza-24h'!J53,'29.09 Kasangati-Gayaza'!J53)</f>
        <v>1</v>
      </c>
      <c r="K53" s="49">
        <f>AVERAGE('23.09. KASANGATI-GAYAZA'!K53,'24.09 Kasangati-Gayaza'!K53,'25.09 Kasangati-Gayaza'!K53,'27.09 Kasangati-Gayaza'!K53,'26.09 Kasangati-Gayaza-24h'!K53,'28.09 Kasangati-Gayaza-24h'!K53,'29.09 Kasangati-Gayaza'!K53)</f>
        <v>1.1428571428571428</v>
      </c>
      <c r="L53" s="49">
        <f>AVERAGE('23.09. KASANGATI-GAYAZA'!L53,'24.09 Kasangati-Gayaza'!L53,'25.09 Kasangati-Gayaza'!L53,'27.09 Kasangati-Gayaza'!L53,'26.09 Kasangati-Gayaza-24h'!L53,'28.09 Kasangati-Gayaza-24h'!L53,'29.09 Kasangati-Gayaza'!L53)</f>
        <v>0.14285714285714285</v>
      </c>
      <c r="M53" s="49">
        <f>AVERAGE('23.09. KASANGATI-GAYAZA'!M53,'24.09 Kasangati-Gayaza'!M53,'25.09 Kasangati-Gayaza'!M53,'27.09 Kasangati-Gayaza'!M53,'26.09 Kasangati-Gayaza-24h'!M53,'28.09 Kasangati-Gayaza-24h'!M53,'29.09 Kasangati-Gayaza'!M53)</f>
        <v>100.42857142857143</v>
      </c>
      <c r="N53" s="49">
        <f>AVERAGE('23.09. KASANGATI-GAYAZA'!N53,'24.09 Kasangati-Gayaza'!N53,'25.09 Kasangati-Gayaza'!N53,'27.09 Kasangati-Gayaza'!N53,'26.09 Kasangati-Gayaza-24h'!N53,'28.09 Kasangati-Gayaza-24h'!N53,'29.09 Kasangati-Gayaza'!N53)</f>
        <v>0</v>
      </c>
      <c r="O53" s="15">
        <f t="shared" si="0"/>
        <v>161.28571428571428</v>
      </c>
      <c r="P53" s="15">
        <f t="shared" si="1"/>
        <v>261.71428571428572</v>
      </c>
      <c r="R53" s="8"/>
      <c r="T53"/>
    </row>
    <row r="54" spans="2:20" ht="23.1" customHeight="1" x14ac:dyDescent="0.25">
      <c r="B54" s="23" t="s">
        <v>81</v>
      </c>
      <c r="C54" s="49">
        <f>AVERAGE('23.09. KASANGATI-GAYAZA'!C54,'24.09 Kasangati-Gayaza'!C54,'25.09 Kasangati-Gayaza'!C54,'27.09 Kasangati-Gayaza'!C54,'26.09 Kasangati-Gayaza-24h'!C54,'28.09 Kasangati-Gayaza-24h'!C54,'29.09 Kasangati-Gayaza'!C54)</f>
        <v>70.571428571428569</v>
      </c>
      <c r="D54" s="49">
        <f>AVERAGE('23.09. KASANGATI-GAYAZA'!D54,'24.09 Kasangati-Gayaza'!D54,'25.09 Kasangati-Gayaza'!D54,'27.09 Kasangati-Gayaza'!D54,'26.09 Kasangati-Gayaza-24h'!D54,'28.09 Kasangati-Gayaza-24h'!D54,'29.09 Kasangati-Gayaza'!D54)</f>
        <v>10.714285714285714</v>
      </c>
      <c r="E54" s="49">
        <f>AVERAGE('23.09. KASANGATI-GAYAZA'!E54,'24.09 Kasangati-Gayaza'!E54,'25.09 Kasangati-Gayaza'!E54,'27.09 Kasangati-Gayaza'!E54,'26.09 Kasangati-Gayaza-24h'!E54,'28.09 Kasangati-Gayaza-24h'!E54,'29.09 Kasangati-Gayaza'!E54)</f>
        <v>8.7142857142857135</v>
      </c>
      <c r="F54" s="49">
        <f>AVERAGE('23.09. KASANGATI-GAYAZA'!F54,'24.09 Kasangati-Gayaza'!F54,'25.09 Kasangati-Gayaza'!F54,'27.09 Kasangati-Gayaza'!F54,'26.09 Kasangati-Gayaza-24h'!F54,'28.09 Kasangati-Gayaza-24h'!F54,'29.09 Kasangati-Gayaza'!F54)</f>
        <v>49.285714285714285</v>
      </c>
      <c r="G54" s="49">
        <f>AVERAGE('23.09. KASANGATI-GAYAZA'!G54,'24.09 Kasangati-Gayaza'!G54,'25.09 Kasangati-Gayaza'!G54,'27.09 Kasangati-Gayaza'!G54,'26.09 Kasangati-Gayaza-24h'!G54,'28.09 Kasangati-Gayaza-24h'!G54,'29.09 Kasangati-Gayaza'!G54)</f>
        <v>0.2857142857142857</v>
      </c>
      <c r="H54" s="49">
        <f>AVERAGE('23.09. KASANGATI-GAYAZA'!H54,'24.09 Kasangati-Gayaza'!H54,'25.09 Kasangati-Gayaza'!H54,'27.09 Kasangati-Gayaza'!H54,'26.09 Kasangati-Gayaza-24h'!H54,'28.09 Kasangati-Gayaza-24h'!H54,'29.09 Kasangati-Gayaza'!H54)</f>
        <v>1.4285714285714286</v>
      </c>
      <c r="I54" s="49">
        <f>AVERAGE('23.09. KASANGATI-GAYAZA'!I54,'24.09 Kasangati-Gayaza'!I54,'25.09 Kasangati-Gayaza'!I54,'27.09 Kasangati-Gayaza'!I54,'26.09 Kasangati-Gayaza-24h'!I54,'28.09 Kasangati-Gayaza-24h'!I54,'29.09 Kasangati-Gayaza'!I54)</f>
        <v>8.8571428571428577</v>
      </c>
      <c r="J54" s="49">
        <f>AVERAGE('23.09. KASANGATI-GAYAZA'!J54,'24.09 Kasangati-Gayaza'!J54,'25.09 Kasangati-Gayaza'!J54,'27.09 Kasangati-Gayaza'!J54,'26.09 Kasangati-Gayaza-24h'!J54,'28.09 Kasangati-Gayaza-24h'!J54,'29.09 Kasangati-Gayaza'!J54)</f>
        <v>2.5714285714285716</v>
      </c>
      <c r="K54" s="49">
        <f>AVERAGE('23.09. KASANGATI-GAYAZA'!K54,'24.09 Kasangati-Gayaza'!K54,'25.09 Kasangati-Gayaza'!K54,'27.09 Kasangati-Gayaza'!K54,'26.09 Kasangati-Gayaza-24h'!K54,'28.09 Kasangati-Gayaza-24h'!K54,'29.09 Kasangati-Gayaza'!K54)</f>
        <v>1</v>
      </c>
      <c r="L54" s="49">
        <f>AVERAGE('23.09. KASANGATI-GAYAZA'!L54,'24.09 Kasangati-Gayaza'!L54,'25.09 Kasangati-Gayaza'!L54,'27.09 Kasangati-Gayaza'!L54,'26.09 Kasangati-Gayaza-24h'!L54,'28.09 Kasangati-Gayaza-24h'!L54,'29.09 Kasangati-Gayaza'!L54)</f>
        <v>0.2857142857142857</v>
      </c>
      <c r="M54" s="49">
        <f>AVERAGE('23.09. KASANGATI-GAYAZA'!M54,'24.09 Kasangati-Gayaza'!M54,'25.09 Kasangati-Gayaza'!M54,'27.09 Kasangati-Gayaza'!M54,'26.09 Kasangati-Gayaza-24h'!M54,'28.09 Kasangati-Gayaza-24h'!M54,'29.09 Kasangati-Gayaza'!M54)</f>
        <v>110.71428571428571</v>
      </c>
      <c r="N54" s="49">
        <f>AVERAGE('23.09. KASANGATI-GAYAZA'!N54,'24.09 Kasangati-Gayaza'!N54,'25.09 Kasangati-Gayaza'!N54,'27.09 Kasangati-Gayaza'!N54,'26.09 Kasangati-Gayaza-24h'!N54,'28.09 Kasangati-Gayaza-24h'!N54,'29.09 Kasangati-Gayaza'!N54)</f>
        <v>0.14285714285714285</v>
      </c>
      <c r="O54" s="15">
        <f t="shared" si="0"/>
        <v>153.85714285714283</v>
      </c>
      <c r="P54" s="15">
        <f t="shared" si="1"/>
        <v>264.57142857142856</v>
      </c>
      <c r="R54" s="8"/>
      <c r="T54"/>
    </row>
    <row r="55" spans="2:20" ht="23.1" customHeight="1" x14ac:dyDescent="0.25">
      <c r="B55" s="23" t="s">
        <v>82</v>
      </c>
      <c r="C55" s="49">
        <f>AVERAGE('23.09. KASANGATI-GAYAZA'!C55,'24.09 Kasangati-Gayaza'!C55,'25.09 Kasangati-Gayaza'!C55,'27.09 Kasangati-Gayaza'!C55,'26.09 Kasangati-Gayaza-24h'!C55,'28.09 Kasangati-Gayaza-24h'!C55,'29.09 Kasangati-Gayaza'!C55)</f>
        <v>65.285714285714292</v>
      </c>
      <c r="D55" s="49">
        <f>AVERAGE('23.09. KASANGATI-GAYAZA'!D55,'24.09 Kasangati-Gayaza'!D55,'25.09 Kasangati-Gayaza'!D55,'27.09 Kasangati-Gayaza'!D55,'26.09 Kasangati-Gayaza-24h'!D55,'28.09 Kasangati-Gayaza-24h'!D55,'29.09 Kasangati-Gayaza'!D55)</f>
        <v>13.142857142857142</v>
      </c>
      <c r="E55" s="49">
        <f>AVERAGE('23.09. KASANGATI-GAYAZA'!E55,'24.09 Kasangati-Gayaza'!E55,'25.09 Kasangati-Gayaza'!E55,'27.09 Kasangati-Gayaza'!E55,'26.09 Kasangati-Gayaza-24h'!E55,'28.09 Kasangati-Gayaza-24h'!E55,'29.09 Kasangati-Gayaza'!E55)</f>
        <v>12.285714285714286</v>
      </c>
      <c r="F55" s="49">
        <f>AVERAGE('23.09. KASANGATI-GAYAZA'!F55,'24.09 Kasangati-Gayaza'!F55,'25.09 Kasangati-Gayaza'!F55,'27.09 Kasangati-Gayaza'!F55,'26.09 Kasangati-Gayaza-24h'!F55,'28.09 Kasangati-Gayaza-24h'!F55,'29.09 Kasangati-Gayaza'!F55)</f>
        <v>44.285714285714285</v>
      </c>
      <c r="G55" s="49">
        <f>AVERAGE('23.09. KASANGATI-GAYAZA'!G55,'24.09 Kasangati-Gayaza'!G55,'25.09 Kasangati-Gayaza'!G55,'27.09 Kasangati-Gayaza'!G55,'26.09 Kasangati-Gayaza-24h'!G55,'28.09 Kasangati-Gayaza-24h'!G55,'29.09 Kasangati-Gayaza'!G55)</f>
        <v>3.1428571428571428</v>
      </c>
      <c r="H55" s="49">
        <f>AVERAGE('23.09. KASANGATI-GAYAZA'!H55,'24.09 Kasangati-Gayaza'!H55,'25.09 Kasangati-Gayaza'!H55,'27.09 Kasangati-Gayaza'!H55,'26.09 Kasangati-Gayaza-24h'!H55,'28.09 Kasangati-Gayaza-24h'!H55,'29.09 Kasangati-Gayaza'!H55)</f>
        <v>0</v>
      </c>
      <c r="I55" s="49">
        <f>AVERAGE('23.09. KASANGATI-GAYAZA'!I55,'24.09 Kasangati-Gayaza'!I55,'25.09 Kasangati-Gayaza'!I55,'27.09 Kasangati-Gayaza'!I55,'26.09 Kasangati-Gayaza-24h'!I55,'28.09 Kasangati-Gayaza-24h'!I55,'29.09 Kasangati-Gayaza'!I55)</f>
        <v>7.8571428571428568</v>
      </c>
      <c r="J55" s="49">
        <f>AVERAGE('23.09. KASANGATI-GAYAZA'!J55,'24.09 Kasangati-Gayaza'!J55,'25.09 Kasangati-Gayaza'!J55,'27.09 Kasangati-Gayaza'!J55,'26.09 Kasangati-Gayaza-24h'!J55,'28.09 Kasangati-Gayaza-24h'!J55,'29.09 Kasangati-Gayaza'!J55)</f>
        <v>1.8571428571428572</v>
      </c>
      <c r="K55" s="49">
        <f>AVERAGE('23.09. KASANGATI-GAYAZA'!K55,'24.09 Kasangati-Gayaza'!K55,'25.09 Kasangati-Gayaza'!K55,'27.09 Kasangati-Gayaza'!K55,'26.09 Kasangati-Gayaza-24h'!K55,'28.09 Kasangati-Gayaza-24h'!K55,'29.09 Kasangati-Gayaza'!K55)</f>
        <v>1.2857142857142858</v>
      </c>
      <c r="L55" s="49">
        <f>AVERAGE('23.09. KASANGATI-GAYAZA'!L55,'24.09 Kasangati-Gayaza'!L55,'25.09 Kasangati-Gayaza'!L55,'27.09 Kasangati-Gayaza'!L55,'26.09 Kasangati-Gayaza-24h'!L55,'28.09 Kasangati-Gayaza-24h'!L55,'29.09 Kasangati-Gayaza'!L55)</f>
        <v>0</v>
      </c>
      <c r="M55" s="49">
        <f>AVERAGE('23.09. KASANGATI-GAYAZA'!M55,'24.09 Kasangati-Gayaza'!M55,'25.09 Kasangati-Gayaza'!M55,'27.09 Kasangati-Gayaza'!M55,'26.09 Kasangati-Gayaza-24h'!M55,'28.09 Kasangati-Gayaza-24h'!M55,'29.09 Kasangati-Gayaza'!M55)</f>
        <v>109.57142857142857</v>
      </c>
      <c r="N55" s="49">
        <f>AVERAGE('23.09. KASANGATI-GAYAZA'!N55,'24.09 Kasangati-Gayaza'!N55,'25.09 Kasangati-Gayaza'!N55,'27.09 Kasangati-Gayaza'!N55,'26.09 Kasangati-Gayaza-24h'!N55,'28.09 Kasangati-Gayaza-24h'!N55,'29.09 Kasangati-Gayaza'!N55)</f>
        <v>0</v>
      </c>
      <c r="O55" s="15">
        <f t="shared" si="0"/>
        <v>149.14285714285714</v>
      </c>
      <c r="P55" s="15">
        <f t="shared" si="1"/>
        <v>258.71428571428572</v>
      </c>
      <c r="R55" s="8"/>
      <c r="T55"/>
    </row>
    <row r="56" spans="2:20" ht="23.1" customHeight="1" x14ac:dyDescent="0.25">
      <c r="B56" s="23" t="s">
        <v>83</v>
      </c>
      <c r="C56" s="49">
        <f>AVERAGE('23.09. KASANGATI-GAYAZA'!C56,'24.09 Kasangati-Gayaza'!C56,'25.09 Kasangati-Gayaza'!C56,'27.09 Kasangati-Gayaza'!C56,'26.09 Kasangati-Gayaza-24h'!C56,'28.09 Kasangati-Gayaza-24h'!C56,'29.09 Kasangati-Gayaza'!C56)</f>
        <v>75</v>
      </c>
      <c r="D56" s="49">
        <f>AVERAGE('23.09. KASANGATI-GAYAZA'!D56,'24.09 Kasangati-Gayaza'!D56,'25.09 Kasangati-Gayaza'!D56,'27.09 Kasangati-Gayaza'!D56,'26.09 Kasangati-Gayaza-24h'!D56,'28.09 Kasangati-Gayaza-24h'!D56,'29.09 Kasangati-Gayaza'!D56)</f>
        <v>9.2857142857142865</v>
      </c>
      <c r="E56" s="49">
        <f>AVERAGE('23.09. KASANGATI-GAYAZA'!E56,'24.09 Kasangati-Gayaza'!E56,'25.09 Kasangati-Gayaza'!E56,'27.09 Kasangati-Gayaza'!E56,'26.09 Kasangati-Gayaza-24h'!E56,'28.09 Kasangati-Gayaza-24h'!E56,'29.09 Kasangati-Gayaza'!E56)</f>
        <v>10.571428571428571</v>
      </c>
      <c r="F56" s="49">
        <f>AVERAGE('23.09. KASANGATI-GAYAZA'!F56,'24.09 Kasangati-Gayaza'!F56,'25.09 Kasangati-Gayaza'!F56,'27.09 Kasangati-Gayaza'!F56,'26.09 Kasangati-Gayaza-24h'!F56,'28.09 Kasangati-Gayaza-24h'!F56,'29.09 Kasangati-Gayaza'!F56)</f>
        <v>53.571428571428569</v>
      </c>
      <c r="G56" s="49">
        <f>AVERAGE('23.09. KASANGATI-GAYAZA'!G56,'24.09 Kasangati-Gayaza'!G56,'25.09 Kasangati-Gayaza'!G56,'27.09 Kasangati-Gayaza'!G56,'26.09 Kasangati-Gayaza-24h'!G56,'28.09 Kasangati-Gayaza-24h'!G56,'29.09 Kasangati-Gayaza'!G56)</f>
        <v>1.2857142857142858</v>
      </c>
      <c r="H56" s="49">
        <f>AVERAGE('23.09. KASANGATI-GAYAZA'!H56,'24.09 Kasangati-Gayaza'!H56,'25.09 Kasangati-Gayaza'!H56,'27.09 Kasangati-Gayaza'!H56,'26.09 Kasangati-Gayaza-24h'!H56,'28.09 Kasangati-Gayaza-24h'!H56,'29.09 Kasangati-Gayaza'!H56)</f>
        <v>0.2857142857142857</v>
      </c>
      <c r="I56" s="49">
        <f>AVERAGE('23.09. KASANGATI-GAYAZA'!I56,'24.09 Kasangati-Gayaza'!I56,'25.09 Kasangati-Gayaza'!I56,'27.09 Kasangati-Gayaza'!I56,'26.09 Kasangati-Gayaza-24h'!I56,'28.09 Kasangati-Gayaza-24h'!I56,'29.09 Kasangati-Gayaza'!I56)</f>
        <v>5.8571428571428568</v>
      </c>
      <c r="J56" s="49">
        <f>AVERAGE('23.09. KASANGATI-GAYAZA'!J56,'24.09 Kasangati-Gayaza'!J56,'25.09 Kasangati-Gayaza'!J56,'27.09 Kasangati-Gayaza'!J56,'26.09 Kasangati-Gayaza-24h'!J56,'28.09 Kasangati-Gayaza-24h'!J56,'29.09 Kasangati-Gayaza'!J56)</f>
        <v>1.8571428571428572</v>
      </c>
      <c r="K56" s="49">
        <f>AVERAGE('23.09. KASANGATI-GAYAZA'!K56,'24.09 Kasangati-Gayaza'!K56,'25.09 Kasangati-Gayaza'!K56,'27.09 Kasangati-Gayaza'!K56,'26.09 Kasangati-Gayaza-24h'!K56,'28.09 Kasangati-Gayaza-24h'!K56,'29.09 Kasangati-Gayaza'!K56)</f>
        <v>0.7142857142857143</v>
      </c>
      <c r="L56" s="49">
        <f>AVERAGE('23.09. KASANGATI-GAYAZA'!L56,'24.09 Kasangati-Gayaza'!L56,'25.09 Kasangati-Gayaza'!L56,'27.09 Kasangati-Gayaza'!L56,'26.09 Kasangati-Gayaza-24h'!L56,'28.09 Kasangati-Gayaza-24h'!L56,'29.09 Kasangati-Gayaza'!L56)</f>
        <v>0.14285714285714285</v>
      </c>
      <c r="M56" s="49">
        <f>AVERAGE('23.09. KASANGATI-GAYAZA'!M56,'24.09 Kasangati-Gayaza'!M56,'25.09 Kasangati-Gayaza'!M56,'27.09 Kasangati-Gayaza'!M56,'26.09 Kasangati-Gayaza-24h'!M56,'28.09 Kasangati-Gayaza-24h'!M56,'29.09 Kasangati-Gayaza'!M56)</f>
        <v>113.71428571428571</v>
      </c>
      <c r="N56" s="49">
        <f>AVERAGE('23.09. KASANGATI-GAYAZA'!N56,'24.09 Kasangati-Gayaza'!N56,'25.09 Kasangati-Gayaza'!N56,'27.09 Kasangati-Gayaza'!N56,'26.09 Kasangati-Gayaza-24h'!N56,'28.09 Kasangati-Gayaza-24h'!N56,'29.09 Kasangati-Gayaza'!N56)</f>
        <v>0</v>
      </c>
      <c r="O56" s="15">
        <f t="shared" si="0"/>
        <v>158.57142857142858</v>
      </c>
      <c r="P56" s="15">
        <f t="shared" si="1"/>
        <v>272.28571428571428</v>
      </c>
      <c r="R56" s="8"/>
      <c r="T56"/>
    </row>
    <row r="57" spans="2:20" ht="23.1" customHeight="1" x14ac:dyDescent="0.25">
      <c r="B57" s="23" t="s">
        <v>84</v>
      </c>
      <c r="C57" s="49">
        <f>AVERAGE('23.09. KASANGATI-GAYAZA'!C57,'24.09 Kasangati-Gayaza'!C57,'25.09 Kasangati-Gayaza'!C57,'27.09 Kasangati-Gayaza'!C57,'26.09 Kasangati-Gayaza-24h'!C57,'28.09 Kasangati-Gayaza-24h'!C57,'29.09 Kasangati-Gayaza'!C57)</f>
        <v>68.571428571428569</v>
      </c>
      <c r="D57" s="49">
        <f>AVERAGE('23.09. KASANGATI-GAYAZA'!D57,'24.09 Kasangati-Gayaza'!D57,'25.09 Kasangati-Gayaza'!D57,'27.09 Kasangati-Gayaza'!D57,'26.09 Kasangati-Gayaza-24h'!D57,'28.09 Kasangati-Gayaza-24h'!D57,'29.09 Kasangati-Gayaza'!D57)</f>
        <v>11.714285714285714</v>
      </c>
      <c r="E57" s="49">
        <f>AVERAGE('23.09. KASANGATI-GAYAZA'!E57,'24.09 Kasangati-Gayaza'!E57,'25.09 Kasangati-Gayaza'!E57,'27.09 Kasangati-Gayaza'!E57,'26.09 Kasangati-Gayaza-24h'!E57,'28.09 Kasangati-Gayaza-24h'!E57,'29.09 Kasangati-Gayaza'!E57)</f>
        <v>6.1428571428571432</v>
      </c>
      <c r="F57" s="49">
        <f>AVERAGE('23.09. KASANGATI-GAYAZA'!F57,'24.09 Kasangati-Gayaza'!F57,'25.09 Kasangati-Gayaza'!F57,'27.09 Kasangati-Gayaza'!F57,'26.09 Kasangati-Gayaza-24h'!F57,'28.09 Kasangati-Gayaza-24h'!F57,'29.09 Kasangati-Gayaza'!F57)</f>
        <v>47</v>
      </c>
      <c r="G57" s="49">
        <f>AVERAGE('23.09. KASANGATI-GAYAZA'!G57,'24.09 Kasangati-Gayaza'!G57,'25.09 Kasangati-Gayaza'!G57,'27.09 Kasangati-Gayaza'!G57,'26.09 Kasangati-Gayaza-24h'!G57,'28.09 Kasangati-Gayaza-24h'!G57,'29.09 Kasangati-Gayaza'!G57)</f>
        <v>0.42857142857142855</v>
      </c>
      <c r="H57" s="49">
        <f>AVERAGE('23.09. KASANGATI-GAYAZA'!H57,'24.09 Kasangati-Gayaza'!H57,'25.09 Kasangati-Gayaza'!H57,'27.09 Kasangati-Gayaza'!H57,'26.09 Kasangati-Gayaza-24h'!H57,'28.09 Kasangati-Gayaza-24h'!H57,'29.09 Kasangati-Gayaza'!H57)</f>
        <v>0.5714285714285714</v>
      </c>
      <c r="I57" s="49">
        <f>AVERAGE('23.09. KASANGATI-GAYAZA'!I57,'24.09 Kasangati-Gayaza'!I57,'25.09 Kasangati-Gayaza'!I57,'27.09 Kasangati-Gayaza'!I57,'26.09 Kasangati-Gayaza-24h'!I57,'28.09 Kasangati-Gayaza-24h'!I57,'29.09 Kasangati-Gayaza'!I57)</f>
        <v>5.1428571428571432</v>
      </c>
      <c r="J57" s="49">
        <f>AVERAGE('23.09. KASANGATI-GAYAZA'!J57,'24.09 Kasangati-Gayaza'!J57,'25.09 Kasangati-Gayaza'!J57,'27.09 Kasangati-Gayaza'!J57,'26.09 Kasangati-Gayaza-24h'!J57,'28.09 Kasangati-Gayaza-24h'!J57,'29.09 Kasangati-Gayaza'!J57)</f>
        <v>1.2857142857142858</v>
      </c>
      <c r="K57" s="49">
        <f>AVERAGE('23.09. KASANGATI-GAYAZA'!K57,'24.09 Kasangati-Gayaza'!K57,'25.09 Kasangati-Gayaza'!K57,'27.09 Kasangati-Gayaza'!K57,'26.09 Kasangati-Gayaza-24h'!K57,'28.09 Kasangati-Gayaza-24h'!K57,'29.09 Kasangati-Gayaza'!K57)</f>
        <v>0.5714285714285714</v>
      </c>
      <c r="L57" s="49">
        <f>AVERAGE('23.09. KASANGATI-GAYAZA'!L57,'24.09 Kasangati-Gayaza'!L57,'25.09 Kasangati-Gayaza'!L57,'27.09 Kasangati-Gayaza'!L57,'26.09 Kasangati-Gayaza-24h'!L57,'28.09 Kasangati-Gayaza-24h'!L57,'29.09 Kasangati-Gayaza'!L57)</f>
        <v>0.2857142857142857</v>
      </c>
      <c r="M57" s="49">
        <f>AVERAGE('23.09. KASANGATI-GAYAZA'!M57,'24.09 Kasangati-Gayaza'!M57,'25.09 Kasangati-Gayaza'!M57,'27.09 Kasangati-Gayaza'!M57,'26.09 Kasangati-Gayaza-24h'!M57,'28.09 Kasangati-Gayaza-24h'!M57,'29.09 Kasangati-Gayaza'!M57)</f>
        <v>113.85714285714286</v>
      </c>
      <c r="N57" s="49">
        <f>AVERAGE('23.09. KASANGATI-GAYAZA'!N57,'24.09 Kasangati-Gayaza'!N57,'25.09 Kasangati-Gayaza'!N57,'27.09 Kasangati-Gayaza'!N57,'26.09 Kasangati-Gayaza-24h'!N57,'28.09 Kasangati-Gayaza-24h'!N57,'29.09 Kasangati-Gayaza'!N57)</f>
        <v>0</v>
      </c>
      <c r="O57" s="15">
        <f t="shared" si="0"/>
        <v>141.71428571428569</v>
      </c>
      <c r="P57" s="15">
        <f t="shared" si="1"/>
        <v>255.57142857142856</v>
      </c>
      <c r="R57" s="8"/>
      <c r="T57"/>
    </row>
    <row r="58" spans="2:20" ht="23.1" customHeight="1" x14ac:dyDescent="0.25">
      <c r="B58" s="23" t="s">
        <v>99</v>
      </c>
      <c r="C58" s="49">
        <f>AVERAGE('26.09 Kasangati-Gayaza-24h'!C58,'28.09 Kasangati-Gayaza-24h'!C58)</f>
        <v>34.5</v>
      </c>
      <c r="D58" s="49">
        <f>AVERAGE('26.09 Kasangati-Gayaza-24h'!D58,'28.09 Kasangati-Gayaza-24h'!D58)</f>
        <v>11</v>
      </c>
      <c r="E58" s="49">
        <f>AVERAGE('26.09 Kasangati-Gayaza-24h'!E58,'28.09 Kasangati-Gayaza-24h'!E58)</f>
        <v>7.5</v>
      </c>
      <c r="F58" s="49">
        <f>AVERAGE('26.09 Kasangati-Gayaza-24h'!F58,'28.09 Kasangati-Gayaza-24h'!F58)</f>
        <v>49</v>
      </c>
      <c r="G58" s="49">
        <f>AVERAGE('26.09 Kasangati-Gayaza-24h'!G58,'28.09 Kasangati-Gayaza-24h'!G58)</f>
        <v>0.5</v>
      </c>
      <c r="H58" s="49">
        <f>AVERAGE('26.09 Kasangati-Gayaza-24h'!H58,'28.09 Kasangati-Gayaza-24h'!H58)</f>
        <v>0</v>
      </c>
      <c r="I58" s="49">
        <f>AVERAGE('26.09 Kasangati-Gayaza-24h'!I58,'28.09 Kasangati-Gayaza-24h'!I58)</f>
        <v>7.5</v>
      </c>
      <c r="J58" s="49">
        <f>AVERAGE('26.09 Kasangati-Gayaza-24h'!J58,'28.09 Kasangati-Gayaza-24h'!J58)</f>
        <v>1</v>
      </c>
      <c r="K58" s="49">
        <f>AVERAGE('26.09 Kasangati-Gayaza-24h'!K58,'28.09 Kasangati-Gayaza-24h'!K58)</f>
        <v>0.5</v>
      </c>
      <c r="L58" s="49">
        <f>AVERAGE('26.09 Kasangati-Gayaza-24h'!L58,'28.09 Kasangati-Gayaza-24h'!L58)</f>
        <v>0</v>
      </c>
      <c r="M58" s="49">
        <f>AVERAGE('26.09 Kasangati-Gayaza-24h'!M58,'28.09 Kasangati-Gayaza-24h'!M58)</f>
        <v>145</v>
      </c>
      <c r="N58" s="49">
        <f>AVERAGE('26.09 Kasangati-Gayaza-24h'!N58,'28.09 Kasangati-Gayaza-24h'!N58)</f>
        <v>0</v>
      </c>
      <c r="O58" s="15">
        <f t="shared" si="0"/>
        <v>111.5</v>
      </c>
      <c r="P58" s="15">
        <f t="shared" si="1"/>
        <v>256.5</v>
      </c>
      <c r="R58" s="8"/>
      <c r="T58"/>
    </row>
    <row r="59" spans="2:20" ht="23.1" customHeight="1" x14ac:dyDescent="0.25">
      <c r="B59" s="23" t="s">
        <v>100</v>
      </c>
      <c r="C59" s="49">
        <f>AVERAGE('26.09 Kasangati-Gayaza-24h'!C59,'28.09 Kasangati-Gayaza-24h'!C59)</f>
        <v>59.5</v>
      </c>
      <c r="D59" s="49">
        <f>AVERAGE('26.09 Kasangati-Gayaza-24h'!D59,'28.09 Kasangati-Gayaza-24h'!D59)</f>
        <v>17.5</v>
      </c>
      <c r="E59" s="49">
        <f>AVERAGE('26.09 Kasangati-Gayaza-24h'!E59,'28.09 Kasangati-Gayaza-24h'!E59)</f>
        <v>10.5</v>
      </c>
      <c r="F59" s="49">
        <f>AVERAGE('26.09 Kasangati-Gayaza-24h'!F59,'28.09 Kasangati-Gayaza-24h'!F59)</f>
        <v>47.5</v>
      </c>
      <c r="G59" s="49">
        <f>AVERAGE('26.09 Kasangati-Gayaza-24h'!G59,'28.09 Kasangati-Gayaza-24h'!G59)</f>
        <v>3.5</v>
      </c>
      <c r="H59" s="49">
        <f>AVERAGE('26.09 Kasangati-Gayaza-24h'!H59,'28.09 Kasangati-Gayaza-24h'!H59)</f>
        <v>1.5</v>
      </c>
      <c r="I59" s="49">
        <f>AVERAGE('26.09 Kasangati-Gayaza-24h'!I59,'28.09 Kasangati-Gayaza-24h'!I59)</f>
        <v>8</v>
      </c>
      <c r="J59" s="49">
        <f>AVERAGE('26.09 Kasangati-Gayaza-24h'!J59,'28.09 Kasangati-Gayaza-24h'!J59)</f>
        <v>2</v>
      </c>
      <c r="K59" s="49">
        <f>AVERAGE('26.09 Kasangati-Gayaza-24h'!K59,'28.09 Kasangati-Gayaza-24h'!K59)</f>
        <v>0</v>
      </c>
      <c r="L59" s="49">
        <f>AVERAGE('26.09 Kasangati-Gayaza-24h'!L59,'28.09 Kasangati-Gayaza-24h'!L59)</f>
        <v>1</v>
      </c>
      <c r="M59" s="49">
        <f>AVERAGE('26.09 Kasangati-Gayaza-24h'!M59,'28.09 Kasangati-Gayaza-24h'!M59)</f>
        <v>127.5</v>
      </c>
      <c r="N59" s="49">
        <f>AVERAGE('26.09 Kasangati-Gayaza-24h'!N59,'28.09 Kasangati-Gayaza-24h'!N59)</f>
        <v>0.5</v>
      </c>
      <c r="O59" s="15">
        <f t="shared" ref="O59:O105" si="35">SUM(C59:L59,N59)</f>
        <v>151.5</v>
      </c>
      <c r="P59" s="15">
        <f t="shared" ref="P59:P105" si="36">SUM(C59:N59)</f>
        <v>279</v>
      </c>
      <c r="R59" s="8"/>
      <c r="T59"/>
    </row>
    <row r="60" spans="2:20" ht="23.1" customHeight="1" x14ac:dyDescent="0.25">
      <c r="B60" s="23" t="s">
        <v>101</v>
      </c>
      <c r="C60" s="49">
        <f>AVERAGE('26.09 Kasangati-Gayaza-24h'!C60,'28.09 Kasangati-Gayaza-24h'!C60)</f>
        <v>49.5</v>
      </c>
      <c r="D60" s="49">
        <f>AVERAGE('26.09 Kasangati-Gayaza-24h'!D60,'28.09 Kasangati-Gayaza-24h'!D60)</f>
        <v>10.5</v>
      </c>
      <c r="E60" s="49">
        <f>AVERAGE('26.09 Kasangati-Gayaza-24h'!E60,'28.09 Kasangati-Gayaza-24h'!E60)</f>
        <v>5.5</v>
      </c>
      <c r="F60" s="49">
        <f>AVERAGE('26.09 Kasangati-Gayaza-24h'!F60,'28.09 Kasangati-Gayaza-24h'!F60)</f>
        <v>42</v>
      </c>
      <c r="G60" s="49">
        <f>AVERAGE('26.09 Kasangati-Gayaza-24h'!G60,'28.09 Kasangati-Gayaza-24h'!G60)</f>
        <v>3.5</v>
      </c>
      <c r="H60" s="49">
        <f>AVERAGE('26.09 Kasangati-Gayaza-24h'!H60,'28.09 Kasangati-Gayaza-24h'!H60)</f>
        <v>0</v>
      </c>
      <c r="I60" s="49">
        <f>AVERAGE('26.09 Kasangati-Gayaza-24h'!I60,'28.09 Kasangati-Gayaza-24h'!I60)</f>
        <v>5</v>
      </c>
      <c r="J60" s="49">
        <f>AVERAGE('26.09 Kasangati-Gayaza-24h'!J60,'28.09 Kasangati-Gayaza-24h'!J60)</f>
        <v>4</v>
      </c>
      <c r="K60" s="49">
        <f>AVERAGE('26.09 Kasangati-Gayaza-24h'!K60,'28.09 Kasangati-Gayaza-24h'!K60)</f>
        <v>0.5</v>
      </c>
      <c r="L60" s="49">
        <f>AVERAGE('26.09 Kasangati-Gayaza-24h'!L60,'28.09 Kasangati-Gayaza-24h'!L60)</f>
        <v>1</v>
      </c>
      <c r="M60" s="49">
        <f>AVERAGE('26.09 Kasangati-Gayaza-24h'!M60,'28.09 Kasangati-Gayaza-24h'!M60)</f>
        <v>138.5</v>
      </c>
      <c r="N60" s="49">
        <f>AVERAGE('26.09 Kasangati-Gayaza-24h'!N60,'28.09 Kasangati-Gayaza-24h'!N60)</f>
        <v>0</v>
      </c>
      <c r="O60" s="15">
        <f t="shared" si="35"/>
        <v>121.5</v>
      </c>
      <c r="P60" s="15">
        <f t="shared" si="36"/>
        <v>260</v>
      </c>
      <c r="R60" s="8"/>
      <c r="T60"/>
    </row>
    <row r="61" spans="2:20" ht="23.1" customHeight="1" x14ac:dyDescent="0.25">
      <c r="B61" s="23" t="s">
        <v>102</v>
      </c>
      <c r="C61" s="49">
        <f>AVERAGE('26.09 Kasangati-Gayaza-24h'!C61,'28.09 Kasangati-Gayaza-24h'!C61)</f>
        <v>50.5</v>
      </c>
      <c r="D61" s="49">
        <f>AVERAGE('26.09 Kasangati-Gayaza-24h'!D61,'28.09 Kasangati-Gayaza-24h'!D61)</f>
        <v>15</v>
      </c>
      <c r="E61" s="49">
        <f>AVERAGE('26.09 Kasangati-Gayaza-24h'!E61,'28.09 Kasangati-Gayaza-24h'!E61)</f>
        <v>9</v>
      </c>
      <c r="F61" s="49">
        <f>AVERAGE('26.09 Kasangati-Gayaza-24h'!F61,'28.09 Kasangati-Gayaza-24h'!F61)</f>
        <v>51</v>
      </c>
      <c r="G61" s="49">
        <f>AVERAGE('26.09 Kasangati-Gayaza-24h'!G61,'28.09 Kasangati-Gayaza-24h'!G61)</f>
        <v>2</v>
      </c>
      <c r="H61" s="49">
        <f>AVERAGE('26.09 Kasangati-Gayaza-24h'!H61,'28.09 Kasangati-Gayaza-24h'!H61)</f>
        <v>0.5</v>
      </c>
      <c r="I61" s="49">
        <f>AVERAGE('26.09 Kasangati-Gayaza-24h'!I61,'28.09 Kasangati-Gayaza-24h'!I61)</f>
        <v>7</v>
      </c>
      <c r="J61" s="49">
        <f>AVERAGE('26.09 Kasangati-Gayaza-24h'!J61,'28.09 Kasangati-Gayaza-24h'!J61)</f>
        <v>2.5</v>
      </c>
      <c r="K61" s="49">
        <f>AVERAGE('26.09 Kasangati-Gayaza-24h'!K61,'28.09 Kasangati-Gayaza-24h'!K61)</f>
        <v>0</v>
      </c>
      <c r="L61" s="49">
        <f>AVERAGE('26.09 Kasangati-Gayaza-24h'!L61,'28.09 Kasangati-Gayaza-24h'!L61)</f>
        <v>1.5</v>
      </c>
      <c r="M61" s="49">
        <f>AVERAGE('26.09 Kasangati-Gayaza-24h'!M61,'28.09 Kasangati-Gayaza-24h'!M61)</f>
        <v>152.5</v>
      </c>
      <c r="N61" s="49">
        <f>AVERAGE('26.09 Kasangati-Gayaza-24h'!N61,'28.09 Kasangati-Gayaza-24h'!N61)</f>
        <v>0</v>
      </c>
      <c r="O61" s="15">
        <f t="shared" si="35"/>
        <v>139</v>
      </c>
      <c r="P61" s="15">
        <f t="shared" si="36"/>
        <v>291.5</v>
      </c>
      <c r="R61" s="8"/>
      <c r="T61"/>
    </row>
    <row r="62" spans="2:20" ht="23.1" customHeight="1" x14ac:dyDescent="0.25">
      <c r="B62" s="23" t="s">
        <v>107</v>
      </c>
      <c r="C62" s="49">
        <f>AVERAGE('26.09 Kasangati-Gayaza-24h'!C62,'28.09 Kasangati-Gayaza-24h'!C62)</f>
        <v>46.5</v>
      </c>
      <c r="D62" s="49">
        <f>AVERAGE('26.09 Kasangati-Gayaza-24h'!D62,'28.09 Kasangati-Gayaza-24h'!D62)</f>
        <v>22.5</v>
      </c>
      <c r="E62" s="49">
        <f>AVERAGE('26.09 Kasangati-Gayaza-24h'!E62,'28.09 Kasangati-Gayaza-24h'!E62)</f>
        <v>6</v>
      </c>
      <c r="F62" s="49">
        <f>AVERAGE('26.09 Kasangati-Gayaza-24h'!F62,'28.09 Kasangati-Gayaza-24h'!F62)</f>
        <v>41.5</v>
      </c>
      <c r="G62" s="49">
        <f>AVERAGE('26.09 Kasangati-Gayaza-24h'!G62,'28.09 Kasangati-Gayaza-24h'!G62)</f>
        <v>2</v>
      </c>
      <c r="H62" s="49">
        <f>AVERAGE('26.09 Kasangati-Gayaza-24h'!H62,'28.09 Kasangati-Gayaza-24h'!H62)</f>
        <v>0.5</v>
      </c>
      <c r="I62" s="49">
        <f>AVERAGE('26.09 Kasangati-Gayaza-24h'!I62,'28.09 Kasangati-Gayaza-24h'!I62)</f>
        <v>11</v>
      </c>
      <c r="J62" s="49">
        <f>AVERAGE('26.09 Kasangati-Gayaza-24h'!J62,'28.09 Kasangati-Gayaza-24h'!J62)</f>
        <v>2.5</v>
      </c>
      <c r="K62" s="49">
        <f>AVERAGE('26.09 Kasangati-Gayaza-24h'!K62,'28.09 Kasangati-Gayaza-24h'!K62)</f>
        <v>0</v>
      </c>
      <c r="L62" s="49">
        <f>AVERAGE('26.09 Kasangati-Gayaza-24h'!L62,'28.09 Kasangati-Gayaza-24h'!L62)</f>
        <v>0</v>
      </c>
      <c r="M62" s="49">
        <f>AVERAGE('26.09 Kasangati-Gayaza-24h'!M62,'28.09 Kasangati-Gayaza-24h'!M62)</f>
        <v>137</v>
      </c>
      <c r="N62" s="49">
        <f>AVERAGE('26.09 Kasangati-Gayaza-24h'!N62,'28.09 Kasangati-Gayaza-24h'!N62)</f>
        <v>0</v>
      </c>
      <c r="O62" s="15">
        <f t="shared" si="35"/>
        <v>132.5</v>
      </c>
      <c r="P62" s="15">
        <f t="shared" si="36"/>
        <v>269.5</v>
      </c>
      <c r="R62" s="8"/>
      <c r="T62"/>
    </row>
    <row r="63" spans="2:20" ht="23.1" customHeight="1" x14ac:dyDescent="0.25">
      <c r="B63" s="23" t="s">
        <v>108</v>
      </c>
      <c r="C63" s="49">
        <f>AVERAGE('26.09 Kasangati-Gayaza-24h'!C63,'28.09 Kasangati-Gayaza-24h'!C63)</f>
        <v>51</v>
      </c>
      <c r="D63" s="49">
        <f>AVERAGE('26.09 Kasangati-Gayaza-24h'!D63,'28.09 Kasangati-Gayaza-24h'!D63)</f>
        <v>15.5</v>
      </c>
      <c r="E63" s="49">
        <f>AVERAGE('26.09 Kasangati-Gayaza-24h'!E63,'28.09 Kasangati-Gayaza-24h'!E63)</f>
        <v>5</v>
      </c>
      <c r="F63" s="49">
        <f>AVERAGE('26.09 Kasangati-Gayaza-24h'!F63,'28.09 Kasangati-Gayaza-24h'!F63)</f>
        <v>39</v>
      </c>
      <c r="G63" s="49">
        <f>AVERAGE('26.09 Kasangati-Gayaza-24h'!G63,'28.09 Kasangati-Gayaza-24h'!G63)</f>
        <v>4.5</v>
      </c>
      <c r="H63" s="49">
        <f>AVERAGE('26.09 Kasangati-Gayaza-24h'!H63,'28.09 Kasangati-Gayaza-24h'!H63)</f>
        <v>1</v>
      </c>
      <c r="I63" s="49">
        <f>AVERAGE('26.09 Kasangati-Gayaza-24h'!I63,'28.09 Kasangati-Gayaza-24h'!I63)</f>
        <v>3</v>
      </c>
      <c r="J63" s="49">
        <f>AVERAGE('26.09 Kasangati-Gayaza-24h'!J63,'28.09 Kasangati-Gayaza-24h'!J63)</f>
        <v>1.5</v>
      </c>
      <c r="K63" s="49">
        <f>AVERAGE('26.09 Kasangati-Gayaza-24h'!K63,'28.09 Kasangati-Gayaza-24h'!K63)</f>
        <v>0.5</v>
      </c>
      <c r="L63" s="49">
        <f>AVERAGE('26.09 Kasangati-Gayaza-24h'!L63,'28.09 Kasangati-Gayaza-24h'!L63)</f>
        <v>0.5</v>
      </c>
      <c r="M63" s="49">
        <f>AVERAGE('26.09 Kasangati-Gayaza-24h'!M63,'28.09 Kasangati-Gayaza-24h'!M63)</f>
        <v>120</v>
      </c>
      <c r="N63" s="49">
        <f>AVERAGE('26.09 Kasangati-Gayaza-24h'!N63,'28.09 Kasangati-Gayaza-24h'!N63)</f>
        <v>0</v>
      </c>
      <c r="O63" s="15">
        <f t="shared" si="35"/>
        <v>121.5</v>
      </c>
      <c r="P63" s="15">
        <f t="shared" si="36"/>
        <v>241.5</v>
      </c>
      <c r="R63" s="8"/>
      <c r="T63"/>
    </row>
    <row r="64" spans="2:20" ht="23.1" customHeight="1" x14ac:dyDescent="0.25">
      <c r="B64" s="23" t="s">
        <v>109</v>
      </c>
      <c r="C64" s="49">
        <f>AVERAGE('26.09 Kasangati-Gayaza-24h'!C64,'28.09 Kasangati-Gayaza-24h'!C64)</f>
        <v>58.5</v>
      </c>
      <c r="D64" s="49">
        <f>AVERAGE('26.09 Kasangati-Gayaza-24h'!D64,'28.09 Kasangati-Gayaza-24h'!D64)</f>
        <v>14.5</v>
      </c>
      <c r="E64" s="49">
        <f>AVERAGE('26.09 Kasangati-Gayaza-24h'!E64,'28.09 Kasangati-Gayaza-24h'!E64)</f>
        <v>6</v>
      </c>
      <c r="F64" s="49">
        <f>AVERAGE('26.09 Kasangati-Gayaza-24h'!F64,'28.09 Kasangati-Gayaza-24h'!F64)</f>
        <v>48.5</v>
      </c>
      <c r="G64" s="49">
        <f>AVERAGE('26.09 Kasangati-Gayaza-24h'!G64,'28.09 Kasangati-Gayaza-24h'!G64)</f>
        <v>4</v>
      </c>
      <c r="H64" s="49">
        <f>AVERAGE('26.09 Kasangati-Gayaza-24h'!H64,'28.09 Kasangati-Gayaza-24h'!H64)</f>
        <v>2</v>
      </c>
      <c r="I64" s="49">
        <f>AVERAGE('26.09 Kasangati-Gayaza-24h'!I64,'28.09 Kasangati-Gayaza-24h'!I64)</f>
        <v>7.5</v>
      </c>
      <c r="J64" s="49">
        <f>AVERAGE('26.09 Kasangati-Gayaza-24h'!J64,'28.09 Kasangati-Gayaza-24h'!J64)</f>
        <v>1</v>
      </c>
      <c r="K64" s="49">
        <f>AVERAGE('26.09 Kasangati-Gayaza-24h'!K64,'28.09 Kasangati-Gayaza-24h'!K64)</f>
        <v>0</v>
      </c>
      <c r="L64" s="49">
        <f>AVERAGE('26.09 Kasangati-Gayaza-24h'!L64,'28.09 Kasangati-Gayaza-24h'!L64)</f>
        <v>1</v>
      </c>
      <c r="M64" s="49">
        <f>AVERAGE('26.09 Kasangati-Gayaza-24h'!M64,'28.09 Kasangati-Gayaza-24h'!M64)</f>
        <v>123.5</v>
      </c>
      <c r="N64" s="49">
        <f>AVERAGE('26.09 Kasangati-Gayaza-24h'!N64,'28.09 Kasangati-Gayaza-24h'!N64)</f>
        <v>0</v>
      </c>
      <c r="O64" s="15">
        <f t="shared" si="35"/>
        <v>143</v>
      </c>
      <c r="P64" s="15">
        <f t="shared" si="36"/>
        <v>266.5</v>
      </c>
      <c r="R64" s="8"/>
      <c r="T64"/>
    </row>
    <row r="65" spans="2:20" ht="23.1" customHeight="1" x14ac:dyDescent="0.25">
      <c r="B65" s="23" t="s">
        <v>158</v>
      </c>
      <c r="C65" s="49">
        <f>AVERAGE('26.09 Kasangati-Gayaza-24h'!C65,'28.09 Kasangati-Gayaza-24h'!C65)</f>
        <v>52</v>
      </c>
      <c r="D65" s="49">
        <f>AVERAGE('26.09 Kasangati-Gayaza-24h'!D65,'28.09 Kasangati-Gayaza-24h'!D65)</f>
        <v>12</v>
      </c>
      <c r="E65" s="49">
        <f>AVERAGE('26.09 Kasangati-Gayaza-24h'!E65,'28.09 Kasangati-Gayaza-24h'!E65)</f>
        <v>4</v>
      </c>
      <c r="F65" s="49">
        <f>AVERAGE('26.09 Kasangati-Gayaza-24h'!F65,'28.09 Kasangati-Gayaza-24h'!F65)</f>
        <v>57.5</v>
      </c>
      <c r="G65" s="49">
        <f>AVERAGE('26.09 Kasangati-Gayaza-24h'!G65,'28.09 Kasangati-Gayaza-24h'!G65)</f>
        <v>4</v>
      </c>
      <c r="H65" s="49">
        <f>AVERAGE('26.09 Kasangati-Gayaza-24h'!H65,'28.09 Kasangati-Gayaza-24h'!H65)</f>
        <v>0.5</v>
      </c>
      <c r="I65" s="49">
        <f>AVERAGE('26.09 Kasangati-Gayaza-24h'!I65,'28.09 Kasangati-Gayaza-24h'!I65)</f>
        <v>9.5</v>
      </c>
      <c r="J65" s="49">
        <f>AVERAGE('26.09 Kasangati-Gayaza-24h'!J65,'28.09 Kasangati-Gayaza-24h'!J65)</f>
        <v>1.5</v>
      </c>
      <c r="K65" s="49">
        <f>AVERAGE('26.09 Kasangati-Gayaza-24h'!K65,'28.09 Kasangati-Gayaza-24h'!K65)</f>
        <v>0</v>
      </c>
      <c r="L65" s="49">
        <f>AVERAGE('26.09 Kasangati-Gayaza-24h'!L65,'28.09 Kasangati-Gayaza-24h'!L65)</f>
        <v>1</v>
      </c>
      <c r="M65" s="49">
        <f>AVERAGE('26.09 Kasangati-Gayaza-24h'!M65,'28.09 Kasangati-Gayaza-24h'!M65)</f>
        <v>108</v>
      </c>
      <c r="N65" s="49">
        <f>AVERAGE('26.09 Kasangati-Gayaza-24h'!N65,'28.09 Kasangati-Gayaza-24h'!N65)</f>
        <v>0</v>
      </c>
      <c r="O65" s="15">
        <f t="shared" si="35"/>
        <v>142</v>
      </c>
      <c r="P65" s="15">
        <f t="shared" si="36"/>
        <v>250</v>
      </c>
      <c r="R65" s="8"/>
      <c r="T65"/>
    </row>
    <row r="66" spans="2:20" ht="23.1" customHeight="1" x14ac:dyDescent="0.25">
      <c r="B66" s="23" t="s">
        <v>103</v>
      </c>
      <c r="C66" s="49">
        <f>AVERAGE('26.09 Kasangati-Gayaza-24h'!C66,'28.09 Kasangati-Gayaza-24h'!C66)</f>
        <v>62.5</v>
      </c>
      <c r="D66" s="49">
        <f>AVERAGE('26.09 Kasangati-Gayaza-24h'!D66,'28.09 Kasangati-Gayaza-24h'!D66)</f>
        <v>12</v>
      </c>
      <c r="E66" s="49">
        <f>AVERAGE('26.09 Kasangati-Gayaza-24h'!E66,'28.09 Kasangati-Gayaza-24h'!E66)</f>
        <v>3</v>
      </c>
      <c r="F66" s="49">
        <f>AVERAGE('26.09 Kasangati-Gayaza-24h'!F66,'28.09 Kasangati-Gayaza-24h'!F66)</f>
        <v>55</v>
      </c>
      <c r="G66" s="49">
        <f>AVERAGE('26.09 Kasangati-Gayaza-24h'!G66,'28.09 Kasangati-Gayaza-24h'!G66)</f>
        <v>1.5</v>
      </c>
      <c r="H66" s="49">
        <f>AVERAGE('26.09 Kasangati-Gayaza-24h'!H66,'28.09 Kasangati-Gayaza-24h'!H66)</f>
        <v>0.5</v>
      </c>
      <c r="I66" s="49">
        <f>AVERAGE('26.09 Kasangati-Gayaza-24h'!I66,'28.09 Kasangati-Gayaza-24h'!I66)</f>
        <v>5</v>
      </c>
      <c r="J66" s="49">
        <f>AVERAGE('26.09 Kasangati-Gayaza-24h'!J66,'28.09 Kasangati-Gayaza-24h'!J66)</f>
        <v>0.5</v>
      </c>
      <c r="K66" s="49">
        <f>AVERAGE('26.09 Kasangati-Gayaza-24h'!K66,'28.09 Kasangati-Gayaza-24h'!K66)</f>
        <v>0</v>
      </c>
      <c r="L66" s="49">
        <f>AVERAGE('26.09 Kasangati-Gayaza-24h'!L66,'28.09 Kasangati-Gayaza-24h'!L66)</f>
        <v>1</v>
      </c>
      <c r="M66" s="49">
        <f>AVERAGE('26.09 Kasangati-Gayaza-24h'!M66,'28.09 Kasangati-Gayaza-24h'!M66)</f>
        <v>94</v>
      </c>
      <c r="N66" s="49">
        <f>AVERAGE('26.09 Kasangati-Gayaza-24h'!N66,'28.09 Kasangati-Gayaza-24h'!N66)</f>
        <v>0</v>
      </c>
      <c r="O66" s="15">
        <f t="shared" si="35"/>
        <v>141</v>
      </c>
      <c r="P66" s="15">
        <f t="shared" si="36"/>
        <v>235</v>
      </c>
      <c r="R66" s="8"/>
      <c r="T66"/>
    </row>
    <row r="67" spans="2:20" ht="23.1" customHeight="1" x14ac:dyDescent="0.25">
      <c r="B67" s="23" t="s">
        <v>104</v>
      </c>
      <c r="C67" s="49">
        <f>AVERAGE('26.09 Kasangati-Gayaza-24h'!C67,'28.09 Kasangati-Gayaza-24h'!C67)</f>
        <v>67.5</v>
      </c>
      <c r="D67" s="49">
        <f>AVERAGE('26.09 Kasangati-Gayaza-24h'!D67,'28.09 Kasangati-Gayaza-24h'!D67)</f>
        <v>14.5</v>
      </c>
      <c r="E67" s="49">
        <f>AVERAGE('26.09 Kasangati-Gayaza-24h'!E67,'28.09 Kasangati-Gayaza-24h'!E67)</f>
        <v>8</v>
      </c>
      <c r="F67" s="49">
        <f>AVERAGE('26.09 Kasangati-Gayaza-24h'!F67,'28.09 Kasangati-Gayaza-24h'!F67)</f>
        <v>62.5</v>
      </c>
      <c r="G67" s="49">
        <f>AVERAGE('26.09 Kasangati-Gayaza-24h'!G67,'28.09 Kasangati-Gayaza-24h'!G67)</f>
        <v>3.5</v>
      </c>
      <c r="H67" s="49">
        <f>AVERAGE('26.09 Kasangati-Gayaza-24h'!H67,'28.09 Kasangati-Gayaza-24h'!H67)</f>
        <v>0.5</v>
      </c>
      <c r="I67" s="49">
        <f>AVERAGE('26.09 Kasangati-Gayaza-24h'!I67,'28.09 Kasangati-Gayaza-24h'!I67)</f>
        <v>11</v>
      </c>
      <c r="J67" s="49">
        <f>AVERAGE('26.09 Kasangati-Gayaza-24h'!J67,'28.09 Kasangati-Gayaza-24h'!J67)</f>
        <v>1.5</v>
      </c>
      <c r="K67" s="49">
        <f>AVERAGE('26.09 Kasangati-Gayaza-24h'!K67,'28.09 Kasangati-Gayaza-24h'!K67)</f>
        <v>0</v>
      </c>
      <c r="L67" s="49">
        <f>AVERAGE('26.09 Kasangati-Gayaza-24h'!L67,'28.09 Kasangati-Gayaza-24h'!L67)</f>
        <v>0</v>
      </c>
      <c r="M67" s="49">
        <f>AVERAGE('26.09 Kasangati-Gayaza-24h'!M67,'28.09 Kasangati-Gayaza-24h'!M67)</f>
        <v>93.5</v>
      </c>
      <c r="N67" s="49">
        <f>AVERAGE('26.09 Kasangati-Gayaza-24h'!N67,'28.09 Kasangati-Gayaza-24h'!N67)</f>
        <v>0</v>
      </c>
      <c r="O67" s="15">
        <f t="shared" si="35"/>
        <v>169</v>
      </c>
      <c r="P67" s="15">
        <f t="shared" si="36"/>
        <v>262.5</v>
      </c>
      <c r="R67" s="8"/>
      <c r="T67"/>
    </row>
    <row r="68" spans="2:20" ht="23.1" customHeight="1" x14ac:dyDescent="0.25">
      <c r="B68" s="23" t="s">
        <v>105</v>
      </c>
      <c r="C68" s="49">
        <f>AVERAGE('26.09 Kasangati-Gayaza-24h'!C68,'28.09 Kasangati-Gayaza-24h'!C68)</f>
        <v>69</v>
      </c>
      <c r="D68" s="49">
        <f>AVERAGE('26.09 Kasangati-Gayaza-24h'!D68,'28.09 Kasangati-Gayaza-24h'!D68)</f>
        <v>10.5</v>
      </c>
      <c r="E68" s="49">
        <f>AVERAGE('26.09 Kasangati-Gayaza-24h'!E68,'28.09 Kasangati-Gayaza-24h'!E68)</f>
        <v>5.5</v>
      </c>
      <c r="F68" s="49">
        <f>AVERAGE('26.09 Kasangati-Gayaza-24h'!F68,'28.09 Kasangati-Gayaza-24h'!F68)</f>
        <v>63</v>
      </c>
      <c r="G68" s="49">
        <f>AVERAGE('26.09 Kasangati-Gayaza-24h'!G68,'28.09 Kasangati-Gayaza-24h'!G68)</f>
        <v>1</v>
      </c>
      <c r="H68" s="49">
        <f>AVERAGE('26.09 Kasangati-Gayaza-24h'!H68,'28.09 Kasangati-Gayaza-24h'!H68)</f>
        <v>2</v>
      </c>
      <c r="I68" s="49">
        <f>AVERAGE('26.09 Kasangati-Gayaza-24h'!I68,'28.09 Kasangati-Gayaza-24h'!I68)</f>
        <v>8</v>
      </c>
      <c r="J68" s="49">
        <f>AVERAGE('26.09 Kasangati-Gayaza-24h'!J68,'28.09 Kasangati-Gayaza-24h'!J68)</f>
        <v>0</v>
      </c>
      <c r="K68" s="49">
        <f>AVERAGE('26.09 Kasangati-Gayaza-24h'!K68,'28.09 Kasangati-Gayaza-24h'!K68)</f>
        <v>0.5</v>
      </c>
      <c r="L68" s="49">
        <f>AVERAGE('26.09 Kasangati-Gayaza-24h'!L68,'28.09 Kasangati-Gayaza-24h'!L68)</f>
        <v>0.5</v>
      </c>
      <c r="M68" s="49">
        <f>AVERAGE('26.09 Kasangati-Gayaza-24h'!M68,'28.09 Kasangati-Gayaza-24h'!M68)</f>
        <v>101</v>
      </c>
      <c r="N68" s="49">
        <f>AVERAGE('26.09 Kasangati-Gayaza-24h'!N68,'28.09 Kasangati-Gayaza-24h'!N68)</f>
        <v>0</v>
      </c>
      <c r="O68" s="15">
        <f t="shared" si="35"/>
        <v>160</v>
      </c>
      <c r="P68" s="15">
        <f t="shared" si="36"/>
        <v>261</v>
      </c>
      <c r="R68" s="8"/>
      <c r="T68"/>
    </row>
    <row r="69" spans="2:20" ht="23.1" customHeight="1" x14ac:dyDescent="0.25">
      <c r="B69" s="23" t="s">
        <v>106</v>
      </c>
      <c r="C69" s="49">
        <f>AVERAGE('26.09 Kasangati-Gayaza-24h'!C69,'28.09 Kasangati-Gayaza-24h'!C69)</f>
        <v>75</v>
      </c>
      <c r="D69" s="49">
        <f>AVERAGE('26.09 Kasangati-Gayaza-24h'!D69,'28.09 Kasangati-Gayaza-24h'!D69)</f>
        <v>9</v>
      </c>
      <c r="E69" s="49">
        <f>AVERAGE('26.09 Kasangati-Gayaza-24h'!E69,'28.09 Kasangati-Gayaza-24h'!E69)</f>
        <v>5</v>
      </c>
      <c r="F69" s="49">
        <f>AVERAGE('26.09 Kasangati-Gayaza-24h'!F69,'28.09 Kasangati-Gayaza-24h'!F69)</f>
        <v>52.5</v>
      </c>
      <c r="G69" s="49">
        <f>AVERAGE('26.09 Kasangati-Gayaza-24h'!G69,'28.09 Kasangati-Gayaza-24h'!G69)</f>
        <v>3</v>
      </c>
      <c r="H69" s="49">
        <f>AVERAGE('26.09 Kasangati-Gayaza-24h'!H69,'28.09 Kasangati-Gayaza-24h'!H69)</f>
        <v>0</v>
      </c>
      <c r="I69" s="49">
        <f>AVERAGE('26.09 Kasangati-Gayaza-24h'!I69,'28.09 Kasangati-Gayaza-24h'!I69)</f>
        <v>4</v>
      </c>
      <c r="J69" s="49">
        <f>AVERAGE('26.09 Kasangati-Gayaza-24h'!J69,'28.09 Kasangati-Gayaza-24h'!J69)</f>
        <v>2</v>
      </c>
      <c r="K69" s="49">
        <f>AVERAGE('26.09 Kasangati-Gayaza-24h'!K69,'28.09 Kasangati-Gayaza-24h'!K69)</f>
        <v>0</v>
      </c>
      <c r="L69" s="49">
        <f>AVERAGE('26.09 Kasangati-Gayaza-24h'!L69,'28.09 Kasangati-Gayaza-24h'!L69)</f>
        <v>0.5</v>
      </c>
      <c r="M69" s="49">
        <f>AVERAGE('26.09 Kasangati-Gayaza-24h'!M69,'28.09 Kasangati-Gayaza-24h'!M69)</f>
        <v>85.5</v>
      </c>
      <c r="N69" s="49">
        <f>AVERAGE('26.09 Kasangati-Gayaza-24h'!N69,'28.09 Kasangati-Gayaza-24h'!N69)</f>
        <v>0</v>
      </c>
      <c r="O69" s="15">
        <f t="shared" si="35"/>
        <v>151</v>
      </c>
      <c r="P69" s="15">
        <f t="shared" si="36"/>
        <v>236.5</v>
      </c>
      <c r="R69" s="8"/>
      <c r="T69"/>
    </row>
    <row r="70" spans="2:20" ht="23.1" customHeight="1" x14ac:dyDescent="0.25">
      <c r="B70" s="23" t="s">
        <v>110</v>
      </c>
      <c r="C70" s="49">
        <f>AVERAGE('26.09 Kasangati-Gayaza-24h'!C70,'28.09 Kasangati-Gayaza-24h'!C70)</f>
        <v>50.5</v>
      </c>
      <c r="D70" s="49">
        <f>AVERAGE('26.09 Kasangati-Gayaza-24h'!D70,'28.09 Kasangati-Gayaza-24h'!D70)</f>
        <v>10.5</v>
      </c>
      <c r="E70" s="49">
        <f>AVERAGE('26.09 Kasangati-Gayaza-24h'!E70,'28.09 Kasangati-Gayaza-24h'!E70)</f>
        <v>2.5</v>
      </c>
      <c r="F70" s="49">
        <f>AVERAGE('26.09 Kasangati-Gayaza-24h'!F70,'28.09 Kasangati-Gayaza-24h'!F70)</f>
        <v>54.5</v>
      </c>
      <c r="G70" s="49">
        <f>AVERAGE('26.09 Kasangati-Gayaza-24h'!G70,'28.09 Kasangati-Gayaza-24h'!G70)</f>
        <v>2.5</v>
      </c>
      <c r="H70" s="49">
        <f>AVERAGE('26.09 Kasangati-Gayaza-24h'!H70,'28.09 Kasangati-Gayaza-24h'!H70)</f>
        <v>0</v>
      </c>
      <c r="I70" s="49">
        <f>AVERAGE('26.09 Kasangati-Gayaza-24h'!I70,'28.09 Kasangati-Gayaza-24h'!I70)</f>
        <v>5</v>
      </c>
      <c r="J70" s="49">
        <f>AVERAGE('26.09 Kasangati-Gayaza-24h'!J70,'28.09 Kasangati-Gayaza-24h'!J70)</f>
        <v>1</v>
      </c>
      <c r="K70" s="49">
        <f>AVERAGE('26.09 Kasangati-Gayaza-24h'!K70,'28.09 Kasangati-Gayaza-24h'!K70)</f>
        <v>0</v>
      </c>
      <c r="L70" s="49">
        <f>AVERAGE('26.09 Kasangati-Gayaza-24h'!L70,'28.09 Kasangati-Gayaza-24h'!L70)</f>
        <v>1</v>
      </c>
      <c r="M70" s="49">
        <f>AVERAGE('26.09 Kasangati-Gayaza-24h'!M70,'28.09 Kasangati-Gayaza-24h'!M70)</f>
        <v>77</v>
      </c>
      <c r="N70" s="49">
        <f>AVERAGE('26.09 Kasangati-Gayaza-24h'!N70,'28.09 Kasangati-Gayaza-24h'!N70)</f>
        <v>0</v>
      </c>
      <c r="O70" s="15">
        <f t="shared" si="35"/>
        <v>127.5</v>
      </c>
      <c r="P70" s="15">
        <f t="shared" si="36"/>
        <v>204.5</v>
      </c>
      <c r="R70" s="8"/>
      <c r="T70"/>
    </row>
    <row r="71" spans="2:20" ht="23.1" customHeight="1" x14ac:dyDescent="0.25">
      <c r="B71" s="23" t="s">
        <v>111</v>
      </c>
      <c r="C71" s="49">
        <f>AVERAGE('26.09 Kasangati-Gayaza-24h'!C71,'28.09 Kasangati-Gayaza-24h'!C71)</f>
        <v>49.5</v>
      </c>
      <c r="D71" s="49">
        <f>AVERAGE('26.09 Kasangati-Gayaza-24h'!D71,'28.09 Kasangati-Gayaza-24h'!D71)</f>
        <v>16.5</v>
      </c>
      <c r="E71" s="49">
        <f>AVERAGE('26.09 Kasangati-Gayaza-24h'!E71,'28.09 Kasangati-Gayaza-24h'!E71)</f>
        <v>3</v>
      </c>
      <c r="F71" s="49">
        <f>AVERAGE('26.09 Kasangati-Gayaza-24h'!F71,'28.09 Kasangati-Gayaza-24h'!F71)</f>
        <v>51.5</v>
      </c>
      <c r="G71" s="49">
        <f>AVERAGE('26.09 Kasangati-Gayaza-24h'!G71,'28.09 Kasangati-Gayaza-24h'!G71)</f>
        <v>1</v>
      </c>
      <c r="H71" s="49">
        <f>AVERAGE('26.09 Kasangati-Gayaza-24h'!H71,'28.09 Kasangati-Gayaza-24h'!H71)</f>
        <v>0</v>
      </c>
      <c r="I71" s="49">
        <f>AVERAGE('26.09 Kasangati-Gayaza-24h'!I71,'28.09 Kasangati-Gayaza-24h'!I71)</f>
        <v>3.5</v>
      </c>
      <c r="J71" s="49">
        <f>AVERAGE('26.09 Kasangati-Gayaza-24h'!J71,'28.09 Kasangati-Gayaza-24h'!J71)</f>
        <v>1.5</v>
      </c>
      <c r="K71" s="49">
        <f>AVERAGE('26.09 Kasangati-Gayaza-24h'!K71,'28.09 Kasangati-Gayaza-24h'!K71)</f>
        <v>0</v>
      </c>
      <c r="L71" s="49">
        <f>AVERAGE('26.09 Kasangati-Gayaza-24h'!L71,'28.09 Kasangati-Gayaza-24h'!L71)</f>
        <v>1</v>
      </c>
      <c r="M71" s="49">
        <f>AVERAGE('26.09 Kasangati-Gayaza-24h'!M71,'28.09 Kasangati-Gayaza-24h'!M71)</f>
        <v>80.5</v>
      </c>
      <c r="N71" s="49">
        <f>AVERAGE('26.09 Kasangati-Gayaza-24h'!N71,'28.09 Kasangati-Gayaza-24h'!N71)</f>
        <v>0</v>
      </c>
      <c r="O71" s="15">
        <f t="shared" si="35"/>
        <v>127.5</v>
      </c>
      <c r="P71" s="15">
        <f t="shared" si="36"/>
        <v>208</v>
      </c>
      <c r="R71" s="8"/>
      <c r="T71"/>
    </row>
    <row r="72" spans="2:20" ht="23.1" customHeight="1" x14ac:dyDescent="0.25">
      <c r="B72" s="23" t="s">
        <v>112</v>
      </c>
      <c r="C72" s="49">
        <f>AVERAGE('26.09 Kasangati-Gayaza-24h'!C72,'28.09 Kasangati-Gayaza-24h'!C72)</f>
        <v>55</v>
      </c>
      <c r="D72" s="49">
        <f>AVERAGE('26.09 Kasangati-Gayaza-24h'!D72,'28.09 Kasangati-Gayaza-24h'!D72)</f>
        <v>17.5</v>
      </c>
      <c r="E72" s="49">
        <f>AVERAGE('26.09 Kasangati-Gayaza-24h'!E72,'28.09 Kasangati-Gayaza-24h'!E72)</f>
        <v>3</v>
      </c>
      <c r="F72" s="49">
        <f>AVERAGE('26.09 Kasangati-Gayaza-24h'!F72,'28.09 Kasangati-Gayaza-24h'!F72)</f>
        <v>42</v>
      </c>
      <c r="G72" s="49">
        <f>AVERAGE('26.09 Kasangati-Gayaza-24h'!G72,'28.09 Kasangati-Gayaza-24h'!G72)</f>
        <v>1</v>
      </c>
      <c r="H72" s="49">
        <f>AVERAGE('26.09 Kasangati-Gayaza-24h'!H72,'28.09 Kasangati-Gayaza-24h'!H72)</f>
        <v>0.5</v>
      </c>
      <c r="I72" s="49">
        <f>AVERAGE('26.09 Kasangati-Gayaza-24h'!I72,'28.09 Kasangati-Gayaza-24h'!I72)</f>
        <v>7</v>
      </c>
      <c r="J72" s="49">
        <f>AVERAGE('26.09 Kasangati-Gayaza-24h'!J72,'28.09 Kasangati-Gayaza-24h'!J72)</f>
        <v>1</v>
      </c>
      <c r="K72" s="49">
        <f>AVERAGE('26.09 Kasangati-Gayaza-24h'!K72,'28.09 Kasangati-Gayaza-24h'!K72)</f>
        <v>0</v>
      </c>
      <c r="L72" s="49">
        <f>AVERAGE('26.09 Kasangati-Gayaza-24h'!L72,'28.09 Kasangati-Gayaza-24h'!L72)</f>
        <v>0.5</v>
      </c>
      <c r="M72" s="49">
        <f>AVERAGE('26.09 Kasangati-Gayaza-24h'!M72,'28.09 Kasangati-Gayaza-24h'!M72)</f>
        <v>82.5</v>
      </c>
      <c r="N72" s="49">
        <f>AVERAGE('26.09 Kasangati-Gayaza-24h'!N72,'28.09 Kasangati-Gayaza-24h'!N72)</f>
        <v>0</v>
      </c>
      <c r="O72" s="15">
        <f t="shared" si="35"/>
        <v>127.5</v>
      </c>
      <c r="P72" s="15">
        <f t="shared" si="36"/>
        <v>210</v>
      </c>
      <c r="R72" s="8"/>
      <c r="T72"/>
    </row>
    <row r="73" spans="2:20" ht="23.1" customHeight="1" x14ac:dyDescent="0.25">
      <c r="B73" s="23" t="s">
        <v>113</v>
      </c>
      <c r="C73" s="49">
        <f>AVERAGE('26.09 Kasangati-Gayaza-24h'!C73,'28.09 Kasangati-Gayaza-24h'!C73)</f>
        <v>44</v>
      </c>
      <c r="D73" s="49">
        <f>AVERAGE('26.09 Kasangati-Gayaza-24h'!D73,'28.09 Kasangati-Gayaza-24h'!D73)</f>
        <v>8.5</v>
      </c>
      <c r="E73" s="49">
        <f>AVERAGE('26.09 Kasangati-Gayaza-24h'!E73,'28.09 Kasangati-Gayaza-24h'!E73)</f>
        <v>3</v>
      </c>
      <c r="F73" s="49">
        <f>AVERAGE('26.09 Kasangati-Gayaza-24h'!F73,'28.09 Kasangati-Gayaza-24h'!F73)</f>
        <v>43</v>
      </c>
      <c r="G73" s="49">
        <f>AVERAGE('26.09 Kasangati-Gayaza-24h'!G73,'28.09 Kasangati-Gayaza-24h'!G73)</f>
        <v>0.5</v>
      </c>
      <c r="H73" s="49">
        <f>AVERAGE('26.09 Kasangati-Gayaza-24h'!H73,'28.09 Kasangati-Gayaza-24h'!H73)</f>
        <v>0.5</v>
      </c>
      <c r="I73" s="49">
        <f>AVERAGE('26.09 Kasangati-Gayaza-24h'!I73,'28.09 Kasangati-Gayaza-24h'!I73)</f>
        <v>3</v>
      </c>
      <c r="J73" s="49">
        <f>AVERAGE('26.09 Kasangati-Gayaza-24h'!J73,'28.09 Kasangati-Gayaza-24h'!J73)</f>
        <v>0.5</v>
      </c>
      <c r="K73" s="49">
        <f>AVERAGE('26.09 Kasangati-Gayaza-24h'!K73,'28.09 Kasangati-Gayaza-24h'!K73)</f>
        <v>0</v>
      </c>
      <c r="L73" s="49">
        <f>AVERAGE('26.09 Kasangati-Gayaza-24h'!L73,'28.09 Kasangati-Gayaza-24h'!L73)</f>
        <v>0</v>
      </c>
      <c r="M73" s="49">
        <f>AVERAGE('26.09 Kasangati-Gayaza-24h'!M73,'28.09 Kasangati-Gayaza-24h'!M73)</f>
        <v>47</v>
      </c>
      <c r="N73" s="49">
        <f>AVERAGE('26.09 Kasangati-Gayaza-24h'!N73,'28.09 Kasangati-Gayaza-24h'!N73)</f>
        <v>0</v>
      </c>
      <c r="O73" s="15">
        <f t="shared" si="35"/>
        <v>103</v>
      </c>
      <c r="P73" s="15">
        <f t="shared" si="36"/>
        <v>150</v>
      </c>
      <c r="R73" s="8"/>
      <c r="T73"/>
    </row>
    <row r="74" spans="2:20" ht="23.1" customHeight="1" x14ac:dyDescent="0.25">
      <c r="B74" s="23" t="s">
        <v>114</v>
      </c>
      <c r="C74" s="49">
        <f>AVERAGE('26.09 Kasangati-Gayaza-24h'!C74,'28.09 Kasangati-Gayaza-24h'!C74)</f>
        <v>47</v>
      </c>
      <c r="D74" s="49">
        <f>AVERAGE('26.09 Kasangati-Gayaza-24h'!D74,'28.09 Kasangati-Gayaza-24h'!D74)</f>
        <v>17.5</v>
      </c>
      <c r="E74" s="49">
        <f>AVERAGE('26.09 Kasangati-Gayaza-24h'!E74,'28.09 Kasangati-Gayaza-24h'!E74)</f>
        <v>2</v>
      </c>
      <c r="F74" s="49">
        <f>AVERAGE('26.09 Kasangati-Gayaza-24h'!F74,'28.09 Kasangati-Gayaza-24h'!F74)</f>
        <v>30.5</v>
      </c>
      <c r="G74" s="49">
        <f>AVERAGE('26.09 Kasangati-Gayaza-24h'!G74,'28.09 Kasangati-Gayaza-24h'!G74)</f>
        <v>0.5</v>
      </c>
      <c r="H74" s="49">
        <f>AVERAGE('26.09 Kasangati-Gayaza-24h'!H74,'28.09 Kasangati-Gayaza-24h'!H74)</f>
        <v>0</v>
      </c>
      <c r="I74" s="49">
        <f>AVERAGE('26.09 Kasangati-Gayaza-24h'!I74,'28.09 Kasangati-Gayaza-24h'!I74)</f>
        <v>2.5</v>
      </c>
      <c r="J74" s="49">
        <f>AVERAGE('26.09 Kasangati-Gayaza-24h'!J74,'28.09 Kasangati-Gayaza-24h'!J74)</f>
        <v>0</v>
      </c>
      <c r="K74" s="49">
        <f>AVERAGE('26.09 Kasangati-Gayaza-24h'!K74,'28.09 Kasangati-Gayaza-24h'!K74)</f>
        <v>0</v>
      </c>
      <c r="L74" s="49">
        <f>AVERAGE('26.09 Kasangati-Gayaza-24h'!L74,'28.09 Kasangati-Gayaza-24h'!L74)</f>
        <v>0</v>
      </c>
      <c r="M74" s="49">
        <f>AVERAGE('26.09 Kasangati-Gayaza-24h'!M74,'28.09 Kasangati-Gayaza-24h'!M74)</f>
        <v>39.5</v>
      </c>
      <c r="N74" s="49">
        <f>AVERAGE('26.09 Kasangati-Gayaza-24h'!N74,'28.09 Kasangati-Gayaza-24h'!N74)</f>
        <v>0</v>
      </c>
      <c r="O74" s="15">
        <f t="shared" si="35"/>
        <v>100</v>
      </c>
      <c r="P74" s="15">
        <f t="shared" si="36"/>
        <v>139.5</v>
      </c>
      <c r="R74" s="8"/>
      <c r="T74"/>
    </row>
    <row r="75" spans="2:20" ht="23.1" customHeight="1" x14ac:dyDescent="0.25">
      <c r="B75" s="23" t="s">
        <v>115</v>
      </c>
      <c r="C75" s="49">
        <f>AVERAGE('26.09 Kasangati-Gayaza-24h'!C75,'28.09 Kasangati-Gayaza-24h'!C75)</f>
        <v>42</v>
      </c>
      <c r="D75" s="49">
        <f>AVERAGE('26.09 Kasangati-Gayaza-24h'!D75,'28.09 Kasangati-Gayaza-24h'!D75)</f>
        <v>11</v>
      </c>
      <c r="E75" s="49">
        <f>AVERAGE('26.09 Kasangati-Gayaza-24h'!E75,'28.09 Kasangati-Gayaza-24h'!E75)</f>
        <v>3.5</v>
      </c>
      <c r="F75" s="49">
        <f>AVERAGE('26.09 Kasangati-Gayaza-24h'!F75,'28.09 Kasangati-Gayaza-24h'!F75)</f>
        <v>19.5</v>
      </c>
      <c r="G75" s="49">
        <f>AVERAGE('26.09 Kasangati-Gayaza-24h'!G75,'28.09 Kasangati-Gayaza-24h'!G75)</f>
        <v>2</v>
      </c>
      <c r="H75" s="49">
        <f>AVERAGE('26.09 Kasangati-Gayaza-24h'!H75,'28.09 Kasangati-Gayaza-24h'!H75)</f>
        <v>0</v>
      </c>
      <c r="I75" s="49">
        <f>AVERAGE('26.09 Kasangati-Gayaza-24h'!I75,'28.09 Kasangati-Gayaza-24h'!I75)</f>
        <v>3.5</v>
      </c>
      <c r="J75" s="49">
        <f>AVERAGE('26.09 Kasangati-Gayaza-24h'!J75,'28.09 Kasangati-Gayaza-24h'!J75)</f>
        <v>0.5</v>
      </c>
      <c r="K75" s="49">
        <f>AVERAGE('26.09 Kasangati-Gayaza-24h'!K75,'28.09 Kasangati-Gayaza-24h'!K75)</f>
        <v>0</v>
      </c>
      <c r="L75" s="49">
        <f>AVERAGE('26.09 Kasangati-Gayaza-24h'!L75,'28.09 Kasangati-Gayaza-24h'!L75)</f>
        <v>1</v>
      </c>
      <c r="M75" s="49">
        <f>AVERAGE('26.09 Kasangati-Gayaza-24h'!M75,'28.09 Kasangati-Gayaza-24h'!M75)</f>
        <v>50</v>
      </c>
      <c r="N75" s="49">
        <f>AVERAGE('26.09 Kasangati-Gayaza-24h'!N75,'28.09 Kasangati-Gayaza-24h'!N75)</f>
        <v>0</v>
      </c>
      <c r="O75" s="15">
        <f t="shared" si="35"/>
        <v>83</v>
      </c>
      <c r="P75" s="15">
        <f t="shared" si="36"/>
        <v>133</v>
      </c>
      <c r="R75" s="8"/>
      <c r="T75"/>
    </row>
    <row r="76" spans="2:20" ht="23.1" customHeight="1" x14ac:dyDescent="0.25">
      <c r="B76" s="23" t="s">
        <v>116</v>
      </c>
      <c r="C76" s="49">
        <f>AVERAGE('26.09 Kasangati-Gayaza-24h'!C76,'28.09 Kasangati-Gayaza-24h'!C76)</f>
        <v>25.5</v>
      </c>
      <c r="D76" s="49">
        <f>AVERAGE('26.09 Kasangati-Gayaza-24h'!D76,'28.09 Kasangati-Gayaza-24h'!D76)</f>
        <v>7</v>
      </c>
      <c r="E76" s="49">
        <f>AVERAGE('26.09 Kasangati-Gayaza-24h'!E76,'28.09 Kasangati-Gayaza-24h'!E76)</f>
        <v>1.5</v>
      </c>
      <c r="F76" s="49">
        <f>AVERAGE('26.09 Kasangati-Gayaza-24h'!F76,'28.09 Kasangati-Gayaza-24h'!F76)</f>
        <v>20</v>
      </c>
      <c r="G76" s="49">
        <f>AVERAGE('26.09 Kasangati-Gayaza-24h'!G76,'28.09 Kasangati-Gayaza-24h'!G76)</f>
        <v>1</v>
      </c>
      <c r="H76" s="49">
        <f>AVERAGE('26.09 Kasangati-Gayaza-24h'!H76,'28.09 Kasangati-Gayaza-24h'!H76)</f>
        <v>0</v>
      </c>
      <c r="I76" s="49">
        <f>AVERAGE('26.09 Kasangati-Gayaza-24h'!I76,'28.09 Kasangati-Gayaza-24h'!I76)</f>
        <v>2</v>
      </c>
      <c r="J76" s="49">
        <f>AVERAGE('26.09 Kasangati-Gayaza-24h'!J76,'28.09 Kasangati-Gayaza-24h'!J76)</f>
        <v>1.5</v>
      </c>
      <c r="K76" s="49">
        <f>AVERAGE('26.09 Kasangati-Gayaza-24h'!K76,'28.09 Kasangati-Gayaza-24h'!K76)</f>
        <v>0</v>
      </c>
      <c r="L76" s="49">
        <f>AVERAGE('26.09 Kasangati-Gayaza-24h'!L76,'28.09 Kasangati-Gayaza-24h'!L76)</f>
        <v>0.5</v>
      </c>
      <c r="M76" s="49">
        <f>AVERAGE('26.09 Kasangati-Gayaza-24h'!M76,'28.09 Kasangati-Gayaza-24h'!M76)</f>
        <v>59</v>
      </c>
      <c r="N76" s="49">
        <f>AVERAGE('26.09 Kasangati-Gayaza-24h'!N76,'28.09 Kasangati-Gayaza-24h'!N76)</f>
        <v>0</v>
      </c>
      <c r="O76" s="15">
        <f t="shared" si="35"/>
        <v>59</v>
      </c>
      <c r="P76" s="15">
        <f t="shared" si="36"/>
        <v>118</v>
      </c>
      <c r="R76" s="8"/>
      <c r="T76"/>
    </row>
    <row r="77" spans="2:20" ht="23.1" customHeight="1" x14ac:dyDescent="0.25">
      <c r="B77" s="23" t="s">
        <v>117</v>
      </c>
      <c r="C77" s="49">
        <f>AVERAGE('26.09 Kasangati-Gayaza-24h'!C77,'28.09 Kasangati-Gayaza-24h'!C77)</f>
        <v>27</v>
      </c>
      <c r="D77" s="49">
        <f>AVERAGE('26.09 Kasangati-Gayaza-24h'!D77,'28.09 Kasangati-Gayaza-24h'!D77)</f>
        <v>1.5</v>
      </c>
      <c r="E77" s="49">
        <f>AVERAGE('26.09 Kasangati-Gayaza-24h'!E77,'28.09 Kasangati-Gayaza-24h'!E77)</f>
        <v>0.5</v>
      </c>
      <c r="F77" s="49">
        <f>AVERAGE('26.09 Kasangati-Gayaza-24h'!F77,'28.09 Kasangati-Gayaza-24h'!F77)</f>
        <v>15</v>
      </c>
      <c r="G77" s="49">
        <f>AVERAGE('26.09 Kasangati-Gayaza-24h'!G77,'28.09 Kasangati-Gayaza-24h'!G77)</f>
        <v>0</v>
      </c>
      <c r="H77" s="49">
        <f>AVERAGE('26.09 Kasangati-Gayaza-24h'!H77,'28.09 Kasangati-Gayaza-24h'!H77)</f>
        <v>0.5</v>
      </c>
      <c r="I77" s="49">
        <f>AVERAGE('26.09 Kasangati-Gayaza-24h'!I77,'28.09 Kasangati-Gayaza-24h'!I77)</f>
        <v>4</v>
      </c>
      <c r="J77" s="49">
        <f>AVERAGE('26.09 Kasangati-Gayaza-24h'!J77,'28.09 Kasangati-Gayaza-24h'!J77)</f>
        <v>2</v>
      </c>
      <c r="K77" s="49">
        <f>AVERAGE('26.09 Kasangati-Gayaza-24h'!K77,'28.09 Kasangati-Gayaza-24h'!K77)</f>
        <v>0.5</v>
      </c>
      <c r="L77" s="49">
        <f>AVERAGE('26.09 Kasangati-Gayaza-24h'!L77,'28.09 Kasangati-Gayaza-24h'!L77)</f>
        <v>1</v>
      </c>
      <c r="M77" s="49">
        <f>AVERAGE('26.09 Kasangati-Gayaza-24h'!M77,'28.09 Kasangati-Gayaza-24h'!M77)</f>
        <v>34</v>
      </c>
      <c r="N77" s="49">
        <f>AVERAGE('26.09 Kasangati-Gayaza-24h'!N77,'28.09 Kasangati-Gayaza-24h'!N77)</f>
        <v>0</v>
      </c>
      <c r="O77" s="15">
        <f t="shared" si="35"/>
        <v>52</v>
      </c>
      <c r="P77" s="15">
        <f t="shared" si="36"/>
        <v>86</v>
      </c>
      <c r="R77" s="8"/>
      <c r="T77"/>
    </row>
    <row r="78" spans="2:20" ht="23.1" customHeight="1" x14ac:dyDescent="0.25">
      <c r="B78" s="24" t="s">
        <v>118</v>
      </c>
      <c r="C78" s="49">
        <f>AVERAGE('26.09 Kasangati-Gayaza-24h'!C78,'28.09 Kasangati-Gayaza-24h'!C78)</f>
        <v>22.5</v>
      </c>
      <c r="D78" s="49">
        <f>AVERAGE('26.09 Kasangati-Gayaza-24h'!D78,'28.09 Kasangati-Gayaza-24h'!D78)</f>
        <v>4</v>
      </c>
      <c r="E78" s="49">
        <f>AVERAGE('26.09 Kasangati-Gayaza-24h'!E78,'28.09 Kasangati-Gayaza-24h'!E78)</f>
        <v>3</v>
      </c>
      <c r="F78" s="49">
        <f>AVERAGE('26.09 Kasangati-Gayaza-24h'!F78,'28.09 Kasangati-Gayaza-24h'!F78)</f>
        <v>10.5</v>
      </c>
      <c r="G78" s="49">
        <f>AVERAGE('26.09 Kasangati-Gayaza-24h'!G78,'28.09 Kasangati-Gayaza-24h'!G78)</f>
        <v>0</v>
      </c>
      <c r="H78" s="49">
        <f>AVERAGE('26.09 Kasangati-Gayaza-24h'!H78,'28.09 Kasangati-Gayaza-24h'!H78)</f>
        <v>0</v>
      </c>
      <c r="I78" s="49">
        <f>AVERAGE('26.09 Kasangati-Gayaza-24h'!I78,'28.09 Kasangati-Gayaza-24h'!I78)</f>
        <v>1</v>
      </c>
      <c r="J78" s="49">
        <f>AVERAGE('26.09 Kasangati-Gayaza-24h'!J78,'28.09 Kasangati-Gayaza-24h'!J78)</f>
        <v>1.5</v>
      </c>
      <c r="K78" s="49">
        <f>AVERAGE('26.09 Kasangati-Gayaza-24h'!K78,'28.09 Kasangati-Gayaza-24h'!K78)</f>
        <v>0</v>
      </c>
      <c r="L78" s="49">
        <f>AVERAGE('26.09 Kasangati-Gayaza-24h'!L78,'28.09 Kasangati-Gayaza-24h'!L78)</f>
        <v>0.5</v>
      </c>
      <c r="M78" s="49">
        <f>AVERAGE('26.09 Kasangati-Gayaza-24h'!M78,'28.09 Kasangati-Gayaza-24h'!M78)</f>
        <v>36.5</v>
      </c>
      <c r="N78" s="49">
        <f>AVERAGE('26.09 Kasangati-Gayaza-24h'!N78,'28.09 Kasangati-Gayaza-24h'!N78)</f>
        <v>0</v>
      </c>
      <c r="O78" s="15">
        <f t="shared" si="35"/>
        <v>43</v>
      </c>
      <c r="P78" s="15">
        <f t="shared" si="36"/>
        <v>79.5</v>
      </c>
      <c r="R78" s="8"/>
      <c r="T78"/>
    </row>
    <row r="79" spans="2:20" ht="23.1" customHeight="1" x14ac:dyDescent="0.25">
      <c r="B79" s="23" t="s">
        <v>119</v>
      </c>
      <c r="C79" s="49">
        <f>AVERAGE('26.09 Kasangati-Gayaza-24h'!C79,'28.09 Kasangati-Gayaza-24h'!C79)</f>
        <v>20</v>
      </c>
      <c r="D79" s="49">
        <f>AVERAGE('26.09 Kasangati-Gayaza-24h'!D79,'28.09 Kasangati-Gayaza-24h'!D79)</f>
        <v>4.5</v>
      </c>
      <c r="E79" s="49">
        <f>AVERAGE('26.09 Kasangati-Gayaza-24h'!E79,'28.09 Kasangati-Gayaza-24h'!E79)</f>
        <v>0.5</v>
      </c>
      <c r="F79" s="49">
        <f>AVERAGE('26.09 Kasangati-Gayaza-24h'!F79,'28.09 Kasangati-Gayaza-24h'!F79)</f>
        <v>6.5</v>
      </c>
      <c r="G79" s="49">
        <f>AVERAGE('26.09 Kasangati-Gayaza-24h'!G79,'28.09 Kasangati-Gayaza-24h'!G79)</f>
        <v>0</v>
      </c>
      <c r="H79" s="49">
        <f>AVERAGE('26.09 Kasangati-Gayaza-24h'!H79,'28.09 Kasangati-Gayaza-24h'!H79)</f>
        <v>0</v>
      </c>
      <c r="I79" s="49">
        <f>AVERAGE('26.09 Kasangati-Gayaza-24h'!I79,'28.09 Kasangati-Gayaza-24h'!I79)</f>
        <v>1.5</v>
      </c>
      <c r="J79" s="49">
        <f>AVERAGE('26.09 Kasangati-Gayaza-24h'!J79,'28.09 Kasangati-Gayaza-24h'!J79)</f>
        <v>0</v>
      </c>
      <c r="K79" s="49">
        <f>AVERAGE('26.09 Kasangati-Gayaza-24h'!K79,'28.09 Kasangati-Gayaza-24h'!K79)</f>
        <v>1</v>
      </c>
      <c r="L79" s="49">
        <f>AVERAGE('26.09 Kasangati-Gayaza-24h'!L79,'28.09 Kasangati-Gayaza-24h'!L79)</f>
        <v>0</v>
      </c>
      <c r="M79" s="49">
        <f>AVERAGE('26.09 Kasangati-Gayaza-24h'!M79,'28.09 Kasangati-Gayaza-24h'!M79)</f>
        <v>33.5</v>
      </c>
      <c r="N79" s="49">
        <f>AVERAGE('26.09 Kasangati-Gayaza-24h'!N79,'28.09 Kasangati-Gayaza-24h'!N79)</f>
        <v>0</v>
      </c>
      <c r="O79" s="15">
        <f t="shared" si="35"/>
        <v>34</v>
      </c>
      <c r="P79" s="15">
        <f t="shared" si="36"/>
        <v>67.5</v>
      </c>
      <c r="R79" s="8"/>
      <c r="T79"/>
    </row>
    <row r="80" spans="2:20" ht="23.1" customHeight="1" x14ac:dyDescent="0.25">
      <c r="B80" s="25" t="s">
        <v>120</v>
      </c>
      <c r="C80" s="49">
        <f>AVERAGE('26.09 Kasangati-Gayaza-24h'!C80,'28.09 Kasangati-Gayaza-24h'!C80)</f>
        <v>14.5</v>
      </c>
      <c r="D80" s="49">
        <f>AVERAGE('26.09 Kasangati-Gayaza-24h'!D80,'28.09 Kasangati-Gayaza-24h'!D80)</f>
        <v>4.5</v>
      </c>
      <c r="E80" s="49">
        <f>AVERAGE('26.09 Kasangati-Gayaza-24h'!E80,'28.09 Kasangati-Gayaza-24h'!E80)</f>
        <v>1</v>
      </c>
      <c r="F80" s="49">
        <f>AVERAGE('26.09 Kasangati-Gayaza-24h'!F80,'28.09 Kasangati-Gayaza-24h'!F80)</f>
        <v>4.5</v>
      </c>
      <c r="G80" s="49">
        <f>AVERAGE('26.09 Kasangati-Gayaza-24h'!G80,'28.09 Kasangati-Gayaza-24h'!G80)</f>
        <v>0</v>
      </c>
      <c r="H80" s="49">
        <f>AVERAGE('26.09 Kasangati-Gayaza-24h'!H80,'28.09 Kasangati-Gayaza-24h'!H80)</f>
        <v>0</v>
      </c>
      <c r="I80" s="49">
        <f>AVERAGE('26.09 Kasangati-Gayaza-24h'!I80,'28.09 Kasangati-Gayaza-24h'!I80)</f>
        <v>2.5</v>
      </c>
      <c r="J80" s="49">
        <f>AVERAGE('26.09 Kasangati-Gayaza-24h'!J80,'28.09 Kasangati-Gayaza-24h'!J80)</f>
        <v>1</v>
      </c>
      <c r="K80" s="49">
        <f>AVERAGE('26.09 Kasangati-Gayaza-24h'!K80,'28.09 Kasangati-Gayaza-24h'!K80)</f>
        <v>0</v>
      </c>
      <c r="L80" s="49">
        <f>AVERAGE('26.09 Kasangati-Gayaza-24h'!L80,'28.09 Kasangati-Gayaza-24h'!L80)</f>
        <v>0.5</v>
      </c>
      <c r="M80" s="49">
        <f>AVERAGE('26.09 Kasangati-Gayaza-24h'!M80,'28.09 Kasangati-Gayaza-24h'!M80)</f>
        <v>25.5</v>
      </c>
      <c r="N80" s="49">
        <f>AVERAGE('26.09 Kasangati-Gayaza-24h'!N80,'28.09 Kasangati-Gayaza-24h'!N80)</f>
        <v>0</v>
      </c>
      <c r="O80" s="15">
        <f t="shared" si="35"/>
        <v>28.5</v>
      </c>
      <c r="P80" s="15">
        <f t="shared" si="36"/>
        <v>54</v>
      </c>
      <c r="R80" s="8"/>
      <c r="T80"/>
    </row>
    <row r="81" spans="2:20" ht="23.1" customHeight="1" x14ac:dyDescent="0.25">
      <c r="B81" s="23" t="s">
        <v>121</v>
      </c>
      <c r="C81" s="49">
        <f>AVERAGE('26.09 Kasangati-Gayaza-24h'!C81,'28.09 Kasangati-Gayaza-24h'!C81)</f>
        <v>15</v>
      </c>
      <c r="D81" s="49">
        <f>AVERAGE('26.09 Kasangati-Gayaza-24h'!D81,'28.09 Kasangati-Gayaza-24h'!D81)</f>
        <v>3.5</v>
      </c>
      <c r="E81" s="49">
        <f>AVERAGE('26.09 Kasangati-Gayaza-24h'!E81,'28.09 Kasangati-Gayaza-24h'!E81)</f>
        <v>1</v>
      </c>
      <c r="F81" s="49">
        <f>AVERAGE('26.09 Kasangati-Gayaza-24h'!F81,'28.09 Kasangati-Gayaza-24h'!F81)</f>
        <v>3.5</v>
      </c>
      <c r="G81" s="49">
        <f>AVERAGE('26.09 Kasangati-Gayaza-24h'!G81,'28.09 Kasangati-Gayaza-24h'!G81)</f>
        <v>0.5</v>
      </c>
      <c r="H81" s="49">
        <f>AVERAGE('26.09 Kasangati-Gayaza-24h'!H81,'28.09 Kasangati-Gayaza-24h'!H81)</f>
        <v>0</v>
      </c>
      <c r="I81" s="49">
        <f>AVERAGE('26.09 Kasangati-Gayaza-24h'!I81,'28.09 Kasangati-Gayaza-24h'!I81)</f>
        <v>3</v>
      </c>
      <c r="J81" s="49">
        <f>AVERAGE('26.09 Kasangati-Gayaza-24h'!J81,'28.09 Kasangati-Gayaza-24h'!J81)</f>
        <v>1</v>
      </c>
      <c r="K81" s="49">
        <f>AVERAGE('26.09 Kasangati-Gayaza-24h'!K81,'28.09 Kasangati-Gayaza-24h'!K81)</f>
        <v>0</v>
      </c>
      <c r="L81" s="49">
        <f>AVERAGE('26.09 Kasangati-Gayaza-24h'!L81,'28.09 Kasangati-Gayaza-24h'!L81)</f>
        <v>0</v>
      </c>
      <c r="M81" s="49">
        <f>AVERAGE('26.09 Kasangati-Gayaza-24h'!M81,'28.09 Kasangati-Gayaza-24h'!M81)</f>
        <v>19</v>
      </c>
      <c r="N81" s="49">
        <f>AVERAGE('26.09 Kasangati-Gayaza-24h'!N81,'28.09 Kasangati-Gayaza-24h'!N81)</f>
        <v>0</v>
      </c>
      <c r="O81" s="15">
        <f t="shared" si="35"/>
        <v>27.5</v>
      </c>
      <c r="P81" s="15">
        <f t="shared" si="36"/>
        <v>46.5</v>
      </c>
      <c r="R81" s="8"/>
      <c r="T81"/>
    </row>
    <row r="82" spans="2:20" ht="23.1" customHeight="1" x14ac:dyDescent="0.25">
      <c r="B82" s="24" t="s">
        <v>122</v>
      </c>
      <c r="C82" s="49">
        <f>AVERAGE('26.09 Kasangati-Gayaza-24h'!C82,'28.09 Kasangati-Gayaza-24h'!C82)</f>
        <v>13.5</v>
      </c>
      <c r="D82" s="49">
        <f>AVERAGE('26.09 Kasangati-Gayaza-24h'!D82,'28.09 Kasangati-Gayaza-24h'!D82)</f>
        <v>4</v>
      </c>
      <c r="E82" s="49">
        <f>AVERAGE('26.09 Kasangati-Gayaza-24h'!E82,'28.09 Kasangati-Gayaza-24h'!E82)</f>
        <v>2</v>
      </c>
      <c r="F82" s="49">
        <f>AVERAGE('26.09 Kasangati-Gayaza-24h'!F82,'28.09 Kasangati-Gayaza-24h'!F82)</f>
        <v>4.5</v>
      </c>
      <c r="G82" s="49">
        <f>AVERAGE('26.09 Kasangati-Gayaza-24h'!G82,'28.09 Kasangati-Gayaza-24h'!G82)</f>
        <v>0</v>
      </c>
      <c r="H82" s="49">
        <f>AVERAGE('26.09 Kasangati-Gayaza-24h'!H82,'28.09 Kasangati-Gayaza-24h'!H82)</f>
        <v>0</v>
      </c>
      <c r="I82" s="49">
        <f>AVERAGE('26.09 Kasangati-Gayaza-24h'!I82,'28.09 Kasangati-Gayaza-24h'!I82)</f>
        <v>1.5</v>
      </c>
      <c r="J82" s="49">
        <f>AVERAGE('26.09 Kasangati-Gayaza-24h'!J82,'28.09 Kasangati-Gayaza-24h'!J82)</f>
        <v>1</v>
      </c>
      <c r="K82" s="49">
        <f>AVERAGE('26.09 Kasangati-Gayaza-24h'!K82,'28.09 Kasangati-Gayaza-24h'!K82)</f>
        <v>0</v>
      </c>
      <c r="L82" s="49">
        <f>AVERAGE('26.09 Kasangati-Gayaza-24h'!L82,'28.09 Kasangati-Gayaza-24h'!L82)</f>
        <v>1</v>
      </c>
      <c r="M82" s="49">
        <f>AVERAGE('26.09 Kasangati-Gayaza-24h'!M82,'28.09 Kasangati-Gayaza-24h'!M82)</f>
        <v>33.5</v>
      </c>
      <c r="N82" s="49">
        <f>AVERAGE('26.09 Kasangati-Gayaza-24h'!N82,'28.09 Kasangati-Gayaza-24h'!N82)</f>
        <v>0</v>
      </c>
      <c r="O82" s="15">
        <f t="shared" si="35"/>
        <v>27.5</v>
      </c>
      <c r="P82" s="15">
        <f t="shared" si="36"/>
        <v>61</v>
      </c>
      <c r="R82" s="8"/>
      <c r="T82"/>
    </row>
    <row r="83" spans="2:20" ht="23.1" customHeight="1" x14ac:dyDescent="0.25">
      <c r="B83" s="23" t="s">
        <v>123</v>
      </c>
      <c r="C83" s="49">
        <f>AVERAGE('26.09 Kasangati-Gayaza-24h'!C83,'28.09 Kasangati-Gayaza-24h'!C83)</f>
        <v>8.5</v>
      </c>
      <c r="D83" s="49">
        <f>AVERAGE('26.09 Kasangati-Gayaza-24h'!D83,'28.09 Kasangati-Gayaza-24h'!D83)</f>
        <v>0</v>
      </c>
      <c r="E83" s="49">
        <f>AVERAGE('26.09 Kasangati-Gayaza-24h'!E83,'28.09 Kasangati-Gayaza-24h'!E83)</f>
        <v>1</v>
      </c>
      <c r="F83" s="49">
        <f>AVERAGE('26.09 Kasangati-Gayaza-24h'!F83,'28.09 Kasangati-Gayaza-24h'!F83)</f>
        <v>1</v>
      </c>
      <c r="G83" s="49">
        <f>AVERAGE('26.09 Kasangati-Gayaza-24h'!G83,'28.09 Kasangati-Gayaza-24h'!G83)</f>
        <v>0</v>
      </c>
      <c r="H83" s="49">
        <f>AVERAGE('26.09 Kasangati-Gayaza-24h'!H83,'28.09 Kasangati-Gayaza-24h'!H83)</f>
        <v>1</v>
      </c>
      <c r="I83" s="49">
        <f>AVERAGE('26.09 Kasangati-Gayaza-24h'!I83,'28.09 Kasangati-Gayaza-24h'!I83)</f>
        <v>3.5</v>
      </c>
      <c r="J83" s="49">
        <f>AVERAGE('26.09 Kasangati-Gayaza-24h'!J83,'28.09 Kasangati-Gayaza-24h'!J83)</f>
        <v>1</v>
      </c>
      <c r="K83" s="49">
        <f>AVERAGE('26.09 Kasangati-Gayaza-24h'!K83,'28.09 Kasangati-Gayaza-24h'!K83)</f>
        <v>0</v>
      </c>
      <c r="L83" s="49">
        <f>AVERAGE('26.09 Kasangati-Gayaza-24h'!L83,'28.09 Kasangati-Gayaza-24h'!L83)</f>
        <v>0.5</v>
      </c>
      <c r="M83" s="49">
        <f>AVERAGE('26.09 Kasangati-Gayaza-24h'!M83,'28.09 Kasangati-Gayaza-24h'!M83)</f>
        <v>21.5</v>
      </c>
      <c r="N83" s="49">
        <f>AVERAGE('26.09 Kasangati-Gayaza-24h'!N83,'28.09 Kasangati-Gayaza-24h'!N83)</f>
        <v>0</v>
      </c>
      <c r="O83" s="15">
        <f t="shared" si="35"/>
        <v>16.5</v>
      </c>
      <c r="P83" s="15">
        <f t="shared" si="36"/>
        <v>38</v>
      </c>
      <c r="R83" s="8"/>
      <c r="T83"/>
    </row>
    <row r="84" spans="2:20" ht="23.1" customHeight="1" x14ac:dyDescent="0.25">
      <c r="B84" s="25" t="s">
        <v>124</v>
      </c>
      <c r="C84" s="49">
        <f>AVERAGE('26.09 Kasangati-Gayaza-24h'!C84,'28.09 Kasangati-Gayaza-24h'!C84)</f>
        <v>6.5</v>
      </c>
      <c r="D84" s="49">
        <f>AVERAGE('26.09 Kasangati-Gayaza-24h'!D84,'28.09 Kasangati-Gayaza-24h'!D84)</f>
        <v>2.5</v>
      </c>
      <c r="E84" s="49">
        <f>AVERAGE('26.09 Kasangati-Gayaza-24h'!E84,'28.09 Kasangati-Gayaza-24h'!E84)</f>
        <v>1</v>
      </c>
      <c r="F84" s="49">
        <f>AVERAGE('26.09 Kasangati-Gayaza-24h'!F84,'28.09 Kasangati-Gayaza-24h'!F84)</f>
        <v>3</v>
      </c>
      <c r="G84" s="49">
        <f>AVERAGE('26.09 Kasangati-Gayaza-24h'!G84,'28.09 Kasangati-Gayaza-24h'!G84)</f>
        <v>0</v>
      </c>
      <c r="H84" s="49">
        <f>AVERAGE('26.09 Kasangati-Gayaza-24h'!H84,'28.09 Kasangati-Gayaza-24h'!H84)</f>
        <v>0</v>
      </c>
      <c r="I84" s="49">
        <f>AVERAGE('26.09 Kasangati-Gayaza-24h'!I84,'28.09 Kasangati-Gayaza-24h'!I84)</f>
        <v>3</v>
      </c>
      <c r="J84" s="49">
        <f>AVERAGE('26.09 Kasangati-Gayaza-24h'!J84,'28.09 Kasangati-Gayaza-24h'!J84)</f>
        <v>1</v>
      </c>
      <c r="K84" s="49">
        <f>AVERAGE('26.09 Kasangati-Gayaza-24h'!K84,'28.09 Kasangati-Gayaza-24h'!K84)</f>
        <v>0</v>
      </c>
      <c r="L84" s="49">
        <f>AVERAGE('26.09 Kasangati-Gayaza-24h'!L84,'28.09 Kasangati-Gayaza-24h'!L84)</f>
        <v>1</v>
      </c>
      <c r="M84" s="49">
        <f>AVERAGE('26.09 Kasangati-Gayaza-24h'!M84,'28.09 Kasangati-Gayaza-24h'!M84)</f>
        <v>20.5</v>
      </c>
      <c r="N84" s="49">
        <f>AVERAGE('26.09 Kasangati-Gayaza-24h'!N84,'28.09 Kasangati-Gayaza-24h'!N84)</f>
        <v>0</v>
      </c>
      <c r="O84" s="15">
        <f t="shared" si="35"/>
        <v>18</v>
      </c>
      <c r="P84" s="15">
        <f t="shared" si="36"/>
        <v>38.5</v>
      </c>
      <c r="R84" s="8"/>
      <c r="T84"/>
    </row>
    <row r="85" spans="2:20" ht="23.1" customHeight="1" x14ac:dyDescent="0.25">
      <c r="B85" s="23" t="s">
        <v>125</v>
      </c>
      <c r="C85" s="49">
        <f>AVERAGE('26.09 Kasangati-Gayaza-24h'!C85,'28.09 Kasangati-Gayaza-24h'!C85)</f>
        <v>3.5</v>
      </c>
      <c r="D85" s="49">
        <f>AVERAGE('26.09 Kasangati-Gayaza-24h'!D85,'28.09 Kasangati-Gayaza-24h'!D85)</f>
        <v>1</v>
      </c>
      <c r="E85" s="49">
        <f>AVERAGE('26.09 Kasangati-Gayaza-24h'!E85,'28.09 Kasangati-Gayaza-24h'!E85)</f>
        <v>0</v>
      </c>
      <c r="F85" s="49">
        <f>AVERAGE('26.09 Kasangati-Gayaza-24h'!F85,'28.09 Kasangati-Gayaza-24h'!F85)</f>
        <v>1</v>
      </c>
      <c r="G85" s="49">
        <f>AVERAGE('26.09 Kasangati-Gayaza-24h'!G85,'28.09 Kasangati-Gayaza-24h'!G85)</f>
        <v>0</v>
      </c>
      <c r="H85" s="49">
        <f>AVERAGE('26.09 Kasangati-Gayaza-24h'!H85,'28.09 Kasangati-Gayaza-24h'!H85)</f>
        <v>0</v>
      </c>
      <c r="I85" s="49">
        <f>AVERAGE('26.09 Kasangati-Gayaza-24h'!I85,'28.09 Kasangati-Gayaza-24h'!I85)</f>
        <v>3.5</v>
      </c>
      <c r="J85" s="49">
        <f>AVERAGE('26.09 Kasangati-Gayaza-24h'!J85,'28.09 Kasangati-Gayaza-24h'!J85)</f>
        <v>0.5</v>
      </c>
      <c r="K85" s="49">
        <f>AVERAGE('26.09 Kasangati-Gayaza-24h'!K85,'28.09 Kasangati-Gayaza-24h'!K85)</f>
        <v>0</v>
      </c>
      <c r="L85" s="49">
        <f>AVERAGE('26.09 Kasangati-Gayaza-24h'!L85,'28.09 Kasangati-Gayaza-24h'!L85)</f>
        <v>1.5</v>
      </c>
      <c r="M85" s="49">
        <f>AVERAGE('26.09 Kasangati-Gayaza-24h'!M85,'28.09 Kasangati-Gayaza-24h'!M85)</f>
        <v>21</v>
      </c>
      <c r="N85" s="49">
        <f>AVERAGE('26.09 Kasangati-Gayaza-24h'!N85,'28.09 Kasangati-Gayaza-24h'!N85)</f>
        <v>0</v>
      </c>
      <c r="O85" s="15">
        <f t="shared" si="35"/>
        <v>11</v>
      </c>
      <c r="P85" s="15">
        <f t="shared" si="36"/>
        <v>32</v>
      </c>
      <c r="R85" s="8"/>
      <c r="T85"/>
    </row>
    <row r="86" spans="2:20" ht="23.1" customHeight="1" x14ac:dyDescent="0.25">
      <c r="B86" s="24" t="s">
        <v>126</v>
      </c>
      <c r="C86" s="49">
        <f>AVERAGE('26.09 Kasangati-Gayaza-24h'!C86,'28.09 Kasangati-Gayaza-24h'!C86)</f>
        <v>7</v>
      </c>
      <c r="D86" s="49">
        <f>AVERAGE('26.09 Kasangati-Gayaza-24h'!D86,'28.09 Kasangati-Gayaza-24h'!D86)</f>
        <v>0.5</v>
      </c>
      <c r="E86" s="49">
        <f>AVERAGE('26.09 Kasangati-Gayaza-24h'!E86,'28.09 Kasangati-Gayaza-24h'!E86)</f>
        <v>0.5</v>
      </c>
      <c r="F86" s="49">
        <f>AVERAGE('26.09 Kasangati-Gayaza-24h'!F86,'28.09 Kasangati-Gayaza-24h'!F86)</f>
        <v>1.5</v>
      </c>
      <c r="G86" s="49">
        <f>AVERAGE('26.09 Kasangati-Gayaza-24h'!G86,'28.09 Kasangati-Gayaza-24h'!G86)</f>
        <v>0</v>
      </c>
      <c r="H86" s="49">
        <f>AVERAGE('26.09 Kasangati-Gayaza-24h'!H86,'28.09 Kasangati-Gayaza-24h'!H86)</f>
        <v>0</v>
      </c>
      <c r="I86" s="49">
        <f>AVERAGE('26.09 Kasangati-Gayaza-24h'!I86,'28.09 Kasangati-Gayaza-24h'!I86)</f>
        <v>1</v>
      </c>
      <c r="J86" s="49">
        <f>AVERAGE('26.09 Kasangati-Gayaza-24h'!J86,'28.09 Kasangati-Gayaza-24h'!J86)</f>
        <v>0</v>
      </c>
      <c r="K86" s="49">
        <f>AVERAGE('26.09 Kasangati-Gayaza-24h'!K86,'28.09 Kasangati-Gayaza-24h'!K86)</f>
        <v>0.5</v>
      </c>
      <c r="L86" s="49">
        <f>AVERAGE('26.09 Kasangati-Gayaza-24h'!L86,'28.09 Kasangati-Gayaza-24h'!L86)</f>
        <v>0.5</v>
      </c>
      <c r="M86" s="49">
        <f>AVERAGE('26.09 Kasangati-Gayaza-24h'!M86,'28.09 Kasangati-Gayaza-24h'!M86)</f>
        <v>19</v>
      </c>
      <c r="N86" s="49">
        <f>AVERAGE('26.09 Kasangati-Gayaza-24h'!N86,'28.09 Kasangati-Gayaza-24h'!N86)</f>
        <v>0</v>
      </c>
      <c r="O86" s="15">
        <f t="shared" si="35"/>
        <v>11.5</v>
      </c>
      <c r="P86" s="15">
        <f t="shared" si="36"/>
        <v>30.5</v>
      </c>
      <c r="R86" s="8"/>
      <c r="T86"/>
    </row>
    <row r="87" spans="2:20" ht="23.1" customHeight="1" x14ac:dyDescent="0.25">
      <c r="B87" s="23" t="s">
        <v>127</v>
      </c>
      <c r="C87" s="49">
        <f>AVERAGE('26.09 Kasangati-Gayaza-24h'!C87,'28.09 Kasangati-Gayaza-24h'!C87)</f>
        <v>4</v>
      </c>
      <c r="D87" s="49">
        <f>AVERAGE('26.09 Kasangati-Gayaza-24h'!D87,'28.09 Kasangati-Gayaza-24h'!D87)</f>
        <v>1</v>
      </c>
      <c r="E87" s="49">
        <f>AVERAGE('26.09 Kasangati-Gayaza-24h'!E87,'28.09 Kasangati-Gayaza-24h'!E87)</f>
        <v>0.5</v>
      </c>
      <c r="F87" s="49">
        <f>AVERAGE('26.09 Kasangati-Gayaza-24h'!F87,'28.09 Kasangati-Gayaza-24h'!F87)</f>
        <v>1.5</v>
      </c>
      <c r="G87" s="49">
        <f>AVERAGE('26.09 Kasangati-Gayaza-24h'!G87,'28.09 Kasangati-Gayaza-24h'!G87)</f>
        <v>0</v>
      </c>
      <c r="H87" s="49">
        <f>AVERAGE('26.09 Kasangati-Gayaza-24h'!H87,'28.09 Kasangati-Gayaza-24h'!H87)</f>
        <v>0</v>
      </c>
      <c r="I87" s="49">
        <f>AVERAGE('26.09 Kasangati-Gayaza-24h'!I87,'28.09 Kasangati-Gayaza-24h'!I87)</f>
        <v>2</v>
      </c>
      <c r="J87" s="49">
        <f>AVERAGE('26.09 Kasangati-Gayaza-24h'!J87,'28.09 Kasangati-Gayaza-24h'!J87)</f>
        <v>0.5</v>
      </c>
      <c r="K87" s="49">
        <f>AVERAGE('26.09 Kasangati-Gayaza-24h'!K87,'28.09 Kasangati-Gayaza-24h'!K87)</f>
        <v>0</v>
      </c>
      <c r="L87" s="49">
        <f>AVERAGE('26.09 Kasangati-Gayaza-24h'!L87,'28.09 Kasangati-Gayaza-24h'!L87)</f>
        <v>0</v>
      </c>
      <c r="M87" s="49">
        <f>AVERAGE('26.09 Kasangati-Gayaza-24h'!M87,'28.09 Kasangati-Gayaza-24h'!M87)</f>
        <v>11</v>
      </c>
      <c r="N87" s="49">
        <f>AVERAGE('26.09 Kasangati-Gayaza-24h'!N87,'28.09 Kasangati-Gayaza-24h'!N87)</f>
        <v>0</v>
      </c>
      <c r="O87" s="15">
        <f t="shared" si="35"/>
        <v>9.5</v>
      </c>
      <c r="P87" s="15">
        <f t="shared" si="36"/>
        <v>20.5</v>
      </c>
      <c r="R87" s="8"/>
      <c r="T87"/>
    </row>
    <row r="88" spans="2:20" ht="23.1" customHeight="1" x14ac:dyDescent="0.25">
      <c r="B88" s="25" t="s">
        <v>128</v>
      </c>
      <c r="C88" s="49">
        <f>AVERAGE('26.09 Kasangati-Gayaza-24h'!C88,'28.09 Kasangati-Gayaza-24h'!C88)</f>
        <v>2.5</v>
      </c>
      <c r="D88" s="49">
        <f>AVERAGE('26.09 Kasangati-Gayaza-24h'!D88,'28.09 Kasangati-Gayaza-24h'!D88)</f>
        <v>0</v>
      </c>
      <c r="E88" s="49">
        <f>AVERAGE('26.09 Kasangati-Gayaza-24h'!E88,'28.09 Kasangati-Gayaza-24h'!E88)</f>
        <v>0</v>
      </c>
      <c r="F88" s="49">
        <f>AVERAGE('26.09 Kasangati-Gayaza-24h'!F88,'28.09 Kasangati-Gayaza-24h'!F88)</f>
        <v>1</v>
      </c>
      <c r="G88" s="49">
        <f>AVERAGE('26.09 Kasangati-Gayaza-24h'!G88,'28.09 Kasangati-Gayaza-24h'!G88)</f>
        <v>0</v>
      </c>
      <c r="H88" s="49">
        <f>AVERAGE('26.09 Kasangati-Gayaza-24h'!H88,'28.09 Kasangati-Gayaza-24h'!H88)</f>
        <v>0</v>
      </c>
      <c r="I88" s="49">
        <f>AVERAGE('26.09 Kasangati-Gayaza-24h'!I88,'28.09 Kasangati-Gayaza-24h'!I88)</f>
        <v>1</v>
      </c>
      <c r="J88" s="49">
        <f>AVERAGE('26.09 Kasangati-Gayaza-24h'!J88,'28.09 Kasangati-Gayaza-24h'!J88)</f>
        <v>0</v>
      </c>
      <c r="K88" s="49">
        <f>AVERAGE('26.09 Kasangati-Gayaza-24h'!K88,'28.09 Kasangati-Gayaza-24h'!K88)</f>
        <v>0</v>
      </c>
      <c r="L88" s="49">
        <f>AVERAGE('26.09 Kasangati-Gayaza-24h'!L88,'28.09 Kasangati-Gayaza-24h'!L88)</f>
        <v>0</v>
      </c>
      <c r="M88" s="49">
        <f>AVERAGE('26.09 Kasangati-Gayaza-24h'!M88,'28.09 Kasangati-Gayaza-24h'!M88)</f>
        <v>8</v>
      </c>
      <c r="N88" s="49">
        <f>AVERAGE('26.09 Kasangati-Gayaza-24h'!N88,'28.09 Kasangati-Gayaza-24h'!N88)</f>
        <v>0</v>
      </c>
      <c r="O88" s="15">
        <f t="shared" si="35"/>
        <v>4.5</v>
      </c>
      <c r="P88" s="15">
        <f t="shared" si="36"/>
        <v>12.5</v>
      </c>
      <c r="R88" s="8"/>
      <c r="T88"/>
    </row>
    <row r="89" spans="2:20" ht="23.1" customHeight="1" x14ac:dyDescent="0.25">
      <c r="B89" s="23" t="s">
        <v>129</v>
      </c>
      <c r="C89" s="49">
        <f>AVERAGE('26.09 Kasangati-Gayaza-24h'!C89,'28.09 Kasangati-Gayaza-24h'!C89)</f>
        <v>6</v>
      </c>
      <c r="D89" s="49">
        <f>AVERAGE('26.09 Kasangati-Gayaza-24h'!D89,'28.09 Kasangati-Gayaza-24h'!D89)</f>
        <v>0.5</v>
      </c>
      <c r="E89" s="49">
        <f>AVERAGE('26.09 Kasangati-Gayaza-24h'!E89,'28.09 Kasangati-Gayaza-24h'!E89)</f>
        <v>0.5</v>
      </c>
      <c r="F89" s="49">
        <f>AVERAGE('26.09 Kasangati-Gayaza-24h'!F89,'28.09 Kasangati-Gayaza-24h'!F89)</f>
        <v>1.5</v>
      </c>
      <c r="G89" s="49">
        <f>AVERAGE('26.09 Kasangati-Gayaza-24h'!G89,'28.09 Kasangati-Gayaza-24h'!G89)</f>
        <v>0</v>
      </c>
      <c r="H89" s="49">
        <f>AVERAGE('26.09 Kasangati-Gayaza-24h'!H89,'28.09 Kasangati-Gayaza-24h'!H89)</f>
        <v>0</v>
      </c>
      <c r="I89" s="49">
        <f>AVERAGE('26.09 Kasangati-Gayaza-24h'!I89,'28.09 Kasangati-Gayaza-24h'!I89)</f>
        <v>1</v>
      </c>
      <c r="J89" s="49">
        <f>AVERAGE('26.09 Kasangati-Gayaza-24h'!J89,'28.09 Kasangati-Gayaza-24h'!J89)</f>
        <v>0</v>
      </c>
      <c r="K89" s="49">
        <f>AVERAGE('26.09 Kasangati-Gayaza-24h'!K89,'28.09 Kasangati-Gayaza-24h'!K89)</f>
        <v>0</v>
      </c>
      <c r="L89" s="49">
        <f>AVERAGE('26.09 Kasangati-Gayaza-24h'!L89,'28.09 Kasangati-Gayaza-24h'!L89)</f>
        <v>0</v>
      </c>
      <c r="M89" s="49">
        <f>AVERAGE('26.09 Kasangati-Gayaza-24h'!M89,'28.09 Kasangati-Gayaza-24h'!M89)</f>
        <v>7</v>
      </c>
      <c r="N89" s="49">
        <f>AVERAGE('26.09 Kasangati-Gayaza-24h'!N89,'28.09 Kasangati-Gayaza-24h'!N89)</f>
        <v>0</v>
      </c>
      <c r="O89" s="15">
        <f t="shared" si="35"/>
        <v>9.5</v>
      </c>
      <c r="P89" s="15">
        <f t="shared" si="36"/>
        <v>16.5</v>
      </c>
      <c r="R89" s="8"/>
      <c r="T89"/>
    </row>
    <row r="90" spans="2:20" ht="23.1" customHeight="1" x14ac:dyDescent="0.25">
      <c r="B90" s="24" t="s">
        <v>130</v>
      </c>
      <c r="C90" s="49">
        <f>AVERAGE('26.09 Kasangati-Gayaza-24h'!C90,'28.09 Kasangati-Gayaza-24h'!C90)</f>
        <v>3</v>
      </c>
      <c r="D90" s="49">
        <f>AVERAGE('26.09 Kasangati-Gayaza-24h'!D90,'28.09 Kasangati-Gayaza-24h'!D90)</f>
        <v>0.5</v>
      </c>
      <c r="E90" s="49">
        <f>AVERAGE('26.09 Kasangati-Gayaza-24h'!E90,'28.09 Kasangati-Gayaza-24h'!E90)</f>
        <v>0.5</v>
      </c>
      <c r="F90" s="49">
        <f>AVERAGE('26.09 Kasangati-Gayaza-24h'!F90,'28.09 Kasangati-Gayaza-24h'!F90)</f>
        <v>2</v>
      </c>
      <c r="G90" s="49">
        <f>AVERAGE('26.09 Kasangati-Gayaza-24h'!G90,'28.09 Kasangati-Gayaza-24h'!G90)</f>
        <v>0</v>
      </c>
      <c r="H90" s="49">
        <f>AVERAGE('26.09 Kasangati-Gayaza-24h'!H90,'28.09 Kasangati-Gayaza-24h'!H90)</f>
        <v>0</v>
      </c>
      <c r="I90" s="49">
        <f>AVERAGE('26.09 Kasangati-Gayaza-24h'!I90,'28.09 Kasangati-Gayaza-24h'!I90)</f>
        <v>0.5</v>
      </c>
      <c r="J90" s="49">
        <f>AVERAGE('26.09 Kasangati-Gayaza-24h'!J90,'28.09 Kasangati-Gayaza-24h'!J90)</f>
        <v>0</v>
      </c>
      <c r="K90" s="49">
        <f>AVERAGE('26.09 Kasangati-Gayaza-24h'!K90,'28.09 Kasangati-Gayaza-24h'!K90)</f>
        <v>0</v>
      </c>
      <c r="L90" s="49">
        <f>AVERAGE('26.09 Kasangati-Gayaza-24h'!L90,'28.09 Kasangati-Gayaza-24h'!L90)</f>
        <v>1</v>
      </c>
      <c r="M90" s="49">
        <f>AVERAGE('26.09 Kasangati-Gayaza-24h'!M90,'28.09 Kasangati-Gayaza-24h'!M90)</f>
        <v>11</v>
      </c>
      <c r="N90" s="49">
        <f>AVERAGE('26.09 Kasangati-Gayaza-24h'!N90,'28.09 Kasangati-Gayaza-24h'!N90)</f>
        <v>0</v>
      </c>
      <c r="O90" s="15">
        <f t="shared" si="35"/>
        <v>7.5</v>
      </c>
      <c r="P90" s="15">
        <f t="shared" si="36"/>
        <v>18.5</v>
      </c>
      <c r="R90" s="8"/>
      <c r="T90"/>
    </row>
    <row r="91" spans="2:20" ht="23.1" customHeight="1" x14ac:dyDescent="0.25">
      <c r="B91" s="23" t="s">
        <v>131</v>
      </c>
      <c r="C91" s="49">
        <f>AVERAGE('26.09 Kasangati-Gayaza-24h'!C91,'28.09 Kasangati-Gayaza-24h'!C91)</f>
        <v>2</v>
      </c>
      <c r="D91" s="49">
        <f>AVERAGE('26.09 Kasangati-Gayaza-24h'!D91,'28.09 Kasangati-Gayaza-24h'!D91)</f>
        <v>0</v>
      </c>
      <c r="E91" s="49">
        <f>AVERAGE('26.09 Kasangati-Gayaza-24h'!E91,'28.09 Kasangati-Gayaza-24h'!E91)</f>
        <v>0</v>
      </c>
      <c r="F91" s="49">
        <f>AVERAGE('26.09 Kasangati-Gayaza-24h'!F91,'28.09 Kasangati-Gayaza-24h'!F91)</f>
        <v>0.5</v>
      </c>
      <c r="G91" s="49">
        <f>AVERAGE('26.09 Kasangati-Gayaza-24h'!G91,'28.09 Kasangati-Gayaza-24h'!G91)</f>
        <v>0</v>
      </c>
      <c r="H91" s="49">
        <f>AVERAGE('26.09 Kasangati-Gayaza-24h'!H91,'28.09 Kasangati-Gayaza-24h'!H91)</f>
        <v>0</v>
      </c>
      <c r="I91" s="49">
        <f>AVERAGE('26.09 Kasangati-Gayaza-24h'!I91,'28.09 Kasangati-Gayaza-24h'!I91)</f>
        <v>2</v>
      </c>
      <c r="J91" s="49">
        <f>AVERAGE('26.09 Kasangati-Gayaza-24h'!J91,'28.09 Kasangati-Gayaza-24h'!J91)</f>
        <v>0.5</v>
      </c>
      <c r="K91" s="49">
        <f>AVERAGE('26.09 Kasangati-Gayaza-24h'!K91,'28.09 Kasangati-Gayaza-24h'!K91)</f>
        <v>0</v>
      </c>
      <c r="L91" s="49">
        <f>AVERAGE('26.09 Kasangati-Gayaza-24h'!L91,'28.09 Kasangati-Gayaza-24h'!L91)</f>
        <v>1</v>
      </c>
      <c r="M91" s="49">
        <f>AVERAGE('26.09 Kasangati-Gayaza-24h'!M91,'28.09 Kasangati-Gayaza-24h'!M91)</f>
        <v>6</v>
      </c>
      <c r="N91" s="49">
        <f>AVERAGE('26.09 Kasangati-Gayaza-24h'!N91,'28.09 Kasangati-Gayaza-24h'!N91)</f>
        <v>0</v>
      </c>
      <c r="O91" s="15">
        <f t="shared" si="35"/>
        <v>6</v>
      </c>
      <c r="P91" s="15">
        <f t="shared" si="36"/>
        <v>12</v>
      </c>
      <c r="R91" s="8"/>
      <c r="T91"/>
    </row>
    <row r="92" spans="2:20" ht="23.1" customHeight="1" x14ac:dyDescent="0.25">
      <c r="B92" s="25" t="s">
        <v>132</v>
      </c>
      <c r="C92" s="49">
        <f>AVERAGE('26.09 Kasangati-Gayaza-24h'!C92,'28.09 Kasangati-Gayaza-24h'!C92)</f>
        <v>2</v>
      </c>
      <c r="D92" s="49">
        <f>AVERAGE('26.09 Kasangati-Gayaza-24h'!D92,'28.09 Kasangati-Gayaza-24h'!D92)</f>
        <v>1.5</v>
      </c>
      <c r="E92" s="49">
        <f>AVERAGE('26.09 Kasangati-Gayaza-24h'!E92,'28.09 Kasangati-Gayaza-24h'!E92)</f>
        <v>1</v>
      </c>
      <c r="F92" s="49">
        <f>AVERAGE('26.09 Kasangati-Gayaza-24h'!F92,'28.09 Kasangati-Gayaza-24h'!F92)</f>
        <v>0.5</v>
      </c>
      <c r="G92" s="49">
        <f>AVERAGE('26.09 Kasangati-Gayaza-24h'!G92,'28.09 Kasangati-Gayaza-24h'!G92)</f>
        <v>0</v>
      </c>
      <c r="H92" s="49">
        <f>AVERAGE('26.09 Kasangati-Gayaza-24h'!H92,'28.09 Kasangati-Gayaza-24h'!H92)</f>
        <v>0</v>
      </c>
      <c r="I92" s="49">
        <f>AVERAGE('26.09 Kasangati-Gayaza-24h'!I92,'28.09 Kasangati-Gayaza-24h'!I92)</f>
        <v>1</v>
      </c>
      <c r="J92" s="49">
        <f>AVERAGE('26.09 Kasangati-Gayaza-24h'!J92,'28.09 Kasangati-Gayaza-24h'!J92)</f>
        <v>0.5</v>
      </c>
      <c r="K92" s="49">
        <f>AVERAGE('26.09 Kasangati-Gayaza-24h'!K92,'28.09 Kasangati-Gayaza-24h'!K92)</f>
        <v>0</v>
      </c>
      <c r="L92" s="49">
        <f>AVERAGE('26.09 Kasangati-Gayaza-24h'!L92,'28.09 Kasangati-Gayaza-24h'!L92)</f>
        <v>0</v>
      </c>
      <c r="M92" s="49">
        <f>AVERAGE('26.09 Kasangati-Gayaza-24h'!M92,'28.09 Kasangati-Gayaza-24h'!M92)</f>
        <v>5.5</v>
      </c>
      <c r="N92" s="49">
        <f>AVERAGE('26.09 Kasangati-Gayaza-24h'!N92,'28.09 Kasangati-Gayaza-24h'!N92)</f>
        <v>0</v>
      </c>
      <c r="O92" s="15">
        <f t="shared" si="35"/>
        <v>6.5</v>
      </c>
      <c r="P92" s="15">
        <f t="shared" si="36"/>
        <v>12</v>
      </c>
      <c r="R92" s="8"/>
      <c r="T92"/>
    </row>
    <row r="93" spans="2:20" ht="23.1" customHeight="1" x14ac:dyDescent="0.25">
      <c r="B93" s="23" t="s">
        <v>133</v>
      </c>
      <c r="C93" s="49">
        <f>AVERAGE('26.09 Kasangati-Gayaza-24h'!C93,'28.09 Kasangati-Gayaza-24h'!C93)</f>
        <v>5</v>
      </c>
      <c r="D93" s="49">
        <f>AVERAGE('26.09 Kasangati-Gayaza-24h'!D93,'28.09 Kasangati-Gayaza-24h'!D93)</f>
        <v>1</v>
      </c>
      <c r="E93" s="49">
        <f>AVERAGE('26.09 Kasangati-Gayaza-24h'!E93,'28.09 Kasangati-Gayaza-24h'!E93)</f>
        <v>1</v>
      </c>
      <c r="F93" s="49">
        <f>AVERAGE('26.09 Kasangati-Gayaza-24h'!F93,'28.09 Kasangati-Gayaza-24h'!F93)</f>
        <v>1.5</v>
      </c>
      <c r="G93" s="49">
        <f>AVERAGE('26.09 Kasangati-Gayaza-24h'!G93,'28.09 Kasangati-Gayaza-24h'!G93)</f>
        <v>0.5</v>
      </c>
      <c r="H93" s="49">
        <f>AVERAGE('26.09 Kasangati-Gayaza-24h'!H93,'28.09 Kasangati-Gayaza-24h'!H93)</f>
        <v>0</v>
      </c>
      <c r="I93" s="49">
        <f>AVERAGE('26.09 Kasangati-Gayaza-24h'!I93,'28.09 Kasangati-Gayaza-24h'!I93)</f>
        <v>1</v>
      </c>
      <c r="J93" s="49">
        <f>AVERAGE('26.09 Kasangati-Gayaza-24h'!J93,'28.09 Kasangati-Gayaza-24h'!J93)</f>
        <v>1</v>
      </c>
      <c r="K93" s="49">
        <f>AVERAGE('26.09 Kasangati-Gayaza-24h'!K93,'28.09 Kasangati-Gayaza-24h'!K93)</f>
        <v>0</v>
      </c>
      <c r="L93" s="49">
        <f>AVERAGE('26.09 Kasangati-Gayaza-24h'!L93,'28.09 Kasangati-Gayaza-24h'!L93)</f>
        <v>0</v>
      </c>
      <c r="M93" s="49">
        <f>AVERAGE('26.09 Kasangati-Gayaza-24h'!M93,'28.09 Kasangati-Gayaza-24h'!M93)</f>
        <v>8.5</v>
      </c>
      <c r="N93" s="49">
        <f>AVERAGE('26.09 Kasangati-Gayaza-24h'!N93,'28.09 Kasangati-Gayaza-24h'!N93)</f>
        <v>0</v>
      </c>
      <c r="O93" s="15">
        <f t="shared" si="35"/>
        <v>11</v>
      </c>
      <c r="P93" s="15">
        <f t="shared" si="36"/>
        <v>19.5</v>
      </c>
      <c r="R93" s="8"/>
      <c r="T93"/>
    </row>
    <row r="94" spans="2:20" ht="23.1" customHeight="1" x14ac:dyDescent="0.25">
      <c r="B94" s="24" t="s">
        <v>134</v>
      </c>
      <c r="C94" s="49">
        <f>AVERAGE('26.09 Kasangati-Gayaza-24h'!C94,'28.09 Kasangati-Gayaza-24h'!C94)</f>
        <v>3</v>
      </c>
      <c r="D94" s="49">
        <f>AVERAGE('26.09 Kasangati-Gayaza-24h'!D94,'28.09 Kasangati-Gayaza-24h'!D94)</f>
        <v>0.5</v>
      </c>
      <c r="E94" s="49">
        <f>AVERAGE('26.09 Kasangati-Gayaza-24h'!E94,'28.09 Kasangati-Gayaza-24h'!E94)</f>
        <v>0.5</v>
      </c>
      <c r="F94" s="49">
        <f>AVERAGE('26.09 Kasangati-Gayaza-24h'!F94,'28.09 Kasangati-Gayaza-24h'!F94)</f>
        <v>1.5</v>
      </c>
      <c r="G94" s="49">
        <f>AVERAGE('26.09 Kasangati-Gayaza-24h'!G94,'28.09 Kasangati-Gayaza-24h'!G94)</f>
        <v>0</v>
      </c>
      <c r="H94" s="49">
        <f>AVERAGE('26.09 Kasangati-Gayaza-24h'!H94,'28.09 Kasangati-Gayaza-24h'!H94)</f>
        <v>0</v>
      </c>
      <c r="I94" s="49">
        <f>AVERAGE('26.09 Kasangati-Gayaza-24h'!I94,'28.09 Kasangati-Gayaza-24h'!I94)</f>
        <v>1.5</v>
      </c>
      <c r="J94" s="49">
        <f>AVERAGE('26.09 Kasangati-Gayaza-24h'!J94,'28.09 Kasangati-Gayaza-24h'!J94)</f>
        <v>0.5</v>
      </c>
      <c r="K94" s="49">
        <f>AVERAGE('26.09 Kasangati-Gayaza-24h'!K94,'28.09 Kasangati-Gayaza-24h'!K94)</f>
        <v>0</v>
      </c>
      <c r="L94" s="49">
        <f>AVERAGE('26.09 Kasangati-Gayaza-24h'!L94,'28.09 Kasangati-Gayaza-24h'!L94)</f>
        <v>0.5</v>
      </c>
      <c r="M94" s="49">
        <f>AVERAGE('26.09 Kasangati-Gayaza-24h'!M94,'28.09 Kasangati-Gayaza-24h'!M94)</f>
        <v>12.5</v>
      </c>
      <c r="N94" s="49">
        <f>AVERAGE('26.09 Kasangati-Gayaza-24h'!N94,'28.09 Kasangati-Gayaza-24h'!N94)</f>
        <v>0</v>
      </c>
      <c r="O94" s="15">
        <f t="shared" si="35"/>
        <v>8</v>
      </c>
      <c r="P94" s="15">
        <f t="shared" si="36"/>
        <v>20.5</v>
      </c>
      <c r="R94" s="8"/>
      <c r="T94"/>
    </row>
    <row r="95" spans="2:20" ht="23.1" customHeight="1" x14ac:dyDescent="0.25">
      <c r="B95" s="23" t="s">
        <v>135</v>
      </c>
      <c r="C95" s="49">
        <f>AVERAGE('26.09 Kasangati-Gayaza-24h'!C95,'28.09 Kasangati-Gayaza-24h'!C95)</f>
        <v>1.5</v>
      </c>
      <c r="D95" s="49">
        <f>AVERAGE('26.09 Kasangati-Gayaza-24h'!D95,'28.09 Kasangati-Gayaza-24h'!D95)</f>
        <v>0</v>
      </c>
      <c r="E95" s="49">
        <f>AVERAGE('26.09 Kasangati-Gayaza-24h'!E95,'28.09 Kasangati-Gayaza-24h'!E95)</f>
        <v>0.5</v>
      </c>
      <c r="F95" s="49">
        <f>AVERAGE('26.09 Kasangati-Gayaza-24h'!F95,'28.09 Kasangati-Gayaza-24h'!F95)</f>
        <v>1</v>
      </c>
      <c r="G95" s="49">
        <f>AVERAGE('26.09 Kasangati-Gayaza-24h'!G95,'28.09 Kasangati-Gayaza-24h'!G95)</f>
        <v>0</v>
      </c>
      <c r="H95" s="49">
        <f>AVERAGE('26.09 Kasangati-Gayaza-24h'!H95,'28.09 Kasangati-Gayaza-24h'!H95)</f>
        <v>0</v>
      </c>
      <c r="I95" s="49">
        <f>AVERAGE('26.09 Kasangati-Gayaza-24h'!I95,'28.09 Kasangati-Gayaza-24h'!I95)</f>
        <v>0</v>
      </c>
      <c r="J95" s="49">
        <f>AVERAGE('26.09 Kasangati-Gayaza-24h'!J95,'28.09 Kasangati-Gayaza-24h'!J95)</f>
        <v>1.5</v>
      </c>
      <c r="K95" s="49">
        <f>AVERAGE('26.09 Kasangati-Gayaza-24h'!K95,'28.09 Kasangati-Gayaza-24h'!K95)</f>
        <v>0</v>
      </c>
      <c r="L95" s="49">
        <f>AVERAGE('26.09 Kasangati-Gayaza-24h'!L95,'28.09 Kasangati-Gayaza-24h'!L95)</f>
        <v>0</v>
      </c>
      <c r="M95" s="49">
        <f>AVERAGE('26.09 Kasangati-Gayaza-24h'!M95,'28.09 Kasangati-Gayaza-24h'!M95)</f>
        <v>9</v>
      </c>
      <c r="N95" s="49">
        <f>AVERAGE('26.09 Kasangati-Gayaza-24h'!N95,'28.09 Kasangati-Gayaza-24h'!N95)</f>
        <v>0</v>
      </c>
      <c r="O95" s="15">
        <f t="shared" si="35"/>
        <v>4.5</v>
      </c>
      <c r="P95" s="15">
        <f t="shared" si="36"/>
        <v>13.5</v>
      </c>
      <c r="R95" s="8"/>
      <c r="T95"/>
    </row>
    <row r="96" spans="2:20" ht="23.1" customHeight="1" x14ac:dyDescent="0.25">
      <c r="B96" s="25" t="s">
        <v>136</v>
      </c>
      <c r="C96" s="49">
        <f>AVERAGE('26.09 Kasangati-Gayaza-24h'!C96,'28.09 Kasangati-Gayaza-24h'!C96)</f>
        <v>1.5</v>
      </c>
      <c r="D96" s="49">
        <f>AVERAGE('26.09 Kasangati-Gayaza-24h'!D96,'28.09 Kasangati-Gayaza-24h'!D96)</f>
        <v>1</v>
      </c>
      <c r="E96" s="49">
        <f>AVERAGE('26.09 Kasangati-Gayaza-24h'!E96,'28.09 Kasangati-Gayaza-24h'!E96)</f>
        <v>1</v>
      </c>
      <c r="F96" s="49">
        <f>AVERAGE('26.09 Kasangati-Gayaza-24h'!F96,'28.09 Kasangati-Gayaza-24h'!F96)</f>
        <v>2</v>
      </c>
      <c r="G96" s="49">
        <f>AVERAGE('26.09 Kasangati-Gayaza-24h'!G96,'28.09 Kasangati-Gayaza-24h'!G96)</f>
        <v>0</v>
      </c>
      <c r="H96" s="49">
        <f>AVERAGE('26.09 Kasangati-Gayaza-24h'!H96,'28.09 Kasangati-Gayaza-24h'!H96)</f>
        <v>0</v>
      </c>
      <c r="I96" s="49">
        <f>AVERAGE('26.09 Kasangati-Gayaza-24h'!I96,'28.09 Kasangati-Gayaza-24h'!I96)</f>
        <v>3</v>
      </c>
      <c r="J96" s="49">
        <f>AVERAGE('26.09 Kasangati-Gayaza-24h'!J96,'28.09 Kasangati-Gayaza-24h'!J96)</f>
        <v>0.5</v>
      </c>
      <c r="K96" s="49">
        <f>AVERAGE('26.09 Kasangati-Gayaza-24h'!K96,'28.09 Kasangati-Gayaza-24h'!K96)</f>
        <v>0</v>
      </c>
      <c r="L96" s="49">
        <f>AVERAGE('26.09 Kasangati-Gayaza-24h'!L96,'28.09 Kasangati-Gayaza-24h'!L96)</f>
        <v>0</v>
      </c>
      <c r="M96" s="49">
        <f>AVERAGE('26.09 Kasangati-Gayaza-24h'!M96,'28.09 Kasangati-Gayaza-24h'!M96)</f>
        <v>14</v>
      </c>
      <c r="N96" s="49">
        <f>AVERAGE('26.09 Kasangati-Gayaza-24h'!N96,'28.09 Kasangati-Gayaza-24h'!N96)</f>
        <v>0</v>
      </c>
      <c r="O96" s="15">
        <f t="shared" si="35"/>
        <v>9</v>
      </c>
      <c r="P96" s="15">
        <f t="shared" si="36"/>
        <v>23</v>
      </c>
      <c r="R96" s="8"/>
      <c r="T96"/>
    </row>
    <row r="97" spans="2:20" ht="23.1" customHeight="1" x14ac:dyDescent="0.25">
      <c r="B97" s="23" t="s">
        <v>137</v>
      </c>
      <c r="C97" s="49">
        <f>AVERAGE('26.09 Kasangati-Gayaza-24h'!C97,'28.09 Kasangati-Gayaza-24h'!C97)</f>
        <v>0.5</v>
      </c>
      <c r="D97" s="49">
        <f>AVERAGE('26.09 Kasangati-Gayaza-24h'!D97,'28.09 Kasangati-Gayaza-24h'!D97)</f>
        <v>1.5</v>
      </c>
      <c r="E97" s="49">
        <f>AVERAGE('26.09 Kasangati-Gayaza-24h'!E97,'28.09 Kasangati-Gayaza-24h'!E97)</f>
        <v>0.5</v>
      </c>
      <c r="F97" s="49">
        <f>AVERAGE('26.09 Kasangati-Gayaza-24h'!F97,'28.09 Kasangati-Gayaza-24h'!F97)</f>
        <v>3</v>
      </c>
      <c r="G97" s="49">
        <f>AVERAGE('26.09 Kasangati-Gayaza-24h'!G97,'28.09 Kasangati-Gayaza-24h'!G97)</f>
        <v>0.5</v>
      </c>
      <c r="H97" s="49">
        <f>AVERAGE('26.09 Kasangati-Gayaza-24h'!H97,'28.09 Kasangati-Gayaza-24h'!H97)</f>
        <v>0</v>
      </c>
      <c r="I97" s="49">
        <f>AVERAGE('26.09 Kasangati-Gayaza-24h'!I97,'28.09 Kasangati-Gayaza-24h'!I97)</f>
        <v>0</v>
      </c>
      <c r="J97" s="49">
        <f>AVERAGE('26.09 Kasangati-Gayaza-24h'!J97,'28.09 Kasangati-Gayaza-24h'!J97)</f>
        <v>0.5</v>
      </c>
      <c r="K97" s="49">
        <f>AVERAGE('26.09 Kasangati-Gayaza-24h'!K97,'28.09 Kasangati-Gayaza-24h'!K97)</f>
        <v>0</v>
      </c>
      <c r="L97" s="49">
        <f>AVERAGE('26.09 Kasangati-Gayaza-24h'!L97,'28.09 Kasangati-Gayaza-24h'!L97)</f>
        <v>0</v>
      </c>
      <c r="M97" s="49">
        <f>AVERAGE('26.09 Kasangati-Gayaza-24h'!M97,'28.09 Kasangati-Gayaza-24h'!M97)</f>
        <v>10.5</v>
      </c>
      <c r="N97" s="49">
        <f>AVERAGE('26.09 Kasangati-Gayaza-24h'!N97,'28.09 Kasangati-Gayaza-24h'!N97)</f>
        <v>0</v>
      </c>
      <c r="O97" s="15">
        <f t="shared" si="35"/>
        <v>6.5</v>
      </c>
      <c r="P97" s="15">
        <f t="shared" si="36"/>
        <v>17</v>
      </c>
      <c r="R97" s="8"/>
      <c r="T97"/>
    </row>
    <row r="98" spans="2:20" ht="23.1" customHeight="1" x14ac:dyDescent="0.25">
      <c r="B98" s="24" t="s">
        <v>138</v>
      </c>
      <c r="C98" s="49">
        <f>AVERAGE('26.09 Kasangati-Gayaza-24h'!C98,'28.09 Kasangati-Gayaza-24h'!C98)</f>
        <v>5.5</v>
      </c>
      <c r="D98" s="49">
        <f>AVERAGE('26.09 Kasangati-Gayaza-24h'!D98,'28.09 Kasangati-Gayaza-24h'!D98)</f>
        <v>0.5</v>
      </c>
      <c r="E98" s="49">
        <f>AVERAGE('26.09 Kasangati-Gayaza-24h'!E98,'28.09 Kasangati-Gayaza-24h'!E98)</f>
        <v>2</v>
      </c>
      <c r="F98" s="49">
        <f>AVERAGE('26.09 Kasangati-Gayaza-24h'!F98,'28.09 Kasangati-Gayaza-24h'!F98)</f>
        <v>3.5</v>
      </c>
      <c r="G98" s="49">
        <f>AVERAGE('26.09 Kasangati-Gayaza-24h'!G98,'28.09 Kasangati-Gayaza-24h'!G98)</f>
        <v>0.5</v>
      </c>
      <c r="H98" s="49">
        <f>AVERAGE('26.09 Kasangati-Gayaza-24h'!H98,'28.09 Kasangati-Gayaza-24h'!H98)</f>
        <v>0</v>
      </c>
      <c r="I98" s="49">
        <f>AVERAGE('26.09 Kasangati-Gayaza-24h'!I98,'28.09 Kasangati-Gayaza-24h'!I98)</f>
        <v>1.5</v>
      </c>
      <c r="J98" s="49">
        <f>AVERAGE('26.09 Kasangati-Gayaza-24h'!J98,'28.09 Kasangati-Gayaza-24h'!J98)</f>
        <v>1.5</v>
      </c>
      <c r="K98" s="49">
        <f>AVERAGE('26.09 Kasangati-Gayaza-24h'!K98,'28.09 Kasangati-Gayaza-24h'!K98)</f>
        <v>0</v>
      </c>
      <c r="L98" s="49">
        <f>AVERAGE('26.09 Kasangati-Gayaza-24h'!L98,'28.09 Kasangati-Gayaza-24h'!L98)</f>
        <v>0</v>
      </c>
      <c r="M98" s="49">
        <f>AVERAGE('26.09 Kasangati-Gayaza-24h'!M98,'28.09 Kasangati-Gayaza-24h'!M98)</f>
        <v>12</v>
      </c>
      <c r="N98" s="49">
        <f>AVERAGE('26.09 Kasangati-Gayaza-24h'!N98,'28.09 Kasangati-Gayaza-24h'!N98)</f>
        <v>0</v>
      </c>
      <c r="O98" s="15">
        <f t="shared" si="35"/>
        <v>15</v>
      </c>
      <c r="P98" s="15">
        <f t="shared" si="36"/>
        <v>27</v>
      </c>
      <c r="R98" s="8"/>
      <c r="T98"/>
    </row>
    <row r="99" spans="2:20" ht="23.1" customHeight="1" x14ac:dyDescent="0.25">
      <c r="B99" s="23" t="s">
        <v>139</v>
      </c>
      <c r="C99" s="49">
        <f>AVERAGE('26.09 Kasangati-Gayaza-24h'!C99,'28.09 Kasangati-Gayaza-24h'!C99)</f>
        <v>2.5</v>
      </c>
      <c r="D99" s="49">
        <f>AVERAGE('26.09 Kasangati-Gayaza-24h'!D99,'28.09 Kasangati-Gayaza-24h'!D99)</f>
        <v>0.5</v>
      </c>
      <c r="E99" s="49">
        <f>AVERAGE('26.09 Kasangati-Gayaza-24h'!E99,'28.09 Kasangati-Gayaza-24h'!E99)</f>
        <v>2.5</v>
      </c>
      <c r="F99" s="49">
        <f>AVERAGE('26.09 Kasangati-Gayaza-24h'!F99,'28.09 Kasangati-Gayaza-24h'!F99)</f>
        <v>3.5</v>
      </c>
      <c r="G99" s="49">
        <f>AVERAGE('26.09 Kasangati-Gayaza-24h'!G99,'28.09 Kasangati-Gayaza-24h'!G99)</f>
        <v>0.5</v>
      </c>
      <c r="H99" s="49">
        <f>AVERAGE('26.09 Kasangati-Gayaza-24h'!H99,'28.09 Kasangati-Gayaza-24h'!H99)</f>
        <v>0</v>
      </c>
      <c r="I99" s="49">
        <f>AVERAGE('26.09 Kasangati-Gayaza-24h'!I99,'28.09 Kasangati-Gayaza-24h'!I99)</f>
        <v>3</v>
      </c>
      <c r="J99" s="49">
        <f>AVERAGE('26.09 Kasangati-Gayaza-24h'!J99,'28.09 Kasangati-Gayaza-24h'!J99)</f>
        <v>2</v>
      </c>
      <c r="K99" s="49">
        <f>AVERAGE('26.09 Kasangati-Gayaza-24h'!K99,'28.09 Kasangati-Gayaza-24h'!K99)</f>
        <v>0</v>
      </c>
      <c r="L99" s="49">
        <f>AVERAGE('26.09 Kasangati-Gayaza-24h'!L99,'28.09 Kasangati-Gayaza-24h'!L99)</f>
        <v>1</v>
      </c>
      <c r="M99" s="49">
        <f>AVERAGE('26.09 Kasangati-Gayaza-24h'!M99,'28.09 Kasangati-Gayaza-24h'!M99)</f>
        <v>11</v>
      </c>
      <c r="N99" s="49">
        <f>AVERAGE('26.09 Kasangati-Gayaza-24h'!N99,'28.09 Kasangati-Gayaza-24h'!N99)</f>
        <v>0</v>
      </c>
      <c r="O99" s="15">
        <f t="shared" si="35"/>
        <v>15.5</v>
      </c>
      <c r="P99" s="15">
        <f t="shared" si="36"/>
        <v>26.5</v>
      </c>
      <c r="R99" s="8"/>
      <c r="T99"/>
    </row>
    <row r="100" spans="2:20" ht="23.1" customHeight="1" x14ac:dyDescent="0.25">
      <c r="B100" s="25" t="s">
        <v>140</v>
      </c>
      <c r="C100" s="49">
        <f>AVERAGE('26.09 Kasangati-Gayaza-24h'!C100,'28.09 Kasangati-Gayaza-24h'!C100)</f>
        <v>12</v>
      </c>
      <c r="D100" s="49">
        <f>AVERAGE('26.09 Kasangati-Gayaza-24h'!D100,'28.09 Kasangati-Gayaza-24h'!D100)</f>
        <v>0.5</v>
      </c>
      <c r="E100" s="49">
        <f>AVERAGE('26.09 Kasangati-Gayaza-24h'!E100,'28.09 Kasangati-Gayaza-24h'!E100)</f>
        <v>1.5</v>
      </c>
      <c r="F100" s="49">
        <f>AVERAGE('26.09 Kasangati-Gayaza-24h'!F100,'28.09 Kasangati-Gayaza-24h'!F100)</f>
        <v>8.5</v>
      </c>
      <c r="G100" s="49">
        <f>AVERAGE('26.09 Kasangati-Gayaza-24h'!G100,'28.09 Kasangati-Gayaza-24h'!G100)</f>
        <v>0</v>
      </c>
      <c r="H100" s="49">
        <f>AVERAGE('26.09 Kasangati-Gayaza-24h'!H100,'28.09 Kasangati-Gayaza-24h'!H100)</f>
        <v>0</v>
      </c>
      <c r="I100" s="49">
        <f>AVERAGE('26.09 Kasangati-Gayaza-24h'!I100,'28.09 Kasangati-Gayaza-24h'!I100)</f>
        <v>4</v>
      </c>
      <c r="J100" s="49">
        <f>AVERAGE('26.09 Kasangati-Gayaza-24h'!J100,'28.09 Kasangati-Gayaza-24h'!J100)</f>
        <v>2</v>
      </c>
      <c r="K100" s="49">
        <f>AVERAGE('26.09 Kasangati-Gayaza-24h'!K100,'28.09 Kasangati-Gayaza-24h'!K100)</f>
        <v>0</v>
      </c>
      <c r="L100" s="49">
        <f>AVERAGE('26.09 Kasangati-Gayaza-24h'!L100,'28.09 Kasangati-Gayaza-24h'!L100)</f>
        <v>1</v>
      </c>
      <c r="M100" s="49">
        <f>AVERAGE('26.09 Kasangati-Gayaza-24h'!M100,'28.09 Kasangati-Gayaza-24h'!M100)</f>
        <v>14</v>
      </c>
      <c r="N100" s="49">
        <f>AVERAGE('26.09 Kasangati-Gayaza-24h'!N100,'28.09 Kasangati-Gayaza-24h'!N100)</f>
        <v>0</v>
      </c>
      <c r="O100" s="15">
        <f t="shared" si="35"/>
        <v>29.5</v>
      </c>
      <c r="P100" s="15">
        <f t="shared" si="36"/>
        <v>43.5</v>
      </c>
      <c r="R100" s="8"/>
      <c r="T100"/>
    </row>
    <row r="101" spans="2:20" ht="23.1" customHeight="1" x14ac:dyDescent="0.25">
      <c r="B101" s="23" t="s">
        <v>141</v>
      </c>
      <c r="C101" s="49">
        <f>AVERAGE('26.09 Kasangati-Gayaza-24h'!C101,'28.09 Kasangati-Gayaza-24h'!C101)</f>
        <v>8</v>
      </c>
      <c r="D101" s="49">
        <f>AVERAGE('26.09 Kasangati-Gayaza-24h'!D101,'28.09 Kasangati-Gayaza-24h'!D101)</f>
        <v>0.5</v>
      </c>
      <c r="E101" s="49">
        <f>AVERAGE('26.09 Kasangati-Gayaza-24h'!E101,'28.09 Kasangati-Gayaza-24h'!E101)</f>
        <v>3.5</v>
      </c>
      <c r="F101" s="49">
        <f>AVERAGE('26.09 Kasangati-Gayaza-24h'!F101,'28.09 Kasangati-Gayaza-24h'!F101)</f>
        <v>12.5</v>
      </c>
      <c r="G101" s="49">
        <f>AVERAGE('26.09 Kasangati-Gayaza-24h'!G101,'28.09 Kasangati-Gayaza-24h'!G101)</f>
        <v>0</v>
      </c>
      <c r="H101" s="49">
        <f>AVERAGE('26.09 Kasangati-Gayaza-24h'!H101,'28.09 Kasangati-Gayaza-24h'!H101)</f>
        <v>0</v>
      </c>
      <c r="I101" s="49">
        <f>AVERAGE('26.09 Kasangati-Gayaza-24h'!I101,'28.09 Kasangati-Gayaza-24h'!I101)</f>
        <v>5.5</v>
      </c>
      <c r="J101" s="49">
        <f>AVERAGE('26.09 Kasangati-Gayaza-24h'!J101,'28.09 Kasangati-Gayaza-24h'!J101)</f>
        <v>0</v>
      </c>
      <c r="K101" s="49">
        <f>AVERAGE('26.09 Kasangati-Gayaza-24h'!K101,'28.09 Kasangati-Gayaza-24h'!K101)</f>
        <v>0</v>
      </c>
      <c r="L101" s="49">
        <f>AVERAGE('26.09 Kasangati-Gayaza-24h'!L101,'28.09 Kasangati-Gayaza-24h'!L101)</f>
        <v>1</v>
      </c>
      <c r="M101" s="49">
        <f>AVERAGE('26.09 Kasangati-Gayaza-24h'!M101,'28.09 Kasangati-Gayaza-24h'!M101)</f>
        <v>14</v>
      </c>
      <c r="N101" s="49">
        <f>AVERAGE('26.09 Kasangati-Gayaza-24h'!N101,'28.09 Kasangati-Gayaza-24h'!N101)</f>
        <v>0</v>
      </c>
      <c r="O101" s="15">
        <f t="shared" si="35"/>
        <v>31</v>
      </c>
      <c r="P101" s="15">
        <f t="shared" si="36"/>
        <v>45</v>
      </c>
      <c r="R101" s="8"/>
      <c r="T101"/>
    </row>
    <row r="102" spans="2:20" ht="23.1" customHeight="1" x14ac:dyDescent="0.25">
      <c r="B102" s="24" t="s">
        <v>142</v>
      </c>
      <c r="C102" s="49">
        <f>AVERAGE('26.09 Kasangati-Gayaza-24h'!C102,'28.09 Kasangati-Gayaza-24h'!C102)</f>
        <v>5.5</v>
      </c>
      <c r="D102" s="49">
        <f>AVERAGE('26.09 Kasangati-Gayaza-24h'!D102,'28.09 Kasangati-Gayaza-24h'!D102)</f>
        <v>1</v>
      </c>
      <c r="E102" s="49">
        <f>AVERAGE('26.09 Kasangati-Gayaza-24h'!E102,'28.09 Kasangati-Gayaza-24h'!E102)</f>
        <v>2</v>
      </c>
      <c r="F102" s="49">
        <f>AVERAGE('26.09 Kasangati-Gayaza-24h'!F102,'28.09 Kasangati-Gayaza-24h'!F102)</f>
        <v>9.5</v>
      </c>
      <c r="G102" s="49">
        <f>AVERAGE('26.09 Kasangati-Gayaza-24h'!G102,'28.09 Kasangati-Gayaza-24h'!G102)</f>
        <v>0</v>
      </c>
      <c r="H102" s="49">
        <f>AVERAGE('26.09 Kasangati-Gayaza-24h'!H102,'28.09 Kasangati-Gayaza-24h'!H102)</f>
        <v>0</v>
      </c>
      <c r="I102" s="49">
        <f>AVERAGE('26.09 Kasangati-Gayaza-24h'!I102,'28.09 Kasangati-Gayaza-24h'!I102)</f>
        <v>2.5</v>
      </c>
      <c r="J102" s="49">
        <f>AVERAGE('26.09 Kasangati-Gayaza-24h'!J102,'28.09 Kasangati-Gayaza-24h'!J102)</f>
        <v>1.5</v>
      </c>
      <c r="K102" s="49">
        <f>AVERAGE('26.09 Kasangati-Gayaza-24h'!K102,'28.09 Kasangati-Gayaza-24h'!K102)</f>
        <v>0.5</v>
      </c>
      <c r="L102" s="49">
        <f>AVERAGE('26.09 Kasangati-Gayaza-24h'!L102,'28.09 Kasangati-Gayaza-24h'!L102)</f>
        <v>1.5</v>
      </c>
      <c r="M102" s="49">
        <f>AVERAGE('26.09 Kasangati-Gayaza-24h'!M102,'28.09 Kasangati-Gayaza-24h'!M102)</f>
        <v>18</v>
      </c>
      <c r="N102" s="49">
        <f>AVERAGE('26.09 Kasangati-Gayaza-24h'!N102,'28.09 Kasangati-Gayaza-24h'!N102)</f>
        <v>0</v>
      </c>
      <c r="O102" s="15">
        <f t="shared" si="35"/>
        <v>24</v>
      </c>
      <c r="P102" s="15">
        <f t="shared" si="36"/>
        <v>42</v>
      </c>
      <c r="R102" s="8"/>
      <c r="T102"/>
    </row>
    <row r="103" spans="2:20" ht="23.1" customHeight="1" x14ac:dyDescent="0.25">
      <c r="B103" s="23" t="s">
        <v>143</v>
      </c>
      <c r="C103" s="49">
        <f>AVERAGE('26.09 Kasangati-Gayaza-24h'!C103,'28.09 Kasangati-Gayaza-24h'!C103)</f>
        <v>16</v>
      </c>
      <c r="D103" s="49">
        <f>AVERAGE('26.09 Kasangati-Gayaza-24h'!D103,'28.09 Kasangati-Gayaza-24h'!D103)</f>
        <v>2.5</v>
      </c>
      <c r="E103" s="49">
        <f>AVERAGE('26.09 Kasangati-Gayaza-24h'!E103,'28.09 Kasangati-Gayaza-24h'!E103)</f>
        <v>2.5</v>
      </c>
      <c r="F103" s="49">
        <f>AVERAGE('26.09 Kasangati-Gayaza-24h'!F103,'28.09 Kasangati-Gayaza-24h'!F103)</f>
        <v>12</v>
      </c>
      <c r="G103" s="49">
        <f>AVERAGE('26.09 Kasangati-Gayaza-24h'!G103,'28.09 Kasangati-Gayaza-24h'!G103)</f>
        <v>0</v>
      </c>
      <c r="H103" s="49">
        <f>AVERAGE('26.09 Kasangati-Gayaza-24h'!H103,'28.09 Kasangati-Gayaza-24h'!H103)</f>
        <v>0</v>
      </c>
      <c r="I103" s="49">
        <f>AVERAGE('26.09 Kasangati-Gayaza-24h'!I103,'28.09 Kasangati-Gayaza-24h'!I103)</f>
        <v>7</v>
      </c>
      <c r="J103" s="49">
        <f>AVERAGE('26.09 Kasangati-Gayaza-24h'!J103,'28.09 Kasangati-Gayaza-24h'!J103)</f>
        <v>2.5</v>
      </c>
      <c r="K103" s="49">
        <f>AVERAGE('26.09 Kasangati-Gayaza-24h'!K103,'28.09 Kasangati-Gayaza-24h'!K103)</f>
        <v>0.5</v>
      </c>
      <c r="L103" s="49">
        <f>AVERAGE('26.09 Kasangati-Gayaza-24h'!L103,'28.09 Kasangati-Gayaza-24h'!L103)</f>
        <v>1.5</v>
      </c>
      <c r="M103" s="49">
        <f>AVERAGE('26.09 Kasangati-Gayaza-24h'!M103,'28.09 Kasangati-Gayaza-24h'!M103)</f>
        <v>23.5</v>
      </c>
      <c r="N103" s="49">
        <f>AVERAGE('26.09 Kasangati-Gayaza-24h'!N103,'28.09 Kasangati-Gayaza-24h'!N103)</f>
        <v>0</v>
      </c>
      <c r="O103" s="15">
        <f t="shared" si="35"/>
        <v>44.5</v>
      </c>
      <c r="P103" s="15">
        <f t="shared" si="36"/>
        <v>68</v>
      </c>
      <c r="R103" s="8"/>
      <c r="T103"/>
    </row>
    <row r="104" spans="2:20" ht="23.1" customHeight="1" x14ac:dyDescent="0.25">
      <c r="B104" s="25" t="s">
        <v>144</v>
      </c>
      <c r="C104" s="49">
        <f>AVERAGE('26.09 Kasangati-Gayaza-24h'!C104,'28.09 Kasangati-Gayaza-24h'!C104)</f>
        <v>13</v>
      </c>
      <c r="D104" s="49">
        <f>AVERAGE('26.09 Kasangati-Gayaza-24h'!D104,'28.09 Kasangati-Gayaza-24h'!D104)</f>
        <v>4</v>
      </c>
      <c r="E104" s="49">
        <f>AVERAGE('26.09 Kasangati-Gayaza-24h'!E104,'28.09 Kasangati-Gayaza-24h'!E104)</f>
        <v>1.5</v>
      </c>
      <c r="F104" s="49">
        <f>AVERAGE('26.09 Kasangati-Gayaza-24h'!F104,'28.09 Kasangati-Gayaza-24h'!F104)</f>
        <v>15</v>
      </c>
      <c r="G104" s="49">
        <f>AVERAGE('26.09 Kasangati-Gayaza-24h'!G104,'28.09 Kasangati-Gayaza-24h'!G104)</f>
        <v>0.5</v>
      </c>
      <c r="H104" s="49">
        <f>AVERAGE('26.09 Kasangati-Gayaza-24h'!H104,'28.09 Kasangati-Gayaza-24h'!H104)</f>
        <v>0</v>
      </c>
      <c r="I104" s="49">
        <f>AVERAGE('26.09 Kasangati-Gayaza-24h'!I104,'28.09 Kasangati-Gayaza-24h'!I104)</f>
        <v>10.5</v>
      </c>
      <c r="J104" s="49">
        <f>AVERAGE('26.09 Kasangati-Gayaza-24h'!J104,'28.09 Kasangati-Gayaza-24h'!J104)</f>
        <v>1.5</v>
      </c>
      <c r="K104" s="49">
        <f>AVERAGE('26.09 Kasangati-Gayaza-24h'!K104,'28.09 Kasangati-Gayaza-24h'!K104)</f>
        <v>0</v>
      </c>
      <c r="L104" s="49">
        <f>AVERAGE('26.09 Kasangati-Gayaza-24h'!L104,'28.09 Kasangati-Gayaza-24h'!L104)</f>
        <v>2</v>
      </c>
      <c r="M104" s="49">
        <f>AVERAGE('26.09 Kasangati-Gayaza-24h'!M104,'28.09 Kasangati-Gayaza-24h'!M104)</f>
        <v>25</v>
      </c>
      <c r="N104" s="49">
        <f>AVERAGE('26.09 Kasangati-Gayaza-24h'!N104,'28.09 Kasangati-Gayaza-24h'!N104)</f>
        <v>0</v>
      </c>
      <c r="O104" s="15">
        <f t="shared" si="35"/>
        <v>48</v>
      </c>
      <c r="P104" s="15">
        <f t="shared" si="36"/>
        <v>73</v>
      </c>
      <c r="R104" s="8"/>
      <c r="T104"/>
    </row>
    <row r="105" spans="2:20" ht="23.1" customHeight="1" x14ac:dyDescent="0.25">
      <c r="B105" s="23" t="s">
        <v>145</v>
      </c>
      <c r="C105" s="49">
        <f>AVERAGE('26.09 Kasangati-Gayaza-24h'!C105,'28.09 Kasangati-Gayaza-24h'!C105)</f>
        <v>9.5</v>
      </c>
      <c r="D105" s="49">
        <f>AVERAGE('26.09 Kasangati-Gayaza-24h'!D105,'28.09 Kasangati-Gayaza-24h'!D105)</f>
        <v>0.5</v>
      </c>
      <c r="E105" s="49">
        <f>AVERAGE('26.09 Kasangati-Gayaza-24h'!E105,'28.09 Kasangati-Gayaza-24h'!E105)</f>
        <v>2.5</v>
      </c>
      <c r="F105" s="49">
        <f>AVERAGE('26.09 Kasangati-Gayaza-24h'!F105,'28.09 Kasangati-Gayaza-24h'!F105)</f>
        <v>17</v>
      </c>
      <c r="G105" s="49">
        <f>AVERAGE('26.09 Kasangati-Gayaza-24h'!G105,'28.09 Kasangati-Gayaza-24h'!G105)</f>
        <v>0</v>
      </c>
      <c r="H105" s="49">
        <f>AVERAGE('26.09 Kasangati-Gayaza-24h'!H105,'28.09 Kasangati-Gayaza-24h'!H105)</f>
        <v>0</v>
      </c>
      <c r="I105" s="49">
        <f>AVERAGE('26.09 Kasangati-Gayaza-24h'!I105,'28.09 Kasangati-Gayaza-24h'!I105)</f>
        <v>6.5</v>
      </c>
      <c r="J105" s="49">
        <f>AVERAGE('26.09 Kasangati-Gayaza-24h'!J105,'28.09 Kasangati-Gayaza-24h'!J105)</f>
        <v>3</v>
      </c>
      <c r="K105" s="49">
        <f>AVERAGE('26.09 Kasangati-Gayaza-24h'!K105,'28.09 Kasangati-Gayaza-24h'!K105)</f>
        <v>0.5</v>
      </c>
      <c r="L105" s="49">
        <f>AVERAGE('26.09 Kasangati-Gayaza-24h'!L105,'28.09 Kasangati-Gayaza-24h'!L105)</f>
        <v>1.5</v>
      </c>
      <c r="M105" s="49">
        <f>AVERAGE('26.09 Kasangati-Gayaza-24h'!M105,'28.09 Kasangati-Gayaza-24h'!M105)</f>
        <v>38.5</v>
      </c>
      <c r="N105" s="49">
        <f>AVERAGE('26.09 Kasangati-Gayaza-24h'!N105,'28.09 Kasangati-Gayaza-24h'!N105)</f>
        <v>0</v>
      </c>
      <c r="O105" s="15">
        <f t="shared" si="35"/>
        <v>41</v>
      </c>
      <c r="P105" s="15">
        <f t="shared" si="36"/>
        <v>79.5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3681.0714285714284</v>
      </c>
      <c r="D106" s="16">
        <f t="shared" ref="D106:P106" si="37">SUM(D10:D105)</f>
        <v>860.21428571428555</v>
      </c>
      <c r="E106" s="16">
        <f t="shared" si="37"/>
        <v>516.14285714285711</v>
      </c>
      <c r="F106" s="16">
        <f t="shared" si="37"/>
        <v>3279.3571428571427</v>
      </c>
      <c r="G106" s="16">
        <f t="shared" si="37"/>
        <v>80.214285714285708</v>
      </c>
      <c r="H106" s="16">
        <f t="shared" si="37"/>
        <v>37.357142857142847</v>
      </c>
      <c r="I106" s="16">
        <f t="shared" si="37"/>
        <v>629.99999999999977</v>
      </c>
      <c r="J106" s="16">
        <f t="shared" si="37"/>
        <v>208.92857142857144</v>
      </c>
      <c r="K106" s="16">
        <f t="shared" si="37"/>
        <v>142.78571428571431</v>
      </c>
      <c r="L106" s="16">
        <f t="shared" si="37"/>
        <v>40.785714285714285</v>
      </c>
      <c r="M106" s="16">
        <f t="shared" si="37"/>
        <v>7014.2142857142853</v>
      </c>
      <c r="N106" s="16">
        <f t="shared" si="37"/>
        <v>1.2142857142857142</v>
      </c>
      <c r="O106" s="16">
        <f t="shared" si="37"/>
        <v>9478.0714285714275</v>
      </c>
      <c r="P106" s="16">
        <f t="shared" si="37"/>
        <v>16492.285714285714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0.22319959115084109</v>
      </c>
      <c r="D107" s="43">
        <f t="shared" si="38"/>
        <v>5.2158584966131342E-2</v>
      </c>
      <c r="E107" s="43">
        <f t="shared" si="38"/>
        <v>3.1296017185523967E-2</v>
      </c>
      <c r="F107" s="43">
        <f t="shared" si="38"/>
        <v>0.19884188278502501</v>
      </c>
      <c r="G107" s="43">
        <f t="shared" si="38"/>
        <v>4.863745820556797E-3</v>
      </c>
      <c r="H107" s="43">
        <f t="shared" si="38"/>
        <v>2.2651282850856672E-3</v>
      </c>
      <c r="I107" s="43">
        <f t="shared" si="38"/>
        <v>3.8199677771425591E-2</v>
      </c>
      <c r="J107" s="43">
        <f t="shared" si="38"/>
        <v>1.2668260485421757E-2</v>
      </c>
      <c r="K107" s="43">
        <f t="shared" si="38"/>
        <v>8.6577274223446476E-3</v>
      </c>
      <c r="L107" s="43">
        <f t="shared" si="38"/>
        <v>2.4730176879233581E-3</v>
      </c>
      <c r="M107" s="43">
        <f t="shared" si="38"/>
        <v>0.4253027389428824</v>
      </c>
      <c r="N107" s="43">
        <f t="shared" si="38"/>
        <v>7.3627496838348666E-5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0.38837768382657717</v>
      </c>
      <c r="D108" s="44">
        <f t="shared" ref="D108:N108" si="39">D106/$O$106</f>
        <v>9.0758367057795053E-2</v>
      </c>
      <c r="E108" s="44">
        <f t="shared" si="39"/>
        <v>5.4456527473189999E-2</v>
      </c>
      <c r="F108" s="44">
        <f t="shared" si="39"/>
        <v>0.34599413684218461</v>
      </c>
      <c r="G108" s="44">
        <f t="shared" si="39"/>
        <v>8.463144250261883E-3</v>
      </c>
      <c r="H108" s="44">
        <f t="shared" si="39"/>
        <v>3.9414287113864327E-3</v>
      </c>
      <c r="I108" s="44">
        <f t="shared" si="39"/>
        <v>6.6469218421469092E-2</v>
      </c>
      <c r="J108" s="44">
        <f t="shared" si="39"/>
        <v>2.204336325201782E-2</v>
      </c>
      <c r="K108" s="44">
        <f t="shared" si="39"/>
        <v>1.5064848937020042E-2</v>
      </c>
      <c r="L108" s="44">
        <f t="shared" si="39"/>
        <v>4.30316595449647E-3</v>
      </c>
      <c r="M108" s="44"/>
      <c r="N108" s="44">
        <f t="shared" si="39"/>
        <v>1.2811527360147106E-4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M43" zoomScale="60" workbookViewId="0">
      <selection activeCell="Z78" sqref="Z7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81" t="str">
        <f>'29.09 Gayaza-Kasangati'!C3:G3</f>
        <v>MCC - C2 - STN-69- Gayaza- ROAD</v>
      </c>
      <c r="D3" s="81"/>
      <c r="E3" s="81"/>
      <c r="F3" s="81"/>
      <c r="G3" s="8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88" t="s">
        <v>162</v>
      </c>
      <c r="E5" s="89"/>
      <c r="F5" s="41" t="s">
        <v>1</v>
      </c>
      <c r="G5" s="82" t="str">
        <f>'29.09 Gayaza-Kasangati'!G5:H5</f>
        <v>TOTAL BULAMU</v>
      </c>
      <c r="H5" s="83"/>
      <c r="I5" s="14"/>
      <c r="J5" s="2" t="s">
        <v>5</v>
      </c>
      <c r="K5" s="82" t="str">
        <f>'29.09 Gayaza-Kasangati'!K5:L5</f>
        <v>Muganga. S</v>
      </c>
      <c r="L5" s="83"/>
      <c r="M5" s="10"/>
      <c r="N5" s="10"/>
      <c r="O5" s="3"/>
      <c r="P5" s="3"/>
    </row>
    <row r="6" spans="2:32" ht="23.25" customHeight="1" x14ac:dyDescent="0.25">
      <c r="C6" s="2" t="s">
        <v>4</v>
      </c>
      <c r="D6" s="82" t="str">
        <f>'29.09 Gayaza-Kasangati'!D6:E6</f>
        <v>Gayaza</v>
      </c>
      <c r="E6" s="83"/>
      <c r="F6" s="2" t="s">
        <v>2</v>
      </c>
      <c r="G6" s="82" t="str">
        <f>'29.09 Gayaza-Kasangati'!G6:H6</f>
        <v>Kasangati</v>
      </c>
      <c r="H6" s="83"/>
      <c r="J6" s="2" t="s">
        <v>21</v>
      </c>
      <c r="K6" s="82" t="str">
        <f>'29.09 Gayaza-Kasangati'!K6:L6</f>
        <v>LAWRENCE</v>
      </c>
      <c r="L6" s="8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AVERAGE('23.09.Gayaza-Kasangati'!C10,'24.09 Gayaza-Kasangati'!C10,'25.09 Gayaza-Kasangati'!C10,'29.09 Gayaza-Kasangati'!C10,'27.09 Gayaza-Kasangati'!C10,'26.09 Gayaza-Kasangati-24h'!C10,'28.09 Gayaza-Kasangati-24h'!C10,'29.09 Gayaza-Kasangati'!C10)</f>
        <v>83</v>
      </c>
      <c r="D10" s="49">
        <f>AVERAGE('23.09.Gayaza-Kasangati'!D10,'24.09 Gayaza-Kasangati'!D10,'25.09 Gayaza-Kasangati'!D10,'29.09 Gayaza-Kasangati'!D10,'27.09 Gayaza-Kasangati'!D10,'26.09 Gayaza-Kasangati-24h'!D10,'28.09 Gayaza-Kasangati-24h'!D10,'29.09 Gayaza-Kasangati'!D10)</f>
        <v>7.125</v>
      </c>
      <c r="E10" s="49">
        <f>AVERAGE('23.09.Gayaza-Kasangati'!E10,'24.09 Gayaza-Kasangati'!E10,'25.09 Gayaza-Kasangati'!E10,'29.09 Gayaza-Kasangati'!E10,'27.09 Gayaza-Kasangati'!E10,'26.09 Gayaza-Kasangati-24h'!E10,'28.09 Gayaza-Kasangati-24h'!E10,'29.09 Gayaza-Kasangati'!E10)</f>
        <v>5.375</v>
      </c>
      <c r="F10" s="49">
        <f>AVERAGE('23.09.Gayaza-Kasangati'!F10,'24.09 Gayaza-Kasangati'!F10,'25.09 Gayaza-Kasangati'!F10,'29.09 Gayaza-Kasangati'!F10,'27.09 Gayaza-Kasangati'!F10,'26.09 Gayaza-Kasangati-24h'!F10,'28.09 Gayaza-Kasangati-24h'!F10,'29.09 Gayaza-Kasangati'!F10)</f>
        <v>48.375</v>
      </c>
      <c r="G10" s="49">
        <f>AVERAGE('23.09.Gayaza-Kasangati'!G10,'24.09 Gayaza-Kasangati'!G10,'25.09 Gayaza-Kasangati'!G10,'29.09 Gayaza-Kasangati'!G10,'27.09 Gayaza-Kasangati'!G10,'26.09 Gayaza-Kasangati-24h'!G10,'28.09 Gayaza-Kasangati-24h'!G10,'29.09 Gayaza-Kasangati'!G10)</f>
        <v>2.375</v>
      </c>
      <c r="H10" s="49">
        <f>AVERAGE('23.09.Gayaza-Kasangati'!H10,'24.09 Gayaza-Kasangati'!H10,'25.09 Gayaza-Kasangati'!H10,'29.09 Gayaza-Kasangati'!H10,'27.09 Gayaza-Kasangati'!H10,'26.09 Gayaza-Kasangati-24h'!H10,'28.09 Gayaza-Kasangati-24h'!H10,'29.09 Gayaza-Kasangati'!H10)</f>
        <v>0.375</v>
      </c>
      <c r="I10" s="49">
        <f>AVERAGE('23.09.Gayaza-Kasangati'!I10,'24.09 Gayaza-Kasangati'!I10,'25.09 Gayaza-Kasangati'!I10,'29.09 Gayaza-Kasangati'!I10,'27.09 Gayaza-Kasangati'!I10,'26.09 Gayaza-Kasangati-24h'!I10,'28.09 Gayaza-Kasangati-24h'!I10,'29.09 Gayaza-Kasangati'!I10)</f>
        <v>11</v>
      </c>
      <c r="J10" s="49">
        <f>AVERAGE('23.09.Gayaza-Kasangati'!J10,'24.09 Gayaza-Kasangati'!J10,'25.09 Gayaza-Kasangati'!J10,'29.09 Gayaza-Kasangati'!J10,'27.09 Gayaza-Kasangati'!J10,'26.09 Gayaza-Kasangati-24h'!J10,'28.09 Gayaza-Kasangati-24h'!J10,'29.09 Gayaza-Kasangati'!J10)</f>
        <v>1.25</v>
      </c>
      <c r="K10" s="49">
        <f>AVERAGE('23.09.Gayaza-Kasangati'!K10,'24.09 Gayaza-Kasangati'!K10,'25.09 Gayaza-Kasangati'!K10,'29.09 Gayaza-Kasangati'!K10,'27.09 Gayaza-Kasangati'!K10,'26.09 Gayaza-Kasangati-24h'!K10,'28.09 Gayaza-Kasangati-24h'!K10,'29.09 Gayaza-Kasangati'!K10)</f>
        <v>1.25</v>
      </c>
      <c r="L10" s="49">
        <f>AVERAGE('23.09.Gayaza-Kasangati'!L10,'24.09 Gayaza-Kasangati'!L10,'25.09 Gayaza-Kasangati'!L10,'29.09 Gayaza-Kasangati'!L10,'27.09 Gayaza-Kasangati'!L10,'26.09 Gayaza-Kasangati-24h'!L10,'28.09 Gayaza-Kasangati-24h'!L10,'29.09 Gayaza-Kasangati'!L10)</f>
        <v>0.125</v>
      </c>
      <c r="M10" s="49">
        <f>AVERAGE('23.09.Gayaza-Kasangati'!M10,'24.09 Gayaza-Kasangati'!M10,'25.09 Gayaza-Kasangati'!M10,'29.09 Gayaza-Kasangati'!M10,'27.09 Gayaza-Kasangati'!M10,'26.09 Gayaza-Kasangati-24h'!M10,'28.09 Gayaza-Kasangati-24h'!M10,'29.09 Gayaza-Kasangati'!M10)</f>
        <v>147.125</v>
      </c>
      <c r="N10" s="49">
        <f>AVERAGE('23.09.Gayaza-Kasangati'!N10,'24.09 Gayaza-Kasangati'!N10,'25.09 Gayaza-Kasangati'!N10,'29.09 Gayaza-Kasangati'!N10,'27.09 Gayaza-Kasangati'!N10,'26.09 Gayaza-Kasangati-24h'!N10,'28.09 Gayaza-Kasangati-24h'!N10,'29.09 Gayaza-Kasangati'!N10)</f>
        <v>0</v>
      </c>
      <c r="O10" s="15">
        <f t="shared" ref="O10:O58" si="0">SUM(C10:L10,N10)</f>
        <v>160.25</v>
      </c>
      <c r="P10" s="15">
        <f t="shared" ref="P10:P58" si="1">SUM(C10:N10)</f>
        <v>307.375</v>
      </c>
      <c r="R10" s="1" t="s">
        <v>6</v>
      </c>
      <c r="S10" s="17">
        <f t="shared" ref="S10:AF10" si="2">SUM(C10:C13)</f>
        <v>336.25</v>
      </c>
      <c r="T10" s="17">
        <f t="shared" si="2"/>
        <v>29.5</v>
      </c>
      <c r="U10" s="17">
        <f t="shared" si="2"/>
        <v>23.25</v>
      </c>
      <c r="V10" s="17">
        <f t="shared" si="2"/>
        <v>186.375</v>
      </c>
      <c r="W10" s="17">
        <f t="shared" si="2"/>
        <v>5.125</v>
      </c>
      <c r="X10" s="17">
        <f t="shared" si="2"/>
        <v>3.125</v>
      </c>
      <c r="Y10" s="17">
        <f t="shared" si="2"/>
        <v>33.125</v>
      </c>
      <c r="Z10" s="17">
        <f t="shared" si="2"/>
        <v>5.5</v>
      </c>
      <c r="AA10" s="17">
        <f t="shared" si="2"/>
        <v>3.375</v>
      </c>
      <c r="AB10" s="17">
        <f t="shared" si="2"/>
        <v>0.5</v>
      </c>
      <c r="AC10" s="17">
        <f t="shared" si="2"/>
        <v>644.25</v>
      </c>
      <c r="AD10" s="17">
        <f t="shared" si="2"/>
        <v>0</v>
      </c>
      <c r="AE10" s="31">
        <f t="shared" si="2"/>
        <v>626.125</v>
      </c>
      <c r="AF10" s="31">
        <f t="shared" si="2"/>
        <v>1270.375</v>
      </c>
    </row>
    <row r="11" spans="2:32" s="6" customFormat="1" ht="23.1" customHeight="1" x14ac:dyDescent="0.25">
      <c r="B11" s="23" t="s">
        <v>38</v>
      </c>
      <c r="C11" s="49">
        <f>AVERAGE('23.09.Gayaza-Kasangati'!C11,'24.09 Gayaza-Kasangati'!C11,'25.09 Gayaza-Kasangati'!C11,'29.09 Gayaza-Kasangati'!C11,'27.09 Gayaza-Kasangati'!C11,'26.09 Gayaza-Kasangati-24h'!C11,'28.09 Gayaza-Kasangati-24h'!C11,'29.09 Gayaza-Kasangati'!C11)</f>
        <v>79.875</v>
      </c>
      <c r="D11" s="49">
        <f>AVERAGE('23.09.Gayaza-Kasangati'!D11,'24.09 Gayaza-Kasangati'!D11,'25.09 Gayaza-Kasangati'!D11,'29.09 Gayaza-Kasangati'!D11,'27.09 Gayaza-Kasangati'!D11,'26.09 Gayaza-Kasangati-24h'!D11,'28.09 Gayaza-Kasangati-24h'!D11,'29.09 Gayaza-Kasangati'!D11)</f>
        <v>6</v>
      </c>
      <c r="E11" s="49">
        <f>AVERAGE('23.09.Gayaza-Kasangati'!E11,'24.09 Gayaza-Kasangati'!E11,'25.09 Gayaza-Kasangati'!E11,'29.09 Gayaza-Kasangati'!E11,'27.09 Gayaza-Kasangati'!E11,'26.09 Gayaza-Kasangati-24h'!E11,'28.09 Gayaza-Kasangati-24h'!E11,'29.09 Gayaza-Kasangati'!E11)</f>
        <v>4.75</v>
      </c>
      <c r="F11" s="49">
        <f>AVERAGE('23.09.Gayaza-Kasangati'!F11,'24.09 Gayaza-Kasangati'!F11,'25.09 Gayaza-Kasangati'!F11,'29.09 Gayaza-Kasangati'!F11,'27.09 Gayaza-Kasangati'!F11,'26.09 Gayaza-Kasangati-24h'!F11,'28.09 Gayaza-Kasangati-24h'!F11,'29.09 Gayaza-Kasangati'!F11)</f>
        <v>39.625</v>
      </c>
      <c r="G11" s="49">
        <f>AVERAGE('23.09.Gayaza-Kasangati'!G11,'24.09 Gayaza-Kasangati'!G11,'25.09 Gayaza-Kasangati'!G11,'29.09 Gayaza-Kasangati'!G11,'27.09 Gayaza-Kasangati'!G11,'26.09 Gayaza-Kasangati-24h'!G11,'28.09 Gayaza-Kasangati-24h'!G11,'29.09 Gayaza-Kasangati'!G11)</f>
        <v>1.25</v>
      </c>
      <c r="H11" s="49">
        <f>AVERAGE('23.09.Gayaza-Kasangati'!H11,'24.09 Gayaza-Kasangati'!H11,'25.09 Gayaza-Kasangati'!H11,'29.09 Gayaza-Kasangati'!H11,'27.09 Gayaza-Kasangati'!H11,'26.09 Gayaza-Kasangati-24h'!H11,'28.09 Gayaza-Kasangati-24h'!H11,'29.09 Gayaza-Kasangati'!H11)</f>
        <v>0.75</v>
      </c>
      <c r="I11" s="49">
        <f>AVERAGE('23.09.Gayaza-Kasangati'!I11,'24.09 Gayaza-Kasangati'!I11,'25.09 Gayaza-Kasangati'!I11,'29.09 Gayaza-Kasangati'!I11,'27.09 Gayaza-Kasangati'!I11,'26.09 Gayaza-Kasangati-24h'!I11,'28.09 Gayaza-Kasangati-24h'!I11,'29.09 Gayaza-Kasangati'!I11)</f>
        <v>6.125</v>
      </c>
      <c r="J11" s="49">
        <f>AVERAGE('23.09.Gayaza-Kasangati'!J11,'24.09 Gayaza-Kasangati'!J11,'25.09 Gayaza-Kasangati'!J11,'29.09 Gayaza-Kasangati'!J11,'27.09 Gayaza-Kasangati'!J11,'26.09 Gayaza-Kasangati-24h'!J11,'28.09 Gayaza-Kasangati-24h'!J11,'29.09 Gayaza-Kasangati'!J11)</f>
        <v>0.875</v>
      </c>
      <c r="K11" s="49">
        <f>AVERAGE('23.09.Gayaza-Kasangati'!K11,'24.09 Gayaza-Kasangati'!K11,'25.09 Gayaza-Kasangati'!K11,'29.09 Gayaza-Kasangati'!K11,'27.09 Gayaza-Kasangati'!K11,'26.09 Gayaza-Kasangati-24h'!K11,'28.09 Gayaza-Kasangati-24h'!K11,'29.09 Gayaza-Kasangati'!K11)</f>
        <v>0.125</v>
      </c>
      <c r="L11" s="49">
        <f>AVERAGE('23.09.Gayaza-Kasangati'!L11,'24.09 Gayaza-Kasangati'!L11,'25.09 Gayaza-Kasangati'!L11,'29.09 Gayaza-Kasangati'!L11,'27.09 Gayaza-Kasangati'!L11,'26.09 Gayaza-Kasangati-24h'!L11,'28.09 Gayaza-Kasangati-24h'!L11,'29.09 Gayaza-Kasangati'!L11)</f>
        <v>0.125</v>
      </c>
      <c r="M11" s="49">
        <f>AVERAGE('23.09.Gayaza-Kasangati'!M11,'24.09 Gayaza-Kasangati'!M11,'25.09 Gayaza-Kasangati'!M11,'29.09 Gayaza-Kasangati'!M11,'27.09 Gayaza-Kasangati'!M11,'26.09 Gayaza-Kasangati-24h'!M11,'28.09 Gayaza-Kasangati-24h'!M11,'29.09 Gayaza-Kasangati'!M11)</f>
        <v>140.625</v>
      </c>
      <c r="N11" s="49">
        <f>AVERAGE('23.09.Gayaza-Kasangati'!N11,'24.09 Gayaza-Kasangati'!N11,'25.09 Gayaza-Kasangati'!N11,'29.09 Gayaza-Kasangati'!N11,'27.09 Gayaza-Kasangati'!N11,'26.09 Gayaza-Kasangati-24h'!N11,'28.09 Gayaza-Kasangati-24h'!N11,'29.09 Gayaza-Kasangati'!N11)</f>
        <v>0</v>
      </c>
      <c r="O11" s="15">
        <f t="shared" si="0"/>
        <v>139.5</v>
      </c>
      <c r="P11" s="15">
        <f t="shared" si="1"/>
        <v>280.125</v>
      </c>
      <c r="R11" s="1" t="s">
        <v>7</v>
      </c>
      <c r="S11" s="17">
        <f t="shared" ref="S11:AF11" si="3">SUM(C14:C17)</f>
        <v>262.625</v>
      </c>
      <c r="T11" s="17">
        <f t="shared" si="3"/>
        <v>32.125</v>
      </c>
      <c r="U11" s="17">
        <f t="shared" si="3"/>
        <v>19.375</v>
      </c>
      <c r="V11" s="17">
        <f t="shared" si="3"/>
        <v>165.125</v>
      </c>
      <c r="W11" s="17">
        <f t="shared" si="3"/>
        <v>1.75</v>
      </c>
      <c r="X11" s="17">
        <f t="shared" si="3"/>
        <v>2</v>
      </c>
      <c r="Y11" s="17">
        <f t="shared" si="3"/>
        <v>34.375</v>
      </c>
      <c r="Z11" s="17">
        <f t="shared" si="3"/>
        <v>8.625</v>
      </c>
      <c r="AA11" s="17">
        <f t="shared" si="3"/>
        <v>11.25</v>
      </c>
      <c r="AB11" s="17">
        <f t="shared" si="3"/>
        <v>0.25</v>
      </c>
      <c r="AC11" s="17">
        <f t="shared" si="3"/>
        <v>644.375</v>
      </c>
      <c r="AD11" s="17">
        <f t="shared" si="3"/>
        <v>0</v>
      </c>
      <c r="AE11" s="31">
        <f t="shared" si="3"/>
        <v>537.5</v>
      </c>
      <c r="AF11" s="31">
        <f t="shared" si="3"/>
        <v>1181.875</v>
      </c>
    </row>
    <row r="12" spans="2:32" ht="23.1" customHeight="1" x14ac:dyDescent="0.25">
      <c r="B12" s="23" t="s">
        <v>39</v>
      </c>
      <c r="C12" s="49">
        <f>AVERAGE('23.09.Gayaza-Kasangati'!C12,'24.09 Gayaza-Kasangati'!C12,'25.09 Gayaza-Kasangati'!C12,'29.09 Gayaza-Kasangati'!C12,'27.09 Gayaza-Kasangati'!C12,'26.09 Gayaza-Kasangati-24h'!C12,'28.09 Gayaza-Kasangati-24h'!C12,'29.09 Gayaza-Kasangati'!C12)</f>
        <v>86.75</v>
      </c>
      <c r="D12" s="49">
        <f>AVERAGE('23.09.Gayaza-Kasangati'!D12,'24.09 Gayaza-Kasangati'!D12,'25.09 Gayaza-Kasangati'!D12,'29.09 Gayaza-Kasangati'!D12,'27.09 Gayaza-Kasangati'!D12,'26.09 Gayaza-Kasangati-24h'!D12,'28.09 Gayaza-Kasangati-24h'!D12,'29.09 Gayaza-Kasangati'!D12)</f>
        <v>7.875</v>
      </c>
      <c r="E12" s="49">
        <f>AVERAGE('23.09.Gayaza-Kasangati'!E12,'24.09 Gayaza-Kasangati'!E12,'25.09 Gayaza-Kasangati'!E12,'29.09 Gayaza-Kasangati'!E12,'27.09 Gayaza-Kasangati'!E12,'26.09 Gayaza-Kasangati-24h'!E12,'28.09 Gayaza-Kasangati-24h'!E12,'29.09 Gayaza-Kasangati'!E12)</f>
        <v>7.625</v>
      </c>
      <c r="F12" s="49">
        <f>AVERAGE('23.09.Gayaza-Kasangati'!F12,'24.09 Gayaza-Kasangati'!F12,'25.09 Gayaza-Kasangati'!F12,'29.09 Gayaza-Kasangati'!F12,'27.09 Gayaza-Kasangati'!F12,'26.09 Gayaza-Kasangati-24h'!F12,'28.09 Gayaza-Kasangati-24h'!F12,'29.09 Gayaza-Kasangati'!F12)</f>
        <v>50</v>
      </c>
      <c r="G12" s="49">
        <f>AVERAGE('23.09.Gayaza-Kasangati'!G12,'24.09 Gayaza-Kasangati'!G12,'25.09 Gayaza-Kasangati'!G12,'29.09 Gayaza-Kasangati'!G12,'27.09 Gayaza-Kasangati'!G12,'26.09 Gayaza-Kasangati-24h'!G12,'28.09 Gayaza-Kasangati-24h'!G12,'29.09 Gayaza-Kasangati'!G12)</f>
        <v>1.125</v>
      </c>
      <c r="H12" s="49">
        <f>AVERAGE('23.09.Gayaza-Kasangati'!H12,'24.09 Gayaza-Kasangati'!H12,'25.09 Gayaza-Kasangati'!H12,'29.09 Gayaza-Kasangati'!H12,'27.09 Gayaza-Kasangati'!H12,'26.09 Gayaza-Kasangati-24h'!H12,'28.09 Gayaza-Kasangati-24h'!H12,'29.09 Gayaza-Kasangati'!H12)</f>
        <v>1.625</v>
      </c>
      <c r="I12" s="49">
        <f>AVERAGE('23.09.Gayaza-Kasangati'!I12,'24.09 Gayaza-Kasangati'!I12,'25.09 Gayaza-Kasangati'!I12,'29.09 Gayaza-Kasangati'!I12,'27.09 Gayaza-Kasangati'!I12,'26.09 Gayaza-Kasangati-24h'!I12,'28.09 Gayaza-Kasangati-24h'!I12,'29.09 Gayaza-Kasangati'!I12)</f>
        <v>8</v>
      </c>
      <c r="J12" s="49">
        <f>AVERAGE('23.09.Gayaza-Kasangati'!J12,'24.09 Gayaza-Kasangati'!J12,'25.09 Gayaza-Kasangati'!J12,'29.09 Gayaza-Kasangati'!J12,'27.09 Gayaza-Kasangati'!J12,'26.09 Gayaza-Kasangati-24h'!J12,'28.09 Gayaza-Kasangati-24h'!J12,'29.09 Gayaza-Kasangati'!J12)</f>
        <v>1.75</v>
      </c>
      <c r="K12" s="49">
        <f>AVERAGE('23.09.Gayaza-Kasangati'!K12,'24.09 Gayaza-Kasangati'!K12,'25.09 Gayaza-Kasangati'!K12,'29.09 Gayaza-Kasangati'!K12,'27.09 Gayaza-Kasangati'!K12,'26.09 Gayaza-Kasangati-24h'!K12,'28.09 Gayaza-Kasangati-24h'!K12,'29.09 Gayaza-Kasangati'!K12)</f>
        <v>1.125</v>
      </c>
      <c r="L12" s="49">
        <f>AVERAGE('23.09.Gayaza-Kasangati'!L12,'24.09 Gayaza-Kasangati'!L12,'25.09 Gayaza-Kasangati'!L12,'29.09 Gayaza-Kasangati'!L12,'27.09 Gayaza-Kasangati'!L12,'26.09 Gayaza-Kasangati-24h'!L12,'28.09 Gayaza-Kasangati-24h'!L12,'29.09 Gayaza-Kasangati'!L12)</f>
        <v>0</v>
      </c>
      <c r="M12" s="49">
        <f>AVERAGE('23.09.Gayaza-Kasangati'!M12,'24.09 Gayaza-Kasangati'!M12,'25.09 Gayaza-Kasangati'!M12,'29.09 Gayaza-Kasangati'!M12,'27.09 Gayaza-Kasangati'!M12,'26.09 Gayaza-Kasangati-24h'!M12,'28.09 Gayaza-Kasangati-24h'!M12,'29.09 Gayaza-Kasangati'!M12)</f>
        <v>178</v>
      </c>
      <c r="N12" s="49">
        <f>AVERAGE('23.09.Gayaza-Kasangati'!N12,'24.09 Gayaza-Kasangati'!N12,'25.09 Gayaza-Kasangati'!N12,'29.09 Gayaza-Kasangati'!N12,'27.09 Gayaza-Kasangati'!N12,'26.09 Gayaza-Kasangati-24h'!N12,'28.09 Gayaza-Kasangati-24h'!N12,'29.09 Gayaza-Kasangati'!N12)</f>
        <v>0</v>
      </c>
      <c r="O12" s="15">
        <f t="shared" si="0"/>
        <v>165.875</v>
      </c>
      <c r="P12" s="15">
        <f t="shared" si="1"/>
        <v>343.875</v>
      </c>
      <c r="R12" s="1" t="s">
        <v>8</v>
      </c>
      <c r="S12" s="17">
        <f t="shared" ref="S12:AF12" si="4">SUM(C18:C21)</f>
        <v>245.125</v>
      </c>
      <c r="T12" s="17">
        <f t="shared" si="4"/>
        <v>42.875</v>
      </c>
      <c r="U12" s="17">
        <f t="shared" si="4"/>
        <v>22</v>
      </c>
      <c r="V12" s="17">
        <f t="shared" si="4"/>
        <v>154.125</v>
      </c>
      <c r="W12" s="17">
        <f t="shared" si="4"/>
        <v>2.25</v>
      </c>
      <c r="X12" s="17">
        <f t="shared" si="4"/>
        <v>0.75</v>
      </c>
      <c r="Y12" s="17">
        <f t="shared" si="4"/>
        <v>34.75</v>
      </c>
      <c r="Z12" s="17">
        <f t="shared" si="4"/>
        <v>7.375</v>
      </c>
      <c r="AA12" s="17">
        <f t="shared" si="4"/>
        <v>6</v>
      </c>
      <c r="AB12" s="17">
        <f t="shared" si="4"/>
        <v>0.875</v>
      </c>
      <c r="AC12" s="17">
        <f t="shared" si="4"/>
        <v>534.125</v>
      </c>
      <c r="AD12" s="17">
        <f t="shared" si="4"/>
        <v>0</v>
      </c>
      <c r="AE12" s="31">
        <f t="shared" si="4"/>
        <v>516.125</v>
      </c>
      <c r="AF12" s="31">
        <f t="shared" si="4"/>
        <v>1050.25</v>
      </c>
    </row>
    <row r="13" spans="2:32" ht="23.1" customHeight="1" x14ac:dyDescent="0.25">
      <c r="B13" s="23" t="s">
        <v>40</v>
      </c>
      <c r="C13" s="49">
        <f>AVERAGE('23.09.Gayaza-Kasangati'!C13,'24.09 Gayaza-Kasangati'!C13,'25.09 Gayaza-Kasangati'!C13,'29.09 Gayaza-Kasangati'!C13,'27.09 Gayaza-Kasangati'!C13,'26.09 Gayaza-Kasangati-24h'!C13,'28.09 Gayaza-Kasangati-24h'!C13,'29.09 Gayaza-Kasangati'!C13)</f>
        <v>86.625</v>
      </c>
      <c r="D13" s="49">
        <f>AVERAGE('23.09.Gayaza-Kasangati'!D13,'24.09 Gayaza-Kasangati'!D13,'25.09 Gayaza-Kasangati'!D13,'29.09 Gayaza-Kasangati'!D13,'27.09 Gayaza-Kasangati'!D13,'26.09 Gayaza-Kasangati-24h'!D13,'28.09 Gayaza-Kasangati-24h'!D13,'29.09 Gayaza-Kasangati'!D13)</f>
        <v>8.5</v>
      </c>
      <c r="E13" s="49">
        <f>AVERAGE('23.09.Gayaza-Kasangati'!E13,'24.09 Gayaza-Kasangati'!E13,'25.09 Gayaza-Kasangati'!E13,'29.09 Gayaza-Kasangati'!E13,'27.09 Gayaza-Kasangati'!E13,'26.09 Gayaza-Kasangati-24h'!E13,'28.09 Gayaza-Kasangati-24h'!E13,'29.09 Gayaza-Kasangati'!E13)</f>
        <v>5.5</v>
      </c>
      <c r="F13" s="49">
        <f>AVERAGE('23.09.Gayaza-Kasangati'!F13,'24.09 Gayaza-Kasangati'!F13,'25.09 Gayaza-Kasangati'!F13,'29.09 Gayaza-Kasangati'!F13,'27.09 Gayaza-Kasangati'!F13,'26.09 Gayaza-Kasangati-24h'!F13,'28.09 Gayaza-Kasangati-24h'!F13,'29.09 Gayaza-Kasangati'!F13)</f>
        <v>48.375</v>
      </c>
      <c r="G13" s="49">
        <f>AVERAGE('23.09.Gayaza-Kasangati'!G13,'24.09 Gayaza-Kasangati'!G13,'25.09 Gayaza-Kasangati'!G13,'29.09 Gayaza-Kasangati'!G13,'27.09 Gayaza-Kasangati'!G13,'26.09 Gayaza-Kasangati-24h'!G13,'28.09 Gayaza-Kasangati-24h'!G13,'29.09 Gayaza-Kasangati'!G13)</f>
        <v>0.375</v>
      </c>
      <c r="H13" s="49">
        <f>AVERAGE('23.09.Gayaza-Kasangati'!H13,'24.09 Gayaza-Kasangati'!H13,'25.09 Gayaza-Kasangati'!H13,'29.09 Gayaza-Kasangati'!H13,'27.09 Gayaza-Kasangati'!H13,'26.09 Gayaza-Kasangati-24h'!H13,'28.09 Gayaza-Kasangati-24h'!H13,'29.09 Gayaza-Kasangati'!H13)</f>
        <v>0.375</v>
      </c>
      <c r="I13" s="49">
        <f>AVERAGE('23.09.Gayaza-Kasangati'!I13,'24.09 Gayaza-Kasangati'!I13,'25.09 Gayaza-Kasangati'!I13,'29.09 Gayaza-Kasangati'!I13,'27.09 Gayaza-Kasangati'!I13,'26.09 Gayaza-Kasangati-24h'!I13,'28.09 Gayaza-Kasangati-24h'!I13,'29.09 Gayaza-Kasangati'!I13)</f>
        <v>8</v>
      </c>
      <c r="J13" s="49">
        <f>AVERAGE('23.09.Gayaza-Kasangati'!J13,'24.09 Gayaza-Kasangati'!J13,'25.09 Gayaza-Kasangati'!J13,'29.09 Gayaza-Kasangati'!J13,'27.09 Gayaza-Kasangati'!J13,'26.09 Gayaza-Kasangati-24h'!J13,'28.09 Gayaza-Kasangati-24h'!J13,'29.09 Gayaza-Kasangati'!J13)</f>
        <v>1.625</v>
      </c>
      <c r="K13" s="49">
        <f>AVERAGE('23.09.Gayaza-Kasangati'!K13,'24.09 Gayaza-Kasangati'!K13,'25.09 Gayaza-Kasangati'!K13,'29.09 Gayaza-Kasangati'!K13,'27.09 Gayaza-Kasangati'!K13,'26.09 Gayaza-Kasangati-24h'!K13,'28.09 Gayaza-Kasangati-24h'!K13,'29.09 Gayaza-Kasangati'!K13)</f>
        <v>0.875</v>
      </c>
      <c r="L13" s="49">
        <f>AVERAGE('23.09.Gayaza-Kasangati'!L13,'24.09 Gayaza-Kasangati'!L13,'25.09 Gayaza-Kasangati'!L13,'29.09 Gayaza-Kasangati'!L13,'27.09 Gayaza-Kasangati'!L13,'26.09 Gayaza-Kasangati-24h'!L13,'28.09 Gayaza-Kasangati-24h'!L13,'29.09 Gayaza-Kasangati'!L13)</f>
        <v>0.25</v>
      </c>
      <c r="M13" s="49">
        <f>AVERAGE('23.09.Gayaza-Kasangati'!M13,'24.09 Gayaza-Kasangati'!M13,'25.09 Gayaza-Kasangati'!M13,'29.09 Gayaza-Kasangati'!M13,'27.09 Gayaza-Kasangati'!M13,'26.09 Gayaza-Kasangati-24h'!M13,'28.09 Gayaza-Kasangati-24h'!M13,'29.09 Gayaza-Kasangati'!M13)</f>
        <v>178.5</v>
      </c>
      <c r="N13" s="49">
        <f>AVERAGE('23.09.Gayaza-Kasangati'!N13,'24.09 Gayaza-Kasangati'!N13,'25.09 Gayaza-Kasangati'!N13,'29.09 Gayaza-Kasangati'!N13,'27.09 Gayaza-Kasangati'!N13,'26.09 Gayaza-Kasangati-24h'!N13,'28.09 Gayaza-Kasangati-24h'!N13,'29.09 Gayaza-Kasangati'!N13)</f>
        <v>0</v>
      </c>
      <c r="O13" s="15">
        <f t="shared" si="0"/>
        <v>160.5</v>
      </c>
      <c r="P13" s="15">
        <f t="shared" si="1"/>
        <v>339</v>
      </c>
      <c r="R13" s="1" t="s">
        <v>9</v>
      </c>
      <c r="S13" s="17">
        <f t="shared" ref="S13:AF13" si="5">SUM(C22:C25)</f>
        <v>234.875</v>
      </c>
      <c r="T13" s="17">
        <f t="shared" si="5"/>
        <v>38.25</v>
      </c>
      <c r="U13" s="17">
        <f t="shared" si="5"/>
        <v>22.125</v>
      </c>
      <c r="V13" s="17">
        <f t="shared" si="5"/>
        <v>147.5</v>
      </c>
      <c r="W13" s="17">
        <f t="shared" si="5"/>
        <v>2.125</v>
      </c>
      <c r="X13" s="17">
        <f t="shared" si="5"/>
        <v>1.25</v>
      </c>
      <c r="Y13" s="17">
        <f t="shared" si="5"/>
        <v>29.125</v>
      </c>
      <c r="Z13" s="17">
        <f t="shared" si="5"/>
        <v>10.625</v>
      </c>
      <c r="AA13" s="17">
        <f t="shared" si="5"/>
        <v>6.75</v>
      </c>
      <c r="AB13" s="17">
        <f t="shared" si="5"/>
        <v>0.625</v>
      </c>
      <c r="AC13" s="17">
        <f t="shared" si="5"/>
        <v>413.625</v>
      </c>
      <c r="AD13" s="17">
        <f t="shared" si="5"/>
        <v>0.125</v>
      </c>
      <c r="AE13" s="31">
        <f t="shared" si="5"/>
        <v>493.375</v>
      </c>
      <c r="AF13" s="31">
        <f t="shared" si="5"/>
        <v>907</v>
      </c>
    </row>
    <row r="14" spans="2:32" ht="23.1" customHeight="1" x14ac:dyDescent="0.25">
      <c r="B14" s="23" t="s">
        <v>41</v>
      </c>
      <c r="C14" s="49">
        <f>AVERAGE('23.09.Gayaza-Kasangati'!C14,'24.09 Gayaza-Kasangati'!C14,'25.09 Gayaza-Kasangati'!C14,'29.09 Gayaza-Kasangati'!C14,'27.09 Gayaza-Kasangati'!C14,'26.09 Gayaza-Kasangati-24h'!C14,'28.09 Gayaza-Kasangati-24h'!C14,'29.09 Gayaza-Kasangati'!C14)</f>
        <v>79</v>
      </c>
      <c r="D14" s="49">
        <f>AVERAGE('23.09.Gayaza-Kasangati'!D14,'24.09 Gayaza-Kasangati'!D14,'25.09 Gayaza-Kasangati'!D14,'29.09 Gayaza-Kasangati'!D14,'27.09 Gayaza-Kasangati'!D14,'26.09 Gayaza-Kasangati-24h'!D14,'28.09 Gayaza-Kasangati-24h'!D14,'29.09 Gayaza-Kasangati'!D14)</f>
        <v>7.125</v>
      </c>
      <c r="E14" s="49">
        <f>AVERAGE('23.09.Gayaza-Kasangati'!E14,'24.09 Gayaza-Kasangati'!E14,'25.09 Gayaza-Kasangati'!E14,'29.09 Gayaza-Kasangati'!E14,'27.09 Gayaza-Kasangati'!E14,'26.09 Gayaza-Kasangati-24h'!E14,'28.09 Gayaza-Kasangati-24h'!E14,'29.09 Gayaza-Kasangati'!E14)</f>
        <v>7.375</v>
      </c>
      <c r="F14" s="49">
        <f>AVERAGE('23.09.Gayaza-Kasangati'!F14,'24.09 Gayaza-Kasangati'!F14,'25.09 Gayaza-Kasangati'!F14,'29.09 Gayaza-Kasangati'!F14,'27.09 Gayaza-Kasangati'!F14,'26.09 Gayaza-Kasangati-24h'!F14,'28.09 Gayaza-Kasangati-24h'!F14,'29.09 Gayaza-Kasangati'!F14)</f>
        <v>46.5</v>
      </c>
      <c r="G14" s="49">
        <f>AVERAGE('23.09.Gayaza-Kasangati'!G14,'24.09 Gayaza-Kasangati'!G14,'25.09 Gayaza-Kasangati'!G14,'29.09 Gayaza-Kasangati'!G14,'27.09 Gayaza-Kasangati'!G14,'26.09 Gayaza-Kasangati-24h'!G14,'28.09 Gayaza-Kasangati-24h'!G14,'29.09 Gayaza-Kasangati'!G14)</f>
        <v>0.5</v>
      </c>
      <c r="H14" s="49">
        <f>AVERAGE('23.09.Gayaza-Kasangati'!H14,'24.09 Gayaza-Kasangati'!H14,'25.09 Gayaza-Kasangati'!H14,'29.09 Gayaza-Kasangati'!H14,'27.09 Gayaza-Kasangati'!H14,'26.09 Gayaza-Kasangati-24h'!H14,'28.09 Gayaza-Kasangati-24h'!H14,'29.09 Gayaza-Kasangati'!H14)</f>
        <v>0.875</v>
      </c>
      <c r="I14" s="49">
        <f>AVERAGE('23.09.Gayaza-Kasangati'!I14,'24.09 Gayaza-Kasangati'!I14,'25.09 Gayaza-Kasangati'!I14,'29.09 Gayaza-Kasangati'!I14,'27.09 Gayaza-Kasangati'!I14,'26.09 Gayaza-Kasangati-24h'!I14,'28.09 Gayaza-Kasangati-24h'!I14,'29.09 Gayaza-Kasangati'!I14)</f>
        <v>6.125</v>
      </c>
      <c r="J14" s="49">
        <f>AVERAGE('23.09.Gayaza-Kasangati'!J14,'24.09 Gayaza-Kasangati'!J14,'25.09 Gayaza-Kasangati'!J14,'29.09 Gayaza-Kasangati'!J14,'27.09 Gayaza-Kasangati'!J14,'26.09 Gayaza-Kasangati-24h'!J14,'28.09 Gayaza-Kasangati-24h'!J14,'29.09 Gayaza-Kasangati'!J14)</f>
        <v>1.25</v>
      </c>
      <c r="K14" s="49">
        <f>AVERAGE('23.09.Gayaza-Kasangati'!K14,'24.09 Gayaza-Kasangati'!K14,'25.09 Gayaza-Kasangati'!K14,'29.09 Gayaza-Kasangati'!K14,'27.09 Gayaza-Kasangati'!K14,'26.09 Gayaza-Kasangati-24h'!K14,'28.09 Gayaza-Kasangati-24h'!K14,'29.09 Gayaza-Kasangati'!K14)</f>
        <v>3.75</v>
      </c>
      <c r="L14" s="49">
        <f>AVERAGE('23.09.Gayaza-Kasangati'!L14,'24.09 Gayaza-Kasangati'!L14,'25.09 Gayaza-Kasangati'!L14,'29.09 Gayaza-Kasangati'!L14,'27.09 Gayaza-Kasangati'!L14,'26.09 Gayaza-Kasangati-24h'!L14,'28.09 Gayaza-Kasangati-24h'!L14,'29.09 Gayaza-Kasangati'!L14)</f>
        <v>0.25</v>
      </c>
      <c r="M14" s="49">
        <f>AVERAGE('23.09.Gayaza-Kasangati'!M14,'24.09 Gayaza-Kasangati'!M14,'25.09 Gayaza-Kasangati'!M14,'29.09 Gayaza-Kasangati'!M14,'27.09 Gayaza-Kasangati'!M14,'26.09 Gayaza-Kasangati-24h'!M14,'28.09 Gayaza-Kasangati-24h'!M14,'29.09 Gayaza-Kasangati'!M14)</f>
        <v>151.875</v>
      </c>
      <c r="N14" s="49">
        <f>AVERAGE('23.09.Gayaza-Kasangati'!N14,'24.09 Gayaza-Kasangati'!N14,'25.09 Gayaza-Kasangati'!N14,'29.09 Gayaza-Kasangati'!N14,'27.09 Gayaza-Kasangati'!N14,'26.09 Gayaza-Kasangati-24h'!N14,'28.09 Gayaza-Kasangati-24h'!N14,'29.09 Gayaza-Kasangati'!N14)</f>
        <v>0</v>
      </c>
      <c r="O14" s="15">
        <f t="shared" si="0"/>
        <v>152.75</v>
      </c>
      <c r="P14" s="15">
        <f t="shared" si="1"/>
        <v>304.625</v>
      </c>
      <c r="R14" s="1" t="s">
        <v>10</v>
      </c>
      <c r="S14" s="17">
        <f t="shared" ref="S14:AF14" si="6">SUM(C26:C29)</f>
        <v>203.25</v>
      </c>
      <c r="T14" s="17">
        <f t="shared" si="6"/>
        <v>33</v>
      </c>
      <c r="U14" s="17">
        <f t="shared" si="6"/>
        <v>24.375</v>
      </c>
      <c r="V14" s="17">
        <f t="shared" si="6"/>
        <v>137</v>
      </c>
      <c r="W14" s="17">
        <f t="shared" si="6"/>
        <v>2.125</v>
      </c>
      <c r="X14" s="17">
        <f t="shared" si="6"/>
        <v>0.75</v>
      </c>
      <c r="Y14" s="17">
        <f t="shared" si="6"/>
        <v>42</v>
      </c>
      <c r="Z14" s="17">
        <f t="shared" si="6"/>
        <v>7.25</v>
      </c>
      <c r="AA14" s="17">
        <f t="shared" si="6"/>
        <v>12.875</v>
      </c>
      <c r="AB14" s="17">
        <f t="shared" si="6"/>
        <v>0.375</v>
      </c>
      <c r="AC14" s="17">
        <f t="shared" si="6"/>
        <v>391.875</v>
      </c>
      <c r="AD14" s="17">
        <f t="shared" si="6"/>
        <v>0</v>
      </c>
      <c r="AE14" s="31">
        <f t="shared" si="6"/>
        <v>463</v>
      </c>
      <c r="AF14" s="31">
        <f t="shared" si="6"/>
        <v>854.875</v>
      </c>
    </row>
    <row r="15" spans="2:32" ht="23.1" customHeight="1" x14ac:dyDescent="0.25">
      <c r="B15" s="23" t="s">
        <v>42</v>
      </c>
      <c r="C15" s="49">
        <f>AVERAGE('23.09.Gayaza-Kasangati'!C15,'24.09 Gayaza-Kasangati'!C15,'25.09 Gayaza-Kasangati'!C15,'29.09 Gayaza-Kasangati'!C15,'27.09 Gayaza-Kasangati'!C15,'26.09 Gayaza-Kasangati-24h'!C15,'28.09 Gayaza-Kasangati-24h'!C15,'29.09 Gayaza-Kasangati'!C15)</f>
        <v>63.25</v>
      </c>
      <c r="D15" s="49">
        <f>AVERAGE('23.09.Gayaza-Kasangati'!D15,'24.09 Gayaza-Kasangati'!D15,'25.09 Gayaza-Kasangati'!D15,'29.09 Gayaza-Kasangati'!D15,'27.09 Gayaza-Kasangati'!D15,'26.09 Gayaza-Kasangati-24h'!D15,'28.09 Gayaza-Kasangati-24h'!D15,'29.09 Gayaza-Kasangati'!D15)</f>
        <v>6.75</v>
      </c>
      <c r="E15" s="49">
        <f>AVERAGE('23.09.Gayaza-Kasangati'!E15,'24.09 Gayaza-Kasangati'!E15,'25.09 Gayaza-Kasangati'!E15,'29.09 Gayaza-Kasangati'!E15,'27.09 Gayaza-Kasangati'!E15,'26.09 Gayaza-Kasangati-24h'!E15,'28.09 Gayaza-Kasangati-24h'!E15,'29.09 Gayaza-Kasangati'!E15)</f>
        <v>4.25</v>
      </c>
      <c r="F15" s="49">
        <f>AVERAGE('23.09.Gayaza-Kasangati'!F15,'24.09 Gayaza-Kasangati'!F15,'25.09 Gayaza-Kasangati'!F15,'29.09 Gayaza-Kasangati'!F15,'27.09 Gayaza-Kasangati'!F15,'26.09 Gayaza-Kasangati-24h'!F15,'28.09 Gayaza-Kasangati-24h'!F15,'29.09 Gayaza-Kasangati'!F15)</f>
        <v>38.25</v>
      </c>
      <c r="G15" s="49">
        <f>AVERAGE('23.09.Gayaza-Kasangati'!G15,'24.09 Gayaza-Kasangati'!G15,'25.09 Gayaza-Kasangati'!G15,'29.09 Gayaza-Kasangati'!G15,'27.09 Gayaza-Kasangati'!G15,'26.09 Gayaza-Kasangati-24h'!G15,'28.09 Gayaza-Kasangati-24h'!G15,'29.09 Gayaza-Kasangati'!G15)</f>
        <v>0.75</v>
      </c>
      <c r="H15" s="49">
        <f>AVERAGE('23.09.Gayaza-Kasangati'!H15,'24.09 Gayaza-Kasangati'!H15,'25.09 Gayaza-Kasangati'!H15,'29.09 Gayaza-Kasangati'!H15,'27.09 Gayaza-Kasangati'!H15,'26.09 Gayaza-Kasangati-24h'!H15,'28.09 Gayaza-Kasangati-24h'!H15,'29.09 Gayaza-Kasangati'!H15)</f>
        <v>0.25</v>
      </c>
      <c r="I15" s="49">
        <f>AVERAGE('23.09.Gayaza-Kasangati'!I15,'24.09 Gayaza-Kasangati'!I15,'25.09 Gayaza-Kasangati'!I15,'29.09 Gayaza-Kasangati'!I15,'27.09 Gayaza-Kasangati'!I15,'26.09 Gayaza-Kasangati-24h'!I15,'28.09 Gayaza-Kasangati-24h'!I15,'29.09 Gayaza-Kasangati'!I15)</f>
        <v>7.125</v>
      </c>
      <c r="J15" s="49">
        <f>AVERAGE('23.09.Gayaza-Kasangati'!J15,'24.09 Gayaza-Kasangati'!J15,'25.09 Gayaza-Kasangati'!J15,'29.09 Gayaza-Kasangati'!J15,'27.09 Gayaza-Kasangati'!J15,'26.09 Gayaza-Kasangati-24h'!J15,'28.09 Gayaza-Kasangati-24h'!J15,'29.09 Gayaza-Kasangati'!J15)</f>
        <v>2.875</v>
      </c>
      <c r="K15" s="49">
        <f>AVERAGE('23.09.Gayaza-Kasangati'!K15,'24.09 Gayaza-Kasangati'!K15,'25.09 Gayaza-Kasangati'!K15,'29.09 Gayaza-Kasangati'!K15,'27.09 Gayaza-Kasangati'!K15,'26.09 Gayaza-Kasangati-24h'!K15,'28.09 Gayaza-Kasangati-24h'!K15,'29.09 Gayaza-Kasangati'!K15)</f>
        <v>3.125</v>
      </c>
      <c r="L15" s="49">
        <f>AVERAGE('23.09.Gayaza-Kasangati'!L15,'24.09 Gayaza-Kasangati'!L15,'25.09 Gayaza-Kasangati'!L15,'29.09 Gayaza-Kasangati'!L15,'27.09 Gayaza-Kasangati'!L15,'26.09 Gayaza-Kasangati-24h'!L15,'28.09 Gayaza-Kasangati-24h'!L15,'29.09 Gayaza-Kasangati'!L15)</f>
        <v>0</v>
      </c>
      <c r="M15" s="49">
        <f>AVERAGE('23.09.Gayaza-Kasangati'!M15,'24.09 Gayaza-Kasangati'!M15,'25.09 Gayaza-Kasangati'!M15,'29.09 Gayaza-Kasangati'!M15,'27.09 Gayaza-Kasangati'!M15,'26.09 Gayaza-Kasangati-24h'!M15,'28.09 Gayaza-Kasangati-24h'!M15,'29.09 Gayaza-Kasangati'!M15)</f>
        <v>166.125</v>
      </c>
      <c r="N15" s="49">
        <f>AVERAGE('23.09.Gayaza-Kasangati'!N15,'24.09 Gayaza-Kasangati'!N15,'25.09 Gayaza-Kasangati'!N15,'29.09 Gayaza-Kasangati'!N15,'27.09 Gayaza-Kasangati'!N15,'26.09 Gayaza-Kasangati-24h'!N15,'28.09 Gayaza-Kasangati-24h'!N15,'29.09 Gayaza-Kasangati'!N15)</f>
        <v>0</v>
      </c>
      <c r="O15" s="15">
        <f t="shared" si="0"/>
        <v>126.625</v>
      </c>
      <c r="P15" s="15">
        <f t="shared" si="1"/>
        <v>292.75</v>
      </c>
      <c r="R15" s="1" t="s">
        <v>11</v>
      </c>
      <c r="S15" s="17">
        <f t="shared" ref="S15:AF15" si="7">SUM(C30:C33)</f>
        <v>187.75</v>
      </c>
      <c r="T15" s="17">
        <f t="shared" si="7"/>
        <v>40.125</v>
      </c>
      <c r="U15" s="17">
        <f t="shared" si="7"/>
        <v>24.75</v>
      </c>
      <c r="V15" s="17">
        <f t="shared" si="7"/>
        <v>131.5</v>
      </c>
      <c r="W15" s="17">
        <f t="shared" si="7"/>
        <v>1.25</v>
      </c>
      <c r="X15" s="17">
        <f t="shared" si="7"/>
        <v>1.125</v>
      </c>
      <c r="Y15" s="17">
        <f t="shared" si="7"/>
        <v>36.25</v>
      </c>
      <c r="Z15" s="17">
        <f t="shared" si="7"/>
        <v>7.75</v>
      </c>
      <c r="AA15" s="17">
        <f t="shared" si="7"/>
        <v>12</v>
      </c>
      <c r="AB15" s="17">
        <f t="shared" si="7"/>
        <v>0.625</v>
      </c>
      <c r="AC15" s="17">
        <f t="shared" si="7"/>
        <v>297.125</v>
      </c>
      <c r="AD15" s="17">
        <f t="shared" si="7"/>
        <v>0</v>
      </c>
      <c r="AE15" s="31">
        <f t="shared" si="7"/>
        <v>443.125</v>
      </c>
      <c r="AF15" s="31">
        <f t="shared" si="7"/>
        <v>740.25</v>
      </c>
    </row>
    <row r="16" spans="2:32" ht="23.1" customHeight="1" x14ac:dyDescent="0.25">
      <c r="B16" s="23" t="s">
        <v>43</v>
      </c>
      <c r="C16" s="49">
        <f>AVERAGE('23.09.Gayaza-Kasangati'!C16,'24.09 Gayaza-Kasangati'!C16,'25.09 Gayaza-Kasangati'!C16,'29.09 Gayaza-Kasangati'!C16,'27.09 Gayaza-Kasangati'!C16,'26.09 Gayaza-Kasangati-24h'!C16,'28.09 Gayaza-Kasangati-24h'!C16,'29.09 Gayaza-Kasangati'!C16)</f>
        <v>56.5</v>
      </c>
      <c r="D16" s="49">
        <f>AVERAGE('23.09.Gayaza-Kasangati'!D16,'24.09 Gayaza-Kasangati'!D16,'25.09 Gayaza-Kasangati'!D16,'29.09 Gayaza-Kasangati'!D16,'27.09 Gayaza-Kasangati'!D16,'26.09 Gayaza-Kasangati-24h'!D16,'28.09 Gayaza-Kasangati-24h'!D16,'29.09 Gayaza-Kasangati'!D16)</f>
        <v>10.25</v>
      </c>
      <c r="E16" s="49">
        <f>AVERAGE('23.09.Gayaza-Kasangati'!E16,'24.09 Gayaza-Kasangati'!E16,'25.09 Gayaza-Kasangati'!E16,'29.09 Gayaza-Kasangati'!E16,'27.09 Gayaza-Kasangati'!E16,'26.09 Gayaza-Kasangati-24h'!E16,'28.09 Gayaza-Kasangati-24h'!E16,'29.09 Gayaza-Kasangati'!E16)</f>
        <v>3.875</v>
      </c>
      <c r="F16" s="49">
        <f>AVERAGE('23.09.Gayaza-Kasangati'!F16,'24.09 Gayaza-Kasangati'!F16,'25.09 Gayaza-Kasangati'!F16,'29.09 Gayaza-Kasangati'!F16,'27.09 Gayaza-Kasangati'!F16,'26.09 Gayaza-Kasangati-24h'!F16,'28.09 Gayaza-Kasangati-24h'!F16,'29.09 Gayaza-Kasangati'!F16)</f>
        <v>41.5</v>
      </c>
      <c r="G16" s="49">
        <f>AVERAGE('23.09.Gayaza-Kasangati'!G16,'24.09 Gayaza-Kasangati'!G16,'25.09 Gayaza-Kasangati'!G16,'29.09 Gayaza-Kasangati'!G16,'27.09 Gayaza-Kasangati'!G16,'26.09 Gayaza-Kasangati-24h'!G16,'28.09 Gayaza-Kasangati-24h'!G16,'29.09 Gayaza-Kasangati'!G16)</f>
        <v>0.125</v>
      </c>
      <c r="H16" s="49">
        <f>AVERAGE('23.09.Gayaza-Kasangati'!H16,'24.09 Gayaza-Kasangati'!H16,'25.09 Gayaza-Kasangati'!H16,'29.09 Gayaza-Kasangati'!H16,'27.09 Gayaza-Kasangati'!H16,'26.09 Gayaza-Kasangati-24h'!H16,'28.09 Gayaza-Kasangati-24h'!H16,'29.09 Gayaza-Kasangati'!H16)</f>
        <v>0.875</v>
      </c>
      <c r="I16" s="49">
        <f>AVERAGE('23.09.Gayaza-Kasangati'!I16,'24.09 Gayaza-Kasangati'!I16,'25.09 Gayaza-Kasangati'!I16,'29.09 Gayaza-Kasangati'!I16,'27.09 Gayaza-Kasangati'!I16,'26.09 Gayaza-Kasangati-24h'!I16,'28.09 Gayaza-Kasangati-24h'!I16,'29.09 Gayaza-Kasangati'!I16)</f>
        <v>11</v>
      </c>
      <c r="J16" s="49">
        <f>AVERAGE('23.09.Gayaza-Kasangati'!J16,'24.09 Gayaza-Kasangati'!J16,'25.09 Gayaza-Kasangati'!J16,'29.09 Gayaza-Kasangati'!J16,'27.09 Gayaza-Kasangati'!J16,'26.09 Gayaza-Kasangati-24h'!J16,'28.09 Gayaza-Kasangati-24h'!J16,'29.09 Gayaza-Kasangati'!J16)</f>
        <v>2.625</v>
      </c>
      <c r="K16" s="49">
        <f>AVERAGE('23.09.Gayaza-Kasangati'!K16,'24.09 Gayaza-Kasangati'!K16,'25.09 Gayaza-Kasangati'!K16,'29.09 Gayaza-Kasangati'!K16,'27.09 Gayaza-Kasangati'!K16,'26.09 Gayaza-Kasangati-24h'!K16,'28.09 Gayaza-Kasangati-24h'!K16,'29.09 Gayaza-Kasangati'!K16)</f>
        <v>2.375</v>
      </c>
      <c r="L16" s="49">
        <f>AVERAGE('23.09.Gayaza-Kasangati'!L16,'24.09 Gayaza-Kasangati'!L16,'25.09 Gayaza-Kasangati'!L16,'29.09 Gayaza-Kasangati'!L16,'27.09 Gayaza-Kasangati'!L16,'26.09 Gayaza-Kasangati-24h'!L16,'28.09 Gayaza-Kasangati-24h'!L16,'29.09 Gayaza-Kasangati'!L16)</f>
        <v>0</v>
      </c>
      <c r="M16" s="49">
        <f>AVERAGE('23.09.Gayaza-Kasangati'!M16,'24.09 Gayaza-Kasangati'!M16,'25.09 Gayaza-Kasangati'!M16,'29.09 Gayaza-Kasangati'!M16,'27.09 Gayaza-Kasangati'!M16,'26.09 Gayaza-Kasangati-24h'!M16,'28.09 Gayaza-Kasangati-24h'!M16,'29.09 Gayaza-Kasangati'!M16)</f>
        <v>177.125</v>
      </c>
      <c r="N16" s="49">
        <f>AVERAGE('23.09.Gayaza-Kasangati'!N16,'24.09 Gayaza-Kasangati'!N16,'25.09 Gayaza-Kasangati'!N16,'29.09 Gayaza-Kasangati'!N16,'27.09 Gayaza-Kasangati'!N16,'26.09 Gayaza-Kasangati-24h'!N16,'28.09 Gayaza-Kasangati-24h'!N16,'29.09 Gayaza-Kasangati'!N16)</f>
        <v>0</v>
      </c>
      <c r="O16" s="15">
        <f t="shared" si="0"/>
        <v>129.125</v>
      </c>
      <c r="P16" s="15">
        <f t="shared" si="1"/>
        <v>306.25</v>
      </c>
      <c r="R16" s="1" t="s">
        <v>12</v>
      </c>
      <c r="S16" s="17">
        <f t="shared" ref="S16:AF16" si="8">SUM(C34:C37)</f>
        <v>170.625</v>
      </c>
      <c r="T16" s="17">
        <f t="shared" si="8"/>
        <v>42.75</v>
      </c>
      <c r="U16" s="17">
        <f t="shared" si="8"/>
        <v>21.375</v>
      </c>
      <c r="V16" s="17">
        <f t="shared" si="8"/>
        <v>114.75</v>
      </c>
      <c r="W16" s="17">
        <f t="shared" si="8"/>
        <v>1.25</v>
      </c>
      <c r="X16" s="17">
        <f t="shared" si="8"/>
        <v>1.5</v>
      </c>
      <c r="Y16" s="17">
        <f t="shared" si="8"/>
        <v>34.25</v>
      </c>
      <c r="Z16" s="17">
        <f t="shared" si="8"/>
        <v>8.25</v>
      </c>
      <c r="AA16" s="17">
        <f t="shared" si="8"/>
        <v>10</v>
      </c>
      <c r="AB16" s="17">
        <f t="shared" si="8"/>
        <v>1.375</v>
      </c>
      <c r="AC16" s="17">
        <f t="shared" si="8"/>
        <v>247.5</v>
      </c>
      <c r="AD16" s="17">
        <f t="shared" si="8"/>
        <v>0</v>
      </c>
      <c r="AE16" s="31">
        <f t="shared" si="8"/>
        <v>406.125</v>
      </c>
      <c r="AF16" s="31">
        <f t="shared" si="8"/>
        <v>653.625</v>
      </c>
    </row>
    <row r="17" spans="2:32" ht="23.1" customHeight="1" x14ac:dyDescent="0.25">
      <c r="B17" s="23" t="s">
        <v>44</v>
      </c>
      <c r="C17" s="49">
        <f>AVERAGE('23.09.Gayaza-Kasangati'!C17,'24.09 Gayaza-Kasangati'!C17,'25.09 Gayaza-Kasangati'!C17,'29.09 Gayaza-Kasangati'!C17,'27.09 Gayaza-Kasangati'!C17,'26.09 Gayaza-Kasangati-24h'!C17,'28.09 Gayaza-Kasangati-24h'!C17,'29.09 Gayaza-Kasangati'!C17)</f>
        <v>63.875</v>
      </c>
      <c r="D17" s="49">
        <f>AVERAGE('23.09.Gayaza-Kasangati'!D17,'24.09 Gayaza-Kasangati'!D17,'25.09 Gayaza-Kasangati'!D17,'29.09 Gayaza-Kasangati'!D17,'27.09 Gayaza-Kasangati'!D17,'26.09 Gayaza-Kasangati-24h'!D17,'28.09 Gayaza-Kasangati-24h'!D17,'29.09 Gayaza-Kasangati'!D17)</f>
        <v>8</v>
      </c>
      <c r="E17" s="49">
        <f>AVERAGE('23.09.Gayaza-Kasangati'!E17,'24.09 Gayaza-Kasangati'!E17,'25.09 Gayaza-Kasangati'!E17,'29.09 Gayaza-Kasangati'!E17,'27.09 Gayaza-Kasangati'!E17,'26.09 Gayaza-Kasangati-24h'!E17,'28.09 Gayaza-Kasangati-24h'!E17,'29.09 Gayaza-Kasangati'!E17)</f>
        <v>3.875</v>
      </c>
      <c r="F17" s="49">
        <f>AVERAGE('23.09.Gayaza-Kasangati'!F17,'24.09 Gayaza-Kasangati'!F17,'25.09 Gayaza-Kasangati'!F17,'29.09 Gayaza-Kasangati'!F17,'27.09 Gayaza-Kasangati'!F17,'26.09 Gayaza-Kasangati-24h'!F17,'28.09 Gayaza-Kasangati-24h'!F17,'29.09 Gayaza-Kasangati'!F17)</f>
        <v>38.875</v>
      </c>
      <c r="G17" s="49">
        <f>AVERAGE('23.09.Gayaza-Kasangati'!G17,'24.09 Gayaza-Kasangati'!G17,'25.09 Gayaza-Kasangati'!G17,'29.09 Gayaza-Kasangati'!G17,'27.09 Gayaza-Kasangati'!G17,'26.09 Gayaza-Kasangati-24h'!G17,'28.09 Gayaza-Kasangati-24h'!G17,'29.09 Gayaza-Kasangati'!G17)</f>
        <v>0.375</v>
      </c>
      <c r="H17" s="49">
        <f>AVERAGE('23.09.Gayaza-Kasangati'!H17,'24.09 Gayaza-Kasangati'!H17,'25.09 Gayaza-Kasangati'!H17,'29.09 Gayaza-Kasangati'!H17,'27.09 Gayaza-Kasangati'!H17,'26.09 Gayaza-Kasangati-24h'!H17,'28.09 Gayaza-Kasangati-24h'!H17,'29.09 Gayaza-Kasangati'!H17)</f>
        <v>0</v>
      </c>
      <c r="I17" s="49">
        <f>AVERAGE('23.09.Gayaza-Kasangati'!I17,'24.09 Gayaza-Kasangati'!I17,'25.09 Gayaza-Kasangati'!I17,'29.09 Gayaza-Kasangati'!I17,'27.09 Gayaza-Kasangati'!I17,'26.09 Gayaza-Kasangati-24h'!I17,'28.09 Gayaza-Kasangati-24h'!I17,'29.09 Gayaza-Kasangati'!I17)</f>
        <v>10.125</v>
      </c>
      <c r="J17" s="49">
        <f>AVERAGE('23.09.Gayaza-Kasangati'!J17,'24.09 Gayaza-Kasangati'!J17,'25.09 Gayaza-Kasangati'!J17,'29.09 Gayaza-Kasangati'!J17,'27.09 Gayaza-Kasangati'!J17,'26.09 Gayaza-Kasangati-24h'!J17,'28.09 Gayaza-Kasangati-24h'!J17,'29.09 Gayaza-Kasangati'!J17)</f>
        <v>1.875</v>
      </c>
      <c r="K17" s="49">
        <f>AVERAGE('23.09.Gayaza-Kasangati'!K17,'24.09 Gayaza-Kasangati'!K17,'25.09 Gayaza-Kasangati'!K17,'29.09 Gayaza-Kasangati'!K17,'27.09 Gayaza-Kasangati'!K17,'26.09 Gayaza-Kasangati-24h'!K17,'28.09 Gayaza-Kasangati-24h'!K17,'29.09 Gayaza-Kasangati'!K17)</f>
        <v>2</v>
      </c>
      <c r="L17" s="49">
        <f>AVERAGE('23.09.Gayaza-Kasangati'!L17,'24.09 Gayaza-Kasangati'!L17,'25.09 Gayaza-Kasangati'!L17,'29.09 Gayaza-Kasangati'!L17,'27.09 Gayaza-Kasangati'!L17,'26.09 Gayaza-Kasangati-24h'!L17,'28.09 Gayaza-Kasangati-24h'!L17,'29.09 Gayaza-Kasangati'!L17)</f>
        <v>0</v>
      </c>
      <c r="M17" s="49">
        <f>AVERAGE('23.09.Gayaza-Kasangati'!M17,'24.09 Gayaza-Kasangati'!M17,'25.09 Gayaza-Kasangati'!M17,'29.09 Gayaza-Kasangati'!M17,'27.09 Gayaza-Kasangati'!M17,'26.09 Gayaza-Kasangati-24h'!M17,'28.09 Gayaza-Kasangati-24h'!M17,'29.09 Gayaza-Kasangati'!M17)</f>
        <v>149.25</v>
      </c>
      <c r="N17" s="49">
        <f>AVERAGE('23.09.Gayaza-Kasangati'!N17,'24.09 Gayaza-Kasangati'!N17,'25.09 Gayaza-Kasangati'!N17,'29.09 Gayaza-Kasangati'!N17,'27.09 Gayaza-Kasangati'!N17,'26.09 Gayaza-Kasangati-24h'!N17,'28.09 Gayaza-Kasangati-24h'!N17,'29.09 Gayaza-Kasangati'!N17)</f>
        <v>0</v>
      </c>
      <c r="O17" s="15">
        <f t="shared" si="0"/>
        <v>129</v>
      </c>
      <c r="P17" s="15">
        <f t="shared" si="1"/>
        <v>278.25</v>
      </c>
      <c r="R17" s="1" t="s">
        <v>13</v>
      </c>
      <c r="S17" s="17">
        <f t="shared" ref="S17:AF17" si="9">SUM(C38:C41)</f>
        <v>183.75</v>
      </c>
      <c r="T17" s="17">
        <f t="shared" si="9"/>
        <v>43.875</v>
      </c>
      <c r="U17" s="17">
        <f t="shared" si="9"/>
        <v>23.875</v>
      </c>
      <c r="V17" s="17">
        <f t="shared" si="9"/>
        <v>119</v>
      </c>
      <c r="W17" s="17">
        <f t="shared" si="9"/>
        <v>0.875</v>
      </c>
      <c r="X17" s="17">
        <f t="shared" si="9"/>
        <v>0.5</v>
      </c>
      <c r="Y17" s="17">
        <f t="shared" si="9"/>
        <v>42.5</v>
      </c>
      <c r="Z17" s="17">
        <f t="shared" si="9"/>
        <v>8.375</v>
      </c>
      <c r="AA17" s="17">
        <f t="shared" si="9"/>
        <v>6.25</v>
      </c>
      <c r="AB17" s="17">
        <f t="shared" si="9"/>
        <v>1</v>
      </c>
      <c r="AC17" s="17">
        <f t="shared" si="9"/>
        <v>269.75</v>
      </c>
      <c r="AD17" s="17">
        <f t="shared" si="9"/>
        <v>0</v>
      </c>
      <c r="AE17" s="31">
        <f t="shared" si="9"/>
        <v>430</v>
      </c>
      <c r="AF17" s="31">
        <f t="shared" si="9"/>
        <v>699.75</v>
      </c>
    </row>
    <row r="18" spans="2:32" ht="23.1" customHeight="1" x14ac:dyDescent="0.25">
      <c r="B18" s="23" t="s">
        <v>45</v>
      </c>
      <c r="C18" s="49">
        <f>AVERAGE('23.09.Gayaza-Kasangati'!C18,'24.09 Gayaza-Kasangati'!C18,'25.09 Gayaza-Kasangati'!C18,'29.09 Gayaza-Kasangati'!C18,'27.09 Gayaza-Kasangati'!C18,'26.09 Gayaza-Kasangati-24h'!C18,'28.09 Gayaza-Kasangati-24h'!C18,'29.09 Gayaza-Kasangati'!C18)</f>
        <v>60.875</v>
      </c>
      <c r="D18" s="49">
        <f>AVERAGE('23.09.Gayaza-Kasangati'!D18,'24.09 Gayaza-Kasangati'!D18,'25.09 Gayaza-Kasangati'!D18,'29.09 Gayaza-Kasangati'!D18,'27.09 Gayaza-Kasangati'!D18,'26.09 Gayaza-Kasangati-24h'!D18,'28.09 Gayaza-Kasangati-24h'!D18,'29.09 Gayaza-Kasangati'!D18)</f>
        <v>12.375</v>
      </c>
      <c r="E18" s="49">
        <f>AVERAGE('23.09.Gayaza-Kasangati'!E18,'24.09 Gayaza-Kasangati'!E18,'25.09 Gayaza-Kasangati'!E18,'29.09 Gayaza-Kasangati'!E18,'27.09 Gayaza-Kasangati'!E18,'26.09 Gayaza-Kasangati-24h'!E18,'28.09 Gayaza-Kasangati-24h'!E18,'29.09 Gayaza-Kasangati'!E18)</f>
        <v>5.75</v>
      </c>
      <c r="F18" s="49">
        <f>AVERAGE('23.09.Gayaza-Kasangati'!F18,'24.09 Gayaza-Kasangati'!F18,'25.09 Gayaza-Kasangati'!F18,'29.09 Gayaza-Kasangati'!F18,'27.09 Gayaza-Kasangati'!F18,'26.09 Gayaza-Kasangati-24h'!F18,'28.09 Gayaza-Kasangati-24h'!F18,'29.09 Gayaza-Kasangati'!F18)</f>
        <v>38.75</v>
      </c>
      <c r="G18" s="49">
        <f>AVERAGE('23.09.Gayaza-Kasangati'!G18,'24.09 Gayaza-Kasangati'!G18,'25.09 Gayaza-Kasangati'!G18,'29.09 Gayaza-Kasangati'!G18,'27.09 Gayaza-Kasangati'!G18,'26.09 Gayaza-Kasangati-24h'!G18,'28.09 Gayaza-Kasangati-24h'!G18,'29.09 Gayaza-Kasangati'!G18)</f>
        <v>0.875</v>
      </c>
      <c r="H18" s="49">
        <f>AVERAGE('23.09.Gayaza-Kasangati'!H18,'24.09 Gayaza-Kasangati'!H18,'25.09 Gayaza-Kasangati'!H18,'29.09 Gayaza-Kasangati'!H18,'27.09 Gayaza-Kasangati'!H18,'26.09 Gayaza-Kasangati-24h'!H18,'28.09 Gayaza-Kasangati-24h'!H18,'29.09 Gayaza-Kasangati'!H18)</f>
        <v>0.125</v>
      </c>
      <c r="I18" s="49">
        <f>AVERAGE('23.09.Gayaza-Kasangati'!I18,'24.09 Gayaza-Kasangati'!I18,'25.09 Gayaza-Kasangati'!I18,'29.09 Gayaza-Kasangati'!I18,'27.09 Gayaza-Kasangati'!I18,'26.09 Gayaza-Kasangati-24h'!I18,'28.09 Gayaza-Kasangati-24h'!I18,'29.09 Gayaza-Kasangati'!I18)</f>
        <v>8.25</v>
      </c>
      <c r="J18" s="49">
        <f>AVERAGE('23.09.Gayaza-Kasangati'!J18,'24.09 Gayaza-Kasangati'!J18,'25.09 Gayaza-Kasangati'!J18,'29.09 Gayaza-Kasangati'!J18,'27.09 Gayaza-Kasangati'!J18,'26.09 Gayaza-Kasangati-24h'!J18,'28.09 Gayaza-Kasangati-24h'!J18,'29.09 Gayaza-Kasangati'!J18)</f>
        <v>2.25</v>
      </c>
      <c r="K18" s="49">
        <f>AVERAGE('23.09.Gayaza-Kasangati'!K18,'24.09 Gayaza-Kasangati'!K18,'25.09 Gayaza-Kasangati'!K18,'29.09 Gayaza-Kasangati'!K18,'27.09 Gayaza-Kasangati'!K18,'26.09 Gayaza-Kasangati-24h'!K18,'28.09 Gayaza-Kasangati-24h'!K18,'29.09 Gayaza-Kasangati'!K18)</f>
        <v>2.25</v>
      </c>
      <c r="L18" s="49">
        <f>AVERAGE('23.09.Gayaza-Kasangati'!L18,'24.09 Gayaza-Kasangati'!L18,'25.09 Gayaza-Kasangati'!L18,'29.09 Gayaza-Kasangati'!L18,'27.09 Gayaza-Kasangati'!L18,'26.09 Gayaza-Kasangati-24h'!L18,'28.09 Gayaza-Kasangati-24h'!L18,'29.09 Gayaza-Kasangati'!L18)</f>
        <v>0.25</v>
      </c>
      <c r="M18" s="49">
        <f>AVERAGE('23.09.Gayaza-Kasangati'!M18,'24.09 Gayaza-Kasangati'!M18,'25.09 Gayaza-Kasangati'!M18,'29.09 Gayaza-Kasangati'!M18,'27.09 Gayaza-Kasangati'!M18,'26.09 Gayaza-Kasangati-24h'!M18,'28.09 Gayaza-Kasangati-24h'!M18,'29.09 Gayaza-Kasangati'!M18)</f>
        <v>115.75</v>
      </c>
      <c r="N18" s="49">
        <f>AVERAGE('23.09.Gayaza-Kasangati'!N18,'24.09 Gayaza-Kasangati'!N18,'25.09 Gayaza-Kasangati'!N18,'29.09 Gayaza-Kasangati'!N18,'27.09 Gayaza-Kasangati'!N18,'26.09 Gayaza-Kasangati-24h'!N18,'28.09 Gayaza-Kasangati-24h'!N18,'29.09 Gayaza-Kasangati'!N18)</f>
        <v>0</v>
      </c>
      <c r="O18" s="15">
        <f t="shared" si="0"/>
        <v>131.75</v>
      </c>
      <c r="P18" s="15">
        <f t="shared" si="1"/>
        <v>247.5</v>
      </c>
      <c r="R18" s="1" t="s">
        <v>14</v>
      </c>
      <c r="S18" s="17">
        <f t="shared" ref="S18:AF18" si="10">SUM(C42:C45)</f>
        <v>197.25</v>
      </c>
      <c r="T18" s="17">
        <f t="shared" si="10"/>
        <v>43.625</v>
      </c>
      <c r="U18" s="17">
        <f t="shared" si="10"/>
        <v>39.125</v>
      </c>
      <c r="V18" s="17">
        <f t="shared" si="10"/>
        <v>137.125</v>
      </c>
      <c r="W18" s="17">
        <f t="shared" si="10"/>
        <v>1.75</v>
      </c>
      <c r="X18" s="17">
        <f t="shared" si="10"/>
        <v>1.125</v>
      </c>
      <c r="Y18" s="17">
        <f t="shared" si="10"/>
        <v>47.125</v>
      </c>
      <c r="Z18" s="17">
        <f t="shared" si="10"/>
        <v>9.25</v>
      </c>
      <c r="AA18" s="17">
        <f t="shared" si="10"/>
        <v>10.5</v>
      </c>
      <c r="AB18" s="17">
        <f t="shared" si="10"/>
        <v>1.625</v>
      </c>
      <c r="AC18" s="17">
        <f t="shared" si="10"/>
        <v>314.125</v>
      </c>
      <c r="AD18" s="17">
        <f t="shared" si="10"/>
        <v>0.125</v>
      </c>
      <c r="AE18" s="31">
        <f t="shared" si="10"/>
        <v>488.625</v>
      </c>
      <c r="AF18" s="31">
        <f t="shared" si="10"/>
        <v>802.75</v>
      </c>
    </row>
    <row r="19" spans="2:32" ht="23.1" customHeight="1" x14ac:dyDescent="0.25">
      <c r="B19" s="23" t="s">
        <v>46</v>
      </c>
      <c r="C19" s="49">
        <f>AVERAGE('23.09.Gayaza-Kasangati'!C19,'24.09 Gayaza-Kasangati'!C19,'25.09 Gayaza-Kasangati'!C19,'29.09 Gayaza-Kasangati'!C19,'27.09 Gayaza-Kasangati'!C19,'26.09 Gayaza-Kasangati-24h'!C19,'28.09 Gayaza-Kasangati-24h'!C19,'29.09 Gayaza-Kasangati'!C19)</f>
        <v>65.125</v>
      </c>
      <c r="D19" s="49">
        <f>AVERAGE('23.09.Gayaza-Kasangati'!D19,'24.09 Gayaza-Kasangati'!D19,'25.09 Gayaza-Kasangati'!D19,'29.09 Gayaza-Kasangati'!D19,'27.09 Gayaza-Kasangati'!D19,'26.09 Gayaza-Kasangati-24h'!D19,'28.09 Gayaza-Kasangati-24h'!D19,'29.09 Gayaza-Kasangati'!D19)</f>
        <v>10.75</v>
      </c>
      <c r="E19" s="49">
        <f>AVERAGE('23.09.Gayaza-Kasangati'!E19,'24.09 Gayaza-Kasangati'!E19,'25.09 Gayaza-Kasangati'!E19,'29.09 Gayaza-Kasangati'!E19,'27.09 Gayaza-Kasangati'!E19,'26.09 Gayaza-Kasangati-24h'!E19,'28.09 Gayaza-Kasangati-24h'!E19,'29.09 Gayaza-Kasangati'!E19)</f>
        <v>6.25</v>
      </c>
      <c r="F19" s="49">
        <f>AVERAGE('23.09.Gayaza-Kasangati'!F19,'24.09 Gayaza-Kasangati'!F19,'25.09 Gayaza-Kasangati'!F19,'29.09 Gayaza-Kasangati'!F19,'27.09 Gayaza-Kasangati'!F19,'26.09 Gayaza-Kasangati-24h'!F19,'28.09 Gayaza-Kasangati-24h'!F19,'29.09 Gayaza-Kasangati'!F19)</f>
        <v>41.125</v>
      </c>
      <c r="G19" s="49">
        <f>AVERAGE('23.09.Gayaza-Kasangati'!G19,'24.09 Gayaza-Kasangati'!G19,'25.09 Gayaza-Kasangati'!G19,'29.09 Gayaza-Kasangati'!G19,'27.09 Gayaza-Kasangati'!G19,'26.09 Gayaza-Kasangati-24h'!G19,'28.09 Gayaza-Kasangati-24h'!G19,'29.09 Gayaza-Kasangati'!G19)</f>
        <v>0.625</v>
      </c>
      <c r="H19" s="49">
        <f>AVERAGE('23.09.Gayaza-Kasangati'!H19,'24.09 Gayaza-Kasangati'!H19,'25.09 Gayaza-Kasangati'!H19,'29.09 Gayaza-Kasangati'!H19,'27.09 Gayaza-Kasangati'!H19,'26.09 Gayaza-Kasangati-24h'!H19,'28.09 Gayaza-Kasangati-24h'!H19,'29.09 Gayaza-Kasangati'!H19)</f>
        <v>0</v>
      </c>
      <c r="I19" s="49">
        <f>AVERAGE('23.09.Gayaza-Kasangati'!I19,'24.09 Gayaza-Kasangati'!I19,'25.09 Gayaza-Kasangati'!I19,'29.09 Gayaza-Kasangati'!I19,'27.09 Gayaza-Kasangati'!I19,'26.09 Gayaza-Kasangati-24h'!I19,'28.09 Gayaza-Kasangati-24h'!I19,'29.09 Gayaza-Kasangati'!I19)</f>
        <v>7</v>
      </c>
      <c r="J19" s="49">
        <f>AVERAGE('23.09.Gayaza-Kasangati'!J19,'24.09 Gayaza-Kasangati'!J19,'25.09 Gayaza-Kasangati'!J19,'29.09 Gayaza-Kasangati'!J19,'27.09 Gayaza-Kasangati'!J19,'26.09 Gayaza-Kasangati-24h'!J19,'28.09 Gayaza-Kasangati-24h'!J19,'29.09 Gayaza-Kasangati'!J19)</f>
        <v>2</v>
      </c>
      <c r="K19" s="49">
        <f>AVERAGE('23.09.Gayaza-Kasangati'!K19,'24.09 Gayaza-Kasangati'!K19,'25.09 Gayaza-Kasangati'!K19,'29.09 Gayaza-Kasangati'!K19,'27.09 Gayaza-Kasangati'!K19,'26.09 Gayaza-Kasangati-24h'!K19,'28.09 Gayaza-Kasangati-24h'!K19,'29.09 Gayaza-Kasangati'!K19)</f>
        <v>1.875</v>
      </c>
      <c r="L19" s="49">
        <f>AVERAGE('23.09.Gayaza-Kasangati'!L19,'24.09 Gayaza-Kasangati'!L19,'25.09 Gayaza-Kasangati'!L19,'29.09 Gayaza-Kasangati'!L19,'27.09 Gayaza-Kasangati'!L19,'26.09 Gayaza-Kasangati-24h'!L19,'28.09 Gayaza-Kasangati-24h'!L19,'29.09 Gayaza-Kasangati'!L19)</f>
        <v>0.375</v>
      </c>
      <c r="M19" s="49">
        <f>AVERAGE('23.09.Gayaza-Kasangati'!M19,'24.09 Gayaza-Kasangati'!M19,'25.09 Gayaza-Kasangati'!M19,'29.09 Gayaza-Kasangati'!M19,'27.09 Gayaza-Kasangati'!M19,'26.09 Gayaza-Kasangati-24h'!M19,'28.09 Gayaza-Kasangati-24h'!M19,'29.09 Gayaza-Kasangati'!M19)</f>
        <v>128.875</v>
      </c>
      <c r="N19" s="49">
        <f>AVERAGE('23.09.Gayaza-Kasangati'!N19,'24.09 Gayaza-Kasangati'!N19,'25.09 Gayaza-Kasangati'!N19,'29.09 Gayaza-Kasangati'!N19,'27.09 Gayaza-Kasangati'!N19,'26.09 Gayaza-Kasangati-24h'!N19,'28.09 Gayaza-Kasangati-24h'!N19,'29.09 Gayaza-Kasangati'!N19)</f>
        <v>0</v>
      </c>
      <c r="O19" s="15">
        <f t="shared" si="0"/>
        <v>135.125</v>
      </c>
      <c r="P19" s="15">
        <f t="shared" si="1"/>
        <v>264</v>
      </c>
      <c r="R19" s="1" t="s">
        <v>15</v>
      </c>
      <c r="S19" s="17">
        <f t="shared" ref="S19:AF19" si="11">SUM(C46:C49)</f>
        <v>231.75</v>
      </c>
      <c r="T19" s="17">
        <f t="shared" si="11"/>
        <v>54.25</v>
      </c>
      <c r="U19" s="17">
        <f t="shared" si="11"/>
        <v>24.75</v>
      </c>
      <c r="V19" s="17">
        <f t="shared" si="11"/>
        <v>146.375</v>
      </c>
      <c r="W19" s="17">
        <f t="shared" si="11"/>
        <v>7.875</v>
      </c>
      <c r="X19" s="17">
        <f t="shared" si="11"/>
        <v>1.75</v>
      </c>
      <c r="Y19" s="17">
        <f t="shared" si="11"/>
        <v>47.625</v>
      </c>
      <c r="Z19" s="17">
        <f t="shared" si="11"/>
        <v>10.625</v>
      </c>
      <c r="AA19" s="17">
        <f t="shared" si="11"/>
        <v>8.125</v>
      </c>
      <c r="AB19" s="17">
        <f t="shared" si="11"/>
        <v>0.5</v>
      </c>
      <c r="AC19" s="17">
        <f t="shared" si="11"/>
        <v>376.625</v>
      </c>
      <c r="AD19" s="17">
        <f t="shared" si="11"/>
        <v>0</v>
      </c>
      <c r="AE19" s="31">
        <f t="shared" si="11"/>
        <v>533.625</v>
      </c>
      <c r="AF19" s="31">
        <f t="shared" si="11"/>
        <v>910.25</v>
      </c>
    </row>
    <row r="20" spans="2:32" ht="23.1" customHeight="1" x14ac:dyDescent="0.25">
      <c r="B20" s="23" t="s">
        <v>47</v>
      </c>
      <c r="C20" s="49">
        <f>AVERAGE('23.09.Gayaza-Kasangati'!C20,'24.09 Gayaza-Kasangati'!C20,'25.09 Gayaza-Kasangati'!C20,'29.09 Gayaza-Kasangati'!C20,'27.09 Gayaza-Kasangati'!C20,'26.09 Gayaza-Kasangati-24h'!C20,'28.09 Gayaza-Kasangati-24h'!C20,'29.09 Gayaza-Kasangati'!C20)</f>
        <v>60</v>
      </c>
      <c r="D20" s="49">
        <f>AVERAGE('23.09.Gayaza-Kasangati'!D20,'24.09 Gayaza-Kasangati'!D20,'25.09 Gayaza-Kasangati'!D20,'29.09 Gayaza-Kasangati'!D20,'27.09 Gayaza-Kasangati'!D20,'26.09 Gayaza-Kasangati-24h'!D20,'28.09 Gayaza-Kasangati-24h'!D20,'29.09 Gayaza-Kasangati'!D20)</f>
        <v>11</v>
      </c>
      <c r="E20" s="49">
        <f>AVERAGE('23.09.Gayaza-Kasangati'!E20,'24.09 Gayaza-Kasangati'!E20,'25.09 Gayaza-Kasangati'!E20,'29.09 Gayaza-Kasangati'!E20,'27.09 Gayaza-Kasangati'!E20,'26.09 Gayaza-Kasangati-24h'!E20,'28.09 Gayaza-Kasangati-24h'!E20,'29.09 Gayaza-Kasangati'!E20)</f>
        <v>5.5</v>
      </c>
      <c r="F20" s="49">
        <f>AVERAGE('23.09.Gayaza-Kasangati'!F20,'24.09 Gayaza-Kasangati'!F20,'25.09 Gayaza-Kasangati'!F20,'29.09 Gayaza-Kasangati'!F20,'27.09 Gayaza-Kasangati'!F20,'26.09 Gayaza-Kasangati-24h'!F20,'28.09 Gayaza-Kasangati-24h'!F20,'29.09 Gayaza-Kasangati'!F20)</f>
        <v>35.625</v>
      </c>
      <c r="G20" s="49">
        <f>AVERAGE('23.09.Gayaza-Kasangati'!G20,'24.09 Gayaza-Kasangati'!G20,'25.09 Gayaza-Kasangati'!G20,'29.09 Gayaza-Kasangati'!G20,'27.09 Gayaza-Kasangati'!G20,'26.09 Gayaza-Kasangati-24h'!G20,'28.09 Gayaza-Kasangati-24h'!G20,'29.09 Gayaza-Kasangati'!G20)</f>
        <v>0.5</v>
      </c>
      <c r="H20" s="49">
        <f>AVERAGE('23.09.Gayaza-Kasangati'!H20,'24.09 Gayaza-Kasangati'!H20,'25.09 Gayaza-Kasangati'!H20,'29.09 Gayaza-Kasangati'!H20,'27.09 Gayaza-Kasangati'!H20,'26.09 Gayaza-Kasangati-24h'!H20,'28.09 Gayaza-Kasangati-24h'!H20,'29.09 Gayaza-Kasangati'!H20)</f>
        <v>0.375</v>
      </c>
      <c r="I20" s="49">
        <f>AVERAGE('23.09.Gayaza-Kasangati'!I20,'24.09 Gayaza-Kasangati'!I20,'25.09 Gayaza-Kasangati'!I20,'29.09 Gayaza-Kasangati'!I20,'27.09 Gayaza-Kasangati'!I20,'26.09 Gayaza-Kasangati-24h'!I20,'28.09 Gayaza-Kasangati-24h'!I20,'29.09 Gayaza-Kasangati'!I20)</f>
        <v>9.625</v>
      </c>
      <c r="J20" s="49">
        <f>AVERAGE('23.09.Gayaza-Kasangati'!J20,'24.09 Gayaza-Kasangati'!J20,'25.09 Gayaza-Kasangati'!J20,'29.09 Gayaza-Kasangati'!J20,'27.09 Gayaza-Kasangati'!J20,'26.09 Gayaza-Kasangati-24h'!J20,'28.09 Gayaza-Kasangati-24h'!J20,'29.09 Gayaza-Kasangati'!J20)</f>
        <v>1.25</v>
      </c>
      <c r="K20" s="49">
        <f>AVERAGE('23.09.Gayaza-Kasangati'!K20,'24.09 Gayaza-Kasangati'!K20,'25.09 Gayaza-Kasangati'!K20,'29.09 Gayaza-Kasangati'!K20,'27.09 Gayaza-Kasangati'!K20,'26.09 Gayaza-Kasangati-24h'!K20,'28.09 Gayaza-Kasangati-24h'!K20,'29.09 Gayaza-Kasangati'!K20)</f>
        <v>1.125</v>
      </c>
      <c r="L20" s="49">
        <f>AVERAGE('23.09.Gayaza-Kasangati'!L20,'24.09 Gayaza-Kasangati'!L20,'25.09 Gayaza-Kasangati'!L20,'29.09 Gayaza-Kasangati'!L20,'27.09 Gayaza-Kasangati'!L20,'26.09 Gayaza-Kasangati-24h'!L20,'28.09 Gayaza-Kasangati-24h'!L20,'29.09 Gayaza-Kasangati'!L20)</f>
        <v>0.25</v>
      </c>
      <c r="M20" s="49">
        <f>AVERAGE('23.09.Gayaza-Kasangati'!M20,'24.09 Gayaza-Kasangati'!M20,'25.09 Gayaza-Kasangati'!M20,'29.09 Gayaza-Kasangati'!M20,'27.09 Gayaza-Kasangati'!M20,'26.09 Gayaza-Kasangati-24h'!M20,'28.09 Gayaza-Kasangati-24h'!M20,'29.09 Gayaza-Kasangati'!M20)</f>
        <v>151.625</v>
      </c>
      <c r="N20" s="49">
        <f>AVERAGE('23.09.Gayaza-Kasangati'!N20,'24.09 Gayaza-Kasangati'!N20,'25.09 Gayaza-Kasangati'!N20,'29.09 Gayaza-Kasangati'!N20,'27.09 Gayaza-Kasangati'!N20,'26.09 Gayaza-Kasangati-24h'!N20,'28.09 Gayaza-Kasangati-24h'!N20,'29.09 Gayaza-Kasangati'!N20)</f>
        <v>0</v>
      </c>
      <c r="O20" s="15">
        <f t="shared" si="0"/>
        <v>125.25</v>
      </c>
      <c r="P20" s="15">
        <f t="shared" si="1"/>
        <v>276.875</v>
      </c>
      <c r="R20" s="1" t="s">
        <v>16</v>
      </c>
      <c r="S20" s="17">
        <f t="shared" ref="S20:AF20" si="12">SUM(C50:C53)</f>
        <v>244.625</v>
      </c>
      <c r="T20" s="17">
        <f t="shared" si="12"/>
        <v>46.5</v>
      </c>
      <c r="U20" s="17">
        <f t="shared" si="12"/>
        <v>31</v>
      </c>
      <c r="V20" s="17">
        <f t="shared" si="12"/>
        <v>217.75</v>
      </c>
      <c r="W20" s="17">
        <f t="shared" si="12"/>
        <v>3.625</v>
      </c>
      <c r="X20" s="17">
        <f t="shared" si="12"/>
        <v>2.375</v>
      </c>
      <c r="Y20" s="17">
        <f t="shared" si="12"/>
        <v>42.375</v>
      </c>
      <c r="Z20" s="17">
        <f t="shared" si="12"/>
        <v>9.25</v>
      </c>
      <c r="AA20" s="17">
        <f t="shared" si="12"/>
        <v>8.625</v>
      </c>
      <c r="AB20" s="17">
        <f t="shared" si="12"/>
        <v>1.5</v>
      </c>
      <c r="AC20" s="17">
        <f t="shared" si="12"/>
        <v>426.75</v>
      </c>
      <c r="AD20" s="17">
        <f t="shared" si="12"/>
        <v>0</v>
      </c>
      <c r="AE20" s="31">
        <f t="shared" si="12"/>
        <v>607.625</v>
      </c>
      <c r="AF20" s="31">
        <f t="shared" si="12"/>
        <v>1034.375</v>
      </c>
    </row>
    <row r="21" spans="2:32" ht="23.1" customHeight="1" x14ac:dyDescent="0.25">
      <c r="B21" s="23" t="s">
        <v>48</v>
      </c>
      <c r="C21" s="49">
        <f>AVERAGE('23.09.Gayaza-Kasangati'!C21,'24.09 Gayaza-Kasangati'!C21,'25.09 Gayaza-Kasangati'!C21,'29.09 Gayaza-Kasangati'!C21,'27.09 Gayaza-Kasangati'!C21,'26.09 Gayaza-Kasangati-24h'!C21,'28.09 Gayaza-Kasangati-24h'!C21,'29.09 Gayaza-Kasangati'!C21)</f>
        <v>59.125</v>
      </c>
      <c r="D21" s="49">
        <f>AVERAGE('23.09.Gayaza-Kasangati'!D21,'24.09 Gayaza-Kasangati'!D21,'25.09 Gayaza-Kasangati'!D21,'29.09 Gayaza-Kasangati'!D21,'27.09 Gayaza-Kasangati'!D21,'26.09 Gayaza-Kasangati-24h'!D21,'28.09 Gayaza-Kasangati-24h'!D21,'29.09 Gayaza-Kasangati'!D21)</f>
        <v>8.75</v>
      </c>
      <c r="E21" s="49">
        <f>AVERAGE('23.09.Gayaza-Kasangati'!E21,'24.09 Gayaza-Kasangati'!E21,'25.09 Gayaza-Kasangati'!E21,'29.09 Gayaza-Kasangati'!E21,'27.09 Gayaza-Kasangati'!E21,'26.09 Gayaza-Kasangati-24h'!E21,'28.09 Gayaza-Kasangati-24h'!E21,'29.09 Gayaza-Kasangati'!E21)</f>
        <v>4.5</v>
      </c>
      <c r="F21" s="49">
        <f>AVERAGE('23.09.Gayaza-Kasangati'!F21,'24.09 Gayaza-Kasangati'!F21,'25.09 Gayaza-Kasangati'!F21,'29.09 Gayaza-Kasangati'!F21,'27.09 Gayaza-Kasangati'!F21,'26.09 Gayaza-Kasangati-24h'!F21,'28.09 Gayaza-Kasangati-24h'!F21,'29.09 Gayaza-Kasangati'!F21)</f>
        <v>38.625</v>
      </c>
      <c r="G21" s="49">
        <f>AVERAGE('23.09.Gayaza-Kasangati'!G21,'24.09 Gayaza-Kasangati'!G21,'25.09 Gayaza-Kasangati'!G21,'29.09 Gayaza-Kasangati'!G21,'27.09 Gayaza-Kasangati'!G21,'26.09 Gayaza-Kasangati-24h'!G21,'28.09 Gayaza-Kasangati-24h'!G21,'29.09 Gayaza-Kasangati'!G21)</f>
        <v>0.25</v>
      </c>
      <c r="H21" s="49">
        <f>AVERAGE('23.09.Gayaza-Kasangati'!H21,'24.09 Gayaza-Kasangati'!H21,'25.09 Gayaza-Kasangati'!H21,'29.09 Gayaza-Kasangati'!H21,'27.09 Gayaza-Kasangati'!H21,'26.09 Gayaza-Kasangati-24h'!H21,'28.09 Gayaza-Kasangati-24h'!H21,'29.09 Gayaza-Kasangati'!H21)</f>
        <v>0.25</v>
      </c>
      <c r="I21" s="49">
        <f>AVERAGE('23.09.Gayaza-Kasangati'!I21,'24.09 Gayaza-Kasangati'!I21,'25.09 Gayaza-Kasangati'!I21,'29.09 Gayaza-Kasangati'!I21,'27.09 Gayaza-Kasangati'!I21,'26.09 Gayaza-Kasangati-24h'!I21,'28.09 Gayaza-Kasangati-24h'!I21,'29.09 Gayaza-Kasangati'!I21)</f>
        <v>9.875</v>
      </c>
      <c r="J21" s="49">
        <f>AVERAGE('23.09.Gayaza-Kasangati'!J21,'24.09 Gayaza-Kasangati'!J21,'25.09 Gayaza-Kasangati'!J21,'29.09 Gayaza-Kasangati'!J21,'27.09 Gayaza-Kasangati'!J21,'26.09 Gayaza-Kasangati-24h'!J21,'28.09 Gayaza-Kasangati-24h'!J21,'29.09 Gayaza-Kasangati'!J21)</f>
        <v>1.875</v>
      </c>
      <c r="K21" s="49">
        <f>AVERAGE('23.09.Gayaza-Kasangati'!K21,'24.09 Gayaza-Kasangati'!K21,'25.09 Gayaza-Kasangati'!K21,'29.09 Gayaza-Kasangati'!K21,'27.09 Gayaza-Kasangati'!K21,'26.09 Gayaza-Kasangati-24h'!K21,'28.09 Gayaza-Kasangati-24h'!K21,'29.09 Gayaza-Kasangati'!K21)</f>
        <v>0.75</v>
      </c>
      <c r="L21" s="49">
        <f>AVERAGE('23.09.Gayaza-Kasangati'!L21,'24.09 Gayaza-Kasangati'!L21,'25.09 Gayaza-Kasangati'!L21,'29.09 Gayaza-Kasangati'!L21,'27.09 Gayaza-Kasangati'!L21,'26.09 Gayaza-Kasangati-24h'!L21,'28.09 Gayaza-Kasangati-24h'!L21,'29.09 Gayaza-Kasangati'!L21)</f>
        <v>0</v>
      </c>
      <c r="M21" s="49">
        <f>AVERAGE('23.09.Gayaza-Kasangati'!M21,'24.09 Gayaza-Kasangati'!M21,'25.09 Gayaza-Kasangati'!M21,'29.09 Gayaza-Kasangati'!M21,'27.09 Gayaza-Kasangati'!M21,'26.09 Gayaza-Kasangati-24h'!M21,'28.09 Gayaza-Kasangati-24h'!M21,'29.09 Gayaza-Kasangati'!M21)</f>
        <v>137.875</v>
      </c>
      <c r="N21" s="49">
        <f>AVERAGE('23.09.Gayaza-Kasangati'!N21,'24.09 Gayaza-Kasangati'!N21,'25.09 Gayaza-Kasangati'!N21,'29.09 Gayaza-Kasangati'!N21,'27.09 Gayaza-Kasangati'!N21,'26.09 Gayaza-Kasangati-24h'!N21,'28.09 Gayaza-Kasangati-24h'!N21,'29.09 Gayaza-Kasangati'!N21)</f>
        <v>0</v>
      </c>
      <c r="O21" s="15">
        <f t="shared" si="0"/>
        <v>124</v>
      </c>
      <c r="P21" s="15">
        <f t="shared" si="1"/>
        <v>261.875</v>
      </c>
      <c r="R21" s="36" t="s">
        <v>20</v>
      </c>
      <c r="S21" s="34">
        <f t="shared" ref="S21:AF21" si="13">SUM(C54:C57)</f>
        <v>231.625</v>
      </c>
      <c r="T21" s="17">
        <f t="shared" si="13"/>
        <v>58</v>
      </c>
      <c r="U21" s="17">
        <f t="shared" si="13"/>
        <v>38.875</v>
      </c>
      <c r="V21" s="17">
        <f t="shared" si="13"/>
        <v>176.75</v>
      </c>
      <c r="W21" s="17">
        <f t="shared" si="13"/>
        <v>6.125</v>
      </c>
      <c r="X21" s="17">
        <f t="shared" si="13"/>
        <v>1.25</v>
      </c>
      <c r="Y21" s="17">
        <f t="shared" si="13"/>
        <v>47.625</v>
      </c>
      <c r="Z21" s="17">
        <f t="shared" si="13"/>
        <v>9.125</v>
      </c>
      <c r="AA21" s="17">
        <f t="shared" si="13"/>
        <v>8</v>
      </c>
      <c r="AB21" s="17">
        <f t="shared" si="13"/>
        <v>1.375</v>
      </c>
      <c r="AC21" s="17">
        <f t="shared" si="13"/>
        <v>406.875</v>
      </c>
      <c r="AD21" s="17">
        <f t="shared" si="13"/>
        <v>0.125</v>
      </c>
      <c r="AE21" s="31">
        <f t="shared" si="13"/>
        <v>578.875</v>
      </c>
      <c r="AF21" s="31">
        <f t="shared" si="13"/>
        <v>985.75</v>
      </c>
    </row>
    <row r="22" spans="2:32" ht="23.1" customHeight="1" x14ac:dyDescent="0.25">
      <c r="B22" s="23" t="s">
        <v>49</v>
      </c>
      <c r="C22" s="49">
        <f>AVERAGE('23.09.Gayaza-Kasangati'!C22,'24.09 Gayaza-Kasangati'!C22,'25.09 Gayaza-Kasangati'!C22,'29.09 Gayaza-Kasangati'!C22,'27.09 Gayaza-Kasangati'!C22,'26.09 Gayaza-Kasangati-24h'!C22,'28.09 Gayaza-Kasangati-24h'!C22,'29.09 Gayaza-Kasangati'!C22)</f>
        <v>66.375</v>
      </c>
      <c r="D22" s="49">
        <f>AVERAGE('23.09.Gayaza-Kasangati'!D22,'24.09 Gayaza-Kasangati'!D22,'25.09 Gayaza-Kasangati'!D22,'29.09 Gayaza-Kasangati'!D22,'27.09 Gayaza-Kasangati'!D22,'26.09 Gayaza-Kasangati-24h'!D22,'28.09 Gayaza-Kasangati-24h'!D22,'29.09 Gayaza-Kasangati'!D22)</f>
        <v>8.625</v>
      </c>
      <c r="E22" s="49">
        <f>AVERAGE('23.09.Gayaza-Kasangati'!E22,'24.09 Gayaza-Kasangati'!E22,'25.09 Gayaza-Kasangati'!E22,'29.09 Gayaza-Kasangati'!E22,'27.09 Gayaza-Kasangati'!E22,'26.09 Gayaza-Kasangati-24h'!E22,'28.09 Gayaza-Kasangati-24h'!E22,'29.09 Gayaza-Kasangati'!E22)</f>
        <v>5.625</v>
      </c>
      <c r="F22" s="49">
        <f>AVERAGE('23.09.Gayaza-Kasangati'!F22,'24.09 Gayaza-Kasangati'!F22,'25.09 Gayaza-Kasangati'!F22,'29.09 Gayaza-Kasangati'!F22,'27.09 Gayaza-Kasangati'!F22,'26.09 Gayaza-Kasangati-24h'!F22,'28.09 Gayaza-Kasangati-24h'!F22,'29.09 Gayaza-Kasangati'!F22)</f>
        <v>34.875</v>
      </c>
      <c r="G22" s="49">
        <f>AVERAGE('23.09.Gayaza-Kasangati'!G22,'24.09 Gayaza-Kasangati'!G22,'25.09 Gayaza-Kasangati'!G22,'29.09 Gayaza-Kasangati'!G22,'27.09 Gayaza-Kasangati'!G22,'26.09 Gayaza-Kasangati-24h'!G22,'28.09 Gayaza-Kasangati-24h'!G22,'29.09 Gayaza-Kasangati'!G22)</f>
        <v>0.875</v>
      </c>
      <c r="H22" s="49">
        <f>AVERAGE('23.09.Gayaza-Kasangati'!H22,'24.09 Gayaza-Kasangati'!H22,'25.09 Gayaza-Kasangati'!H22,'29.09 Gayaza-Kasangati'!H22,'27.09 Gayaza-Kasangati'!H22,'26.09 Gayaza-Kasangati-24h'!H22,'28.09 Gayaza-Kasangati-24h'!H22,'29.09 Gayaza-Kasangati'!H22)</f>
        <v>0.375</v>
      </c>
      <c r="I22" s="49">
        <f>AVERAGE('23.09.Gayaza-Kasangati'!I22,'24.09 Gayaza-Kasangati'!I22,'25.09 Gayaza-Kasangati'!I22,'29.09 Gayaza-Kasangati'!I22,'27.09 Gayaza-Kasangati'!I22,'26.09 Gayaza-Kasangati-24h'!I22,'28.09 Gayaza-Kasangati-24h'!I22,'29.09 Gayaza-Kasangati'!I22)</f>
        <v>6.125</v>
      </c>
      <c r="J22" s="49">
        <f>AVERAGE('23.09.Gayaza-Kasangati'!J22,'24.09 Gayaza-Kasangati'!J22,'25.09 Gayaza-Kasangati'!J22,'29.09 Gayaza-Kasangati'!J22,'27.09 Gayaza-Kasangati'!J22,'26.09 Gayaza-Kasangati-24h'!J22,'28.09 Gayaza-Kasangati-24h'!J22,'29.09 Gayaza-Kasangati'!J22)</f>
        <v>1.875</v>
      </c>
      <c r="K22" s="49">
        <f>AVERAGE('23.09.Gayaza-Kasangati'!K22,'24.09 Gayaza-Kasangati'!K22,'25.09 Gayaza-Kasangati'!K22,'29.09 Gayaza-Kasangati'!K22,'27.09 Gayaza-Kasangati'!K22,'26.09 Gayaza-Kasangati-24h'!K22,'28.09 Gayaza-Kasangati-24h'!K22,'29.09 Gayaza-Kasangati'!K22)</f>
        <v>1.375</v>
      </c>
      <c r="L22" s="49">
        <f>AVERAGE('23.09.Gayaza-Kasangati'!L22,'24.09 Gayaza-Kasangati'!L22,'25.09 Gayaza-Kasangati'!L22,'29.09 Gayaza-Kasangati'!L22,'27.09 Gayaza-Kasangati'!L22,'26.09 Gayaza-Kasangati-24h'!L22,'28.09 Gayaza-Kasangati-24h'!L22,'29.09 Gayaza-Kasangati'!L22)</f>
        <v>0</v>
      </c>
      <c r="M22" s="49">
        <f>AVERAGE('23.09.Gayaza-Kasangati'!M22,'24.09 Gayaza-Kasangati'!M22,'25.09 Gayaza-Kasangati'!M22,'29.09 Gayaza-Kasangati'!M22,'27.09 Gayaza-Kasangati'!M22,'26.09 Gayaza-Kasangati-24h'!M22,'28.09 Gayaza-Kasangati-24h'!M22,'29.09 Gayaza-Kasangati'!M22)</f>
        <v>90.25</v>
      </c>
      <c r="N22" s="49">
        <f>AVERAGE('23.09.Gayaza-Kasangati'!N22,'24.09 Gayaza-Kasangati'!N22,'25.09 Gayaza-Kasangati'!N22,'29.09 Gayaza-Kasangati'!N22,'27.09 Gayaza-Kasangati'!N22,'26.09 Gayaza-Kasangati-24h'!N22,'28.09 Gayaza-Kasangati-24h'!N22,'29.09 Gayaza-Kasangati'!N22)</f>
        <v>0</v>
      </c>
      <c r="O22" s="15">
        <f t="shared" si="0"/>
        <v>126.125</v>
      </c>
      <c r="P22" s="15">
        <f t="shared" si="1"/>
        <v>216.375</v>
      </c>
      <c r="R22" s="1" t="s">
        <v>146</v>
      </c>
      <c r="S22" s="34">
        <f>SUM(C58:C61)</f>
        <v>237</v>
      </c>
      <c r="T22" s="34">
        <f t="shared" ref="T22:AF22" si="14">SUM(D58:D61)</f>
        <v>39</v>
      </c>
      <c r="U22" s="34">
        <f t="shared" si="14"/>
        <v>30.5</v>
      </c>
      <c r="V22" s="34">
        <f t="shared" si="14"/>
        <v>170</v>
      </c>
      <c r="W22" s="34">
        <f t="shared" si="14"/>
        <v>8.5</v>
      </c>
      <c r="X22" s="34">
        <f t="shared" si="14"/>
        <v>0</v>
      </c>
      <c r="Y22" s="34">
        <f t="shared" si="14"/>
        <v>36</v>
      </c>
      <c r="Z22" s="34">
        <f t="shared" si="14"/>
        <v>7</v>
      </c>
      <c r="AA22" s="34">
        <f t="shared" si="14"/>
        <v>2.5</v>
      </c>
      <c r="AB22" s="34">
        <f t="shared" si="14"/>
        <v>2</v>
      </c>
      <c r="AC22" s="34">
        <f t="shared" si="14"/>
        <v>348.5</v>
      </c>
      <c r="AD22" s="34">
        <f t="shared" si="14"/>
        <v>0</v>
      </c>
      <c r="AE22" s="69">
        <f t="shared" si="14"/>
        <v>532.5</v>
      </c>
      <c r="AF22" s="69">
        <f t="shared" si="14"/>
        <v>881</v>
      </c>
    </row>
    <row r="23" spans="2:32" ht="23.1" customHeight="1" x14ac:dyDescent="0.25">
      <c r="B23" s="23" t="s">
        <v>50</v>
      </c>
      <c r="C23" s="49">
        <f>AVERAGE('23.09.Gayaza-Kasangati'!C23,'24.09 Gayaza-Kasangati'!C23,'25.09 Gayaza-Kasangati'!C23,'29.09 Gayaza-Kasangati'!C23,'27.09 Gayaza-Kasangati'!C23,'26.09 Gayaza-Kasangati-24h'!C23,'28.09 Gayaza-Kasangati-24h'!C23,'29.09 Gayaza-Kasangati'!C23)</f>
        <v>54.25</v>
      </c>
      <c r="D23" s="49">
        <f>AVERAGE('23.09.Gayaza-Kasangati'!D23,'24.09 Gayaza-Kasangati'!D23,'25.09 Gayaza-Kasangati'!D23,'29.09 Gayaza-Kasangati'!D23,'27.09 Gayaza-Kasangati'!D23,'26.09 Gayaza-Kasangati-24h'!D23,'28.09 Gayaza-Kasangati-24h'!D23,'29.09 Gayaza-Kasangati'!D23)</f>
        <v>9.125</v>
      </c>
      <c r="E23" s="49">
        <f>AVERAGE('23.09.Gayaza-Kasangati'!E23,'24.09 Gayaza-Kasangati'!E23,'25.09 Gayaza-Kasangati'!E23,'29.09 Gayaza-Kasangati'!E23,'27.09 Gayaza-Kasangati'!E23,'26.09 Gayaza-Kasangati-24h'!E23,'28.09 Gayaza-Kasangati-24h'!E23,'29.09 Gayaza-Kasangati'!E23)</f>
        <v>5.375</v>
      </c>
      <c r="F23" s="49">
        <f>AVERAGE('23.09.Gayaza-Kasangati'!F23,'24.09 Gayaza-Kasangati'!F23,'25.09 Gayaza-Kasangati'!F23,'29.09 Gayaza-Kasangati'!F23,'27.09 Gayaza-Kasangati'!F23,'26.09 Gayaza-Kasangati-24h'!F23,'28.09 Gayaza-Kasangati-24h'!F23,'29.09 Gayaza-Kasangati'!F23)</f>
        <v>34.75</v>
      </c>
      <c r="G23" s="49">
        <f>AVERAGE('23.09.Gayaza-Kasangati'!G23,'24.09 Gayaza-Kasangati'!G23,'25.09 Gayaza-Kasangati'!G23,'29.09 Gayaza-Kasangati'!G23,'27.09 Gayaza-Kasangati'!G23,'26.09 Gayaza-Kasangati-24h'!G23,'28.09 Gayaza-Kasangati-24h'!G23,'29.09 Gayaza-Kasangati'!G23)</f>
        <v>0.5</v>
      </c>
      <c r="H23" s="49">
        <f>AVERAGE('23.09.Gayaza-Kasangati'!H23,'24.09 Gayaza-Kasangati'!H23,'25.09 Gayaza-Kasangati'!H23,'29.09 Gayaza-Kasangati'!H23,'27.09 Gayaza-Kasangati'!H23,'26.09 Gayaza-Kasangati-24h'!H23,'28.09 Gayaza-Kasangati-24h'!H23,'29.09 Gayaza-Kasangati'!H23)</f>
        <v>0.5</v>
      </c>
      <c r="I23" s="49">
        <f>AVERAGE('23.09.Gayaza-Kasangati'!I23,'24.09 Gayaza-Kasangati'!I23,'25.09 Gayaza-Kasangati'!I23,'29.09 Gayaza-Kasangati'!I23,'27.09 Gayaza-Kasangati'!I23,'26.09 Gayaza-Kasangati-24h'!I23,'28.09 Gayaza-Kasangati-24h'!I23,'29.09 Gayaza-Kasangati'!I23)</f>
        <v>7.5</v>
      </c>
      <c r="J23" s="49">
        <f>AVERAGE('23.09.Gayaza-Kasangati'!J23,'24.09 Gayaza-Kasangati'!J23,'25.09 Gayaza-Kasangati'!J23,'29.09 Gayaza-Kasangati'!J23,'27.09 Gayaza-Kasangati'!J23,'26.09 Gayaza-Kasangati-24h'!J23,'28.09 Gayaza-Kasangati-24h'!J23,'29.09 Gayaza-Kasangati'!J23)</f>
        <v>2</v>
      </c>
      <c r="K23" s="49">
        <f>AVERAGE('23.09.Gayaza-Kasangati'!K23,'24.09 Gayaza-Kasangati'!K23,'25.09 Gayaza-Kasangati'!K23,'29.09 Gayaza-Kasangati'!K23,'27.09 Gayaza-Kasangati'!K23,'26.09 Gayaza-Kasangati-24h'!K23,'28.09 Gayaza-Kasangati-24h'!K23,'29.09 Gayaza-Kasangati'!K23)</f>
        <v>2.625</v>
      </c>
      <c r="L23" s="49">
        <f>AVERAGE('23.09.Gayaza-Kasangati'!L23,'24.09 Gayaza-Kasangati'!L23,'25.09 Gayaza-Kasangati'!L23,'29.09 Gayaza-Kasangati'!L23,'27.09 Gayaza-Kasangati'!L23,'26.09 Gayaza-Kasangati-24h'!L23,'28.09 Gayaza-Kasangati-24h'!L23,'29.09 Gayaza-Kasangati'!L23)</f>
        <v>0.25</v>
      </c>
      <c r="M23" s="49">
        <f>AVERAGE('23.09.Gayaza-Kasangati'!M23,'24.09 Gayaza-Kasangati'!M23,'25.09 Gayaza-Kasangati'!M23,'29.09 Gayaza-Kasangati'!M23,'27.09 Gayaza-Kasangati'!M23,'26.09 Gayaza-Kasangati-24h'!M23,'28.09 Gayaza-Kasangati-24h'!M23,'29.09 Gayaza-Kasangati'!M23)</f>
        <v>107.125</v>
      </c>
      <c r="N23" s="49">
        <f>AVERAGE('23.09.Gayaza-Kasangati'!N23,'24.09 Gayaza-Kasangati'!N23,'25.09 Gayaza-Kasangati'!N23,'29.09 Gayaza-Kasangati'!N23,'27.09 Gayaza-Kasangati'!N23,'26.09 Gayaza-Kasangati-24h'!N23,'28.09 Gayaza-Kasangati-24h'!N23,'29.09 Gayaza-Kasangati'!N23)</f>
        <v>0</v>
      </c>
      <c r="O23" s="15">
        <f t="shared" si="0"/>
        <v>116.875</v>
      </c>
      <c r="P23" s="15">
        <f t="shared" si="1"/>
        <v>224</v>
      </c>
      <c r="R23" s="1" t="s">
        <v>147</v>
      </c>
      <c r="S23" s="34">
        <f>SUM(C62:C65)</f>
        <v>248.5</v>
      </c>
      <c r="T23" s="34">
        <f t="shared" ref="T23:AF23" si="15">SUM(D62:D65)</f>
        <v>41.5</v>
      </c>
      <c r="U23" s="34">
        <f t="shared" si="15"/>
        <v>31.5</v>
      </c>
      <c r="V23" s="34">
        <f t="shared" si="15"/>
        <v>174.5</v>
      </c>
      <c r="W23" s="34">
        <f t="shared" si="15"/>
        <v>10.5</v>
      </c>
      <c r="X23" s="34">
        <f t="shared" si="15"/>
        <v>0</v>
      </c>
      <c r="Y23" s="34">
        <f t="shared" si="15"/>
        <v>39.5</v>
      </c>
      <c r="Z23" s="34">
        <f t="shared" si="15"/>
        <v>6</v>
      </c>
      <c r="AA23" s="34">
        <f t="shared" si="15"/>
        <v>4</v>
      </c>
      <c r="AB23" s="34">
        <f t="shared" si="15"/>
        <v>1</v>
      </c>
      <c r="AC23" s="34">
        <f t="shared" si="15"/>
        <v>240.5</v>
      </c>
      <c r="AD23" s="34">
        <f t="shared" si="15"/>
        <v>0</v>
      </c>
      <c r="AE23" s="69">
        <f t="shared" si="15"/>
        <v>557</v>
      </c>
      <c r="AF23" s="69">
        <f t="shared" si="15"/>
        <v>797.5</v>
      </c>
    </row>
    <row r="24" spans="2:32" ht="23.1" customHeight="1" x14ac:dyDescent="0.25">
      <c r="B24" s="23" t="s">
        <v>51</v>
      </c>
      <c r="C24" s="49">
        <f>AVERAGE('23.09.Gayaza-Kasangati'!C24,'24.09 Gayaza-Kasangati'!C24,'25.09 Gayaza-Kasangati'!C24,'29.09 Gayaza-Kasangati'!C24,'27.09 Gayaza-Kasangati'!C24,'26.09 Gayaza-Kasangati-24h'!C24,'28.09 Gayaza-Kasangati-24h'!C24,'29.09 Gayaza-Kasangati'!C24)</f>
        <v>61</v>
      </c>
      <c r="D24" s="49">
        <f>AVERAGE('23.09.Gayaza-Kasangati'!D24,'24.09 Gayaza-Kasangati'!D24,'25.09 Gayaza-Kasangati'!D24,'29.09 Gayaza-Kasangati'!D24,'27.09 Gayaza-Kasangati'!D24,'26.09 Gayaza-Kasangati-24h'!D24,'28.09 Gayaza-Kasangati-24h'!D24,'29.09 Gayaza-Kasangati'!D24)</f>
        <v>11.125</v>
      </c>
      <c r="E24" s="49">
        <f>AVERAGE('23.09.Gayaza-Kasangati'!E24,'24.09 Gayaza-Kasangati'!E24,'25.09 Gayaza-Kasangati'!E24,'29.09 Gayaza-Kasangati'!E24,'27.09 Gayaza-Kasangati'!E24,'26.09 Gayaza-Kasangati-24h'!E24,'28.09 Gayaza-Kasangati-24h'!E24,'29.09 Gayaza-Kasangati'!E24)</f>
        <v>5.375</v>
      </c>
      <c r="F24" s="49">
        <f>AVERAGE('23.09.Gayaza-Kasangati'!F24,'24.09 Gayaza-Kasangati'!F24,'25.09 Gayaza-Kasangati'!F24,'29.09 Gayaza-Kasangati'!F24,'27.09 Gayaza-Kasangati'!F24,'26.09 Gayaza-Kasangati-24h'!F24,'28.09 Gayaza-Kasangati-24h'!F24,'29.09 Gayaza-Kasangati'!F24)</f>
        <v>37.375</v>
      </c>
      <c r="G24" s="49">
        <f>AVERAGE('23.09.Gayaza-Kasangati'!G24,'24.09 Gayaza-Kasangati'!G24,'25.09 Gayaza-Kasangati'!G24,'29.09 Gayaza-Kasangati'!G24,'27.09 Gayaza-Kasangati'!G24,'26.09 Gayaza-Kasangati-24h'!G24,'28.09 Gayaza-Kasangati-24h'!G24,'29.09 Gayaza-Kasangati'!G24)</f>
        <v>0.625</v>
      </c>
      <c r="H24" s="49">
        <f>AVERAGE('23.09.Gayaza-Kasangati'!H24,'24.09 Gayaza-Kasangati'!H24,'25.09 Gayaza-Kasangati'!H24,'29.09 Gayaza-Kasangati'!H24,'27.09 Gayaza-Kasangati'!H24,'26.09 Gayaza-Kasangati-24h'!H24,'28.09 Gayaza-Kasangati-24h'!H24,'29.09 Gayaza-Kasangati'!H24)</f>
        <v>0</v>
      </c>
      <c r="I24" s="49">
        <f>AVERAGE('23.09.Gayaza-Kasangati'!I24,'24.09 Gayaza-Kasangati'!I24,'25.09 Gayaza-Kasangati'!I24,'29.09 Gayaza-Kasangati'!I24,'27.09 Gayaza-Kasangati'!I24,'26.09 Gayaza-Kasangati-24h'!I24,'28.09 Gayaza-Kasangati-24h'!I24,'29.09 Gayaza-Kasangati'!I24)</f>
        <v>7</v>
      </c>
      <c r="J24" s="49">
        <f>AVERAGE('23.09.Gayaza-Kasangati'!J24,'24.09 Gayaza-Kasangati'!J24,'25.09 Gayaza-Kasangati'!J24,'29.09 Gayaza-Kasangati'!J24,'27.09 Gayaza-Kasangati'!J24,'26.09 Gayaza-Kasangati-24h'!J24,'28.09 Gayaza-Kasangati-24h'!J24,'29.09 Gayaza-Kasangati'!J24)</f>
        <v>4.625</v>
      </c>
      <c r="K24" s="49">
        <f>AVERAGE('23.09.Gayaza-Kasangati'!K24,'24.09 Gayaza-Kasangati'!K24,'25.09 Gayaza-Kasangati'!K24,'29.09 Gayaza-Kasangati'!K24,'27.09 Gayaza-Kasangati'!K24,'26.09 Gayaza-Kasangati-24h'!K24,'28.09 Gayaza-Kasangati-24h'!K24,'29.09 Gayaza-Kasangati'!K24)</f>
        <v>1.125</v>
      </c>
      <c r="L24" s="49">
        <f>AVERAGE('23.09.Gayaza-Kasangati'!L24,'24.09 Gayaza-Kasangati'!L24,'25.09 Gayaza-Kasangati'!L24,'29.09 Gayaza-Kasangati'!L24,'27.09 Gayaza-Kasangati'!L24,'26.09 Gayaza-Kasangati-24h'!L24,'28.09 Gayaza-Kasangati-24h'!L24,'29.09 Gayaza-Kasangati'!L24)</f>
        <v>0</v>
      </c>
      <c r="M24" s="49">
        <f>AVERAGE('23.09.Gayaza-Kasangati'!M24,'24.09 Gayaza-Kasangati'!M24,'25.09 Gayaza-Kasangati'!M24,'29.09 Gayaza-Kasangati'!M24,'27.09 Gayaza-Kasangati'!M24,'26.09 Gayaza-Kasangati-24h'!M24,'28.09 Gayaza-Kasangati-24h'!M24,'29.09 Gayaza-Kasangati'!M24)</f>
        <v>103.625</v>
      </c>
      <c r="N24" s="49">
        <f>AVERAGE('23.09.Gayaza-Kasangati'!N24,'24.09 Gayaza-Kasangati'!N24,'25.09 Gayaza-Kasangati'!N24,'29.09 Gayaza-Kasangati'!N24,'27.09 Gayaza-Kasangati'!N24,'26.09 Gayaza-Kasangati-24h'!N24,'28.09 Gayaza-Kasangati-24h'!N24,'29.09 Gayaza-Kasangati'!N24)</f>
        <v>0.125</v>
      </c>
      <c r="O24" s="15">
        <f t="shared" si="0"/>
        <v>128.375</v>
      </c>
      <c r="P24" s="15">
        <f t="shared" si="1"/>
        <v>232</v>
      </c>
      <c r="R24" s="1" t="s">
        <v>148</v>
      </c>
      <c r="S24" s="34">
        <f>SUM(C66:C69)</f>
        <v>160</v>
      </c>
      <c r="T24" s="34">
        <f t="shared" ref="T24:AF24" si="16">SUM(D66:D69)</f>
        <v>30.5</v>
      </c>
      <c r="U24" s="34">
        <f t="shared" si="16"/>
        <v>21</v>
      </c>
      <c r="V24" s="34">
        <f t="shared" si="16"/>
        <v>141.5</v>
      </c>
      <c r="W24" s="34">
        <f t="shared" si="16"/>
        <v>6</v>
      </c>
      <c r="X24" s="34">
        <f t="shared" si="16"/>
        <v>0</v>
      </c>
      <c r="Y24" s="34">
        <f t="shared" si="16"/>
        <v>31.5</v>
      </c>
      <c r="Z24" s="34">
        <f t="shared" si="16"/>
        <v>4</v>
      </c>
      <c r="AA24" s="34">
        <f t="shared" si="16"/>
        <v>3.5</v>
      </c>
      <c r="AB24" s="34">
        <f t="shared" si="16"/>
        <v>0.5</v>
      </c>
      <c r="AC24" s="34">
        <f t="shared" si="16"/>
        <v>167</v>
      </c>
      <c r="AD24" s="34">
        <f t="shared" si="16"/>
        <v>0</v>
      </c>
      <c r="AE24" s="69">
        <f t="shared" si="16"/>
        <v>398.5</v>
      </c>
      <c r="AF24" s="69">
        <f t="shared" si="16"/>
        <v>565.5</v>
      </c>
    </row>
    <row r="25" spans="2:32" ht="23.1" customHeight="1" x14ac:dyDescent="0.25">
      <c r="B25" s="23" t="s">
        <v>52</v>
      </c>
      <c r="C25" s="49">
        <f>AVERAGE('23.09.Gayaza-Kasangati'!C25,'24.09 Gayaza-Kasangati'!C25,'25.09 Gayaza-Kasangati'!C25,'29.09 Gayaza-Kasangati'!C25,'27.09 Gayaza-Kasangati'!C25,'26.09 Gayaza-Kasangati-24h'!C25,'28.09 Gayaza-Kasangati-24h'!C25,'29.09 Gayaza-Kasangati'!C25)</f>
        <v>53.25</v>
      </c>
      <c r="D25" s="49">
        <f>AVERAGE('23.09.Gayaza-Kasangati'!D25,'24.09 Gayaza-Kasangati'!D25,'25.09 Gayaza-Kasangati'!D25,'29.09 Gayaza-Kasangati'!D25,'27.09 Gayaza-Kasangati'!D25,'26.09 Gayaza-Kasangati-24h'!D25,'28.09 Gayaza-Kasangati-24h'!D25,'29.09 Gayaza-Kasangati'!D25)</f>
        <v>9.375</v>
      </c>
      <c r="E25" s="49">
        <f>AVERAGE('23.09.Gayaza-Kasangati'!E25,'24.09 Gayaza-Kasangati'!E25,'25.09 Gayaza-Kasangati'!E25,'29.09 Gayaza-Kasangati'!E25,'27.09 Gayaza-Kasangati'!E25,'26.09 Gayaza-Kasangati-24h'!E25,'28.09 Gayaza-Kasangati-24h'!E25,'29.09 Gayaza-Kasangati'!E25)</f>
        <v>5.75</v>
      </c>
      <c r="F25" s="49">
        <f>AVERAGE('23.09.Gayaza-Kasangati'!F25,'24.09 Gayaza-Kasangati'!F25,'25.09 Gayaza-Kasangati'!F25,'29.09 Gayaza-Kasangati'!F25,'27.09 Gayaza-Kasangati'!F25,'26.09 Gayaza-Kasangati-24h'!F25,'28.09 Gayaza-Kasangati-24h'!F25,'29.09 Gayaza-Kasangati'!F25)</f>
        <v>40.5</v>
      </c>
      <c r="G25" s="49">
        <f>AVERAGE('23.09.Gayaza-Kasangati'!G25,'24.09 Gayaza-Kasangati'!G25,'25.09 Gayaza-Kasangati'!G25,'29.09 Gayaza-Kasangati'!G25,'27.09 Gayaza-Kasangati'!G25,'26.09 Gayaza-Kasangati-24h'!G25,'28.09 Gayaza-Kasangati-24h'!G25,'29.09 Gayaza-Kasangati'!G25)</f>
        <v>0.125</v>
      </c>
      <c r="H25" s="49">
        <f>AVERAGE('23.09.Gayaza-Kasangati'!H25,'24.09 Gayaza-Kasangati'!H25,'25.09 Gayaza-Kasangati'!H25,'29.09 Gayaza-Kasangati'!H25,'27.09 Gayaza-Kasangati'!H25,'26.09 Gayaza-Kasangati-24h'!H25,'28.09 Gayaza-Kasangati-24h'!H25,'29.09 Gayaza-Kasangati'!H25)</f>
        <v>0.375</v>
      </c>
      <c r="I25" s="49">
        <f>AVERAGE('23.09.Gayaza-Kasangati'!I25,'24.09 Gayaza-Kasangati'!I25,'25.09 Gayaza-Kasangati'!I25,'29.09 Gayaza-Kasangati'!I25,'27.09 Gayaza-Kasangati'!I25,'26.09 Gayaza-Kasangati-24h'!I25,'28.09 Gayaza-Kasangati-24h'!I25,'29.09 Gayaza-Kasangati'!I25)</f>
        <v>8.5</v>
      </c>
      <c r="J25" s="49">
        <f>AVERAGE('23.09.Gayaza-Kasangati'!J25,'24.09 Gayaza-Kasangati'!J25,'25.09 Gayaza-Kasangati'!J25,'29.09 Gayaza-Kasangati'!J25,'27.09 Gayaza-Kasangati'!J25,'26.09 Gayaza-Kasangati-24h'!J25,'28.09 Gayaza-Kasangati-24h'!J25,'29.09 Gayaza-Kasangati'!J25)</f>
        <v>2.125</v>
      </c>
      <c r="K25" s="49">
        <f>AVERAGE('23.09.Gayaza-Kasangati'!K25,'24.09 Gayaza-Kasangati'!K25,'25.09 Gayaza-Kasangati'!K25,'29.09 Gayaza-Kasangati'!K25,'27.09 Gayaza-Kasangati'!K25,'26.09 Gayaza-Kasangati-24h'!K25,'28.09 Gayaza-Kasangati-24h'!K25,'29.09 Gayaza-Kasangati'!K25)</f>
        <v>1.625</v>
      </c>
      <c r="L25" s="49">
        <f>AVERAGE('23.09.Gayaza-Kasangati'!L25,'24.09 Gayaza-Kasangati'!L25,'25.09 Gayaza-Kasangati'!L25,'29.09 Gayaza-Kasangati'!L25,'27.09 Gayaza-Kasangati'!L25,'26.09 Gayaza-Kasangati-24h'!L25,'28.09 Gayaza-Kasangati-24h'!L25,'29.09 Gayaza-Kasangati'!L25)</f>
        <v>0.375</v>
      </c>
      <c r="M25" s="49">
        <f>AVERAGE('23.09.Gayaza-Kasangati'!M25,'24.09 Gayaza-Kasangati'!M25,'25.09 Gayaza-Kasangati'!M25,'29.09 Gayaza-Kasangati'!M25,'27.09 Gayaza-Kasangati'!M25,'26.09 Gayaza-Kasangati-24h'!M25,'28.09 Gayaza-Kasangati-24h'!M25,'29.09 Gayaza-Kasangati'!M25)</f>
        <v>112.625</v>
      </c>
      <c r="N25" s="49">
        <f>AVERAGE('23.09.Gayaza-Kasangati'!N25,'24.09 Gayaza-Kasangati'!N25,'25.09 Gayaza-Kasangati'!N25,'29.09 Gayaza-Kasangati'!N25,'27.09 Gayaza-Kasangati'!N25,'26.09 Gayaza-Kasangati-24h'!N25,'28.09 Gayaza-Kasangati-24h'!N25,'29.09 Gayaza-Kasangati'!N25)</f>
        <v>0</v>
      </c>
      <c r="O25" s="15">
        <f t="shared" si="0"/>
        <v>122</v>
      </c>
      <c r="P25" s="15">
        <f t="shared" si="1"/>
        <v>234.625</v>
      </c>
      <c r="R25" s="1" t="s">
        <v>149</v>
      </c>
      <c r="S25" s="34">
        <f>SUM(C70:C73)</f>
        <v>89</v>
      </c>
      <c r="T25" s="34">
        <f t="shared" ref="T25:AF25" si="17">SUM(D70:D73)</f>
        <v>14.5</v>
      </c>
      <c r="U25" s="34">
        <f t="shared" si="17"/>
        <v>14</v>
      </c>
      <c r="V25" s="34">
        <f t="shared" si="17"/>
        <v>103.5</v>
      </c>
      <c r="W25" s="34">
        <f t="shared" si="17"/>
        <v>4.5</v>
      </c>
      <c r="X25" s="34">
        <f t="shared" si="17"/>
        <v>0</v>
      </c>
      <c r="Y25" s="34">
        <f t="shared" si="17"/>
        <v>20.5</v>
      </c>
      <c r="Z25" s="34">
        <f t="shared" si="17"/>
        <v>2</v>
      </c>
      <c r="AA25" s="34">
        <f t="shared" si="17"/>
        <v>2</v>
      </c>
      <c r="AB25" s="34">
        <f t="shared" si="17"/>
        <v>0.5</v>
      </c>
      <c r="AC25" s="34">
        <f t="shared" si="17"/>
        <v>114</v>
      </c>
      <c r="AD25" s="34">
        <f t="shared" si="17"/>
        <v>0</v>
      </c>
      <c r="AE25" s="69">
        <f t="shared" si="17"/>
        <v>250.5</v>
      </c>
      <c r="AF25" s="69">
        <f t="shared" si="17"/>
        <v>364.5</v>
      </c>
    </row>
    <row r="26" spans="2:32" ht="23.1" customHeight="1" x14ac:dyDescent="0.25">
      <c r="B26" s="23" t="s">
        <v>53</v>
      </c>
      <c r="C26" s="49">
        <f>AVERAGE('23.09.Gayaza-Kasangati'!C26,'24.09 Gayaza-Kasangati'!C26,'25.09 Gayaza-Kasangati'!C26,'29.09 Gayaza-Kasangati'!C26,'27.09 Gayaza-Kasangati'!C26,'26.09 Gayaza-Kasangati-24h'!C26,'28.09 Gayaza-Kasangati-24h'!C26,'29.09 Gayaza-Kasangati'!C26)</f>
        <v>47.75</v>
      </c>
      <c r="D26" s="49">
        <f>AVERAGE('23.09.Gayaza-Kasangati'!D26,'24.09 Gayaza-Kasangati'!D26,'25.09 Gayaza-Kasangati'!D26,'29.09 Gayaza-Kasangati'!D26,'27.09 Gayaza-Kasangati'!D26,'26.09 Gayaza-Kasangati-24h'!D26,'28.09 Gayaza-Kasangati-24h'!D26,'29.09 Gayaza-Kasangati'!D26)</f>
        <v>8.875</v>
      </c>
      <c r="E26" s="49">
        <f>AVERAGE('23.09.Gayaza-Kasangati'!E26,'24.09 Gayaza-Kasangati'!E26,'25.09 Gayaza-Kasangati'!E26,'29.09 Gayaza-Kasangati'!E26,'27.09 Gayaza-Kasangati'!E26,'26.09 Gayaza-Kasangati-24h'!E26,'28.09 Gayaza-Kasangati-24h'!E26,'29.09 Gayaza-Kasangati'!E26)</f>
        <v>5.875</v>
      </c>
      <c r="F26" s="49">
        <f>AVERAGE('23.09.Gayaza-Kasangati'!F26,'24.09 Gayaza-Kasangati'!F26,'25.09 Gayaza-Kasangati'!F26,'29.09 Gayaza-Kasangati'!F26,'27.09 Gayaza-Kasangati'!F26,'26.09 Gayaza-Kasangati-24h'!F26,'28.09 Gayaza-Kasangati-24h'!F26,'29.09 Gayaza-Kasangati'!F26)</f>
        <v>32</v>
      </c>
      <c r="G26" s="49">
        <f>AVERAGE('23.09.Gayaza-Kasangati'!G26,'24.09 Gayaza-Kasangati'!G26,'25.09 Gayaza-Kasangati'!G26,'29.09 Gayaza-Kasangati'!G26,'27.09 Gayaza-Kasangati'!G26,'26.09 Gayaza-Kasangati-24h'!G26,'28.09 Gayaza-Kasangati-24h'!G26,'29.09 Gayaza-Kasangati'!G26)</f>
        <v>0.625</v>
      </c>
      <c r="H26" s="49">
        <f>AVERAGE('23.09.Gayaza-Kasangati'!H26,'24.09 Gayaza-Kasangati'!H26,'25.09 Gayaza-Kasangati'!H26,'29.09 Gayaza-Kasangati'!H26,'27.09 Gayaza-Kasangati'!H26,'26.09 Gayaza-Kasangati-24h'!H26,'28.09 Gayaza-Kasangati-24h'!H26,'29.09 Gayaza-Kasangati'!H26)</f>
        <v>0.125</v>
      </c>
      <c r="I26" s="49">
        <f>AVERAGE('23.09.Gayaza-Kasangati'!I26,'24.09 Gayaza-Kasangati'!I26,'25.09 Gayaza-Kasangati'!I26,'29.09 Gayaza-Kasangati'!I26,'27.09 Gayaza-Kasangati'!I26,'26.09 Gayaza-Kasangati-24h'!I26,'28.09 Gayaza-Kasangati-24h'!I26,'29.09 Gayaza-Kasangati'!I26)</f>
        <v>10</v>
      </c>
      <c r="J26" s="49">
        <f>AVERAGE('23.09.Gayaza-Kasangati'!J26,'24.09 Gayaza-Kasangati'!J26,'25.09 Gayaza-Kasangati'!J26,'29.09 Gayaza-Kasangati'!J26,'27.09 Gayaza-Kasangati'!J26,'26.09 Gayaza-Kasangati-24h'!J26,'28.09 Gayaza-Kasangati-24h'!J26,'29.09 Gayaza-Kasangati'!J26)</f>
        <v>2.25</v>
      </c>
      <c r="K26" s="49">
        <f>AVERAGE('23.09.Gayaza-Kasangati'!K26,'24.09 Gayaza-Kasangati'!K26,'25.09 Gayaza-Kasangati'!K26,'29.09 Gayaza-Kasangati'!K26,'27.09 Gayaza-Kasangati'!K26,'26.09 Gayaza-Kasangati-24h'!K26,'28.09 Gayaza-Kasangati-24h'!K26,'29.09 Gayaza-Kasangati'!K26)</f>
        <v>2.25</v>
      </c>
      <c r="L26" s="49">
        <f>AVERAGE('23.09.Gayaza-Kasangati'!L26,'24.09 Gayaza-Kasangati'!L26,'25.09 Gayaza-Kasangati'!L26,'29.09 Gayaza-Kasangati'!L26,'27.09 Gayaza-Kasangati'!L26,'26.09 Gayaza-Kasangati-24h'!L26,'28.09 Gayaza-Kasangati-24h'!L26,'29.09 Gayaza-Kasangati'!L26)</f>
        <v>0</v>
      </c>
      <c r="M26" s="49">
        <f>AVERAGE('23.09.Gayaza-Kasangati'!M26,'24.09 Gayaza-Kasangati'!M26,'25.09 Gayaza-Kasangati'!M26,'29.09 Gayaza-Kasangati'!M26,'27.09 Gayaza-Kasangati'!M26,'26.09 Gayaza-Kasangati-24h'!M26,'28.09 Gayaza-Kasangati-24h'!M26,'29.09 Gayaza-Kasangati'!M26)</f>
        <v>110.5</v>
      </c>
      <c r="N26" s="49">
        <f>AVERAGE('23.09.Gayaza-Kasangati'!N26,'24.09 Gayaza-Kasangati'!N26,'25.09 Gayaza-Kasangati'!N26,'29.09 Gayaza-Kasangati'!N26,'27.09 Gayaza-Kasangati'!N26,'26.09 Gayaza-Kasangati-24h'!N26,'28.09 Gayaza-Kasangati-24h'!N26,'29.09 Gayaza-Kasangati'!N26)</f>
        <v>0</v>
      </c>
      <c r="O26" s="15">
        <f t="shared" si="0"/>
        <v>109.75</v>
      </c>
      <c r="P26" s="15">
        <f t="shared" si="1"/>
        <v>220.25</v>
      </c>
      <c r="R26" s="1" t="s">
        <v>150</v>
      </c>
      <c r="S26" s="34">
        <f>SUM(C74:C77)</f>
        <v>69.5</v>
      </c>
      <c r="T26" s="34">
        <f t="shared" ref="T26:AF26" si="18">SUM(D74:D77)</f>
        <v>8</v>
      </c>
      <c r="U26" s="34">
        <f t="shared" si="18"/>
        <v>5.5</v>
      </c>
      <c r="V26" s="34">
        <f t="shared" si="18"/>
        <v>44.5</v>
      </c>
      <c r="W26" s="34">
        <f t="shared" si="18"/>
        <v>1</v>
      </c>
      <c r="X26" s="34">
        <f t="shared" si="18"/>
        <v>0</v>
      </c>
      <c r="Y26" s="34">
        <f t="shared" si="18"/>
        <v>17</v>
      </c>
      <c r="Z26" s="34">
        <f t="shared" si="18"/>
        <v>2</v>
      </c>
      <c r="AA26" s="34">
        <f t="shared" si="18"/>
        <v>1</v>
      </c>
      <c r="AB26" s="34">
        <f t="shared" si="18"/>
        <v>0</v>
      </c>
      <c r="AC26" s="34">
        <f t="shared" si="18"/>
        <v>64</v>
      </c>
      <c r="AD26" s="34">
        <f t="shared" si="18"/>
        <v>0</v>
      </c>
      <c r="AE26" s="69">
        <f t="shared" si="18"/>
        <v>148.5</v>
      </c>
      <c r="AF26" s="69">
        <f t="shared" si="18"/>
        <v>212.5</v>
      </c>
    </row>
    <row r="27" spans="2:32" ht="23.1" customHeight="1" x14ac:dyDescent="0.25">
      <c r="B27" s="23" t="s">
        <v>54</v>
      </c>
      <c r="C27" s="49">
        <f>AVERAGE('23.09.Gayaza-Kasangati'!C27,'24.09 Gayaza-Kasangati'!C27,'25.09 Gayaza-Kasangati'!C27,'29.09 Gayaza-Kasangati'!C27,'27.09 Gayaza-Kasangati'!C27,'26.09 Gayaza-Kasangati-24h'!C27,'28.09 Gayaza-Kasangati-24h'!C27,'29.09 Gayaza-Kasangati'!C27)</f>
        <v>58.125</v>
      </c>
      <c r="D27" s="49">
        <f>AVERAGE('23.09.Gayaza-Kasangati'!D27,'24.09 Gayaza-Kasangati'!D27,'25.09 Gayaza-Kasangati'!D27,'29.09 Gayaza-Kasangati'!D27,'27.09 Gayaza-Kasangati'!D27,'26.09 Gayaza-Kasangati-24h'!D27,'28.09 Gayaza-Kasangati-24h'!D27,'29.09 Gayaza-Kasangati'!D27)</f>
        <v>7.375</v>
      </c>
      <c r="E27" s="49">
        <f>AVERAGE('23.09.Gayaza-Kasangati'!E27,'24.09 Gayaza-Kasangati'!E27,'25.09 Gayaza-Kasangati'!E27,'29.09 Gayaza-Kasangati'!E27,'27.09 Gayaza-Kasangati'!E27,'26.09 Gayaza-Kasangati-24h'!E27,'28.09 Gayaza-Kasangati-24h'!E27,'29.09 Gayaza-Kasangati'!E27)</f>
        <v>5.375</v>
      </c>
      <c r="F27" s="49">
        <f>AVERAGE('23.09.Gayaza-Kasangati'!F27,'24.09 Gayaza-Kasangati'!F27,'25.09 Gayaza-Kasangati'!F27,'29.09 Gayaza-Kasangati'!F27,'27.09 Gayaza-Kasangati'!F27,'26.09 Gayaza-Kasangati-24h'!F27,'28.09 Gayaza-Kasangati-24h'!F27,'29.09 Gayaza-Kasangati'!F27)</f>
        <v>34.625</v>
      </c>
      <c r="G27" s="49">
        <f>AVERAGE('23.09.Gayaza-Kasangati'!G27,'24.09 Gayaza-Kasangati'!G27,'25.09 Gayaza-Kasangati'!G27,'29.09 Gayaza-Kasangati'!G27,'27.09 Gayaza-Kasangati'!G27,'26.09 Gayaza-Kasangati-24h'!G27,'28.09 Gayaza-Kasangati-24h'!G27,'29.09 Gayaza-Kasangati'!G27)</f>
        <v>0.5</v>
      </c>
      <c r="H27" s="49">
        <f>AVERAGE('23.09.Gayaza-Kasangati'!H27,'24.09 Gayaza-Kasangati'!H27,'25.09 Gayaza-Kasangati'!H27,'29.09 Gayaza-Kasangati'!H27,'27.09 Gayaza-Kasangati'!H27,'26.09 Gayaza-Kasangati-24h'!H27,'28.09 Gayaza-Kasangati-24h'!H27,'29.09 Gayaza-Kasangati'!H27)</f>
        <v>0.125</v>
      </c>
      <c r="I27" s="49">
        <f>AVERAGE('23.09.Gayaza-Kasangati'!I27,'24.09 Gayaza-Kasangati'!I27,'25.09 Gayaza-Kasangati'!I27,'29.09 Gayaza-Kasangati'!I27,'27.09 Gayaza-Kasangati'!I27,'26.09 Gayaza-Kasangati-24h'!I27,'28.09 Gayaza-Kasangati-24h'!I27,'29.09 Gayaza-Kasangati'!I27)</f>
        <v>8.75</v>
      </c>
      <c r="J27" s="49">
        <f>AVERAGE('23.09.Gayaza-Kasangati'!J27,'24.09 Gayaza-Kasangati'!J27,'25.09 Gayaza-Kasangati'!J27,'29.09 Gayaza-Kasangati'!J27,'27.09 Gayaza-Kasangati'!J27,'26.09 Gayaza-Kasangati-24h'!J27,'28.09 Gayaza-Kasangati-24h'!J27,'29.09 Gayaza-Kasangati'!J27)</f>
        <v>1.125</v>
      </c>
      <c r="K27" s="49">
        <f>AVERAGE('23.09.Gayaza-Kasangati'!K27,'24.09 Gayaza-Kasangati'!K27,'25.09 Gayaza-Kasangati'!K27,'29.09 Gayaza-Kasangati'!K27,'27.09 Gayaza-Kasangati'!K27,'26.09 Gayaza-Kasangati-24h'!K27,'28.09 Gayaza-Kasangati-24h'!K27,'29.09 Gayaza-Kasangati'!K27)</f>
        <v>2.25</v>
      </c>
      <c r="L27" s="49">
        <f>AVERAGE('23.09.Gayaza-Kasangati'!L27,'24.09 Gayaza-Kasangati'!L27,'25.09 Gayaza-Kasangati'!L27,'29.09 Gayaza-Kasangati'!L27,'27.09 Gayaza-Kasangati'!L27,'26.09 Gayaza-Kasangati-24h'!L27,'28.09 Gayaza-Kasangati-24h'!L27,'29.09 Gayaza-Kasangati'!L27)</f>
        <v>0.25</v>
      </c>
      <c r="M27" s="49">
        <f>AVERAGE('23.09.Gayaza-Kasangati'!M27,'24.09 Gayaza-Kasangati'!M27,'25.09 Gayaza-Kasangati'!M27,'29.09 Gayaza-Kasangati'!M27,'27.09 Gayaza-Kasangati'!M27,'26.09 Gayaza-Kasangati-24h'!M27,'28.09 Gayaza-Kasangati-24h'!M27,'29.09 Gayaza-Kasangati'!M27)</f>
        <v>92.125</v>
      </c>
      <c r="N27" s="49">
        <f>AVERAGE('23.09.Gayaza-Kasangati'!N27,'24.09 Gayaza-Kasangati'!N27,'25.09 Gayaza-Kasangati'!N27,'29.09 Gayaza-Kasangati'!N27,'27.09 Gayaza-Kasangati'!N27,'26.09 Gayaza-Kasangati-24h'!N27,'28.09 Gayaza-Kasangati-24h'!N27,'29.09 Gayaza-Kasangati'!N27)</f>
        <v>0</v>
      </c>
      <c r="O27" s="15">
        <f t="shared" si="0"/>
        <v>118.5</v>
      </c>
      <c r="P27" s="15">
        <f t="shared" si="1"/>
        <v>210.625</v>
      </c>
      <c r="R27" s="1" t="s">
        <v>151</v>
      </c>
      <c r="S27" s="34">
        <f>SUM(C78:C81)</f>
        <v>41.5</v>
      </c>
      <c r="T27" s="34">
        <f t="shared" ref="T27:AF27" si="19">SUM(D78:D81)</f>
        <v>5</v>
      </c>
      <c r="U27" s="34">
        <f t="shared" si="19"/>
        <v>4</v>
      </c>
      <c r="V27" s="34">
        <f t="shared" si="19"/>
        <v>22.5</v>
      </c>
      <c r="W27" s="34">
        <f t="shared" si="19"/>
        <v>0.5</v>
      </c>
      <c r="X27" s="34">
        <f t="shared" si="19"/>
        <v>0</v>
      </c>
      <c r="Y27" s="34">
        <f t="shared" si="19"/>
        <v>4.5</v>
      </c>
      <c r="Z27" s="34">
        <f t="shared" si="19"/>
        <v>2.5</v>
      </c>
      <c r="AA27" s="34">
        <f t="shared" si="19"/>
        <v>0</v>
      </c>
      <c r="AB27" s="34">
        <f t="shared" si="19"/>
        <v>0</v>
      </c>
      <c r="AC27" s="34">
        <f t="shared" si="19"/>
        <v>38.5</v>
      </c>
      <c r="AD27" s="34">
        <f t="shared" si="19"/>
        <v>0</v>
      </c>
      <c r="AE27" s="69">
        <f t="shared" si="19"/>
        <v>80.5</v>
      </c>
      <c r="AF27" s="69">
        <f t="shared" si="19"/>
        <v>119</v>
      </c>
    </row>
    <row r="28" spans="2:32" ht="23.1" customHeight="1" x14ac:dyDescent="0.25">
      <c r="B28" s="23" t="s">
        <v>55</v>
      </c>
      <c r="C28" s="49">
        <f>AVERAGE('23.09.Gayaza-Kasangati'!C28,'24.09 Gayaza-Kasangati'!C28,'25.09 Gayaza-Kasangati'!C28,'29.09 Gayaza-Kasangati'!C28,'27.09 Gayaza-Kasangati'!C28,'26.09 Gayaza-Kasangati-24h'!C28,'28.09 Gayaza-Kasangati-24h'!C28,'29.09 Gayaza-Kasangati'!C28)</f>
        <v>47.375</v>
      </c>
      <c r="D28" s="49">
        <f>AVERAGE('23.09.Gayaza-Kasangati'!D28,'24.09 Gayaza-Kasangati'!D28,'25.09 Gayaza-Kasangati'!D28,'29.09 Gayaza-Kasangati'!D28,'27.09 Gayaza-Kasangati'!D28,'26.09 Gayaza-Kasangati-24h'!D28,'28.09 Gayaza-Kasangati-24h'!D28,'29.09 Gayaza-Kasangati'!D28)</f>
        <v>11</v>
      </c>
      <c r="E28" s="49">
        <f>AVERAGE('23.09.Gayaza-Kasangati'!E28,'24.09 Gayaza-Kasangati'!E28,'25.09 Gayaza-Kasangati'!E28,'29.09 Gayaza-Kasangati'!E28,'27.09 Gayaza-Kasangati'!E28,'26.09 Gayaza-Kasangati-24h'!E28,'28.09 Gayaza-Kasangati-24h'!E28,'29.09 Gayaza-Kasangati'!E28)</f>
        <v>7.25</v>
      </c>
      <c r="F28" s="49">
        <f>AVERAGE('23.09.Gayaza-Kasangati'!F28,'24.09 Gayaza-Kasangati'!F28,'25.09 Gayaza-Kasangati'!F28,'29.09 Gayaza-Kasangati'!F28,'27.09 Gayaza-Kasangati'!F28,'26.09 Gayaza-Kasangati-24h'!F28,'28.09 Gayaza-Kasangati-24h'!F28,'29.09 Gayaza-Kasangati'!F28)</f>
        <v>34.875</v>
      </c>
      <c r="G28" s="49">
        <f>AVERAGE('23.09.Gayaza-Kasangati'!G28,'24.09 Gayaza-Kasangati'!G28,'25.09 Gayaza-Kasangati'!G28,'29.09 Gayaza-Kasangati'!G28,'27.09 Gayaza-Kasangati'!G28,'26.09 Gayaza-Kasangati-24h'!G28,'28.09 Gayaza-Kasangati-24h'!G28,'29.09 Gayaza-Kasangati'!G28)</f>
        <v>0.375</v>
      </c>
      <c r="H28" s="49">
        <f>AVERAGE('23.09.Gayaza-Kasangati'!H28,'24.09 Gayaza-Kasangati'!H28,'25.09 Gayaza-Kasangati'!H28,'29.09 Gayaza-Kasangati'!H28,'27.09 Gayaza-Kasangati'!H28,'26.09 Gayaza-Kasangati-24h'!H28,'28.09 Gayaza-Kasangati-24h'!H28,'29.09 Gayaza-Kasangati'!H28)</f>
        <v>0.375</v>
      </c>
      <c r="I28" s="49">
        <f>AVERAGE('23.09.Gayaza-Kasangati'!I28,'24.09 Gayaza-Kasangati'!I28,'25.09 Gayaza-Kasangati'!I28,'29.09 Gayaza-Kasangati'!I28,'27.09 Gayaza-Kasangati'!I28,'26.09 Gayaza-Kasangati-24h'!I28,'28.09 Gayaza-Kasangati-24h'!I28,'29.09 Gayaza-Kasangati'!I28)</f>
        <v>10.75</v>
      </c>
      <c r="J28" s="49">
        <f>AVERAGE('23.09.Gayaza-Kasangati'!J28,'24.09 Gayaza-Kasangati'!J28,'25.09 Gayaza-Kasangati'!J28,'29.09 Gayaza-Kasangati'!J28,'27.09 Gayaza-Kasangati'!J28,'26.09 Gayaza-Kasangati-24h'!J28,'28.09 Gayaza-Kasangati-24h'!J28,'29.09 Gayaza-Kasangati'!J28)</f>
        <v>1.875</v>
      </c>
      <c r="K28" s="49">
        <f>AVERAGE('23.09.Gayaza-Kasangati'!K28,'24.09 Gayaza-Kasangati'!K28,'25.09 Gayaza-Kasangati'!K28,'29.09 Gayaza-Kasangati'!K28,'27.09 Gayaza-Kasangati'!K28,'26.09 Gayaza-Kasangati-24h'!K28,'28.09 Gayaza-Kasangati-24h'!K28,'29.09 Gayaza-Kasangati'!K28)</f>
        <v>4</v>
      </c>
      <c r="L28" s="49">
        <f>AVERAGE('23.09.Gayaza-Kasangati'!L28,'24.09 Gayaza-Kasangati'!L28,'25.09 Gayaza-Kasangati'!L28,'29.09 Gayaza-Kasangati'!L28,'27.09 Gayaza-Kasangati'!L28,'26.09 Gayaza-Kasangati-24h'!L28,'28.09 Gayaza-Kasangati-24h'!L28,'29.09 Gayaza-Kasangati'!L28)</f>
        <v>0</v>
      </c>
      <c r="M28" s="49">
        <f>AVERAGE('23.09.Gayaza-Kasangati'!M28,'24.09 Gayaza-Kasangati'!M28,'25.09 Gayaza-Kasangati'!M28,'29.09 Gayaza-Kasangati'!M28,'27.09 Gayaza-Kasangati'!M28,'26.09 Gayaza-Kasangati-24h'!M28,'28.09 Gayaza-Kasangati-24h'!M28,'29.09 Gayaza-Kasangati'!M28)</f>
        <v>94.875</v>
      </c>
      <c r="N28" s="49">
        <f>AVERAGE('23.09.Gayaza-Kasangati'!N28,'24.09 Gayaza-Kasangati'!N28,'25.09 Gayaza-Kasangati'!N28,'29.09 Gayaza-Kasangati'!N28,'27.09 Gayaza-Kasangati'!N28,'26.09 Gayaza-Kasangati-24h'!N28,'28.09 Gayaza-Kasangati-24h'!N28,'29.09 Gayaza-Kasangati'!N28)</f>
        <v>0</v>
      </c>
      <c r="O28" s="15">
        <f t="shared" si="0"/>
        <v>117.875</v>
      </c>
      <c r="P28" s="15">
        <f t="shared" si="1"/>
        <v>212.75</v>
      </c>
      <c r="R28" s="1" t="s">
        <v>152</v>
      </c>
      <c r="S28" s="34">
        <f>SUM(C82:C85)</f>
        <v>12</v>
      </c>
      <c r="T28" s="34">
        <f t="shared" ref="T28:AF28" si="20">SUM(D82:D85)</f>
        <v>2.5</v>
      </c>
      <c r="U28" s="34">
        <f t="shared" si="20"/>
        <v>2</v>
      </c>
      <c r="V28" s="34">
        <f t="shared" si="20"/>
        <v>9.5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0</v>
      </c>
      <c r="AA28" s="34">
        <f t="shared" si="20"/>
        <v>0.5</v>
      </c>
      <c r="AB28" s="34">
        <f t="shared" si="20"/>
        <v>0</v>
      </c>
      <c r="AC28" s="34">
        <f t="shared" si="20"/>
        <v>37.5</v>
      </c>
      <c r="AD28" s="34">
        <f t="shared" si="20"/>
        <v>0</v>
      </c>
      <c r="AE28" s="69">
        <f t="shared" si="20"/>
        <v>29.5</v>
      </c>
      <c r="AF28" s="69">
        <f t="shared" si="20"/>
        <v>67</v>
      </c>
    </row>
    <row r="29" spans="2:32" ht="23.1" customHeight="1" x14ac:dyDescent="0.25">
      <c r="B29" s="23" t="s">
        <v>56</v>
      </c>
      <c r="C29" s="49">
        <f>AVERAGE('23.09.Gayaza-Kasangati'!C29,'24.09 Gayaza-Kasangati'!C29,'25.09 Gayaza-Kasangati'!C29,'29.09 Gayaza-Kasangati'!C29,'27.09 Gayaza-Kasangati'!C29,'26.09 Gayaza-Kasangati-24h'!C29,'28.09 Gayaza-Kasangati-24h'!C29,'29.09 Gayaza-Kasangati'!C29)</f>
        <v>50</v>
      </c>
      <c r="D29" s="49">
        <f>AVERAGE('23.09.Gayaza-Kasangati'!D29,'24.09 Gayaza-Kasangati'!D29,'25.09 Gayaza-Kasangati'!D29,'29.09 Gayaza-Kasangati'!D29,'27.09 Gayaza-Kasangati'!D29,'26.09 Gayaza-Kasangati-24h'!D29,'28.09 Gayaza-Kasangati-24h'!D29,'29.09 Gayaza-Kasangati'!D29)</f>
        <v>5.75</v>
      </c>
      <c r="E29" s="49">
        <f>AVERAGE('23.09.Gayaza-Kasangati'!E29,'24.09 Gayaza-Kasangati'!E29,'25.09 Gayaza-Kasangati'!E29,'29.09 Gayaza-Kasangati'!E29,'27.09 Gayaza-Kasangati'!E29,'26.09 Gayaza-Kasangati-24h'!E29,'28.09 Gayaza-Kasangati-24h'!E29,'29.09 Gayaza-Kasangati'!E29)</f>
        <v>5.875</v>
      </c>
      <c r="F29" s="49">
        <f>AVERAGE('23.09.Gayaza-Kasangati'!F29,'24.09 Gayaza-Kasangati'!F29,'25.09 Gayaza-Kasangati'!F29,'29.09 Gayaza-Kasangati'!F29,'27.09 Gayaza-Kasangati'!F29,'26.09 Gayaza-Kasangati-24h'!F29,'28.09 Gayaza-Kasangati-24h'!F29,'29.09 Gayaza-Kasangati'!F29)</f>
        <v>35.5</v>
      </c>
      <c r="G29" s="49">
        <f>AVERAGE('23.09.Gayaza-Kasangati'!G29,'24.09 Gayaza-Kasangati'!G29,'25.09 Gayaza-Kasangati'!G29,'29.09 Gayaza-Kasangati'!G29,'27.09 Gayaza-Kasangati'!G29,'26.09 Gayaza-Kasangati-24h'!G29,'28.09 Gayaza-Kasangati-24h'!G29,'29.09 Gayaza-Kasangati'!G29)</f>
        <v>0.625</v>
      </c>
      <c r="H29" s="49">
        <f>AVERAGE('23.09.Gayaza-Kasangati'!H29,'24.09 Gayaza-Kasangati'!H29,'25.09 Gayaza-Kasangati'!H29,'29.09 Gayaza-Kasangati'!H29,'27.09 Gayaza-Kasangati'!H29,'26.09 Gayaza-Kasangati-24h'!H29,'28.09 Gayaza-Kasangati-24h'!H29,'29.09 Gayaza-Kasangati'!H29)</f>
        <v>0.125</v>
      </c>
      <c r="I29" s="49">
        <f>AVERAGE('23.09.Gayaza-Kasangati'!I29,'24.09 Gayaza-Kasangati'!I29,'25.09 Gayaza-Kasangati'!I29,'29.09 Gayaza-Kasangati'!I29,'27.09 Gayaza-Kasangati'!I29,'26.09 Gayaza-Kasangati-24h'!I29,'28.09 Gayaza-Kasangati-24h'!I29,'29.09 Gayaza-Kasangati'!I29)</f>
        <v>12.5</v>
      </c>
      <c r="J29" s="49">
        <f>AVERAGE('23.09.Gayaza-Kasangati'!J29,'24.09 Gayaza-Kasangati'!J29,'25.09 Gayaza-Kasangati'!J29,'29.09 Gayaza-Kasangati'!J29,'27.09 Gayaza-Kasangati'!J29,'26.09 Gayaza-Kasangati-24h'!J29,'28.09 Gayaza-Kasangati-24h'!J29,'29.09 Gayaza-Kasangati'!J29)</f>
        <v>2</v>
      </c>
      <c r="K29" s="49">
        <f>AVERAGE('23.09.Gayaza-Kasangati'!K29,'24.09 Gayaza-Kasangati'!K29,'25.09 Gayaza-Kasangati'!K29,'29.09 Gayaza-Kasangati'!K29,'27.09 Gayaza-Kasangati'!K29,'26.09 Gayaza-Kasangati-24h'!K29,'28.09 Gayaza-Kasangati-24h'!K29,'29.09 Gayaza-Kasangati'!K29)</f>
        <v>4.375</v>
      </c>
      <c r="L29" s="49">
        <f>AVERAGE('23.09.Gayaza-Kasangati'!L29,'24.09 Gayaza-Kasangati'!L29,'25.09 Gayaza-Kasangati'!L29,'29.09 Gayaza-Kasangati'!L29,'27.09 Gayaza-Kasangati'!L29,'26.09 Gayaza-Kasangati-24h'!L29,'28.09 Gayaza-Kasangati-24h'!L29,'29.09 Gayaza-Kasangati'!L29)</f>
        <v>0.125</v>
      </c>
      <c r="M29" s="49">
        <f>AVERAGE('23.09.Gayaza-Kasangati'!M29,'24.09 Gayaza-Kasangati'!M29,'25.09 Gayaza-Kasangati'!M29,'29.09 Gayaza-Kasangati'!M29,'27.09 Gayaza-Kasangati'!M29,'26.09 Gayaza-Kasangati-24h'!M29,'28.09 Gayaza-Kasangati-24h'!M29,'29.09 Gayaza-Kasangati'!M29)</f>
        <v>94.375</v>
      </c>
      <c r="N29" s="49">
        <f>AVERAGE('23.09.Gayaza-Kasangati'!N29,'24.09 Gayaza-Kasangati'!N29,'25.09 Gayaza-Kasangati'!N29,'29.09 Gayaza-Kasangati'!N29,'27.09 Gayaza-Kasangati'!N29,'26.09 Gayaza-Kasangati-24h'!N29,'28.09 Gayaza-Kasangati-24h'!N29,'29.09 Gayaza-Kasangati'!N29)</f>
        <v>0</v>
      </c>
      <c r="O29" s="15">
        <f t="shared" si="0"/>
        <v>116.875</v>
      </c>
      <c r="P29" s="15">
        <f t="shared" si="1"/>
        <v>211.25</v>
      </c>
      <c r="R29" s="1" t="s">
        <v>153</v>
      </c>
      <c r="S29" s="34">
        <f>SUM(C86:C89)</f>
        <v>10</v>
      </c>
      <c r="T29" s="34">
        <f t="shared" ref="T29:AF29" si="21">SUM(D86:D89)</f>
        <v>3</v>
      </c>
      <c r="U29" s="34">
        <f t="shared" si="21"/>
        <v>1</v>
      </c>
      <c r="V29" s="34">
        <f t="shared" si="21"/>
        <v>8.5</v>
      </c>
      <c r="W29" s="34">
        <f t="shared" si="21"/>
        <v>0.5</v>
      </c>
      <c r="X29" s="34">
        <f t="shared" si="21"/>
        <v>0</v>
      </c>
      <c r="Y29" s="34">
        <f t="shared" si="21"/>
        <v>4</v>
      </c>
      <c r="Z29" s="34">
        <f t="shared" si="21"/>
        <v>1</v>
      </c>
      <c r="AA29" s="34">
        <f t="shared" si="21"/>
        <v>1</v>
      </c>
      <c r="AB29" s="34">
        <f t="shared" si="21"/>
        <v>0</v>
      </c>
      <c r="AC29" s="34">
        <f t="shared" si="21"/>
        <v>23.5</v>
      </c>
      <c r="AD29" s="34">
        <f t="shared" si="21"/>
        <v>0</v>
      </c>
      <c r="AE29" s="69">
        <f t="shared" si="21"/>
        <v>29</v>
      </c>
      <c r="AF29" s="69">
        <f t="shared" si="21"/>
        <v>52.5</v>
      </c>
    </row>
    <row r="30" spans="2:32" ht="23.1" customHeight="1" x14ac:dyDescent="0.25">
      <c r="B30" s="23" t="s">
        <v>57</v>
      </c>
      <c r="C30" s="49">
        <f>AVERAGE('23.09.Gayaza-Kasangati'!C30,'24.09 Gayaza-Kasangati'!C30,'25.09 Gayaza-Kasangati'!C30,'29.09 Gayaza-Kasangati'!C30,'27.09 Gayaza-Kasangati'!C30,'26.09 Gayaza-Kasangati-24h'!C30,'28.09 Gayaza-Kasangati-24h'!C30,'29.09 Gayaza-Kasangati'!C30)</f>
        <v>49</v>
      </c>
      <c r="D30" s="49">
        <f>AVERAGE('23.09.Gayaza-Kasangati'!D30,'24.09 Gayaza-Kasangati'!D30,'25.09 Gayaza-Kasangati'!D30,'29.09 Gayaza-Kasangati'!D30,'27.09 Gayaza-Kasangati'!D30,'26.09 Gayaza-Kasangati-24h'!D30,'28.09 Gayaza-Kasangati-24h'!D30,'29.09 Gayaza-Kasangati'!D30)</f>
        <v>8.125</v>
      </c>
      <c r="E30" s="49">
        <f>AVERAGE('23.09.Gayaza-Kasangati'!E30,'24.09 Gayaza-Kasangati'!E30,'25.09 Gayaza-Kasangati'!E30,'29.09 Gayaza-Kasangati'!E30,'27.09 Gayaza-Kasangati'!E30,'26.09 Gayaza-Kasangati-24h'!E30,'28.09 Gayaza-Kasangati-24h'!E30,'29.09 Gayaza-Kasangati'!E30)</f>
        <v>7</v>
      </c>
      <c r="F30" s="49">
        <f>AVERAGE('23.09.Gayaza-Kasangati'!F30,'24.09 Gayaza-Kasangati'!F30,'25.09 Gayaza-Kasangati'!F30,'29.09 Gayaza-Kasangati'!F30,'27.09 Gayaza-Kasangati'!F30,'26.09 Gayaza-Kasangati-24h'!F30,'28.09 Gayaza-Kasangati-24h'!F30,'29.09 Gayaza-Kasangati'!F30)</f>
        <v>34.5</v>
      </c>
      <c r="G30" s="49">
        <f>AVERAGE('23.09.Gayaza-Kasangati'!G30,'24.09 Gayaza-Kasangati'!G30,'25.09 Gayaza-Kasangati'!G30,'29.09 Gayaza-Kasangati'!G30,'27.09 Gayaza-Kasangati'!G30,'26.09 Gayaza-Kasangati-24h'!G30,'28.09 Gayaza-Kasangati-24h'!G30,'29.09 Gayaza-Kasangati'!G30)</f>
        <v>0.25</v>
      </c>
      <c r="H30" s="49">
        <f>AVERAGE('23.09.Gayaza-Kasangati'!H30,'24.09 Gayaza-Kasangati'!H30,'25.09 Gayaza-Kasangati'!H30,'29.09 Gayaza-Kasangati'!H30,'27.09 Gayaza-Kasangati'!H30,'26.09 Gayaza-Kasangati-24h'!H30,'28.09 Gayaza-Kasangati-24h'!H30,'29.09 Gayaza-Kasangati'!H30)</f>
        <v>0.5</v>
      </c>
      <c r="I30" s="49">
        <f>AVERAGE('23.09.Gayaza-Kasangati'!I30,'24.09 Gayaza-Kasangati'!I30,'25.09 Gayaza-Kasangati'!I30,'29.09 Gayaza-Kasangati'!I30,'27.09 Gayaza-Kasangati'!I30,'26.09 Gayaza-Kasangati-24h'!I30,'28.09 Gayaza-Kasangati-24h'!I30,'29.09 Gayaza-Kasangati'!I30)</f>
        <v>10.375</v>
      </c>
      <c r="J30" s="49">
        <f>AVERAGE('23.09.Gayaza-Kasangati'!J30,'24.09 Gayaza-Kasangati'!J30,'25.09 Gayaza-Kasangati'!J30,'29.09 Gayaza-Kasangati'!J30,'27.09 Gayaza-Kasangati'!J30,'26.09 Gayaza-Kasangati-24h'!J30,'28.09 Gayaza-Kasangati-24h'!J30,'29.09 Gayaza-Kasangati'!J30)</f>
        <v>2.125</v>
      </c>
      <c r="K30" s="49">
        <f>AVERAGE('23.09.Gayaza-Kasangati'!K30,'24.09 Gayaza-Kasangati'!K30,'25.09 Gayaza-Kasangati'!K30,'29.09 Gayaza-Kasangati'!K30,'27.09 Gayaza-Kasangati'!K30,'26.09 Gayaza-Kasangati-24h'!K30,'28.09 Gayaza-Kasangati-24h'!K30,'29.09 Gayaza-Kasangati'!K30)</f>
        <v>2.625</v>
      </c>
      <c r="L30" s="49">
        <f>AVERAGE('23.09.Gayaza-Kasangati'!L30,'24.09 Gayaza-Kasangati'!L30,'25.09 Gayaza-Kasangati'!L30,'29.09 Gayaza-Kasangati'!L30,'27.09 Gayaza-Kasangati'!L30,'26.09 Gayaza-Kasangati-24h'!L30,'28.09 Gayaza-Kasangati-24h'!L30,'29.09 Gayaza-Kasangati'!L30)</f>
        <v>0</v>
      </c>
      <c r="M30" s="49">
        <f>AVERAGE('23.09.Gayaza-Kasangati'!M30,'24.09 Gayaza-Kasangati'!M30,'25.09 Gayaza-Kasangati'!M30,'29.09 Gayaza-Kasangati'!M30,'27.09 Gayaza-Kasangati'!M30,'26.09 Gayaza-Kasangati-24h'!M30,'28.09 Gayaza-Kasangati-24h'!M30,'29.09 Gayaza-Kasangati'!M30)</f>
        <v>82.25</v>
      </c>
      <c r="N30" s="49">
        <f>AVERAGE('23.09.Gayaza-Kasangati'!N30,'24.09 Gayaza-Kasangati'!N30,'25.09 Gayaza-Kasangati'!N30,'29.09 Gayaza-Kasangati'!N30,'27.09 Gayaza-Kasangati'!N30,'26.09 Gayaza-Kasangati-24h'!N30,'28.09 Gayaza-Kasangati-24h'!N30,'29.09 Gayaza-Kasangati'!N30)</f>
        <v>0</v>
      </c>
      <c r="O30" s="15">
        <f t="shared" si="0"/>
        <v>114.5</v>
      </c>
      <c r="P30" s="15">
        <f t="shared" si="1"/>
        <v>196.75</v>
      </c>
      <c r="R30" s="1" t="s">
        <v>154</v>
      </c>
      <c r="S30" s="34">
        <f>SUM(C90:C93)</f>
        <v>15.5</v>
      </c>
      <c r="T30" s="34">
        <f t="shared" ref="T30:AF30" si="22">SUM(D90:D93)</f>
        <v>0.5</v>
      </c>
      <c r="U30" s="34">
        <f t="shared" si="22"/>
        <v>3.5</v>
      </c>
      <c r="V30" s="34">
        <f t="shared" si="22"/>
        <v>7</v>
      </c>
      <c r="W30" s="34">
        <f t="shared" si="22"/>
        <v>0</v>
      </c>
      <c r="X30" s="34">
        <f t="shared" si="22"/>
        <v>0</v>
      </c>
      <c r="Y30" s="34">
        <f t="shared" si="22"/>
        <v>3.5</v>
      </c>
      <c r="Z30" s="34">
        <f t="shared" si="22"/>
        <v>2.5</v>
      </c>
      <c r="AA30" s="34">
        <f t="shared" si="22"/>
        <v>0.5</v>
      </c>
      <c r="AB30" s="34">
        <f t="shared" si="22"/>
        <v>0</v>
      </c>
      <c r="AC30" s="34">
        <f t="shared" si="22"/>
        <v>19.5</v>
      </c>
      <c r="AD30" s="34">
        <f t="shared" si="22"/>
        <v>0</v>
      </c>
      <c r="AE30" s="69">
        <f t="shared" si="22"/>
        <v>33</v>
      </c>
      <c r="AF30" s="69">
        <f t="shared" si="22"/>
        <v>52.5</v>
      </c>
    </row>
    <row r="31" spans="2:32" ht="23.1" customHeight="1" x14ac:dyDescent="0.25">
      <c r="B31" s="24" t="s">
        <v>58</v>
      </c>
      <c r="C31" s="49">
        <f>AVERAGE('23.09.Gayaza-Kasangati'!C31,'24.09 Gayaza-Kasangati'!C31,'25.09 Gayaza-Kasangati'!C31,'29.09 Gayaza-Kasangati'!C31,'27.09 Gayaza-Kasangati'!C31,'26.09 Gayaza-Kasangati-24h'!C31,'28.09 Gayaza-Kasangati-24h'!C31,'29.09 Gayaza-Kasangati'!C31)</f>
        <v>46.125</v>
      </c>
      <c r="D31" s="49">
        <f>AVERAGE('23.09.Gayaza-Kasangati'!D31,'24.09 Gayaza-Kasangati'!D31,'25.09 Gayaza-Kasangati'!D31,'29.09 Gayaza-Kasangati'!D31,'27.09 Gayaza-Kasangati'!D31,'26.09 Gayaza-Kasangati-24h'!D31,'28.09 Gayaza-Kasangati-24h'!D31,'29.09 Gayaza-Kasangati'!D31)</f>
        <v>9.875</v>
      </c>
      <c r="E31" s="49">
        <f>AVERAGE('23.09.Gayaza-Kasangati'!E31,'24.09 Gayaza-Kasangati'!E31,'25.09 Gayaza-Kasangati'!E31,'29.09 Gayaza-Kasangati'!E31,'27.09 Gayaza-Kasangati'!E31,'26.09 Gayaza-Kasangati-24h'!E31,'28.09 Gayaza-Kasangati-24h'!E31,'29.09 Gayaza-Kasangati'!E31)</f>
        <v>5.875</v>
      </c>
      <c r="F31" s="49">
        <f>AVERAGE('23.09.Gayaza-Kasangati'!F31,'24.09 Gayaza-Kasangati'!F31,'25.09 Gayaza-Kasangati'!F31,'29.09 Gayaza-Kasangati'!F31,'27.09 Gayaza-Kasangati'!F31,'26.09 Gayaza-Kasangati-24h'!F31,'28.09 Gayaza-Kasangati-24h'!F31,'29.09 Gayaza-Kasangati'!F31)</f>
        <v>35.375</v>
      </c>
      <c r="G31" s="49">
        <f>AVERAGE('23.09.Gayaza-Kasangati'!G31,'24.09 Gayaza-Kasangati'!G31,'25.09 Gayaza-Kasangati'!G31,'29.09 Gayaza-Kasangati'!G31,'27.09 Gayaza-Kasangati'!G31,'26.09 Gayaza-Kasangati-24h'!G31,'28.09 Gayaza-Kasangati-24h'!G31,'29.09 Gayaza-Kasangati'!G31)</f>
        <v>0.125</v>
      </c>
      <c r="H31" s="49">
        <f>AVERAGE('23.09.Gayaza-Kasangati'!H31,'24.09 Gayaza-Kasangati'!H31,'25.09 Gayaza-Kasangati'!H31,'29.09 Gayaza-Kasangati'!H31,'27.09 Gayaza-Kasangati'!H31,'26.09 Gayaza-Kasangati-24h'!H31,'28.09 Gayaza-Kasangati-24h'!H31,'29.09 Gayaza-Kasangati'!H31)</f>
        <v>0</v>
      </c>
      <c r="I31" s="49">
        <f>AVERAGE('23.09.Gayaza-Kasangati'!I31,'24.09 Gayaza-Kasangati'!I31,'25.09 Gayaza-Kasangati'!I31,'29.09 Gayaza-Kasangati'!I31,'27.09 Gayaza-Kasangati'!I31,'26.09 Gayaza-Kasangati-24h'!I31,'28.09 Gayaza-Kasangati-24h'!I31,'29.09 Gayaza-Kasangati'!I31)</f>
        <v>8</v>
      </c>
      <c r="J31" s="49">
        <f>AVERAGE('23.09.Gayaza-Kasangati'!J31,'24.09 Gayaza-Kasangati'!J31,'25.09 Gayaza-Kasangati'!J31,'29.09 Gayaza-Kasangati'!J31,'27.09 Gayaza-Kasangati'!J31,'26.09 Gayaza-Kasangati-24h'!J31,'28.09 Gayaza-Kasangati-24h'!J31,'29.09 Gayaza-Kasangati'!J31)</f>
        <v>1.125</v>
      </c>
      <c r="K31" s="49">
        <f>AVERAGE('23.09.Gayaza-Kasangati'!K31,'24.09 Gayaza-Kasangati'!K31,'25.09 Gayaza-Kasangati'!K31,'29.09 Gayaza-Kasangati'!K31,'27.09 Gayaza-Kasangati'!K31,'26.09 Gayaza-Kasangati-24h'!K31,'28.09 Gayaza-Kasangati-24h'!K31,'29.09 Gayaza-Kasangati'!K31)</f>
        <v>2.875</v>
      </c>
      <c r="L31" s="49">
        <f>AVERAGE('23.09.Gayaza-Kasangati'!L31,'24.09 Gayaza-Kasangati'!L31,'25.09 Gayaza-Kasangati'!L31,'29.09 Gayaza-Kasangati'!L31,'27.09 Gayaza-Kasangati'!L31,'26.09 Gayaza-Kasangati-24h'!L31,'28.09 Gayaza-Kasangati-24h'!L31,'29.09 Gayaza-Kasangati'!L31)</f>
        <v>0.25</v>
      </c>
      <c r="M31" s="49">
        <f>AVERAGE('23.09.Gayaza-Kasangati'!M31,'24.09 Gayaza-Kasangati'!M31,'25.09 Gayaza-Kasangati'!M31,'29.09 Gayaza-Kasangati'!M31,'27.09 Gayaza-Kasangati'!M31,'26.09 Gayaza-Kasangati-24h'!M31,'28.09 Gayaza-Kasangati-24h'!M31,'29.09 Gayaza-Kasangati'!M31)</f>
        <v>75.375</v>
      </c>
      <c r="N31" s="49">
        <f>AVERAGE('23.09.Gayaza-Kasangati'!N31,'24.09 Gayaza-Kasangati'!N31,'25.09 Gayaza-Kasangati'!N31,'29.09 Gayaza-Kasangati'!N31,'27.09 Gayaza-Kasangati'!N31,'26.09 Gayaza-Kasangati-24h'!N31,'28.09 Gayaza-Kasangati-24h'!N31,'29.09 Gayaza-Kasangati'!N31)</f>
        <v>0</v>
      </c>
      <c r="O31" s="15">
        <f t="shared" si="0"/>
        <v>109.625</v>
      </c>
      <c r="P31" s="15">
        <f t="shared" si="1"/>
        <v>185</v>
      </c>
      <c r="R31" s="1" t="s">
        <v>155</v>
      </c>
      <c r="S31" s="34">
        <f>SUM(C94:C97)</f>
        <v>8</v>
      </c>
      <c r="T31" s="34">
        <f t="shared" ref="T31:AF31" si="23">SUM(D94:D97)</f>
        <v>3</v>
      </c>
      <c r="U31" s="34">
        <f t="shared" si="23"/>
        <v>2</v>
      </c>
      <c r="V31" s="34">
        <f t="shared" si="23"/>
        <v>12</v>
      </c>
      <c r="W31" s="34">
        <f t="shared" si="23"/>
        <v>0.5</v>
      </c>
      <c r="X31" s="34">
        <f t="shared" si="23"/>
        <v>0</v>
      </c>
      <c r="Y31" s="34">
        <f t="shared" si="23"/>
        <v>5</v>
      </c>
      <c r="Z31" s="34">
        <f t="shared" si="23"/>
        <v>1.5</v>
      </c>
      <c r="AA31" s="34">
        <f t="shared" si="23"/>
        <v>0.5</v>
      </c>
      <c r="AB31" s="34">
        <f t="shared" si="23"/>
        <v>0.5</v>
      </c>
      <c r="AC31" s="34">
        <f t="shared" si="23"/>
        <v>38</v>
      </c>
      <c r="AD31" s="34">
        <f t="shared" si="23"/>
        <v>0</v>
      </c>
      <c r="AE31" s="69">
        <f t="shared" si="23"/>
        <v>33</v>
      </c>
      <c r="AF31" s="69">
        <f t="shared" si="23"/>
        <v>71</v>
      </c>
    </row>
    <row r="32" spans="2:32" ht="23.1" customHeight="1" x14ac:dyDescent="0.25">
      <c r="B32" s="24" t="s">
        <v>59</v>
      </c>
      <c r="C32" s="49">
        <f>AVERAGE('23.09.Gayaza-Kasangati'!C32,'24.09 Gayaza-Kasangati'!C32,'25.09 Gayaza-Kasangati'!C32,'29.09 Gayaza-Kasangati'!C32,'27.09 Gayaza-Kasangati'!C32,'26.09 Gayaza-Kasangati-24h'!C32,'28.09 Gayaza-Kasangati-24h'!C32,'29.09 Gayaza-Kasangati'!C32)</f>
        <v>47.375</v>
      </c>
      <c r="D32" s="49">
        <f>AVERAGE('23.09.Gayaza-Kasangati'!D32,'24.09 Gayaza-Kasangati'!D32,'25.09 Gayaza-Kasangati'!D32,'29.09 Gayaza-Kasangati'!D32,'27.09 Gayaza-Kasangati'!D32,'26.09 Gayaza-Kasangati-24h'!D32,'28.09 Gayaza-Kasangati-24h'!D32,'29.09 Gayaza-Kasangati'!D32)</f>
        <v>10.25</v>
      </c>
      <c r="E32" s="49">
        <f>AVERAGE('23.09.Gayaza-Kasangati'!E32,'24.09 Gayaza-Kasangati'!E32,'25.09 Gayaza-Kasangati'!E32,'29.09 Gayaza-Kasangati'!E32,'27.09 Gayaza-Kasangati'!E32,'26.09 Gayaza-Kasangati-24h'!E32,'28.09 Gayaza-Kasangati-24h'!E32,'29.09 Gayaza-Kasangati'!E32)</f>
        <v>6</v>
      </c>
      <c r="F32" s="49">
        <f>AVERAGE('23.09.Gayaza-Kasangati'!F32,'24.09 Gayaza-Kasangati'!F32,'25.09 Gayaza-Kasangati'!F32,'29.09 Gayaza-Kasangati'!F32,'27.09 Gayaza-Kasangati'!F32,'26.09 Gayaza-Kasangati-24h'!F32,'28.09 Gayaza-Kasangati-24h'!F32,'29.09 Gayaza-Kasangati'!F32)</f>
        <v>30.75</v>
      </c>
      <c r="G32" s="49">
        <f>AVERAGE('23.09.Gayaza-Kasangati'!G32,'24.09 Gayaza-Kasangati'!G32,'25.09 Gayaza-Kasangati'!G32,'29.09 Gayaza-Kasangati'!G32,'27.09 Gayaza-Kasangati'!G32,'26.09 Gayaza-Kasangati-24h'!G32,'28.09 Gayaza-Kasangati-24h'!G32,'29.09 Gayaza-Kasangati'!G32)</f>
        <v>0.25</v>
      </c>
      <c r="H32" s="49">
        <f>AVERAGE('23.09.Gayaza-Kasangati'!H32,'24.09 Gayaza-Kasangati'!H32,'25.09 Gayaza-Kasangati'!H32,'29.09 Gayaza-Kasangati'!H32,'27.09 Gayaza-Kasangati'!H32,'26.09 Gayaza-Kasangati-24h'!H32,'28.09 Gayaza-Kasangati-24h'!H32,'29.09 Gayaza-Kasangati'!H32)</f>
        <v>0</v>
      </c>
      <c r="I32" s="49">
        <f>AVERAGE('23.09.Gayaza-Kasangati'!I32,'24.09 Gayaza-Kasangati'!I32,'25.09 Gayaza-Kasangati'!I32,'29.09 Gayaza-Kasangati'!I32,'27.09 Gayaza-Kasangati'!I32,'26.09 Gayaza-Kasangati-24h'!I32,'28.09 Gayaza-Kasangati-24h'!I32,'29.09 Gayaza-Kasangati'!I32)</f>
        <v>9.125</v>
      </c>
      <c r="J32" s="49">
        <f>AVERAGE('23.09.Gayaza-Kasangati'!J32,'24.09 Gayaza-Kasangati'!J32,'25.09 Gayaza-Kasangati'!J32,'29.09 Gayaza-Kasangati'!J32,'27.09 Gayaza-Kasangati'!J32,'26.09 Gayaza-Kasangati-24h'!J32,'28.09 Gayaza-Kasangati-24h'!J32,'29.09 Gayaza-Kasangati'!J32)</f>
        <v>2.875</v>
      </c>
      <c r="K32" s="49">
        <f>AVERAGE('23.09.Gayaza-Kasangati'!K32,'24.09 Gayaza-Kasangati'!K32,'25.09 Gayaza-Kasangati'!K32,'29.09 Gayaza-Kasangati'!K32,'27.09 Gayaza-Kasangati'!K32,'26.09 Gayaza-Kasangati-24h'!K32,'28.09 Gayaza-Kasangati-24h'!K32,'29.09 Gayaza-Kasangati'!K32)</f>
        <v>2.75</v>
      </c>
      <c r="L32" s="49">
        <f>AVERAGE('23.09.Gayaza-Kasangati'!L32,'24.09 Gayaza-Kasangati'!L32,'25.09 Gayaza-Kasangati'!L32,'29.09 Gayaza-Kasangati'!L32,'27.09 Gayaza-Kasangati'!L32,'26.09 Gayaza-Kasangati-24h'!L32,'28.09 Gayaza-Kasangati-24h'!L32,'29.09 Gayaza-Kasangati'!L32)</f>
        <v>0.375</v>
      </c>
      <c r="M32" s="49">
        <f>AVERAGE('23.09.Gayaza-Kasangati'!M32,'24.09 Gayaza-Kasangati'!M32,'25.09 Gayaza-Kasangati'!M32,'29.09 Gayaza-Kasangati'!M32,'27.09 Gayaza-Kasangati'!M32,'26.09 Gayaza-Kasangati-24h'!M32,'28.09 Gayaza-Kasangati-24h'!M32,'29.09 Gayaza-Kasangati'!M32)</f>
        <v>71.375</v>
      </c>
      <c r="N32" s="49">
        <f>AVERAGE('23.09.Gayaza-Kasangati'!N32,'24.09 Gayaza-Kasangati'!N32,'25.09 Gayaza-Kasangati'!N32,'29.09 Gayaza-Kasangati'!N32,'27.09 Gayaza-Kasangati'!N32,'26.09 Gayaza-Kasangati-24h'!N32,'28.09 Gayaza-Kasangati-24h'!N32,'29.09 Gayaza-Kasangati'!N32)</f>
        <v>0</v>
      </c>
      <c r="O32" s="15">
        <f t="shared" si="0"/>
        <v>109.75</v>
      </c>
      <c r="P32" s="15">
        <f t="shared" si="1"/>
        <v>181.125</v>
      </c>
      <c r="R32" s="1" t="s">
        <v>156</v>
      </c>
      <c r="S32" s="34">
        <f>SUM(C98:C101)</f>
        <v>45.5</v>
      </c>
      <c r="T32" s="34">
        <f t="shared" ref="T32:AF32" si="24">SUM(D98:D101)</f>
        <v>7.5</v>
      </c>
      <c r="U32" s="34">
        <f t="shared" si="24"/>
        <v>4.5</v>
      </c>
      <c r="V32" s="34">
        <f t="shared" si="24"/>
        <v>52.5</v>
      </c>
      <c r="W32" s="34">
        <f t="shared" si="24"/>
        <v>2</v>
      </c>
      <c r="X32" s="34">
        <f t="shared" si="24"/>
        <v>0.5</v>
      </c>
      <c r="Y32" s="34">
        <f t="shared" si="24"/>
        <v>10</v>
      </c>
      <c r="Z32" s="34">
        <f t="shared" si="24"/>
        <v>1.5</v>
      </c>
      <c r="AA32" s="34">
        <f t="shared" si="24"/>
        <v>4</v>
      </c>
      <c r="AB32" s="34">
        <f t="shared" si="24"/>
        <v>0</v>
      </c>
      <c r="AC32" s="34">
        <f t="shared" si="24"/>
        <v>58.5</v>
      </c>
      <c r="AD32" s="34">
        <f t="shared" si="24"/>
        <v>0</v>
      </c>
      <c r="AE32" s="69">
        <f t="shared" si="24"/>
        <v>128</v>
      </c>
      <c r="AF32" s="69">
        <f t="shared" si="24"/>
        <v>186.5</v>
      </c>
    </row>
    <row r="33" spans="2:32" ht="23.1" customHeight="1" x14ac:dyDescent="0.25">
      <c r="B33" s="23" t="s">
        <v>60</v>
      </c>
      <c r="C33" s="49">
        <f>AVERAGE('23.09.Gayaza-Kasangati'!C33,'24.09 Gayaza-Kasangati'!C33,'25.09 Gayaza-Kasangati'!C33,'29.09 Gayaza-Kasangati'!C33,'27.09 Gayaza-Kasangati'!C33,'26.09 Gayaza-Kasangati-24h'!C33,'28.09 Gayaza-Kasangati-24h'!C33,'29.09 Gayaza-Kasangati'!C33)</f>
        <v>45.25</v>
      </c>
      <c r="D33" s="49">
        <f>AVERAGE('23.09.Gayaza-Kasangati'!D33,'24.09 Gayaza-Kasangati'!D33,'25.09 Gayaza-Kasangati'!D33,'29.09 Gayaza-Kasangati'!D33,'27.09 Gayaza-Kasangati'!D33,'26.09 Gayaza-Kasangati-24h'!D33,'28.09 Gayaza-Kasangati-24h'!D33,'29.09 Gayaza-Kasangati'!D33)</f>
        <v>11.875</v>
      </c>
      <c r="E33" s="49">
        <f>AVERAGE('23.09.Gayaza-Kasangati'!E33,'24.09 Gayaza-Kasangati'!E33,'25.09 Gayaza-Kasangati'!E33,'29.09 Gayaza-Kasangati'!E33,'27.09 Gayaza-Kasangati'!E33,'26.09 Gayaza-Kasangati-24h'!E33,'28.09 Gayaza-Kasangati-24h'!E33,'29.09 Gayaza-Kasangati'!E33)</f>
        <v>5.875</v>
      </c>
      <c r="F33" s="49">
        <f>AVERAGE('23.09.Gayaza-Kasangati'!F33,'24.09 Gayaza-Kasangati'!F33,'25.09 Gayaza-Kasangati'!F33,'29.09 Gayaza-Kasangati'!F33,'27.09 Gayaza-Kasangati'!F33,'26.09 Gayaza-Kasangati-24h'!F33,'28.09 Gayaza-Kasangati-24h'!F33,'29.09 Gayaza-Kasangati'!F33)</f>
        <v>30.875</v>
      </c>
      <c r="G33" s="49">
        <f>AVERAGE('23.09.Gayaza-Kasangati'!G33,'24.09 Gayaza-Kasangati'!G33,'25.09 Gayaza-Kasangati'!G33,'29.09 Gayaza-Kasangati'!G33,'27.09 Gayaza-Kasangati'!G33,'26.09 Gayaza-Kasangati-24h'!G33,'28.09 Gayaza-Kasangati-24h'!G33,'29.09 Gayaza-Kasangati'!G33)</f>
        <v>0.625</v>
      </c>
      <c r="H33" s="49">
        <f>AVERAGE('23.09.Gayaza-Kasangati'!H33,'24.09 Gayaza-Kasangati'!H33,'25.09 Gayaza-Kasangati'!H33,'29.09 Gayaza-Kasangati'!H33,'27.09 Gayaza-Kasangati'!H33,'26.09 Gayaza-Kasangati-24h'!H33,'28.09 Gayaza-Kasangati-24h'!H33,'29.09 Gayaza-Kasangati'!H33)</f>
        <v>0.625</v>
      </c>
      <c r="I33" s="49">
        <f>AVERAGE('23.09.Gayaza-Kasangati'!I33,'24.09 Gayaza-Kasangati'!I33,'25.09 Gayaza-Kasangati'!I33,'29.09 Gayaza-Kasangati'!I33,'27.09 Gayaza-Kasangati'!I33,'26.09 Gayaza-Kasangati-24h'!I33,'28.09 Gayaza-Kasangati-24h'!I33,'29.09 Gayaza-Kasangati'!I33)</f>
        <v>8.75</v>
      </c>
      <c r="J33" s="49">
        <f>AVERAGE('23.09.Gayaza-Kasangati'!J33,'24.09 Gayaza-Kasangati'!J33,'25.09 Gayaza-Kasangati'!J33,'29.09 Gayaza-Kasangati'!J33,'27.09 Gayaza-Kasangati'!J33,'26.09 Gayaza-Kasangati-24h'!J33,'28.09 Gayaza-Kasangati-24h'!J33,'29.09 Gayaza-Kasangati'!J33)</f>
        <v>1.625</v>
      </c>
      <c r="K33" s="49">
        <f>AVERAGE('23.09.Gayaza-Kasangati'!K33,'24.09 Gayaza-Kasangati'!K33,'25.09 Gayaza-Kasangati'!K33,'29.09 Gayaza-Kasangati'!K33,'27.09 Gayaza-Kasangati'!K33,'26.09 Gayaza-Kasangati-24h'!K33,'28.09 Gayaza-Kasangati-24h'!K33,'29.09 Gayaza-Kasangati'!K33)</f>
        <v>3.75</v>
      </c>
      <c r="L33" s="49">
        <f>AVERAGE('23.09.Gayaza-Kasangati'!L33,'24.09 Gayaza-Kasangati'!L33,'25.09 Gayaza-Kasangati'!L33,'29.09 Gayaza-Kasangati'!L33,'27.09 Gayaza-Kasangati'!L33,'26.09 Gayaza-Kasangati-24h'!L33,'28.09 Gayaza-Kasangati-24h'!L33,'29.09 Gayaza-Kasangati'!L33)</f>
        <v>0</v>
      </c>
      <c r="M33" s="49">
        <f>AVERAGE('23.09.Gayaza-Kasangati'!M33,'24.09 Gayaza-Kasangati'!M33,'25.09 Gayaza-Kasangati'!M33,'29.09 Gayaza-Kasangati'!M33,'27.09 Gayaza-Kasangati'!M33,'26.09 Gayaza-Kasangati-24h'!M33,'28.09 Gayaza-Kasangati-24h'!M33,'29.09 Gayaza-Kasangati'!M33)</f>
        <v>68.125</v>
      </c>
      <c r="N33" s="49">
        <f>AVERAGE('23.09.Gayaza-Kasangati'!N33,'24.09 Gayaza-Kasangati'!N33,'25.09 Gayaza-Kasangati'!N33,'29.09 Gayaza-Kasangati'!N33,'27.09 Gayaza-Kasangati'!N33,'26.09 Gayaza-Kasangati-24h'!N33,'28.09 Gayaza-Kasangati-24h'!N33,'29.09 Gayaza-Kasangati'!N33)</f>
        <v>0</v>
      </c>
      <c r="O33" s="15">
        <f t="shared" si="0"/>
        <v>109.25</v>
      </c>
      <c r="P33" s="15">
        <f t="shared" si="1"/>
        <v>177.375</v>
      </c>
      <c r="R33" s="1" t="s">
        <v>157</v>
      </c>
      <c r="S33" s="34">
        <f>SUM(C102:C105)</f>
        <v>259.5</v>
      </c>
      <c r="T33" s="34">
        <f t="shared" ref="T33:AF33" si="25">SUM(D102:D105)</f>
        <v>26.5</v>
      </c>
      <c r="U33" s="34">
        <f t="shared" si="25"/>
        <v>14</v>
      </c>
      <c r="V33" s="34">
        <f t="shared" si="25"/>
        <v>142.5</v>
      </c>
      <c r="W33" s="34">
        <f t="shared" si="25"/>
        <v>2.5</v>
      </c>
      <c r="X33" s="34">
        <f t="shared" si="25"/>
        <v>0</v>
      </c>
      <c r="Y33" s="34">
        <f t="shared" si="25"/>
        <v>14</v>
      </c>
      <c r="Z33" s="34">
        <f t="shared" si="25"/>
        <v>4.5</v>
      </c>
      <c r="AA33" s="34">
        <f t="shared" si="25"/>
        <v>4</v>
      </c>
      <c r="AB33" s="34">
        <f t="shared" si="25"/>
        <v>0</v>
      </c>
      <c r="AC33" s="34">
        <f t="shared" si="25"/>
        <v>141</v>
      </c>
      <c r="AD33" s="34">
        <f t="shared" si="25"/>
        <v>0</v>
      </c>
      <c r="AE33" s="69">
        <f t="shared" si="25"/>
        <v>467.5</v>
      </c>
      <c r="AF33" s="69">
        <f t="shared" si="25"/>
        <v>608.5</v>
      </c>
    </row>
    <row r="34" spans="2:32" ht="23.1" customHeight="1" x14ac:dyDescent="0.25">
      <c r="B34" s="24" t="s">
        <v>61</v>
      </c>
      <c r="C34" s="49">
        <f>AVERAGE('23.09.Gayaza-Kasangati'!C34,'24.09 Gayaza-Kasangati'!C34,'25.09 Gayaza-Kasangati'!C34,'29.09 Gayaza-Kasangati'!C34,'27.09 Gayaza-Kasangati'!C34,'26.09 Gayaza-Kasangati-24h'!C34,'28.09 Gayaza-Kasangati-24h'!C34,'29.09 Gayaza-Kasangati'!C34)</f>
        <v>43</v>
      </c>
      <c r="D34" s="49">
        <f>AVERAGE('23.09.Gayaza-Kasangati'!D34,'24.09 Gayaza-Kasangati'!D34,'25.09 Gayaza-Kasangati'!D34,'29.09 Gayaza-Kasangati'!D34,'27.09 Gayaza-Kasangati'!D34,'26.09 Gayaza-Kasangati-24h'!D34,'28.09 Gayaza-Kasangati-24h'!D34,'29.09 Gayaza-Kasangati'!D34)</f>
        <v>8.375</v>
      </c>
      <c r="E34" s="49">
        <f>AVERAGE('23.09.Gayaza-Kasangati'!E34,'24.09 Gayaza-Kasangati'!E34,'25.09 Gayaza-Kasangati'!E34,'29.09 Gayaza-Kasangati'!E34,'27.09 Gayaza-Kasangati'!E34,'26.09 Gayaza-Kasangati-24h'!E34,'28.09 Gayaza-Kasangati-24h'!E34,'29.09 Gayaza-Kasangati'!E34)</f>
        <v>4.25</v>
      </c>
      <c r="F34" s="49">
        <f>AVERAGE('23.09.Gayaza-Kasangati'!F34,'24.09 Gayaza-Kasangati'!F34,'25.09 Gayaza-Kasangati'!F34,'29.09 Gayaza-Kasangati'!F34,'27.09 Gayaza-Kasangati'!F34,'26.09 Gayaza-Kasangati-24h'!F34,'28.09 Gayaza-Kasangati-24h'!F34,'29.09 Gayaza-Kasangati'!F34)</f>
        <v>34</v>
      </c>
      <c r="G34" s="49">
        <f>AVERAGE('23.09.Gayaza-Kasangati'!G34,'24.09 Gayaza-Kasangati'!G34,'25.09 Gayaza-Kasangati'!G34,'29.09 Gayaza-Kasangati'!G34,'27.09 Gayaza-Kasangati'!G34,'26.09 Gayaza-Kasangati-24h'!G34,'28.09 Gayaza-Kasangati-24h'!G34,'29.09 Gayaza-Kasangati'!G34)</f>
        <v>0.25</v>
      </c>
      <c r="H34" s="49">
        <f>AVERAGE('23.09.Gayaza-Kasangati'!H34,'24.09 Gayaza-Kasangati'!H34,'25.09 Gayaza-Kasangati'!H34,'29.09 Gayaza-Kasangati'!H34,'27.09 Gayaza-Kasangati'!H34,'26.09 Gayaza-Kasangati-24h'!H34,'28.09 Gayaza-Kasangati-24h'!H34,'29.09 Gayaza-Kasangati'!H34)</f>
        <v>0.5</v>
      </c>
      <c r="I34" s="49">
        <f>AVERAGE('23.09.Gayaza-Kasangati'!I34,'24.09 Gayaza-Kasangati'!I34,'25.09 Gayaza-Kasangati'!I34,'29.09 Gayaza-Kasangati'!I34,'27.09 Gayaza-Kasangati'!I34,'26.09 Gayaza-Kasangati-24h'!I34,'28.09 Gayaza-Kasangati-24h'!I34,'29.09 Gayaza-Kasangati'!I34)</f>
        <v>9.5</v>
      </c>
      <c r="J34" s="49">
        <f>AVERAGE('23.09.Gayaza-Kasangati'!J34,'24.09 Gayaza-Kasangati'!J34,'25.09 Gayaza-Kasangati'!J34,'29.09 Gayaza-Kasangati'!J34,'27.09 Gayaza-Kasangati'!J34,'26.09 Gayaza-Kasangati-24h'!J34,'28.09 Gayaza-Kasangati-24h'!J34,'29.09 Gayaza-Kasangati'!J34)</f>
        <v>2.625</v>
      </c>
      <c r="K34" s="49">
        <f>AVERAGE('23.09.Gayaza-Kasangati'!K34,'24.09 Gayaza-Kasangati'!K34,'25.09 Gayaza-Kasangati'!K34,'29.09 Gayaza-Kasangati'!K34,'27.09 Gayaza-Kasangati'!K34,'26.09 Gayaza-Kasangati-24h'!K34,'28.09 Gayaza-Kasangati-24h'!K34,'29.09 Gayaza-Kasangati'!K34)</f>
        <v>0.875</v>
      </c>
      <c r="L34" s="49">
        <f>AVERAGE('23.09.Gayaza-Kasangati'!L34,'24.09 Gayaza-Kasangati'!L34,'25.09 Gayaza-Kasangati'!L34,'29.09 Gayaza-Kasangati'!L34,'27.09 Gayaza-Kasangati'!L34,'26.09 Gayaza-Kasangati-24h'!L34,'28.09 Gayaza-Kasangati-24h'!L34,'29.09 Gayaza-Kasangati'!L34)</f>
        <v>0.125</v>
      </c>
      <c r="M34" s="49">
        <f>AVERAGE('23.09.Gayaza-Kasangati'!M34,'24.09 Gayaza-Kasangati'!M34,'25.09 Gayaza-Kasangati'!M34,'29.09 Gayaza-Kasangati'!M34,'27.09 Gayaza-Kasangati'!M34,'26.09 Gayaza-Kasangati-24h'!M34,'28.09 Gayaza-Kasangati-24h'!M34,'29.09 Gayaza-Kasangati'!M34)</f>
        <v>67.375</v>
      </c>
      <c r="N34" s="49">
        <f>AVERAGE('23.09.Gayaza-Kasangati'!N34,'24.09 Gayaza-Kasangati'!N34,'25.09 Gayaza-Kasangati'!N34,'29.09 Gayaza-Kasangati'!N34,'27.09 Gayaza-Kasangati'!N34,'26.09 Gayaza-Kasangati-24h'!N34,'28.09 Gayaza-Kasangati-24h'!N34,'29.09 Gayaza-Kasangati'!N34)</f>
        <v>0</v>
      </c>
      <c r="O34" s="15">
        <f t="shared" si="0"/>
        <v>103.5</v>
      </c>
      <c r="P34" s="15">
        <f t="shared" si="1"/>
        <v>170.875</v>
      </c>
      <c r="R34" s="38" t="s">
        <v>90</v>
      </c>
      <c r="S34" s="39">
        <f t="shared" ref="S34:AF34" si="26">MAX(S10:S12)</f>
        <v>336.25</v>
      </c>
      <c r="T34" s="39">
        <f t="shared" si="26"/>
        <v>42.875</v>
      </c>
      <c r="U34" s="39">
        <f t="shared" si="26"/>
        <v>23.25</v>
      </c>
      <c r="V34" s="39">
        <f t="shared" si="26"/>
        <v>186.375</v>
      </c>
      <c r="W34" s="39">
        <f t="shared" si="26"/>
        <v>5.125</v>
      </c>
      <c r="X34" s="39">
        <f t="shared" si="26"/>
        <v>3.125</v>
      </c>
      <c r="Y34" s="39">
        <f t="shared" si="26"/>
        <v>34.75</v>
      </c>
      <c r="Z34" s="39">
        <f t="shared" si="26"/>
        <v>8.625</v>
      </c>
      <c r="AA34" s="39">
        <f t="shared" si="26"/>
        <v>11.25</v>
      </c>
      <c r="AB34" s="39">
        <f t="shared" si="26"/>
        <v>0.875</v>
      </c>
      <c r="AC34" s="39">
        <f t="shared" si="26"/>
        <v>644.375</v>
      </c>
      <c r="AD34" s="39">
        <f t="shared" si="26"/>
        <v>0</v>
      </c>
      <c r="AE34" s="40">
        <f t="shared" si="26"/>
        <v>626.125</v>
      </c>
      <c r="AF34" s="40">
        <f t="shared" si="26"/>
        <v>1270.375</v>
      </c>
    </row>
    <row r="35" spans="2:32" ht="23.1" customHeight="1" x14ac:dyDescent="0.25">
      <c r="B35" s="24" t="s">
        <v>62</v>
      </c>
      <c r="C35" s="49">
        <f>AVERAGE('23.09.Gayaza-Kasangati'!C35,'24.09 Gayaza-Kasangati'!C35,'25.09 Gayaza-Kasangati'!C35,'29.09 Gayaza-Kasangati'!C35,'27.09 Gayaza-Kasangati'!C35,'26.09 Gayaza-Kasangati-24h'!C35,'28.09 Gayaza-Kasangati-24h'!C35,'29.09 Gayaza-Kasangati'!C35)</f>
        <v>43.25</v>
      </c>
      <c r="D35" s="49">
        <f>AVERAGE('23.09.Gayaza-Kasangati'!D35,'24.09 Gayaza-Kasangati'!D35,'25.09 Gayaza-Kasangati'!D35,'29.09 Gayaza-Kasangati'!D35,'27.09 Gayaza-Kasangati'!D35,'26.09 Gayaza-Kasangati-24h'!D35,'28.09 Gayaza-Kasangati-24h'!D35,'29.09 Gayaza-Kasangati'!D35)</f>
        <v>9.625</v>
      </c>
      <c r="E35" s="49">
        <f>AVERAGE('23.09.Gayaza-Kasangati'!E35,'24.09 Gayaza-Kasangati'!E35,'25.09 Gayaza-Kasangati'!E35,'29.09 Gayaza-Kasangati'!E35,'27.09 Gayaza-Kasangati'!E35,'26.09 Gayaza-Kasangati-24h'!E35,'28.09 Gayaza-Kasangati-24h'!E35,'29.09 Gayaza-Kasangati'!E35)</f>
        <v>5.125</v>
      </c>
      <c r="F35" s="49">
        <f>AVERAGE('23.09.Gayaza-Kasangati'!F35,'24.09 Gayaza-Kasangati'!F35,'25.09 Gayaza-Kasangati'!F35,'29.09 Gayaza-Kasangati'!F35,'27.09 Gayaza-Kasangati'!F35,'26.09 Gayaza-Kasangati-24h'!F35,'28.09 Gayaza-Kasangati-24h'!F35,'29.09 Gayaza-Kasangati'!F35)</f>
        <v>28.25</v>
      </c>
      <c r="G35" s="49">
        <f>AVERAGE('23.09.Gayaza-Kasangati'!G35,'24.09 Gayaza-Kasangati'!G35,'25.09 Gayaza-Kasangati'!G35,'29.09 Gayaza-Kasangati'!G35,'27.09 Gayaza-Kasangati'!G35,'26.09 Gayaza-Kasangati-24h'!G35,'28.09 Gayaza-Kasangati-24h'!G35,'29.09 Gayaza-Kasangati'!G35)</f>
        <v>0.125</v>
      </c>
      <c r="H35" s="49">
        <f>AVERAGE('23.09.Gayaza-Kasangati'!H35,'24.09 Gayaza-Kasangati'!H35,'25.09 Gayaza-Kasangati'!H35,'29.09 Gayaza-Kasangati'!H35,'27.09 Gayaza-Kasangati'!H35,'26.09 Gayaza-Kasangati-24h'!H35,'28.09 Gayaza-Kasangati-24h'!H35,'29.09 Gayaza-Kasangati'!H35)</f>
        <v>0.125</v>
      </c>
      <c r="I35" s="49">
        <f>AVERAGE('23.09.Gayaza-Kasangati'!I35,'24.09 Gayaza-Kasangati'!I35,'25.09 Gayaza-Kasangati'!I35,'29.09 Gayaza-Kasangati'!I35,'27.09 Gayaza-Kasangati'!I35,'26.09 Gayaza-Kasangati-24h'!I35,'28.09 Gayaza-Kasangati-24h'!I35,'29.09 Gayaza-Kasangati'!I35)</f>
        <v>8.75</v>
      </c>
      <c r="J35" s="49">
        <f>AVERAGE('23.09.Gayaza-Kasangati'!J35,'24.09 Gayaza-Kasangati'!J35,'25.09 Gayaza-Kasangati'!J35,'29.09 Gayaza-Kasangati'!J35,'27.09 Gayaza-Kasangati'!J35,'26.09 Gayaza-Kasangati-24h'!J35,'28.09 Gayaza-Kasangati-24h'!J35,'29.09 Gayaza-Kasangati'!J35)</f>
        <v>2.25</v>
      </c>
      <c r="K35" s="49">
        <f>AVERAGE('23.09.Gayaza-Kasangati'!K35,'24.09 Gayaza-Kasangati'!K35,'25.09 Gayaza-Kasangati'!K35,'29.09 Gayaza-Kasangati'!K35,'27.09 Gayaza-Kasangati'!K35,'26.09 Gayaza-Kasangati-24h'!K35,'28.09 Gayaza-Kasangati-24h'!K35,'29.09 Gayaza-Kasangati'!K35)</f>
        <v>2.875</v>
      </c>
      <c r="L35" s="49">
        <f>AVERAGE('23.09.Gayaza-Kasangati'!L35,'24.09 Gayaza-Kasangati'!L35,'25.09 Gayaza-Kasangati'!L35,'29.09 Gayaza-Kasangati'!L35,'27.09 Gayaza-Kasangati'!L35,'26.09 Gayaza-Kasangati-24h'!L35,'28.09 Gayaza-Kasangati-24h'!L35,'29.09 Gayaza-Kasangati'!L35)</f>
        <v>0.125</v>
      </c>
      <c r="M35" s="49">
        <f>AVERAGE('23.09.Gayaza-Kasangati'!M35,'24.09 Gayaza-Kasangati'!M35,'25.09 Gayaza-Kasangati'!M35,'29.09 Gayaza-Kasangati'!M35,'27.09 Gayaza-Kasangati'!M35,'26.09 Gayaza-Kasangati-24h'!M35,'28.09 Gayaza-Kasangati-24h'!M35,'29.09 Gayaza-Kasangati'!M35)</f>
        <v>59.75</v>
      </c>
      <c r="N35" s="49">
        <f>AVERAGE('23.09.Gayaza-Kasangati'!N35,'24.09 Gayaza-Kasangati'!N35,'25.09 Gayaza-Kasangati'!N35,'29.09 Gayaza-Kasangati'!N35,'27.09 Gayaza-Kasangati'!N35,'26.09 Gayaza-Kasangati-24h'!N35,'28.09 Gayaza-Kasangati-24h'!N35,'29.09 Gayaza-Kasangati'!N35)</f>
        <v>0</v>
      </c>
      <c r="O35" s="15">
        <f t="shared" si="0"/>
        <v>100.5</v>
      </c>
      <c r="P35" s="15">
        <f t="shared" si="1"/>
        <v>160.25</v>
      </c>
      <c r="R35" s="38" t="s">
        <v>91</v>
      </c>
      <c r="S35" s="39">
        <f t="shared" ref="S35:AF35" si="27">MAX(S13:S18)</f>
        <v>234.875</v>
      </c>
      <c r="T35" s="39">
        <f t="shared" si="27"/>
        <v>43.875</v>
      </c>
      <c r="U35" s="39">
        <f t="shared" si="27"/>
        <v>39.125</v>
      </c>
      <c r="V35" s="39">
        <f t="shared" si="27"/>
        <v>147.5</v>
      </c>
      <c r="W35" s="39">
        <f t="shared" si="27"/>
        <v>2.125</v>
      </c>
      <c r="X35" s="39">
        <f t="shared" si="27"/>
        <v>1.5</v>
      </c>
      <c r="Y35" s="39">
        <f t="shared" si="27"/>
        <v>47.125</v>
      </c>
      <c r="Z35" s="39">
        <f t="shared" si="27"/>
        <v>10.625</v>
      </c>
      <c r="AA35" s="39">
        <f t="shared" si="27"/>
        <v>12.875</v>
      </c>
      <c r="AB35" s="39">
        <f t="shared" si="27"/>
        <v>1.625</v>
      </c>
      <c r="AC35" s="39">
        <f t="shared" si="27"/>
        <v>413.625</v>
      </c>
      <c r="AD35" s="39">
        <f t="shared" si="27"/>
        <v>0.125</v>
      </c>
      <c r="AE35" s="40">
        <f t="shared" si="27"/>
        <v>493.375</v>
      </c>
      <c r="AF35" s="40">
        <f t="shared" si="27"/>
        <v>907</v>
      </c>
    </row>
    <row r="36" spans="2:32" ht="23.1" customHeight="1" x14ac:dyDescent="0.25">
      <c r="B36" s="24" t="s">
        <v>63</v>
      </c>
      <c r="C36" s="49">
        <f>AVERAGE('23.09.Gayaza-Kasangati'!C36,'24.09 Gayaza-Kasangati'!C36,'25.09 Gayaza-Kasangati'!C36,'29.09 Gayaza-Kasangati'!C36,'27.09 Gayaza-Kasangati'!C36,'26.09 Gayaza-Kasangati-24h'!C36,'28.09 Gayaza-Kasangati-24h'!C36,'29.09 Gayaza-Kasangati'!C36)</f>
        <v>44.75</v>
      </c>
      <c r="D36" s="49">
        <f>AVERAGE('23.09.Gayaza-Kasangati'!D36,'24.09 Gayaza-Kasangati'!D36,'25.09 Gayaza-Kasangati'!D36,'29.09 Gayaza-Kasangati'!D36,'27.09 Gayaza-Kasangati'!D36,'26.09 Gayaza-Kasangati-24h'!D36,'28.09 Gayaza-Kasangati-24h'!D36,'29.09 Gayaza-Kasangati'!D36)</f>
        <v>12.625</v>
      </c>
      <c r="E36" s="49">
        <f>AVERAGE('23.09.Gayaza-Kasangati'!E36,'24.09 Gayaza-Kasangati'!E36,'25.09 Gayaza-Kasangati'!E36,'29.09 Gayaza-Kasangati'!E36,'27.09 Gayaza-Kasangati'!E36,'26.09 Gayaza-Kasangati-24h'!E36,'28.09 Gayaza-Kasangati-24h'!E36,'29.09 Gayaza-Kasangati'!E36)</f>
        <v>6.875</v>
      </c>
      <c r="F36" s="49">
        <f>AVERAGE('23.09.Gayaza-Kasangati'!F36,'24.09 Gayaza-Kasangati'!F36,'25.09 Gayaza-Kasangati'!F36,'29.09 Gayaza-Kasangati'!F36,'27.09 Gayaza-Kasangati'!F36,'26.09 Gayaza-Kasangati-24h'!F36,'28.09 Gayaza-Kasangati-24h'!F36,'29.09 Gayaza-Kasangati'!F36)</f>
        <v>26.625</v>
      </c>
      <c r="G36" s="49">
        <f>AVERAGE('23.09.Gayaza-Kasangati'!G36,'24.09 Gayaza-Kasangati'!G36,'25.09 Gayaza-Kasangati'!G36,'29.09 Gayaza-Kasangati'!G36,'27.09 Gayaza-Kasangati'!G36,'26.09 Gayaza-Kasangati-24h'!G36,'28.09 Gayaza-Kasangati-24h'!G36,'29.09 Gayaza-Kasangati'!G36)</f>
        <v>0.375</v>
      </c>
      <c r="H36" s="49">
        <f>AVERAGE('23.09.Gayaza-Kasangati'!H36,'24.09 Gayaza-Kasangati'!H36,'25.09 Gayaza-Kasangati'!H36,'29.09 Gayaza-Kasangati'!H36,'27.09 Gayaza-Kasangati'!H36,'26.09 Gayaza-Kasangati-24h'!H36,'28.09 Gayaza-Kasangati-24h'!H36,'29.09 Gayaza-Kasangati'!H36)</f>
        <v>0.625</v>
      </c>
      <c r="I36" s="49">
        <f>AVERAGE('23.09.Gayaza-Kasangati'!I36,'24.09 Gayaza-Kasangati'!I36,'25.09 Gayaza-Kasangati'!I36,'29.09 Gayaza-Kasangati'!I36,'27.09 Gayaza-Kasangati'!I36,'26.09 Gayaza-Kasangati-24h'!I36,'28.09 Gayaza-Kasangati-24h'!I36,'29.09 Gayaza-Kasangati'!I36)</f>
        <v>8.125</v>
      </c>
      <c r="J36" s="49">
        <f>AVERAGE('23.09.Gayaza-Kasangati'!J36,'24.09 Gayaza-Kasangati'!J36,'25.09 Gayaza-Kasangati'!J36,'29.09 Gayaza-Kasangati'!J36,'27.09 Gayaza-Kasangati'!J36,'26.09 Gayaza-Kasangati-24h'!J36,'28.09 Gayaza-Kasangati-24h'!J36,'29.09 Gayaza-Kasangati'!J36)</f>
        <v>1.375</v>
      </c>
      <c r="K36" s="49">
        <f>AVERAGE('23.09.Gayaza-Kasangati'!K36,'24.09 Gayaza-Kasangati'!K36,'25.09 Gayaza-Kasangati'!K36,'29.09 Gayaza-Kasangati'!K36,'27.09 Gayaza-Kasangati'!K36,'26.09 Gayaza-Kasangati-24h'!K36,'28.09 Gayaza-Kasangati-24h'!K36,'29.09 Gayaza-Kasangati'!K36)</f>
        <v>3.25</v>
      </c>
      <c r="L36" s="49">
        <f>AVERAGE('23.09.Gayaza-Kasangati'!L36,'24.09 Gayaza-Kasangati'!L36,'25.09 Gayaza-Kasangati'!L36,'29.09 Gayaza-Kasangati'!L36,'27.09 Gayaza-Kasangati'!L36,'26.09 Gayaza-Kasangati-24h'!L36,'28.09 Gayaza-Kasangati-24h'!L36,'29.09 Gayaza-Kasangati'!L36)</f>
        <v>1.125</v>
      </c>
      <c r="M36" s="49">
        <f>AVERAGE('23.09.Gayaza-Kasangati'!M36,'24.09 Gayaza-Kasangati'!M36,'25.09 Gayaza-Kasangati'!M36,'29.09 Gayaza-Kasangati'!M36,'27.09 Gayaza-Kasangati'!M36,'26.09 Gayaza-Kasangati-24h'!M36,'28.09 Gayaza-Kasangati-24h'!M36,'29.09 Gayaza-Kasangati'!M36)</f>
        <v>61.25</v>
      </c>
      <c r="N36" s="49">
        <f>AVERAGE('23.09.Gayaza-Kasangati'!N36,'24.09 Gayaza-Kasangati'!N36,'25.09 Gayaza-Kasangati'!N36,'29.09 Gayaza-Kasangati'!N36,'27.09 Gayaza-Kasangati'!N36,'26.09 Gayaza-Kasangati-24h'!N36,'28.09 Gayaza-Kasangati-24h'!N36,'29.09 Gayaza-Kasangati'!N36)</f>
        <v>0</v>
      </c>
      <c r="O36" s="15">
        <f t="shared" si="0"/>
        <v>105.75</v>
      </c>
      <c r="P36" s="15">
        <f t="shared" si="1"/>
        <v>167</v>
      </c>
      <c r="R36" s="38" t="s">
        <v>92</v>
      </c>
      <c r="S36" s="39">
        <f t="shared" ref="S36:AF36" si="28">MAX(S19:S21)</f>
        <v>244.625</v>
      </c>
      <c r="T36" s="39">
        <f t="shared" si="28"/>
        <v>58</v>
      </c>
      <c r="U36" s="39">
        <f t="shared" si="28"/>
        <v>38.875</v>
      </c>
      <c r="V36" s="39">
        <f t="shared" si="28"/>
        <v>217.75</v>
      </c>
      <c r="W36" s="39">
        <f t="shared" si="28"/>
        <v>7.875</v>
      </c>
      <c r="X36" s="39">
        <f t="shared" si="28"/>
        <v>2.375</v>
      </c>
      <c r="Y36" s="39">
        <f t="shared" si="28"/>
        <v>47.625</v>
      </c>
      <c r="Z36" s="39">
        <f t="shared" si="28"/>
        <v>10.625</v>
      </c>
      <c r="AA36" s="39">
        <f t="shared" si="28"/>
        <v>8.625</v>
      </c>
      <c r="AB36" s="39">
        <f t="shared" si="28"/>
        <v>1.5</v>
      </c>
      <c r="AC36" s="39">
        <f t="shared" si="28"/>
        <v>426.75</v>
      </c>
      <c r="AD36" s="39">
        <f t="shared" si="28"/>
        <v>0.125</v>
      </c>
      <c r="AE36" s="40">
        <f t="shared" si="28"/>
        <v>607.625</v>
      </c>
      <c r="AF36" s="40">
        <f t="shared" si="28"/>
        <v>1034.375</v>
      </c>
    </row>
    <row r="37" spans="2:32" ht="23.1" customHeight="1" x14ac:dyDescent="0.25">
      <c r="B37" s="23" t="s">
        <v>64</v>
      </c>
      <c r="C37" s="49">
        <f>AVERAGE('23.09.Gayaza-Kasangati'!C37,'24.09 Gayaza-Kasangati'!C37,'25.09 Gayaza-Kasangati'!C37,'29.09 Gayaza-Kasangati'!C37,'27.09 Gayaza-Kasangati'!C37,'26.09 Gayaza-Kasangati-24h'!C37,'28.09 Gayaza-Kasangati-24h'!C37,'29.09 Gayaza-Kasangati'!C37)</f>
        <v>39.625</v>
      </c>
      <c r="D37" s="49">
        <f>AVERAGE('23.09.Gayaza-Kasangati'!D37,'24.09 Gayaza-Kasangati'!D37,'25.09 Gayaza-Kasangati'!D37,'29.09 Gayaza-Kasangati'!D37,'27.09 Gayaza-Kasangati'!D37,'26.09 Gayaza-Kasangati-24h'!D37,'28.09 Gayaza-Kasangati-24h'!D37,'29.09 Gayaza-Kasangati'!D37)</f>
        <v>12.125</v>
      </c>
      <c r="E37" s="49">
        <f>AVERAGE('23.09.Gayaza-Kasangati'!E37,'24.09 Gayaza-Kasangati'!E37,'25.09 Gayaza-Kasangati'!E37,'29.09 Gayaza-Kasangati'!E37,'27.09 Gayaza-Kasangati'!E37,'26.09 Gayaza-Kasangati-24h'!E37,'28.09 Gayaza-Kasangati-24h'!E37,'29.09 Gayaza-Kasangati'!E37)</f>
        <v>5.125</v>
      </c>
      <c r="F37" s="49">
        <f>AVERAGE('23.09.Gayaza-Kasangati'!F37,'24.09 Gayaza-Kasangati'!F37,'25.09 Gayaza-Kasangati'!F37,'29.09 Gayaza-Kasangati'!F37,'27.09 Gayaza-Kasangati'!F37,'26.09 Gayaza-Kasangati-24h'!F37,'28.09 Gayaza-Kasangati-24h'!F37,'29.09 Gayaza-Kasangati'!F37)</f>
        <v>25.875</v>
      </c>
      <c r="G37" s="49">
        <f>AVERAGE('23.09.Gayaza-Kasangati'!G37,'24.09 Gayaza-Kasangati'!G37,'25.09 Gayaza-Kasangati'!G37,'29.09 Gayaza-Kasangati'!G37,'27.09 Gayaza-Kasangati'!G37,'26.09 Gayaza-Kasangati-24h'!G37,'28.09 Gayaza-Kasangati-24h'!G37,'29.09 Gayaza-Kasangati'!G37)</f>
        <v>0.5</v>
      </c>
      <c r="H37" s="49">
        <f>AVERAGE('23.09.Gayaza-Kasangati'!H37,'24.09 Gayaza-Kasangati'!H37,'25.09 Gayaza-Kasangati'!H37,'29.09 Gayaza-Kasangati'!H37,'27.09 Gayaza-Kasangati'!H37,'26.09 Gayaza-Kasangati-24h'!H37,'28.09 Gayaza-Kasangati-24h'!H37,'29.09 Gayaza-Kasangati'!H37)</f>
        <v>0.25</v>
      </c>
      <c r="I37" s="49">
        <f>AVERAGE('23.09.Gayaza-Kasangati'!I37,'24.09 Gayaza-Kasangati'!I37,'25.09 Gayaza-Kasangati'!I37,'29.09 Gayaza-Kasangati'!I37,'27.09 Gayaza-Kasangati'!I37,'26.09 Gayaza-Kasangati-24h'!I37,'28.09 Gayaza-Kasangati-24h'!I37,'29.09 Gayaza-Kasangati'!I37)</f>
        <v>7.875</v>
      </c>
      <c r="J37" s="49">
        <f>AVERAGE('23.09.Gayaza-Kasangati'!J37,'24.09 Gayaza-Kasangati'!J37,'25.09 Gayaza-Kasangati'!J37,'29.09 Gayaza-Kasangati'!J37,'27.09 Gayaza-Kasangati'!J37,'26.09 Gayaza-Kasangati-24h'!J37,'28.09 Gayaza-Kasangati-24h'!J37,'29.09 Gayaza-Kasangati'!J37)</f>
        <v>2</v>
      </c>
      <c r="K37" s="49">
        <f>AVERAGE('23.09.Gayaza-Kasangati'!K37,'24.09 Gayaza-Kasangati'!K37,'25.09 Gayaza-Kasangati'!K37,'29.09 Gayaza-Kasangati'!K37,'27.09 Gayaza-Kasangati'!K37,'26.09 Gayaza-Kasangati-24h'!K37,'28.09 Gayaza-Kasangati-24h'!K37,'29.09 Gayaza-Kasangati'!K37)</f>
        <v>3</v>
      </c>
      <c r="L37" s="49">
        <f>AVERAGE('23.09.Gayaza-Kasangati'!L37,'24.09 Gayaza-Kasangati'!L37,'25.09 Gayaza-Kasangati'!L37,'29.09 Gayaza-Kasangati'!L37,'27.09 Gayaza-Kasangati'!L37,'26.09 Gayaza-Kasangati-24h'!L37,'28.09 Gayaza-Kasangati-24h'!L37,'29.09 Gayaza-Kasangati'!L37)</f>
        <v>0</v>
      </c>
      <c r="M37" s="49">
        <f>AVERAGE('23.09.Gayaza-Kasangati'!M37,'24.09 Gayaza-Kasangati'!M37,'25.09 Gayaza-Kasangati'!M37,'29.09 Gayaza-Kasangati'!M37,'27.09 Gayaza-Kasangati'!M37,'26.09 Gayaza-Kasangati-24h'!M37,'28.09 Gayaza-Kasangati-24h'!M37,'29.09 Gayaza-Kasangati'!M37)</f>
        <v>59.125</v>
      </c>
      <c r="N37" s="49">
        <f>AVERAGE('23.09.Gayaza-Kasangati'!N37,'24.09 Gayaza-Kasangati'!N37,'25.09 Gayaza-Kasangati'!N37,'29.09 Gayaza-Kasangati'!N37,'27.09 Gayaza-Kasangati'!N37,'26.09 Gayaza-Kasangati-24h'!N37,'28.09 Gayaza-Kasangati-24h'!N37,'29.09 Gayaza-Kasangati'!N37)</f>
        <v>0</v>
      </c>
      <c r="O37" s="15">
        <f t="shared" si="0"/>
        <v>96.375</v>
      </c>
      <c r="P37" s="15">
        <f t="shared" si="1"/>
        <v>155.5</v>
      </c>
      <c r="R37" s="37" t="s">
        <v>85</v>
      </c>
      <c r="S37" s="35">
        <f t="shared" ref="S37:AF37" si="29">SUM(S10:S12)</f>
        <v>844</v>
      </c>
      <c r="T37" s="16">
        <f t="shared" si="29"/>
        <v>104.5</v>
      </c>
      <c r="U37" s="16">
        <f t="shared" si="29"/>
        <v>64.625</v>
      </c>
      <c r="V37" s="16">
        <f t="shared" si="29"/>
        <v>505.625</v>
      </c>
      <c r="W37" s="16">
        <f t="shared" si="29"/>
        <v>9.125</v>
      </c>
      <c r="X37" s="16">
        <f t="shared" si="29"/>
        <v>5.875</v>
      </c>
      <c r="Y37" s="16">
        <f t="shared" si="29"/>
        <v>102.25</v>
      </c>
      <c r="Z37" s="16">
        <f t="shared" si="29"/>
        <v>21.5</v>
      </c>
      <c r="AA37" s="16">
        <f t="shared" si="29"/>
        <v>20.625</v>
      </c>
      <c r="AB37" s="16">
        <f t="shared" si="29"/>
        <v>1.625</v>
      </c>
      <c r="AC37" s="16">
        <f t="shared" si="29"/>
        <v>1822.75</v>
      </c>
      <c r="AD37" s="16">
        <f t="shared" si="29"/>
        <v>0</v>
      </c>
      <c r="AE37" s="32">
        <f t="shared" si="29"/>
        <v>1679.75</v>
      </c>
      <c r="AF37" s="32">
        <f t="shared" si="29"/>
        <v>3502.5</v>
      </c>
    </row>
    <row r="38" spans="2:32" ht="23.1" customHeight="1" x14ac:dyDescent="0.25">
      <c r="B38" s="24" t="s">
        <v>65</v>
      </c>
      <c r="C38" s="49">
        <f>AVERAGE('23.09.Gayaza-Kasangati'!C38,'24.09 Gayaza-Kasangati'!C38,'25.09 Gayaza-Kasangati'!C38,'29.09 Gayaza-Kasangati'!C38,'27.09 Gayaza-Kasangati'!C38,'26.09 Gayaza-Kasangati-24h'!C38,'28.09 Gayaza-Kasangati-24h'!C38,'29.09 Gayaza-Kasangati'!C38)</f>
        <v>44.375</v>
      </c>
      <c r="D38" s="49">
        <f>AVERAGE('23.09.Gayaza-Kasangati'!D38,'24.09 Gayaza-Kasangati'!D38,'25.09 Gayaza-Kasangati'!D38,'29.09 Gayaza-Kasangati'!D38,'27.09 Gayaza-Kasangati'!D38,'26.09 Gayaza-Kasangati-24h'!D38,'28.09 Gayaza-Kasangati-24h'!D38,'29.09 Gayaza-Kasangati'!D38)</f>
        <v>13.875</v>
      </c>
      <c r="E38" s="49">
        <f>AVERAGE('23.09.Gayaza-Kasangati'!E38,'24.09 Gayaza-Kasangati'!E38,'25.09 Gayaza-Kasangati'!E38,'29.09 Gayaza-Kasangati'!E38,'27.09 Gayaza-Kasangati'!E38,'26.09 Gayaza-Kasangati-24h'!E38,'28.09 Gayaza-Kasangati-24h'!E38,'29.09 Gayaza-Kasangati'!E38)</f>
        <v>5.875</v>
      </c>
      <c r="F38" s="49">
        <f>AVERAGE('23.09.Gayaza-Kasangati'!F38,'24.09 Gayaza-Kasangati'!F38,'25.09 Gayaza-Kasangati'!F38,'29.09 Gayaza-Kasangati'!F38,'27.09 Gayaza-Kasangati'!F38,'26.09 Gayaza-Kasangati-24h'!F38,'28.09 Gayaza-Kasangati-24h'!F38,'29.09 Gayaza-Kasangati'!F38)</f>
        <v>25.875</v>
      </c>
      <c r="G38" s="49">
        <f>AVERAGE('23.09.Gayaza-Kasangati'!G38,'24.09 Gayaza-Kasangati'!G38,'25.09 Gayaza-Kasangati'!G38,'29.09 Gayaza-Kasangati'!G38,'27.09 Gayaza-Kasangati'!G38,'26.09 Gayaza-Kasangati-24h'!G38,'28.09 Gayaza-Kasangati-24h'!G38,'29.09 Gayaza-Kasangati'!G38)</f>
        <v>0.25</v>
      </c>
      <c r="H38" s="49">
        <f>AVERAGE('23.09.Gayaza-Kasangati'!H38,'24.09 Gayaza-Kasangati'!H38,'25.09 Gayaza-Kasangati'!H38,'29.09 Gayaza-Kasangati'!H38,'27.09 Gayaza-Kasangati'!H38,'26.09 Gayaza-Kasangati-24h'!H38,'28.09 Gayaza-Kasangati-24h'!H38,'29.09 Gayaza-Kasangati'!H38)</f>
        <v>0.25</v>
      </c>
      <c r="I38" s="49">
        <f>AVERAGE('23.09.Gayaza-Kasangati'!I38,'24.09 Gayaza-Kasangati'!I38,'25.09 Gayaza-Kasangati'!I38,'29.09 Gayaza-Kasangati'!I38,'27.09 Gayaza-Kasangati'!I38,'26.09 Gayaza-Kasangati-24h'!I38,'28.09 Gayaza-Kasangati-24h'!I38,'29.09 Gayaza-Kasangati'!I38)</f>
        <v>14.125</v>
      </c>
      <c r="J38" s="49">
        <f>AVERAGE('23.09.Gayaza-Kasangati'!J38,'24.09 Gayaza-Kasangati'!J38,'25.09 Gayaza-Kasangati'!J38,'29.09 Gayaza-Kasangati'!J38,'27.09 Gayaza-Kasangati'!J38,'26.09 Gayaza-Kasangati-24h'!J38,'28.09 Gayaza-Kasangati-24h'!J38,'29.09 Gayaza-Kasangati'!J38)</f>
        <v>1.875</v>
      </c>
      <c r="K38" s="49">
        <f>AVERAGE('23.09.Gayaza-Kasangati'!K38,'24.09 Gayaza-Kasangati'!K38,'25.09 Gayaza-Kasangati'!K38,'29.09 Gayaza-Kasangati'!K38,'27.09 Gayaza-Kasangati'!K38,'26.09 Gayaza-Kasangati-24h'!K38,'28.09 Gayaza-Kasangati-24h'!K38,'29.09 Gayaza-Kasangati'!K38)</f>
        <v>1.375</v>
      </c>
      <c r="L38" s="49">
        <f>AVERAGE('23.09.Gayaza-Kasangati'!L38,'24.09 Gayaza-Kasangati'!L38,'25.09 Gayaza-Kasangati'!L38,'29.09 Gayaza-Kasangati'!L38,'27.09 Gayaza-Kasangati'!L38,'26.09 Gayaza-Kasangati-24h'!L38,'28.09 Gayaza-Kasangati-24h'!L38,'29.09 Gayaza-Kasangati'!L38)</f>
        <v>0.25</v>
      </c>
      <c r="M38" s="49">
        <f>AVERAGE('23.09.Gayaza-Kasangati'!M38,'24.09 Gayaza-Kasangati'!M38,'25.09 Gayaza-Kasangati'!M38,'29.09 Gayaza-Kasangati'!M38,'27.09 Gayaza-Kasangati'!M38,'26.09 Gayaza-Kasangati-24h'!M38,'28.09 Gayaza-Kasangati-24h'!M38,'29.09 Gayaza-Kasangati'!M38)</f>
        <v>64.75</v>
      </c>
      <c r="N38" s="49">
        <f>AVERAGE('23.09.Gayaza-Kasangati'!N38,'24.09 Gayaza-Kasangati'!N38,'25.09 Gayaza-Kasangati'!N38,'29.09 Gayaza-Kasangati'!N38,'27.09 Gayaza-Kasangati'!N38,'26.09 Gayaza-Kasangati-24h'!N38,'28.09 Gayaza-Kasangati-24h'!N38,'29.09 Gayaza-Kasangati'!N38)</f>
        <v>0</v>
      </c>
      <c r="O38" s="15">
        <f t="shared" si="0"/>
        <v>108.125</v>
      </c>
      <c r="P38" s="15">
        <f t="shared" si="1"/>
        <v>172.875</v>
      </c>
      <c r="R38" s="28" t="s">
        <v>86</v>
      </c>
      <c r="S38" s="16">
        <f t="shared" ref="S38:AF38" si="30">SUM(S13:S18)</f>
        <v>1177.5</v>
      </c>
      <c r="T38" s="16">
        <f t="shared" si="30"/>
        <v>241.625</v>
      </c>
      <c r="U38" s="16">
        <f t="shared" si="30"/>
        <v>155.625</v>
      </c>
      <c r="V38" s="16">
        <f t="shared" si="30"/>
        <v>786.875</v>
      </c>
      <c r="W38" s="16">
        <f t="shared" si="30"/>
        <v>9.375</v>
      </c>
      <c r="X38" s="16">
        <f t="shared" si="30"/>
        <v>6.25</v>
      </c>
      <c r="Y38" s="16">
        <f t="shared" si="30"/>
        <v>231.25</v>
      </c>
      <c r="Z38" s="16">
        <f t="shared" si="30"/>
        <v>51.5</v>
      </c>
      <c r="AA38" s="16">
        <f t="shared" si="30"/>
        <v>58.375</v>
      </c>
      <c r="AB38" s="16">
        <f t="shared" si="30"/>
        <v>5.625</v>
      </c>
      <c r="AC38" s="16">
        <f t="shared" si="30"/>
        <v>1934</v>
      </c>
      <c r="AD38" s="16">
        <f t="shared" si="30"/>
        <v>0.25</v>
      </c>
      <c r="AE38" s="32">
        <f t="shared" si="30"/>
        <v>2724.25</v>
      </c>
      <c r="AF38" s="32">
        <f t="shared" si="30"/>
        <v>4658.25</v>
      </c>
    </row>
    <row r="39" spans="2:32" ht="23.1" customHeight="1" x14ac:dyDescent="0.25">
      <c r="B39" s="24" t="s">
        <v>66</v>
      </c>
      <c r="C39" s="49">
        <f>AVERAGE('23.09.Gayaza-Kasangati'!C39,'24.09 Gayaza-Kasangati'!C39,'25.09 Gayaza-Kasangati'!C39,'29.09 Gayaza-Kasangati'!C39,'27.09 Gayaza-Kasangati'!C39,'26.09 Gayaza-Kasangati-24h'!C39,'28.09 Gayaza-Kasangati-24h'!C39,'29.09 Gayaza-Kasangati'!C39)</f>
        <v>45.375</v>
      </c>
      <c r="D39" s="49">
        <f>AVERAGE('23.09.Gayaza-Kasangati'!D39,'24.09 Gayaza-Kasangati'!D39,'25.09 Gayaza-Kasangati'!D39,'29.09 Gayaza-Kasangati'!D39,'27.09 Gayaza-Kasangati'!D39,'26.09 Gayaza-Kasangati-24h'!D39,'28.09 Gayaza-Kasangati-24h'!D39,'29.09 Gayaza-Kasangati'!D39)</f>
        <v>9.5</v>
      </c>
      <c r="E39" s="49">
        <f>AVERAGE('23.09.Gayaza-Kasangati'!E39,'24.09 Gayaza-Kasangati'!E39,'25.09 Gayaza-Kasangati'!E39,'29.09 Gayaza-Kasangati'!E39,'27.09 Gayaza-Kasangati'!E39,'26.09 Gayaza-Kasangati-24h'!E39,'28.09 Gayaza-Kasangati-24h'!E39,'29.09 Gayaza-Kasangati'!E39)</f>
        <v>5.875</v>
      </c>
      <c r="F39" s="49">
        <f>AVERAGE('23.09.Gayaza-Kasangati'!F39,'24.09 Gayaza-Kasangati'!F39,'25.09 Gayaza-Kasangati'!F39,'29.09 Gayaza-Kasangati'!F39,'27.09 Gayaza-Kasangati'!F39,'26.09 Gayaza-Kasangati-24h'!F39,'28.09 Gayaza-Kasangati-24h'!F39,'29.09 Gayaza-Kasangati'!F39)</f>
        <v>30.375</v>
      </c>
      <c r="G39" s="49">
        <f>AVERAGE('23.09.Gayaza-Kasangati'!G39,'24.09 Gayaza-Kasangati'!G39,'25.09 Gayaza-Kasangati'!G39,'29.09 Gayaza-Kasangati'!G39,'27.09 Gayaza-Kasangati'!G39,'26.09 Gayaza-Kasangati-24h'!G39,'28.09 Gayaza-Kasangati-24h'!G39,'29.09 Gayaza-Kasangati'!G39)</f>
        <v>0.25</v>
      </c>
      <c r="H39" s="49">
        <f>AVERAGE('23.09.Gayaza-Kasangati'!H39,'24.09 Gayaza-Kasangati'!H39,'25.09 Gayaza-Kasangati'!H39,'29.09 Gayaza-Kasangati'!H39,'27.09 Gayaza-Kasangati'!H39,'26.09 Gayaza-Kasangati-24h'!H39,'28.09 Gayaza-Kasangati-24h'!H39,'29.09 Gayaza-Kasangati'!H39)</f>
        <v>0.125</v>
      </c>
      <c r="I39" s="49">
        <f>AVERAGE('23.09.Gayaza-Kasangati'!I39,'24.09 Gayaza-Kasangati'!I39,'25.09 Gayaza-Kasangati'!I39,'29.09 Gayaza-Kasangati'!I39,'27.09 Gayaza-Kasangati'!I39,'26.09 Gayaza-Kasangati-24h'!I39,'28.09 Gayaza-Kasangati-24h'!I39,'29.09 Gayaza-Kasangati'!I39)</f>
        <v>9.25</v>
      </c>
      <c r="J39" s="49">
        <f>AVERAGE('23.09.Gayaza-Kasangati'!J39,'24.09 Gayaza-Kasangati'!J39,'25.09 Gayaza-Kasangati'!J39,'29.09 Gayaza-Kasangati'!J39,'27.09 Gayaza-Kasangati'!J39,'26.09 Gayaza-Kasangati-24h'!J39,'28.09 Gayaza-Kasangati-24h'!J39,'29.09 Gayaza-Kasangati'!J39)</f>
        <v>1.625</v>
      </c>
      <c r="K39" s="49">
        <f>AVERAGE('23.09.Gayaza-Kasangati'!K39,'24.09 Gayaza-Kasangati'!K39,'25.09 Gayaza-Kasangati'!K39,'29.09 Gayaza-Kasangati'!K39,'27.09 Gayaza-Kasangati'!K39,'26.09 Gayaza-Kasangati-24h'!K39,'28.09 Gayaza-Kasangati-24h'!K39,'29.09 Gayaza-Kasangati'!K39)</f>
        <v>1.25</v>
      </c>
      <c r="L39" s="49">
        <f>AVERAGE('23.09.Gayaza-Kasangati'!L39,'24.09 Gayaza-Kasangati'!L39,'25.09 Gayaza-Kasangati'!L39,'29.09 Gayaza-Kasangati'!L39,'27.09 Gayaza-Kasangati'!L39,'26.09 Gayaza-Kasangati-24h'!L39,'28.09 Gayaza-Kasangati-24h'!L39,'29.09 Gayaza-Kasangati'!L39)</f>
        <v>0.25</v>
      </c>
      <c r="M39" s="49">
        <f>AVERAGE('23.09.Gayaza-Kasangati'!M39,'24.09 Gayaza-Kasangati'!M39,'25.09 Gayaza-Kasangati'!M39,'29.09 Gayaza-Kasangati'!M39,'27.09 Gayaza-Kasangati'!M39,'26.09 Gayaza-Kasangati-24h'!M39,'28.09 Gayaza-Kasangati-24h'!M39,'29.09 Gayaza-Kasangati'!M39)</f>
        <v>61</v>
      </c>
      <c r="N39" s="49">
        <f>AVERAGE('23.09.Gayaza-Kasangati'!N39,'24.09 Gayaza-Kasangati'!N39,'25.09 Gayaza-Kasangati'!N39,'29.09 Gayaza-Kasangati'!N39,'27.09 Gayaza-Kasangati'!N39,'26.09 Gayaza-Kasangati-24h'!N39,'28.09 Gayaza-Kasangati-24h'!N39,'29.09 Gayaza-Kasangati'!N39)</f>
        <v>0</v>
      </c>
      <c r="O39" s="15">
        <f t="shared" si="0"/>
        <v>103.875</v>
      </c>
      <c r="P39" s="15">
        <f t="shared" si="1"/>
        <v>164.875</v>
      </c>
      <c r="R39" s="29" t="s">
        <v>87</v>
      </c>
      <c r="S39" s="16">
        <f t="shared" ref="S39:AF39" si="31">SUM(S19:S21)</f>
        <v>708</v>
      </c>
      <c r="T39" s="16">
        <f t="shared" si="31"/>
        <v>158.75</v>
      </c>
      <c r="U39" s="16">
        <f t="shared" si="31"/>
        <v>94.625</v>
      </c>
      <c r="V39" s="16">
        <f t="shared" si="31"/>
        <v>540.875</v>
      </c>
      <c r="W39" s="16">
        <f t="shared" si="31"/>
        <v>17.625</v>
      </c>
      <c r="X39" s="16">
        <f t="shared" si="31"/>
        <v>5.375</v>
      </c>
      <c r="Y39" s="16">
        <f t="shared" si="31"/>
        <v>137.625</v>
      </c>
      <c r="Z39" s="16">
        <f t="shared" si="31"/>
        <v>29</v>
      </c>
      <c r="AA39" s="16">
        <f t="shared" si="31"/>
        <v>24.75</v>
      </c>
      <c r="AB39" s="16">
        <f t="shared" si="31"/>
        <v>3.375</v>
      </c>
      <c r="AC39" s="16">
        <f t="shared" si="31"/>
        <v>1210.25</v>
      </c>
      <c r="AD39" s="16">
        <f t="shared" si="31"/>
        <v>0.125</v>
      </c>
      <c r="AE39" s="32">
        <f t="shared" si="31"/>
        <v>1720.125</v>
      </c>
      <c r="AF39" s="32">
        <f t="shared" si="31"/>
        <v>2930.375</v>
      </c>
    </row>
    <row r="40" spans="2:32" ht="23.1" customHeight="1" x14ac:dyDescent="0.25">
      <c r="B40" s="24" t="s">
        <v>67</v>
      </c>
      <c r="C40" s="49">
        <f>AVERAGE('23.09.Gayaza-Kasangati'!C40,'24.09 Gayaza-Kasangati'!C40,'25.09 Gayaza-Kasangati'!C40,'29.09 Gayaza-Kasangati'!C40,'27.09 Gayaza-Kasangati'!C40,'26.09 Gayaza-Kasangati-24h'!C40,'28.09 Gayaza-Kasangati-24h'!C40,'29.09 Gayaza-Kasangati'!C40)</f>
        <v>48.375</v>
      </c>
      <c r="D40" s="49">
        <f>AVERAGE('23.09.Gayaza-Kasangati'!D40,'24.09 Gayaza-Kasangati'!D40,'25.09 Gayaza-Kasangati'!D40,'29.09 Gayaza-Kasangati'!D40,'27.09 Gayaza-Kasangati'!D40,'26.09 Gayaza-Kasangati-24h'!D40,'28.09 Gayaza-Kasangati-24h'!D40,'29.09 Gayaza-Kasangati'!D40)</f>
        <v>8.625</v>
      </c>
      <c r="E40" s="49">
        <f>AVERAGE('23.09.Gayaza-Kasangati'!E40,'24.09 Gayaza-Kasangati'!E40,'25.09 Gayaza-Kasangati'!E40,'29.09 Gayaza-Kasangati'!E40,'27.09 Gayaza-Kasangati'!E40,'26.09 Gayaza-Kasangati-24h'!E40,'28.09 Gayaza-Kasangati-24h'!E40,'29.09 Gayaza-Kasangati'!E40)</f>
        <v>5.75</v>
      </c>
      <c r="F40" s="49">
        <f>AVERAGE('23.09.Gayaza-Kasangati'!F40,'24.09 Gayaza-Kasangati'!F40,'25.09 Gayaza-Kasangati'!F40,'29.09 Gayaza-Kasangati'!F40,'27.09 Gayaza-Kasangati'!F40,'26.09 Gayaza-Kasangati-24h'!F40,'28.09 Gayaza-Kasangati-24h'!F40,'29.09 Gayaza-Kasangati'!F40)</f>
        <v>30.125</v>
      </c>
      <c r="G40" s="49">
        <f>AVERAGE('23.09.Gayaza-Kasangati'!G40,'24.09 Gayaza-Kasangati'!G40,'25.09 Gayaza-Kasangati'!G40,'29.09 Gayaza-Kasangati'!G40,'27.09 Gayaza-Kasangati'!G40,'26.09 Gayaza-Kasangati-24h'!G40,'28.09 Gayaza-Kasangati-24h'!G40,'29.09 Gayaza-Kasangati'!G40)</f>
        <v>0.25</v>
      </c>
      <c r="H40" s="49">
        <f>AVERAGE('23.09.Gayaza-Kasangati'!H40,'24.09 Gayaza-Kasangati'!H40,'25.09 Gayaza-Kasangati'!H40,'29.09 Gayaza-Kasangati'!H40,'27.09 Gayaza-Kasangati'!H40,'26.09 Gayaza-Kasangati-24h'!H40,'28.09 Gayaza-Kasangati-24h'!H40,'29.09 Gayaza-Kasangati'!H40)</f>
        <v>0.125</v>
      </c>
      <c r="I40" s="49">
        <f>AVERAGE('23.09.Gayaza-Kasangati'!I40,'24.09 Gayaza-Kasangati'!I40,'25.09 Gayaza-Kasangati'!I40,'29.09 Gayaza-Kasangati'!I40,'27.09 Gayaza-Kasangati'!I40,'26.09 Gayaza-Kasangati-24h'!I40,'28.09 Gayaza-Kasangati-24h'!I40,'29.09 Gayaza-Kasangati'!I40)</f>
        <v>8.875</v>
      </c>
      <c r="J40" s="49">
        <f>AVERAGE('23.09.Gayaza-Kasangati'!J40,'24.09 Gayaza-Kasangati'!J40,'25.09 Gayaza-Kasangati'!J40,'29.09 Gayaza-Kasangati'!J40,'27.09 Gayaza-Kasangati'!J40,'26.09 Gayaza-Kasangati-24h'!J40,'28.09 Gayaza-Kasangati-24h'!J40,'29.09 Gayaza-Kasangati'!J40)</f>
        <v>3.625</v>
      </c>
      <c r="K40" s="49">
        <f>AVERAGE('23.09.Gayaza-Kasangati'!K40,'24.09 Gayaza-Kasangati'!K40,'25.09 Gayaza-Kasangati'!K40,'29.09 Gayaza-Kasangati'!K40,'27.09 Gayaza-Kasangati'!K40,'26.09 Gayaza-Kasangati-24h'!K40,'28.09 Gayaza-Kasangati-24h'!K40,'29.09 Gayaza-Kasangati'!K40)</f>
        <v>1.5</v>
      </c>
      <c r="L40" s="49">
        <f>AVERAGE('23.09.Gayaza-Kasangati'!L40,'24.09 Gayaza-Kasangati'!L40,'25.09 Gayaza-Kasangati'!L40,'29.09 Gayaza-Kasangati'!L40,'27.09 Gayaza-Kasangati'!L40,'26.09 Gayaza-Kasangati-24h'!L40,'28.09 Gayaza-Kasangati-24h'!L40,'29.09 Gayaza-Kasangati'!L40)</f>
        <v>0.25</v>
      </c>
      <c r="M40" s="49">
        <f>AVERAGE('23.09.Gayaza-Kasangati'!M40,'24.09 Gayaza-Kasangati'!M40,'25.09 Gayaza-Kasangati'!M40,'29.09 Gayaza-Kasangati'!M40,'27.09 Gayaza-Kasangati'!M40,'26.09 Gayaza-Kasangati-24h'!M40,'28.09 Gayaza-Kasangati-24h'!M40,'29.09 Gayaza-Kasangati'!M40)</f>
        <v>72.875</v>
      </c>
      <c r="N40" s="49">
        <f>AVERAGE('23.09.Gayaza-Kasangati'!N40,'24.09 Gayaza-Kasangati'!N40,'25.09 Gayaza-Kasangati'!N40,'29.09 Gayaza-Kasangati'!N40,'27.09 Gayaza-Kasangati'!N40,'26.09 Gayaza-Kasangati-24h'!N40,'28.09 Gayaza-Kasangati-24h'!N40,'29.09 Gayaza-Kasangati'!N40)</f>
        <v>0</v>
      </c>
      <c r="O40" s="15">
        <f t="shared" si="0"/>
        <v>107.5</v>
      </c>
      <c r="P40" s="15">
        <f t="shared" si="1"/>
        <v>180.375</v>
      </c>
      <c r="R40" s="5" t="s">
        <v>17</v>
      </c>
      <c r="S40" s="16">
        <f t="shared" ref="S40:AF40" si="32">SUM(S10:S21)</f>
        <v>2729.5</v>
      </c>
      <c r="T40" s="16">
        <f t="shared" si="32"/>
        <v>504.875</v>
      </c>
      <c r="U40" s="16">
        <f t="shared" si="32"/>
        <v>314.875</v>
      </c>
      <c r="V40" s="16">
        <f t="shared" si="32"/>
        <v>1833.375</v>
      </c>
      <c r="W40" s="16">
        <f t="shared" si="32"/>
        <v>36.125</v>
      </c>
      <c r="X40" s="16">
        <f t="shared" si="32"/>
        <v>17.5</v>
      </c>
      <c r="Y40" s="16">
        <f t="shared" si="32"/>
        <v>471.125</v>
      </c>
      <c r="Z40" s="16">
        <f t="shared" si="32"/>
        <v>102</v>
      </c>
      <c r="AA40" s="16">
        <f t="shared" si="32"/>
        <v>103.75</v>
      </c>
      <c r="AB40" s="16">
        <f t="shared" si="32"/>
        <v>10.625</v>
      </c>
      <c r="AC40" s="16">
        <f t="shared" si="32"/>
        <v>4967</v>
      </c>
      <c r="AD40" s="16">
        <f t="shared" si="32"/>
        <v>0.375</v>
      </c>
      <c r="AE40" s="32">
        <f t="shared" si="32"/>
        <v>6124.125</v>
      </c>
      <c r="AF40" s="32">
        <f t="shared" si="32"/>
        <v>11091.125</v>
      </c>
    </row>
    <row r="41" spans="2:32" ht="23.1" customHeight="1" x14ac:dyDescent="0.25">
      <c r="B41" s="23" t="s">
        <v>68</v>
      </c>
      <c r="C41" s="49">
        <f>AVERAGE('23.09.Gayaza-Kasangati'!C41,'24.09 Gayaza-Kasangati'!C41,'25.09 Gayaza-Kasangati'!C41,'29.09 Gayaza-Kasangati'!C41,'27.09 Gayaza-Kasangati'!C41,'26.09 Gayaza-Kasangati-24h'!C41,'28.09 Gayaza-Kasangati-24h'!C41,'29.09 Gayaza-Kasangati'!C41)</f>
        <v>45.625</v>
      </c>
      <c r="D41" s="49">
        <f>AVERAGE('23.09.Gayaza-Kasangati'!D41,'24.09 Gayaza-Kasangati'!D41,'25.09 Gayaza-Kasangati'!D41,'29.09 Gayaza-Kasangati'!D41,'27.09 Gayaza-Kasangati'!D41,'26.09 Gayaza-Kasangati-24h'!D41,'28.09 Gayaza-Kasangati-24h'!D41,'29.09 Gayaza-Kasangati'!D41)</f>
        <v>11.875</v>
      </c>
      <c r="E41" s="49">
        <f>AVERAGE('23.09.Gayaza-Kasangati'!E41,'24.09 Gayaza-Kasangati'!E41,'25.09 Gayaza-Kasangati'!E41,'29.09 Gayaza-Kasangati'!E41,'27.09 Gayaza-Kasangati'!E41,'26.09 Gayaza-Kasangati-24h'!E41,'28.09 Gayaza-Kasangati-24h'!E41,'29.09 Gayaza-Kasangati'!E41)</f>
        <v>6.375</v>
      </c>
      <c r="F41" s="49">
        <f>AVERAGE('23.09.Gayaza-Kasangati'!F41,'24.09 Gayaza-Kasangati'!F41,'25.09 Gayaza-Kasangati'!F41,'29.09 Gayaza-Kasangati'!F41,'27.09 Gayaza-Kasangati'!F41,'26.09 Gayaza-Kasangati-24h'!F41,'28.09 Gayaza-Kasangati-24h'!F41,'29.09 Gayaza-Kasangati'!F41)</f>
        <v>32.625</v>
      </c>
      <c r="G41" s="49">
        <f>AVERAGE('23.09.Gayaza-Kasangati'!G41,'24.09 Gayaza-Kasangati'!G41,'25.09 Gayaza-Kasangati'!G41,'29.09 Gayaza-Kasangati'!G41,'27.09 Gayaza-Kasangati'!G41,'26.09 Gayaza-Kasangati-24h'!G41,'28.09 Gayaza-Kasangati-24h'!G41,'29.09 Gayaza-Kasangati'!G41)</f>
        <v>0.125</v>
      </c>
      <c r="H41" s="49">
        <f>AVERAGE('23.09.Gayaza-Kasangati'!H41,'24.09 Gayaza-Kasangati'!H41,'25.09 Gayaza-Kasangati'!H41,'29.09 Gayaza-Kasangati'!H41,'27.09 Gayaza-Kasangati'!H41,'26.09 Gayaza-Kasangati-24h'!H41,'28.09 Gayaza-Kasangati-24h'!H41,'29.09 Gayaza-Kasangati'!H41)</f>
        <v>0</v>
      </c>
      <c r="I41" s="49">
        <f>AVERAGE('23.09.Gayaza-Kasangati'!I41,'24.09 Gayaza-Kasangati'!I41,'25.09 Gayaza-Kasangati'!I41,'29.09 Gayaza-Kasangati'!I41,'27.09 Gayaza-Kasangati'!I41,'26.09 Gayaza-Kasangati-24h'!I41,'28.09 Gayaza-Kasangati-24h'!I41,'29.09 Gayaza-Kasangati'!I41)</f>
        <v>10.25</v>
      </c>
      <c r="J41" s="49">
        <f>AVERAGE('23.09.Gayaza-Kasangati'!J41,'24.09 Gayaza-Kasangati'!J41,'25.09 Gayaza-Kasangati'!J41,'29.09 Gayaza-Kasangati'!J41,'27.09 Gayaza-Kasangati'!J41,'26.09 Gayaza-Kasangati-24h'!J41,'28.09 Gayaza-Kasangati-24h'!J41,'29.09 Gayaza-Kasangati'!J41)</f>
        <v>1.25</v>
      </c>
      <c r="K41" s="49">
        <f>AVERAGE('23.09.Gayaza-Kasangati'!K41,'24.09 Gayaza-Kasangati'!K41,'25.09 Gayaza-Kasangati'!K41,'29.09 Gayaza-Kasangati'!K41,'27.09 Gayaza-Kasangati'!K41,'26.09 Gayaza-Kasangati-24h'!K41,'28.09 Gayaza-Kasangati-24h'!K41,'29.09 Gayaza-Kasangati'!K41)</f>
        <v>2.125</v>
      </c>
      <c r="L41" s="49">
        <f>AVERAGE('23.09.Gayaza-Kasangati'!L41,'24.09 Gayaza-Kasangati'!L41,'25.09 Gayaza-Kasangati'!L41,'29.09 Gayaza-Kasangati'!L41,'27.09 Gayaza-Kasangati'!L41,'26.09 Gayaza-Kasangati-24h'!L41,'28.09 Gayaza-Kasangati-24h'!L41,'29.09 Gayaza-Kasangati'!L41)</f>
        <v>0.25</v>
      </c>
      <c r="M41" s="49">
        <f>AVERAGE('23.09.Gayaza-Kasangati'!M41,'24.09 Gayaza-Kasangati'!M41,'25.09 Gayaza-Kasangati'!M41,'29.09 Gayaza-Kasangati'!M41,'27.09 Gayaza-Kasangati'!M41,'26.09 Gayaza-Kasangati-24h'!M41,'28.09 Gayaza-Kasangati-24h'!M41,'29.09 Gayaza-Kasangati'!M41)</f>
        <v>71.125</v>
      </c>
      <c r="N41" s="49">
        <f>AVERAGE('23.09.Gayaza-Kasangati'!N41,'24.09 Gayaza-Kasangati'!N41,'25.09 Gayaza-Kasangati'!N41,'29.09 Gayaza-Kasangati'!N41,'27.09 Gayaza-Kasangati'!N41,'26.09 Gayaza-Kasangati-24h'!N41,'28.09 Gayaza-Kasangati-24h'!N41,'29.09 Gayaza-Kasangati'!N41)</f>
        <v>0</v>
      </c>
      <c r="O41" s="15">
        <f t="shared" si="0"/>
        <v>110.5</v>
      </c>
      <c r="P41" s="15">
        <f t="shared" si="1"/>
        <v>181.625</v>
      </c>
      <c r="R41" s="5" t="s">
        <v>184</v>
      </c>
      <c r="S41" s="71">
        <f>SUM(S10:S33)</f>
        <v>3925.5</v>
      </c>
      <c r="T41" s="71">
        <f t="shared" ref="T41:AD41" si="33">SUM(T10:T33)</f>
        <v>686.375</v>
      </c>
      <c r="U41" s="71">
        <f t="shared" si="33"/>
        <v>448.375</v>
      </c>
      <c r="V41" s="71">
        <f t="shared" si="33"/>
        <v>2721.875</v>
      </c>
      <c r="W41" s="71">
        <f t="shared" si="33"/>
        <v>72.625</v>
      </c>
      <c r="X41" s="71">
        <f t="shared" si="33"/>
        <v>18</v>
      </c>
      <c r="Y41" s="71">
        <f t="shared" si="33"/>
        <v>659.625</v>
      </c>
      <c r="Z41" s="71">
        <f t="shared" si="33"/>
        <v>136.5</v>
      </c>
      <c r="AA41" s="71">
        <f t="shared" si="33"/>
        <v>127.25</v>
      </c>
      <c r="AB41" s="71">
        <f t="shared" si="33"/>
        <v>15.125</v>
      </c>
      <c r="AC41" s="71">
        <f t="shared" si="33"/>
        <v>6257.5</v>
      </c>
      <c r="AD41" s="71">
        <f t="shared" si="33"/>
        <v>0.375</v>
      </c>
      <c r="AE41" s="72">
        <f>SUM(AE10:AE33)</f>
        <v>8811.625</v>
      </c>
      <c r="AF41" s="72">
        <f>SUM(AF10:AF33)</f>
        <v>15069.125</v>
      </c>
    </row>
    <row r="42" spans="2:32" ht="23.1" customHeight="1" x14ac:dyDescent="0.25">
      <c r="B42" s="24" t="s">
        <v>69</v>
      </c>
      <c r="C42" s="49">
        <f>AVERAGE('23.09.Gayaza-Kasangati'!C42,'24.09 Gayaza-Kasangati'!C42,'25.09 Gayaza-Kasangati'!C42,'29.09 Gayaza-Kasangati'!C42,'27.09 Gayaza-Kasangati'!C42,'26.09 Gayaza-Kasangati-24h'!C42,'28.09 Gayaza-Kasangati-24h'!C42,'29.09 Gayaza-Kasangati'!C42)</f>
        <v>52.5</v>
      </c>
      <c r="D42" s="49">
        <f>AVERAGE('23.09.Gayaza-Kasangati'!D42,'24.09 Gayaza-Kasangati'!D42,'25.09 Gayaza-Kasangati'!D42,'29.09 Gayaza-Kasangati'!D42,'27.09 Gayaza-Kasangati'!D42,'26.09 Gayaza-Kasangati-24h'!D42,'28.09 Gayaza-Kasangati-24h'!D42,'29.09 Gayaza-Kasangati'!D42)</f>
        <v>10</v>
      </c>
      <c r="E42" s="49">
        <f>AVERAGE('23.09.Gayaza-Kasangati'!E42,'24.09 Gayaza-Kasangati'!E42,'25.09 Gayaza-Kasangati'!E42,'29.09 Gayaza-Kasangati'!E42,'27.09 Gayaza-Kasangati'!E42,'26.09 Gayaza-Kasangati-24h'!E42,'28.09 Gayaza-Kasangati-24h'!E42,'29.09 Gayaza-Kasangati'!E42)</f>
        <v>6.625</v>
      </c>
      <c r="F42" s="49">
        <f>AVERAGE('23.09.Gayaza-Kasangati'!F42,'24.09 Gayaza-Kasangati'!F42,'25.09 Gayaza-Kasangati'!F42,'29.09 Gayaza-Kasangati'!F42,'27.09 Gayaza-Kasangati'!F42,'26.09 Gayaza-Kasangati-24h'!F42,'28.09 Gayaza-Kasangati-24h'!F42,'29.09 Gayaza-Kasangati'!F42)</f>
        <v>34</v>
      </c>
      <c r="G42" s="49">
        <f>AVERAGE('23.09.Gayaza-Kasangati'!G42,'24.09 Gayaza-Kasangati'!G42,'25.09 Gayaza-Kasangati'!G42,'29.09 Gayaza-Kasangati'!G42,'27.09 Gayaza-Kasangati'!G42,'26.09 Gayaza-Kasangati-24h'!G42,'28.09 Gayaza-Kasangati-24h'!G42,'29.09 Gayaza-Kasangati'!G42)</f>
        <v>0.125</v>
      </c>
      <c r="H42" s="49">
        <f>AVERAGE('23.09.Gayaza-Kasangati'!H42,'24.09 Gayaza-Kasangati'!H42,'25.09 Gayaza-Kasangati'!H42,'29.09 Gayaza-Kasangati'!H42,'27.09 Gayaza-Kasangati'!H42,'26.09 Gayaza-Kasangati-24h'!H42,'28.09 Gayaza-Kasangati-24h'!H42,'29.09 Gayaza-Kasangati'!H42)</f>
        <v>0.625</v>
      </c>
      <c r="I42" s="49">
        <f>AVERAGE('23.09.Gayaza-Kasangati'!I42,'24.09 Gayaza-Kasangati'!I42,'25.09 Gayaza-Kasangati'!I42,'29.09 Gayaza-Kasangati'!I42,'27.09 Gayaza-Kasangati'!I42,'26.09 Gayaza-Kasangati-24h'!I42,'28.09 Gayaza-Kasangati-24h'!I42,'29.09 Gayaza-Kasangati'!I42)</f>
        <v>12.125</v>
      </c>
      <c r="J42" s="49">
        <f>AVERAGE('23.09.Gayaza-Kasangati'!J42,'24.09 Gayaza-Kasangati'!J42,'25.09 Gayaza-Kasangati'!J42,'29.09 Gayaza-Kasangati'!J42,'27.09 Gayaza-Kasangati'!J42,'26.09 Gayaza-Kasangati-24h'!J42,'28.09 Gayaza-Kasangati-24h'!J42,'29.09 Gayaza-Kasangati'!J42)</f>
        <v>2.375</v>
      </c>
      <c r="K42" s="49">
        <f>AVERAGE('23.09.Gayaza-Kasangati'!K42,'24.09 Gayaza-Kasangati'!K42,'25.09 Gayaza-Kasangati'!K42,'29.09 Gayaza-Kasangati'!K42,'27.09 Gayaza-Kasangati'!K42,'26.09 Gayaza-Kasangati-24h'!K42,'28.09 Gayaza-Kasangati-24h'!K42,'29.09 Gayaza-Kasangati'!K42)</f>
        <v>1.75</v>
      </c>
      <c r="L42" s="49">
        <f>AVERAGE('23.09.Gayaza-Kasangati'!L42,'24.09 Gayaza-Kasangati'!L42,'25.09 Gayaza-Kasangati'!L42,'29.09 Gayaza-Kasangati'!L42,'27.09 Gayaza-Kasangati'!L42,'26.09 Gayaza-Kasangati-24h'!L42,'28.09 Gayaza-Kasangati-24h'!L42,'29.09 Gayaza-Kasangati'!L42)</f>
        <v>0.625</v>
      </c>
      <c r="M42" s="49">
        <f>AVERAGE('23.09.Gayaza-Kasangati'!M42,'24.09 Gayaza-Kasangati'!M42,'25.09 Gayaza-Kasangati'!M42,'29.09 Gayaza-Kasangati'!M42,'27.09 Gayaza-Kasangati'!M42,'26.09 Gayaza-Kasangati-24h'!M42,'28.09 Gayaza-Kasangati-24h'!M42,'29.09 Gayaza-Kasangati'!M42)</f>
        <v>74.625</v>
      </c>
      <c r="N42" s="49">
        <f>AVERAGE('23.09.Gayaza-Kasangati'!N42,'24.09 Gayaza-Kasangati'!N42,'25.09 Gayaza-Kasangati'!N42,'29.09 Gayaza-Kasangati'!N42,'27.09 Gayaza-Kasangati'!N42,'26.09 Gayaza-Kasangati-24h'!N42,'28.09 Gayaza-Kasangati-24h'!N42,'29.09 Gayaza-Kasangati'!N42)</f>
        <v>0</v>
      </c>
      <c r="O42" s="15">
        <f t="shared" si="0"/>
        <v>120.75</v>
      </c>
      <c r="P42" s="15">
        <f t="shared" si="1"/>
        <v>195.375</v>
      </c>
      <c r="R42" s="5" t="s">
        <v>160</v>
      </c>
      <c r="S42" s="48">
        <f>S41/S40</f>
        <v>1.4381754900164865</v>
      </c>
      <c r="T42" s="48">
        <f t="shared" ref="T42:AF42" si="34">T41/T40</f>
        <v>1.3594949244862591</v>
      </c>
      <c r="U42" s="48">
        <f t="shared" si="34"/>
        <v>1.423977768955935</v>
      </c>
      <c r="V42" s="48">
        <f t="shared" si="34"/>
        <v>1.4846253494238768</v>
      </c>
      <c r="W42" s="48">
        <f t="shared" si="34"/>
        <v>2.0103806228373702</v>
      </c>
      <c r="X42" s="48">
        <f t="shared" si="34"/>
        <v>1.0285714285714285</v>
      </c>
      <c r="Y42" s="48">
        <f t="shared" si="34"/>
        <v>1.4001061289466703</v>
      </c>
      <c r="Z42" s="48">
        <f t="shared" si="34"/>
        <v>1.338235294117647</v>
      </c>
      <c r="AA42" s="48">
        <f t="shared" si="34"/>
        <v>1.2265060240963856</v>
      </c>
      <c r="AB42" s="48">
        <f t="shared" si="34"/>
        <v>1.4235294117647059</v>
      </c>
      <c r="AC42" s="48">
        <f t="shared" si="34"/>
        <v>1.2598147775317092</v>
      </c>
      <c r="AD42" s="48">
        <f>AD41/AD40</f>
        <v>1</v>
      </c>
      <c r="AE42" s="70">
        <f t="shared" si="34"/>
        <v>1.4388382013757068</v>
      </c>
      <c r="AF42" s="70">
        <f t="shared" si="34"/>
        <v>1.3586651489366497</v>
      </c>
    </row>
    <row r="43" spans="2:32" ht="23.1" customHeight="1" x14ac:dyDescent="0.25">
      <c r="B43" s="23" t="s">
        <v>70</v>
      </c>
      <c r="C43" s="49">
        <f>AVERAGE('23.09.Gayaza-Kasangati'!C43,'24.09 Gayaza-Kasangati'!C43,'25.09 Gayaza-Kasangati'!C43,'29.09 Gayaza-Kasangati'!C43,'27.09 Gayaza-Kasangati'!C43,'26.09 Gayaza-Kasangati-24h'!C43,'28.09 Gayaza-Kasangati-24h'!C43,'29.09 Gayaza-Kasangati'!C43)</f>
        <v>46.625</v>
      </c>
      <c r="D43" s="49">
        <f>AVERAGE('23.09.Gayaza-Kasangati'!D43,'24.09 Gayaza-Kasangati'!D43,'25.09 Gayaza-Kasangati'!D43,'29.09 Gayaza-Kasangati'!D43,'27.09 Gayaza-Kasangati'!D43,'26.09 Gayaza-Kasangati-24h'!D43,'28.09 Gayaza-Kasangati-24h'!D43,'29.09 Gayaza-Kasangati'!D43)</f>
        <v>12.375</v>
      </c>
      <c r="E43" s="49">
        <f>AVERAGE('23.09.Gayaza-Kasangati'!E43,'24.09 Gayaza-Kasangati'!E43,'25.09 Gayaza-Kasangati'!E43,'29.09 Gayaza-Kasangati'!E43,'27.09 Gayaza-Kasangati'!E43,'26.09 Gayaza-Kasangati-24h'!E43,'28.09 Gayaza-Kasangati-24h'!E43,'29.09 Gayaza-Kasangati'!E43)</f>
        <v>6.875</v>
      </c>
      <c r="F43" s="49">
        <f>AVERAGE('23.09.Gayaza-Kasangati'!F43,'24.09 Gayaza-Kasangati'!F43,'25.09 Gayaza-Kasangati'!F43,'29.09 Gayaza-Kasangati'!F43,'27.09 Gayaza-Kasangati'!F43,'26.09 Gayaza-Kasangati-24h'!F43,'28.09 Gayaza-Kasangati-24h'!F43,'29.09 Gayaza-Kasangati'!F43)</f>
        <v>32</v>
      </c>
      <c r="G43" s="49">
        <f>AVERAGE('23.09.Gayaza-Kasangati'!G43,'24.09 Gayaza-Kasangati'!G43,'25.09 Gayaza-Kasangati'!G43,'29.09 Gayaza-Kasangati'!G43,'27.09 Gayaza-Kasangati'!G43,'26.09 Gayaza-Kasangati-24h'!G43,'28.09 Gayaza-Kasangati-24h'!G43,'29.09 Gayaza-Kasangati'!G43)</f>
        <v>0.375</v>
      </c>
      <c r="H43" s="49">
        <f>AVERAGE('23.09.Gayaza-Kasangati'!H43,'24.09 Gayaza-Kasangati'!H43,'25.09 Gayaza-Kasangati'!H43,'29.09 Gayaza-Kasangati'!H43,'27.09 Gayaza-Kasangati'!H43,'26.09 Gayaza-Kasangati-24h'!H43,'28.09 Gayaza-Kasangati-24h'!H43,'29.09 Gayaza-Kasangati'!H43)</f>
        <v>0.25</v>
      </c>
      <c r="I43" s="49">
        <f>AVERAGE('23.09.Gayaza-Kasangati'!I43,'24.09 Gayaza-Kasangati'!I43,'25.09 Gayaza-Kasangati'!I43,'29.09 Gayaza-Kasangati'!I43,'27.09 Gayaza-Kasangati'!I43,'26.09 Gayaza-Kasangati-24h'!I43,'28.09 Gayaza-Kasangati-24h'!I43,'29.09 Gayaza-Kasangati'!I43)</f>
        <v>11.875</v>
      </c>
      <c r="J43" s="49">
        <f>AVERAGE('23.09.Gayaza-Kasangati'!J43,'24.09 Gayaza-Kasangati'!J43,'25.09 Gayaza-Kasangati'!J43,'29.09 Gayaza-Kasangati'!J43,'27.09 Gayaza-Kasangati'!J43,'26.09 Gayaza-Kasangati-24h'!J43,'28.09 Gayaza-Kasangati-24h'!J43,'29.09 Gayaza-Kasangati'!J43)</f>
        <v>2.875</v>
      </c>
      <c r="K43" s="49">
        <f>AVERAGE('23.09.Gayaza-Kasangati'!K43,'24.09 Gayaza-Kasangati'!K43,'25.09 Gayaza-Kasangati'!K43,'29.09 Gayaza-Kasangati'!K43,'27.09 Gayaza-Kasangati'!K43,'26.09 Gayaza-Kasangati-24h'!K43,'28.09 Gayaza-Kasangati-24h'!K43,'29.09 Gayaza-Kasangati'!K43)</f>
        <v>3.25</v>
      </c>
      <c r="L43" s="49">
        <f>AVERAGE('23.09.Gayaza-Kasangati'!L43,'24.09 Gayaza-Kasangati'!L43,'25.09 Gayaza-Kasangati'!L43,'29.09 Gayaza-Kasangati'!L43,'27.09 Gayaza-Kasangati'!L43,'26.09 Gayaza-Kasangati-24h'!L43,'28.09 Gayaza-Kasangati-24h'!L43,'29.09 Gayaza-Kasangati'!L43)</f>
        <v>0.125</v>
      </c>
      <c r="M43" s="49">
        <f>AVERAGE('23.09.Gayaza-Kasangati'!M43,'24.09 Gayaza-Kasangati'!M43,'25.09 Gayaza-Kasangati'!M43,'29.09 Gayaza-Kasangati'!M43,'27.09 Gayaza-Kasangati'!M43,'26.09 Gayaza-Kasangati-24h'!M43,'28.09 Gayaza-Kasangati-24h'!M43,'29.09 Gayaza-Kasangati'!M43)</f>
        <v>80.375</v>
      </c>
      <c r="N43" s="49">
        <f>AVERAGE('23.09.Gayaza-Kasangati'!N43,'24.09 Gayaza-Kasangati'!N43,'25.09 Gayaza-Kasangati'!N43,'29.09 Gayaza-Kasangati'!N43,'27.09 Gayaza-Kasangati'!N43,'26.09 Gayaza-Kasangati-24h'!N43,'28.09 Gayaza-Kasangati-24h'!N43,'29.09 Gayaza-Kasangati'!N43)</f>
        <v>0</v>
      </c>
      <c r="O43" s="15">
        <f t="shared" si="0"/>
        <v>116.625</v>
      </c>
      <c r="P43" s="15">
        <f t="shared" si="1"/>
        <v>197</v>
      </c>
    </row>
    <row r="44" spans="2:32" ht="23.1" customHeight="1" x14ac:dyDescent="0.25">
      <c r="B44" s="25" t="s">
        <v>71</v>
      </c>
      <c r="C44" s="49">
        <f>AVERAGE('23.09.Gayaza-Kasangati'!C44,'24.09 Gayaza-Kasangati'!C44,'25.09 Gayaza-Kasangati'!C44,'29.09 Gayaza-Kasangati'!C44,'27.09 Gayaza-Kasangati'!C44,'26.09 Gayaza-Kasangati-24h'!C44,'28.09 Gayaza-Kasangati-24h'!C44,'29.09 Gayaza-Kasangati'!C44)</f>
        <v>46</v>
      </c>
      <c r="D44" s="49">
        <f>AVERAGE('23.09.Gayaza-Kasangati'!D44,'24.09 Gayaza-Kasangati'!D44,'25.09 Gayaza-Kasangati'!D44,'29.09 Gayaza-Kasangati'!D44,'27.09 Gayaza-Kasangati'!D44,'26.09 Gayaza-Kasangati-24h'!D44,'28.09 Gayaza-Kasangati-24h'!D44,'29.09 Gayaza-Kasangati'!D44)</f>
        <v>8.75</v>
      </c>
      <c r="E44" s="49">
        <f>AVERAGE('23.09.Gayaza-Kasangati'!E44,'24.09 Gayaza-Kasangati'!E44,'25.09 Gayaza-Kasangati'!E44,'29.09 Gayaza-Kasangati'!E44,'27.09 Gayaza-Kasangati'!E44,'26.09 Gayaza-Kasangati-24h'!E44,'28.09 Gayaza-Kasangati-24h'!E44,'29.09 Gayaza-Kasangati'!E44)</f>
        <v>8.125</v>
      </c>
      <c r="F44" s="49">
        <f>AVERAGE('23.09.Gayaza-Kasangati'!F44,'24.09 Gayaza-Kasangati'!F44,'25.09 Gayaza-Kasangati'!F44,'29.09 Gayaza-Kasangati'!F44,'27.09 Gayaza-Kasangati'!F44,'26.09 Gayaza-Kasangati-24h'!F44,'28.09 Gayaza-Kasangati-24h'!F44,'29.09 Gayaza-Kasangati'!F44)</f>
        <v>28.75</v>
      </c>
      <c r="G44" s="49">
        <f>AVERAGE('23.09.Gayaza-Kasangati'!G44,'24.09 Gayaza-Kasangati'!G44,'25.09 Gayaza-Kasangati'!G44,'29.09 Gayaza-Kasangati'!G44,'27.09 Gayaza-Kasangati'!G44,'26.09 Gayaza-Kasangati-24h'!G44,'28.09 Gayaza-Kasangati-24h'!G44,'29.09 Gayaza-Kasangati'!G44)</f>
        <v>0.25</v>
      </c>
      <c r="H44" s="49">
        <f>AVERAGE('23.09.Gayaza-Kasangati'!H44,'24.09 Gayaza-Kasangati'!H44,'25.09 Gayaza-Kasangati'!H44,'29.09 Gayaza-Kasangati'!H44,'27.09 Gayaza-Kasangati'!H44,'26.09 Gayaza-Kasangati-24h'!H44,'28.09 Gayaza-Kasangati-24h'!H44,'29.09 Gayaza-Kasangati'!H44)</f>
        <v>0.125</v>
      </c>
      <c r="I44" s="49">
        <f>AVERAGE('23.09.Gayaza-Kasangati'!I44,'24.09 Gayaza-Kasangati'!I44,'25.09 Gayaza-Kasangati'!I44,'29.09 Gayaza-Kasangati'!I44,'27.09 Gayaza-Kasangati'!I44,'26.09 Gayaza-Kasangati-24h'!I44,'28.09 Gayaza-Kasangati-24h'!I44,'29.09 Gayaza-Kasangati'!I44)</f>
        <v>10.875</v>
      </c>
      <c r="J44" s="49">
        <f>AVERAGE('23.09.Gayaza-Kasangati'!J44,'24.09 Gayaza-Kasangati'!J44,'25.09 Gayaza-Kasangati'!J44,'29.09 Gayaza-Kasangati'!J44,'27.09 Gayaza-Kasangati'!J44,'26.09 Gayaza-Kasangati-24h'!J44,'28.09 Gayaza-Kasangati-24h'!J44,'29.09 Gayaza-Kasangati'!J44)</f>
        <v>2.625</v>
      </c>
      <c r="K44" s="49">
        <f>AVERAGE('23.09.Gayaza-Kasangati'!K44,'24.09 Gayaza-Kasangati'!K44,'25.09 Gayaza-Kasangati'!K44,'29.09 Gayaza-Kasangati'!K44,'27.09 Gayaza-Kasangati'!K44,'26.09 Gayaza-Kasangati-24h'!K44,'28.09 Gayaza-Kasangati-24h'!K44,'29.09 Gayaza-Kasangati'!K44)</f>
        <v>3.125</v>
      </c>
      <c r="L44" s="49">
        <f>AVERAGE('23.09.Gayaza-Kasangati'!L44,'24.09 Gayaza-Kasangati'!L44,'25.09 Gayaza-Kasangati'!L44,'29.09 Gayaza-Kasangati'!L44,'27.09 Gayaza-Kasangati'!L44,'26.09 Gayaza-Kasangati-24h'!L44,'28.09 Gayaza-Kasangati-24h'!L44,'29.09 Gayaza-Kasangati'!L44)</f>
        <v>0.5</v>
      </c>
      <c r="M44" s="49">
        <f>AVERAGE('23.09.Gayaza-Kasangati'!M44,'24.09 Gayaza-Kasangati'!M44,'25.09 Gayaza-Kasangati'!M44,'29.09 Gayaza-Kasangati'!M44,'27.09 Gayaza-Kasangati'!M44,'26.09 Gayaza-Kasangati-24h'!M44,'28.09 Gayaza-Kasangati-24h'!M44,'29.09 Gayaza-Kasangati'!M44)</f>
        <v>83.25</v>
      </c>
      <c r="N44" s="49">
        <f>AVERAGE('23.09.Gayaza-Kasangati'!N44,'24.09 Gayaza-Kasangati'!N44,'25.09 Gayaza-Kasangati'!N44,'29.09 Gayaza-Kasangati'!N44,'27.09 Gayaza-Kasangati'!N44,'26.09 Gayaza-Kasangati-24h'!N44,'28.09 Gayaza-Kasangati-24h'!N44,'29.09 Gayaza-Kasangati'!N44)</f>
        <v>0.125</v>
      </c>
      <c r="O44" s="15">
        <f t="shared" si="0"/>
        <v>109.25</v>
      </c>
      <c r="P44" s="15">
        <f t="shared" si="1"/>
        <v>192.5</v>
      </c>
    </row>
    <row r="45" spans="2:32" ht="23.1" customHeight="1" x14ac:dyDescent="0.25">
      <c r="B45" s="23" t="s">
        <v>72</v>
      </c>
      <c r="C45" s="49">
        <f>AVERAGE('23.09.Gayaza-Kasangati'!C45,'24.09 Gayaza-Kasangati'!C45,'25.09 Gayaza-Kasangati'!C45,'29.09 Gayaza-Kasangati'!C45,'27.09 Gayaza-Kasangati'!C45,'26.09 Gayaza-Kasangati-24h'!C45,'28.09 Gayaza-Kasangati-24h'!C45,'29.09 Gayaza-Kasangati'!C45)</f>
        <v>52.125</v>
      </c>
      <c r="D45" s="49">
        <f>AVERAGE('23.09.Gayaza-Kasangati'!D45,'24.09 Gayaza-Kasangati'!D45,'25.09 Gayaza-Kasangati'!D45,'29.09 Gayaza-Kasangati'!D45,'27.09 Gayaza-Kasangati'!D45,'26.09 Gayaza-Kasangati-24h'!D45,'28.09 Gayaza-Kasangati-24h'!D45,'29.09 Gayaza-Kasangati'!D45)</f>
        <v>12.5</v>
      </c>
      <c r="E45" s="49">
        <f>AVERAGE('23.09.Gayaza-Kasangati'!E45,'24.09 Gayaza-Kasangati'!E45,'25.09 Gayaza-Kasangati'!E45,'29.09 Gayaza-Kasangati'!E45,'27.09 Gayaza-Kasangati'!E45,'26.09 Gayaza-Kasangati-24h'!E45,'28.09 Gayaza-Kasangati-24h'!E45,'29.09 Gayaza-Kasangati'!E45)</f>
        <v>17.5</v>
      </c>
      <c r="F45" s="49">
        <f>AVERAGE('23.09.Gayaza-Kasangati'!F45,'24.09 Gayaza-Kasangati'!F45,'25.09 Gayaza-Kasangati'!F45,'29.09 Gayaza-Kasangati'!F45,'27.09 Gayaza-Kasangati'!F45,'26.09 Gayaza-Kasangati-24h'!F45,'28.09 Gayaza-Kasangati-24h'!F45,'29.09 Gayaza-Kasangati'!F45)</f>
        <v>42.375</v>
      </c>
      <c r="G45" s="49">
        <f>AVERAGE('23.09.Gayaza-Kasangati'!G45,'24.09 Gayaza-Kasangati'!G45,'25.09 Gayaza-Kasangati'!G45,'29.09 Gayaza-Kasangati'!G45,'27.09 Gayaza-Kasangati'!G45,'26.09 Gayaza-Kasangati-24h'!G45,'28.09 Gayaza-Kasangati-24h'!G45,'29.09 Gayaza-Kasangati'!G45)</f>
        <v>1</v>
      </c>
      <c r="H45" s="49">
        <f>AVERAGE('23.09.Gayaza-Kasangati'!H45,'24.09 Gayaza-Kasangati'!H45,'25.09 Gayaza-Kasangati'!H45,'29.09 Gayaza-Kasangati'!H45,'27.09 Gayaza-Kasangati'!H45,'26.09 Gayaza-Kasangati-24h'!H45,'28.09 Gayaza-Kasangati-24h'!H45,'29.09 Gayaza-Kasangati'!H45)</f>
        <v>0.125</v>
      </c>
      <c r="I45" s="49">
        <f>AVERAGE('23.09.Gayaza-Kasangati'!I45,'24.09 Gayaza-Kasangati'!I45,'25.09 Gayaza-Kasangati'!I45,'29.09 Gayaza-Kasangati'!I45,'27.09 Gayaza-Kasangati'!I45,'26.09 Gayaza-Kasangati-24h'!I45,'28.09 Gayaza-Kasangati-24h'!I45,'29.09 Gayaza-Kasangati'!I45)</f>
        <v>12.25</v>
      </c>
      <c r="J45" s="49">
        <f>AVERAGE('23.09.Gayaza-Kasangati'!J45,'24.09 Gayaza-Kasangati'!J45,'25.09 Gayaza-Kasangati'!J45,'29.09 Gayaza-Kasangati'!J45,'27.09 Gayaza-Kasangati'!J45,'26.09 Gayaza-Kasangati-24h'!J45,'28.09 Gayaza-Kasangati-24h'!J45,'29.09 Gayaza-Kasangati'!J45)</f>
        <v>1.375</v>
      </c>
      <c r="K45" s="49">
        <f>AVERAGE('23.09.Gayaza-Kasangati'!K45,'24.09 Gayaza-Kasangati'!K45,'25.09 Gayaza-Kasangati'!K45,'29.09 Gayaza-Kasangati'!K45,'27.09 Gayaza-Kasangati'!K45,'26.09 Gayaza-Kasangati-24h'!K45,'28.09 Gayaza-Kasangati-24h'!K45,'29.09 Gayaza-Kasangati'!K45)</f>
        <v>2.375</v>
      </c>
      <c r="L45" s="49">
        <f>AVERAGE('23.09.Gayaza-Kasangati'!L45,'24.09 Gayaza-Kasangati'!L45,'25.09 Gayaza-Kasangati'!L45,'29.09 Gayaza-Kasangati'!L45,'27.09 Gayaza-Kasangati'!L45,'26.09 Gayaza-Kasangati-24h'!L45,'28.09 Gayaza-Kasangati-24h'!L45,'29.09 Gayaza-Kasangati'!L45)</f>
        <v>0.375</v>
      </c>
      <c r="M45" s="49">
        <f>AVERAGE('23.09.Gayaza-Kasangati'!M45,'24.09 Gayaza-Kasangati'!M45,'25.09 Gayaza-Kasangati'!M45,'29.09 Gayaza-Kasangati'!M45,'27.09 Gayaza-Kasangati'!M45,'26.09 Gayaza-Kasangati-24h'!M45,'28.09 Gayaza-Kasangati-24h'!M45,'29.09 Gayaza-Kasangati'!M45)</f>
        <v>75.875</v>
      </c>
      <c r="N45" s="49">
        <f>AVERAGE('23.09.Gayaza-Kasangati'!N45,'24.09 Gayaza-Kasangati'!N45,'25.09 Gayaza-Kasangati'!N45,'29.09 Gayaza-Kasangati'!N45,'27.09 Gayaza-Kasangati'!N45,'26.09 Gayaza-Kasangati-24h'!N45,'28.09 Gayaza-Kasangati-24h'!N45,'29.09 Gayaza-Kasangati'!N45)</f>
        <v>0</v>
      </c>
      <c r="O45" s="15">
        <f t="shared" si="0"/>
        <v>142</v>
      </c>
      <c r="P45" s="15">
        <f t="shared" si="1"/>
        <v>217.875</v>
      </c>
    </row>
    <row r="46" spans="2:32" ht="23.1" customHeight="1" x14ac:dyDescent="0.25">
      <c r="B46" s="24" t="s">
        <v>73</v>
      </c>
      <c r="C46" s="49">
        <f>AVERAGE('23.09.Gayaza-Kasangati'!C46,'24.09 Gayaza-Kasangati'!C46,'25.09 Gayaza-Kasangati'!C46,'29.09 Gayaza-Kasangati'!C46,'27.09 Gayaza-Kasangati'!C46,'26.09 Gayaza-Kasangati-24h'!C46,'28.09 Gayaza-Kasangati-24h'!C46,'29.09 Gayaza-Kasangati'!C46)</f>
        <v>53.375</v>
      </c>
      <c r="D46" s="49">
        <f>AVERAGE('23.09.Gayaza-Kasangati'!D46,'24.09 Gayaza-Kasangati'!D46,'25.09 Gayaza-Kasangati'!D46,'29.09 Gayaza-Kasangati'!D46,'27.09 Gayaza-Kasangati'!D46,'26.09 Gayaza-Kasangati-24h'!D46,'28.09 Gayaza-Kasangati-24h'!D46,'29.09 Gayaza-Kasangati'!D46)</f>
        <v>14.875</v>
      </c>
      <c r="E46" s="49">
        <f>AVERAGE('23.09.Gayaza-Kasangati'!E46,'24.09 Gayaza-Kasangati'!E46,'25.09 Gayaza-Kasangati'!E46,'29.09 Gayaza-Kasangati'!E46,'27.09 Gayaza-Kasangati'!E46,'26.09 Gayaza-Kasangati-24h'!E46,'28.09 Gayaza-Kasangati-24h'!E46,'29.09 Gayaza-Kasangati'!E46)</f>
        <v>5.5</v>
      </c>
      <c r="F46" s="49">
        <f>AVERAGE('23.09.Gayaza-Kasangati'!F46,'24.09 Gayaza-Kasangati'!F46,'25.09 Gayaza-Kasangati'!F46,'29.09 Gayaza-Kasangati'!F46,'27.09 Gayaza-Kasangati'!F46,'26.09 Gayaza-Kasangati-24h'!F46,'28.09 Gayaza-Kasangati-24h'!F46,'29.09 Gayaza-Kasangati'!F46)</f>
        <v>37.875</v>
      </c>
      <c r="G46" s="49">
        <f>AVERAGE('23.09.Gayaza-Kasangati'!G46,'24.09 Gayaza-Kasangati'!G46,'25.09 Gayaza-Kasangati'!G46,'29.09 Gayaza-Kasangati'!G46,'27.09 Gayaza-Kasangati'!G46,'26.09 Gayaza-Kasangati-24h'!G46,'28.09 Gayaza-Kasangati-24h'!G46,'29.09 Gayaza-Kasangati'!G46)</f>
        <v>0.375</v>
      </c>
      <c r="H46" s="49">
        <f>AVERAGE('23.09.Gayaza-Kasangati'!H46,'24.09 Gayaza-Kasangati'!H46,'25.09 Gayaza-Kasangati'!H46,'29.09 Gayaza-Kasangati'!H46,'27.09 Gayaza-Kasangati'!H46,'26.09 Gayaza-Kasangati-24h'!H46,'28.09 Gayaza-Kasangati-24h'!H46,'29.09 Gayaza-Kasangati'!H46)</f>
        <v>0.25</v>
      </c>
      <c r="I46" s="49">
        <f>AVERAGE('23.09.Gayaza-Kasangati'!I46,'24.09 Gayaza-Kasangati'!I46,'25.09 Gayaza-Kasangati'!I46,'29.09 Gayaza-Kasangati'!I46,'27.09 Gayaza-Kasangati'!I46,'26.09 Gayaza-Kasangati-24h'!I46,'28.09 Gayaza-Kasangati-24h'!I46,'29.09 Gayaza-Kasangati'!I46)</f>
        <v>10.25</v>
      </c>
      <c r="J46" s="49">
        <f>AVERAGE('23.09.Gayaza-Kasangati'!J46,'24.09 Gayaza-Kasangati'!J46,'25.09 Gayaza-Kasangati'!J46,'29.09 Gayaza-Kasangati'!J46,'27.09 Gayaza-Kasangati'!J46,'26.09 Gayaza-Kasangati-24h'!J46,'28.09 Gayaza-Kasangati-24h'!J46,'29.09 Gayaza-Kasangati'!J46)</f>
        <v>2.75</v>
      </c>
      <c r="K46" s="49">
        <f>AVERAGE('23.09.Gayaza-Kasangati'!K46,'24.09 Gayaza-Kasangati'!K46,'25.09 Gayaza-Kasangati'!K46,'29.09 Gayaza-Kasangati'!K46,'27.09 Gayaza-Kasangati'!K46,'26.09 Gayaza-Kasangati-24h'!K46,'28.09 Gayaza-Kasangati-24h'!K46,'29.09 Gayaza-Kasangati'!K46)</f>
        <v>2.625</v>
      </c>
      <c r="L46" s="49">
        <f>AVERAGE('23.09.Gayaza-Kasangati'!L46,'24.09 Gayaza-Kasangati'!L46,'25.09 Gayaza-Kasangati'!L46,'29.09 Gayaza-Kasangati'!L46,'27.09 Gayaza-Kasangati'!L46,'26.09 Gayaza-Kasangati-24h'!L46,'28.09 Gayaza-Kasangati-24h'!L46,'29.09 Gayaza-Kasangati'!L46)</f>
        <v>0</v>
      </c>
      <c r="M46" s="49">
        <f>AVERAGE('23.09.Gayaza-Kasangati'!M46,'24.09 Gayaza-Kasangati'!M46,'25.09 Gayaza-Kasangati'!M46,'29.09 Gayaza-Kasangati'!M46,'27.09 Gayaza-Kasangati'!M46,'26.09 Gayaza-Kasangati-24h'!M46,'28.09 Gayaza-Kasangati-24h'!M46,'29.09 Gayaza-Kasangati'!M46)</f>
        <v>90</v>
      </c>
      <c r="N46" s="49">
        <f>AVERAGE('23.09.Gayaza-Kasangati'!N46,'24.09 Gayaza-Kasangati'!N46,'25.09 Gayaza-Kasangati'!N46,'29.09 Gayaza-Kasangati'!N46,'27.09 Gayaza-Kasangati'!N46,'26.09 Gayaza-Kasangati-24h'!N46,'28.09 Gayaza-Kasangati-24h'!N46,'29.09 Gayaza-Kasangati'!N46)</f>
        <v>0</v>
      </c>
      <c r="O46" s="15">
        <f t="shared" si="0"/>
        <v>127.875</v>
      </c>
      <c r="P46" s="15">
        <f t="shared" si="1"/>
        <v>217.875</v>
      </c>
    </row>
    <row r="47" spans="2:32" ht="23.1" customHeight="1" x14ac:dyDescent="0.25">
      <c r="B47" s="24" t="s">
        <v>74</v>
      </c>
      <c r="C47" s="49">
        <f>AVERAGE('23.09.Gayaza-Kasangati'!C47,'24.09 Gayaza-Kasangati'!C47,'25.09 Gayaza-Kasangati'!C47,'29.09 Gayaza-Kasangati'!C47,'27.09 Gayaza-Kasangati'!C47,'26.09 Gayaza-Kasangati-24h'!C47,'28.09 Gayaza-Kasangati-24h'!C47,'29.09 Gayaza-Kasangati'!C47)</f>
        <v>57.625</v>
      </c>
      <c r="D47" s="49">
        <f>AVERAGE('23.09.Gayaza-Kasangati'!D47,'24.09 Gayaza-Kasangati'!D47,'25.09 Gayaza-Kasangati'!D47,'29.09 Gayaza-Kasangati'!D47,'27.09 Gayaza-Kasangati'!D47,'26.09 Gayaza-Kasangati-24h'!D47,'28.09 Gayaza-Kasangati-24h'!D47,'29.09 Gayaza-Kasangati'!D47)</f>
        <v>14.25</v>
      </c>
      <c r="E47" s="49">
        <f>AVERAGE('23.09.Gayaza-Kasangati'!E47,'24.09 Gayaza-Kasangati'!E47,'25.09 Gayaza-Kasangati'!E47,'29.09 Gayaza-Kasangati'!E47,'27.09 Gayaza-Kasangati'!E47,'26.09 Gayaza-Kasangati-24h'!E47,'28.09 Gayaza-Kasangati-24h'!E47,'29.09 Gayaza-Kasangati'!E47)</f>
        <v>5.125</v>
      </c>
      <c r="F47" s="49">
        <f>AVERAGE('23.09.Gayaza-Kasangati'!F47,'24.09 Gayaza-Kasangati'!F47,'25.09 Gayaza-Kasangati'!F47,'29.09 Gayaza-Kasangati'!F47,'27.09 Gayaza-Kasangati'!F47,'26.09 Gayaza-Kasangati-24h'!F47,'28.09 Gayaza-Kasangati-24h'!F47,'29.09 Gayaza-Kasangati'!F47)</f>
        <v>32.375</v>
      </c>
      <c r="G47" s="49">
        <f>AVERAGE('23.09.Gayaza-Kasangati'!G47,'24.09 Gayaza-Kasangati'!G47,'25.09 Gayaza-Kasangati'!G47,'29.09 Gayaza-Kasangati'!G47,'27.09 Gayaza-Kasangati'!G47,'26.09 Gayaza-Kasangati-24h'!G47,'28.09 Gayaza-Kasangati-24h'!G47,'29.09 Gayaza-Kasangati'!G47)</f>
        <v>4.75</v>
      </c>
      <c r="H47" s="49">
        <f>AVERAGE('23.09.Gayaza-Kasangati'!H47,'24.09 Gayaza-Kasangati'!H47,'25.09 Gayaza-Kasangati'!H47,'29.09 Gayaza-Kasangati'!H47,'27.09 Gayaza-Kasangati'!H47,'26.09 Gayaza-Kasangati-24h'!H47,'28.09 Gayaza-Kasangati-24h'!H47,'29.09 Gayaza-Kasangati'!H47)</f>
        <v>0.25</v>
      </c>
      <c r="I47" s="49">
        <f>AVERAGE('23.09.Gayaza-Kasangati'!I47,'24.09 Gayaza-Kasangati'!I47,'25.09 Gayaza-Kasangati'!I47,'29.09 Gayaza-Kasangati'!I47,'27.09 Gayaza-Kasangati'!I47,'26.09 Gayaza-Kasangati-24h'!I47,'28.09 Gayaza-Kasangati-24h'!I47,'29.09 Gayaza-Kasangati'!I47)</f>
        <v>11.375</v>
      </c>
      <c r="J47" s="49">
        <f>AVERAGE('23.09.Gayaza-Kasangati'!J47,'24.09 Gayaza-Kasangati'!J47,'25.09 Gayaza-Kasangati'!J47,'29.09 Gayaza-Kasangati'!J47,'27.09 Gayaza-Kasangati'!J47,'26.09 Gayaza-Kasangati-24h'!J47,'28.09 Gayaza-Kasangati-24h'!J47,'29.09 Gayaza-Kasangati'!J47)</f>
        <v>2</v>
      </c>
      <c r="K47" s="49">
        <f>AVERAGE('23.09.Gayaza-Kasangati'!K47,'24.09 Gayaza-Kasangati'!K47,'25.09 Gayaza-Kasangati'!K47,'29.09 Gayaza-Kasangati'!K47,'27.09 Gayaza-Kasangati'!K47,'26.09 Gayaza-Kasangati-24h'!K47,'28.09 Gayaza-Kasangati-24h'!K47,'29.09 Gayaza-Kasangati'!K47)</f>
        <v>1.5</v>
      </c>
      <c r="L47" s="49">
        <f>AVERAGE('23.09.Gayaza-Kasangati'!L47,'24.09 Gayaza-Kasangati'!L47,'25.09 Gayaza-Kasangati'!L47,'29.09 Gayaza-Kasangati'!L47,'27.09 Gayaza-Kasangati'!L47,'26.09 Gayaza-Kasangati-24h'!L47,'28.09 Gayaza-Kasangati-24h'!L47,'29.09 Gayaza-Kasangati'!L47)</f>
        <v>0.375</v>
      </c>
      <c r="M47" s="49">
        <f>AVERAGE('23.09.Gayaza-Kasangati'!M47,'24.09 Gayaza-Kasangati'!M47,'25.09 Gayaza-Kasangati'!M47,'29.09 Gayaza-Kasangati'!M47,'27.09 Gayaza-Kasangati'!M47,'26.09 Gayaza-Kasangati-24h'!M47,'28.09 Gayaza-Kasangati-24h'!M47,'29.09 Gayaza-Kasangati'!M47)</f>
        <v>84</v>
      </c>
      <c r="N47" s="49">
        <f>AVERAGE('23.09.Gayaza-Kasangati'!N47,'24.09 Gayaza-Kasangati'!N47,'25.09 Gayaza-Kasangati'!N47,'29.09 Gayaza-Kasangati'!N47,'27.09 Gayaza-Kasangati'!N47,'26.09 Gayaza-Kasangati-24h'!N47,'28.09 Gayaza-Kasangati-24h'!N47,'29.09 Gayaza-Kasangati'!N47)</f>
        <v>0</v>
      </c>
      <c r="O47" s="15">
        <f t="shared" si="0"/>
        <v>129.625</v>
      </c>
      <c r="P47" s="15">
        <f t="shared" si="1"/>
        <v>213.625</v>
      </c>
    </row>
    <row r="48" spans="2:32" ht="23.1" customHeight="1" x14ac:dyDescent="0.25">
      <c r="B48" s="24" t="s">
        <v>75</v>
      </c>
      <c r="C48" s="49">
        <f>AVERAGE('23.09.Gayaza-Kasangati'!C48,'24.09 Gayaza-Kasangati'!C48,'25.09 Gayaza-Kasangati'!C48,'29.09 Gayaza-Kasangati'!C48,'27.09 Gayaza-Kasangati'!C48,'26.09 Gayaza-Kasangati-24h'!C48,'28.09 Gayaza-Kasangati-24h'!C48,'29.09 Gayaza-Kasangati'!C48)</f>
        <v>63.125</v>
      </c>
      <c r="D48" s="49">
        <f>AVERAGE('23.09.Gayaza-Kasangati'!D48,'24.09 Gayaza-Kasangati'!D48,'25.09 Gayaza-Kasangati'!D48,'29.09 Gayaza-Kasangati'!D48,'27.09 Gayaza-Kasangati'!D48,'26.09 Gayaza-Kasangati-24h'!D48,'28.09 Gayaza-Kasangati-24h'!D48,'29.09 Gayaza-Kasangati'!D48)</f>
        <v>13.625</v>
      </c>
      <c r="E48" s="49">
        <f>AVERAGE('23.09.Gayaza-Kasangati'!E48,'24.09 Gayaza-Kasangati'!E48,'25.09 Gayaza-Kasangati'!E48,'29.09 Gayaza-Kasangati'!E48,'27.09 Gayaza-Kasangati'!E48,'26.09 Gayaza-Kasangati-24h'!E48,'28.09 Gayaza-Kasangati-24h'!E48,'29.09 Gayaza-Kasangati'!E48)</f>
        <v>6.875</v>
      </c>
      <c r="F48" s="49">
        <f>AVERAGE('23.09.Gayaza-Kasangati'!F48,'24.09 Gayaza-Kasangati'!F48,'25.09 Gayaza-Kasangati'!F48,'29.09 Gayaza-Kasangati'!F48,'27.09 Gayaza-Kasangati'!F48,'26.09 Gayaza-Kasangati-24h'!F48,'28.09 Gayaza-Kasangati-24h'!F48,'29.09 Gayaza-Kasangati'!F48)</f>
        <v>40.25</v>
      </c>
      <c r="G48" s="49">
        <f>AVERAGE('23.09.Gayaza-Kasangati'!G48,'24.09 Gayaza-Kasangati'!G48,'25.09 Gayaza-Kasangati'!G48,'29.09 Gayaza-Kasangati'!G48,'27.09 Gayaza-Kasangati'!G48,'26.09 Gayaza-Kasangati-24h'!G48,'28.09 Gayaza-Kasangati-24h'!G48,'29.09 Gayaza-Kasangati'!G48)</f>
        <v>1.5</v>
      </c>
      <c r="H48" s="49">
        <f>AVERAGE('23.09.Gayaza-Kasangati'!H48,'24.09 Gayaza-Kasangati'!H48,'25.09 Gayaza-Kasangati'!H48,'29.09 Gayaza-Kasangati'!H48,'27.09 Gayaza-Kasangati'!H48,'26.09 Gayaza-Kasangati-24h'!H48,'28.09 Gayaza-Kasangati-24h'!H48,'29.09 Gayaza-Kasangati'!H48)</f>
        <v>1</v>
      </c>
      <c r="I48" s="49">
        <f>AVERAGE('23.09.Gayaza-Kasangati'!I48,'24.09 Gayaza-Kasangati'!I48,'25.09 Gayaza-Kasangati'!I48,'29.09 Gayaza-Kasangati'!I48,'27.09 Gayaza-Kasangati'!I48,'26.09 Gayaza-Kasangati-24h'!I48,'28.09 Gayaza-Kasangati-24h'!I48,'29.09 Gayaza-Kasangati'!I48)</f>
        <v>13.125</v>
      </c>
      <c r="J48" s="49">
        <f>AVERAGE('23.09.Gayaza-Kasangati'!J48,'24.09 Gayaza-Kasangati'!J48,'25.09 Gayaza-Kasangati'!J48,'29.09 Gayaza-Kasangati'!J48,'27.09 Gayaza-Kasangati'!J48,'26.09 Gayaza-Kasangati-24h'!J48,'28.09 Gayaza-Kasangati-24h'!J48,'29.09 Gayaza-Kasangati'!J48)</f>
        <v>3.125</v>
      </c>
      <c r="K48" s="49">
        <f>AVERAGE('23.09.Gayaza-Kasangati'!K48,'24.09 Gayaza-Kasangati'!K48,'25.09 Gayaza-Kasangati'!K48,'29.09 Gayaza-Kasangati'!K48,'27.09 Gayaza-Kasangati'!K48,'26.09 Gayaza-Kasangati-24h'!K48,'28.09 Gayaza-Kasangati-24h'!K48,'29.09 Gayaza-Kasangati'!K48)</f>
        <v>2.125</v>
      </c>
      <c r="L48" s="49">
        <f>AVERAGE('23.09.Gayaza-Kasangati'!L48,'24.09 Gayaza-Kasangati'!L48,'25.09 Gayaza-Kasangati'!L48,'29.09 Gayaza-Kasangati'!L48,'27.09 Gayaza-Kasangati'!L48,'26.09 Gayaza-Kasangati-24h'!L48,'28.09 Gayaza-Kasangati-24h'!L48,'29.09 Gayaza-Kasangati'!L48)</f>
        <v>0</v>
      </c>
      <c r="M48" s="49">
        <f>AVERAGE('23.09.Gayaza-Kasangati'!M48,'24.09 Gayaza-Kasangati'!M48,'25.09 Gayaza-Kasangati'!M48,'29.09 Gayaza-Kasangati'!M48,'27.09 Gayaza-Kasangati'!M48,'26.09 Gayaza-Kasangati-24h'!M48,'28.09 Gayaza-Kasangati-24h'!M48,'29.09 Gayaza-Kasangati'!M48)</f>
        <v>100.125</v>
      </c>
      <c r="N48" s="49">
        <f>AVERAGE('23.09.Gayaza-Kasangati'!N48,'24.09 Gayaza-Kasangati'!N48,'25.09 Gayaza-Kasangati'!N48,'29.09 Gayaza-Kasangati'!N48,'27.09 Gayaza-Kasangati'!N48,'26.09 Gayaza-Kasangati-24h'!N48,'28.09 Gayaza-Kasangati-24h'!N48,'29.09 Gayaza-Kasangati'!N48)</f>
        <v>0</v>
      </c>
      <c r="O48" s="15">
        <f t="shared" si="0"/>
        <v>144.75</v>
      </c>
      <c r="P48" s="15">
        <f t="shared" si="1"/>
        <v>244.875</v>
      </c>
      <c r="R48" s="8"/>
      <c r="T48"/>
    </row>
    <row r="49" spans="2:20" ht="23.1" customHeight="1" x14ac:dyDescent="0.25">
      <c r="B49" s="23" t="s">
        <v>76</v>
      </c>
      <c r="C49" s="49">
        <f>AVERAGE('23.09.Gayaza-Kasangati'!C49,'24.09 Gayaza-Kasangati'!C49,'25.09 Gayaza-Kasangati'!C49,'29.09 Gayaza-Kasangati'!C49,'27.09 Gayaza-Kasangati'!C49,'26.09 Gayaza-Kasangati-24h'!C49,'28.09 Gayaza-Kasangati-24h'!C49,'29.09 Gayaza-Kasangati'!C49)</f>
        <v>57.625</v>
      </c>
      <c r="D49" s="49">
        <f>AVERAGE('23.09.Gayaza-Kasangati'!D49,'24.09 Gayaza-Kasangati'!D49,'25.09 Gayaza-Kasangati'!D49,'29.09 Gayaza-Kasangati'!D49,'27.09 Gayaza-Kasangati'!D49,'26.09 Gayaza-Kasangati-24h'!D49,'28.09 Gayaza-Kasangati-24h'!D49,'29.09 Gayaza-Kasangati'!D49)</f>
        <v>11.5</v>
      </c>
      <c r="E49" s="49">
        <f>AVERAGE('23.09.Gayaza-Kasangati'!E49,'24.09 Gayaza-Kasangati'!E49,'25.09 Gayaza-Kasangati'!E49,'29.09 Gayaza-Kasangati'!E49,'27.09 Gayaza-Kasangati'!E49,'26.09 Gayaza-Kasangati-24h'!E49,'28.09 Gayaza-Kasangati-24h'!E49,'29.09 Gayaza-Kasangati'!E49)</f>
        <v>7.25</v>
      </c>
      <c r="F49" s="49">
        <f>AVERAGE('23.09.Gayaza-Kasangati'!F49,'24.09 Gayaza-Kasangati'!F49,'25.09 Gayaza-Kasangati'!F49,'29.09 Gayaza-Kasangati'!F49,'27.09 Gayaza-Kasangati'!F49,'26.09 Gayaza-Kasangati-24h'!F49,'28.09 Gayaza-Kasangati-24h'!F49,'29.09 Gayaza-Kasangati'!F49)</f>
        <v>35.875</v>
      </c>
      <c r="G49" s="49">
        <f>AVERAGE('23.09.Gayaza-Kasangati'!G49,'24.09 Gayaza-Kasangati'!G49,'25.09 Gayaza-Kasangati'!G49,'29.09 Gayaza-Kasangati'!G49,'27.09 Gayaza-Kasangati'!G49,'26.09 Gayaza-Kasangati-24h'!G49,'28.09 Gayaza-Kasangati-24h'!G49,'29.09 Gayaza-Kasangati'!G49)</f>
        <v>1.25</v>
      </c>
      <c r="H49" s="49">
        <f>AVERAGE('23.09.Gayaza-Kasangati'!H49,'24.09 Gayaza-Kasangati'!H49,'25.09 Gayaza-Kasangati'!H49,'29.09 Gayaza-Kasangati'!H49,'27.09 Gayaza-Kasangati'!H49,'26.09 Gayaza-Kasangati-24h'!H49,'28.09 Gayaza-Kasangati-24h'!H49,'29.09 Gayaza-Kasangati'!H49)</f>
        <v>0.25</v>
      </c>
      <c r="I49" s="49">
        <f>AVERAGE('23.09.Gayaza-Kasangati'!I49,'24.09 Gayaza-Kasangati'!I49,'25.09 Gayaza-Kasangati'!I49,'29.09 Gayaza-Kasangati'!I49,'27.09 Gayaza-Kasangati'!I49,'26.09 Gayaza-Kasangati-24h'!I49,'28.09 Gayaza-Kasangati-24h'!I49,'29.09 Gayaza-Kasangati'!I49)</f>
        <v>12.875</v>
      </c>
      <c r="J49" s="49">
        <f>AVERAGE('23.09.Gayaza-Kasangati'!J49,'24.09 Gayaza-Kasangati'!J49,'25.09 Gayaza-Kasangati'!J49,'29.09 Gayaza-Kasangati'!J49,'27.09 Gayaza-Kasangati'!J49,'26.09 Gayaza-Kasangati-24h'!J49,'28.09 Gayaza-Kasangati-24h'!J49,'29.09 Gayaza-Kasangati'!J49)</f>
        <v>2.75</v>
      </c>
      <c r="K49" s="49">
        <f>AVERAGE('23.09.Gayaza-Kasangati'!K49,'24.09 Gayaza-Kasangati'!K49,'25.09 Gayaza-Kasangati'!K49,'29.09 Gayaza-Kasangati'!K49,'27.09 Gayaza-Kasangati'!K49,'26.09 Gayaza-Kasangati-24h'!K49,'28.09 Gayaza-Kasangati-24h'!K49,'29.09 Gayaza-Kasangati'!K49)</f>
        <v>1.875</v>
      </c>
      <c r="L49" s="49">
        <f>AVERAGE('23.09.Gayaza-Kasangati'!L49,'24.09 Gayaza-Kasangati'!L49,'25.09 Gayaza-Kasangati'!L49,'29.09 Gayaza-Kasangati'!L49,'27.09 Gayaza-Kasangati'!L49,'26.09 Gayaza-Kasangati-24h'!L49,'28.09 Gayaza-Kasangati-24h'!L49,'29.09 Gayaza-Kasangati'!L49)</f>
        <v>0.125</v>
      </c>
      <c r="M49" s="49">
        <f>AVERAGE('23.09.Gayaza-Kasangati'!M49,'24.09 Gayaza-Kasangati'!M49,'25.09 Gayaza-Kasangati'!M49,'29.09 Gayaza-Kasangati'!M49,'27.09 Gayaza-Kasangati'!M49,'26.09 Gayaza-Kasangati-24h'!M49,'28.09 Gayaza-Kasangati-24h'!M49,'29.09 Gayaza-Kasangati'!M49)</f>
        <v>102.5</v>
      </c>
      <c r="N49" s="49">
        <f>AVERAGE('23.09.Gayaza-Kasangati'!N49,'24.09 Gayaza-Kasangati'!N49,'25.09 Gayaza-Kasangati'!N49,'29.09 Gayaza-Kasangati'!N49,'27.09 Gayaza-Kasangati'!N49,'26.09 Gayaza-Kasangati-24h'!N49,'28.09 Gayaza-Kasangati-24h'!N49,'29.09 Gayaza-Kasangati'!N49)</f>
        <v>0</v>
      </c>
      <c r="O49" s="15">
        <f t="shared" si="0"/>
        <v>131.375</v>
      </c>
      <c r="P49" s="15">
        <f t="shared" si="1"/>
        <v>233.875</v>
      </c>
      <c r="R49" s="8"/>
      <c r="T49"/>
    </row>
    <row r="50" spans="2:20" ht="23.1" customHeight="1" x14ac:dyDescent="0.25">
      <c r="B50" s="24" t="s">
        <v>77</v>
      </c>
      <c r="C50" s="49">
        <f>AVERAGE('23.09.Gayaza-Kasangati'!C50,'24.09 Gayaza-Kasangati'!C50,'25.09 Gayaza-Kasangati'!C50,'29.09 Gayaza-Kasangati'!C50,'27.09 Gayaza-Kasangati'!C50,'26.09 Gayaza-Kasangati-24h'!C50,'28.09 Gayaza-Kasangati-24h'!C50,'29.09 Gayaza-Kasangati'!C50)</f>
        <v>60.375</v>
      </c>
      <c r="D50" s="49">
        <f>AVERAGE('23.09.Gayaza-Kasangati'!D50,'24.09 Gayaza-Kasangati'!D50,'25.09 Gayaza-Kasangati'!D50,'29.09 Gayaza-Kasangati'!D50,'27.09 Gayaza-Kasangati'!D50,'26.09 Gayaza-Kasangati-24h'!D50,'28.09 Gayaza-Kasangati-24h'!D50,'29.09 Gayaza-Kasangati'!D50)</f>
        <v>13.75</v>
      </c>
      <c r="E50" s="49">
        <f>AVERAGE('23.09.Gayaza-Kasangati'!E50,'24.09 Gayaza-Kasangati'!E50,'25.09 Gayaza-Kasangati'!E50,'29.09 Gayaza-Kasangati'!E50,'27.09 Gayaza-Kasangati'!E50,'26.09 Gayaza-Kasangati-24h'!E50,'28.09 Gayaza-Kasangati-24h'!E50,'29.09 Gayaza-Kasangati'!E50)</f>
        <v>8.125</v>
      </c>
      <c r="F50" s="49">
        <f>AVERAGE('23.09.Gayaza-Kasangati'!F50,'24.09 Gayaza-Kasangati'!F50,'25.09 Gayaza-Kasangati'!F50,'29.09 Gayaza-Kasangati'!F50,'27.09 Gayaza-Kasangati'!F50,'26.09 Gayaza-Kasangati-24h'!F50,'28.09 Gayaza-Kasangati-24h'!F50,'29.09 Gayaza-Kasangati'!F50)</f>
        <v>41.25</v>
      </c>
      <c r="G50" s="49">
        <f>AVERAGE('23.09.Gayaza-Kasangati'!G50,'24.09 Gayaza-Kasangati'!G50,'25.09 Gayaza-Kasangati'!G50,'29.09 Gayaza-Kasangati'!G50,'27.09 Gayaza-Kasangati'!G50,'26.09 Gayaza-Kasangati-24h'!G50,'28.09 Gayaza-Kasangati-24h'!G50,'29.09 Gayaza-Kasangati'!G50)</f>
        <v>0.375</v>
      </c>
      <c r="H50" s="49">
        <f>AVERAGE('23.09.Gayaza-Kasangati'!H50,'24.09 Gayaza-Kasangati'!H50,'25.09 Gayaza-Kasangati'!H50,'29.09 Gayaza-Kasangati'!H50,'27.09 Gayaza-Kasangati'!H50,'26.09 Gayaza-Kasangati-24h'!H50,'28.09 Gayaza-Kasangati-24h'!H50,'29.09 Gayaza-Kasangati'!H50)</f>
        <v>0.25</v>
      </c>
      <c r="I50" s="49">
        <f>AVERAGE('23.09.Gayaza-Kasangati'!I50,'24.09 Gayaza-Kasangati'!I50,'25.09 Gayaza-Kasangati'!I50,'29.09 Gayaza-Kasangati'!I50,'27.09 Gayaza-Kasangati'!I50,'26.09 Gayaza-Kasangati-24h'!I50,'28.09 Gayaza-Kasangati-24h'!I50,'29.09 Gayaza-Kasangati'!I50)</f>
        <v>9.75</v>
      </c>
      <c r="J50" s="49">
        <f>AVERAGE('23.09.Gayaza-Kasangati'!J50,'24.09 Gayaza-Kasangati'!J50,'25.09 Gayaza-Kasangati'!J50,'29.09 Gayaza-Kasangati'!J50,'27.09 Gayaza-Kasangati'!J50,'26.09 Gayaza-Kasangati-24h'!J50,'28.09 Gayaza-Kasangati-24h'!J50,'29.09 Gayaza-Kasangati'!J50)</f>
        <v>3.5</v>
      </c>
      <c r="K50" s="49">
        <f>AVERAGE('23.09.Gayaza-Kasangati'!K50,'24.09 Gayaza-Kasangati'!K50,'25.09 Gayaza-Kasangati'!K50,'29.09 Gayaza-Kasangati'!K50,'27.09 Gayaza-Kasangati'!K50,'26.09 Gayaza-Kasangati-24h'!K50,'28.09 Gayaza-Kasangati-24h'!K50,'29.09 Gayaza-Kasangati'!K50)</f>
        <v>1.75</v>
      </c>
      <c r="L50" s="49">
        <f>AVERAGE('23.09.Gayaza-Kasangati'!L50,'24.09 Gayaza-Kasangati'!L50,'25.09 Gayaza-Kasangati'!L50,'29.09 Gayaza-Kasangati'!L50,'27.09 Gayaza-Kasangati'!L50,'26.09 Gayaza-Kasangati-24h'!L50,'28.09 Gayaza-Kasangati-24h'!L50,'29.09 Gayaza-Kasangati'!L50)</f>
        <v>0.125</v>
      </c>
      <c r="M50" s="49">
        <f>AVERAGE('23.09.Gayaza-Kasangati'!M50,'24.09 Gayaza-Kasangati'!M50,'25.09 Gayaza-Kasangati'!M50,'29.09 Gayaza-Kasangati'!M50,'27.09 Gayaza-Kasangati'!M50,'26.09 Gayaza-Kasangati-24h'!M50,'28.09 Gayaza-Kasangati-24h'!M50,'29.09 Gayaza-Kasangati'!M50)</f>
        <v>100.625</v>
      </c>
      <c r="N50" s="49">
        <f>AVERAGE('23.09.Gayaza-Kasangati'!N50,'24.09 Gayaza-Kasangati'!N50,'25.09 Gayaza-Kasangati'!N50,'29.09 Gayaza-Kasangati'!N50,'27.09 Gayaza-Kasangati'!N50,'26.09 Gayaza-Kasangati-24h'!N50,'28.09 Gayaza-Kasangati-24h'!N50,'29.09 Gayaza-Kasangati'!N50)</f>
        <v>0</v>
      </c>
      <c r="O50" s="15">
        <f t="shared" si="0"/>
        <v>139.25</v>
      </c>
      <c r="P50" s="15">
        <f t="shared" si="1"/>
        <v>239.875</v>
      </c>
      <c r="R50" s="8"/>
      <c r="T50"/>
    </row>
    <row r="51" spans="2:20" ht="23.1" customHeight="1" x14ac:dyDescent="0.25">
      <c r="B51" s="24" t="s">
        <v>78</v>
      </c>
      <c r="C51" s="49">
        <f>AVERAGE('23.09.Gayaza-Kasangati'!C51,'24.09 Gayaza-Kasangati'!C51,'25.09 Gayaza-Kasangati'!C51,'29.09 Gayaza-Kasangati'!C51,'27.09 Gayaza-Kasangati'!C51,'26.09 Gayaza-Kasangati-24h'!C51,'28.09 Gayaza-Kasangati-24h'!C51,'29.09 Gayaza-Kasangati'!C51)</f>
        <v>49.625</v>
      </c>
      <c r="D51" s="49">
        <f>AVERAGE('23.09.Gayaza-Kasangati'!D51,'24.09 Gayaza-Kasangati'!D51,'25.09 Gayaza-Kasangati'!D51,'29.09 Gayaza-Kasangati'!D51,'27.09 Gayaza-Kasangati'!D51,'26.09 Gayaza-Kasangati-24h'!D51,'28.09 Gayaza-Kasangati-24h'!D51,'29.09 Gayaza-Kasangati'!D51)</f>
        <v>6.5</v>
      </c>
      <c r="E51" s="49">
        <f>AVERAGE('23.09.Gayaza-Kasangati'!E51,'24.09 Gayaza-Kasangati'!E51,'25.09 Gayaza-Kasangati'!E51,'29.09 Gayaza-Kasangati'!E51,'27.09 Gayaza-Kasangati'!E51,'26.09 Gayaza-Kasangati-24h'!E51,'28.09 Gayaza-Kasangati-24h'!E51,'29.09 Gayaza-Kasangati'!E51)</f>
        <v>6.375</v>
      </c>
      <c r="F51" s="49">
        <f>AVERAGE('23.09.Gayaza-Kasangati'!F51,'24.09 Gayaza-Kasangati'!F51,'25.09 Gayaza-Kasangati'!F51,'29.09 Gayaza-Kasangati'!F51,'27.09 Gayaza-Kasangati'!F51,'26.09 Gayaza-Kasangati-24h'!F51,'28.09 Gayaza-Kasangati-24h'!F51,'29.09 Gayaza-Kasangati'!F51)</f>
        <v>40</v>
      </c>
      <c r="G51" s="49">
        <f>AVERAGE('23.09.Gayaza-Kasangati'!G51,'24.09 Gayaza-Kasangati'!G51,'25.09 Gayaza-Kasangati'!G51,'29.09 Gayaza-Kasangati'!G51,'27.09 Gayaza-Kasangati'!G51,'26.09 Gayaza-Kasangati-24h'!G51,'28.09 Gayaza-Kasangati-24h'!G51,'29.09 Gayaza-Kasangati'!G51)</f>
        <v>1.125</v>
      </c>
      <c r="H51" s="49">
        <f>AVERAGE('23.09.Gayaza-Kasangati'!H51,'24.09 Gayaza-Kasangati'!H51,'25.09 Gayaza-Kasangati'!H51,'29.09 Gayaza-Kasangati'!H51,'27.09 Gayaza-Kasangati'!H51,'26.09 Gayaza-Kasangati-24h'!H51,'28.09 Gayaza-Kasangati-24h'!H51,'29.09 Gayaza-Kasangati'!H51)</f>
        <v>0.875</v>
      </c>
      <c r="I51" s="49">
        <f>AVERAGE('23.09.Gayaza-Kasangati'!I51,'24.09 Gayaza-Kasangati'!I51,'25.09 Gayaza-Kasangati'!I51,'29.09 Gayaza-Kasangati'!I51,'27.09 Gayaza-Kasangati'!I51,'26.09 Gayaza-Kasangati-24h'!I51,'28.09 Gayaza-Kasangati-24h'!I51,'29.09 Gayaza-Kasangati'!I51)</f>
        <v>11.375</v>
      </c>
      <c r="J51" s="49">
        <f>AVERAGE('23.09.Gayaza-Kasangati'!J51,'24.09 Gayaza-Kasangati'!J51,'25.09 Gayaza-Kasangati'!J51,'29.09 Gayaza-Kasangati'!J51,'27.09 Gayaza-Kasangati'!J51,'26.09 Gayaza-Kasangati-24h'!J51,'28.09 Gayaza-Kasangati-24h'!J51,'29.09 Gayaza-Kasangati'!J51)</f>
        <v>2.5</v>
      </c>
      <c r="K51" s="49">
        <f>AVERAGE('23.09.Gayaza-Kasangati'!K51,'24.09 Gayaza-Kasangati'!K51,'25.09 Gayaza-Kasangati'!K51,'29.09 Gayaza-Kasangati'!K51,'27.09 Gayaza-Kasangati'!K51,'26.09 Gayaza-Kasangati-24h'!K51,'28.09 Gayaza-Kasangati-24h'!K51,'29.09 Gayaza-Kasangati'!K51)</f>
        <v>2.125</v>
      </c>
      <c r="L51" s="49">
        <f>AVERAGE('23.09.Gayaza-Kasangati'!L51,'24.09 Gayaza-Kasangati'!L51,'25.09 Gayaza-Kasangati'!L51,'29.09 Gayaza-Kasangati'!L51,'27.09 Gayaza-Kasangati'!L51,'26.09 Gayaza-Kasangati-24h'!L51,'28.09 Gayaza-Kasangati-24h'!L51,'29.09 Gayaza-Kasangati'!L51)</f>
        <v>1.125</v>
      </c>
      <c r="M51" s="49">
        <f>AVERAGE('23.09.Gayaza-Kasangati'!M51,'24.09 Gayaza-Kasangati'!M51,'25.09 Gayaza-Kasangati'!M51,'29.09 Gayaza-Kasangati'!M51,'27.09 Gayaza-Kasangati'!M51,'26.09 Gayaza-Kasangati-24h'!M51,'28.09 Gayaza-Kasangati-24h'!M51,'29.09 Gayaza-Kasangati'!M51)</f>
        <v>106.25</v>
      </c>
      <c r="N51" s="49">
        <f>AVERAGE('23.09.Gayaza-Kasangati'!N51,'24.09 Gayaza-Kasangati'!N51,'25.09 Gayaza-Kasangati'!N51,'29.09 Gayaza-Kasangati'!N51,'27.09 Gayaza-Kasangati'!N51,'26.09 Gayaza-Kasangati-24h'!N51,'28.09 Gayaza-Kasangati-24h'!N51,'29.09 Gayaza-Kasangati'!N51)</f>
        <v>0</v>
      </c>
      <c r="O51" s="15">
        <f t="shared" si="0"/>
        <v>121.625</v>
      </c>
      <c r="P51" s="15">
        <f t="shared" si="1"/>
        <v>227.875</v>
      </c>
      <c r="R51" s="8"/>
      <c r="T51"/>
    </row>
    <row r="52" spans="2:20" ht="23.1" customHeight="1" x14ac:dyDescent="0.25">
      <c r="B52" s="24" t="s">
        <v>79</v>
      </c>
      <c r="C52" s="49">
        <f>AVERAGE('23.09.Gayaza-Kasangati'!C52,'24.09 Gayaza-Kasangati'!C52,'25.09 Gayaza-Kasangati'!C52,'29.09 Gayaza-Kasangati'!C52,'27.09 Gayaza-Kasangati'!C52,'26.09 Gayaza-Kasangati-24h'!C52,'28.09 Gayaza-Kasangati-24h'!C52,'29.09 Gayaza-Kasangati'!C52)</f>
        <v>68.25</v>
      </c>
      <c r="D52" s="49">
        <f>AVERAGE('23.09.Gayaza-Kasangati'!D52,'24.09 Gayaza-Kasangati'!D52,'25.09 Gayaza-Kasangati'!D52,'29.09 Gayaza-Kasangati'!D52,'27.09 Gayaza-Kasangati'!D52,'26.09 Gayaza-Kasangati-24h'!D52,'28.09 Gayaza-Kasangati-24h'!D52,'29.09 Gayaza-Kasangati'!D52)</f>
        <v>13.125</v>
      </c>
      <c r="E52" s="49">
        <f>AVERAGE('23.09.Gayaza-Kasangati'!E52,'24.09 Gayaza-Kasangati'!E52,'25.09 Gayaza-Kasangati'!E52,'29.09 Gayaza-Kasangati'!E52,'27.09 Gayaza-Kasangati'!E52,'26.09 Gayaza-Kasangati-24h'!E52,'28.09 Gayaza-Kasangati-24h'!E52,'29.09 Gayaza-Kasangati'!E52)</f>
        <v>9.375</v>
      </c>
      <c r="F52" s="49">
        <f>AVERAGE('23.09.Gayaza-Kasangati'!F52,'24.09 Gayaza-Kasangati'!F52,'25.09 Gayaza-Kasangati'!F52,'29.09 Gayaza-Kasangati'!F52,'27.09 Gayaza-Kasangati'!F52,'26.09 Gayaza-Kasangati-24h'!F52,'28.09 Gayaza-Kasangati-24h'!F52,'29.09 Gayaza-Kasangati'!F52)</f>
        <v>96.625</v>
      </c>
      <c r="G52" s="49">
        <f>AVERAGE('23.09.Gayaza-Kasangati'!G52,'24.09 Gayaza-Kasangati'!G52,'25.09 Gayaza-Kasangati'!G52,'29.09 Gayaza-Kasangati'!G52,'27.09 Gayaza-Kasangati'!G52,'26.09 Gayaza-Kasangati-24h'!G52,'28.09 Gayaza-Kasangati-24h'!G52,'29.09 Gayaza-Kasangati'!G52)</f>
        <v>1.25</v>
      </c>
      <c r="H52" s="49">
        <f>AVERAGE('23.09.Gayaza-Kasangati'!H52,'24.09 Gayaza-Kasangati'!H52,'25.09 Gayaza-Kasangati'!H52,'29.09 Gayaza-Kasangati'!H52,'27.09 Gayaza-Kasangati'!H52,'26.09 Gayaza-Kasangati-24h'!H52,'28.09 Gayaza-Kasangati-24h'!H52,'29.09 Gayaza-Kasangati'!H52)</f>
        <v>0.875</v>
      </c>
      <c r="I52" s="49">
        <f>AVERAGE('23.09.Gayaza-Kasangati'!I52,'24.09 Gayaza-Kasangati'!I52,'25.09 Gayaza-Kasangati'!I52,'29.09 Gayaza-Kasangati'!I52,'27.09 Gayaza-Kasangati'!I52,'26.09 Gayaza-Kasangati-24h'!I52,'28.09 Gayaza-Kasangati-24h'!I52,'29.09 Gayaza-Kasangati'!I52)</f>
        <v>10.75</v>
      </c>
      <c r="J52" s="49">
        <f>AVERAGE('23.09.Gayaza-Kasangati'!J52,'24.09 Gayaza-Kasangati'!J52,'25.09 Gayaza-Kasangati'!J52,'29.09 Gayaza-Kasangati'!J52,'27.09 Gayaza-Kasangati'!J52,'26.09 Gayaza-Kasangati-24h'!J52,'28.09 Gayaza-Kasangati-24h'!J52,'29.09 Gayaza-Kasangati'!J52)</f>
        <v>1.75</v>
      </c>
      <c r="K52" s="49">
        <f>AVERAGE('23.09.Gayaza-Kasangati'!K52,'24.09 Gayaza-Kasangati'!K52,'25.09 Gayaza-Kasangati'!K52,'29.09 Gayaza-Kasangati'!K52,'27.09 Gayaza-Kasangati'!K52,'26.09 Gayaza-Kasangati-24h'!K52,'28.09 Gayaza-Kasangati-24h'!K52,'29.09 Gayaza-Kasangati'!K52)</f>
        <v>2.5</v>
      </c>
      <c r="L52" s="49">
        <f>AVERAGE('23.09.Gayaza-Kasangati'!L52,'24.09 Gayaza-Kasangati'!L52,'25.09 Gayaza-Kasangati'!L52,'29.09 Gayaza-Kasangati'!L52,'27.09 Gayaza-Kasangati'!L52,'26.09 Gayaza-Kasangati-24h'!L52,'28.09 Gayaza-Kasangati-24h'!L52,'29.09 Gayaza-Kasangati'!L52)</f>
        <v>0.125</v>
      </c>
      <c r="M52" s="49">
        <f>AVERAGE('23.09.Gayaza-Kasangati'!M52,'24.09 Gayaza-Kasangati'!M52,'25.09 Gayaza-Kasangati'!M52,'29.09 Gayaza-Kasangati'!M52,'27.09 Gayaza-Kasangati'!M52,'26.09 Gayaza-Kasangati-24h'!M52,'28.09 Gayaza-Kasangati-24h'!M52,'29.09 Gayaza-Kasangati'!M52)</f>
        <v>104.75</v>
      </c>
      <c r="N52" s="49">
        <f>AVERAGE('23.09.Gayaza-Kasangati'!N52,'24.09 Gayaza-Kasangati'!N52,'25.09 Gayaza-Kasangati'!N52,'29.09 Gayaza-Kasangati'!N52,'27.09 Gayaza-Kasangati'!N52,'26.09 Gayaza-Kasangati-24h'!N52,'28.09 Gayaza-Kasangati-24h'!N52,'29.09 Gayaza-Kasangati'!N52)</f>
        <v>0</v>
      </c>
      <c r="O52" s="15">
        <f t="shared" si="0"/>
        <v>204.625</v>
      </c>
      <c r="P52" s="15">
        <f t="shared" si="1"/>
        <v>309.375</v>
      </c>
      <c r="R52" s="8"/>
      <c r="T52"/>
    </row>
    <row r="53" spans="2:20" ht="23.1" customHeight="1" x14ac:dyDescent="0.25">
      <c r="B53" s="23" t="s">
        <v>80</v>
      </c>
      <c r="C53" s="49">
        <f>AVERAGE('23.09.Gayaza-Kasangati'!C53,'24.09 Gayaza-Kasangati'!C53,'25.09 Gayaza-Kasangati'!C53,'29.09 Gayaza-Kasangati'!C53,'27.09 Gayaza-Kasangati'!C53,'26.09 Gayaza-Kasangati-24h'!C53,'28.09 Gayaza-Kasangati-24h'!C53,'29.09 Gayaza-Kasangati'!C53)</f>
        <v>66.375</v>
      </c>
      <c r="D53" s="49">
        <f>AVERAGE('23.09.Gayaza-Kasangati'!D53,'24.09 Gayaza-Kasangati'!D53,'25.09 Gayaza-Kasangati'!D53,'29.09 Gayaza-Kasangati'!D53,'27.09 Gayaza-Kasangati'!D53,'26.09 Gayaza-Kasangati-24h'!D53,'28.09 Gayaza-Kasangati-24h'!D53,'29.09 Gayaza-Kasangati'!D53)</f>
        <v>13.125</v>
      </c>
      <c r="E53" s="49">
        <f>AVERAGE('23.09.Gayaza-Kasangati'!E53,'24.09 Gayaza-Kasangati'!E53,'25.09 Gayaza-Kasangati'!E53,'29.09 Gayaza-Kasangati'!E53,'27.09 Gayaza-Kasangati'!E53,'26.09 Gayaza-Kasangati-24h'!E53,'28.09 Gayaza-Kasangati-24h'!E53,'29.09 Gayaza-Kasangati'!E53)</f>
        <v>7.125</v>
      </c>
      <c r="F53" s="49">
        <f>AVERAGE('23.09.Gayaza-Kasangati'!F53,'24.09 Gayaza-Kasangati'!F53,'25.09 Gayaza-Kasangati'!F53,'29.09 Gayaza-Kasangati'!F53,'27.09 Gayaza-Kasangati'!F53,'26.09 Gayaza-Kasangati-24h'!F53,'28.09 Gayaza-Kasangati-24h'!F53,'29.09 Gayaza-Kasangati'!F53)</f>
        <v>39.875</v>
      </c>
      <c r="G53" s="49">
        <f>AVERAGE('23.09.Gayaza-Kasangati'!G53,'24.09 Gayaza-Kasangati'!G53,'25.09 Gayaza-Kasangati'!G53,'29.09 Gayaza-Kasangati'!G53,'27.09 Gayaza-Kasangati'!G53,'26.09 Gayaza-Kasangati-24h'!G53,'28.09 Gayaza-Kasangati-24h'!G53,'29.09 Gayaza-Kasangati'!G53)</f>
        <v>0.875</v>
      </c>
      <c r="H53" s="49">
        <f>AVERAGE('23.09.Gayaza-Kasangati'!H53,'24.09 Gayaza-Kasangati'!H53,'25.09 Gayaza-Kasangati'!H53,'29.09 Gayaza-Kasangati'!H53,'27.09 Gayaza-Kasangati'!H53,'26.09 Gayaza-Kasangati-24h'!H53,'28.09 Gayaza-Kasangati-24h'!H53,'29.09 Gayaza-Kasangati'!H53)</f>
        <v>0.375</v>
      </c>
      <c r="I53" s="49">
        <f>AVERAGE('23.09.Gayaza-Kasangati'!I53,'24.09 Gayaza-Kasangati'!I53,'25.09 Gayaza-Kasangati'!I53,'29.09 Gayaza-Kasangati'!I53,'27.09 Gayaza-Kasangati'!I53,'26.09 Gayaza-Kasangati-24h'!I53,'28.09 Gayaza-Kasangati-24h'!I53,'29.09 Gayaza-Kasangati'!I53)</f>
        <v>10.5</v>
      </c>
      <c r="J53" s="49">
        <f>AVERAGE('23.09.Gayaza-Kasangati'!J53,'24.09 Gayaza-Kasangati'!J53,'25.09 Gayaza-Kasangati'!J53,'29.09 Gayaza-Kasangati'!J53,'27.09 Gayaza-Kasangati'!J53,'26.09 Gayaza-Kasangati-24h'!J53,'28.09 Gayaza-Kasangati-24h'!J53,'29.09 Gayaza-Kasangati'!J53)</f>
        <v>1.5</v>
      </c>
      <c r="K53" s="49">
        <f>AVERAGE('23.09.Gayaza-Kasangati'!K53,'24.09 Gayaza-Kasangati'!K53,'25.09 Gayaza-Kasangati'!K53,'29.09 Gayaza-Kasangati'!K53,'27.09 Gayaza-Kasangati'!K53,'26.09 Gayaza-Kasangati-24h'!K53,'28.09 Gayaza-Kasangati-24h'!K53,'29.09 Gayaza-Kasangati'!K53)</f>
        <v>2.25</v>
      </c>
      <c r="L53" s="49">
        <f>AVERAGE('23.09.Gayaza-Kasangati'!L53,'24.09 Gayaza-Kasangati'!L53,'25.09 Gayaza-Kasangati'!L53,'29.09 Gayaza-Kasangati'!L53,'27.09 Gayaza-Kasangati'!L53,'26.09 Gayaza-Kasangati-24h'!L53,'28.09 Gayaza-Kasangati-24h'!L53,'29.09 Gayaza-Kasangati'!L53)</f>
        <v>0.125</v>
      </c>
      <c r="M53" s="49">
        <f>AVERAGE('23.09.Gayaza-Kasangati'!M53,'24.09 Gayaza-Kasangati'!M53,'25.09 Gayaza-Kasangati'!M53,'29.09 Gayaza-Kasangati'!M53,'27.09 Gayaza-Kasangati'!M53,'26.09 Gayaza-Kasangati-24h'!M53,'28.09 Gayaza-Kasangati-24h'!M53,'29.09 Gayaza-Kasangati'!M53)</f>
        <v>115.125</v>
      </c>
      <c r="N53" s="49">
        <f>AVERAGE('23.09.Gayaza-Kasangati'!N53,'24.09 Gayaza-Kasangati'!N53,'25.09 Gayaza-Kasangati'!N53,'29.09 Gayaza-Kasangati'!N53,'27.09 Gayaza-Kasangati'!N53,'26.09 Gayaza-Kasangati-24h'!N53,'28.09 Gayaza-Kasangati-24h'!N53,'29.09 Gayaza-Kasangati'!N53)</f>
        <v>0</v>
      </c>
      <c r="O53" s="15">
        <f t="shared" si="0"/>
        <v>142.125</v>
      </c>
      <c r="P53" s="15">
        <f t="shared" si="1"/>
        <v>257.25</v>
      </c>
      <c r="R53" s="8"/>
      <c r="T53"/>
    </row>
    <row r="54" spans="2:20" ht="23.1" customHeight="1" x14ac:dyDescent="0.25">
      <c r="B54" s="23" t="s">
        <v>81</v>
      </c>
      <c r="C54" s="49">
        <f>AVERAGE('23.09.Gayaza-Kasangati'!C54,'24.09 Gayaza-Kasangati'!C54,'25.09 Gayaza-Kasangati'!C54,'29.09 Gayaza-Kasangati'!C54,'27.09 Gayaza-Kasangati'!C54,'26.09 Gayaza-Kasangati-24h'!C54,'28.09 Gayaza-Kasangati-24h'!C54,'29.09 Gayaza-Kasangati'!C54)</f>
        <v>66.375</v>
      </c>
      <c r="D54" s="49">
        <f>AVERAGE('23.09.Gayaza-Kasangati'!D54,'24.09 Gayaza-Kasangati'!D54,'25.09 Gayaza-Kasangati'!D54,'29.09 Gayaza-Kasangati'!D54,'27.09 Gayaza-Kasangati'!D54,'26.09 Gayaza-Kasangati-24h'!D54,'28.09 Gayaza-Kasangati-24h'!D54,'29.09 Gayaza-Kasangati'!D54)</f>
        <v>15.375</v>
      </c>
      <c r="E54" s="49">
        <f>AVERAGE('23.09.Gayaza-Kasangati'!E54,'24.09 Gayaza-Kasangati'!E54,'25.09 Gayaza-Kasangati'!E54,'29.09 Gayaza-Kasangati'!E54,'27.09 Gayaza-Kasangati'!E54,'26.09 Gayaza-Kasangati-24h'!E54,'28.09 Gayaza-Kasangati-24h'!E54,'29.09 Gayaza-Kasangati'!E54)</f>
        <v>10.125</v>
      </c>
      <c r="F54" s="49">
        <f>AVERAGE('23.09.Gayaza-Kasangati'!F54,'24.09 Gayaza-Kasangati'!F54,'25.09 Gayaza-Kasangati'!F54,'29.09 Gayaza-Kasangati'!F54,'27.09 Gayaza-Kasangati'!F54,'26.09 Gayaza-Kasangati-24h'!F54,'28.09 Gayaza-Kasangati-24h'!F54,'29.09 Gayaza-Kasangati'!F54)</f>
        <v>43.75</v>
      </c>
      <c r="G54" s="49">
        <f>AVERAGE('23.09.Gayaza-Kasangati'!G54,'24.09 Gayaza-Kasangati'!G54,'25.09 Gayaza-Kasangati'!G54,'29.09 Gayaza-Kasangati'!G54,'27.09 Gayaza-Kasangati'!G54,'26.09 Gayaza-Kasangati-24h'!G54,'28.09 Gayaza-Kasangati-24h'!G54,'29.09 Gayaza-Kasangati'!G54)</f>
        <v>1.625</v>
      </c>
      <c r="H54" s="49">
        <f>AVERAGE('23.09.Gayaza-Kasangati'!H54,'24.09 Gayaza-Kasangati'!H54,'25.09 Gayaza-Kasangati'!H54,'29.09 Gayaza-Kasangati'!H54,'27.09 Gayaza-Kasangati'!H54,'26.09 Gayaza-Kasangati-24h'!H54,'28.09 Gayaza-Kasangati-24h'!H54,'29.09 Gayaza-Kasangati'!H54)</f>
        <v>0.625</v>
      </c>
      <c r="I54" s="49">
        <f>AVERAGE('23.09.Gayaza-Kasangati'!I54,'24.09 Gayaza-Kasangati'!I54,'25.09 Gayaza-Kasangati'!I54,'29.09 Gayaza-Kasangati'!I54,'27.09 Gayaza-Kasangati'!I54,'26.09 Gayaza-Kasangati-24h'!I54,'28.09 Gayaza-Kasangati-24h'!I54,'29.09 Gayaza-Kasangati'!I54)</f>
        <v>13</v>
      </c>
      <c r="J54" s="49">
        <f>AVERAGE('23.09.Gayaza-Kasangati'!J54,'24.09 Gayaza-Kasangati'!J54,'25.09 Gayaza-Kasangati'!J54,'29.09 Gayaza-Kasangati'!J54,'27.09 Gayaza-Kasangati'!J54,'26.09 Gayaza-Kasangati-24h'!J54,'28.09 Gayaza-Kasangati-24h'!J54,'29.09 Gayaza-Kasangati'!J54)</f>
        <v>1.875</v>
      </c>
      <c r="K54" s="49">
        <f>AVERAGE('23.09.Gayaza-Kasangati'!K54,'24.09 Gayaza-Kasangati'!K54,'25.09 Gayaza-Kasangati'!K54,'29.09 Gayaza-Kasangati'!K54,'27.09 Gayaza-Kasangati'!K54,'26.09 Gayaza-Kasangati-24h'!K54,'28.09 Gayaza-Kasangati-24h'!K54,'29.09 Gayaza-Kasangati'!K54)</f>
        <v>2</v>
      </c>
      <c r="L54" s="49">
        <f>AVERAGE('23.09.Gayaza-Kasangati'!L54,'24.09 Gayaza-Kasangati'!L54,'25.09 Gayaza-Kasangati'!L54,'29.09 Gayaza-Kasangati'!L54,'27.09 Gayaza-Kasangati'!L54,'26.09 Gayaza-Kasangati-24h'!L54,'28.09 Gayaza-Kasangati-24h'!L54,'29.09 Gayaza-Kasangati'!L54)</f>
        <v>0.5</v>
      </c>
      <c r="M54" s="49">
        <f>AVERAGE('23.09.Gayaza-Kasangati'!M54,'24.09 Gayaza-Kasangati'!M54,'25.09 Gayaza-Kasangati'!M54,'29.09 Gayaza-Kasangati'!M54,'27.09 Gayaza-Kasangati'!M54,'26.09 Gayaza-Kasangati-24h'!M54,'28.09 Gayaza-Kasangati-24h'!M54,'29.09 Gayaza-Kasangati'!M54)</f>
        <v>104.125</v>
      </c>
      <c r="N54" s="49">
        <f>AVERAGE('23.09.Gayaza-Kasangati'!N54,'24.09 Gayaza-Kasangati'!N54,'25.09 Gayaza-Kasangati'!N54,'29.09 Gayaza-Kasangati'!N54,'27.09 Gayaza-Kasangati'!N54,'26.09 Gayaza-Kasangati-24h'!N54,'28.09 Gayaza-Kasangati-24h'!N54,'29.09 Gayaza-Kasangati'!N54)</f>
        <v>0</v>
      </c>
      <c r="O54" s="15">
        <f t="shared" si="0"/>
        <v>155.25</v>
      </c>
      <c r="P54" s="15">
        <f t="shared" si="1"/>
        <v>259.375</v>
      </c>
      <c r="R54" s="8"/>
      <c r="T54"/>
    </row>
    <row r="55" spans="2:20" ht="23.1" customHeight="1" x14ac:dyDescent="0.25">
      <c r="B55" s="23" t="s">
        <v>82</v>
      </c>
      <c r="C55" s="49">
        <f>AVERAGE('23.09.Gayaza-Kasangati'!C55,'24.09 Gayaza-Kasangati'!C55,'25.09 Gayaza-Kasangati'!C55,'29.09 Gayaza-Kasangati'!C55,'27.09 Gayaza-Kasangati'!C55,'26.09 Gayaza-Kasangati-24h'!C55,'28.09 Gayaza-Kasangati-24h'!C55,'29.09 Gayaza-Kasangati'!C55)</f>
        <v>57.875</v>
      </c>
      <c r="D55" s="49">
        <f>AVERAGE('23.09.Gayaza-Kasangati'!D55,'24.09 Gayaza-Kasangati'!D55,'25.09 Gayaza-Kasangati'!D55,'29.09 Gayaza-Kasangati'!D55,'27.09 Gayaza-Kasangati'!D55,'26.09 Gayaza-Kasangati-24h'!D55,'28.09 Gayaza-Kasangati-24h'!D55,'29.09 Gayaza-Kasangati'!D55)</f>
        <v>13</v>
      </c>
      <c r="E55" s="49">
        <f>AVERAGE('23.09.Gayaza-Kasangati'!E55,'24.09 Gayaza-Kasangati'!E55,'25.09 Gayaza-Kasangati'!E55,'29.09 Gayaza-Kasangati'!E55,'27.09 Gayaza-Kasangati'!E55,'26.09 Gayaza-Kasangati-24h'!E55,'28.09 Gayaza-Kasangati-24h'!E55,'29.09 Gayaza-Kasangati'!E55)</f>
        <v>8.75</v>
      </c>
      <c r="F55" s="49">
        <f>AVERAGE('23.09.Gayaza-Kasangati'!F55,'24.09 Gayaza-Kasangati'!F55,'25.09 Gayaza-Kasangati'!F55,'29.09 Gayaza-Kasangati'!F55,'27.09 Gayaza-Kasangati'!F55,'26.09 Gayaza-Kasangati-24h'!F55,'28.09 Gayaza-Kasangati-24h'!F55,'29.09 Gayaza-Kasangati'!F55)</f>
        <v>45.125</v>
      </c>
      <c r="G55" s="49">
        <f>AVERAGE('23.09.Gayaza-Kasangati'!G55,'24.09 Gayaza-Kasangati'!G55,'25.09 Gayaza-Kasangati'!G55,'29.09 Gayaza-Kasangati'!G55,'27.09 Gayaza-Kasangati'!G55,'26.09 Gayaza-Kasangati-24h'!G55,'28.09 Gayaza-Kasangati-24h'!G55,'29.09 Gayaza-Kasangati'!G55)</f>
        <v>1</v>
      </c>
      <c r="H55" s="49">
        <f>AVERAGE('23.09.Gayaza-Kasangati'!H55,'24.09 Gayaza-Kasangati'!H55,'25.09 Gayaza-Kasangati'!H55,'29.09 Gayaza-Kasangati'!H55,'27.09 Gayaza-Kasangati'!H55,'26.09 Gayaza-Kasangati-24h'!H55,'28.09 Gayaza-Kasangati-24h'!H55,'29.09 Gayaza-Kasangati'!H55)</f>
        <v>0.25</v>
      </c>
      <c r="I55" s="49">
        <f>AVERAGE('23.09.Gayaza-Kasangati'!I55,'24.09 Gayaza-Kasangati'!I55,'25.09 Gayaza-Kasangati'!I55,'29.09 Gayaza-Kasangati'!I55,'27.09 Gayaza-Kasangati'!I55,'26.09 Gayaza-Kasangati-24h'!I55,'28.09 Gayaza-Kasangati-24h'!I55,'29.09 Gayaza-Kasangati'!I55)</f>
        <v>13.125</v>
      </c>
      <c r="J55" s="49">
        <f>AVERAGE('23.09.Gayaza-Kasangati'!J55,'24.09 Gayaza-Kasangati'!J55,'25.09 Gayaza-Kasangati'!J55,'29.09 Gayaza-Kasangati'!J55,'27.09 Gayaza-Kasangati'!J55,'26.09 Gayaza-Kasangati-24h'!J55,'28.09 Gayaza-Kasangati-24h'!J55,'29.09 Gayaza-Kasangati'!J55)</f>
        <v>2.75</v>
      </c>
      <c r="K55" s="49">
        <f>AVERAGE('23.09.Gayaza-Kasangati'!K55,'24.09 Gayaza-Kasangati'!K55,'25.09 Gayaza-Kasangati'!K55,'29.09 Gayaza-Kasangati'!K55,'27.09 Gayaza-Kasangati'!K55,'26.09 Gayaza-Kasangati-24h'!K55,'28.09 Gayaza-Kasangati-24h'!K55,'29.09 Gayaza-Kasangati'!K55)</f>
        <v>2.375</v>
      </c>
      <c r="L55" s="49">
        <f>AVERAGE('23.09.Gayaza-Kasangati'!L55,'24.09 Gayaza-Kasangati'!L55,'25.09 Gayaza-Kasangati'!L55,'29.09 Gayaza-Kasangati'!L55,'27.09 Gayaza-Kasangati'!L55,'26.09 Gayaza-Kasangati-24h'!L55,'28.09 Gayaza-Kasangati-24h'!L55,'29.09 Gayaza-Kasangati'!L55)</f>
        <v>0.625</v>
      </c>
      <c r="M55" s="49">
        <f>AVERAGE('23.09.Gayaza-Kasangati'!M55,'24.09 Gayaza-Kasangati'!M55,'25.09 Gayaza-Kasangati'!M55,'29.09 Gayaza-Kasangati'!M55,'27.09 Gayaza-Kasangati'!M55,'26.09 Gayaza-Kasangati-24h'!M55,'28.09 Gayaza-Kasangati-24h'!M55,'29.09 Gayaza-Kasangati'!M55)</f>
        <v>111</v>
      </c>
      <c r="N55" s="49">
        <f>AVERAGE('23.09.Gayaza-Kasangati'!N55,'24.09 Gayaza-Kasangati'!N55,'25.09 Gayaza-Kasangati'!N55,'29.09 Gayaza-Kasangati'!N55,'27.09 Gayaza-Kasangati'!N55,'26.09 Gayaza-Kasangati-24h'!N55,'28.09 Gayaza-Kasangati-24h'!N55,'29.09 Gayaza-Kasangati'!N55)</f>
        <v>0</v>
      </c>
      <c r="O55" s="15">
        <f t="shared" si="0"/>
        <v>144.875</v>
      </c>
      <c r="P55" s="15">
        <f t="shared" si="1"/>
        <v>255.875</v>
      </c>
      <c r="R55" s="8"/>
      <c r="T55"/>
    </row>
    <row r="56" spans="2:20" ht="23.1" customHeight="1" x14ac:dyDescent="0.25">
      <c r="B56" s="23" t="s">
        <v>83</v>
      </c>
      <c r="C56" s="49">
        <f>AVERAGE('23.09.Gayaza-Kasangati'!C56,'24.09 Gayaza-Kasangati'!C56,'25.09 Gayaza-Kasangati'!C56,'29.09 Gayaza-Kasangati'!C56,'27.09 Gayaza-Kasangati'!C56,'26.09 Gayaza-Kasangati-24h'!C56,'28.09 Gayaza-Kasangati-24h'!C56,'29.09 Gayaza-Kasangati'!C56)</f>
        <v>57</v>
      </c>
      <c r="D56" s="49">
        <f>AVERAGE('23.09.Gayaza-Kasangati'!D56,'24.09 Gayaza-Kasangati'!D56,'25.09 Gayaza-Kasangati'!D56,'29.09 Gayaza-Kasangati'!D56,'27.09 Gayaza-Kasangati'!D56,'26.09 Gayaza-Kasangati-24h'!D56,'28.09 Gayaza-Kasangati-24h'!D56,'29.09 Gayaza-Kasangati'!D56)</f>
        <v>15.125</v>
      </c>
      <c r="E56" s="49">
        <f>AVERAGE('23.09.Gayaza-Kasangati'!E56,'24.09 Gayaza-Kasangati'!E56,'25.09 Gayaza-Kasangati'!E56,'29.09 Gayaza-Kasangati'!E56,'27.09 Gayaza-Kasangati'!E56,'26.09 Gayaza-Kasangati-24h'!E56,'28.09 Gayaza-Kasangati-24h'!E56,'29.09 Gayaza-Kasangati'!E56)</f>
        <v>9.375</v>
      </c>
      <c r="F56" s="49">
        <f>AVERAGE('23.09.Gayaza-Kasangati'!F56,'24.09 Gayaza-Kasangati'!F56,'25.09 Gayaza-Kasangati'!F56,'29.09 Gayaza-Kasangati'!F56,'27.09 Gayaza-Kasangati'!F56,'26.09 Gayaza-Kasangati-24h'!F56,'28.09 Gayaza-Kasangati-24h'!F56,'29.09 Gayaza-Kasangati'!F56)</f>
        <v>44.375</v>
      </c>
      <c r="G56" s="49">
        <f>AVERAGE('23.09.Gayaza-Kasangati'!G56,'24.09 Gayaza-Kasangati'!G56,'25.09 Gayaza-Kasangati'!G56,'29.09 Gayaza-Kasangati'!G56,'27.09 Gayaza-Kasangati'!G56,'26.09 Gayaza-Kasangati-24h'!G56,'28.09 Gayaza-Kasangati-24h'!G56,'29.09 Gayaza-Kasangati'!G56)</f>
        <v>1.875</v>
      </c>
      <c r="H56" s="49">
        <f>AVERAGE('23.09.Gayaza-Kasangati'!H56,'24.09 Gayaza-Kasangati'!H56,'25.09 Gayaza-Kasangati'!H56,'29.09 Gayaza-Kasangati'!H56,'27.09 Gayaza-Kasangati'!H56,'26.09 Gayaza-Kasangati-24h'!H56,'28.09 Gayaza-Kasangati-24h'!H56,'29.09 Gayaza-Kasangati'!H56)</f>
        <v>0.25</v>
      </c>
      <c r="I56" s="49">
        <f>AVERAGE('23.09.Gayaza-Kasangati'!I56,'24.09 Gayaza-Kasangati'!I56,'25.09 Gayaza-Kasangati'!I56,'29.09 Gayaza-Kasangati'!I56,'27.09 Gayaza-Kasangati'!I56,'26.09 Gayaza-Kasangati-24h'!I56,'28.09 Gayaza-Kasangati-24h'!I56,'29.09 Gayaza-Kasangati'!I56)</f>
        <v>12.125</v>
      </c>
      <c r="J56" s="49">
        <f>AVERAGE('23.09.Gayaza-Kasangati'!J56,'24.09 Gayaza-Kasangati'!J56,'25.09 Gayaza-Kasangati'!J56,'29.09 Gayaza-Kasangati'!J56,'27.09 Gayaza-Kasangati'!J56,'26.09 Gayaza-Kasangati-24h'!J56,'28.09 Gayaza-Kasangati-24h'!J56,'29.09 Gayaza-Kasangati'!J56)</f>
        <v>2.5</v>
      </c>
      <c r="K56" s="49">
        <f>AVERAGE('23.09.Gayaza-Kasangati'!K56,'24.09 Gayaza-Kasangati'!K56,'25.09 Gayaza-Kasangati'!K56,'29.09 Gayaza-Kasangati'!K56,'27.09 Gayaza-Kasangati'!K56,'26.09 Gayaza-Kasangati-24h'!K56,'28.09 Gayaza-Kasangati-24h'!K56,'29.09 Gayaza-Kasangati'!K56)</f>
        <v>2.375</v>
      </c>
      <c r="L56" s="49">
        <f>AVERAGE('23.09.Gayaza-Kasangati'!L56,'24.09 Gayaza-Kasangati'!L56,'25.09 Gayaza-Kasangati'!L56,'29.09 Gayaza-Kasangati'!L56,'27.09 Gayaza-Kasangati'!L56,'26.09 Gayaza-Kasangati-24h'!L56,'28.09 Gayaza-Kasangati-24h'!L56,'29.09 Gayaza-Kasangati'!L56)</f>
        <v>0.125</v>
      </c>
      <c r="M56" s="49">
        <f>AVERAGE('23.09.Gayaza-Kasangati'!M56,'24.09 Gayaza-Kasangati'!M56,'25.09 Gayaza-Kasangati'!M56,'29.09 Gayaza-Kasangati'!M56,'27.09 Gayaza-Kasangati'!M56,'26.09 Gayaza-Kasangati-24h'!M56,'28.09 Gayaza-Kasangati-24h'!M56,'29.09 Gayaza-Kasangati'!M56)</f>
        <v>102.125</v>
      </c>
      <c r="N56" s="49">
        <f>AVERAGE('23.09.Gayaza-Kasangati'!N56,'24.09 Gayaza-Kasangati'!N56,'25.09 Gayaza-Kasangati'!N56,'29.09 Gayaza-Kasangati'!N56,'27.09 Gayaza-Kasangati'!N56,'26.09 Gayaza-Kasangati-24h'!N56,'28.09 Gayaza-Kasangati-24h'!N56,'29.09 Gayaza-Kasangati'!N56)</f>
        <v>0</v>
      </c>
      <c r="O56" s="15">
        <f t="shared" si="0"/>
        <v>145.125</v>
      </c>
      <c r="P56" s="15">
        <f t="shared" si="1"/>
        <v>247.25</v>
      </c>
      <c r="R56" s="8"/>
      <c r="T56"/>
    </row>
    <row r="57" spans="2:20" ht="23.1" customHeight="1" x14ac:dyDescent="0.25">
      <c r="B57" s="23" t="s">
        <v>84</v>
      </c>
      <c r="C57" s="49">
        <f>AVERAGE('23.09.Gayaza-Kasangati'!C57,'24.09 Gayaza-Kasangati'!C57,'25.09 Gayaza-Kasangati'!C57,'29.09 Gayaza-Kasangati'!C57,'27.09 Gayaza-Kasangati'!C57,'26.09 Gayaza-Kasangati-24h'!C57,'28.09 Gayaza-Kasangati-24h'!C57,'29.09 Gayaza-Kasangati'!C57)</f>
        <v>50.375</v>
      </c>
      <c r="D57" s="49">
        <f>AVERAGE('23.09.Gayaza-Kasangati'!D57,'24.09 Gayaza-Kasangati'!D57,'25.09 Gayaza-Kasangati'!D57,'29.09 Gayaza-Kasangati'!D57,'27.09 Gayaza-Kasangati'!D57,'26.09 Gayaza-Kasangati-24h'!D57,'28.09 Gayaza-Kasangati-24h'!D57,'29.09 Gayaza-Kasangati'!D57)</f>
        <v>14.5</v>
      </c>
      <c r="E57" s="49">
        <f>AVERAGE('23.09.Gayaza-Kasangati'!E57,'24.09 Gayaza-Kasangati'!E57,'25.09 Gayaza-Kasangati'!E57,'29.09 Gayaza-Kasangati'!E57,'27.09 Gayaza-Kasangati'!E57,'26.09 Gayaza-Kasangati-24h'!E57,'28.09 Gayaza-Kasangati-24h'!E57,'29.09 Gayaza-Kasangati'!E57)</f>
        <v>10.625</v>
      </c>
      <c r="F57" s="49">
        <f>AVERAGE('23.09.Gayaza-Kasangati'!F57,'24.09 Gayaza-Kasangati'!F57,'25.09 Gayaza-Kasangati'!F57,'29.09 Gayaza-Kasangati'!F57,'27.09 Gayaza-Kasangati'!F57,'26.09 Gayaza-Kasangati-24h'!F57,'28.09 Gayaza-Kasangati-24h'!F57,'29.09 Gayaza-Kasangati'!F57)</f>
        <v>43.5</v>
      </c>
      <c r="G57" s="49">
        <f>AVERAGE('23.09.Gayaza-Kasangati'!G57,'24.09 Gayaza-Kasangati'!G57,'25.09 Gayaza-Kasangati'!G57,'29.09 Gayaza-Kasangati'!G57,'27.09 Gayaza-Kasangati'!G57,'26.09 Gayaza-Kasangati-24h'!G57,'28.09 Gayaza-Kasangati-24h'!G57,'29.09 Gayaza-Kasangati'!G57)</f>
        <v>1.625</v>
      </c>
      <c r="H57" s="49">
        <f>AVERAGE('23.09.Gayaza-Kasangati'!H57,'24.09 Gayaza-Kasangati'!H57,'25.09 Gayaza-Kasangati'!H57,'29.09 Gayaza-Kasangati'!H57,'27.09 Gayaza-Kasangati'!H57,'26.09 Gayaza-Kasangati-24h'!H57,'28.09 Gayaza-Kasangati-24h'!H57,'29.09 Gayaza-Kasangati'!H57)</f>
        <v>0.125</v>
      </c>
      <c r="I57" s="49">
        <f>AVERAGE('23.09.Gayaza-Kasangati'!I57,'24.09 Gayaza-Kasangati'!I57,'25.09 Gayaza-Kasangati'!I57,'29.09 Gayaza-Kasangati'!I57,'27.09 Gayaza-Kasangati'!I57,'26.09 Gayaza-Kasangati-24h'!I57,'28.09 Gayaza-Kasangati-24h'!I57,'29.09 Gayaza-Kasangati'!I57)</f>
        <v>9.375</v>
      </c>
      <c r="J57" s="49">
        <f>AVERAGE('23.09.Gayaza-Kasangati'!J57,'24.09 Gayaza-Kasangati'!J57,'25.09 Gayaza-Kasangati'!J57,'29.09 Gayaza-Kasangati'!J57,'27.09 Gayaza-Kasangati'!J57,'26.09 Gayaza-Kasangati-24h'!J57,'28.09 Gayaza-Kasangati-24h'!J57,'29.09 Gayaza-Kasangati'!J57)</f>
        <v>2</v>
      </c>
      <c r="K57" s="49">
        <f>AVERAGE('23.09.Gayaza-Kasangati'!K57,'24.09 Gayaza-Kasangati'!K57,'25.09 Gayaza-Kasangati'!K57,'29.09 Gayaza-Kasangati'!K57,'27.09 Gayaza-Kasangati'!K57,'26.09 Gayaza-Kasangati-24h'!K57,'28.09 Gayaza-Kasangati-24h'!K57,'29.09 Gayaza-Kasangati'!K57)</f>
        <v>1.25</v>
      </c>
      <c r="L57" s="49">
        <f>AVERAGE('23.09.Gayaza-Kasangati'!L57,'24.09 Gayaza-Kasangati'!L57,'25.09 Gayaza-Kasangati'!L57,'29.09 Gayaza-Kasangati'!L57,'27.09 Gayaza-Kasangati'!L57,'26.09 Gayaza-Kasangati-24h'!L57,'28.09 Gayaza-Kasangati-24h'!L57,'29.09 Gayaza-Kasangati'!L57)</f>
        <v>0.125</v>
      </c>
      <c r="M57" s="49">
        <f>AVERAGE('23.09.Gayaza-Kasangati'!M57,'24.09 Gayaza-Kasangati'!M57,'25.09 Gayaza-Kasangati'!M57,'29.09 Gayaza-Kasangati'!M57,'27.09 Gayaza-Kasangati'!M57,'26.09 Gayaza-Kasangati-24h'!M57,'28.09 Gayaza-Kasangati-24h'!M57,'29.09 Gayaza-Kasangati'!M57)</f>
        <v>89.625</v>
      </c>
      <c r="N57" s="49">
        <f>AVERAGE('23.09.Gayaza-Kasangati'!N57,'24.09 Gayaza-Kasangati'!N57,'25.09 Gayaza-Kasangati'!N57,'29.09 Gayaza-Kasangati'!N57,'27.09 Gayaza-Kasangati'!N57,'26.09 Gayaza-Kasangati-24h'!N57,'28.09 Gayaza-Kasangati-24h'!N57,'29.09 Gayaza-Kasangati'!N57)</f>
        <v>0.125</v>
      </c>
      <c r="O57" s="15">
        <f t="shared" si="0"/>
        <v>133.625</v>
      </c>
      <c r="P57" s="15">
        <f t="shared" si="1"/>
        <v>223.25</v>
      </c>
      <c r="R57" s="8"/>
      <c r="T57"/>
    </row>
    <row r="58" spans="2:20" ht="23.1" customHeight="1" x14ac:dyDescent="0.25">
      <c r="B58" s="23" t="s">
        <v>99</v>
      </c>
      <c r="C58" s="49">
        <f>AVERAGE('26.09 Gayaza-Kasangati-24h'!C58,'28.09 Gayaza-Kasangati-24h'!C58)</f>
        <v>47.5</v>
      </c>
      <c r="D58" s="49">
        <f>AVERAGE('26.09 Gayaza-Kasangati-24h'!D58,'28.09 Gayaza-Kasangati-24h'!D58)</f>
        <v>4</v>
      </c>
      <c r="E58" s="49">
        <f>AVERAGE('26.09 Gayaza-Kasangati-24h'!E58,'28.09 Gayaza-Kasangati-24h'!E58)</f>
        <v>7.5</v>
      </c>
      <c r="F58" s="49">
        <f>AVERAGE('26.09 Gayaza-Kasangati-24h'!F58,'28.09 Gayaza-Kasangati-24h'!F58)</f>
        <v>27.5</v>
      </c>
      <c r="G58" s="49">
        <f>AVERAGE('26.09 Gayaza-Kasangati-24h'!G58,'28.09 Gayaza-Kasangati-24h'!G58)</f>
        <v>0.5</v>
      </c>
      <c r="H58" s="49">
        <f>AVERAGE('26.09 Gayaza-Kasangati-24h'!H58,'28.09 Gayaza-Kasangati-24h'!H58)</f>
        <v>0</v>
      </c>
      <c r="I58" s="49">
        <f>AVERAGE('26.09 Gayaza-Kasangati-24h'!I58,'28.09 Gayaza-Kasangati-24h'!I58)</f>
        <v>9</v>
      </c>
      <c r="J58" s="49">
        <f>AVERAGE('26.09 Gayaza-Kasangati-24h'!J58,'28.09 Gayaza-Kasangati-24h'!J58)</f>
        <v>2</v>
      </c>
      <c r="K58" s="49">
        <f>AVERAGE('26.09 Gayaza-Kasangati-24h'!K58,'28.09 Gayaza-Kasangati-24h'!K58)</f>
        <v>0.5</v>
      </c>
      <c r="L58" s="49">
        <f>AVERAGE('26.09 Gayaza-Kasangati-24h'!L58,'28.09 Gayaza-Kasangati-24h'!L58)</f>
        <v>0</v>
      </c>
      <c r="M58" s="49">
        <f>AVERAGE('26.09 Gayaza-Kasangati-24h'!M58,'28.09 Gayaza-Kasangati-24h'!M58)</f>
        <v>54.5</v>
      </c>
      <c r="N58" s="49">
        <f>AVERAGE('26.09 Gayaza-Kasangati-24h'!N58,'28.09 Gayaza-Kasangati-24h'!N58)</f>
        <v>0</v>
      </c>
      <c r="O58" s="15">
        <f t="shared" si="0"/>
        <v>98.5</v>
      </c>
      <c r="P58" s="15">
        <f t="shared" si="1"/>
        <v>153</v>
      </c>
      <c r="R58" s="8"/>
      <c r="T58"/>
    </row>
    <row r="59" spans="2:20" ht="23.1" customHeight="1" x14ac:dyDescent="0.25">
      <c r="B59" s="23" t="s">
        <v>100</v>
      </c>
      <c r="C59" s="49">
        <f>AVERAGE('26.09 Gayaza-Kasangati-24h'!C59,'28.09 Gayaza-Kasangati-24h'!C59)</f>
        <v>63.5</v>
      </c>
      <c r="D59" s="49">
        <f>AVERAGE('26.09 Gayaza-Kasangati-24h'!D59,'28.09 Gayaza-Kasangati-24h'!D59)</f>
        <v>13</v>
      </c>
      <c r="E59" s="49">
        <f>AVERAGE('26.09 Gayaza-Kasangati-24h'!E59,'28.09 Gayaza-Kasangati-24h'!E59)</f>
        <v>4.5</v>
      </c>
      <c r="F59" s="49">
        <f>AVERAGE('26.09 Gayaza-Kasangati-24h'!F59,'28.09 Gayaza-Kasangati-24h'!F59)</f>
        <v>48.5</v>
      </c>
      <c r="G59" s="49">
        <f>AVERAGE('26.09 Gayaza-Kasangati-24h'!G59,'28.09 Gayaza-Kasangati-24h'!G59)</f>
        <v>2</v>
      </c>
      <c r="H59" s="49">
        <f>AVERAGE('26.09 Gayaza-Kasangati-24h'!H59,'28.09 Gayaza-Kasangati-24h'!H59)</f>
        <v>0</v>
      </c>
      <c r="I59" s="49">
        <f>AVERAGE('26.09 Gayaza-Kasangati-24h'!I59,'28.09 Gayaza-Kasangati-24h'!I59)</f>
        <v>7</v>
      </c>
      <c r="J59" s="49">
        <f>AVERAGE('26.09 Gayaza-Kasangati-24h'!J59,'28.09 Gayaza-Kasangati-24h'!J59)</f>
        <v>1</v>
      </c>
      <c r="K59" s="49">
        <f>AVERAGE('26.09 Gayaza-Kasangati-24h'!K59,'28.09 Gayaza-Kasangati-24h'!K59)</f>
        <v>1.5</v>
      </c>
      <c r="L59" s="49">
        <f>AVERAGE('26.09 Gayaza-Kasangati-24h'!L59,'28.09 Gayaza-Kasangati-24h'!L59)</f>
        <v>0.5</v>
      </c>
      <c r="M59" s="49">
        <f>AVERAGE('26.09 Gayaza-Kasangati-24h'!M59,'28.09 Gayaza-Kasangati-24h'!M59)</f>
        <v>77</v>
      </c>
      <c r="N59" s="49">
        <f>AVERAGE('26.09 Gayaza-Kasangati-24h'!N59,'28.09 Gayaza-Kasangati-24h'!N59)</f>
        <v>0</v>
      </c>
      <c r="O59" s="15">
        <f t="shared" ref="O59:O105" si="35">SUM(C59:L59,N59)</f>
        <v>141.5</v>
      </c>
      <c r="P59" s="15">
        <f t="shared" ref="P59:P105" si="36">SUM(C59:N59)</f>
        <v>218.5</v>
      </c>
      <c r="R59" s="8"/>
      <c r="T59"/>
    </row>
    <row r="60" spans="2:20" ht="23.1" customHeight="1" x14ac:dyDescent="0.25">
      <c r="B60" s="23" t="s">
        <v>101</v>
      </c>
      <c r="C60" s="49">
        <f>AVERAGE('26.09 Gayaza-Kasangati-24h'!C60,'28.09 Gayaza-Kasangati-24h'!C60)</f>
        <v>62</v>
      </c>
      <c r="D60" s="49">
        <f>AVERAGE('26.09 Gayaza-Kasangati-24h'!D60,'28.09 Gayaza-Kasangati-24h'!D60)</f>
        <v>12.5</v>
      </c>
      <c r="E60" s="49">
        <f>AVERAGE('26.09 Gayaza-Kasangati-24h'!E60,'28.09 Gayaza-Kasangati-24h'!E60)</f>
        <v>7.5</v>
      </c>
      <c r="F60" s="49">
        <f>AVERAGE('26.09 Gayaza-Kasangati-24h'!F60,'28.09 Gayaza-Kasangati-24h'!F60)</f>
        <v>46.5</v>
      </c>
      <c r="G60" s="49">
        <f>AVERAGE('26.09 Gayaza-Kasangati-24h'!G60,'28.09 Gayaza-Kasangati-24h'!G60)</f>
        <v>2.5</v>
      </c>
      <c r="H60" s="49">
        <f>AVERAGE('26.09 Gayaza-Kasangati-24h'!H60,'28.09 Gayaza-Kasangati-24h'!H60)</f>
        <v>0</v>
      </c>
      <c r="I60" s="49">
        <f>AVERAGE('26.09 Gayaza-Kasangati-24h'!I60,'28.09 Gayaza-Kasangati-24h'!I60)</f>
        <v>10.5</v>
      </c>
      <c r="J60" s="49">
        <f>AVERAGE('26.09 Gayaza-Kasangati-24h'!J60,'28.09 Gayaza-Kasangati-24h'!J60)</f>
        <v>2</v>
      </c>
      <c r="K60" s="49">
        <f>AVERAGE('26.09 Gayaza-Kasangati-24h'!K60,'28.09 Gayaza-Kasangati-24h'!K60)</f>
        <v>0.5</v>
      </c>
      <c r="L60" s="49">
        <f>AVERAGE('26.09 Gayaza-Kasangati-24h'!L60,'28.09 Gayaza-Kasangati-24h'!L60)</f>
        <v>1.5</v>
      </c>
      <c r="M60" s="49">
        <f>AVERAGE('26.09 Gayaza-Kasangati-24h'!M60,'28.09 Gayaza-Kasangati-24h'!M60)</f>
        <v>136</v>
      </c>
      <c r="N60" s="49">
        <f>AVERAGE('26.09 Gayaza-Kasangati-24h'!N60,'28.09 Gayaza-Kasangati-24h'!N60)</f>
        <v>0</v>
      </c>
      <c r="O60" s="15">
        <f t="shared" si="35"/>
        <v>145.5</v>
      </c>
      <c r="P60" s="15">
        <f t="shared" si="36"/>
        <v>281.5</v>
      </c>
      <c r="R60" s="8"/>
      <c r="T60"/>
    </row>
    <row r="61" spans="2:20" ht="23.1" customHeight="1" x14ac:dyDescent="0.25">
      <c r="B61" s="23" t="s">
        <v>102</v>
      </c>
      <c r="C61" s="49">
        <f>AVERAGE('26.09 Gayaza-Kasangati-24h'!C61,'28.09 Gayaza-Kasangati-24h'!C61)</f>
        <v>64</v>
      </c>
      <c r="D61" s="49">
        <f>AVERAGE('26.09 Gayaza-Kasangati-24h'!D61,'28.09 Gayaza-Kasangati-24h'!D61)</f>
        <v>9.5</v>
      </c>
      <c r="E61" s="49">
        <f>AVERAGE('26.09 Gayaza-Kasangati-24h'!E61,'28.09 Gayaza-Kasangati-24h'!E61)</f>
        <v>11</v>
      </c>
      <c r="F61" s="49">
        <f>AVERAGE('26.09 Gayaza-Kasangati-24h'!F61,'28.09 Gayaza-Kasangati-24h'!F61)</f>
        <v>47.5</v>
      </c>
      <c r="G61" s="49">
        <f>AVERAGE('26.09 Gayaza-Kasangati-24h'!G61,'28.09 Gayaza-Kasangati-24h'!G61)</f>
        <v>3.5</v>
      </c>
      <c r="H61" s="49">
        <f>AVERAGE('26.09 Gayaza-Kasangati-24h'!H61,'28.09 Gayaza-Kasangati-24h'!H61)</f>
        <v>0</v>
      </c>
      <c r="I61" s="49">
        <f>AVERAGE('26.09 Gayaza-Kasangati-24h'!I61,'28.09 Gayaza-Kasangati-24h'!I61)</f>
        <v>9.5</v>
      </c>
      <c r="J61" s="49">
        <f>AVERAGE('26.09 Gayaza-Kasangati-24h'!J61,'28.09 Gayaza-Kasangati-24h'!J61)</f>
        <v>2</v>
      </c>
      <c r="K61" s="49">
        <f>AVERAGE('26.09 Gayaza-Kasangati-24h'!K61,'28.09 Gayaza-Kasangati-24h'!K61)</f>
        <v>0</v>
      </c>
      <c r="L61" s="49">
        <f>AVERAGE('26.09 Gayaza-Kasangati-24h'!L61,'28.09 Gayaza-Kasangati-24h'!L61)</f>
        <v>0</v>
      </c>
      <c r="M61" s="49">
        <f>AVERAGE('26.09 Gayaza-Kasangati-24h'!M61,'28.09 Gayaza-Kasangati-24h'!M61)</f>
        <v>81</v>
      </c>
      <c r="N61" s="49">
        <f>AVERAGE('26.09 Gayaza-Kasangati-24h'!N61,'28.09 Gayaza-Kasangati-24h'!N61)</f>
        <v>0</v>
      </c>
      <c r="O61" s="15">
        <f t="shared" si="35"/>
        <v>147</v>
      </c>
      <c r="P61" s="15">
        <f t="shared" si="36"/>
        <v>228</v>
      </c>
      <c r="R61" s="8"/>
      <c r="T61"/>
    </row>
    <row r="62" spans="2:20" ht="23.1" customHeight="1" x14ac:dyDescent="0.25">
      <c r="B62" s="23" t="s">
        <v>107</v>
      </c>
      <c r="C62" s="49">
        <f>AVERAGE('26.09 Gayaza-Kasangati-24h'!C62,'28.09 Gayaza-Kasangati-24h'!C62)</f>
        <v>57</v>
      </c>
      <c r="D62" s="49">
        <f>AVERAGE('26.09 Gayaza-Kasangati-24h'!D62,'28.09 Gayaza-Kasangati-24h'!D62)</f>
        <v>3.5</v>
      </c>
      <c r="E62" s="49">
        <f>AVERAGE('26.09 Gayaza-Kasangati-24h'!E62,'28.09 Gayaza-Kasangati-24h'!E62)</f>
        <v>7.5</v>
      </c>
      <c r="F62" s="49">
        <f>AVERAGE('26.09 Gayaza-Kasangati-24h'!F62,'28.09 Gayaza-Kasangati-24h'!F62)</f>
        <v>46.5</v>
      </c>
      <c r="G62" s="49">
        <f>AVERAGE('26.09 Gayaza-Kasangati-24h'!G62,'28.09 Gayaza-Kasangati-24h'!G62)</f>
        <v>1.5</v>
      </c>
      <c r="H62" s="49">
        <f>AVERAGE('26.09 Gayaza-Kasangati-24h'!H62,'28.09 Gayaza-Kasangati-24h'!H62)</f>
        <v>0</v>
      </c>
      <c r="I62" s="49">
        <f>AVERAGE('26.09 Gayaza-Kasangati-24h'!I62,'28.09 Gayaza-Kasangati-24h'!I62)</f>
        <v>13</v>
      </c>
      <c r="J62" s="49">
        <f>AVERAGE('26.09 Gayaza-Kasangati-24h'!J62,'28.09 Gayaza-Kasangati-24h'!J62)</f>
        <v>2.5</v>
      </c>
      <c r="K62" s="49">
        <f>AVERAGE('26.09 Gayaza-Kasangati-24h'!K62,'28.09 Gayaza-Kasangati-24h'!K62)</f>
        <v>0.5</v>
      </c>
      <c r="L62" s="49">
        <f>AVERAGE('26.09 Gayaza-Kasangati-24h'!L62,'28.09 Gayaza-Kasangati-24h'!L62)</f>
        <v>0.5</v>
      </c>
      <c r="M62" s="49">
        <f>AVERAGE('26.09 Gayaza-Kasangati-24h'!M62,'28.09 Gayaza-Kasangati-24h'!M62)</f>
        <v>66.5</v>
      </c>
      <c r="N62" s="49">
        <f>AVERAGE('26.09 Gayaza-Kasangati-24h'!N62,'28.09 Gayaza-Kasangati-24h'!N62)</f>
        <v>0</v>
      </c>
      <c r="O62" s="15">
        <f t="shared" si="35"/>
        <v>132.5</v>
      </c>
      <c r="P62" s="15">
        <f t="shared" si="36"/>
        <v>199</v>
      </c>
      <c r="R62" s="8"/>
      <c r="T62"/>
    </row>
    <row r="63" spans="2:20" ht="23.1" customHeight="1" x14ac:dyDescent="0.25">
      <c r="B63" s="23" t="s">
        <v>108</v>
      </c>
      <c r="C63" s="49">
        <f>AVERAGE('26.09 Gayaza-Kasangati-24h'!C63,'28.09 Gayaza-Kasangati-24h'!C63)</f>
        <v>64.5</v>
      </c>
      <c r="D63" s="49">
        <f>AVERAGE('26.09 Gayaza-Kasangati-24h'!D63,'28.09 Gayaza-Kasangati-24h'!D63)</f>
        <v>12</v>
      </c>
      <c r="E63" s="49">
        <f>AVERAGE('26.09 Gayaza-Kasangati-24h'!E63,'28.09 Gayaza-Kasangati-24h'!E63)</f>
        <v>9</v>
      </c>
      <c r="F63" s="49">
        <f>AVERAGE('26.09 Gayaza-Kasangati-24h'!F63,'28.09 Gayaza-Kasangati-24h'!F63)</f>
        <v>48</v>
      </c>
      <c r="G63" s="49">
        <f>AVERAGE('26.09 Gayaza-Kasangati-24h'!G63,'28.09 Gayaza-Kasangati-24h'!G63)</f>
        <v>2.5</v>
      </c>
      <c r="H63" s="49">
        <f>AVERAGE('26.09 Gayaza-Kasangati-24h'!H63,'28.09 Gayaza-Kasangati-24h'!H63)</f>
        <v>0</v>
      </c>
      <c r="I63" s="49">
        <f>AVERAGE('26.09 Gayaza-Kasangati-24h'!I63,'28.09 Gayaza-Kasangati-24h'!I63)</f>
        <v>8.5</v>
      </c>
      <c r="J63" s="49">
        <f>AVERAGE('26.09 Gayaza-Kasangati-24h'!J63,'28.09 Gayaza-Kasangati-24h'!J63)</f>
        <v>0.5</v>
      </c>
      <c r="K63" s="49">
        <f>AVERAGE('26.09 Gayaza-Kasangati-24h'!K63,'28.09 Gayaza-Kasangati-24h'!K63)</f>
        <v>1.5</v>
      </c>
      <c r="L63" s="49">
        <f>AVERAGE('26.09 Gayaza-Kasangati-24h'!L63,'28.09 Gayaza-Kasangati-24h'!L63)</f>
        <v>0.5</v>
      </c>
      <c r="M63" s="49">
        <f>AVERAGE('26.09 Gayaza-Kasangati-24h'!M63,'28.09 Gayaza-Kasangati-24h'!M63)</f>
        <v>57.5</v>
      </c>
      <c r="N63" s="49">
        <f>AVERAGE('26.09 Gayaza-Kasangati-24h'!N63,'28.09 Gayaza-Kasangati-24h'!N63)</f>
        <v>0</v>
      </c>
      <c r="O63" s="15">
        <f t="shared" si="35"/>
        <v>147</v>
      </c>
      <c r="P63" s="15">
        <f t="shared" si="36"/>
        <v>204.5</v>
      </c>
      <c r="R63" s="8"/>
      <c r="T63"/>
    </row>
    <row r="64" spans="2:20" ht="23.1" customHeight="1" x14ac:dyDescent="0.25">
      <c r="B64" s="23" t="s">
        <v>109</v>
      </c>
      <c r="C64" s="49">
        <f>AVERAGE('26.09 Gayaza-Kasangati-24h'!C64,'28.09 Gayaza-Kasangati-24h'!C64)</f>
        <v>67.5</v>
      </c>
      <c r="D64" s="49">
        <f>AVERAGE('26.09 Gayaza-Kasangati-24h'!D64,'28.09 Gayaza-Kasangati-24h'!D64)</f>
        <v>13.5</v>
      </c>
      <c r="E64" s="49">
        <f>AVERAGE('26.09 Gayaza-Kasangati-24h'!E64,'28.09 Gayaza-Kasangati-24h'!E64)</f>
        <v>8</v>
      </c>
      <c r="F64" s="49">
        <f>AVERAGE('26.09 Gayaza-Kasangati-24h'!F64,'28.09 Gayaza-Kasangati-24h'!F64)</f>
        <v>46</v>
      </c>
      <c r="G64" s="49">
        <f>AVERAGE('26.09 Gayaza-Kasangati-24h'!G64,'28.09 Gayaza-Kasangati-24h'!G64)</f>
        <v>4</v>
      </c>
      <c r="H64" s="49">
        <f>AVERAGE('26.09 Gayaza-Kasangati-24h'!H64,'28.09 Gayaza-Kasangati-24h'!H64)</f>
        <v>0</v>
      </c>
      <c r="I64" s="49">
        <f>AVERAGE('26.09 Gayaza-Kasangati-24h'!I64,'28.09 Gayaza-Kasangati-24h'!I64)</f>
        <v>7</v>
      </c>
      <c r="J64" s="49">
        <f>AVERAGE('26.09 Gayaza-Kasangati-24h'!J64,'28.09 Gayaza-Kasangati-24h'!J64)</f>
        <v>1.5</v>
      </c>
      <c r="K64" s="49">
        <f>AVERAGE('26.09 Gayaza-Kasangati-24h'!K64,'28.09 Gayaza-Kasangati-24h'!K64)</f>
        <v>1</v>
      </c>
      <c r="L64" s="49">
        <f>AVERAGE('26.09 Gayaza-Kasangati-24h'!L64,'28.09 Gayaza-Kasangati-24h'!L64)</f>
        <v>0</v>
      </c>
      <c r="M64" s="49">
        <f>AVERAGE('26.09 Gayaza-Kasangati-24h'!M64,'28.09 Gayaza-Kasangati-24h'!M64)</f>
        <v>66</v>
      </c>
      <c r="N64" s="49">
        <f>AVERAGE('26.09 Gayaza-Kasangati-24h'!N64,'28.09 Gayaza-Kasangati-24h'!N64)</f>
        <v>0</v>
      </c>
      <c r="O64" s="15">
        <f t="shared" si="35"/>
        <v>148.5</v>
      </c>
      <c r="P64" s="15">
        <f t="shared" si="36"/>
        <v>214.5</v>
      </c>
      <c r="R64" s="8"/>
      <c r="T64"/>
    </row>
    <row r="65" spans="2:20" ht="23.1" customHeight="1" x14ac:dyDescent="0.25">
      <c r="B65" s="23" t="s">
        <v>158</v>
      </c>
      <c r="C65" s="49">
        <f>AVERAGE('26.09 Gayaza-Kasangati-24h'!C65,'28.09 Gayaza-Kasangati-24h'!C65)</f>
        <v>59.5</v>
      </c>
      <c r="D65" s="49">
        <f>AVERAGE('26.09 Gayaza-Kasangati-24h'!D65,'28.09 Gayaza-Kasangati-24h'!D65)</f>
        <v>12.5</v>
      </c>
      <c r="E65" s="49">
        <f>AVERAGE('26.09 Gayaza-Kasangati-24h'!E65,'28.09 Gayaza-Kasangati-24h'!E65)</f>
        <v>7</v>
      </c>
      <c r="F65" s="49">
        <f>AVERAGE('26.09 Gayaza-Kasangati-24h'!F65,'28.09 Gayaza-Kasangati-24h'!F65)</f>
        <v>34</v>
      </c>
      <c r="G65" s="49">
        <f>AVERAGE('26.09 Gayaza-Kasangati-24h'!G65,'28.09 Gayaza-Kasangati-24h'!G65)</f>
        <v>2.5</v>
      </c>
      <c r="H65" s="49">
        <f>AVERAGE('26.09 Gayaza-Kasangati-24h'!H65,'28.09 Gayaza-Kasangati-24h'!H65)</f>
        <v>0</v>
      </c>
      <c r="I65" s="49">
        <f>AVERAGE('26.09 Gayaza-Kasangati-24h'!I65,'28.09 Gayaza-Kasangati-24h'!I65)</f>
        <v>11</v>
      </c>
      <c r="J65" s="49">
        <f>AVERAGE('26.09 Gayaza-Kasangati-24h'!J65,'28.09 Gayaza-Kasangati-24h'!J65)</f>
        <v>1.5</v>
      </c>
      <c r="K65" s="49">
        <f>AVERAGE('26.09 Gayaza-Kasangati-24h'!K65,'28.09 Gayaza-Kasangati-24h'!K65)</f>
        <v>1</v>
      </c>
      <c r="L65" s="49">
        <f>AVERAGE('26.09 Gayaza-Kasangati-24h'!L65,'28.09 Gayaza-Kasangati-24h'!L65)</f>
        <v>0</v>
      </c>
      <c r="M65" s="49">
        <f>AVERAGE('26.09 Gayaza-Kasangati-24h'!M65,'28.09 Gayaza-Kasangati-24h'!M65)</f>
        <v>50.5</v>
      </c>
      <c r="N65" s="49">
        <f>AVERAGE('26.09 Gayaza-Kasangati-24h'!N65,'28.09 Gayaza-Kasangati-24h'!N65)</f>
        <v>0</v>
      </c>
      <c r="O65" s="15">
        <f t="shared" si="35"/>
        <v>129</v>
      </c>
      <c r="P65" s="15">
        <f t="shared" si="36"/>
        <v>179.5</v>
      </c>
      <c r="R65" s="8"/>
      <c r="T65"/>
    </row>
    <row r="66" spans="2:20" ht="23.1" customHeight="1" x14ac:dyDescent="0.25">
      <c r="B66" s="23" t="s">
        <v>103</v>
      </c>
      <c r="C66" s="49">
        <f>AVERAGE('26.09 Gayaza-Kasangati-24h'!C66,'28.09 Gayaza-Kasangati-24h'!C66)</f>
        <v>48</v>
      </c>
      <c r="D66" s="49">
        <f>AVERAGE('26.09 Gayaza-Kasangati-24h'!D66,'28.09 Gayaza-Kasangati-24h'!D66)</f>
        <v>7.5</v>
      </c>
      <c r="E66" s="49">
        <f>AVERAGE('26.09 Gayaza-Kasangati-24h'!E66,'28.09 Gayaza-Kasangati-24h'!E66)</f>
        <v>8.5</v>
      </c>
      <c r="F66" s="49">
        <f>AVERAGE('26.09 Gayaza-Kasangati-24h'!F66,'28.09 Gayaza-Kasangati-24h'!F66)</f>
        <v>39</v>
      </c>
      <c r="G66" s="49">
        <f>AVERAGE('26.09 Gayaza-Kasangati-24h'!G66,'28.09 Gayaza-Kasangati-24h'!G66)</f>
        <v>3</v>
      </c>
      <c r="H66" s="49">
        <f>AVERAGE('26.09 Gayaza-Kasangati-24h'!H66,'28.09 Gayaza-Kasangati-24h'!H66)</f>
        <v>0</v>
      </c>
      <c r="I66" s="49">
        <f>AVERAGE('26.09 Gayaza-Kasangati-24h'!I66,'28.09 Gayaza-Kasangati-24h'!I66)</f>
        <v>6</v>
      </c>
      <c r="J66" s="49">
        <f>AVERAGE('26.09 Gayaza-Kasangati-24h'!J66,'28.09 Gayaza-Kasangati-24h'!J66)</f>
        <v>1.5</v>
      </c>
      <c r="K66" s="49">
        <f>AVERAGE('26.09 Gayaza-Kasangati-24h'!K66,'28.09 Gayaza-Kasangati-24h'!K66)</f>
        <v>0</v>
      </c>
      <c r="L66" s="49">
        <f>AVERAGE('26.09 Gayaza-Kasangati-24h'!L66,'28.09 Gayaza-Kasangati-24h'!L66)</f>
        <v>0.5</v>
      </c>
      <c r="M66" s="49">
        <f>AVERAGE('26.09 Gayaza-Kasangati-24h'!M66,'28.09 Gayaza-Kasangati-24h'!M66)</f>
        <v>40</v>
      </c>
      <c r="N66" s="49">
        <f>AVERAGE('26.09 Gayaza-Kasangati-24h'!N66,'28.09 Gayaza-Kasangati-24h'!N66)</f>
        <v>0</v>
      </c>
      <c r="O66" s="15">
        <f t="shared" si="35"/>
        <v>114</v>
      </c>
      <c r="P66" s="15">
        <f t="shared" si="36"/>
        <v>154</v>
      </c>
      <c r="R66" s="8"/>
      <c r="T66"/>
    </row>
    <row r="67" spans="2:20" ht="23.1" customHeight="1" x14ac:dyDescent="0.25">
      <c r="B67" s="23" t="s">
        <v>104</v>
      </c>
      <c r="C67" s="49">
        <f>AVERAGE('26.09 Gayaza-Kasangati-24h'!C67,'28.09 Gayaza-Kasangati-24h'!C67)</f>
        <v>43.5</v>
      </c>
      <c r="D67" s="49">
        <f>AVERAGE('26.09 Gayaza-Kasangati-24h'!D67,'28.09 Gayaza-Kasangati-24h'!D67)</f>
        <v>11</v>
      </c>
      <c r="E67" s="49">
        <f>AVERAGE('26.09 Gayaza-Kasangati-24h'!E67,'28.09 Gayaza-Kasangati-24h'!E67)</f>
        <v>4.5</v>
      </c>
      <c r="F67" s="49">
        <f>AVERAGE('26.09 Gayaza-Kasangati-24h'!F67,'28.09 Gayaza-Kasangati-24h'!F67)</f>
        <v>36</v>
      </c>
      <c r="G67" s="49">
        <f>AVERAGE('26.09 Gayaza-Kasangati-24h'!G67,'28.09 Gayaza-Kasangati-24h'!G67)</f>
        <v>1</v>
      </c>
      <c r="H67" s="49">
        <f>AVERAGE('26.09 Gayaza-Kasangati-24h'!H67,'28.09 Gayaza-Kasangati-24h'!H67)</f>
        <v>0</v>
      </c>
      <c r="I67" s="49">
        <f>AVERAGE('26.09 Gayaza-Kasangati-24h'!I67,'28.09 Gayaza-Kasangati-24h'!I67)</f>
        <v>10.5</v>
      </c>
      <c r="J67" s="49">
        <f>AVERAGE('26.09 Gayaza-Kasangati-24h'!J67,'28.09 Gayaza-Kasangati-24h'!J67)</f>
        <v>0.5</v>
      </c>
      <c r="K67" s="49">
        <f>AVERAGE('26.09 Gayaza-Kasangati-24h'!K67,'28.09 Gayaza-Kasangati-24h'!K67)</f>
        <v>0</v>
      </c>
      <c r="L67" s="49">
        <f>AVERAGE('26.09 Gayaza-Kasangati-24h'!L67,'28.09 Gayaza-Kasangati-24h'!L67)</f>
        <v>0</v>
      </c>
      <c r="M67" s="49">
        <f>AVERAGE('26.09 Gayaza-Kasangati-24h'!M67,'28.09 Gayaza-Kasangati-24h'!M67)</f>
        <v>46.5</v>
      </c>
      <c r="N67" s="49">
        <f>AVERAGE('26.09 Gayaza-Kasangati-24h'!N67,'28.09 Gayaza-Kasangati-24h'!N67)</f>
        <v>0</v>
      </c>
      <c r="O67" s="15">
        <f t="shared" si="35"/>
        <v>107</v>
      </c>
      <c r="P67" s="15">
        <f t="shared" si="36"/>
        <v>153.5</v>
      </c>
      <c r="R67" s="8"/>
      <c r="T67"/>
    </row>
    <row r="68" spans="2:20" ht="23.1" customHeight="1" x14ac:dyDescent="0.25">
      <c r="B68" s="23" t="s">
        <v>105</v>
      </c>
      <c r="C68" s="49">
        <f>AVERAGE('26.09 Gayaza-Kasangati-24h'!C68,'28.09 Gayaza-Kasangati-24h'!C68)</f>
        <v>35</v>
      </c>
      <c r="D68" s="49">
        <f>AVERAGE('26.09 Gayaza-Kasangati-24h'!D68,'28.09 Gayaza-Kasangati-24h'!D68)</f>
        <v>8</v>
      </c>
      <c r="E68" s="49">
        <f>AVERAGE('26.09 Gayaza-Kasangati-24h'!E68,'28.09 Gayaza-Kasangati-24h'!E68)</f>
        <v>2</v>
      </c>
      <c r="F68" s="49">
        <f>AVERAGE('26.09 Gayaza-Kasangati-24h'!F68,'28.09 Gayaza-Kasangati-24h'!F68)</f>
        <v>35.5</v>
      </c>
      <c r="G68" s="49">
        <f>AVERAGE('26.09 Gayaza-Kasangati-24h'!G68,'28.09 Gayaza-Kasangati-24h'!G68)</f>
        <v>1.5</v>
      </c>
      <c r="H68" s="49">
        <f>AVERAGE('26.09 Gayaza-Kasangati-24h'!H68,'28.09 Gayaza-Kasangati-24h'!H68)</f>
        <v>0</v>
      </c>
      <c r="I68" s="49">
        <f>AVERAGE('26.09 Gayaza-Kasangati-24h'!I68,'28.09 Gayaza-Kasangati-24h'!I68)</f>
        <v>8</v>
      </c>
      <c r="J68" s="49">
        <f>AVERAGE('26.09 Gayaza-Kasangati-24h'!J68,'28.09 Gayaza-Kasangati-24h'!J68)</f>
        <v>1</v>
      </c>
      <c r="K68" s="49">
        <f>AVERAGE('26.09 Gayaza-Kasangati-24h'!K68,'28.09 Gayaza-Kasangati-24h'!K68)</f>
        <v>3.5</v>
      </c>
      <c r="L68" s="49">
        <f>AVERAGE('26.09 Gayaza-Kasangati-24h'!L68,'28.09 Gayaza-Kasangati-24h'!L68)</f>
        <v>0</v>
      </c>
      <c r="M68" s="49">
        <f>AVERAGE('26.09 Gayaza-Kasangati-24h'!M68,'28.09 Gayaza-Kasangati-24h'!M68)</f>
        <v>38</v>
      </c>
      <c r="N68" s="49">
        <f>AVERAGE('26.09 Gayaza-Kasangati-24h'!N68,'28.09 Gayaza-Kasangati-24h'!N68)</f>
        <v>0</v>
      </c>
      <c r="O68" s="15">
        <f t="shared" si="35"/>
        <v>94.5</v>
      </c>
      <c r="P68" s="15">
        <f t="shared" si="36"/>
        <v>132.5</v>
      </c>
      <c r="R68" s="8"/>
      <c r="T68"/>
    </row>
    <row r="69" spans="2:20" ht="23.1" customHeight="1" x14ac:dyDescent="0.25">
      <c r="B69" s="23" t="s">
        <v>106</v>
      </c>
      <c r="C69" s="49">
        <f>AVERAGE('26.09 Gayaza-Kasangati-24h'!C69,'28.09 Gayaza-Kasangati-24h'!C69)</f>
        <v>33.5</v>
      </c>
      <c r="D69" s="49">
        <f>AVERAGE('26.09 Gayaza-Kasangati-24h'!D69,'28.09 Gayaza-Kasangati-24h'!D69)</f>
        <v>4</v>
      </c>
      <c r="E69" s="49">
        <f>AVERAGE('26.09 Gayaza-Kasangati-24h'!E69,'28.09 Gayaza-Kasangati-24h'!E69)</f>
        <v>6</v>
      </c>
      <c r="F69" s="49">
        <f>AVERAGE('26.09 Gayaza-Kasangati-24h'!F69,'28.09 Gayaza-Kasangati-24h'!F69)</f>
        <v>31</v>
      </c>
      <c r="G69" s="49">
        <f>AVERAGE('26.09 Gayaza-Kasangati-24h'!G69,'28.09 Gayaza-Kasangati-24h'!G69)</f>
        <v>0.5</v>
      </c>
      <c r="H69" s="49">
        <f>AVERAGE('26.09 Gayaza-Kasangati-24h'!H69,'28.09 Gayaza-Kasangati-24h'!H69)</f>
        <v>0</v>
      </c>
      <c r="I69" s="49">
        <f>AVERAGE('26.09 Gayaza-Kasangati-24h'!I69,'28.09 Gayaza-Kasangati-24h'!I69)</f>
        <v>7</v>
      </c>
      <c r="J69" s="49">
        <f>AVERAGE('26.09 Gayaza-Kasangati-24h'!J69,'28.09 Gayaza-Kasangati-24h'!J69)</f>
        <v>1</v>
      </c>
      <c r="K69" s="49">
        <f>AVERAGE('26.09 Gayaza-Kasangati-24h'!K69,'28.09 Gayaza-Kasangati-24h'!K69)</f>
        <v>0</v>
      </c>
      <c r="L69" s="49">
        <f>AVERAGE('26.09 Gayaza-Kasangati-24h'!L69,'28.09 Gayaza-Kasangati-24h'!L69)</f>
        <v>0</v>
      </c>
      <c r="M69" s="49">
        <f>AVERAGE('26.09 Gayaza-Kasangati-24h'!M69,'28.09 Gayaza-Kasangati-24h'!M69)</f>
        <v>42.5</v>
      </c>
      <c r="N69" s="49">
        <f>AVERAGE('26.09 Gayaza-Kasangati-24h'!N69,'28.09 Gayaza-Kasangati-24h'!N69)</f>
        <v>0</v>
      </c>
      <c r="O69" s="15">
        <f t="shared" si="35"/>
        <v>83</v>
      </c>
      <c r="P69" s="15">
        <f t="shared" si="36"/>
        <v>125.5</v>
      </c>
      <c r="R69" s="8"/>
      <c r="T69"/>
    </row>
    <row r="70" spans="2:20" ht="23.1" customHeight="1" x14ac:dyDescent="0.25">
      <c r="B70" s="23" t="s">
        <v>110</v>
      </c>
      <c r="C70" s="49">
        <f>AVERAGE('26.09 Gayaza-Kasangati-24h'!C70,'28.09 Gayaza-Kasangati-24h'!C70)</f>
        <v>29</v>
      </c>
      <c r="D70" s="49">
        <f>AVERAGE('26.09 Gayaza-Kasangati-24h'!D70,'28.09 Gayaza-Kasangati-24h'!D70)</f>
        <v>4.5</v>
      </c>
      <c r="E70" s="49">
        <f>AVERAGE('26.09 Gayaza-Kasangati-24h'!E70,'28.09 Gayaza-Kasangati-24h'!E70)</f>
        <v>6</v>
      </c>
      <c r="F70" s="49">
        <f>AVERAGE('26.09 Gayaza-Kasangati-24h'!F70,'28.09 Gayaza-Kasangati-24h'!F70)</f>
        <v>43.5</v>
      </c>
      <c r="G70" s="49">
        <f>AVERAGE('26.09 Gayaza-Kasangati-24h'!G70,'28.09 Gayaza-Kasangati-24h'!G70)</f>
        <v>1</v>
      </c>
      <c r="H70" s="49">
        <f>AVERAGE('26.09 Gayaza-Kasangati-24h'!H70,'28.09 Gayaza-Kasangati-24h'!H70)</f>
        <v>0</v>
      </c>
      <c r="I70" s="49">
        <f>AVERAGE('26.09 Gayaza-Kasangati-24h'!I70,'28.09 Gayaza-Kasangati-24h'!I70)</f>
        <v>6</v>
      </c>
      <c r="J70" s="49">
        <f>AVERAGE('26.09 Gayaza-Kasangati-24h'!J70,'28.09 Gayaza-Kasangati-24h'!J70)</f>
        <v>1</v>
      </c>
      <c r="K70" s="49">
        <f>AVERAGE('26.09 Gayaza-Kasangati-24h'!K70,'28.09 Gayaza-Kasangati-24h'!K70)</f>
        <v>0</v>
      </c>
      <c r="L70" s="49">
        <f>AVERAGE('26.09 Gayaza-Kasangati-24h'!L70,'28.09 Gayaza-Kasangati-24h'!L70)</f>
        <v>0</v>
      </c>
      <c r="M70" s="49">
        <f>AVERAGE('26.09 Gayaza-Kasangati-24h'!M70,'28.09 Gayaza-Kasangati-24h'!M70)</f>
        <v>42.5</v>
      </c>
      <c r="N70" s="49">
        <f>AVERAGE('26.09 Gayaza-Kasangati-24h'!N70,'28.09 Gayaza-Kasangati-24h'!N70)</f>
        <v>0</v>
      </c>
      <c r="O70" s="15">
        <f t="shared" si="35"/>
        <v>91</v>
      </c>
      <c r="P70" s="15">
        <f t="shared" si="36"/>
        <v>133.5</v>
      </c>
      <c r="R70" s="8"/>
      <c r="T70"/>
    </row>
    <row r="71" spans="2:20" ht="23.1" customHeight="1" x14ac:dyDescent="0.25">
      <c r="B71" s="23" t="s">
        <v>111</v>
      </c>
      <c r="C71" s="49">
        <f>AVERAGE('26.09 Gayaza-Kasangati-24h'!C71,'28.09 Gayaza-Kasangati-24h'!C71)</f>
        <v>19.5</v>
      </c>
      <c r="D71" s="49">
        <f>AVERAGE('26.09 Gayaza-Kasangati-24h'!D71,'28.09 Gayaza-Kasangati-24h'!D71)</f>
        <v>3</v>
      </c>
      <c r="E71" s="49">
        <f>AVERAGE('26.09 Gayaza-Kasangati-24h'!E71,'28.09 Gayaza-Kasangati-24h'!E71)</f>
        <v>3</v>
      </c>
      <c r="F71" s="49">
        <f>AVERAGE('26.09 Gayaza-Kasangati-24h'!F71,'28.09 Gayaza-Kasangati-24h'!F71)</f>
        <v>18.5</v>
      </c>
      <c r="G71" s="49">
        <f>AVERAGE('26.09 Gayaza-Kasangati-24h'!G71,'28.09 Gayaza-Kasangati-24h'!G71)</f>
        <v>2</v>
      </c>
      <c r="H71" s="49">
        <f>AVERAGE('26.09 Gayaza-Kasangati-24h'!H71,'28.09 Gayaza-Kasangati-24h'!H71)</f>
        <v>0</v>
      </c>
      <c r="I71" s="49">
        <f>AVERAGE('26.09 Gayaza-Kasangati-24h'!I71,'28.09 Gayaza-Kasangati-24h'!I71)</f>
        <v>2</v>
      </c>
      <c r="J71" s="49">
        <f>AVERAGE('26.09 Gayaza-Kasangati-24h'!J71,'28.09 Gayaza-Kasangati-24h'!J71)</f>
        <v>1</v>
      </c>
      <c r="K71" s="49">
        <f>AVERAGE('26.09 Gayaza-Kasangati-24h'!K71,'28.09 Gayaza-Kasangati-24h'!K71)</f>
        <v>0</v>
      </c>
      <c r="L71" s="49">
        <f>AVERAGE('26.09 Gayaza-Kasangati-24h'!L71,'28.09 Gayaza-Kasangati-24h'!L71)</f>
        <v>0</v>
      </c>
      <c r="M71" s="49">
        <f>AVERAGE('26.09 Gayaza-Kasangati-24h'!M71,'28.09 Gayaza-Kasangati-24h'!M71)</f>
        <v>26</v>
      </c>
      <c r="N71" s="49">
        <f>AVERAGE('26.09 Gayaza-Kasangati-24h'!N71,'28.09 Gayaza-Kasangati-24h'!N71)</f>
        <v>0</v>
      </c>
      <c r="O71" s="15">
        <f t="shared" si="35"/>
        <v>49</v>
      </c>
      <c r="P71" s="15">
        <f t="shared" si="36"/>
        <v>75</v>
      </c>
      <c r="R71" s="8"/>
      <c r="T71"/>
    </row>
    <row r="72" spans="2:20" ht="23.1" customHeight="1" x14ac:dyDescent="0.25">
      <c r="B72" s="23" t="s">
        <v>112</v>
      </c>
      <c r="C72" s="49">
        <f>AVERAGE('26.09 Gayaza-Kasangati-24h'!C72,'28.09 Gayaza-Kasangati-24h'!C72)</f>
        <v>18</v>
      </c>
      <c r="D72" s="49">
        <f>AVERAGE('26.09 Gayaza-Kasangati-24h'!D72,'28.09 Gayaza-Kasangati-24h'!D72)</f>
        <v>6</v>
      </c>
      <c r="E72" s="49">
        <f>AVERAGE('26.09 Gayaza-Kasangati-24h'!E72,'28.09 Gayaza-Kasangati-24h'!E72)</f>
        <v>3.5</v>
      </c>
      <c r="F72" s="49">
        <f>AVERAGE('26.09 Gayaza-Kasangati-24h'!F72,'28.09 Gayaza-Kasangati-24h'!F72)</f>
        <v>21.5</v>
      </c>
      <c r="G72" s="49">
        <f>AVERAGE('26.09 Gayaza-Kasangati-24h'!G72,'28.09 Gayaza-Kasangati-24h'!G72)</f>
        <v>1</v>
      </c>
      <c r="H72" s="49">
        <f>AVERAGE('26.09 Gayaza-Kasangati-24h'!H72,'28.09 Gayaza-Kasangati-24h'!H72)</f>
        <v>0</v>
      </c>
      <c r="I72" s="49">
        <f>AVERAGE('26.09 Gayaza-Kasangati-24h'!I72,'28.09 Gayaza-Kasangati-24h'!I72)</f>
        <v>9.5</v>
      </c>
      <c r="J72" s="49">
        <f>AVERAGE('26.09 Gayaza-Kasangati-24h'!J72,'28.09 Gayaza-Kasangati-24h'!J72)</f>
        <v>0</v>
      </c>
      <c r="K72" s="49">
        <f>AVERAGE('26.09 Gayaza-Kasangati-24h'!K72,'28.09 Gayaza-Kasangati-24h'!K72)</f>
        <v>1</v>
      </c>
      <c r="L72" s="49">
        <f>AVERAGE('26.09 Gayaza-Kasangati-24h'!L72,'28.09 Gayaza-Kasangati-24h'!L72)</f>
        <v>0.5</v>
      </c>
      <c r="M72" s="49">
        <f>AVERAGE('26.09 Gayaza-Kasangati-24h'!M72,'28.09 Gayaza-Kasangati-24h'!M72)</f>
        <v>26.5</v>
      </c>
      <c r="N72" s="49">
        <f>AVERAGE('26.09 Gayaza-Kasangati-24h'!N72,'28.09 Gayaza-Kasangati-24h'!N72)</f>
        <v>0</v>
      </c>
      <c r="O72" s="15">
        <f t="shared" si="35"/>
        <v>61</v>
      </c>
      <c r="P72" s="15">
        <f t="shared" si="36"/>
        <v>87.5</v>
      </c>
      <c r="R72" s="8"/>
      <c r="T72"/>
    </row>
    <row r="73" spans="2:20" ht="23.1" customHeight="1" x14ac:dyDescent="0.25">
      <c r="B73" s="23" t="s">
        <v>113</v>
      </c>
      <c r="C73" s="49">
        <f>AVERAGE('26.09 Gayaza-Kasangati-24h'!C73,'28.09 Gayaza-Kasangati-24h'!C73)</f>
        <v>22.5</v>
      </c>
      <c r="D73" s="49">
        <f>AVERAGE('26.09 Gayaza-Kasangati-24h'!D73,'28.09 Gayaza-Kasangati-24h'!D73)</f>
        <v>1</v>
      </c>
      <c r="E73" s="49">
        <f>AVERAGE('26.09 Gayaza-Kasangati-24h'!E73,'28.09 Gayaza-Kasangati-24h'!E73)</f>
        <v>1.5</v>
      </c>
      <c r="F73" s="49">
        <f>AVERAGE('26.09 Gayaza-Kasangati-24h'!F73,'28.09 Gayaza-Kasangati-24h'!F73)</f>
        <v>20</v>
      </c>
      <c r="G73" s="49">
        <f>AVERAGE('26.09 Gayaza-Kasangati-24h'!G73,'28.09 Gayaza-Kasangati-24h'!G73)</f>
        <v>0.5</v>
      </c>
      <c r="H73" s="49">
        <f>AVERAGE('26.09 Gayaza-Kasangati-24h'!H73,'28.09 Gayaza-Kasangati-24h'!H73)</f>
        <v>0</v>
      </c>
      <c r="I73" s="49">
        <f>AVERAGE('26.09 Gayaza-Kasangati-24h'!I73,'28.09 Gayaza-Kasangati-24h'!I73)</f>
        <v>3</v>
      </c>
      <c r="J73" s="49">
        <f>AVERAGE('26.09 Gayaza-Kasangati-24h'!J73,'28.09 Gayaza-Kasangati-24h'!J73)</f>
        <v>0</v>
      </c>
      <c r="K73" s="49">
        <f>AVERAGE('26.09 Gayaza-Kasangati-24h'!K73,'28.09 Gayaza-Kasangati-24h'!K73)</f>
        <v>1</v>
      </c>
      <c r="L73" s="49">
        <f>AVERAGE('26.09 Gayaza-Kasangati-24h'!L73,'28.09 Gayaza-Kasangati-24h'!L73)</f>
        <v>0</v>
      </c>
      <c r="M73" s="49">
        <f>AVERAGE('26.09 Gayaza-Kasangati-24h'!M73,'28.09 Gayaza-Kasangati-24h'!M73)</f>
        <v>19</v>
      </c>
      <c r="N73" s="49">
        <f>AVERAGE('26.09 Gayaza-Kasangati-24h'!N73,'28.09 Gayaza-Kasangati-24h'!N73)</f>
        <v>0</v>
      </c>
      <c r="O73" s="15">
        <f t="shared" si="35"/>
        <v>49.5</v>
      </c>
      <c r="P73" s="15">
        <f t="shared" si="36"/>
        <v>68.5</v>
      </c>
      <c r="R73" s="8"/>
      <c r="T73"/>
    </row>
    <row r="74" spans="2:20" ht="23.1" customHeight="1" x14ac:dyDescent="0.25">
      <c r="B74" s="23" t="s">
        <v>114</v>
      </c>
      <c r="C74" s="49">
        <f>AVERAGE('26.09 Gayaza-Kasangati-24h'!C74,'28.09 Gayaza-Kasangati-24h'!C74)</f>
        <v>27.5</v>
      </c>
      <c r="D74" s="49">
        <f>AVERAGE('26.09 Gayaza-Kasangati-24h'!D74,'28.09 Gayaza-Kasangati-24h'!D74)</f>
        <v>2</v>
      </c>
      <c r="E74" s="49">
        <f>AVERAGE('26.09 Gayaza-Kasangati-24h'!E74,'28.09 Gayaza-Kasangati-24h'!E74)</f>
        <v>2.5</v>
      </c>
      <c r="F74" s="49">
        <f>AVERAGE('26.09 Gayaza-Kasangati-24h'!F74,'28.09 Gayaza-Kasangati-24h'!F74)</f>
        <v>15.5</v>
      </c>
      <c r="G74" s="49">
        <f>AVERAGE('26.09 Gayaza-Kasangati-24h'!G74,'28.09 Gayaza-Kasangati-24h'!G74)</f>
        <v>0.5</v>
      </c>
      <c r="H74" s="49">
        <f>AVERAGE('26.09 Gayaza-Kasangati-24h'!H74,'28.09 Gayaza-Kasangati-24h'!H74)</f>
        <v>0</v>
      </c>
      <c r="I74" s="49">
        <f>AVERAGE('26.09 Gayaza-Kasangati-24h'!I74,'28.09 Gayaza-Kasangati-24h'!I74)</f>
        <v>3.5</v>
      </c>
      <c r="J74" s="49">
        <f>AVERAGE('26.09 Gayaza-Kasangati-24h'!J74,'28.09 Gayaza-Kasangati-24h'!J74)</f>
        <v>0</v>
      </c>
      <c r="K74" s="49">
        <f>AVERAGE('26.09 Gayaza-Kasangati-24h'!K74,'28.09 Gayaza-Kasangati-24h'!K74)</f>
        <v>0.5</v>
      </c>
      <c r="L74" s="49">
        <f>AVERAGE('26.09 Gayaza-Kasangati-24h'!L74,'28.09 Gayaza-Kasangati-24h'!L74)</f>
        <v>0</v>
      </c>
      <c r="M74" s="49">
        <f>AVERAGE('26.09 Gayaza-Kasangati-24h'!M74,'28.09 Gayaza-Kasangati-24h'!M74)</f>
        <v>19</v>
      </c>
      <c r="N74" s="49">
        <f>AVERAGE('26.09 Gayaza-Kasangati-24h'!N74,'28.09 Gayaza-Kasangati-24h'!N74)</f>
        <v>0</v>
      </c>
      <c r="O74" s="15">
        <f t="shared" si="35"/>
        <v>52</v>
      </c>
      <c r="P74" s="15">
        <f t="shared" si="36"/>
        <v>71</v>
      </c>
      <c r="R74" s="8"/>
      <c r="T74"/>
    </row>
    <row r="75" spans="2:20" ht="23.1" customHeight="1" x14ac:dyDescent="0.25">
      <c r="B75" s="23" t="s">
        <v>115</v>
      </c>
      <c r="C75" s="49">
        <f>AVERAGE('26.09 Gayaza-Kasangati-24h'!C75,'28.09 Gayaza-Kasangati-24h'!C75)</f>
        <v>18</v>
      </c>
      <c r="D75" s="49">
        <f>AVERAGE('26.09 Gayaza-Kasangati-24h'!D75,'28.09 Gayaza-Kasangati-24h'!D75)</f>
        <v>2.5</v>
      </c>
      <c r="E75" s="49">
        <f>AVERAGE('26.09 Gayaza-Kasangati-24h'!E75,'28.09 Gayaza-Kasangati-24h'!E75)</f>
        <v>1</v>
      </c>
      <c r="F75" s="49">
        <f>AVERAGE('26.09 Gayaza-Kasangati-24h'!F75,'28.09 Gayaza-Kasangati-24h'!F75)</f>
        <v>8</v>
      </c>
      <c r="G75" s="49">
        <f>AVERAGE('26.09 Gayaza-Kasangati-24h'!G75,'28.09 Gayaza-Kasangati-24h'!G75)</f>
        <v>0</v>
      </c>
      <c r="H75" s="49">
        <f>AVERAGE('26.09 Gayaza-Kasangati-24h'!H75,'28.09 Gayaza-Kasangati-24h'!H75)</f>
        <v>0</v>
      </c>
      <c r="I75" s="49">
        <f>AVERAGE('26.09 Gayaza-Kasangati-24h'!I75,'28.09 Gayaza-Kasangati-24h'!I75)</f>
        <v>6</v>
      </c>
      <c r="J75" s="49">
        <f>AVERAGE('26.09 Gayaza-Kasangati-24h'!J75,'28.09 Gayaza-Kasangati-24h'!J75)</f>
        <v>1</v>
      </c>
      <c r="K75" s="49">
        <f>AVERAGE('26.09 Gayaza-Kasangati-24h'!K75,'28.09 Gayaza-Kasangati-24h'!K75)</f>
        <v>0</v>
      </c>
      <c r="L75" s="49">
        <f>AVERAGE('26.09 Gayaza-Kasangati-24h'!L75,'28.09 Gayaza-Kasangati-24h'!L75)</f>
        <v>0</v>
      </c>
      <c r="M75" s="49">
        <f>AVERAGE('26.09 Gayaza-Kasangati-24h'!M75,'28.09 Gayaza-Kasangati-24h'!M75)</f>
        <v>20.5</v>
      </c>
      <c r="N75" s="49">
        <f>AVERAGE('26.09 Gayaza-Kasangati-24h'!N75,'28.09 Gayaza-Kasangati-24h'!N75)</f>
        <v>0</v>
      </c>
      <c r="O75" s="15">
        <f t="shared" si="35"/>
        <v>36.5</v>
      </c>
      <c r="P75" s="15">
        <f t="shared" si="36"/>
        <v>57</v>
      </c>
      <c r="R75" s="8"/>
      <c r="T75"/>
    </row>
    <row r="76" spans="2:20" ht="23.1" customHeight="1" x14ac:dyDescent="0.25">
      <c r="B76" s="23" t="s">
        <v>116</v>
      </c>
      <c r="C76" s="49">
        <f>AVERAGE('26.09 Gayaza-Kasangati-24h'!C76,'28.09 Gayaza-Kasangati-24h'!C76)</f>
        <v>11.5</v>
      </c>
      <c r="D76" s="49">
        <f>AVERAGE('26.09 Gayaza-Kasangati-24h'!D76,'28.09 Gayaza-Kasangati-24h'!D76)</f>
        <v>2</v>
      </c>
      <c r="E76" s="49">
        <f>AVERAGE('26.09 Gayaza-Kasangati-24h'!E76,'28.09 Gayaza-Kasangati-24h'!E76)</f>
        <v>1</v>
      </c>
      <c r="F76" s="49">
        <f>AVERAGE('26.09 Gayaza-Kasangati-24h'!F76,'28.09 Gayaza-Kasangati-24h'!F76)</f>
        <v>10.5</v>
      </c>
      <c r="G76" s="49">
        <f>AVERAGE('26.09 Gayaza-Kasangati-24h'!G76,'28.09 Gayaza-Kasangati-24h'!G76)</f>
        <v>0.5</v>
      </c>
      <c r="H76" s="49">
        <f>AVERAGE('26.09 Gayaza-Kasangati-24h'!H76,'28.09 Gayaza-Kasangati-24h'!H76)</f>
        <v>0</v>
      </c>
      <c r="I76" s="49">
        <f>AVERAGE('26.09 Gayaza-Kasangati-24h'!I76,'28.09 Gayaza-Kasangati-24h'!I76)</f>
        <v>5.5</v>
      </c>
      <c r="J76" s="49">
        <f>AVERAGE('26.09 Gayaza-Kasangati-24h'!J76,'28.09 Gayaza-Kasangati-24h'!J76)</f>
        <v>0.5</v>
      </c>
      <c r="K76" s="49">
        <f>AVERAGE('26.09 Gayaza-Kasangati-24h'!K76,'28.09 Gayaza-Kasangati-24h'!K76)</f>
        <v>0</v>
      </c>
      <c r="L76" s="49">
        <f>AVERAGE('26.09 Gayaza-Kasangati-24h'!L76,'28.09 Gayaza-Kasangati-24h'!L76)</f>
        <v>0</v>
      </c>
      <c r="M76" s="49">
        <f>AVERAGE('26.09 Gayaza-Kasangati-24h'!M76,'28.09 Gayaza-Kasangati-24h'!M76)</f>
        <v>14.5</v>
      </c>
      <c r="N76" s="49">
        <f>AVERAGE('26.09 Gayaza-Kasangati-24h'!N76,'28.09 Gayaza-Kasangati-24h'!N76)</f>
        <v>0</v>
      </c>
      <c r="O76" s="15">
        <f t="shared" si="35"/>
        <v>31.5</v>
      </c>
      <c r="P76" s="15">
        <f t="shared" si="36"/>
        <v>46</v>
      </c>
      <c r="R76" s="8"/>
      <c r="T76"/>
    </row>
    <row r="77" spans="2:20" ht="23.1" customHeight="1" x14ac:dyDescent="0.25">
      <c r="B77" s="23" t="s">
        <v>117</v>
      </c>
      <c r="C77" s="49">
        <f>AVERAGE('26.09 Gayaza-Kasangati-24h'!C77,'28.09 Gayaza-Kasangati-24h'!C77)</f>
        <v>12.5</v>
      </c>
      <c r="D77" s="49">
        <f>AVERAGE('26.09 Gayaza-Kasangati-24h'!D77,'28.09 Gayaza-Kasangati-24h'!D77)</f>
        <v>1.5</v>
      </c>
      <c r="E77" s="49">
        <f>AVERAGE('26.09 Gayaza-Kasangati-24h'!E77,'28.09 Gayaza-Kasangati-24h'!E77)</f>
        <v>1</v>
      </c>
      <c r="F77" s="49">
        <f>AVERAGE('26.09 Gayaza-Kasangati-24h'!F77,'28.09 Gayaza-Kasangati-24h'!F77)</f>
        <v>10.5</v>
      </c>
      <c r="G77" s="49">
        <f>AVERAGE('26.09 Gayaza-Kasangati-24h'!G77,'28.09 Gayaza-Kasangati-24h'!G77)</f>
        <v>0</v>
      </c>
      <c r="H77" s="49">
        <f>AVERAGE('26.09 Gayaza-Kasangati-24h'!H77,'28.09 Gayaza-Kasangati-24h'!H77)</f>
        <v>0</v>
      </c>
      <c r="I77" s="49">
        <f>AVERAGE('26.09 Gayaza-Kasangati-24h'!I77,'28.09 Gayaza-Kasangati-24h'!I77)</f>
        <v>2</v>
      </c>
      <c r="J77" s="49">
        <f>AVERAGE('26.09 Gayaza-Kasangati-24h'!J77,'28.09 Gayaza-Kasangati-24h'!J77)</f>
        <v>0.5</v>
      </c>
      <c r="K77" s="49">
        <f>AVERAGE('26.09 Gayaza-Kasangati-24h'!K77,'28.09 Gayaza-Kasangati-24h'!K77)</f>
        <v>0.5</v>
      </c>
      <c r="L77" s="49">
        <f>AVERAGE('26.09 Gayaza-Kasangati-24h'!L77,'28.09 Gayaza-Kasangati-24h'!L77)</f>
        <v>0</v>
      </c>
      <c r="M77" s="49">
        <f>AVERAGE('26.09 Gayaza-Kasangati-24h'!M77,'28.09 Gayaza-Kasangati-24h'!M77)</f>
        <v>10</v>
      </c>
      <c r="N77" s="49">
        <f>AVERAGE('26.09 Gayaza-Kasangati-24h'!N77,'28.09 Gayaza-Kasangati-24h'!N77)</f>
        <v>0</v>
      </c>
      <c r="O77" s="15">
        <f t="shared" si="35"/>
        <v>28.5</v>
      </c>
      <c r="P77" s="15">
        <f t="shared" si="36"/>
        <v>38.5</v>
      </c>
      <c r="R77" s="8"/>
      <c r="T77"/>
    </row>
    <row r="78" spans="2:20" ht="23.1" customHeight="1" x14ac:dyDescent="0.25">
      <c r="B78" s="24" t="s">
        <v>118</v>
      </c>
      <c r="C78" s="49">
        <f>AVERAGE('26.09 Gayaza-Kasangati-24h'!C78,'28.09 Gayaza-Kasangati-24h'!C78)</f>
        <v>16</v>
      </c>
      <c r="D78" s="49">
        <f>AVERAGE('26.09 Gayaza-Kasangati-24h'!D78,'28.09 Gayaza-Kasangati-24h'!D78)</f>
        <v>2</v>
      </c>
      <c r="E78" s="49">
        <f>AVERAGE('26.09 Gayaza-Kasangati-24h'!E78,'28.09 Gayaza-Kasangati-24h'!E78)</f>
        <v>1</v>
      </c>
      <c r="F78" s="49">
        <f>AVERAGE('26.09 Gayaza-Kasangati-24h'!F78,'28.09 Gayaza-Kasangati-24h'!F78)</f>
        <v>9</v>
      </c>
      <c r="G78" s="49">
        <f>AVERAGE('26.09 Gayaza-Kasangati-24h'!G78,'28.09 Gayaza-Kasangati-24h'!G78)</f>
        <v>0.5</v>
      </c>
      <c r="H78" s="49">
        <f>AVERAGE('26.09 Gayaza-Kasangati-24h'!H78,'28.09 Gayaza-Kasangati-24h'!H78)</f>
        <v>0</v>
      </c>
      <c r="I78" s="49">
        <f>AVERAGE('26.09 Gayaza-Kasangati-24h'!I78,'28.09 Gayaza-Kasangati-24h'!I78)</f>
        <v>0.5</v>
      </c>
      <c r="J78" s="49">
        <f>AVERAGE('26.09 Gayaza-Kasangati-24h'!J78,'28.09 Gayaza-Kasangati-24h'!J78)</f>
        <v>0</v>
      </c>
      <c r="K78" s="49">
        <f>AVERAGE('26.09 Gayaza-Kasangati-24h'!K78,'28.09 Gayaza-Kasangati-24h'!K78)</f>
        <v>0</v>
      </c>
      <c r="L78" s="49">
        <f>AVERAGE('26.09 Gayaza-Kasangati-24h'!L78,'28.09 Gayaza-Kasangati-24h'!L78)</f>
        <v>0</v>
      </c>
      <c r="M78" s="49">
        <f>AVERAGE('26.09 Gayaza-Kasangati-24h'!M78,'28.09 Gayaza-Kasangati-24h'!M78)</f>
        <v>9.5</v>
      </c>
      <c r="N78" s="49">
        <f>AVERAGE('26.09 Gayaza-Kasangati-24h'!N78,'28.09 Gayaza-Kasangati-24h'!N78)</f>
        <v>0</v>
      </c>
      <c r="O78" s="15">
        <f t="shared" si="35"/>
        <v>29</v>
      </c>
      <c r="P78" s="15">
        <f t="shared" si="36"/>
        <v>38.5</v>
      </c>
      <c r="R78" s="8"/>
      <c r="T78"/>
    </row>
    <row r="79" spans="2:20" ht="23.1" customHeight="1" x14ac:dyDescent="0.25">
      <c r="B79" s="23" t="s">
        <v>119</v>
      </c>
      <c r="C79" s="49">
        <f>AVERAGE('26.09 Gayaza-Kasangati-24h'!C79,'28.09 Gayaza-Kasangati-24h'!C79)</f>
        <v>12</v>
      </c>
      <c r="D79" s="49">
        <f>AVERAGE('26.09 Gayaza-Kasangati-24h'!D79,'28.09 Gayaza-Kasangati-24h'!D79)</f>
        <v>1.5</v>
      </c>
      <c r="E79" s="49">
        <f>AVERAGE('26.09 Gayaza-Kasangati-24h'!E79,'28.09 Gayaza-Kasangati-24h'!E79)</f>
        <v>1</v>
      </c>
      <c r="F79" s="49">
        <f>AVERAGE('26.09 Gayaza-Kasangati-24h'!F79,'28.09 Gayaza-Kasangati-24h'!F79)</f>
        <v>6</v>
      </c>
      <c r="G79" s="49">
        <f>AVERAGE('26.09 Gayaza-Kasangati-24h'!G79,'28.09 Gayaza-Kasangati-24h'!G79)</f>
        <v>0</v>
      </c>
      <c r="H79" s="49">
        <f>AVERAGE('26.09 Gayaza-Kasangati-24h'!H79,'28.09 Gayaza-Kasangati-24h'!H79)</f>
        <v>0</v>
      </c>
      <c r="I79" s="49">
        <f>AVERAGE('26.09 Gayaza-Kasangati-24h'!I79,'28.09 Gayaza-Kasangati-24h'!I79)</f>
        <v>2.5</v>
      </c>
      <c r="J79" s="49">
        <f>AVERAGE('26.09 Gayaza-Kasangati-24h'!J79,'28.09 Gayaza-Kasangati-24h'!J79)</f>
        <v>0</v>
      </c>
      <c r="K79" s="49">
        <f>AVERAGE('26.09 Gayaza-Kasangati-24h'!K79,'28.09 Gayaza-Kasangati-24h'!K79)</f>
        <v>0</v>
      </c>
      <c r="L79" s="49">
        <f>AVERAGE('26.09 Gayaza-Kasangati-24h'!L79,'28.09 Gayaza-Kasangati-24h'!L79)</f>
        <v>0</v>
      </c>
      <c r="M79" s="49">
        <f>AVERAGE('26.09 Gayaza-Kasangati-24h'!M79,'28.09 Gayaza-Kasangati-24h'!M79)</f>
        <v>11</v>
      </c>
      <c r="N79" s="49">
        <f>AVERAGE('26.09 Gayaza-Kasangati-24h'!N79,'28.09 Gayaza-Kasangati-24h'!N79)</f>
        <v>0</v>
      </c>
      <c r="O79" s="15">
        <f t="shared" si="35"/>
        <v>23</v>
      </c>
      <c r="P79" s="15">
        <f t="shared" si="36"/>
        <v>34</v>
      </c>
      <c r="R79" s="8"/>
      <c r="T79"/>
    </row>
    <row r="80" spans="2:20" ht="23.1" customHeight="1" x14ac:dyDescent="0.25">
      <c r="B80" s="25" t="s">
        <v>120</v>
      </c>
      <c r="C80" s="49">
        <f>AVERAGE('26.09 Gayaza-Kasangati-24h'!C80,'28.09 Gayaza-Kasangati-24h'!C80)</f>
        <v>7</v>
      </c>
      <c r="D80" s="49">
        <f>AVERAGE('26.09 Gayaza-Kasangati-24h'!D80,'28.09 Gayaza-Kasangati-24h'!D80)</f>
        <v>1.5</v>
      </c>
      <c r="E80" s="49">
        <f>AVERAGE('26.09 Gayaza-Kasangati-24h'!E80,'28.09 Gayaza-Kasangati-24h'!E80)</f>
        <v>1</v>
      </c>
      <c r="F80" s="49">
        <f>AVERAGE('26.09 Gayaza-Kasangati-24h'!F80,'28.09 Gayaza-Kasangati-24h'!F80)</f>
        <v>3.5</v>
      </c>
      <c r="G80" s="49">
        <f>AVERAGE('26.09 Gayaza-Kasangati-24h'!G80,'28.09 Gayaza-Kasangati-24h'!G80)</f>
        <v>0</v>
      </c>
      <c r="H80" s="49">
        <f>AVERAGE('26.09 Gayaza-Kasangati-24h'!H80,'28.09 Gayaza-Kasangati-24h'!H80)</f>
        <v>0</v>
      </c>
      <c r="I80" s="49">
        <f>AVERAGE('26.09 Gayaza-Kasangati-24h'!I80,'28.09 Gayaza-Kasangati-24h'!I80)</f>
        <v>0.5</v>
      </c>
      <c r="J80" s="49">
        <f>AVERAGE('26.09 Gayaza-Kasangati-24h'!J80,'28.09 Gayaza-Kasangati-24h'!J80)</f>
        <v>1.5</v>
      </c>
      <c r="K80" s="49">
        <f>AVERAGE('26.09 Gayaza-Kasangati-24h'!K80,'28.09 Gayaza-Kasangati-24h'!K80)</f>
        <v>0</v>
      </c>
      <c r="L80" s="49">
        <f>AVERAGE('26.09 Gayaza-Kasangati-24h'!L80,'28.09 Gayaza-Kasangati-24h'!L80)</f>
        <v>0</v>
      </c>
      <c r="M80" s="49">
        <f>AVERAGE('26.09 Gayaza-Kasangati-24h'!M80,'28.09 Gayaza-Kasangati-24h'!M80)</f>
        <v>10</v>
      </c>
      <c r="N80" s="49">
        <f>AVERAGE('26.09 Gayaza-Kasangati-24h'!N80,'28.09 Gayaza-Kasangati-24h'!N80)</f>
        <v>0</v>
      </c>
      <c r="O80" s="15">
        <f t="shared" si="35"/>
        <v>15</v>
      </c>
      <c r="P80" s="15">
        <f t="shared" si="36"/>
        <v>25</v>
      </c>
      <c r="R80" s="8"/>
      <c r="T80"/>
    </row>
    <row r="81" spans="2:20" ht="23.1" customHeight="1" x14ac:dyDescent="0.25">
      <c r="B81" s="23" t="s">
        <v>121</v>
      </c>
      <c r="C81" s="49">
        <f>AVERAGE('26.09 Gayaza-Kasangati-24h'!C81,'28.09 Gayaza-Kasangati-24h'!C81)</f>
        <v>6.5</v>
      </c>
      <c r="D81" s="49">
        <f>AVERAGE('26.09 Gayaza-Kasangati-24h'!D81,'28.09 Gayaza-Kasangati-24h'!D81)</f>
        <v>0</v>
      </c>
      <c r="E81" s="49">
        <f>AVERAGE('26.09 Gayaza-Kasangati-24h'!E81,'28.09 Gayaza-Kasangati-24h'!E81)</f>
        <v>1</v>
      </c>
      <c r="F81" s="49">
        <f>AVERAGE('26.09 Gayaza-Kasangati-24h'!F81,'28.09 Gayaza-Kasangati-24h'!F81)</f>
        <v>4</v>
      </c>
      <c r="G81" s="49">
        <f>AVERAGE('26.09 Gayaza-Kasangati-24h'!G81,'28.09 Gayaza-Kasangati-24h'!G81)</f>
        <v>0</v>
      </c>
      <c r="H81" s="49">
        <f>AVERAGE('26.09 Gayaza-Kasangati-24h'!H81,'28.09 Gayaza-Kasangati-24h'!H81)</f>
        <v>0</v>
      </c>
      <c r="I81" s="49">
        <f>AVERAGE('26.09 Gayaza-Kasangati-24h'!I81,'28.09 Gayaza-Kasangati-24h'!I81)</f>
        <v>1</v>
      </c>
      <c r="J81" s="49">
        <f>AVERAGE('26.09 Gayaza-Kasangati-24h'!J81,'28.09 Gayaza-Kasangati-24h'!J81)</f>
        <v>1</v>
      </c>
      <c r="K81" s="49">
        <f>AVERAGE('26.09 Gayaza-Kasangati-24h'!K81,'28.09 Gayaza-Kasangati-24h'!K81)</f>
        <v>0</v>
      </c>
      <c r="L81" s="49">
        <f>AVERAGE('26.09 Gayaza-Kasangati-24h'!L81,'28.09 Gayaza-Kasangati-24h'!L81)</f>
        <v>0</v>
      </c>
      <c r="M81" s="49">
        <f>AVERAGE('26.09 Gayaza-Kasangati-24h'!M81,'28.09 Gayaza-Kasangati-24h'!M81)</f>
        <v>8</v>
      </c>
      <c r="N81" s="49">
        <f>AVERAGE('26.09 Gayaza-Kasangati-24h'!N81,'28.09 Gayaza-Kasangati-24h'!N81)</f>
        <v>0</v>
      </c>
      <c r="O81" s="15">
        <f t="shared" si="35"/>
        <v>13.5</v>
      </c>
      <c r="P81" s="15">
        <f t="shared" si="36"/>
        <v>21.5</v>
      </c>
      <c r="R81" s="8"/>
      <c r="T81"/>
    </row>
    <row r="82" spans="2:20" ht="23.1" customHeight="1" x14ac:dyDescent="0.25">
      <c r="B82" s="24" t="s">
        <v>122</v>
      </c>
      <c r="C82" s="49">
        <f>AVERAGE('26.09 Gayaza-Kasangati-24h'!C82,'28.09 Gayaza-Kasangati-24h'!C82)</f>
        <v>3.5</v>
      </c>
      <c r="D82" s="49">
        <f>AVERAGE('26.09 Gayaza-Kasangati-24h'!D82,'28.09 Gayaza-Kasangati-24h'!D82)</f>
        <v>1</v>
      </c>
      <c r="E82" s="49">
        <f>AVERAGE('26.09 Gayaza-Kasangati-24h'!E82,'28.09 Gayaza-Kasangati-24h'!E82)</f>
        <v>0.5</v>
      </c>
      <c r="F82" s="49">
        <f>AVERAGE('26.09 Gayaza-Kasangati-24h'!F82,'28.09 Gayaza-Kasangati-24h'!F82)</f>
        <v>2</v>
      </c>
      <c r="G82" s="49">
        <f>AVERAGE('26.09 Gayaza-Kasangati-24h'!G82,'28.09 Gayaza-Kasangati-24h'!G82)</f>
        <v>0</v>
      </c>
      <c r="H82" s="49">
        <f>AVERAGE('26.09 Gayaza-Kasangati-24h'!H82,'28.09 Gayaza-Kasangati-24h'!H82)</f>
        <v>0</v>
      </c>
      <c r="I82" s="49">
        <f>AVERAGE('26.09 Gayaza-Kasangati-24h'!I82,'28.09 Gayaza-Kasangati-24h'!I82)</f>
        <v>0</v>
      </c>
      <c r="J82" s="49">
        <f>AVERAGE('26.09 Gayaza-Kasangati-24h'!J82,'28.09 Gayaza-Kasangati-24h'!J82)</f>
        <v>0</v>
      </c>
      <c r="K82" s="49">
        <f>AVERAGE('26.09 Gayaza-Kasangati-24h'!K82,'28.09 Gayaza-Kasangati-24h'!K82)</f>
        <v>0.5</v>
      </c>
      <c r="L82" s="49">
        <f>AVERAGE('26.09 Gayaza-Kasangati-24h'!L82,'28.09 Gayaza-Kasangati-24h'!L82)</f>
        <v>0</v>
      </c>
      <c r="M82" s="49">
        <f>AVERAGE('26.09 Gayaza-Kasangati-24h'!M82,'28.09 Gayaza-Kasangati-24h'!M82)</f>
        <v>12</v>
      </c>
      <c r="N82" s="49">
        <f>AVERAGE('26.09 Gayaza-Kasangati-24h'!N82,'28.09 Gayaza-Kasangati-24h'!N82)</f>
        <v>0</v>
      </c>
      <c r="O82" s="15">
        <f t="shared" si="35"/>
        <v>7.5</v>
      </c>
      <c r="P82" s="15">
        <f t="shared" si="36"/>
        <v>19.5</v>
      </c>
      <c r="R82" s="8"/>
      <c r="T82"/>
    </row>
    <row r="83" spans="2:20" ht="23.1" customHeight="1" x14ac:dyDescent="0.25">
      <c r="B83" s="23" t="s">
        <v>123</v>
      </c>
      <c r="C83" s="49">
        <f>AVERAGE('26.09 Gayaza-Kasangati-24h'!C83,'28.09 Gayaza-Kasangati-24h'!C83)</f>
        <v>2.5</v>
      </c>
      <c r="D83" s="49">
        <f>AVERAGE('26.09 Gayaza-Kasangati-24h'!D83,'28.09 Gayaza-Kasangati-24h'!D83)</f>
        <v>0.5</v>
      </c>
      <c r="E83" s="49">
        <f>AVERAGE('26.09 Gayaza-Kasangati-24h'!E83,'28.09 Gayaza-Kasangati-24h'!E83)</f>
        <v>0.5</v>
      </c>
      <c r="F83" s="49">
        <f>AVERAGE('26.09 Gayaza-Kasangati-24h'!F83,'28.09 Gayaza-Kasangati-24h'!F83)</f>
        <v>4</v>
      </c>
      <c r="G83" s="49">
        <f>AVERAGE('26.09 Gayaza-Kasangati-24h'!G83,'28.09 Gayaza-Kasangati-24h'!G83)</f>
        <v>0</v>
      </c>
      <c r="H83" s="49">
        <f>AVERAGE('26.09 Gayaza-Kasangati-24h'!H83,'28.09 Gayaza-Kasangati-24h'!H83)</f>
        <v>0</v>
      </c>
      <c r="I83" s="49">
        <f>AVERAGE('26.09 Gayaza-Kasangati-24h'!I83,'28.09 Gayaza-Kasangati-24h'!I83)</f>
        <v>2.5</v>
      </c>
      <c r="J83" s="49">
        <f>AVERAGE('26.09 Gayaza-Kasangati-24h'!J83,'28.09 Gayaza-Kasangati-24h'!J83)</f>
        <v>0</v>
      </c>
      <c r="K83" s="49">
        <f>AVERAGE('26.09 Gayaza-Kasangati-24h'!K83,'28.09 Gayaza-Kasangati-24h'!K83)</f>
        <v>0</v>
      </c>
      <c r="L83" s="49">
        <f>AVERAGE('26.09 Gayaza-Kasangati-24h'!L83,'28.09 Gayaza-Kasangati-24h'!L83)</f>
        <v>0</v>
      </c>
      <c r="M83" s="49">
        <f>AVERAGE('26.09 Gayaza-Kasangati-24h'!M83,'28.09 Gayaza-Kasangati-24h'!M83)</f>
        <v>7.5</v>
      </c>
      <c r="N83" s="49">
        <f>AVERAGE('26.09 Gayaza-Kasangati-24h'!N83,'28.09 Gayaza-Kasangati-24h'!N83)</f>
        <v>0</v>
      </c>
      <c r="O83" s="15">
        <f t="shared" si="35"/>
        <v>10</v>
      </c>
      <c r="P83" s="15">
        <f t="shared" si="36"/>
        <v>17.5</v>
      </c>
      <c r="R83" s="8"/>
      <c r="T83"/>
    </row>
    <row r="84" spans="2:20" ht="23.1" customHeight="1" x14ac:dyDescent="0.25">
      <c r="B84" s="25" t="s">
        <v>124</v>
      </c>
      <c r="C84" s="49">
        <f>AVERAGE('26.09 Gayaza-Kasangati-24h'!C84,'28.09 Gayaza-Kasangati-24h'!C84)</f>
        <v>3.5</v>
      </c>
      <c r="D84" s="49">
        <f>AVERAGE('26.09 Gayaza-Kasangati-24h'!D84,'28.09 Gayaza-Kasangati-24h'!D84)</f>
        <v>0</v>
      </c>
      <c r="E84" s="49">
        <f>AVERAGE('26.09 Gayaza-Kasangati-24h'!E84,'28.09 Gayaza-Kasangati-24h'!E84)</f>
        <v>0.5</v>
      </c>
      <c r="F84" s="49">
        <f>AVERAGE('26.09 Gayaza-Kasangati-24h'!F84,'28.09 Gayaza-Kasangati-24h'!F84)</f>
        <v>1</v>
      </c>
      <c r="G84" s="49">
        <f>AVERAGE('26.09 Gayaza-Kasangati-24h'!G84,'28.09 Gayaza-Kasangati-24h'!G84)</f>
        <v>0</v>
      </c>
      <c r="H84" s="49">
        <f>AVERAGE('26.09 Gayaza-Kasangati-24h'!H84,'28.09 Gayaza-Kasangati-24h'!H84)</f>
        <v>0</v>
      </c>
      <c r="I84" s="49">
        <f>AVERAGE('26.09 Gayaza-Kasangati-24h'!I84,'28.09 Gayaza-Kasangati-24h'!I84)</f>
        <v>0.5</v>
      </c>
      <c r="J84" s="49">
        <f>AVERAGE('26.09 Gayaza-Kasangati-24h'!J84,'28.09 Gayaza-Kasangati-24h'!J84)</f>
        <v>0</v>
      </c>
      <c r="K84" s="49">
        <f>AVERAGE('26.09 Gayaza-Kasangati-24h'!K84,'28.09 Gayaza-Kasangati-24h'!K84)</f>
        <v>0</v>
      </c>
      <c r="L84" s="49">
        <f>AVERAGE('26.09 Gayaza-Kasangati-24h'!L84,'28.09 Gayaza-Kasangati-24h'!L84)</f>
        <v>0</v>
      </c>
      <c r="M84" s="49">
        <f>AVERAGE('26.09 Gayaza-Kasangati-24h'!M84,'28.09 Gayaza-Kasangati-24h'!M84)</f>
        <v>11</v>
      </c>
      <c r="N84" s="49">
        <f>AVERAGE('26.09 Gayaza-Kasangati-24h'!N84,'28.09 Gayaza-Kasangati-24h'!N84)</f>
        <v>0</v>
      </c>
      <c r="O84" s="15">
        <f t="shared" si="35"/>
        <v>5.5</v>
      </c>
      <c r="P84" s="15">
        <f t="shared" si="36"/>
        <v>16.5</v>
      </c>
      <c r="R84" s="8"/>
      <c r="T84"/>
    </row>
    <row r="85" spans="2:20" ht="23.1" customHeight="1" x14ac:dyDescent="0.25">
      <c r="B85" s="23" t="s">
        <v>125</v>
      </c>
      <c r="C85" s="49">
        <f>AVERAGE('26.09 Gayaza-Kasangati-24h'!C85,'28.09 Gayaza-Kasangati-24h'!C85)</f>
        <v>2.5</v>
      </c>
      <c r="D85" s="49">
        <f>AVERAGE('26.09 Gayaza-Kasangati-24h'!D85,'28.09 Gayaza-Kasangati-24h'!D85)</f>
        <v>1</v>
      </c>
      <c r="E85" s="49">
        <f>AVERAGE('26.09 Gayaza-Kasangati-24h'!E85,'28.09 Gayaza-Kasangati-24h'!E85)</f>
        <v>0.5</v>
      </c>
      <c r="F85" s="49">
        <f>AVERAGE('26.09 Gayaza-Kasangati-24h'!F85,'28.09 Gayaza-Kasangati-24h'!F85)</f>
        <v>2.5</v>
      </c>
      <c r="G85" s="49">
        <f>AVERAGE('26.09 Gayaza-Kasangati-24h'!G85,'28.09 Gayaza-Kasangati-24h'!G85)</f>
        <v>0</v>
      </c>
      <c r="H85" s="49">
        <f>AVERAGE('26.09 Gayaza-Kasangati-24h'!H85,'28.09 Gayaza-Kasangati-24h'!H85)</f>
        <v>0</v>
      </c>
      <c r="I85" s="49">
        <f>AVERAGE('26.09 Gayaza-Kasangati-24h'!I85,'28.09 Gayaza-Kasangati-24h'!I85)</f>
        <v>0</v>
      </c>
      <c r="J85" s="49">
        <f>AVERAGE('26.09 Gayaza-Kasangati-24h'!J85,'28.09 Gayaza-Kasangati-24h'!J85)</f>
        <v>0</v>
      </c>
      <c r="K85" s="49">
        <f>AVERAGE('26.09 Gayaza-Kasangati-24h'!K85,'28.09 Gayaza-Kasangati-24h'!K85)</f>
        <v>0</v>
      </c>
      <c r="L85" s="49">
        <f>AVERAGE('26.09 Gayaza-Kasangati-24h'!L85,'28.09 Gayaza-Kasangati-24h'!L85)</f>
        <v>0</v>
      </c>
      <c r="M85" s="49">
        <f>AVERAGE('26.09 Gayaza-Kasangati-24h'!M85,'28.09 Gayaza-Kasangati-24h'!M85)</f>
        <v>7</v>
      </c>
      <c r="N85" s="49">
        <f>AVERAGE('26.09 Gayaza-Kasangati-24h'!N85,'28.09 Gayaza-Kasangati-24h'!N85)</f>
        <v>0</v>
      </c>
      <c r="O85" s="15">
        <f t="shared" si="35"/>
        <v>6.5</v>
      </c>
      <c r="P85" s="15">
        <f t="shared" si="36"/>
        <v>13.5</v>
      </c>
      <c r="R85" s="8"/>
      <c r="T85"/>
    </row>
    <row r="86" spans="2:20" ht="23.1" customHeight="1" x14ac:dyDescent="0.25">
      <c r="B86" s="24" t="s">
        <v>126</v>
      </c>
      <c r="C86" s="49">
        <f>AVERAGE('26.09 Gayaza-Kasangati-24h'!C86,'28.09 Gayaza-Kasangati-24h'!C86)</f>
        <v>3.5</v>
      </c>
      <c r="D86" s="49">
        <f>AVERAGE('26.09 Gayaza-Kasangati-24h'!D86,'28.09 Gayaza-Kasangati-24h'!D86)</f>
        <v>1</v>
      </c>
      <c r="E86" s="49">
        <f>AVERAGE('26.09 Gayaza-Kasangati-24h'!E86,'28.09 Gayaza-Kasangati-24h'!E86)</f>
        <v>0</v>
      </c>
      <c r="F86" s="49">
        <f>AVERAGE('26.09 Gayaza-Kasangati-24h'!F86,'28.09 Gayaza-Kasangati-24h'!F86)</f>
        <v>1.5</v>
      </c>
      <c r="G86" s="49">
        <f>AVERAGE('26.09 Gayaza-Kasangati-24h'!G86,'28.09 Gayaza-Kasangati-24h'!G86)</f>
        <v>0</v>
      </c>
      <c r="H86" s="49">
        <f>AVERAGE('26.09 Gayaza-Kasangati-24h'!H86,'28.09 Gayaza-Kasangati-24h'!H86)</f>
        <v>0</v>
      </c>
      <c r="I86" s="49">
        <f>AVERAGE('26.09 Gayaza-Kasangati-24h'!I86,'28.09 Gayaza-Kasangati-24h'!I86)</f>
        <v>0</v>
      </c>
      <c r="J86" s="49">
        <f>AVERAGE('26.09 Gayaza-Kasangati-24h'!J86,'28.09 Gayaza-Kasangati-24h'!J86)</f>
        <v>0</v>
      </c>
      <c r="K86" s="49">
        <f>AVERAGE('26.09 Gayaza-Kasangati-24h'!K86,'28.09 Gayaza-Kasangati-24h'!K86)</f>
        <v>0</v>
      </c>
      <c r="L86" s="49">
        <f>AVERAGE('26.09 Gayaza-Kasangati-24h'!L86,'28.09 Gayaza-Kasangati-24h'!L86)</f>
        <v>0</v>
      </c>
      <c r="M86" s="49">
        <f>AVERAGE('26.09 Gayaza-Kasangati-24h'!M86,'28.09 Gayaza-Kasangati-24h'!M86)</f>
        <v>8.5</v>
      </c>
      <c r="N86" s="49">
        <f>AVERAGE('26.09 Gayaza-Kasangati-24h'!N86,'28.09 Gayaza-Kasangati-24h'!N86)</f>
        <v>0</v>
      </c>
      <c r="O86" s="15">
        <f t="shared" si="35"/>
        <v>6</v>
      </c>
      <c r="P86" s="15">
        <f t="shared" si="36"/>
        <v>14.5</v>
      </c>
      <c r="R86" s="8"/>
      <c r="T86"/>
    </row>
    <row r="87" spans="2:20" ht="23.1" customHeight="1" x14ac:dyDescent="0.25">
      <c r="B87" s="23" t="s">
        <v>127</v>
      </c>
      <c r="C87" s="49">
        <f>AVERAGE('26.09 Gayaza-Kasangati-24h'!C87,'28.09 Gayaza-Kasangati-24h'!C87)</f>
        <v>2</v>
      </c>
      <c r="D87" s="49">
        <f>AVERAGE('26.09 Gayaza-Kasangati-24h'!D87,'28.09 Gayaza-Kasangati-24h'!D87)</f>
        <v>0.5</v>
      </c>
      <c r="E87" s="49">
        <f>AVERAGE('26.09 Gayaza-Kasangati-24h'!E87,'28.09 Gayaza-Kasangati-24h'!E87)</f>
        <v>0</v>
      </c>
      <c r="F87" s="49">
        <f>AVERAGE('26.09 Gayaza-Kasangati-24h'!F87,'28.09 Gayaza-Kasangati-24h'!F87)</f>
        <v>1.5</v>
      </c>
      <c r="G87" s="49">
        <f>AVERAGE('26.09 Gayaza-Kasangati-24h'!G87,'28.09 Gayaza-Kasangati-24h'!G87)</f>
        <v>0</v>
      </c>
      <c r="H87" s="49">
        <f>AVERAGE('26.09 Gayaza-Kasangati-24h'!H87,'28.09 Gayaza-Kasangati-24h'!H87)</f>
        <v>0</v>
      </c>
      <c r="I87" s="49">
        <f>AVERAGE('26.09 Gayaza-Kasangati-24h'!I87,'28.09 Gayaza-Kasangati-24h'!I87)</f>
        <v>1.5</v>
      </c>
      <c r="J87" s="49">
        <f>AVERAGE('26.09 Gayaza-Kasangati-24h'!J87,'28.09 Gayaza-Kasangati-24h'!J87)</f>
        <v>0.5</v>
      </c>
      <c r="K87" s="49">
        <f>AVERAGE('26.09 Gayaza-Kasangati-24h'!K87,'28.09 Gayaza-Kasangati-24h'!K87)</f>
        <v>1</v>
      </c>
      <c r="L87" s="49">
        <f>AVERAGE('26.09 Gayaza-Kasangati-24h'!L87,'28.09 Gayaza-Kasangati-24h'!L87)</f>
        <v>0</v>
      </c>
      <c r="M87" s="49">
        <f>AVERAGE('26.09 Gayaza-Kasangati-24h'!M87,'28.09 Gayaza-Kasangati-24h'!M87)</f>
        <v>4</v>
      </c>
      <c r="N87" s="49">
        <f>AVERAGE('26.09 Gayaza-Kasangati-24h'!N87,'28.09 Gayaza-Kasangati-24h'!N87)</f>
        <v>0</v>
      </c>
      <c r="O87" s="15">
        <f t="shared" si="35"/>
        <v>7</v>
      </c>
      <c r="P87" s="15">
        <f t="shared" si="36"/>
        <v>11</v>
      </c>
      <c r="R87" s="8"/>
      <c r="T87"/>
    </row>
    <row r="88" spans="2:20" ht="23.1" customHeight="1" x14ac:dyDescent="0.25">
      <c r="B88" s="25" t="s">
        <v>128</v>
      </c>
      <c r="C88" s="49">
        <f>AVERAGE('26.09 Gayaza-Kasangati-24h'!C88,'28.09 Gayaza-Kasangati-24h'!C88)</f>
        <v>4</v>
      </c>
      <c r="D88" s="49">
        <f>AVERAGE('26.09 Gayaza-Kasangati-24h'!D88,'28.09 Gayaza-Kasangati-24h'!D88)</f>
        <v>1</v>
      </c>
      <c r="E88" s="49">
        <f>AVERAGE('26.09 Gayaza-Kasangati-24h'!E88,'28.09 Gayaza-Kasangati-24h'!E88)</f>
        <v>0</v>
      </c>
      <c r="F88" s="49">
        <f>AVERAGE('26.09 Gayaza-Kasangati-24h'!F88,'28.09 Gayaza-Kasangati-24h'!F88)</f>
        <v>2.5</v>
      </c>
      <c r="G88" s="49">
        <f>AVERAGE('26.09 Gayaza-Kasangati-24h'!G88,'28.09 Gayaza-Kasangati-24h'!G88)</f>
        <v>0.5</v>
      </c>
      <c r="H88" s="49">
        <f>AVERAGE('26.09 Gayaza-Kasangati-24h'!H88,'28.09 Gayaza-Kasangati-24h'!H88)</f>
        <v>0</v>
      </c>
      <c r="I88" s="49">
        <f>AVERAGE('26.09 Gayaza-Kasangati-24h'!I88,'28.09 Gayaza-Kasangati-24h'!I88)</f>
        <v>1</v>
      </c>
      <c r="J88" s="49">
        <f>AVERAGE('26.09 Gayaza-Kasangati-24h'!J88,'28.09 Gayaza-Kasangati-24h'!J88)</f>
        <v>0</v>
      </c>
      <c r="K88" s="49">
        <f>AVERAGE('26.09 Gayaza-Kasangati-24h'!K88,'28.09 Gayaza-Kasangati-24h'!K88)</f>
        <v>0</v>
      </c>
      <c r="L88" s="49">
        <f>AVERAGE('26.09 Gayaza-Kasangati-24h'!L88,'28.09 Gayaza-Kasangati-24h'!L88)</f>
        <v>0</v>
      </c>
      <c r="M88" s="49">
        <f>AVERAGE('26.09 Gayaza-Kasangati-24h'!M88,'28.09 Gayaza-Kasangati-24h'!M88)</f>
        <v>4</v>
      </c>
      <c r="N88" s="49">
        <f>AVERAGE('26.09 Gayaza-Kasangati-24h'!N88,'28.09 Gayaza-Kasangati-24h'!N88)</f>
        <v>0</v>
      </c>
      <c r="O88" s="15">
        <f t="shared" si="35"/>
        <v>9</v>
      </c>
      <c r="P88" s="15">
        <f t="shared" si="36"/>
        <v>13</v>
      </c>
      <c r="R88" s="8"/>
      <c r="T88"/>
    </row>
    <row r="89" spans="2:20" ht="23.1" customHeight="1" x14ac:dyDescent="0.25">
      <c r="B89" s="23" t="s">
        <v>129</v>
      </c>
      <c r="C89" s="49">
        <f>AVERAGE('26.09 Gayaza-Kasangati-24h'!C89,'28.09 Gayaza-Kasangati-24h'!C89)</f>
        <v>0.5</v>
      </c>
      <c r="D89" s="49">
        <f>AVERAGE('26.09 Gayaza-Kasangati-24h'!D89,'28.09 Gayaza-Kasangati-24h'!D89)</f>
        <v>0.5</v>
      </c>
      <c r="E89" s="49">
        <f>AVERAGE('26.09 Gayaza-Kasangati-24h'!E89,'28.09 Gayaza-Kasangati-24h'!E89)</f>
        <v>1</v>
      </c>
      <c r="F89" s="49">
        <f>AVERAGE('26.09 Gayaza-Kasangati-24h'!F89,'28.09 Gayaza-Kasangati-24h'!F89)</f>
        <v>3</v>
      </c>
      <c r="G89" s="49">
        <f>AVERAGE('26.09 Gayaza-Kasangati-24h'!G89,'28.09 Gayaza-Kasangati-24h'!G89)</f>
        <v>0</v>
      </c>
      <c r="H89" s="49">
        <f>AVERAGE('26.09 Gayaza-Kasangati-24h'!H89,'28.09 Gayaza-Kasangati-24h'!H89)</f>
        <v>0</v>
      </c>
      <c r="I89" s="49">
        <f>AVERAGE('26.09 Gayaza-Kasangati-24h'!I89,'28.09 Gayaza-Kasangati-24h'!I89)</f>
        <v>1.5</v>
      </c>
      <c r="J89" s="49">
        <f>AVERAGE('26.09 Gayaza-Kasangati-24h'!J89,'28.09 Gayaza-Kasangati-24h'!J89)</f>
        <v>0.5</v>
      </c>
      <c r="K89" s="49">
        <f>AVERAGE('26.09 Gayaza-Kasangati-24h'!K89,'28.09 Gayaza-Kasangati-24h'!K89)</f>
        <v>0</v>
      </c>
      <c r="L89" s="49">
        <f>AVERAGE('26.09 Gayaza-Kasangati-24h'!L89,'28.09 Gayaza-Kasangati-24h'!L89)</f>
        <v>0</v>
      </c>
      <c r="M89" s="49">
        <f>AVERAGE('26.09 Gayaza-Kasangati-24h'!M89,'28.09 Gayaza-Kasangati-24h'!M89)</f>
        <v>7</v>
      </c>
      <c r="N89" s="49">
        <f>AVERAGE('26.09 Gayaza-Kasangati-24h'!N89,'28.09 Gayaza-Kasangati-24h'!N89)</f>
        <v>0</v>
      </c>
      <c r="O89" s="15">
        <f t="shared" si="35"/>
        <v>7</v>
      </c>
      <c r="P89" s="15">
        <f t="shared" si="36"/>
        <v>14</v>
      </c>
      <c r="R89" s="8"/>
      <c r="T89"/>
    </row>
    <row r="90" spans="2:20" ht="23.1" customHeight="1" x14ac:dyDescent="0.25">
      <c r="B90" s="24" t="s">
        <v>130</v>
      </c>
      <c r="C90" s="49">
        <f>AVERAGE('26.09 Gayaza-Kasangati-24h'!C90,'28.09 Gayaza-Kasangati-24h'!C90)</f>
        <v>4</v>
      </c>
      <c r="D90" s="49">
        <f>AVERAGE('26.09 Gayaza-Kasangati-24h'!D90,'28.09 Gayaza-Kasangati-24h'!D90)</f>
        <v>0</v>
      </c>
      <c r="E90" s="49">
        <f>AVERAGE('26.09 Gayaza-Kasangati-24h'!E90,'28.09 Gayaza-Kasangati-24h'!E90)</f>
        <v>0</v>
      </c>
      <c r="F90" s="49">
        <f>AVERAGE('26.09 Gayaza-Kasangati-24h'!F90,'28.09 Gayaza-Kasangati-24h'!F90)</f>
        <v>1.5</v>
      </c>
      <c r="G90" s="49">
        <f>AVERAGE('26.09 Gayaza-Kasangati-24h'!G90,'28.09 Gayaza-Kasangati-24h'!G90)</f>
        <v>0</v>
      </c>
      <c r="H90" s="49">
        <f>AVERAGE('26.09 Gayaza-Kasangati-24h'!H90,'28.09 Gayaza-Kasangati-24h'!H90)</f>
        <v>0</v>
      </c>
      <c r="I90" s="49">
        <f>AVERAGE('26.09 Gayaza-Kasangati-24h'!I90,'28.09 Gayaza-Kasangati-24h'!I90)</f>
        <v>0</v>
      </c>
      <c r="J90" s="49">
        <f>AVERAGE('26.09 Gayaza-Kasangati-24h'!J90,'28.09 Gayaza-Kasangati-24h'!J90)</f>
        <v>1</v>
      </c>
      <c r="K90" s="49">
        <f>AVERAGE('26.09 Gayaza-Kasangati-24h'!K90,'28.09 Gayaza-Kasangati-24h'!K90)</f>
        <v>0.5</v>
      </c>
      <c r="L90" s="49">
        <f>AVERAGE('26.09 Gayaza-Kasangati-24h'!L90,'28.09 Gayaza-Kasangati-24h'!L90)</f>
        <v>0</v>
      </c>
      <c r="M90" s="49">
        <f>AVERAGE('26.09 Gayaza-Kasangati-24h'!M90,'28.09 Gayaza-Kasangati-24h'!M90)</f>
        <v>2</v>
      </c>
      <c r="N90" s="49">
        <f>AVERAGE('26.09 Gayaza-Kasangati-24h'!N90,'28.09 Gayaza-Kasangati-24h'!N90)</f>
        <v>0</v>
      </c>
      <c r="O90" s="15">
        <f t="shared" si="35"/>
        <v>7</v>
      </c>
      <c r="P90" s="15">
        <f t="shared" si="36"/>
        <v>9</v>
      </c>
      <c r="R90" s="8"/>
      <c r="T90"/>
    </row>
    <row r="91" spans="2:20" ht="23.1" customHeight="1" x14ac:dyDescent="0.25">
      <c r="B91" s="23" t="s">
        <v>131</v>
      </c>
      <c r="C91" s="49">
        <f>AVERAGE('26.09 Gayaza-Kasangati-24h'!C91,'28.09 Gayaza-Kasangati-24h'!C91)</f>
        <v>5</v>
      </c>
      <c r="D91" s="49">
        <f>AVERAGE('26.09 Gayaza-Kasangati-24h'!D91,'28.09 Gayaza-Kasangati-24h'!D91)</f>
        <v>0.5</v>
      </c>
      <c r="E91" s="49">
        <f>AVERAGE('26.09 Gayaza-Kasangati-24h'!E91,'28.09 Gayaza-Kasangati-24h'!E91)</f>
        <v>1</v>
      </c>
      <c r="F91" s="49">
        <f>AVERAGE('26.09 Gayaza-Kasangati-24h'!F91,'28.09 Gayaza-Kasangati-24h'!F91)</f>
        <v>2</v>
      </c>
      <c r="G91" s="49">
        <f>AVERAGE('26.09 Gayaza-Kasangati-24h'!G91,'28.09 Gayaza-Kasangati-24h'!G91)</f>
        <v>0</v>
      </c>
      <c r="H91" s="49">
        <f>AVERAGE('26.09 Gayaza-Kasangati-24h'!H91,'28.09 Gayaza-Kasangati-24h'!H91)</f>
        <v>0</v>
      </c>
      <c r="I91" s="49">
        <f>AVERAGE('26.09 Gayaza-Kasangati-24h'!I91,'28.09 Gayaza-Kasangati-24h'!I91)</f>
        <v>0</v>
      </c>
      <c r="J91" s="49">
        <f>AVERAGE('26.09 Gayaza-Kasangati-24h'!J91,'28.09 Gayaza-Kasangati-24h'!J91)</f>
        <v>1</v>
      </c>
      <c r="K91" s="49">
        <f>AVERAGE('26.09 Gayaza-Kasangati-24h'!K91,'28.09 Gayaza-Kasangati-24h'!K91)</f>
        <v>0</v>
      </c>
      <c r="L91" s="49">
        <f>AVERAGE('26.09 Gayaza-Kasangati-24h'!L91,'28.09 Gayaza-Kasangati-24h'!L91)</f>
        <v>0</v>
      </c>
      <c r="M91" s="49">
        <f>AVERAGE('26.09 Gayaza-Kasangati-24h'!M91,'28.09 Gayaza-Kasangati-24h'!M91)</f>
        <v>2.5</v>
      </c>
      <c r="N91" s="49">
        <f>AVERAGE('26.09 Gayaza-Kasangati-24h'!N91,'28.09 Gayaza-Kasangati-24h'!N91)</f>
        <v>0</v>
      </c>
      <c r="O91" s="15">
        <f t="shared" si="35"/>
        <v>9.5</v>
      </c>
      <c r="P91" s="15">
        <f t="shared" si="36"/>
        <v>12</v>
      </c>
      <c r="R91" s="8"/>
      <c r="T91"/>
    </row>
    <row r="92" spans="2:20" ht="23.1" customHeight="1" x14ac:dyDescent="0.25">
      <c r="B92" s="25" t="s">
        <v>132</v>
      </c>
      <c r="C92" s="49">
        <f>AVERAGE('26.09 Gayaza-Kasangati-24h'!C92,'28.09 Gayaza-Kasangati-24h'!C92)</f>
        <v>3</v>
      </c>
      <c r="D92" s="49">
        <f>AVERAGE('26.09 Gayaza-Kasangati-24h'!D92,'28.09 Gayaza-Kasangati-24h'!D92)</f>
        <v>0</v>
      </c>
      <c r="E92" s="49">
        <f>AVERAGE('26.09 Gayaza-Kasangati-24h'!E92,'28.09 Gayaza-Kasangati-24h'!E92)</f>
        <v>1</v>
      </c>
      <c r="F92" s="49">
        <f>AVERAGE('26.09 Gayaza-Kasangati-24h'!F92,'28.09 Gayaza-Kasangati-24h'!F92)</f>
        <v>2</v>
      </c>
      <c r="G92" s="49">
        <f>AVERAGE('26.09 Gayaza-Kasangati-24h'!G92,'28.09 Gayaza-Kasangati-24h'!G92)</f>
        <v>0</v>
      </c>
      <c r="H92" s="49">
        <f>AVERAGE('26.09 Gayaza-Kasangati-24h'!H92,'28.09 Gayaza-Kasangati-24h'!H92)</f>
        <v>0</v>
      </c>
      <c r="I92" s="49">
        <f>AVERAGE('26.09 Gayaza-Kasangati-24h'!I92,'28.09 Gayaza-Kasangati-24h'!I92)</f>
        <v>1.5</v>
      </c>
      <c r="J92" s="49">
        <f>AVERAGE('26.09 Gayaza-Kasangati-24h'!J92,'28.09 Gayaza-Kasangati-24h'!J92)</f>
        <v>0.5</v>
      </c>
      <c r="K92" s="49">
        <f>AVERAGE('26.09 Gayaza-Kasangati-24h'!K92,'28.09 Gayaza-Kasangati-24h'!K92)</f>
        <v>0</v>
      </c>
      <c r="L92" s="49">
        <f>AVERAGE('26.09 Gayaza-Kasangati-24h'!L92,'28.09 Gayaza-Kasangati-24h'!L92)</f>
        <v>0</v>
      </c>
      <c r="M92" s="49">
        <f>AVERAGE('26.09 Gayaza-Kasangati-24h'!M92,'28.09 Gayaza-Kasangati-24h'!M92)</f>
        <v>6.5</v>
      </c>
      <c r="N92" s="49">
        <f>AVERAGE('26.09 Gayaza-Kasangati-24h'!N92,'28.09 Gayaza-Kasangati-24h'!N92)</f>
        <v>0</v>
      </c>
      <c r="O92" s="15">
        <f t="shared" si="35"/>
        <v>8</v>
      </c>
      <c r="P92" s="15">
        <f t="shared" si="36"/>
        <v>14.5</v>
      </c>
      <c r="R92" s="8"/>
      <c r="T92"/>
    </row>
    <row r="93" spans="2:20" ht="23.1" customHeight="1" x14ac:dyDescent="0.25">
      <c r="B93" s="23" t="s">
        <v>133</v>
      </c>
      <c r="C93" s="49">
        <f>AVERAGE('26.09 Gayaza-Kasangati-24h'!C93,'28.09 Gayaza-Kasangati-24h'!C93)</f>
        <v>3.5</v>
      </c>
      <c r="D93" s="49">
        <f>AVERAGE('26.09 Gayaza-Kasangati-24h'!D93,'28.09 Gayaza-Kasangati-24h'!D93)</f>
        <v>0</v>
      </c>
      <c r="E93" s="49">
        <f>AVERAGE('26.09 Gayaza-Kasangati-24h'!E93,'28.09 Gayaza-Kasangati-24h'!E93)</f>
        <v>1.5</v>
      </c>
      <c r="F93" s="49">
        <f>AVERAGE('26.09 Gayaza-Kasangati-24h'!F93,'28.09 Gayaza-Kasangati-24h'!F93)</f>
        <v>1.5</v>
      </c>
      <c r="G93" s="49">
        <f>AVERAGE('26.09 Gayaza-Kasangati-24h'!G93,'28.09 Gayaza-Kasangati-24h'!G93)</f>
        <v>0</v>
      </c>
      <c r="H93" s="49">
        <f>AVERAGE('26.09 Gayaza-Kasangati-24h'!H93,'28.09 Gayaza-Kasangati-24h'!H93)</f>
        <v>0</v>
      </c>
      <c r="I93" s="49">
        <f>AVERAGE('26.09 Gayaza-Kasangati-24h'!I93,'28.09 Gayaza-Kasangati-24h'!I93)</f>
        <v>2</v>
      </c>
      <c r="J93" s="49">
        <f>AVERAGE('26.09 Gayaza-Kasangati-24h'!J93,'28.09 Gayaza-Kasangati-24h'!J93)</f>
        <v>0</v>
      </c>
      <c r="K93" s="49">
        <f>AVERAGE('26.09 Gayaza-Kasangati-24h'!K93,'28.09 Gayaza-Kasangati-24h'!K93)</f>
        <v>0</v>
      </c>
      <c r="L93" s="49">
        <f>AVERAGE('26.09 Gayaza-Kasangati-24h'!L93,'28.09 Gayaza-Kasangati-24h'!L93)</f>
        <v>0</v>
      </c>
      <c r="M93" s="49">
        <f>AVERAGE('26.09 Gayaza-Kasangati-24h'!M93,'28.09 Gayaza-Kasangati-24h'!M93)</f>
        <v>8.5</v>
      </c>
      <c r="N93" s="49">
        <f>AVERAGE('26.09 Gayaza-Kasangati-24h'!N93,'28.09 Gayaza-Kasangati-24h'!N93)</f>
        <v>0</v>
      </c>
      <c r="O93" s="15">
        <f t="shared" si="35"/>
        <v>8.5</v>
      </c>
      <c r="P93" s="15">
        <f t="shared" si="36"/>
        <v>17</v>
      </c>
      <c r="R93" s="8"/>
      <c r="T93"/>
    </row>
    <row r="94" spans="2:20" ht="23.1" customHeight="1" x14ac:dyDescent="0.25">
      <c r="B94" s="24" t="s">
        <v>134</v>
      </c>
      <c r="C94" s="49">
        <f>AVERAGE('26.09 Gayaza-Kasangati-24h'!C94,'28.09 Gayaza-Kasangati-24h'!C94)</f>
        <v>2.5</v>
      </c>
      <c r="D94" s="49">
        <f>AVERAGE('26.09 Gayaza-Kasangati-24h'!D94,'28.09 Gayaza-Kasangati-24h'!D94)</f>
        <v>0</v>
      </c>
      <c r="E94" s="49">
        <f>AVERAGE('26.09 Gayaza-Kasangati-24h'!E94,'28.09 Gayaza-Kasangati-24h'!E94)</f>
        <v>0</v>
      </c>
      <c r="F94" s="49">
        <f>AVERAGE('26.09 Gayaza-Kasangati-24h'!F94,'28.09 Gayaza-Kasangati-24h'!F94)</f>
        <v>3</v>
      </c>
      <c r="G94" s="49">
        <f>AVERAGE('26.09 Gayaza-Kasangati-24h'!G94,'28.09 Gayaza-Kasangati-24h'!G94)</f>
        <v>0.5</v>
      </c>
      <c r="H94" s="49">
        <f>AVERAGE('26.09 Gayaza-Kasangati-24h'!H94,'28.09 Gayaza-Kasangati-24h'!H94)</f>
        <v>0</v>
      </c>
      <c r="I94" s="49">
        <f>AVERAGE('26.09 Gayaza-Kasangati-24h'!I94,'28.09 Gayaza-Kasangati-24h'!I94)</f>
        <v>1.5</v>
      </c>
      <c r="J94" s="49">
        <f>AVERAGE('26.09 Gayaza-Kasangati-24h'!J94,'28.09 Gayaza-Kasangati-24h'!J94)</f>
        <v>0.5</v>
      </c>
      <c r="K94" s="49">
        <f>AVERAGE('26.09 Gayaza-Kasangati-24h'!K94,'28.09 Gayaza-Kasangati-24h'!K94)</f>
        <v>0</v>
      </c>
      <c r="L94" s="49">
        <f>AVERAGE('26.09 Gayaza-Kasangati-24h'!L94,'28.09 Gayaza-Kasangati-24h'!L94)</f>
        <v>0</v>
      </c>
      <c r="M94" s="49">
        <f>AVERAGE('26.09 Gayaza-Kasangati-24h'!M94,'28.09 Gayaza-Kasangati-24h'!M94)</f>
        <v>11</v>
      </c>
      <c r="N94" s="49">
        <f>AVERAGE('26.09 Gayaza-Kasangati-24h'!N94,'28.09 Gayaza-Kasangati-24h'!N94)</f>
        <v>0</v>
      </c>
      <c r="O94" s="15">
        <f t="shared" si="35"/>
        <v>8</v>
      </c>
      <c r="P94" s="15">
        <f t="shared" si="36"/>
        <v>19</v>
      </c>
      <c r="R94" s="8"/>
      <c r="T94"/>
    </row>
    <row r="95" spans="2:20" ht="23.1" customHeight="1" x14ac:dyDescent="0.25">
      <c r="B95" s="23" t="s">
        <v>135</v>
      </c>
      <c r="C95" s="49">
        <f>AVERAGE('26.09 Gayaza-Kasangati-24h'!C95,'28.09 Gayaza-Kasangati-24h'!C95)</f>
        <v>2</v>
      </c>
      <c r="D95" s="49">
        <f>AVERAGE('26.09 Gayaza-Kasangati-24h'!D95,'28.09 Gayaza-Kasangati-24h'!D95)</f>
        <v>0.5</v>
      </c>
      <c r="E95" s="49">
        <f>AVERAGE('26.09 Gayaza-Kasangati-24h'!E95,'28.09 Gayaza-Kasangati-24h'!E95)</f>
        <v>0.5</v>
      </c>
      <c r="F95" s="49">
        <f>AVERAGE('26.09 Gayaza-Kasangati-24h'!F95,'28.09 Gayaza-Kasangati-24h'!F95)</f>
        <v>1.5</v>
      </c>
      <c r="G95" s="49">
        <f>AVERAGE('26.09 Gayaza-Kasangati-24h'!G95,'28.09 Gayaza-Kasangati-24h'!G95)</f>
        <v>0</v>
      </c>
      <c r="H95" s="49">
        <f>AVERAGE('26.09 Gayaza-Kasangati-24h'!H95,'28.09 Gayaza-Kasangati-24h'!H95)</f>
        <v>0</v>
      </c>
      <c r="I95" s="49">
        <f>AVERAGE('26.09 Gayaza-Kasangati-24h'!I95,'28.09 Gayaza-Kasangati-24h'!I95)</f>
        <v>1</v>
      </c>
      <c r="J95" s="49">
        <f>AVERAGE('26.09 Gayaza-Kasangati-24h'!J95,'28.09 Gayaza-Kasangati-24h'!J95)</f>
        <v>0</v>
      </c>
      <c r="K95" s="49">
        <f>AVERAGE('26.09 Gayaza-Kasangati-24h'!K95,'28.09 Gayaza-Kasangati-24h'!K95)</f>
        <v>0</v>
      </c>
      <c r="L95" s="49">
        <f>AVERAGE('26.09 Gayaza-Kasangati-24h'!L95,'28.09 Gayaza-Kasangati-24h'!L95)</f>
        <v>0.5</v>
      </c>
      <c r="M95" s="49">
        <f>AVERAGE('26.09 Gayaza-Kasangati-24h'!M95,'28.09 Gayaza-Kasangati-24h'!M95)</f>
        <v>7</v>
      </c>
      <c r="N95" s="49">
        <f>AVERAGE('26.09 Gayaza-Kasangati-24h'!N95,'28.09 Gayaza-Kasangati-24h'!N95)</f>
        <v>0</v>
      </c>
      <c r="O95" s="15">
        <f t="shared" si="35"/>
        <v>6</v>
      </c>
      <c r="P95" s="15">
        <f t="shared" si="36"/>
        <v>13</v>
      </c>
      <c r="R95" s="8"/>
      <c r="T95"/>
    </row>
    <row r="96" spans="2:20" ht="23.1" customHeight="1" x14ac:dyDescent="0.25">
      <c r="B96" s="25" t="s">
        <v>136</v>
      </c>
      <c r="C96" s="49">
        <f>AVERAGE('26.09 Gayaza-Kasangati-24h'!C96,'28.09 Gayaza-Kasangati-24h'!C96)</f>
        <v>1.5</v>
      </c>
      <c r="D96" s="49">
        <f>AVERAGE('26.09 Gayaza-Kasangati-24h'!D96,'28.09 Gayaza-Kasangati-24h'!D96)</f>
        <v>0.5</v>
      </c>
      <c r="E96" s="49">
        <f>AVERAGE('26.09 Gayaza-Kasangati-24h'!E96,'28.09 Gayaza-Kasangati-24h'!E96)</f>
        <v>0</v>
      </c>
      <c r="F96" s="49">
        <f>AVERAGE('26.09 Gayaza-Kasangati-24h'!F96,'28.09 Gayaza-Kasangati-24h'!F96)</f>
        <v>2.5</v>
      </c>
      <c r="G96" s="49">
        <f>AVERAGE('26.09 Gayaza-Kasangati-24h'!G96,'28.09 Gayaza-Kasangati-24h'!G96)</f>
        <v>0</v>
      </c>
      <c r="H96" s="49">
        <f>AVERAGE('26.09 Gayaza-Kasangati-24h'!H96,'28.09 Gayaza-Kasangati-24h'!H96)</f>
        <v>0</v>
      </c>
      <c r="I96" s="49">
        <f>AVERAGE('26.09 Gayaza-Kasangati-24h'!I96,'28.09 Gayaza-Kasangati-24h'!I96)</f>
        <v>1</v>
      </c>
      <c r="J96" s="49">
        <f>AVERAGE('26.09 Gayaza-Kasangati-24h'!J96,'28.09 Gayaza-Kasangati-24h'!J96)</f>
        <v>0</v>
      </c>
      <c r="K96" s="49">
        <f>AVERAGE('26.09 Gayaza-Kasangati-24h'!K96,'28.09 Gayaza-Kasangati-24h'!K96)</f>
        <v>0</v>
      </c>
      <c r="L96" s="49">
        <f>AVERAGE('26.09 Gayaza-Kasangati-24h'!L96,'28.09 Gayaza-Kasangati-24h'!L96)</f>
        <v>0</v>
      </c>
      <c r="M96" s="49">
        <f>AVERAGE('26.09 Gayaza-Kasangati-24h'!M96,'28.09 Gayaza-Kasangati-24h'!M96)</f>
        <v>8.5</v>
      </c>
      <c r="N96" s="49">
        <f>AVERAGE('26.09 Gayaza-Kasangati-24h'!N96,'28.09 Gayaza-Kasangati-24h'!N96)</f>
        <v>0</v>
      </c>
      <c r="O96" s="15">
        <f t="shared" si="35"/>
        <v>5.5</v>
      </c>
      <c r="P96" s="15">
        <f t="shared" si="36"/>
        <v>14</v>
      </c>
      <c r="R96" s="8"/>
      <c r="T96"/>
    </row>
    <row r="97" spans="2:20" ht="23.1" customHeight="1" x14ac:dyDescent="0.25">
      <c r="B97" s="23" t="s">
        <v>137</v>
      </c>
      <c r="C97" s="49">
        <f>AVERAGE('26.09 Gayaza-Kasangati-24h'!C97,'28.09 Gayaza-Kasangati-24h'!C97)</f>
        <v>2</v>
      </c>
      <c r="D97" s="49">
        <f>AVERAGE('26.09 Gayaza-Kasangati-24h'!D97,'28.09 Gayaza-Kasangati-24h'!D97)</f>
        <v>2</v>
      </c>
      <c r="E97" s="49">
        <f>AVERAGE('26.09 Gayaza-Kasangati-24h'!E97,'28.09 Gayaza-Kasangati-24h'!E97)</f>
        <v>1.5</v>
      </c>
      <c r="F97" s="49">
        <f>AVERAGE('26.09 Gayaza-Kasangati-24h'!F97,'28.09 Gayaza-Kasangati-24h'!F97)</f>
        <v>5</v>
      </c>
      <c r="G97" s="49">
        <f>AVERAGE('26.09 Gayaza-Kasangati-24h'!G97,'28.09 Gayaza-Kasangati-24h'!G97)</f>
        <v>0</v>
      </c>
      <c r="H97" s="49">
        <f>AVERAGE('26.09 Gayaza-Kasangati-24h'!H97,'28.09 Gayaza-Kasangati-24h'!H97)</f>
        <v>0</v>
      </c>
      <c r="I97" s="49">
        <f>AVERAGE('26.09 Gayaza-Kasangati-24h'!I97,'28.09 Gayaza-Kasangati-24h'!I97)</f>
        <v>1.5</v>
      </c>
      <c r="J97" s="49">
        <f>AVERAGE('26.09 Gayaza-Kasangati-24h'!J97,'28.09 Gayaza-Kasangati-24h'!J97)</f>
        <v>1</v>
      </c>
      <c r="K97" s="49">
        <f>AVERAGE('26.09 Gayaza-Kasangati-24h'!K97,'28.09 Gayaza-Kasangati-24h'!K97)</f>
        <v>0.5</v>
      </c>
      <c r="L97" s="49">
        <f>AVERAGE('26.09 Gayaza-Kasangati-24h'!L97,'28.09 Gayaza-Kasangati-24h'!L97)</f>
        <v>0</v>
      </c>
      <c r="M97" s="49">
        <f>AVERAGE('26.09 Gayaza-Kasangati-24h'!M97,'28.09 Gayaza-Kasangati-24h'!M97)</f>
        <v>11.5</v>
      </c>
      <c r="N97" s="49">
        <f>AVERAGE('26.09 Gayaza-Kasangati-24h'!N97,'28.09 Gayaza-Kasangati-24h'!N97)</f>
        <v>0</v>
      </c>
      <c r="O97" s="15">
        <f t="shared" si="35"/>
        <v>13.5</v>
      </c>
      <c r="P97" s="15">
        <f t="shared" si="36"/>
        <v>25</v>
      </c>
      <c r="R97" s="8"/>
      <c r="T97"/>
    </row>
    <row r="98" spans="2:20" ht="23.1" customHeight="1" x14ac:dyDescent="0.25">
      <c r="B98" s="24" t="s">
        <v>138</v>
      </c>
      <c r="C98" s="49">
        <f>AVERAGE('26.09 Gayaza-Kasangati-24h'!C98,'28.09 Gayaza-Kasangati-24h'!C98)</f>
        <v>7</v>
      </c>
      <c r="D98" s="49">
        <f>AVERAGE('26.09 Gayaza-Kasangati-24h'!D98,'28.09 Gayaza-Kasangati-24h'!D98)</f>
        <v>1.5</v>
      </c>
      <c r="E98" s="49">
        <f>AVERAGE('26.09 Gayaza-Kasangati-24h'!E98,'28.09 Gayaza-Kasangati-24h'!E98)</f>
        <v>1</v>
      </c>
      <c r="F98" s="49">
        <f>AVERAGE('26.09 Gayaza-Kasangati-24h'!F98,'28.09 Gayaza-Kasangati-24h'!F98)</f>
        <v>8.5</v>
      </c>
      <c r="G98" s="49">
        <f>AVERAGE('26.09 Gayaza-Kasangati-24h'!G98,'28.09 Gayaza-Kasangati-24h'!G98)</f>
        <v>0</v>
      </c>
      <c r="H98" s="49">
        <f>AVERAGE('26.09 Gayaza-Kasangati-24h'!H98,'28.09 Gayaza-Kasangati-24h'!H98)</f>
        <v>0</v>
      </c>
      <c r="I98" s="49">
        <f>AVERAGE('26.09 Gayaza-Kasangati-24h'!I98,'28.09 Gayaza-Kasangati-24h'!I98)</f>
        <v>3</v>
      </c>
      <c r="J98" s="49">
        <f>AVERAGE('26.09 Gayaza-Kasangati-24h'!J98,'28.09 Gayaza-Kasangati-24h'!J98)</f>
        <v>0</v>
      </c>
      <c r="K98" s="49">
        <f>AVERAGE('26.09 Gayaza-Kasangati-24h'!K98,'28.09 Gayaza-Kasangati-24h'!K98)</f>
        <v>0</v>
      </c>
      <c r="L98" s="49">
        <f>AVERAGE('26.09 Gayaza-Kasangati-24h'!L98,'28.09 Gayaza-Kasangati-24h'!L98)</f>
        <v>0</v>
      </c>
      <c r="M98" s="49">
        <f>AVERAGE('26.09 Gayaza-Kasangati-24h'!M98,'28.09 Gayaza-Kasangati-24h'!M98)</f>
        <v>14.5</v>
      </c>
      <c r="N98" s="49">
        <f>AVERAGE('26.09 Gayaza-Kasangati-24h'!N98,'28.09 Gayaza-Kasangati-24h'!N98)</f>
        <v>0</v>
      </c>
      <c r="O98" s="15">
        <f t="shared" si="35"/>
        <v>21</v>
      </c>
      <c r="P98" s="15">
        <f t="shared" si="36"/>
        <v>35.5</v>
      </c>
      <c r="R98" s="8"/>
      <c r="T98"/>
    </row>
    <row r="99" spans="2:20" ht="23.1" customHeight="1" x14ac:dyDescent="0.25">
      <c r="B99" s="23" t="s">
        <v>139</v>
      </c>
      <c r="C99" s="49">
        <f>AVERAGE('26.09 Gayaza-Kasangati-24h'!C99,'28.09 Gayaza-Kasangati-24h'!C99)</f>
        <v>4</v>
      </c>
      <c r="D99" s="49">
        <f>AVERAGE('26.09 Gayaza-Kasangati-24h'!D99,'28.09 Gayaza-Kasangati-24h'!D99)</f>
        <v>1</v>
      </c>
      <c r="E99" s="49">
        <f>AVERAGE('26.09 Gayaza-Kasangati-24h'!E99,'28.09 Gayaza-Kasangati-24h'!E99)</f>
        <v>0.5</v>
      </c>
      <c r="F99" s="49">
        <f>AVERAGE('26.09 Gayaza-Kasangati-24h'!F99,'28.09 Gayaza-Kasangati-24h'!F99)</f>
        <v>11</v>
      </c>
      <c r="G99" s="49">
        <f>AVERAGE('26.09 Gayaza-Kasangati-24h'!G99,'28.09 Gayaza-Kasangati-24h'!G99)</f>
        <v>0.5</v>
      </c>
      <c r="H99" s="49">
        <f>AVERAGE('26.09 Gayaza-Kasangati-24h'!H99,'28.09 Gayaza-Kasangati-24h'!H99)</f>
        <v>0</v>
      </c>
      <c r="I99" s="49">
        <f>AVERAGE('26.09 Gayaza-Kasangati-24h'!I99,'28.09 Gayaza-Kasangati-24h'!I99)</f>
        <v>2</v>
      </c>
      <c r="J99" s="49">
        <f>AVERAGE('26.09 Gayaza-Kasangati-24h'!J99,'28.09 Gayaza-Kasangati-24h'!J99)</f>
        <v>1</v>
      </c>
      <c r="K99" s="49">
        <f>AVERAGE('26.09 Gayaza-Kasangati-24h'!K99,'28.09 Gayaza-Kasangati-24h'!K99)</f>
        <v>1.5</v>
      </c>
      <c r="L99" s="49">
        <f>AVERAGE('26.09 Gayaza-Kasangati-24h'!L99,'28.09 Gayaza-Kasangati-24h'!L99)</f>
        <v>0</v>
      </c>
      <c r="M99" s="49">
        <f>AVERAGE('26.09 Gayaza-Kasangati-24h'!M99,'28.09 Gayaza-Kasangati-24h'!M99)</f>
        <v>11</v>
      </c>
      <c r="N99" s="49">
        <f>AVERAGE('26.09 Gayaza-Kasangati-24h'!N99,'28.09 Gayaza-Kasangati-24h'!N99)</f>
        <v>0</v>
      </c>
      <c r="O99" s="15">
        <f t="shared" si="35"/>
        <v>21.5</v>
      </c>
      <c r="P99" s="15">
        <f t="shared" si="36"/>
        <v>32.5</v>
      </c>
      <c r="R99" s="8"/>
      <c r="T99"/>
    </row>
    <row r="100" spans="2:20" ht="23.1" customHeight="1" x14ac:dyDescent="0.25">
      <c r="B100" s="25" t="s">
        <v>140</v>
      </c>
      <c r="C100" s="49">
        <f>AVERAGE('26.09 Gayaza-Kasangati-24h'!C100,'28.09 Gayaza-Kasangati-24h'!C100)</f>
        <v>9</v>
      </c>
      <c r="D100" s="49">
        <f>AVERAGE('26.09 Gayaza-Kasangati-24h'!D100,'28.09 Gayaza-Kasangati-24h'!D100)</f>
        <v>2.5</v>
      </c>
      <c r="E100" s="49">
        <f>AVERAGE('26.09 Gayaza-Kasangati-24h'!E100,'28.09 Gayaza-Kasangati-24h'!E100)</f>
        <v>2</v>
      </c>
      <c r="F100" s="49">
        <f>AVERAGE('26.09 Gayaza-Kasangati-24h'!F100,'28.09 Gayaza-Kasangati-24h'!F100)</f>
        <v>9.5</v>
      </c>
      <c r="G100" s="49">
        <f>AVERAGE('26.09 Gayaza-Kasangati-24h'!G100,'28.09 Gayaza-Kasangati-24h'!G100)</f>
        <v>0</v>
      </c>
      <c r="H100" s="49">
        <f>AVERAGE('26.09 Gayaza-Kasangati-24h'!H100,'28.09 Gayaza-Kasangati-24h'!H100)</f>
        <v>0</v>
      </c>
      <c r="I100" s="49">
        <f>AVERAGE('26.09 Gayaza-Kasangati-24h'!I100,'28.09 Gayaza-Kasangati-24h'!I100)</f>
        <v>3.5</v>
      </c>
      <c r="J100" s="49">
        <f>AVERAGE('26.09 Gayaza-Kasangati-24h'!J100,'28.09 Gayaza-Kasangati-24h'!J100)</f>
        <v>0</v>
      </c>
      <c r="K100" s="49">
        <f>AVERAGE('26.09 Gayaza-Kasangati-24h'!K100,'28.09 Gayaza-Kasangati-24h'!K100)</f>
        <v>1.5</v>
      </c>
      <c r="L100" s="49">
        <f>AVERAGE('26.09 Gayaza-Kasangati-24h'!L100,'28.09 Gayaza-Kasangati-24h'!L100)</f>
        <v>0</v>
      </c>
      <c r="M100" s="49">
        <f>AVERAGE('26.09 Gayaza-Kasangati-24h'!M100,'28.09 Gayaza-Kasangati-24h'!M100)</f>
        <v>16.5</v>
      </c>
      <c r="N100" s="49">
        <f>AVERAGE('26.09 Gayaza-Kasangati-24h'!N100,'28.09 Gayaza-Kasangati-24h'!N100)</f>
        <v>0</v>
      </c>
      <c r="O100" s="15">
        <f t="shared" si="35"/>
        <v>28</v>
      </c>
      <c r="P100" s="15">
        <f t="shared" si="36"/>
        <v>44.5</v>
      </c>
      <c r="R100" s="8"/>
      <c r="T100"/>
    </row>
    <row r="101" spans="2:20" ht="23.1" customHeight="1" x14ac:dyDescent="0.25">
      <c r="B101" s="23" t="s">
        <v>141</v>
      </c>
      <c r="C101" s="49">
        <f>AVERAGE('26.09 Gayaza-Kasangati-24h'!C101,'28.09 Gayaza-Kasangati-24h'!C101)</f>
        <v>25.5</v>
      </c>
      <c r="D101" s="49">
        <f>AVERAGE('26.09 Gayaza-Kasangati-24h'!D101,'28.09 Gayaza-Kasangati-24h'!D101)</f>
        <v>2.5</v>
      </c>
      <c r="E101" s="49">
        <f>AVERAGE('26.09 Gayaza-Kasangati-24h'!E101,'28.09 Gayaza-Kasangati-24h'!E101)</f>
        <v>1</v>
      </c>
      <c r="F101" s="49">
        <f>AVERAGE('26.09 Gayaza-Kasangati-24h'!F101,'28.09 Gayaza-Kasangati-24h'!F101)</f>
        <v>23.5</v>
      </c>
      <c r="G101" s="49">
        <f>AVERAGE('26.09 Gayaza-Kasangati-24h'!G101,'28.09 Gayaza-Kasangati-24h'!G101)</f>
        <v>1.5</v>
      </c>
      <c r="H101" s="49">
        <f>AVERAGE('26.09 Gayaza-Kasangati-24h'!H101,'28.09 Gayaza-Kasangati-24h'!H101)</f>
        <v>0.5</v>
      </c>
      <c r="I101" s="49">
        <f>AVERAGE('26.09 Gayaza-Kasangati-24h'!I101,'28.09 Gayaza-Kasangati-24h'!I101)</f>
        <v>1.5</v>
      </c>
      <c r="J101" s="49">
        <f>AVERAGE('26.09 Gayaza-Kasangati-24h'!J101,'28.09 Gayaza-Kasangati-24h'!J101)</f>
        <v>0.5</v>
      </c>
      <c r="K101" s="49">
        <f>AVERAGE('26.09 Gayaza-Kasangati-24h'!K101,'28.09 Gayaza-Kasangati-24h'!K101)</f>
        <v>1</v>
      </c>
      <c r="L101" s="49">
        <f>AVERAGE('26.09 Gayaza-Kasangati-24h'!L101,'28.09 Gayaza-Kasangati-24h'!L101)</f>
        <v>0</v>
      </c>
      <c r="M101" s="49">
        <f>AVERAGE('26.09 Gayaza-Kasangati-24h'!M101,'28.09 Gayaza-Kasangati-24h'!M101)</f>
        <v>16.5</v>
      </c>
      <c r="N101" s="49">
        <f>AVERAGE('26.09 Gayaza-Kasangati-24h'!N101,'28.09 Gayaza-Kasangati-24h'!N101)</f>
        <v>0</v>
      </c>
      <c r="O101" s="15">
        <f t="shared" si="35"/>
        <v>57.5</v>
      </c>
      <c r="P101" s="15">
        <f t="shared" si="36"/>
        <v>74</v>
      </c>
      <c r="R101" s="8"/>
      <c r="T101"/>
    </row>
    <row r="102" spans="2:20" ht="23.1" customHeight="1" x14ac:dyDescent="0.25">
      <c r="B102" s="24" t="s">
        <v>142</v>
      </c>
      <c r="C102" s="49">
        <f>AVERAGE('26.09 Gayaza-Kasangati-24h'!C102,'28.09 Gayaza-Kasangati-24h'!C102)</f>
        <v>47.5</v>
      </c>
      <c r="D102" s="49">
        <f>AVERAGE('26.09 Gayaza-Kasangati-24h'!D102,'28.09 Gayaza-Kasangati-24h'!D102)</f>
        <v>7</v>
      </c>
      <c r="E102" s="49">
        <f>AVERAGE('26.09 Gayaza-Kasangati-24h'!E102,'28.09 Gayaza-Kasangati-24h'!E102)</f>
        <v>4</v>
      </c>
      <c r="F102" s="49">
        <f>AVERAGE('26.09 Gayaza-Kasangati-24h'!F102,'28.09 Gayaza-Kasangati-24h'!F102)</f>
        <v>32.5</v>
      </c>
      <c r="G102" s="49">
        <f>AVERAGE('26.09 Gayaza-Kasangati-24h'!G102,'28.09 Gayaza-Kasangati-24h'!G102)</f>
        <v>1</v>
      </c>
      <c r="H102" s="49">
        <f>AVERAGE('26.09 Gayaza-Kasangati-24h'!H102,'28.09 Gayaza-Kasangati-24h'!H102)</f>
        <v>0</v>
      </c>
      <c r="I102" s="49">
        <f>AVERAGE('26.09 Gayaza-Kasangati-24h'!I102,'28.09 Gayaza-Kasangati-24h'!I102)</f>
        <v>3</v>
      </c>
      <c r="J102" s="49">
        <f>AVERAGE('26.09 Gayaza-Kasangati-24h'!J102,'28.09 Gayaza-Kasangati-24h'!J102)</f>
        <v>0.5</v>
      </c>
      <c r="K102" s="49">
        <f>AVERAGE('26.09 Gayaza-Kasangati-24h'!K102,'28.09 Gayaza-Kasangati-24h'!K102)</f>
        <v>1.5</v>
      </c>
      <c r="L102" s="49">
        <f>AVERAGE('26.09 Gayaza-Kasangati-24h'!L102,'28.09 Gayaza-Kasangati-24h'!L102)</f>
        <v>0</v>
      </c>
      <c r="M102" s="49">
        <f>AVERAGE('26.09 Gayaza-Kasangati-24h'!M102,'28.09 Gayaza-Kasangati-24h'!M102)</f>
        <v>14.5</v>
      </c>
      <c r="N102" s="49">
        <f>AVERAGE('26.09 Gayaza-Kasangati-24h'!N102,'28.09 Gayaza-Kasangati-24h'!N102)</f>
        <v>0</v>
      </c>
      <c r="O102" s="15">
        <f t="shared" si="35"/>
        <v>97</v>
      </c>
      <c r="P102" s="15">
        <f t="shared" si="36"/>
        <v>111.5</v>
      </c>
      <c r="R102" s="8"/>
      <c r="T102"/>
    </row>
    <row r="103" spans="2:20" ht="23.1" customHeight="1" x14ac:dyDescent="0.25">
      <c r="B103" s="23" t="s">
        <v>143</v>
      </c>
      <c r="C103" s="49">
        <f>AVERAGE('26.09 Gayaza-Kasangati-24h'!C103,'28.09 Gayaza-Kasangati-24h'!C103)</f>
        <v>55</v>
      </c>
      <c r="D103" s="49">
        <f>AVERAGE('26.09 Gayaza-Kasangati-24h'!D103,'28.09 Gayaza-Kasangati-24h'!D103)</f>
        <v>3.5</v>
      </c>
      <c r="E103" s="49">
        <f>AVERAGE('26.09 Gayaza-Kasangati-24h'!E103,'28.09 Gayaza-Kasangati-24h'!E103)</f>
        <v>3</v>
      </c>
      <c r="F103" s="49">
        <f>AVERAGE('26.09 Gayaza-Kasangati-24h'!F103,'28.09 Gayaza-Kasangati-24h'!F103)</f>
        <v>27</v>
      </c>
      <c r="G103" s="49">
        <f>AVERAGE('26.09 Gayaza-Kasangati-24h'!G103,'28.09 Gayaza-Kasangati-24h'!G103)</f>
        <v>0.5</v>
      </c>
      <c r="H103" s="49">
        <f>AVERAGE('26.09 Gayaza-Kasangati-24h'!H103,'28.09 Gayaza-Kasangati-24h'!H103)</f>
        <v>0</v>
      </c>
      <c r="I103" s="49">
        <f>AVERAGE('26.09 Gayaza-Kasangati-24h'!I103,'28.09 Gayaza-Kasangati-24h'!I103)</f>
        <v>6</v>
      </c>
      <c r="J103" s="49">
        <f>AVERAGE('26.09 Gayaza-Kasangati-24h'!J103,'28.09 Gayaza-Kasangati-24h'!J103)</f>
        <v>2</v>
      </c>
      <c r="K103" s="49">
        <f>AVERAGE('26.09 Gayaza-Kasangati-24h'!K103,'28.09 Gayaza-Kasangati-24h'!K103)</f>
        <v>0</v>
      </c>
      <c r="L103" s="49">
        <f>AVERAGE('26.09 Gayaza-Kasangati-24h'!L103,'28.09 Gayaza-Kasangati-24h'!L103)</f>
        <v>0</v>
      </c>
      <c r="M103" s="49">
        <f>AVERAGE('26.09 Gayaza-Kasangati-24h'!M103,'28.09 Gayaza-Kasangati-24h'!M103)</f>
        <v>24</v>
      </c>
      <c r="N103" s="49">
        <f>AVERAGE('26.09 Gayaza-Kasangati-24h'!N103,'28.09 Gayaza-Kasangati-24h'!N103)</f>
        <v>0</v>
      </c>
      <c r="O103" s="15">
        <f t="shared" si="35"/>
        <v>97</v>
      </c>
      <c r="P103" s="15">
        <f t="shared" si="36"/>
        <v>121</v>
      </c>
      <c r="R103" s="8"/>
      <c r="T103"/>
    </row>
    <row r="104" spans="2:20" ht="23.1" customHeight="1" x14ac:dyDescent="0.25">
      <c r="B104" s="25" t="s">
        <v>144</v>
      </c>
      <c r="C104" s="49">
        <f>AVERAGE('26.09 Gayaza-Kasangati-24h'!C104,'28.09 Gayaza-Kasangati-24h'!C104)</f>
        <v>80.5</v>
      </c>
      <c r="D104" s="49">
        <f>AVERAGE('26.09 Gayaza-Kasangati-24h'!D104,'28.09 Gayaza-Kasangati-24h'!D104)</f>
        <v>8</v>
      </c>
      <c r="E104" s="49">
        <f>AVERAGE('26.09 Gayaza-Kasangati-24h'!E104,'28.09 Gayaza-Kasangati-24h'!E104)</f>
        <v>3.5</v>
      </c>
      <c r="F104" s="49">
        <f>AVERAGE('26.09 Gayaza-Kasangati-24h'!F104,'28.09 Gayaza-Kasangati-24h'!F104)</f>
        <v>39.5</v>
      </c>
      <c r="G104" s="49">
        <f>AVERAGE('26.09 Gayaza-Kasangati-24h'!G104,'28.09 Gayaza-Kasangati-24h'!G104)</f>
        <v>0.5</v>
      </c>
      <c r="H104" s="49">
        <f>AVERAGE('26.09 Gayaza-Kasangati-24h'!H104,'28.09 Gayaza-Kasangati-24h'!H104)</f>
        <v>0</v>
      </c>
      <c r="I104" s="49">
        <f>AVERAGE('26.09 Gayaza-Kasangati-24h'!I104,'28.09 Gayaza-Kasangati-24h'!I104)</f>
        <v>3.5</v>
      </c>
      <c r="J104" s="49">
        <f>AVERAGE('26.09 Gayaza-Kasangati-24h'!J104,'28.09 Gayaza-Kasangati-24h'!J104)</f>
        <v>0.5</v>
      </c>
      <c r="K104" s="49">
        <f>AVERAGE('26.09 Gayaza-Kasangati-24h'!K104,'28.09 Gayaza-Kasangati-24h'!K104)</f>
        <v>1.5</v>
      </c>
      <c r="L104" s="49">
        <f>AVERAGE('26.09 Gayaza-Kasangati-24h'!L104,'28.09 Gayaza-Kasangati-24h'!L104)</f>
        <v>0</v>
      </c>
      <c r="M104" s="49">
        <f>AVERAGE('26.09 Gayaza-Kasangati-24h'!M104,'28.09 Gayaza-Kasangati-24h'!M104)</f>
        <v>52</v>
      </c>
      <c r="N104" s="49">
        <f>AVERAGE('26.09 Gayaza-Kasangati-24h'!N104,'28.09 Gayaza-Kasangati-24h'!N104)</f>
        <v>0</v>
      </c>
      <c r="O104" s="15">
        <f t="shared" si="35"/>
        <v>137.5</v>
      </c>
      <c r="P104" s="15">
        <f t="shared" si="36"/>
        <v>189.5</v>
      </c>
      <c r="R104" s="8"/>
      <c r="T104"/>
    </row>
    <row r="105" spans="2:20" ht="23.1" customHeight="1" x14ac:dyDescent="0.25">
      <c r="B105" s="23" t="s">
        <v>145</v>
      </c>
      <c r="C105" s="49">
        <f>AVERAGE('26.09 Gayaza-Kasangati-24h'!C105,'28.09 Gayaza-Kasangati-24h'!C105)</f>
        <v>76.5</v>
      </c>
      <c r="D105" s="49">
        <f>AVERAGE('26.09 Gayaza-Kasangati-24h'!D105,'28.09 Gayaza-Kasangati-24h'!D105)</f>
        <v>8</v>
      </c>
      <c r="E105" s="49">
        <f>AVERAGE('26.09 Gayaza-Kasangati-24h'!E105,'28.09 Gayaza-Kasangati-24h'!E105)</f>
        <v>3.5</v>
      </c>
      <c r="F105" s="49">
        <f>AVERAGE('26.09 Gayaza-Kasangati-24h'!F105,'28.09 Gayaza-Kasangati-24h'!F105)</f>
        <v>43.5</v>
      </c>
      <c r="G105" s="49">
        <f>AVERAGE('26.09 Gayaza-Kasangati-24h'!G105,'28.09 Gayaza-Kasangati-24h'!G105)</f>
        <v>0.5</v>
      </c>
      <c r="H105" s="49">
        <f>AVERAGE('26.09 Gayaza-Kasangati-24h'!H105,'28.09 Gayaza-Kasangati-24h'!H105)</f>
        <v>0</v>
      </c>
      <c r="I105" s="49">
        <f>AVERAGE('26.09 Gayaza-Kasangati-24h'!I105,'28.09 Gayaza-Kasangati-24h'!I105)</f>
        <v>1.5</v>
      </c>
      <c r="J105" s="49">
        <f>AVERAGE('26.09 Gayaza-Kasangati-24h'!J105,'28.09 Gayaza-Kasangati-24h'!J105)</f>
        <v>1.5</v>
      </c>
      <c r="K105" s="49">
        <f>AVERAGE('26.09 Gayaza-Kasangati-24h'!K105,'28.09 Gayaza-Kasangati-24h'!K105)</f>
        <v>1</v>
      </c>
      <c r="L105" s="49">
        <f>AVERAGE('26.09 Gayaza-Kasangati-24h'!L105,'28.09 Gayaza-Kasangati-24h'!L105)</f>
        <v>0</v>
      </c>
      <c r="M105" s="49">
        <f>AVERAGE('26.09 Gayaza-Kasangati-24h'!M105,'28.09 Gayaza-Kasangati-24h'!M105)</f>
        <v>50.5</v>
      </c>
      <c r="N105" s="49">
        <f>AVERAGE('26.09 Gayaza-Kasangati-24h'!N105,'28.09 Gayaza-Kasangati-24h'!N105)</f>
        <v>0</v>
      </c>
      <c r="O105" s="15">
        <f t="shared" si="35"/>
        <v>136</v>
      </c>
      <c r="P105" s="15">
        <f t="shared" si="36"/>
        <v>186.5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3925.5</v>
      </c>
      <c r="D106" s="16">
        <f t="shared" ref="D106:P106" si="37">SUM(D10:D105)</f>
        <v>686.375</v>
      </c>
      <c r="E106" s="16">
        <f t="shared" si="37"/>
        <v>448.375</v>
      </c>
      <c r="F106" s="16">
        <f t="shared" si="37"/>
        <v>2721.875</v>
      </c>
      <c r="G106" s="16">
        <f t="shared" si="37"/>
        <v>72.625</v>
      </c>
      <c r="H106" s="16">
        <f t="shared" si="37"/>
        <v>18</v>
      </c>
      <c r="I106" s="16">
        <f t="shared" si="37"/>
        <v>659.625</v>
      </c>
      <c r="J106" s="16">
        <f t="shared" si="37"/>
        <v>136.5</v>
      </c>
      <c r="K106" s="16">
        <f t="shared" si="37"/>
        <v>127.25</v>
      </c>
      <c r="L106" s="16">
        <f t="shared" si="37"/>
        <v>15.125</v>
      </c>
      <c r="M106" s="16">
        <f t="shared" si="37"/>
        <v>6257.5</v>
      </c>
      <c r="N106" s="16">
        <f t="shared" si="37"/>
        <v>0.375</v>
      </c>
      <c r="O106" s="16">
        <f t="shared" si="37"/>
        <v>8811.625</v>
      </c>
      <c r="P106" s="16">
        <f t="shared" si="37"/>
        <v>15069.125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0.26049953132647052</v>
      </c>
      <c r="D107" s="43">
        <f t="shared" si="38"/>
        <v>4.5548430980564568E-2</v>
      </c>
      <c r="E107" s="43">
        <f t="shared" si="38"/>
        <v>2.9754547792257346E-2</v>
      </c>
      <c r="F107" s="43">
        <f t="shared" si="38"/>
        <v>0.1806259487528307</v>
      </c>
      <c r="G107" s="43">
        <f t="shared" si="38"/>
        <v>4.8194570023143346E-3</v>
      </c>
      <c r="H107" s="43">
        <f t="shared" si="38"/>
        <v>1.1944953671828987E-3</v>
      </c>
      <c r="I107" s="43">
        <f t="shared" si="38"/>
        <v>4.3773278143223314E-2</v>
      </c>
      <c r="J107" s="43">
        <f t="shared" si="38"/>
        <v>9.0582565344703159E-3</v>
      </c>
      <c r="K107" s="43">
        <f t="shared" si="38"/>
        <v>8.4444186374457702E-3</v>
      </c>
      <c r="L107" s="43">
        <f t="shared" si="38"/>
        <v>1.0037079127022969E-3</v>
      </c>
      <c r="M107" s="43">
        <f t="shared" si="38"/>
        <v>0.41525304223038828</v>
      </c>
      <c r="N107" s="43">
        <f t="shared" si="38"/>
        <v>2.4885320149643724E-5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0.44549104166371128</v>
      </c>
      <c r="D108" s="44">
        <f t="shared" ref="D108:N108" si="39">D106/$O$106</f>
        <v>7.7894259004440164E-2</v>
      </c>
      <c r="E108" s="44">
        <f t="shared" si="39"/>
        <v>5.0884484984324685E-2</v>
      </c>
      <c r="F108" s="44">
        <f t="shared" si="39"/>
        <v>0.30889591874370503</v>
      </c>
      <c r="G108" s="44">
        <f t="shared" si="39"/>
        <v>8.2419531017264118E-3</v>
      </c>
      <c r="H108" s="44">
        <f t="shared" si="39"/>
        <v>2.042756018328061E-3</v>
      </c>
      <c r="I108" s="44">
        <f t="shared" si="39"/>
        <v>7.4858496588313728E-2</v>
      </c>
      <c r="J108" s="44">
        <f t="shared" si="39"/>
        <v>1.5490899805654462E-2</v>
      </c>
      <c r="K108" s="44">
        <f t="shared" si="39"/>
        <v>1.4441150185124764E-2</v>
      </c>
      <c r="L108" s="44">
        <f t="shared" si="39"/>
        <v>1.7164824876228846E-3</v>
      </c>
      <c r="M108" s="44"/>
      <c r="N108" s="44">
        <f t="shared" si="39"/>
        <v>4.2557417048501269E-5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view="pageBreakPreview" topLeftCell="A85" zoomScale="60" workbookViewId="0">
      <selection activeCell="AA88" sqref="AA8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6" t="s">
        <v>23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2:32" ht="20.100000000000001" customHeight="1" x14ac:dyDescent="0.25">
      <c r="B2" s="77" t="s">
        <v>95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</row>
    <row r="3" spans="2:32" ht="20.100000000000001" customHeight="1" x14ac:dyDescent="0.25">
      <c r="B3" s="22" t="s">
        <v>96</v>
      </c>
      <c r="C3" s="81" t="str">
        <f>'29.09 Gayaza-Kasangati'!C3:G3</f>
        <v>MCC - C2 - STN-69- Gayaza- ROAD</v>
      </c>
      <c r="D3" s="81"/>
      <c r="E3" s="81"/>
      <c r="F3" s="81"/>
      <c r="G3" s="8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88" t="s">
        <v>162</v>
      </c>
      <c r="E5" s="89"/>
      <c r="F5" s="41" t="s">
        <v>1</v>
      </c>
      <c r="G5" s="82" t="str">
        <f>'Avg Week Gayaza-Ksangati'!G5:H5</f>
        <v>TOTAL BULAMU</v>
      </c>
      <c r="H5" s="83"/>
      <c r="I5" s="14"/>
      <c r="J5" s="2" t="s">
        <v>5</v>
      </c>
      <c r="K5" s="82" t="str">
        <f>'Avg Week Gayaza-Ksangati'!K5:L5</f>
        <v>Muganga. S</v>
      </c>
      <c r="L5" s="83"/>
      <c r="M5" s="10"/>
      <c r="N5" s="10"/>
      <c r="O5" s="3"/>
      <c r="P5" s="3"/>
    </row>
    <row r="6" spans="2:32" ht="23.25" customHeight="1" x14ac:dyDescent="0.25">
      <c r="C6" s="2" t="s">
        <v>4</v>
      </c>
      <c r="D6" s="90" t="s">
        <v>161</v>
      </c>
      <c r="E6" s="91"/>
      <c r="F6" s="2" t="s">
        <v>2</v>
      </c>
      <c r="G6" s="90" t="s">
        <v>161</v>
      </c>
      <c r="H6" s="91"/>
      <c r="J6" s="2" t="s">
        <v>21</v>
      </c>
      <c r="K6" s="82" t="str">
        <f>'Avg Week Gayaza-Ksangati'!K6:L6</f>
        <v>LAWRENCE</v>
      </c>
      <c r="L6" s="8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Kasangati-Gayaza'!C10+'Avg Week Gayaza-Ksangati'!C10</f>
        <v>120.14285714285714</v>
      </c>
      <c r="D10" s="49">
        <f>'Avg Week Kasangati-Gayaza'!D10+'Avg Week Gayaza-Ksangati'!D10</f>
        <v>17.839285714285715</v>
      </c>
      <c r="E10" s="49">
        <f>'Avg Week Kasangati-Gayaza'!E10+'Avg Week Gayaza-Ksangati'!E10</f>
        <v>11.803571428571429</v>
      </c>
      <c r="F10" s="49">
        <f>'Avg Week Kasangati-Gayaza'!F10+'Avg Week Gayaza-Ksangati'!F10</f>
        <v>88.660714285714278</v>
      </c>
      <c r="G10" s="49">
        <f>'Avg Week Kasangati-Gayaza'!G10+'Avg Week Gayaza-Ksangati'!G10</f>
        <v>3.2321428571428572</v>
      </c>
      <c r="H10" s="49">
        <f>'Avg Week Kasangati-Gayaza'!H10+'Avg Week Gayaza-Ksangati'!H10</f>
        <v>0.6607142857142857</v>
      </c>
      <c r="I10" s="49">
        <f>'Avg Week Kasangati-Gayaza'!I10+'Avg Week Gayaza-Ksangati'!I10</f>
        <v>19.142857142857142</v>
      </c>
      <c r="J10" s="49">
        <f>'Avg Week Kasangati-Gayaza'!J10+'Avg Week Gayaza-Ksangati'!J10</f>
        <v>5.3928571428571432</v>
      </c>
      <c r="K10" s="49">
        <f>'Avg Week Kasangati-Gayaza'!K10+'Avg Week Gayaza-Ksangati'!K10</f>
        <v>4.25</v>
      </c>
      <c r="L10" s="49">
        <f>'Avg Week Kasangati-Gayaza'!L10+'Avg Week Gayaza-Ksangati'!L10</f>
        <v>0.125</v>
      </c>
      <c r="M10" s="49">
        <f>'Avg Week Kasangati-Gayaza'!M10+'Avg Week Gayaza-Ksangati'!M10</f>
        <v>231.26785714285714</v>
      </c>
      <c r="N10" s="49">
        <f>'Avg Week Kasangati-Gayaza'!N10+'Avg Week Gayaza-Ksangati'!N10</f>
        <v>0</v>
      </c>
      <c r="O10" s="15">
        <f t="shared" ref="O10:O58" si="0">SUM(C10:L10,N10)</f>
        <v>271.25</v>
      </c>
      <c r="P10" s="15">
        <f t="shared" ref="P10:P57" si="1">SUM(C10:N10)</f>
        <v>502.51785714285711</v>
      </c>
      <c r="R10" s="1" t="s">
        <v>6</v>
      </c>
      <c r="S10" s="17">
        <f t="shared" ref="S10:AF10" si="2">SUM(C10:C13)</f>
        <v>489.67857142857139</v>
      </c>
      <c r="T10" s="17">
        <f t="shared" si="2"/>
        <v>68.5</v>
      </c>
      <c r="U10" s="17">
        <f t="shared" si="2"/>
        <v>51.535714285714285</v>
      </c>
      <c r="V10" s="17">
        <f t="shared" si="2"/>
        <v>349.66071428571422</v>
      </c>
      <c r="W10" s="17">
        <f t="shared" si="2"/>
        <v>8.125</v>
      </c>
      <c r="X10" s="17">
        <f t="shared" si="2"/>
        <v>3.839285714285714</v>
      </c>
      <c r="Y10" s="17">
        <f t="shared" si="2"/>
        <v>65.839285714285722</v>
      </c>
      <c r="Z10" s="17">
        <f t="shared" si="2"/>
        <v>20.928571428571427</v>
      </c>
      <c r="AA10" s="17">
        <f t="shared" si="2"/>
        <v>16.375</v>
      </c>
      <c r="AB10" s="17">
        <f t="shared" si="2"/>
        <v>0.9285714285714286</v>
      </c>
      <c r="AC10" s="17">
        <f t="shared" si="2"/>
        <v>1017.25</v>
      </c>
      <c r="AD10" s="17">
        <f t="shared" si="2"/>
        <v>0</v>
      </c>
      <c r="AE10" s="31">
        <f t="shared" si="2"/>
        <v>1075.4107142857142</v>
      </c>
      <c r="AF10" s="31">
        <f t="shared" si="2"/>
        <v>2092.6607142857147</v>
      </c>
    </row>
    <row r="11" spans="2:32" s="6" customFormat="1" ht="23.1" customHeight="1" x14ac:dyDescent="0.25">
      <c r="B11" s="23" t="s">
        <v>38</v>
      </c>
      <c r="C11" s="49">
        <f>'Avg Week Kasangati-Gayaza'!C11+'Avg Week Gayaza-Ksangati'!C11</f>
        <v>120.30357142857143</v>
      </c>
      <c r="D11" s="49">
        <f>'Avg Week Kasangati-Gayaza'!D11+'Avg Week Gayaza-Ksangati'!D11</f>
        <v>15</v>
      </c>
      <c r="E11" s="49">
        <f>'Avg Week Kasangati-Gayaza'!E11+'Avg Week Gayaza-Ksangati'!E11</f>
        <v>12.178571428571429</v>
      </c>
      <c r="F11" s="49">
        <f>'Avg Week Kasangati-Gayaza'!F11+'Avg Week Gayaza-Ksangati'!F11</f>
        <v>77.767857142857139</v>
      </c>
      <c r="G11" s="49">
        <f>'Avg Week Kasangati-Gayaza'!G11+'Avg Week Gayaza-Ksangati'!G11</f>
        <v>2.3928571428571428</v>
      </c>
      <c r="H11" s="49">
        <f>'Avg Week Kasangati-Gayaza'!H11+'Avg Week Gayaza-Ksangati'!H11</f>
        <v>0.89285714285714279</v>
      </c>
      <c r="I11" s="49">
        <f>'Avg Week Kasangati-Gayaza'!I11+'Avg Week Gayaza-Ksangati'!I11</f>
        <v>14.696428571428571</v>
      </c>
      <c r="J11" s="49">
        <f>'Avg Week Kasangati-Gayaza'!J11+'Avg Week Gayaza-Ksangati'!J11</f>
        <v>4.875</v>
      </c>
      <c r="K11" s="49">
        <f>'Avg Week Kasangati-Gayaza'!K11+'Avg Week Gayaza-Ksangati'!K11</f>
        <v>3.8392857142857144</v>
      </c>
      <c r="L11" s="49">
        <f>'Avg Week Kasangati-Gayaza'!L11+'Avg Week Gayaza-Ksangati'!L11</f>
        <v>0.125</v>
      </c>
      <c r="M11" s="49">
        <f>'Avg Week Kasangati-Gayaza'!M11+'Avg Week Gayaza-Ksangati'!M11</f>
        <v>218.76785714285714</v>
      </c>
      <c r="N11" s="49">
        <f>'Avg Week Kasangati-Gayaza'!N11+'Avg Week Gayaza-Ksangati'!N11</f>
        <v>0</v>
      </c>
      <c r="O11" s="15">
        <f t="shared" si="0"/>
        <v>252.07142857142858</v>
      </c>
      <c r="P11" s="15">
        <f t="shared" si="1"/>
        <v>470.83928571428572</v>
      </c>
      <c r="R11" s="1" t="s">
        <v>7</v>
      </c>
      <c r="S11" s="17">
        <f t="shared" ref="S11:AF11" si="3">SUM(C14:C17)</f>
        <v>417.33928571428567</v>
      </c>
      <c r="T11" s="17">
        <f t="shared" si="3"/>
        <v>69.982142857142861</v>
      </c>
      <c r="U11" s="17">
        <f t="shared" si="3"/>
        <v>48.375</v>
      </c>
      <c r="V11" s="17">
        <f t="shared" si="3"/>
        <v>329.26785714285711</v>
      </c>
      <c r="W11" s="17">
        <f t="shared" si="3"/>
        <v>4.6071428571428577</v>
      </c>
      <c r="X11" s="17">
        <f t="shared" si="3"/>
        <v>3.4285714285714284</v>
      </c>
      <c r="Y11" s="17">
        <f t="shared" si="3"/>
        <v>64.803571428571431</v>
      </c>
      <c r="Z11" s="17">
        <f t="shared" si="3"/>
        <v>18.482142857142858</v>
      </c>
      <c r="AA11" s="17">
        <f t="shared" si="3"/>
        <v>23.821428571428569</v>
      </c>
      <c r="AB11" s="17">
        <f t="shared" si="3"/>
        <v>1.25</v>
      </c>
      <c r="AC11" s="17">
        <f t="shared" si="3"/>
        <v>1095.375</v>
      </c>
      <c r="AD11" s="17">
        <f t="shared" si="3"/>
        <v>0</v>
      </c>
      <c r="AE11" s="31">
        <f t="shared" si="3"/>
        <v>981.35714285714289</v>
      </c>
      <c r="AF11" s="31">
        <f t="shared" si="3"/>
        <v>2076.7321428571427</v>
      </c>
    </row>
    <row r="12" spans="2:32" ht="23.1" customHeight="1" x14ac:dyDescent="0.25">
      <c r="B12" s="23" t="s">
        <v>39</v>
      </c>
      <c r="C12" s="49">
        <f>'Avg Week Kasangati-Gayaza'!C12+'Avg Week Gayaza-Ksangati'!C12</f>
        <v>121.03571428571428</v>
      </c>
      <c r="D12" s="49">
        <f>'Avg Week Kasangati-Gayaza'!D12+'Avg Week Gayaza-Ksangati'!D12</f>
        <v>14.875</v>
      </c>
      <c r="E12" s="49">
        <f>'Avg Week Kasangati-Gayaza'!E12+'Avg Week Gayaza-Ksangati'!E12</f>
        <v>15.053571428571429</v>
      </c>
      <c r="F12" s="49">
        <f>'Avg Week Kasangati-Gayaza'!F12+'Avg Week Gayaza-Ksangati'!F12</f>
        <v>93.285714285714278</v>
      </c>
      <c r="G12" s="49">
        <f>'Avg Week Kasangati-Gayaza'!G12+'Avg Week Gayaza-Ksangati'!G12</f>
        <v>1.4107142857142856</v>
      </c>
      <c r="H12" s="49">
        <f>'Avg Week Kasangati-Gayaza'!H12+'Avg Week Gayaza-Ksangati'!H12</f>
        <v>1.9107142857142856</v>
      </c>
      <c r="I12" s="49">
        <f>'Avg Week Kasangati-Gayaza'!I12+'Avg Week Gayaza-Ksangati'!I12</f>
        <v>15.285714285714285</v>
      </c>
      <c r="J12" s="49">
        <f>'Avg Week Kasangati-Gayaza'!J12+'Avg Week Gayaza-Ksangati'!J12</f>
        <v>4.8928571428571423</v>
      </c>
      <c r="K12" s="49">
        <f>'Avg Week Kasangati-Gayaza'!K12+'Avg Week Gayaza-Ksangati'!K12</f>
        <v>4.4107142857142856</v>
      </c>
      <c r="L12" s="49">
        <f>'Avg Week Kasangati-Gayaza'!L12+'Avg Week Gayaza-Ksangati'!L12</f>
        <v>0.2857142857142857</v>
      </c>
      <c r="M12" s="49">
        <f>'Avg Week Kasangati-Gayaza'!M12+'Avg Week Gayaza-Ksangati'!M12</f>
        <v>277.28571428571428</v>
      </c>
      <c r="N12" s="49">
        <f>'Avg Week Kasangati-Gayaza'!N12+'Avg Week Gayaza-Ksangati'!N12</f>
        <v>0</v>
      </c>
      <c r="O12" s="15">
        <f t="shared" si="0"/>
        <v>272.44642857142856</v>
      </c>
      <c r="P12" s="15">
        <f t="shared" si="1"/>
        <v>549.73214285714289</v>
      </c>
      <c r="R12" s="1" t="s">
        <v>8</v>
      </c>
      <c r="S12" s="17">
        <f t="shared" ref="S12:AF12" si="4">SUM(C18:C21)</f>
        <v>408.83928571428572</v>
      </c>
      <c r="T12" s="17">
        <f t="shared" si="4"/>
        <v>84.732142857142861</v>
      </c>
      <c r="U12" s="17">
        <f t="shared" si="4"/>
        <v>52.857142857142861</v>
      </c>
      <c r="V12" s="17">
        <f t="shared" si="4"/>
        <v>330.55357142857144</v>
      </c>
      <c r="W12" s="17">
        <f t="shared" si="4"/>
        <v>4.25</v>
      </c>
      <c r="X12" s="17">
        <f t="shared" si="4"/>
        <v>1.8928571428571428</v>
      </c>
      <c r="Y12" s="17">
        <f t="shared" si="4"/>
        <v>76.464285714285708</v>
      </c>
      <c r="Z12" s="17">
        <f t="shared" si="4"/>
        <v>21.089285714285715</v>
      </c>
      <c r="AA12" s="17">
        <f t="shared" si="4"/>
        <v>18.999999999999996</v>
      </c>
      <c r="AB12" s="17">
        <f t="shared" si="4"/>
        <v>1.1607142857142856</v>
      </c>
      <c r="AC12" s="17">
        <f t="shared" si="4"/>
        <v>984.41071428571422</v>
      </c>
      <c r="AD12" s="17">
        <f t="shared" si="4"/>
        <v>0</v>
      </c>
      <c r="AE12" s="31">
        <f t="shared" si="4"/>
        <v>1000.8392857142857</v>
      </c>
      <c r="AF12" s="31">
        <f t="shared" si="4"/>
        <v>1985.25</v>
      </c>
    </row>
    <row r="13" spans="2:32" ht="23.1" customHeight="1" x14ac:dyDescent="0.25">
      <c r="B13" s="23" t="s">
        <v>40</v>
      </c>
      <c r="C13" s="49">
        <f>'Avg Week Kasangati-Gayaza'!C13+'Avg Week Gayaza-Ksangati'!C13</f>
        <v>128.19642857142856</v>
      </c>
      <c r="D13" s="49">
        <f>'Avg Week Kasangati-Gayaza'!D13+'Avg Week Gayaza-Ksangati'!D13</f>
        <v>20.785714285714285</v>
      </c>
      <c r="E13" s="49">
        <f>'Avg Week Kasangati-Gayaza'!E13+'Avg Week Gayaza-Ksangati'!E13</f>
        <v>12.5</v>
      </c>
      <c r="F13" s="49">
        <f>'Avg Week Kasangati-Gayaza'!F13+'Avg Week Gayaza-Ksangati'!F13</f>
        <v>89.946428571428569</v>
      </c>
      <c r="G13" s="49">
        <f>'Avg Week Kasangati-Gayaza'!G13+'Avg Week Gayaza-Ksangati'!G13</f>
        <v>1.0892857142857144</v>
      </c>
      <c r="H13" s="49">
        <f>'Avg Week Kasangati-Gayaza'!H13+'Avg Week Gayaza-Ksangati'!H13</f>
        <v>0.375</v>
      </c>
      <c r="I13" s="49">
        <f>'Avg Week Kasangati-Gayaza'!I13+'Avg Week Gayaza-Ksangati'!I13</f>
        <v>16.714285714285715</v>
      </c>
      <c r="J13" s="49">
        <f>'Avg Week Kasangati-Gayaza'!J13+'Avg Week Gayaza-Ksangati'!J13</f>
        <v>5.7678571428571432</v>
      </c>
      <c r="K13" s="49">
        <f>'Avg Week Kasangati-Gayaza'!K13+'Avg Week Gayaza-Ksangati'!K13</f>
        <v>3.875</v>
      </c>
      <c r="L13" s="49">
        <f>'Avg Week Kasangati-Gayaza'!L13+'Avg Week Gayaza-Ksangati'!L13</f>
        <v>0.39285714285714285</v>
      </c>
      <c r="M13" s="49">
        <f>'Avg Week Kasangati-Gayaza'!M13+'Avg Week Gayaza-Ksangati'!M13</f>
        <v>289.92857142857144</v>
      </c>
      <c r="N13" s="49">
        <f>'Avg Week Kasangati-Gayaza'!N13+'Avg Week Gayaza-Ksangati'!N13</f>
        <v>0</v>
      </c>
      <c r="O13" s="15">
        <f t="shared" si="0"/>
        <v>279.64285714285717</v>
      </c>
      <c r="P13" s="15">
        <f t="shared" si="1"/>
        <v>569.57142857142867</v>
      </c>
      <c r="R13" s="1" t="s">
        <v>9</v>
      </c>
      <c r="S13" s="17">
        <f t="shared" ref="S13:AF13" si="5">SUM(C22:C25)</f>
        <v>424.16071428571428</v>
      </c>
      <c r="T13" s="17">
        <f t="shared" si="5"/>
        <v>83.25</v>
      </c>
      <c r="U13" s="17">
        <f t="shared" si="5"/>
        <v>54.982142857142861</v>
      </c>
      <c r="V13" s="17">
        <f t="shared" si="5"/>
        <v>346.35714285714289</v>
      </c>
      <c r="W13" s="17">
        <f t="shared" si="5"/>
        <v>4.5535714285714288</v>
      </c>
      <c r="X13" s="17">
        <f t="shared" si="5"/>
        <v>2.6785714285714284</v>
      </c>
      <c r="Y13" s="17">
        <f t="shared" si="5"/>
        <v>71.125</v>
      </c>
      <c r="Z13" s="17">
        <f t="shared" si="5"/>
        <v>22.482142857142854</v>
      </c>
      <c r="AA13" s="17">
        <f t="shared" si="5"/>
        <v>19.321428571428573</v>
      </c>
      <c r="AB13" s="17">
        <f t="shared" si="5"/>
        <v>1.0535714285714286</v>
      </c>
      <c r="AC13" s="17">
        <f t="shared" si="5"/>
        <v>852.48214285714278</v>
      </c>
      <c r="AD13" s="17">
        <f t="shared" si="5"/>
        <v>0.125</v>
      </c>
      <c r="AE13" s="31">
        <f t="shared" si="5"/>
        <v>1030.0892857142858</v>
      </c>
      <c r="AF13" s="31">
        <f t="shared" si="5"/>
        <v>1882.5714285714284</v>
      </c>
    </row>
    <row r="14" spans="2:32" ht="23.1" customHeight="1" x14ac:dyDescent="0.25">
      <c r="B14" s="23" t="s">
        <v>41</v>
      </c>
      <c r="C14" s="49">
        <f>'Avg Week Kasangati-Gayaza'!C14+'Avg Week Gayaza-Ksangati'!C14</f>
        <v>115.28571428571428</v>
      </c>
      <c r="D14" s="49">
        <f>'Avg Week Kasangati-Gayaza'!D14+'Avg Week Gayaza-Ksangati'!D14</f>
        <v>13.410714285714285</v>
      </c>
      <c r="E14" s="49">
        <f>'Avg Week Kasangati-Gayaza'!E14+'Avg Week Gayaza-Ksangati'!E14</f>
        <v>13.803571428571429</v>
      </c>
      <c r="F14" s="49">
        <f>'Avg Week Kasangati-Gayaza'!F14+'Avg Week Gayaza-Ksangati'!F14</f>
        <v>84.642857142857139</v>
      </c>
      <c r="G14" s="49">
        <f>'Avg Week Kasangati-Gayaza'!G14+'Avg Week Gayaza-Ksangati'!G14</f>
        <v>1.0714285714285714</v>
      </c>
      <c r="H14" s="49">
        <f>'Avg Week Kasangati-Gayaza'!H14+'Avg Week Gayaza-Ksangati'!H14</f>
        <v>1.4464285714285714</v>
      </c>
      <c r="I14" s="49">
        <f>'Avg Week Kasangati-Gayaza'!I14+'Avg Week Gayaza-Ksangati'!I14</f>
        <v>15.267857142857142</v>
      </c>
      <c r="J14" s="49">
        <f>'Avg Week Kasangati-Gayaza'!J14+'Avg Week Gayaza-Ksangati'!J14</f>
        <v>3.8214285714285716</v>
      </c>
      <c r="K14" s="49">
        <f>'Avg Week Kasangati-Gayaza'!K14+'Avg Week Gayaza-Ksangati'!K14</f>
        <v>7.8928571428571432</v>
      </c>
      <c r="L14" s="49">
        <f>'Avg Week Kasangati-Gayaza'!L14+'Avg Week Gayaza-Ksangati'!L14</f>
        <v>0.5357142857142857</v>
      </c>
      <c r="M14" s="49">
        <f>'Avg Week Kasangati-Gayaza'!M14+'Avg Week Gayaza-Ksangati'!M14</f>
        <v>271.01785714285711</v>
      </c>
      <c r="N14" s="49">
        <f>'Avg Week Kasangati-Gayaza'!N14+'Avg Week Gayaza-Ksangati'!N14</f>
        <v>0</v>
      </c>
      <c r="O14" s="15">
        <f t="shared" si="0"/>
        <v>257.17857142857144</v>
      </c>
      <c r="P14" s="15">
        <f t="shared" si="1"/>
        <v>528.19642857142856</v>
      </c>
      <c r="R14" s="1" t="s">
        <v>10</v>
      </c>
      <c r="S14" s="17">
        <f t="shared" ref="S14:AF14" si="6">SUM(C26:C29)</f>
        <v>384.10714285714283</v>
      </c>
      <c r="T14" s="17">
        <f t="shared" si="6"/>
        <v>89.714285714285722</v>
      </c>
      <c r="U14" s="17">
        <f t="shared" si="6"/>
        <v>61.232142857142854</v>
      </c>
      <c r="V14" s="17">
        <f t="shared" si="6"/>
        <v>340.42857142857139</v>
      </c>
      <c r="W14" s="17">
        <f t="shared" si="6"/>
        <v>4.8392857142857153</v>
      </c>
      <c r="X14" s="17">
        <f t="shared" si="6"/>
        <v>2.6071428571428568</v>
      </c>
      <c r="Y14" s="17">
        <f t="shared" si="6"/>
        <v>83.857142857142861</v>
      </c>
      <c r="Z14" s="17">
        <f t="shared" si="6"/>
        <v>22.964285714285715</v>
      </c>
      <c r="AA14" s="17">
        <f t="shared" si="6"/>
        <v>29.017857142857139</v>
      </c>
      <c r="AB14" s="17">
        <f t="shared" si="6"/>
        <v>1.5178571428571428</v>
      </c>
      <c r="AC14" s="17">
        <f t="shared" si="6"/>
        <v>799.30357142857133</v>
      </c>
      <c r="AD14" s="17">
        <f t="shared" si="6"/>
        <v>0.2857142857142857</v>
      </c>
      <c r="AE14" s="31">
        <f t="shared" si="6"/>
        <v>1020.5714285714287</v>
      </c>
      <c r="AF14" s="31">
        <f t="shared" si="6"/>
        <v>1819.875</v>
      </c>
    </row>
    <row r="15" spans="2:32" ht="23.1" customHeight="1" x14ac:dyDescent="0.25">
      <c r="B15" s="23" t="s">
        <v>42</v>
      </c>
      <c r="C15" s="49">
        <f>'Avg Week Kasangati-Gayaza'!C15+'Avg Week Gayaza-Ksangati'!C15</f>
        <v>101.53571428571428</v>
      </c>
      <c r="D15" s="49">
        <f>'Avg Week Kasangati-Gayaza'!D15+'Avg Week Gayaza-Ksangati'!D15</f>
        <v>22.464285714285715</v>
      </c>
      <c r="E15" s="49">
        <f>'Avg Week Kasangati-Gayaza'!E15+'Avg Week Gayaza-Ksangati'!E15</f>
        <v>12.107142857142858</v>
      </c>
      <c r="F15" s="49">
        <f>'Avg Week Kasangati-Gayaza'!F15+'Avg Week Gayaza-Ksangati'!F15</f>
        <v>82.821428571428569</v>
      </c>
      <c r="G15" s="49">
        <f>'Avg Week Kasangati-Gayaza'!G15+'Avg Week Gayaza-Ksangati'!G15</f>
        <v>1.4642857142857144</v>
      </c>
      <c r="H15" s="49">
        <f>'Avg Week Kasangati-Gayaza'!H15+'Avg Week Gayaza-Ksangati'!H15</f>
        <v>0.5357142857142857</v>
      </c>
      <c r="I15" s="49">
        <f>'Avg Week Kasangati-Gayaza'!I15+'Avg Week Gayaza-Ksangati'!I15</f>
        <v>16.125</v>
      </c>
      <c r="J15" s="49">
        <f>'Avg Week Kasangati-Gayaza'!J15+'Avg Week Gayaza-Ksangati'!J15</f>
        <v>4.875</v>
      </c>
      <c r="K15" s="49">
        <f>'Avg Week Kasangati-Gayaza'!K15+'Avg Week Gayaza-Ksangati'!K15</f>
        <v>5.125</v>
      </c>
      <c r="L15" s="49">
        <f>'Avg Week Kasangati-Gayaza'!L15+'Avg Week Gayaza-Ksangati'!L15</f>
        <v>0</v>
      </c>
      <c r="M15" s="49">
        <f>'Avg Week Kasangati-Gayaza'!M15+'Avg Week Gayaza-Ksangati'!M15</f>
        <v>283.41071428571428</v>
      </c>
      <c r="N15" s="49">
        <f>'Avg Week Kasangati-Gayaza'!N15+'Avg Week Gayaza-Ksangati'!N15</f>
        <v>0</v>
      </c>
      <c r="O15" s="15">
        <f t="shared" si="0"/>
        <v>247.05357142857144</v>
      </c>
      <c r="P15" s="15">
        <f t="shared" si="1"/>
        <v>530.46428571428578</v>
      </c>
      <c r="R15" s="1" t="s">
        <v>11</v>
      </c>
      <c r="S15" s="17">
        <f t="shared" ref="S15:AF15" si="7">SUM(C30:C33)</f>
        <v>417.32142857142856</v>
      </c>
      <c r="T15" s="17">
        <f t="shared" si="7"/>
        <v>81.839285714285722</v>
      </c>
      <c r="U15" s="17">
        <f t="shared" si="7"/>
        <v>57.178571428571431</v>
      </c>
      <c r="V15" s="17">
        <f t="shared" si="7"/>
        <v>360.21428571428567</v>
      </c>
      <c r="W15" s="17">
        <f t="shared" si="7"/>
        <v>7.1071428571428577</v>
      </c>
      <c r="X15" s="17">
        <f t="shared" si="7"/>
        <v>2.5535714285714284</v>
      </c>
      <c r="Y15" s="17">
        <f t="shared" si="7"/>
        <v>76.535714285714292</v>
      </c>
      <c r="Z15" s="17">
        <f t="shared" si="7"/>
        <v>26.892857142857146</v>
      </c>
      <c r="AA15" s="17">
        <f t="shared" si="7"/>
        <v>24.285714285714285</v>
      </c>
      <c r="AB15" s="17">
        <f t="shared" si="7"/>
        <v>2.0535714285714284</v>
      </c>
      <c r="AC15" s="17">
        <f t="shared" si="7"/>
        <v>646.55357142857144</v>
      </c>
      <c r="AD15" s="17">
        <f t="shared" si="7"/>
        <v>0</v>
      </c>
      <c r="AE15" s="31">
        <f t="shared" si="7"/>
        <v>1055.9821428571429</v>
      </c>
      <c r="AF15" s="31">
        <f t="shared" si="7"/>
        <v>1702.5357142857142</v>
      </c>
    </row>
    <row r="16" spans="2:32" ht="23.1" customHeight="1" x14ac:dyDescent="0.25">
      <c r="B16" s="23" t="s">
        <v>43</v>
      </c>
      <c r="C16" s="49">
        <f>'Avg Week Kasangati-Gayaza'!C16+'Avg Week Gayaza-Ksangati'!C16</f>
        <v>99.5</v>
      </c>
      <c r="D16" s="49">
        <f>'Avg Week Kasangati-Gayaza'!D16+'Avg Week Gayaza-Ksangati'!D16</f>
        <v>17.25</v>
      </c>
      <c r="E16" s="49">
        <f>'Avg Week Kasangati-Gayaza'!E16+'Avg Week Gayaza-Ksangati'!E16</f>
        <v>12.017857142857142</v>
      </c>
      <c r="F16" s="49">
        <f>'Avg Week Kasangati-Gayaza'!F16+'Avg Week Gayaza-Ksangati'!F16</f>
        <v>80.642857142857139</v>
      </c>
      <c r="G16" s="49">
        <f>'Avg Week Kasangati-Gayaza'!G16+'Avg Week Gayaza-Ksangati'!G16</f>
        <v>0.9821428571428571</v>
      </c>
      <c r="H16" s="49">
        <f>'Avg Week Kasangati-Gayaza'!H16+'Avg Week Gayaza-Ksangati'!H16</f>
        <v>1.1607142857142856</v>
      </c>
      <c r="I16" s="49">
        <f>'Avg Week Kasangati-Gayaza'!I16+'Avg Week Gayaza-Ksangati'!I16</f>
        <v>15.857142857142858</v>
      </c>
      <c r="J16" s="49">
        <f>'Avg Week Kasangati-Gayaza'!J16+'Avg Week Gayaza-Ksangati'!J16</f>
        <v>4.9107142857142856</v>
      </c>
      <c r="K16" s="49">
        <f>'Avg Week Kasangati-Gayaza'!K16+'Avg Week Gayaza-Ksangati'!K16</f>
        <v>6.2321428571428577</v>
      </c>
      <c r="L16" s="49">
        <f>'Avg Week Kasangati-Gayaza'!L16+'Avg Week Gayaza-Ksangati'!L16</f>
        <v>0.14285714285714285</v>
      </c>
      <c r="M16" s="49">
        <f>'Avg Week Kasangati-Gayaza'!M16+'Avg Week Gayaza-Ksangati'!M16</f>
        <v>283.55357142857144</v>
      </c>
      <c r="N16" s="49">
        <f>'Avg Week Kasangati-Gayaza'!N16+'Avg Week Gayaza-Ksangati'!N16</f>
        <v>0</v>
      </c>
      <c r="O16" s="15">
        <f t="shared" si="0"/>
        <v>238.69642857142856</v>
      </c>
      <c r="P16" s="15">
        <f t="shared" si="1"/>
        <v>522.25</v>
      </c>
      <c r="R16" s="1" t="s">
        <v>12</v>
      </c>
      <c r="S16" s="17">
        <f t="shared" ref="S16:AF16" si="8">SUM(C34:C37)</f>
        <v>371.76785714285711</v>
      </c>
      <c r="T16" s="17">
        <f t="shared" si="8"/>
        <v>93.321428571428584</v>
      </c>
      <c r="U16" s="17">
        <f t="shared" si="8"/>
        <v>48.803571428571423</v>
      </c>
      <c r="V16" s="17">
        <f t="shared" si="8"/>
        <v>308.75</v>
      </c>
      <c r="W16" s="17">
        <f t="shared" si="8"/>
        <v>4.3928571428571423</v>
      </c>
      <c r="X16" s="17">
        <f t="shared" si="8"/>
        <v>4.0714285714285712</v>
      </c>
      <c r="Y16" s="17">
        <f t="shared" si="8"/>
        <v>73.392857142857139</v>
      </c>
      <c r="Z16" s="17">
        <f t="shared" si="8"/>
        <v>22.821428571428573</v>
      </c>
      <c r="AA16" s="17">
        <f t="shared" si="8"/>
        <v>21.571428571428573</v>
      </c>
      <c r="AB16" s="17">
        <f t="shared" si="8"/>
        <v>2.8035714285714288</v>
      </c>
      <c r="AC16" s="17">
        <f t="shared" si="8"/>
        <v>556.5</v>
      </c>
      <c r="AD16" s="17">
        <f t="shared" si="8"/>
        <v>0</v>
      </c>
      <c r="AE16" s="31">
        <f t="shared" si="8"/>
        <v>951.69642857142856</v>
      </c>
      <c r="AF16" s="31">
        <f t="shared" si="8"/>
        <v>1508.1964285714287</v>
      </c>
    </row>
    <row r="17" spans="2:32" ht="23.1" customHeight="1" x14ac:dyDescent="0.25">
      <c r="B17" s="23" t="s">
        <v>44</v>
      </c>
      <c r="C17" s="49">
        <f>'Avg Week Kasangati-Gayaza'!C17+'Avg Week Gayaza-Ksangati'!C17</f>
        <v>101.01785714285714</v>
      </c>
      <c r="D17" s="49">
        <f>'Avg Week Kasangati-Gayaza'!D17+'Avg Week Gayaza-Ksangati'!D17</f>
        <v>16.857142857142858</v>
      </c>
      <c r="E17" s="49">
        <f>'Avg Week Kasangati-Gayaza'!E17+'Avg Week Gayaza-Ksangati'!E17</f>
        <v>10.446428571428571</v>
      </c>
      <c r="F17" s="49">
        <f>'Avg Week Kasangati-Gayaza'!F17+'Avg Week Gayaza-Ksangati'!F17</f>
        <v>81.160714285714278</v>
      </c>
      <c r="G17" s="49">
        <f>'Avg Week Kasangati-Gayaza'!G17+'Avg Week Gayaza-Ksangati'!G17</f>
        <v>1.0892857142857144</v>
      </c>
      <c r="H17" s="49">
        <f>'Avg Week Kasangati-Gayaza'!H17+'Avg Week Gayaza-Ksangati'!H17</f>
        <v>0.2857142857142857</v>
      </c>
      <c r="I17" s="49">
        <f>'Avg Week Kasangati-Gayaza'!I17+'Avg Week Gayaza-Ksangati'!I17</f>
        <v>17.553571428571431</v>
      </c>
      <c r="J17" s="49">
        <f>'Avg Week Kasangati-Gayaza'!J17+'Avg Week Gayaza-Ksangati'!J17</f>
        <v>4.875</v>
      </c>
      <c r="K17" s="49">
        <f>'Avg Week Kasangati-Gayaza'!K17+'Avg Week Gayaza-Ksangati'!K17</f>
        <v>4.5714285714285712</v>
      </c>
      <c r="L17" s="49">
        <f>'Avg Week Kasangati-Gayaza'!L17+'Avg Week Gayaza-Ksangati'!L17</f>
        <v>0.5714285714285714</v>
      </c>
      <c r="M17" s="49">
        <f>'Avg Week Kasangati-Gayaza'!M17+'Avg Week Gayaza-Ksangati'!M17</f>
        <v>257.39285714285711</v>
      </c>
      <c r="N17" s="49">
        <f>'Avg Week Kasangati-Gayaza'!N17+'Avg Week Gayaza-Ksangati'!N17</f>
        <v>0</v>
      </c>
      <c r="O17" s="15">
        <f t="shared" si="0"/>
        <v>238.42857142857144</v>
      </c>
      <c r="P17" s="15">
        <f t="shared" si="1"/>
        <v>495.82142857142856</v>
      </c>
      <c r="R17" s="1" t="s">
        <v>13</v>
      </c>
      <c r="S17" s="17">
        <f t="shared" ref="S17:AF17" si="9">SUM(C38:C41)</f>
        <v>398.03571428571428</v>
      </c>
      <c r="T17" s="17">
        <f t="shared" si="9"/>
        <v>104.30357142857144</v>
      </c>
      <c r="U17" s="17">
        <f t="shared" si="9"/>
        <v>53.446428571428569</v>
      </c>
      <c r="V17" s="17">
        <f t="shared" si="9"/>
        <v>319.14285714285717</v>
      </c>
      <c r="W17" s="17">
        <f t="shared" si="9"/>
        <v>4.0178571428571432</v>
      </c>
      <c r="X17" s="17">
        <f t="shared" si="9"/>
        <v>3.6428571428571432</v>
      </c>
      <c r="Y17" s="17">
        <f t="shared" si="9"/>
        <v>80.214285714285722</v>
      </c>
      <c r="Z17" s="17">
        <f t="shared" si="9"/>
        <v>22.375</v>
      </c>
      <c r="AA17" s="17">
        <f t="shared" si="9"/>
        <v>23.964285714285715</v>
      </c>
      <c r="AB17" s="17">
        <f t="shared" si="9"/>
        <v>2</v>
      </c>
      <c r="AC17" s="17">
        <f t="shared" si="9"/>
        <v>591.32142857142856</v>
      </c>
      <c r="AD17" s="17">
        <f t="shared" si="9"/>
        <v>0</v>
      </c>
      <c r="AE17" s="31">
        <f t="shared" si="9"/>
        <v>1011.1428571428571</v>
      </c>
      <c r="AF17" s="31">
        <f t="shared" si="9"/>
        <v>1602.4642857142858</v>
      </c>
    </row>
    <row r="18" spans="2:32" ht="23.1" customHeight="1" x14ac:dyDescent="0.25">
      <c r="B18" s="23" t="s">
        <v>45</v>
      </c>
      <c r="C18" s="49">
        <f>'Avg Week Kasangati-Gayaza'!C18+'Avg Week Gayaza-Ksangati'!C18</f>
        <v>103.875</v>
      </c>
      <c r="D18" s="49">
        <f>'Avg Week Kasangati-Gayaza'!D18+'Avg Week Gayaza-Ksangati'!D18</f>
        <v>20.375</v>
      </c>
      <c r="E18" s="49">
        <f>'Avg Week Kasangati-Gayaza'!E18+'Avg Week Gayaza-Ksangati'!E18</f>
        <v>12.75</v>
      </c>
      <c r="F18" s="49">
        <f>'Avg Week Kasangati-Gayaza'!F18+'Avg Week Gayaza-Ksangati'!F18</f>
        <v>80.464285714285722</v>
      </c>
      <c r="G18" s="49">
        <f>'Avg Week Kasangati-Gayaza'!G18+'Avg Week Gayaza-Ksangati'!G18</f>
        <v>1.1607142857142856</v>
      </c>
      <c r="H18" s="49">
        <f>'Avg Week Kasangati-Gayaza'!H18+'Avg Week Gayaza-Ksangati'!H18</f>
        <v>0.4107142857142857</v>
      </c>
      <c r="I18" s="49">
        <f>'Avg Week Kasangati-Gayaza'!I18+'Avg Week Gayaza-Ksangati'!I18</f>
        <v>20.25</v>
      </c>
      <c r="J18" s="49">
        <f>'Avg Week Kasangati-Gayaza'!J18+'Avg Week Gayaza-Ksangati'!J18</f>
        <v>6.1071428571428577</v>
      </c>
      <c r="K18" s="49">
        <f>'Avg Week Kasangati-Gayaza'!K18+'Avg Week Gayaza-Ksangati'!K18</f>
        <v>5.5357142857142856</v>
      </c>
      <c r="L18" s="49">
        <f>'Avg Week Kasangati-Gayaza'!L18+'Avg Week Gayaza-Ksangati'!L18</f>
        <v>0.25</v>
      </c>
      <c r="M18" s="49">
        <f>'Avg Week Kasangati-Gayaza'!M18+'Avg Week Gayaza-Ksangati'!M18</f>
        <v>232.89285714285714</v>
      </c>
      <c r="N18" s="49">
        <f>'Avg Week Kasangati-Gayaza'!N18+'Avg Week Gayaza-Ksangati'!N18</f>
        <v>0</v>
      </c>
      <c r="O18" s="15">
        <f t="shared" si="0"/>
        <v>251.17857142857142</v>
      </c>
      <c r="P18" s="15">
        <f t="shared" si="1"/>
        <v>484.07142857142856</v>
      </c>
      <c r="R18" s="1" t="s">
        <v>14</v>
      </c>
      <c r="S18" s="17">
        <f t="shared" ref="S18:AF18" si="10">SUM(C42:C45)</f>
        <v>387.82142857142861</v>
      </c>
      <c r="T18" s="17">
        <f t="shared" si="10"/>
        <v>95.053571428571445</v>
      </c>
      <c r="U18" s="17">
        <f t="shared" si="10"/>
        <v>67.982142857142861</v>
      </c>
      <c r="V18" s="17">
        <f t="shared" si="10"/>
        <v>292.55357142857144</v>
      </c>
      <c r="W18" s="17">
        <f t="shared" si="10"/>
        <v>2.1785714285714284</v>
      </c>
      <c r="X18" s="17">
        <f t="shared" si="10"/>
        <v>3.5535714285714288</v>
      </c>
      <c r="Y18" s="17">
        <f t="shared" si="10"/>
        <v>87.125</v>
      </c>
      <c r="Z18" s="17">
        <f t="shared" si="10"/>
        <v>23.25</v>
      </c>
      <c r="AA18" s="17">
        <f t="shared" si="10"/>
        <v>19.5</v>
      </c>
      <c r="AB18" s="17">
        <f t="shared" si="10"/>
        <v>2.3392857142857144</v>
      </c>
      <c r="AC18" s="17">
        <f t="shared" si="10"/>
        <v>636.55357142857144</v>
      </c>
      <c r="AD18" s="17">
        <f t="shared" si="10"/>
        <v>0.125</v>
      </c>
      <c r="AE18" s="31">
        <f t="shared" si="10"/>
        <v>981.48214285714289</v>
      </c>
      <c r="AF18" s="31">
        <f t="shared" si="10"/>
        <v>1618.0357142857142</v>
      </c>
    </row>
    <row r="19" spans="2:32" ht="23.1" customHeight="1" x14ac:dyDescent="0.25">
      <c r="B19" s="23" t="s">
        <v>46</v>
      </c>
      <c r="C19" s="49">
        <f>'Avg Week Kasangati-Gayaza'!C19+'Avg Week Gayaza-Ksangati'!C19</f>
        <v>111.55357142857143</v>
      </c>
      <c r="D19" s="49">
        <f>'Avg Week Kasangati-Gayaza'!D19+'Avg Week Gayaza-Ksangati'!D19</f>
        <v>23.464285714285715</v>
      </c>
      <c r="E19" s="49">
        <f>'Avg Week Kasangati-Gayaza'!E19+'Avg Week Gayaza-Ksangati'!E19</f>
        <v>11.678571428571429</v>
      </c>
      <c r="F19" s="49">
        <f>'Avg Week Kasangati-Gayaza'!F19+'Avg Week Gayaza-Ksangati'!F19</f>
        <v>88.839285714285722</v>
      </c>
      <c r="G19" s="49">
        <f>'Avg Week Kasangati-Gayaza'!G19+'Avg Week Gayaza-Ksangati'!G19</f>
        <v>0.9107142857142857</v>
      </c>
      <c r="H19" s="49">
        <f>'Avg Week Kasangati-Gayaza'!H19+'Avg Week Gayaza-Ksangati'!H19</f>
        <v>0.2857142857142857</v>
      </c>
      <c r="I19" s="49">
        <f>'Avg Week Kasangati-Gayaza'!I19+'Avg Week Gayaza-Ksangati'!I19</f>
        <v>14.571428571428571</v>
      </c>
      <c r="J19" s="49">
        <f>'Avg Week Kasangati-Gayaza'!J19+'Avg Week Gayaza-Ksangati'!J19</f>
        <v>5</v>
      </c>
      <c r="K19" s="49">
        <f>'Avg Week Kasangati-Gayaza'!K19+'Avg Week Gayaza-Ksangati'!K19</f>
        <v>4.875</v>
      </c>
      <c r="L19" s="49">
        <f>'Avg Week Kasangati-Gayaza'!L19+'Avg Week Gayaza-Ksangati'!L19</f>
        <v>0.375</v>
      </c>
      <c r="M19" s="49">
        <f>'Avg Week Kasangati-Gayaza'!M19+'Avg Week Gayaza-Ksangati'!M19</f>
        <v>237.30357142857144</v>
      </c>
      <c r="N19" s="49">
        <f>'Avg Week Kasangati-Gayaza'!N19+'Avg Week Gayaza-Ksangati'!N19</f>
        <v>0</v>
      </c>
      <c r="O19" s="15">
        <f t="shared" si="0"/>
        <v>261.55357142857144</v>
      </c>
      <c r="P19" s="15">
        <f t="shared" si="1"/>
        <v>498.85714285714289</v>
      </c>
      <c r="R19" s="1" t="s">
        <v>15</v>
      </c>
      <c r="S19" s="17">
        <f t="shared" ref="S19:AF19" si="11">SUM(C46:C49)</f>
        <v>452.17857142857144</v>
      </c>
      <c r="T19" s="17">
        <f t="shared" si="11"/>
        <v>104.53571428571428</v>
      </c>
      <c r="U19" s="17">
        <f t="shared" si="11"/>
        <v>66.607142857142861</v>
      </c>
      <c r="V19" s="17">
        <f t="shared" si="11"/>
        <v>318.375</v>
      </c>
      <c r="W19" s="17">
        <f t="shared" si="11"/>
        <v>10.589285714285715</v>
      </c>
      <c r="X19" s="17">
        <f t="shared" si="11"/>
        <v>5.8928571428571423</v>
      </c>
      <c r="Y19" s="17">
        <f t="shared" si="11"/>
        <v>82.767857142857153</v>
      </c>
      <c r="Z19" s="17">
        <f t="shared" si="11"/>
        <v>20.196428571428573</v>
      </c>
      <c r="AA19" s="17">
        <f t="shared" si="11"/>
        <v>16.553571428571431</v>
      </c>
      <c r="AB19" s="17">
        <f t="shared" si="11"/>
        <v>1.3571428571428572</v>
      </c>
      <c r="AC19" s="17">
        <f t="shared" si="11"/>
        <v>731.625</v>
      </c>
      <c r="AD19" s="17">
        <f t="shared" si="11"/>
        <v>0.2857142857142857</v>
      </c>
      <c r="AE19" s="31">
        <f t="shared" si="11"/>
        <v>1079.3392857142856</v>
      </c>
      <c r="AF19" s="31">
        <f t="shared" si="11"/>
        <v>1810.9642857142856</v>
      </c>
    </row>
    <row r="20" spans="2:32" ht="23.1" customHeight="1" x14ac:dyDescent="0.25">
      <c r="B20" s="23" t="s">
        <v>47</v>
      </c>
      <c r="C20" s="49">
        <f>'Avg Week Kasangati-Gayaza'!C20+'Avg Week Gayaza-Ksangati'!C20</f>
        <v>97.571428571428569</v>
      </c>
      <c r="D20" s="49">
        <f>'Avg Week Kasangati-Gayaza'!D20+'Avg Week Gayaza-Ksangati'!D20</f>
        <v>22.428571428571431</v>
      </c>
      <c r="E20" s="49">
        <f>'Avg Week Kasangati-Gayaza'!E20+'Avg Week Gayaza-Ksangati'!E20</f>
        <v>16.785714285714285</v>
      </c>
      <c r="F20" s="49">
        <f>'Avg Week Kasangati-Gayaza'!F20+'Avg Week Gayaza-Ksangati'!F20</f>
        <v>74.339285714285722</v>
      </c>
      <c r="G20" s="49">
        <f>'Avg Week Kasangati-Gayaza'!G20+'Avg Week Gayaza-Ksangati'!G20</f>
        <v>1.0714285714285714</v>
      </c>
      <c r="H20" s="49">
        <f>'Avg Week Kasangati-Gayaza'!H20+'Avg Week Gayaza-Ksangati'!H20</f>
        <v>0.51785714285714279</v>
      </c>
      <c r="I20" s="49">
        <f>'Avg Week Kasangati-Gayaza'!I20+'Avg Week Gayaza-Ksangati'!I20</f>
        <v>21.625</v>
      </c>
      <c r="J20" s="49">
        <f>'Avg Week Kasangati-Gayaza'!J20+'Avg Week Gayaza-Ksangati'!J20</f>
        <v>4.3928571428571423</v>
      </c>
      <c r="K20" s="49">
        <f>'Avg Week Kasangati-Gayaza'!K20+'Avg Week Gayaza-Ksangati'!K20</f>
        <v>5.4107142857142856</v>
      </c>
      <c r="L20" s="49">
        <f>'Avg Week Kasangati-Gayaza'!L20+'Avg Week Gayaza-Ksangati'!L20</f>
        <v>0.25</v>
      </c>
      <c r="M20" s="49">
        <f>'Avg Week Kasangati-Gayaza'!M20+'Avg Week Gayaza-Ksangati'!M20</f>
        <v>261.76785714285711</v>
      </c>
      <c r="N20" s="49">
        <f>'Avg Week Kasangati-Gayaza'!N20+'Avg Week Gayaza-Ksangati'!N20</f>
        <v>0</v>
      </c>
      <c r="O20" s="15">
        <f t="shared" si="0"/>
        <v>244.39285714285714</v>
      </c>
      <c r="P20" s="15">
        <f t="shared" si="1"/>
        <v>506.16071428571422</v>
      </c>
      <c r="R20" s="1" t="s">
        <v>16</v>
      </c>
      <c r="S20" s="17">
        <f t="shared" ref="S20:AF20" si="12">SUM(C50:C53)</f>
        <v>517.76785714285711</v>
      </c>
      <c r="T20" s="17">
        <f t="shared" si="12"/>
        <v>90.5</v>
      </c>
      <c r="U20" s="17">
        <f t="shared" si="12"/>
        <v>63.428571428571431</v>
      </c>
      <c r="V20" s="17">
        <f t="shared" si="12"/>
        <v>428.03571428571428</v>
      </c>
      <c r="W20" s="17">
        <f t="shared" si="12"/>
        <v>5.9107142857142856</v>
      </c>
      <c r="X20" s="17">
        <f t="shared" si="12"/>
        <v>5.6607142857142856</v>
      </c>
      <c r="Y20" s="17">
        <f t="shared" si="12"/>
        <v>72.660714285714278</v>
      </c>
      <c r="Z20" s="17">
        <f t="shared" si="12"/>
        <v>18.25</v>
      </c>
      <c r="AA20" s="17">
        <f t="shared" si="12"/>
        <v>16.053571428571431</v>
      </c>
      <c r="AB20" s="17">
        <f t="shared" si="12"/>
        <v>2.3571428571428572</v>
      </c>
      <c r="AC20" s="17">
        <f t="shared" si="12"/>
        <v>830.60714285714289</v>
      </c>
      <c r="AD20" s="17">
        <f t="shared" si="12"/>
        <v>0</v>
      </c>
      <c r="AE20" s="31">
        <f t="shared" si="12"/>
        <v>1220.6250000000002</v>
      </c>
      <c r="AF20" s="31">
        <f t="shared" si="12"/>
        <v>2051.2321428571431</v>
      </c>
    </row>
    <row r="21" spans="2:32" ht="23.1" customHeight="1" x14ac:dyDescent="0.25">
      <c r="B21" s="23" t="s">
        <v>48</v>
      </c>
      <c r="C21" s="49">
        <f>'Avg Week Kasangati-Gayaza'!C21+'Avg Week Gayaza-Ksangati'!C21</f>
        <v>95.839285714285722</v>
      </c>
      <c r="D21" s="49">
        <f>'Avg Week Kasangati-Gayaza'!D21+'Avg Week Gayaza-Ksangati'!D21</f>
        <v>18.464285714285715</v>
      </c>
      <c r="E21" s="49">
        <f>'Avg Week Kasangati-Gayaza'!E21+'Avg Week Gayaza-Ksangati'!E21</f>
        <v>11.642857142857142</v>
      </c>
      <c r="F21" s="49">
        <f>'Avg Week Kasangati-Gayaza'!F21+'Avg Week Gayaza-Ksangati'!F21</f>
        <v>86.910714285714278</v>
      </c>
      <c r="G21" s="49">
        <f>'Avg Week Kasangati-Gayaza'!G21+'Avg Week Gayaza-Ksangati'!G21</f>
        <v>1.1071428571428572</v>
      </c>
      <c r="H21" s="49">
        <f>'Avg Week Kasangati-Gayaza'!H21+'Avg Week Gayaza-Ksangati'!H21</f>
        <v>0.6785714285714286</v>
      </c>
      <c r="I21" s="49">
        <f>'Avg Week Kasangati-Gayaza'!I21+'Avg Week Gayaza-Ksangati'!I21</f>
        <v>20.017857142857142</v>
      </c>
      <c r="J21" s="49">
        <f>'Avg Week Kasangati-Gayaza'!J21+'Avg Week Gayaza-Ksangati'!J21</f>
        <v>5.5892857142857144</v>
      </c>
      <c r="K21" s="49">
        <f>'Avg Week Kasangati-Gayaza'!K21+'Avg Week Gayaza-Ksangati'!K21</f>
        <v>3.1785714285714284</v>
      </c>
      <c r="L21" s="49">
        <f>'Avg Week Kasangati-Gayaza'!L21+'Avg Week Gayaza-Ksangati'!L21</f>
        <v>0.2857142857142857</v>
      </c>
      <c r="M21" s="49">
        <f>'Avg Week Kasangati-Gayaza'!M21+'Avg Week Gayaza-Ksangati'!M21</f>
        <v>252.44642857142856</v>
      </c>
      <c r="N21" s="49">
        <f>'Avg Week Kasangati-Gayaza'!N21+'Avg Week Gayaza-Ksangati'!N21</f>
        <v>0</v>
      </c>
      <c r="O21" s="15">
        <f t="shared" si="0"/>
        <v>243.71428571428569</v>
      </c>
      <c r="P21" s="15">
        <f t="shared" si="1"/>
        <v>496.16071428571422</v>
      </c>
      <c r="R21" s="36" t="s">
        <v>20</v>
      </c>
      <c r="S21" s="34">
        <f t="shared" ref="S21:AF21" si="13">SUM(C54:C57)</f>
        <v>511.05357142857139</v>
      </c>
      <c r="T21" s="17">
        <f t="shared" si="13"/>
        <v>102.85714285714286</v>
      </c>
      <c r="U21" s="17">
        <f t="shared" si="13"/>
        <v>76.589285714285708</v>
      </c>
      <c r="V21" s="17">
        <f t="shared" si="13"/>
        <v>370.89285714285711</v>
      </c>
      <c r="W21" s="17">
        <f t="shared" si="13"/>
        <v>11.267857142857142</v>
      </c>
      <c r="X21" s="17">
        <f t="shared" si="13"/>
        <v>3.5357142857142856</v>
      </c>
      <c r="Y21" s="17">
        <f t="shared" si="13"/>
        <v>75.339285714285708</v>
      </c>
      <c r="Z21" s="17">
        <f t="shared" si="13"/>
        <v>16.696428571428573</v>
      </c>
      <c r="AA21" s="17">
        <f t="shared" si="13"/>
        <v>11.571428571428571</v>
      </c>
      <c r="AB21" s="17">
        <f t="shared" si="13"/>
        <v>2.089285714285714</v>
      </c>
      <c r="AC21" s="17">
        <f t="shared" si="13"/>
        <v>854.73214285714289</v>
      </c>
      <c r="AD21" s="17">
        <f t="shared" si="13"/>
        <v>0.26785714285714285</v>
      </c>
      <c r="AE21" s="31">
        <f t="shared" si="13"/>
        <v>1182.1607142857142</v>
      </c>
      <c r="AF21" s="31">
        <f t="shared" si="13"/>
        <v>2036.8928571428569</v>
      </c>
    </row>
    <row r="22" spans="2:32" ht="23.1" customHeight="1" x14ac:dyDescent="0.25">
      <c r="B22" s="23" t="s">
        <v>49</v>
      </c>
      <c r="C22" s="49">
        <f>'Avg Week Kasangati-Gayaza'!C22+'Avg Week Gayaza-Ksangati'!C22</f>
        <v>108.66071428571428</v>
      </c>
      <c r="D22" s="49">
        <f>'Avg Week Kasangati-Gayaza'!D22+'Avg Week Gayaza-Ksangati'!D22</f>
        <v>18.625</v>
      </c>
      <c r="E22" s="49">
        <f>'Avg Week Kasangati-Gayaza'!E22+'Avg Week Gayaza-Ksangati'!E22</f>
        <v>13.053571428571429</v>
      </c>
      <c r="F22" s="49">
        <f>'Avg Week Kasangati-Gayaza'!F22+'Avg Week Gayaza-Ksangati'!F22</f>
        <v>86.017857142857139</v>
      </c>
      <c r="G22" s="49">
        <f>'Avg Week Kasangati-Gayaza'!G22+'Avg Week Gayaza-Ksangati'!G22</f>
        <v>1.3035714285714286</v>
      </c>
      <c r="H22" s="49">
        <f>'Avg Week Kasangati-Gayaza'!H22+'Avg Week Gayaza-Ksangati'!H22</f>
        <v>1.2321428571428572</v>
      </c>
      <c r="I22" s="49">
        <f>'Avg Week Kasangati-Gayaza'!I22+'Avg Week Gayaza-Ksangati'!I22</f>
        <v>16.410714285714285</v>
      </c>
      <c r="J22" s="49">
        <f>'Avg Week Kasangati-Gayaza'!J22+'Avg Week Gayaza-Ksangati'!J22</f>
        <v>4.7321428571428577</v>
      </c>
      <c r="K22" s="49">
        <f>'Avg Week Kasangati-Gayaza'!K22+'Avg Week Gayaza-Ksangati'!K22</f>
        <v>4.2321428571428577</v>
      </c>
      <c r="L22" s="49">
        <f>'Avg Week Kasangati-Gayaza'!L22+'Avg Week Gayaza-Ksangati'!L22</f>
        <v>0.14285714285714285</v>
      </c>
      <c r="M22" s="49">
        <f>'Avg Week Kasangati-Gayaza'!M22+'Avg Week Gayaza-Ksangati'!M22</f>
        <v>197.82142857142856</v>
      </c>
      <c r="N22" s="49">
        <f>'Avg Week Kasangati-Gayaza'!N22+'Avg Week Gayaza-Ksangati'!N22</f>
        <v>0</v>
      </c>
      <c r="O22" s="15">
        <f t="shared" si="0"/>
        <v>254.41071428571425</v>
      </c>
      <c r="P22" s="15">
        <f t="shared" si="1"/>
        <v>452.23214285714278</v>
      </c>
      <c r="R22" s="1" t="s">
        <v>146</v>
      </c>
      <c r="S22" s="34">
        <f>SUM(C58:C61)</f>
        <v>431</v>
      </c>
      <c r="T22" s="34">
        <f t="shared" ref="T22:AF22" si="14">SUM(D58:D61)</f>
        <v>93</v>
      </c>
      <c r="U22" s="34">
        <f t="shared" si="14"/>
        <v>63</v>
      </c>
      <c r="V22" s="34">
        <f t="shared" si="14"/>
        <v>359.5</v>
      </c>
      <c r="W22" s="34">
        <f t="shared" si="14"/>
        <v>18</v>
      </c>
      <c r="X22" s="34">
        <f t="shared" si="14"/>
        <v>2</v>
      </c>
      <c r="Y22" s="34">
        <f t="shared" si="14"/>
        <v>63.5</v>
      </c>
      <c r="Z22" s="34">
        <f t="shared" si="14"/>
        <v>16.5</v>
      </c>
      <c r="AA22" s="34">
        <f t="shared" si="14"/>
        <v>3.5</v>
      </c>
      <c r="AB22" s="34">
        <f t="shared" si="14"/>
        <v>5.5</v>
      </c>
      <c r="AC22" s="34">
        <f t="shared" si="14"/>
        <v>912</v>
      </c>
      <c r="AD22" s="34">
        <f t="shared" si="14"/>
        <v>0.5</v>
      </c>
      <c r="AE22" s="69">
        <f t="shared" si="14"/>
        <v>1056</v>
      </c>
      <c r="AF22" s="69">
        <f t="shared" si="14"/>
        <v>1968</v>
      </c>
    </row>
    <row r="23" spans="2:32" ht="23.1" customHeight="1" x14ac:dyDescent="0.25">
      <c r="B23" s="23" t="s">
        <v>50</v>
      </c>
      <c r="C23" s="49">
        <f>'Avg Week Kasangati-Gayaza'!C23+'Avg Week Gayaza-Ksangati'!C23</f>
        <v>100.82142857142857</v>
      </c>
      <c r="D23" s="49">
        <f>'Avg Week Kasangati-Gayaza'!D23+'Avg Week Gayaza-Ksangati'!D23</f>
        <v>19.839285714285715</v>
      </c>
      <c r="E23" s="49">
        <f>'Avg Week Kasangati-Gayaza'!E23+'Avg Week Gayaza-Ksangati'!E23</f>
        <v>13.660714285714286</v>
      </c>
      <c r="F23" s="49">
        <f>'Avg Week Kasangati-Gayaza'!F23+'Avg Week Gayaza-Ksangati'!F23</f>
        <v>83.321428571428569</v>
      </c>
      <c r="G23" s="49">
        <f>'Avg Week Kasangati-Gayaza'!G23+'Avg Week Gayaza-Ksangati'!G23</f>
        <v>1.2142857142857144</v>
      </c>
      <c r="H23" s="49">
        <f>'Avg Week Kasangati-Gayaza'!H23+'Avg Week Gayaza-Ksangati'!H23</f>
        <v>0.7857142857142857</v>
      </c>
      <c r="I23" s="49">
        <f>'Avg Week Kasangati-Gayaza'!I23+'Avg Week Gayaza-Ksangati'!I23</f>
        <v>19.5</v>
      </c>
      <c r="J23" s="49">
        <f>'Avg Week Kasangati-Gayaza'!J23+'Avg Week Gayaza-Ksangati'!J23</f>
        <v>5.1428571428571423</v>
      </c>
      <c r="K23" s="49">
        <f>'Avg Week Kasangati-Gayaza'!K23+'Avg Week Gayaza-Ksangati'!K23</f>
        <v>6.625</v>
      </c>
      <c r="L23" s="49">
        <f>'Avg Week Kasangati-Gayaza'!L23+'Avg Week Gayaza-Ksangati'!L23</f>
        <v>0.39285714285714285</v>
      </c>
      <c r="M23" s="49">
        <f>'Avg Week Kasangati-Gayaza'!M23+'Avg Week Gayaza-Ksangati'!M23</f>
        <v>220.69642857142856</v>
      </c>
      <c r="N23" s="49">
        <f>'Avg Week Kasangati-Gayaza'!N23+'Avg Week Gayaza-Ksangati'!N23</f>
        <v>0</v>
      </c>
      <c r="O23" s="15">
        <f t="shared" si="0"/>
        <v>251.30357142857139</v>
      </c>
      <c r="P23" s="15">
        <f t="shared" si="1"/>
        <v>471.99999999999994</v>
      </c>
      <c r="R23" s="1" t="s">
        <v>147</v>
      </c>
      <c r="S23" s="34">
        <f>SUM(C62:C65)</f>
        <v>456.5</v>
      </c>
      <c r="T23" s="34">
        <f t="shared" ref="T23:AF23" si="15">SUM(D62:D65)</f>
        <v>106</v>
      </c>
      <c r="U23" s="34">
        <f t="shared" si="15"/>
        <v>52.5</v>
      </c>
      <c r="V23" s="34">
        <f t="shared" si="15"/>
        <v>361</v>
      </c>
      <c r="W23" s="34">
        <f t="shared" si="15"/>
        <v>25</v>
      </c>
      <c r="X23" s="34">
        <f t="shared" si="15"/>
        <v>4</v>
      </c>
      <c r="Y23" s="34">
        <f t="shared" si="15"/>
        <v>70.5</v>
      </c>
      <c r="Z23" s="34">
        <f t="shared" si="15"/>
        <v>12.5</v>
      </c>
      <c r="AA23" s="34">
        <f t="shared" si="15"/>
        <v>4.5</v>
      </c>
      <c r="AB23" s="34">
        <f t="shared" si="15"/>
        <v>3.5</v>
      </c>
      <c r="AC23" s="34">
        <f t="shared" si="15"/>
        <v>729</v>
      </c>
      <c r="AD23" s="34">
        <f t="shared" si="15"/>
        <v>0</v>
      </c>
      <c r="AE23" s="69">
        <f t="shared" si="15"/>
        <v>1096</v>
      </c>
      <c r="AF23" s="69">
        <f t="shared" si="15"/>
        <v>1825</v>
      </c>
    </row>
    <row r="24" spans="2:32" ht="23.1" customHeight="1" x14ac:dyDescent="0.25">
      <c r="B24" s="23" t="s">
        <v>51</v>
      </c>
      <c r="C24" s="49">
        <f>'Avg Week Kasangati-Gayaza'!C24+'Avg Week Gayaza-Ksangati'!C24</f>
        <v>113</v>
      </c>
      <c r="D24" s="49">
        <f>'Avg Week Kasangati-Gayaza'!D24+'Avg Week Gayaza-Ksangati'!D24</f>
        <v>24.267857142857142</v>
      </c>
      <c r="E24" s="49">
        <f>'Avg Week Kasangati-Gayaza'!E24+'Avg Week Gayaza-Ksangati'!E24</f>
        <v>13.089285714285715</v>
      </c>
      <c r="F24" s="49">
        <f>'Avg Week Kasangati-Gayaza'!F24+'Avg Week Gayaza-Ksangati'!F24</f>
        <v>87.375</v>
      </c>
      <c r="G24" s="49">
        <f>'Avg Week Kasangati-Gayaza'!G24+'Avg Week Gayaza-Ksangati'!G24</f>
        <v>1.1964285714285714</v>
      </c>
      <c r="H24" s="49">
        <f>'Avg Week Kasangati-Gayaza'!H24+'Avg Week Gayaza-Ksangati'!H24</f>
        <v>0.14285714285714285</v>
      </c>
      <c r="I24" s="49">
        <f>'Avg Week Kasangati-Gayaza'!I24+'Avg Week Gayaza-Ksangati'!I24</f>
        <v>19.142857142857142</v>
      </c>
      <c r="J24" s="49">
        <f>'Avg Week Kasangati-Gayaza'!J24+'Avg Week Gayaza-Ksangati'!J24</f>
        <v>8.1964285714285712</v>
      </c>
      <c r="K24" s="49">
        <f>'Avg Week Kasangati-Gayaza'!K24+'Avg Week Gayaza-Ksangati'!K24</f>
        <v>4.5535714285714288</v>
      </c>
      <c r="L24" s="49">
        <f>'Avg Week Kasangati-Gayaza'!L24+'Avg Week Gayaza-Ksangati'!L24</f>
        <v>0.14285714285714285</v>
      </c>
      <c r="M24" s="49">
        <f>'Avg Week Kasangati-Gayaza'!M24+'Avg Week Gayaza-Ksangati'!M24</f>
        <v>209.91071428571428</v>
      </c>
      <c r="N24" s="49">
        <f>'Avg Week Kasangati-Gayaza'!N24+'Avg Week Gayaza-Ksangati'!N24</f>
        <v>0.125</v>
      </c>
      <c r="O24" s="15">
        <f t="shared" si="0"/>
        <v>271.23214285714289</v>
      </c>
      <c r="P24" s="15">
        <f t="shared" si="1"/>
        <v>481.14285714285717</v>
      </c>
      <c r="R24" s="1" t="s">
        <v>148</v>
      </c>
      <c r="S24" s="34">
        <f>SUM(C66:C69)</f>
        <v>434</v>
      </c>
      <c r="T24" s="34">
        <f t="shared" ref="T24:AF24" si="16">SUM(D66:D69)</f>
        <v>76.5</v>
      </c>
      <c r="U24" s="34">
        <f t="shared" si="16"/>
        <v>42.5</v>
      </c>
      <c r="V24" s="34">
        <f t="shared" si="16"/>
        <v>374.5</v>
      </c>
      <c r="W24" s="34">
        <f t="shared" si="16"/>
        <v>15</v>
      </c>
      <c r="X24" s="34">
        <f t="shared" si="16"/>
        <v>3</v>
      </c>
      <c r="Y24" s="34">
        <f t="shared" si="16"/>
        <v>59.5</v>
      </c>
      <c r="Z24" s="34">
        <f t="shared" si="16"/>
        <v>8</v>
      </c>
      <c r="AA24" s="34">
        <f t="shared" si="16"/>
        <v>4</v>
      </c>
      <c r="AB24" s="34">
        <f t="shared" si="16"/>
        <v>2.5</v>
      </c>
      <c r="AC24" s="34">
        <f t="shared" si="16"/>
        <v>541</v>
      </c>
      <c r="AD24" s="34">
        <f t="shared" si="16"/>
        <v>0</v>
      </c>
      <c r="AE24" s="69">
        <f t="shared" si="16"/>
        <v>1019.5</v>
      </c>
      <c r="AF24" s="69">
        <f t="shared" si="16"/>
        <v>1560.5</v>
      </c>
    </row>
    <row r="25" spans="2:32" ht="23.1" customHeight="1" x14ac:dyDescent="0.25">
      <c r="B25" s="23" t="s">
        <v>52</v>
      </c>
      <c r="C25" s="49">
        <f>'Avg Week Kasangati-Gayaza'!C25+'Avg Week Gayaza-Ksangati'!C25</f>
        <v>101.67857142857143</v>
      </c>
      <c r="D25" s="49">
        <f>'Avg Week Kasangati-Gayaza'!D25+'Avg Week Gayaza-Ksangati'!D25</f>
        <v>20.517857142857142</v>
      </c>
      <c r="E25" s="49">
        <f>'Avg Week Kasangati-Gayaza'!E25+'Avg Week Gayaza-Ksangati'!E25</f>
        <v>15.178571428571429</v>
      </c>
      <c r="F25" s="49">
        <f>'Avg Week Kasangati-Gayaza'!F25+'Avg Week Gayaza-Ksangati'!F25</f>
        <v>89.642857142857139</v>
      </c>
      <c r="G25" s="49">
        <f>'Avg Week Kasangati-Gayaza'!G25+'Avg Week Gayaza-Ksangati'!G25</f>
        <v>0.8392857142857143</v>
      </c>
      <c r="H25" s="49">
        <f>'Avg Week Kasangati-Gayaza'!H25+'Avg Week Gayaza-Ksangati'!H25</f>
        <v>0.51785714285714279</v>
      </c>
      <c r="I25" s="49">
        <f>'Avg Week Kasangati-Gayaza'!I25+'Avg Week Gayaza-Ksangati'!I25</f>
        <v>16.071428571428569</v>
      </c>
      <c r="J25" s="49">
        <f>'Avg Week Kasangati-Gayaza'!J25+'Avg Week Gayaza-Ksangati'!J25</f>
        <v>4.4107142857142856</v>
      </c>
      <c r="K25" s="49">
        <f>'Avg Week Kasangati-Gayaza'!K25+'Avg Week Gayaza-Ksangati'!K25</f>
        <v>3.9107142857142856</v>
      </c>
      <c r="L25" s="49">
        <f>'Avg Week Kasangati-Gayaza'!L25+'Avg Week Gayaza-Ksangati'!L25</f>
        <v>0.375</v>
      </c>
      <c r="M25" s="49">
        <f>'Avg Week Kasangati-Gayaza'!M25+'Avg Week Gayaza-Ksangati'!M25</f>
        <v>224.05357142857144</v>
      </c>
      <c r="N25" s="49">
        <f>'Avg Week Kasangati-Gayaza'!N25+'Avg Week Gayaza-Ksangati'!N25</f>
        <v>0</v>
      </c>
      <c r="O25" s="15">
        <f t="shared" si="0"/>
        <v>253.14285714285711</v>
      </c>
      <c r="P25" s="15">
        <f t="shared" si="1"/>
        <v>477.19642857142856</v>
      </c>
      <c r="R25" s="1" t="s">
        <v>149</v>
      </c>
      <c r="S25" s="34">
        <f>SUM(C70:C73)</f>
        <v>288</v>
      </c>
      <c r="T25" s="34">
        <f t="shared" ref="T25:AF25" si="17">SUM(D70:D73)</f>
        <v>67.5</v>
      </c>
      <c r="U25" s="34">
        <f t="shared" si="17"/>
        <v>25.5</v>
      </c>
      <c r="V25" s="34">
        <f t="shared" si="17"/>
        <v>294.5</v>
      </c>
      <c r="W25" s="34">
        <f t="shared" si="17"/>
        <v>9.5</v>
      </c>
      <c r="X25" s="34">
        <f t="shared" si="17"/>
        <v>1</v>
      </c>
      <c r="Y25" s="34">
        <f t="shared" si="17"/>
        <v>39</v>
      </c>
      <c r="Z25" s="34">
        <f t="shared" si="17"/>
        <v>6</v>
      </c>
      <c r="AA25" s="34">
        <f t="shared" si="17"/>
        <v>2</v>
      </c>
      <c r="AB25" s="34">
        <f t="shared" si="17"/>
        <v>3</v>
      </c>
      <c r="AC25" s="34">
        <f t="shared" si="17"/>
        <v>401</v>
      </c>
      <c r="AD25" s="34">
        <f t="shared" si="17"/>
        <v>0</v>
      </c>
      <c r="AE25" s="69">
        <f t="shared" si="17"/>
        <v>736</v>
      </c>
      <c r="AF25" s="69">
        <f t="shared" si="17"/>
        <v>1137</v>
      </c>
    </row>
    <row r="26" spans="2:32" ht="23.1" customHeight="1" x14ac:dyDescent="0.25">
      <c r="B26" s="23" t="s">
        <v>53</v>
      </c>
      <c r="C26" s="49">
        <f>'Avg Week Kasangati-Gayaza'!C26+'Avg Week Gayaza-Ksangati'!C26</f>
        <v>97.75</v>
      </c>
      <c r="D26" s="49">
        <f>'Avg Week Kasangati-Gayaza'!D26+'Avg Week Gayaza-Ksangati'!D26</f>
        <v>25.160714285714285</v>
      </c>
      <c r="E26" s="49">
        <f>'Avg Week Kasangati-Gayaza'!E26+'Avg Week Gayaza-Ksangati'!E26</f>
        <v>17.875</v>
      </c>
      <c r="F26" s="49">
        <f>'Avg Week Kasangati-Gayaza'!F26+'Avg Week Gayaza-Ksangati'!F26</f>
        <v>83.285714285714278</v>
      </c>
      <c r="G26" s="49">
        <f>'Avg Week Kasangati-Gayaza'!G26+'Avg Week Gayaza-Ksangati'!G26</f>
        <v>1.625</v>
      </c>
      <c r="H26" s="49">
        <f>'Avg Week Kasangati-Gayaza'!H26+'Avg Week Gayaza-Ksangati'!H26</f>
        <v>0.6964285714285714</v>
      </c>
      <c r="I26" s="49">
        <f>'Avg Week Kasangati-Gayaza'!I26+'Avg Week Gayaza-Ksangati'!I26</f>
        <v>20.285714285714285</v>
      </c>
      <c r="J26" s="49">
        <f>'Avg Week Kasangati-Gayaza'!J26+'Avg Week Gayaza-Ksangati'!J26</f>
        <v>6.25</v>
      </c>
      <c r="K26" s="49">
        <f>'Avg Week Kasangati-Gayaza'!K26+'Avg Week Gayaza-Ksangati'!K26</f>
        <v>6.5357142857142856</v>
      </c>
      <c r="L26" s="49">
        <f>'Avg Week Kasangati-Gayaza'!L26+'Avg Week Gayaza-Ksangati'!L26</f>
        <v>0.14285714285714285</v>
      </c>
      <c r="M26" s="49">
        <f>'Avg Week Kasangati-Gayaza'!M26+'Avg Week Gayaza-Ksangati'!M26</f>
        <v>219.35714285714286</v>
      </c>
      <c r="N26" s="49">
        <f>'Avg Week Kasangati-Gayaza'!N26+'Avg Week Gayaza-Ksangati'!N26</f>
        <v>0.14285714285714285</v>
      </c>
      <c r="O26" s="15">
        <f t="shared" si="0"/>
        <v>259.75000000000006</v>
      </c>
      <c r="P26" s="15">
        <f t="shared" si="1"/>
        <v>479.10714285714295</v>
      </c>
      <c r="R26" s="1" t="s">
        <v>150</v>
      </c>
      <c r="S26" s="34">
        <f>SUM(C74:C77)</f>
        <v>211</v>
      </c>
      <c r="T26" s="34">
        <f t="shared" ref="T26:AF26" si="18">SUM(D74:D77)</f>
        <v>45</v>
      </c>
      <c r="U26" s="34">
        <f t="shared" si="18"/>
        <v>13</v>
      </c>
      <c r="V26" s="34">
        <f t="shared" si="18"/>
        <v>129.5</v>
      </c>
      <c r="W26" s="34">
        <f t="shared" si="18"/>
        <v>4.5</v>
      </c>
      <c r="X26" s="34">
        <f t="shared" si="18"/>
        <v>0.5</v>
      </c>
      <c r="Y26" s="34">
        <f t="shared" si="18"/>
        <v>29</v>
      </c>
      <c r="Z26" s="34">
        <f t="shared" si="18"/>
        <v>6</v>
      </c>
      <c r="AA26" s="34">
        <f t="shared" si="18"/>
        <v>1.5</v>
      </c>
      <c r="AB26" s="34">
        <f t="shared" si="18"/>
        <v>2.5</v>
      </c>
      <c r="AC26" s="34">
        <f t="shared" si="18"/>
        <v>246.5</v>
      </c>
      <c r="AD26" s="34">
        <f t="shared" si="18"/>
        <v>0</v>
      </c>
      <c r="AE26" s="69">
        <f t="shared" si="18"/>
        <v>442.5</v>
      </c>
      <c r="AF26" s="69">
        <f t="shared" si="18"/>
        <v>689</v>
      </c>
    </row>
    <row r="27" spans="2:32" ht="23.1" customHeight="1" x14ac:dyDescent="0.25">
      <c r="B27" s="23" t="s">
        <v>54</v>
      </c>
      <c r="C27" s="49">
        <f>'Avg Week Kasangati-Gayaza'!C27+'Avg Week Gayaza-Ksangati'!C27</f>
        <v>100.98214285714286</v>
      </c>
      <c r="D27" s="49">
        <f>'Avg Week Kasangati-Gayaza'!D27+'Avg Week Gayaza-Ksangati'!D27</f>
        <v>20.089285714285715</v>
      </c>
      <c r="E27" s="49">
        <f>'Avg Week Kasangati-Gayaza'!E27+'Avg Week Gayaza-Ksangati'!E27</f>
        <v>12.660714285714285</v>
      </c>
      <c r="F27" s="49">
        <f>'Avg Week Kasangati-Gayaza'!F27+'Avg Week Gayaza-Ksangati'!F27</f>
        <v>89.767857142857139</v>
      </c>
      <c r="G27" s="49">
        <f>'Avg Week Kasangati-Gayaza'!G27+'Avg Week Gayaza-Ksangati'!G27</f>
        <v>0.9285714285714286</v>
      </c>
      <c r="H27" s="49">
        <f>'Avg Week Kasangati-Gayaza'!H27+'Avg Week Gayaza-Ksangati'!H27</f>
        <v>0.5535714285714286</v>
      </c>
      <c r="I27" s="49">
        <f>'Avg Week Kasangati-Gayaza'!I27+'Avg Week Gayaza-Ksangati'!I27</f>
        <v>20.035714285714285</v>
      </c>
      <c r="J27" s="49">
        <f>'Avg Week Kasangati-Gayaza'!J27+'Avg Week Gayaza-Ksangati'!J27</f>
        <v>5.5535714285714288</v>
      </c>
      <c r="K27" s="49">
        <f>'Avg Week Kasangati-Gayaza'!K27+'Avg Week Gayaza-Ksangati'!K27</f>
        <v>5.3928571428571423</v>
      </c>
      <c r="L27" s="49">
        <f>'Avg Week Kasangati-Gayaza'!L27+'Avg Week Gayaza-Ksangati'!L27</f>
        <v>0.5357142857142857</v>
      </c>
      <c r="M27" s="49">
        <f>'Avg Week Kasangati-Gayaza'!M27+'Avg Week Gayaza-Ksangati'!M27</f>
        <v>195.125</v>
      </c>
      <c r="N27" s="49">
        <f>'Avg Week Kasangati-Gayaza'!N27+'Avg Week Gayaza-Ksangati'!N27</f>
        <v>0</v>
      </c>
      <c r="O27" s="15">
        <f t="shared" si="0"/>
        <v>256.49999999999994</v>
      </c>
      <c r="P27" s="15">
        <f t="shared" si="1"/>
        <v>451.62499999999994</v>
      </c>
      <c r="R27" s="1" t="s">
        <v>151</v>
      </c>
      <c r="S27" s="34">
        <f>SUM(C78:C81)</f>
        <v>113.5</v>
      </c>
      <c r="T27" s="34">
        <f t="shared" ref="T27:AF27" si="19">SUM(D78:D81)</f>
        <v>21.5</v>
      </c>
      <c r="U27" s="34">
        <f t="shared" si="19"/>
        <v>9.5</v>
      </c>
      <c r="V27" s="34">
        <f t="shared" si="19"/>
        <v>47.5</v>
      </c>
      <c r="W27" s="34">
        <f t="shared" si="19"/>
        <v>1</v>
      </c>
      <c r="X27" s="34">
        <f t="shared" si="19"/>
        <v>0</v>
      </c>
      <c r="Y27" s="34">
        <f t="shared" si="19"/>
        <v>12.5</v>
      </c>
      <c r="Z27" s="34">
        <f t="shared" si="19"/>
        <v>6</v>
      </c>
      <c r="AA27" s="34">
        <f t="shared" si="19"/>
        <v>1</v>
      </c>
      <c r="AB27" s="34">
        <f t="shared" si="19"/>
        <v>1</v>
      </c>
      <c r="AC27" s="34">
        <f t="shared" si="19"/>
        <v>153</v>
      </c>
      <c r="AD27" s="34">
        <f t="shared" si="19"/>
        <v>0</v>
      </c>
      <c r="AE27" s="69">
        <f t="shared" si="19"/>
        <v>213.5</v>
      </c>
      <c r="AF27" s="69">
        <f t="shared" si="19"/>
        <v>366.5</v>
      </c>
    </row>
    <row r="28" spans="2:32" ht="23.1" customHeight="1" x14ac:dyDescent="0.25">
      <c r="B28" s="23" t="s">
        <v>55</v>
      </c>
      <c r="C28" s="49">
        <f>'Avg Week Kasangati-Gayaza'!C28+'Avg Week Gayaza-Ksangati'!C28</f>
        <v>88.803571428571431</v>
      </c>
      <c r="D28" s="49">
        <f>'Avg Week Kasangati-Gayaza'!D28+'Avg Week Gayaza-Ksangati'!D28</f>
        <v>22.857142857142858</v>
      </c>
      <c r="E28" s="49">
        <f>'Avg Week Kasangati-Gayaza'!E28+'Avg Week Gayaza-Ksangati'!E28</f>
        <v>15.535714285714286</v>
      </c>
      <c r="F28" s="49">
        <f>'Avg Week Kasangati-Gayaza'!F28+'Avg Week Gayaza-Ksangati'!F28</f>
        <v>84.589285714285722</v>
      </c>
      <c r="G28" s="49">
        <f>'Avg Week Kasangati-Gayaza'!G28+'Avg Week Gayaza-Ksangati'!G28</f>
        <v>0.8035714285714286</v>
      </c>
      <c r="H28" s="49">
        <f>'Avg Week Kasangati-Gayaza'!H28+'Avg Week Gayaza-Ksangati'!H28</f>
        <v>0.6607142857142857</v>
      </c>
      <c r="I28" s="49">
        <f>'Avg Week Kasangati-Gayaza'!I28+'Avg Week Gayaza-Ksangati'!I28</f>
        <v>22.464285714285715</v>
      </c>
      <c r="J28" s="49">
        <f>'Avg Week Kasangati-Gayaza'!J28+'Avg Week Gayaza-Ksangati'!J28</f>
        <v>5.3035714285714288</v>
      </c>
      <c r="K28" s="49">
        <f>'Avg Week Kasangati-Gayaza'!K28+'Avg Week Gayaza-Ksangati'!K28</f>
        <v>9.1428571428571423</v>
      </c>
      <c r="L28" s="49">
        <f>'Avg Week Kasangati-Gayaza'!L28+'Avg Week Gayaza-Ksangati'!L28</f>
        <v>0.5714285714285714</v>
      </c>
      <c r="M28" s="49">
        <f>'Avg Week Kasangati-Gayaza'!M28+'Avg Week Gayaza-Ksangati'!M28</f>
        <v>190.16071428571428</v>
      </c>
      <c r="N28" s="49">
        <f>'Avg Week Kasangati-Gayaza'!N28+'Avg Week Gayaza-Ksangati'!N28</f>
        <v>0</v>
      </c>
      <c r="O28" s="15">
        <f t="shared" si="0"/>
        <v>250.73214285714286</v>
      </c>
      <c r="P28" s="15">
        <f t="shared" si="1"/>
        <v>440.89285714285711</v>
      </c>
      <c r="R28" s="1" t="s">
        <v>152</v>
      </c>
      <c r="S28" s="34">
        <f>SUM(C82:C85)</f>
        <v>44</v>
      </c>
      <c r="T28" s="34">
        <f t="shared" ref="T28:AF28" si="20">SUM(D82:D85)</f>
        <v>10</v>
      </c>
      <c r="U28" s="34">
        <f t="shared" si="20"/>
        <v>6</v>
      </c>
      <c r="V28" s="34">
        <f t="shared" si="20"/>
        <v>19</v>
      </c>
      <c r="W28" s="34">
        <f t="shared" si="20"/>
        <v>0</v>
      </c>
      <c r="X28" s="34">
        <f t="shared" si="20"/>
        <v>1</v>
      </c>
      <c r="Y28" s="34">
        <f t="shared" si="20"/>
        <v>14.5</v>
      </c>
      <c r="Z28" s="34">
        <f t="shared" si="20"/>
        <v>3.5</v>
      </c>
      <c r="AA28" s="34">
        <f t="shared" si="20"/>
        <v>0.5</v>
      </c>
      <c r="AB28" s="34">
        <f t="shared" si="20"/>
        <v>4</v>
      </c>
      <c r="AC28" s="34">
        <f t="shared" si="20"/>
        <v>134</v>
      </c>
      <c r="AD28" s="34">
        <f t="shared" si="20"/>
        <v>0</v>
      </c>
      <c r="AE28" s="69">
        <f t="shared" si="20"/>
        <v>102.5</v>
      </c>
      <c r="AF28" s="69">
        <f t="shared" si="20"/>
        <v>236.5</v>
      </c>
    </row>
    <row r="29" spans="2:32" ht="23.1" customHeight="1" x14ac:dyDescent="0.25">
      <c r="B29" s="23" t="s">
        <v>56</v>
      </c>
      <c r="C29" s="49">
        <f>'Avg Week Kasangati-Gayaza'!C29+'Avg Week Gayaza-Ksangati'!C29</f>
        <v>96.571428571428569</v>
      </c>
      <c r="D29" s="49">
        <f>'Avg Week Kasangati-Gayaza'!D29+'Avg Week Gayaza-Ksangati'!D29</f>
        <v>21.607142857142858</v>
      </c>
      <c r="E29" s="49">
        <f>'Avg Week Kasangati-Gayaza'!E29+'Avg Week Gayaza-Ksangati'!E29</f>
        <v>15.160714285714286</v>
      </c>
      <c r="F29" s="49">
        <f>'Avg Week Kasangati-Gayaza'!F29+'Avg Week Gayaza-Ksangati'!F29</f>
        <v>82.785714285714278</v>
      </c>
      <c r="G29" s="49">
        <f>'Avg Week Kasangati-Gayaza'!G29+'Avg Week Gayaza-Ksangati'!G29</f>
        <v>1.4821428571428572</v>
      </c>
      <c r="H29" s="49">
        <f>'Avg Week Kasangati-Gayaza'!H29+'Avg Week Gayaza-Ksangati'!H29</f>
        <v>0.6964285714285714</v>
      </c>
      <c r="I29" s="49">
        <f>'Avg Week Kasangati-Gayaza'!I29+'Avg Week Gayaza-Ksangati'!I29</f>
        <v>21.071428571428569</v>
      </c>
      <c r="J29" s="49">
        <f>'Avg Week Kasangati-Gayaza'!J29+'Avg Week Gayaza-Ksangati'!J29</f>
        <v>5.8571428571428577</v>
      </c>
      <c r="K29" s="49">
        <f>'Avg Week Kasangati-Gayaza'!K29+'Avg Week Gayaza-Ksangati'!K29</f>
        <v>7.9464285714285712</v>
      </c>
      <c r="L29" s="49">
        <f>'Avg Week Kasangati-Gayaza'!L29+'Avg Week Gayaza-Ksangati'!L29</f>
        <v>0.26785714285714285</v>
      </c>
      <c r="M29" s="49">
        <f>'Avg Week Kasangati-Gayaza'!M29+'Avg Week Gayaza-Ksangati'!M29</f>
        <v>194.66071428571428</v>
      </c>
      <c r="N29" s="49">
        <f>'Avg Week Kasangati-Gayaza'!N29+'Avg Week Gayaza-Ksangati'!N29</f>
        <v>0.14285714285714285</v>
      </c>
      <c r="O29" s="15">
        <f t="shared" si="0"/>
        <v>253.58928571428572</v>
      </c>
      <c r="P29" s="15">
        <f t="shared" si="1"/>
        <v>448.25000000000006</v>
      </c>
      <c r="R29" s="1" t="s">
        <v>153</v>
      </c>
      <c r="S29" s="34">
        <f>SUM(C86:C89)</f>
        <v>29.5</v>
      </c>
      <c r="T29" s="34">
        <f t="shared" ref="T29:AF29" si="21">SUM(D86:D89)</f>
        <v>5</v>
      </c>
      <c r="U29" s="34">
        <f t="shared" si="21"/>
        <v>2.5</v>
      </c>
      <c r="V29" s="34">
        <f t="shared" si="21"/>
        <v>14</v>
      </c>
      <c r="W29" s="34">
        <f t="shared" si="21"/>
        <v>0.5</v>
      </c>
      <c r="X29" s="34">
        <f t="shared" si="21"/>
        <v>0</v>
      </c>
      <c r="Y29" s="34">
        <f t="shared" si="21"/>
        <v>9</v>
      </c>
      <c r="Z29" s="34">
        <f t="shared" si="21"/>
        <v>1.5</v>
      </c>
      <c r="AA29" s="34">
        <f t="shared" si="21"/>
        <v>1.5</v>
      </c>
      <c r="AB29" s="34">
        <f t="shared" si="21"/>
        <v>0.5</v>
      </c>
      <c r="AC29" s="34">
        <f t="shared" si="21"/>
        <v>68.5</v>
      </c>
      <c r="AD29" s="34">
        <f t="shared" si="21"/>
        <v>0</v>
      </c>
      <c r="AE29" s="69">
        <f t="shared" si="21"/>
        <v>64</v>
      </c>
      <c r="AF29" s="69">
        <f t="shared" si="21"/>
        <v>132.5</v>
      </c>
    </row>
    <row r="30" spans="2:32" ht="23.1" customHeight="1" x14ac:dyDescent="0.25">
      <c r="B30" s="23" t="s">
        <v>57</v>
      </c>
      <c r="C30" s="49">
        <f>'Avg Week Kasangati-Gayaza'!C30+'Avg Week Gayaza-Ksangati'!C30</f>
        <v>101.71428571428572</v>
      </c>
      <c r="D30" s="49">
        <f>'Avg Week Kasangati-Gayaza'!D30+'Avg Week Gayaza-Ksangati'!D30</f>
        <v>15.839285714285715</v>
      </c>
      <c r="E30" s="49">
        <f>'Avg Week Kasangati-Gayaza'!E30+'Avg Week Gayaza-Ksangati'!E30</f>
        <v>15.142857142857142</v>
      </c>
      <c r="F30" s="49">
        <f>'Avg Week Kasangati-Gayaza'!F30+'Avg Week Gayaza-Ksangati'!F30</f>
        <v>89.642857142857139</v>
      </c>
      <c r="G30" s="49">
        <f>'Avg Week Kasangati-Gayaza'!G30+'Avg Week Gayaza-Ksangati'!G30</f>
        <v>2.1071428571428572</v>
      </c>
      <c r="H30" s="49">
        <f>'Avg Week Kasangati-Gayaza'!H30+'Avg Week Gayaza-Ksangati'!H30</f>
        <v>0.7857142857142857</v>
      </c>
      <c r="I30" s="49">
        <f>'Avg Week Kasangati-Gayaza'!I30+'Avg Week Gayaza-Ksangati'!I30</f>
        <v>19.803571428571431</v>
      </c>
      <c r="J30" s="49">
        <f>'Avg Week Kasangati-Gayaza'!J30+'Avg Week Gayaza-Ksangati'!J30</f>
        <v>6.5535714285714288</v>
      </c>
      <c r="K30" s="49">
        <f>'Avg Week Kasangati-Gayaza'!K30+'Avg Week Gayaza-Ksangati'!K30</f>
        <v>6.625</v>
      </c>
      <c r="L30" s="49">
        <f>'Avg Week Kasangati-Gayaza'!L30+'Avg Week Gayaza-Ksangati'!L30</f>
        <v>0.14285714285714285</v>
      </c>
      <c r="M30" s="49">
        <f>'Avg Week Kasangati-Gayaza'!M30+'Avg Week Gayaza-Ksangati'!M30</f>
        <v>175.96428571428572</v>
      </c>
      <c r="N30" s="49">
        <f>'Avg Week Kasangati-Gayaza'!N30+'Avg Week Gayaza-Ksangati'!N30</f>
        <v>0</v>
      </c>
      <c r="O30" s="15">
        <f t="shared" si="0"/>
        <v>258.35714285714283</v>
      </c>
      <c r="P30" s="15">
        <f t="shared" si="1"/>
        <v>434.32142857142856</v>
      </c>
      <c r="R30" s="1" t="s">
        <v>154</v>
      </c>
      <c r="S30" s="34">
        <f>SUM(C90:C93)</f>
        <v>27.5</v>
      </c>
      <c r="T30" s="34">
        <f t="shared" ref="T30:AF30" si="22">SUM(D90:D93)</f>
        <v>3.5</v>
      </c>
      <c r="U30" s="34">
        <f t="shared" si="22"/>
        <v>6</v>
      </c>
      <c r="V30" s="34">
        <f t="shared" si="22"/>
        <v>11.5</v>
      </c>
      <c r="W30" s="34">
        <f t="shared" si="22"/>
        <v>0.5</v>
      </c>
      <c r="X30" s="34">
        <f t="shared" si="22"/>
        <v>0</v>
      </c>
      <c r="Y30" s="34">
        <f t="shared" si="22"/>
        <v>8</v>
      </c>
      <c r="Z30" s="34">
        <f t="shared" si="22"/>
        <v>4.5</v>
      </c>
      <c r="AA30" s="34">
        <f t="shared" si="22"/>
        <v>0.5</v>
      </c>
      <c r="AB30" s="34">
        <f t="shared" si="22"/>
        <v>2</v>
      </c>
      <c r="AC30" s="34">
        <f t="shared" si="22"/>
        <v>50.5</v>
      </c>
      <c r="AD30" s="34">
        <f t="shared" si="22"/>
        <v>0</v>
      </c>
      <c r="AE30" s="69">
        <f t="shared" si="22"/>
        <v>64</v>
      </c>
      <c r="AF30" s="69">
        <f t="shared" si="22"/>
        <v>114.5</v>
      </c>
    </row>
    <row r="31" spans="2:32" ht="23.1" customHeight="1" x14ac:dyDescent="0.25">
      <c r="B31" s="24" t="s">
        <v>58</v>
      </c>
      <c r="C31" s="49">
        <f>'Avg Week Kasangati-Gayaza'!C31+'Avg Week Gayaza-Ksangati'!C31</f>
        <v>101.41071428571428</v>
      </c>
      <c r="D31" s="49">
        <f>'Avg Week Kasangati-Gayaza'!D31+'Avg Week Gayaza-Ksangati'!D31</f>
        <v>22.589285714285715</v>
      </c>
      <c r="E31" s="49">
        <f>'Avg Week Kasangati-Gayaza'!E31+'Avg Week Gayaza-Ksangati'!E31</f>
        <v>14.160714285714286</v>
      </c>
      <c r="F31" s="49">
        <f>'Avg Week Kasangati-Gayaza'!F31+'Avg Week Gayaza-Ksangati'!F31</f>
        <v>94.660714285714278</v>
      </c>
      <c r="G31" s="49">
        <f>'Avg Week Kasangati-Gayaza'!G31+'Avg Week Gayaza-Ksangati'!G31</f>
        <v>1.6964285714285714</v>
      </c>
      <c r="H31" s="49">
        <f>'Avg Week Kasangati-Gayaza'!H31+'Avg Week Gayaza-Ksangati'!H31</f>
        <v>0.5714285714285714</v>
      </c>
      <c r="I31" s="49">
        <f>'Avg Week Kasangati-Gayaza'!I31+'Avg Week Gayaza-Ksangati'!I31</f>
        <v>20.714285714285715</v>
      </c>
      <c r="J31" s="49">
        <f>'Avg Week Kasangati-Gayaza'!J31+'Avg Week Gayaza-Ksangati'!J31</f>
        <v>4.4107142857142856</v>
      </c>
      <c r="K31" s="49">
        <f>'Avg Week Kasangati-Gayaza'!K31+'Avg Week Gayaza-Ksangati'!K31</f>
        <v>6.3035714285714288</v>
      </c>
      <c r="L31" s="49">
        <f>'Avg Week Kasangati-Gayaza'!L31+'Avg Week Gayaza-Ksangati'!L31</f>
        <v>0.39285714285714285</v>
      </c>
      <c r="M31" s="49">
        <f>'Avg Week Kasangati-Gayaza'!M31+'Avg Week Gayaza-Ksangati'!M31</f>
        <v>170.66071428571428</v>
      </c>
      <c r="N31" s="49">
        <f>'Avg Week Kasangati-Gayaza'!N31+'Avg Week Gayaza-Ksangati'!N31</f>
        <v>0</v>
      </c>
      <c r="O31" s="15">
        <f t="shared" si="0"/>
        <v>266.91071428571433</v>
      </c>
      <c r="P31" s="15">
        <f t="shared" si="1"/>
        <v>437.57142857142861</v>
      </c>
      <c r="R31" s="1" t="s">
        <v>155</v>
      </c>
      <c r="S31" s="34">
        <f>SUM(C94:C97)</f>
        <v>14.5</v>
      </c>
      <c r="T31" s="34">
        <f t="shared" ref="T31:AF31" si="23">SUM(D94:D97)</f>
        <v>6</v>
      </c>
      <c r="U31" s="34">
        <f t="shared" si="23"/>
        <v>4.5</v>
      </c>
      <c r="V31" s="34">
        <f t="shared" si="23"/>
        <v>19.5</v>
      </c>
      <c r="W31" s="34">
        <f t="shared" si="23"/>
        <v>1</v>
      </c>
      <c r="X31" s="34">
        <f t="shared" si="23"/>
        <v>0</v>
      </c>
      <c r="Y31" s="34">
        <f t="shared" si="23"/>
        <v>9.5</v>
      </c>
      <c r="Z31" s="34">
        <f t="shared" si="23"/>
        <v>4.5</v>
      </c>
      <c r="AA31" s="34">
        <f t="shared" si="23"/>
        <v>0.5</v>
      </c>
      <c r="AB31" s="34">
        <f t="shared" si="23"/>
        <v>1</v>
      </c>
      <c r="AC31" s="34">
        <f t="shared" si="23"/>
        <v>84</v>
      </c>
      <c r="AD31" s="34">
        <f t="shared" si="23"/>
        <v>0</v>
      </c>
      <c r="AE31" s="69">
        <f t="shared" si="23"/>
        <v>61</v>
      </c>
      <c r="AF31" s="69">
        <f t="shared" si="23"/>
        <v>145</v>
      </c>
    </row>
    <row r="32" spans="2:32" ht="23.1" customHeight="1" x14ac:dyDescent="0.25">
      <c r="B32" s="24" t="s">
        <v>59</v>
      </c>
      <c r="C32" s="49">
        <f>'Avg Week Kasangati-Gayaza'!C32+'Avg Week Gayaza-Ksangati'!C32</f>
        <v>107.80357142857143</v>
      </c>
      <c r="D32" s="49">
        <f>'Avg Week Kasangati-Gayaza'!D32+'Avg Week Gayaza-Ksangati'!D32</f>
        <v>18.535714285714285</v>
      </c>
      <c r="E32" s="49">
        <f>'Avg Week Kasangati-Gayaza'!E32+'Avg Week Gayaza-Ksangati'!E32</f>
        <v>13.714285714285715</v>
      </c>
      <c r="F32" s="49">
        <f>'Avg Week Kasangati-Gayaza'!F32+'Avg Week Gayaza-Ksangati'!F32</f>
        <v>83.178571428571431</v>
      </c>
      <c r="G32" s="49">
        <f>'Avg Week Kasangati-Gayaza'!G32+'Avg Week Gayaza-Ksangati'!G32</f>
        <v>1.5357142857142858</v>
      </c>
      <c r="H32" s="49">
        <f>'Avg Week Kasangati-Gayaza'!H32+'Avg Week Gayaza-Ksangati'!H32</f>
        <v>0.2857142857142857</v>
      </c>
      <c r="I32" s="49">
        <f>'Avg Week Kasangati-Gayaza'!I32+'Avg Week Gayaza-Ksangati'!I32</f>
        <v>18.410714285714285</v>
      </c>
      <c r="J32" s="49">
        <f>'Avg Week Kasangati-Gayaza'!J32+'Avg Week Gayaza-Ksangati'!J32</f>
        <v>6.3035714285714288</v>
      </c>
      <c r="K32" s="49">
        <f>'Avg Week Kasangati-Gayaza'!K32+'Avg Week Gayaza-Ksangati'!K32</f>
        <v>4.4642857142857144</v>
      </c>
      <c r="L32" s="49">
        <f>'Avg Week Kasangati-Gayaza'!L32+'Avg Week Gayaza-Ksangati'!L32</f>
        <v>1.2321428571428572</v>
      </c>
      <c r="M32" s="49">
        <f>'Avg Week Kasangati-Gayaza'!M32+'Avg Week Gayaza-Ksangati'!M32</f>
        <v>165.08928571428572</v>
      </c>
      <c r="N32" s="49">
        <f>'Avg Week Kasangati-Gayaza'!N32+'Avg Week Gayaza-Ksangati'!N32</f>
        <v>0</v>
      </c>
      <c r="O32" s="15">
        <f t="shared" si="0"/>
        <v>255.46428571428572</v>
      </c>
      <c r="P32" s="15">
        <f t="shared" si="1"/>
        <v>420.55357142857144</v>
      </c>
      <c r="R32" s="1" t="s">
        <v>156</v>
      </c>
      <c r="S32" s="34">
        <f>SUM(C98:C101)</f>
        <v>73.5</v>
      </c>
      <c r="T32" s="34">
        <f t="shared" ref="T32:AF32" si="24">SUM(D98:D101)</f>
        <v>9.5</v>
      </c>
      <c r="U32" s="34">
        <f t="shared" si="24"/>
        <v>14</v>
      </c>
      <c r="V32" s="34">
        <f t="shared" si="24"/>
        <v>80.5</v>
      </c>
      <c r="W32" s="34">
        <f t="shared" si="24"/>
        <v>3</v>
      </c>
      <c r="X32" s="34">
        <f t="shared" si="24"/>
        <v>0.5</v>
      </c>
      <c r="Y32" s="34">
        <f t="shared" si="24"/>
        <v>24</v>
      </c>
      <c r="Z32" s="34">
        <f t="shared" si="24"/>
        <v>7</v>
      </c>
      <c r="AA32" s="34">
        <f t="shared" si="24"/>
        <v>4</v>
      </c>
      <c r="AB32" s="34">
        <f t="shared" si="24"/>
        <v>3</v>
      </c>
      <c r="AC32" s="34">
        <f t="shared" si="24"/>
        <v>109.5</v>
      </c>
      <c r="AD32" s="34">
        <f t="shared" si="24"/>
        <v>0</v>
      </c>
      <c r="AE32" s="69">
        <f t="shared" si="24"/>
        <v>219</v>
      </c>
      <c r="AF32" s="69">
        <f t="shared" si="24"/>
        <v>328.5</v>
      </c>
    </row>
    <row r="33" spans="2:32" ht="23.1" customHeight="1" x14ac:dyDescent="0.25">
      <c r="B33" s="23" t="s">
        <v>60</v>
      </c>
      <c r="C33" s="49">
        <f>'Avg Week Kasangati-Gayaza'!C33+'Avg Week Gayaza-Ksangati'!C33</f>
        <v>106.39285714285714</v>
      </c>
      <c r="D33" s="49">
        <f>'Avg Week Kasangati-Gayaza'!D33+'Avg Week Gayaza-Ksangati'!D33</f>
        <v>24.875</v>
      </c>
      <c r="E33" s="49">
        <f>'Avg Week Kasangati-Gayaza'!E33+'Avg Week Gayaza-Ksangati'!E33</f>
        <v>14.160714285714286</v>
      </c>
      <c r="F33" s="49">
        <f>'Avg Week Kasangati-Gayaza'!F33+'Avg Week Gayaza-Ksangati'!F33</f>
        <v>92.732142857142861</v>
      </c>
      <c r="G33" s="49">
        <f>'Avg Week Kasangati-Gayaza'!G33+'Avg Week Gayaza-Ksangati'!G33</f>
        <v>1.7678571428571428</v>
      </c>
      <c r="H33" s="49">
        <f>'Avg Week Kasangati-Gayaza'!H33+'Avg Week Gayaza-Ksangati'!H33</f>
        <v>0.9107142857142857</v>
      </c>
      <c r="I33" s="49">
        <f>'Avg Week Kasangati-Gayaza'!I33+'Avg Week Gayaza-Ksangati'!I33</f>
        <v>17.607142857142858</v>
      </c>
      <c r="J33" s="49">
        <f>'Avg Week Kasangati-Gayaza'!J33+'Avg Week Gayaza-Ksangati'!J33</f>
        <v>9.625</v>
      </c>
      <c r="K33" s="49">
        <f>'Avg Week Kasangati-Gayaza'!K33+'Avg Week Gayaza-Ksangati'!K33</f>
        <v>6.8928571428571423</v>
      </c>
      <c r="L33" s="49">
        <f>'Avg Week Kasangati-Gayaza'!L33+'Avg Week Gayaza-Ksangati'!L33</f>
        <v>0.2857142857142857</v>
      </c>
      <c r="M33" s="49">
        <f>'Avg Week Kasangati-Gayaza'!M33+'Avg Week Gayaza-Ksangati'!M33</f>
        <v>134.83928571428572</v>
      </c>
      <c r="N33" s="49">
        <f>'Avg Week Kasangati-Gayaza'!N33+'Avg Week Gayaza-Ksangati'!N33</f>
        <v>0</v>
      </c>
      <c r="O33" s="15">
        <f t="shared" si="0"/>
        <v>275.25</v>
      </c>
      <c r="P33" s="15">
        <f t="shared" si="1"/>
        <v>410.08928571428572</v>
      </c>
      <c r="R33" s="1" t="s">
        <v>157</v>
      </c>
      <c r="S33" s="34">
        <f>SUM(C102:C105)</f>
        <v>303.5</v>
      </c>
      <c r="T33" s="34">
        <f t="shared" ref="T33:AF33" si="25">SUM(D102:D105)</f>
        <v>34.5</v>
      </c>
      <c r="U33" s="34">
        <f t="shared" si="25"/>
        <v>22.5</v>
      </c>
      <c r="V33" s="34">
        <f t="shared" si="25"/>
        <v>196</v>
      </c>
      <c r="W33" s="34">
        <f t="shared" si="25"/>
        <v>3</v>
      </c>
      <c r="X33" s="34">
        <f t="shared" si="25"/>
        <v>0</v>
      </c>
      <c r="Y33" s="34">
        <f t="shared" si="25"/>
        <v>40.5</v>
      </c>
      <c r="Z33" s="34">
        <f t="shared" si="25"/>
        <v>13</v>
      </c>
      <c r="AA33" s="34">
        <f t="shared" si="25"/>
        <v>5.5</v>
      </c>
      <c r="AB33" s="34">
        <f t="shared" si="25"/>
        <v>6.5</v>
      </c>
      <c r="AC33" s="34">
        <f t="shared" si="25"/>
        <v>246</v>
      </c>
      <c r="AD33" s="34">
        <f t="shared" si="25"/>
        <v>0</v>
      </c>
      <c r="AE33" s="69">
        <f t="shared" si="25"/>
        <v>625</v>
      </c>
      <c r="AF33" s="69">
        <f t="shared" si="25"/>
        <v>871</v>
      </c>
    </row>
    <row r="34" spans="2:32" ht="23.1" customHeight="1" x14ac:dyDescent="0.25">
      <c r="B34" s="24" t="s">
        <v>61</v>
      </c>
      <c r="C34" s="49">
        <f>'Avg Week Kasangati-Gayaza'!C34+'Avg Week Gayaza-Ksangati'!C34</f>
        <v>84.285714285714278</v>
      </c>
      <c r="D34" s="49">
        <f>'Avg Week Kasangati-Gayaza'!D34+'Avg Week Gayaza-Ksangati'!D34</f>
        <v>27.232142857142858</v>
      </c>
      <c r="E34" s="49">
        <f>'Avg Week Kasangati-Gayaza'!E34+'Avg Week Gayaza-Ksangati'!E34</f>
        <v>10.535714285714285</v>
      </c>
      <c r="F34" s="49">
        <f>'Avg Week Kasangati-Gayaza'!F34+'Avg Week Gayaza-Ksangati'!F34</f>
        <v>83.571428571428569</v>
      </c>
      <c r="G34" s="49">
        <f>'Avg Week Kasangati-Gayaza'!G34+'Avg Week Gayaza-Ksangati'!G34</f>
        <v>0.9642857142857143</v>
      </c>
      <c r="H34" s="49">
        <f>'Avg Week Kasangati-Gayaza'!H34+'Avg Week Gayaza-Ksangati'!H34</f>
        <v>0.7857142857142857</v>
      </c>
      <c r="I34" s="49">
        <f>'Avg Week Kasangati-Gayaza'!I34+'Avg Week Gayaza-Ksangati'!I34</f>
        <v>20.928571428571431</v>
      </c>
      <c r="J34" s="49">
        <f>'Avg Week Kasangati-Gayaza'!J34+'Avg Week Gayaza-Ksangati'!J34</f>
        <v>6.7678571428571432</v>
      </c>
      <c r="K34" s="49">
        <f>'Avg Week Kasangati-Gayaza'!K34+'Avg Week Gayaza-Ksangati'!K34</f>
        <v>3.7321428571428572</v>
      </c>
      <c r="L34" s="49">
        <f>'Avg Week Kasangati-Gayaza'!L34+'Avg Week Gayaza-Ksangati'!L34</f>
        <v>0.26785714285714285</v>
      </c>
      <c r="M34" s="49">
        <f>'Avg Week Kasangati-Gayaza'!M34+'Avg Week Gayaza-Ksangati'!M34</f>
        <v>142.80357142857144</v>
      </c>
      <c r="N34" s="49">
        <f>'Avg Week Kasangati-Gayaza'!N34+'Avg Week Gayaza-Ksangati'!N34</f>
        <v>0</v>
      </c>
      <c r="O34" s="15">
        <f t="shared" si="0"/>
        <v>239.07142857142858</v>
      </c>
      <c r="P34" s="15">
        <f t="shared" si="1"/>
        <v>381.875</v>
      </c>
      <c r="R34" s="38" t="s">
        <v>90</v>
      </c>
      <c r="S34" s="39">
        <f t="shared" ref="S34:AF34" si="26">MAX(S10:S12)</f>
        <v>489.67857142857139</v>
      </c>
      <c r="T34" s="39">
        <f t="shared" si="26"/>
        <v>84.732142857142861</v>
      </c>
      <c r="U34" s="39">
        <f t="shared" si="26"/>
        <v>52.857142857142861</v>
      </c>
      <c r="V34" s="39">
        <f t="shared" si="26"/>
        <v>349.66071428571422</v>
      </c>
      <c r="W34" s="39">
        <f t="shared" si="26"/>
        <v>8.125</v>
      </c>
      <c r="X34" s="39">
        <f t="shared" si="26"/>
        <v>3.839285714285714</v>
      </c>
      <c r="Y34" s="39">
        <f t="shared" si="26"/>
        <v>76.464285714285708</v>
      </c>
      <c r="Z34" s="39">
        <f t="shared" si="26"/>
        <v>21.089285714285715</v>
      </c>
      <c r="AA34" s="39">
        <f t="shared" si="26"/>
        <v>23.821428571428569</v>
      </c>
      <c r="AB34" s="39">
        <f t="shared" si="26"/>
        <v>1.25</v>
      </c>
      <c r="AC34" s="39">
        <f t="shared" si="26"/>
        <v>1095.375</v>
      </c>
      <c r="AD34" s="39">
        <f t="shared" si="26"/>
        <v>0</v>
      </c>
      <c r="AE34" s="40">
        <f t="shared" si="26"/>
        <v>1075.4107142857142</v>
      </c>
      <c r="AF34" s="40">
        <f t="shared" si="26"/>
        <v>2092.6607142857147</v>
      </c>
    </row>
    <row r="35" spans="2:32" ht="23.1" customHeight="1" x14ac:dyDescent="0.25">
      <c r="B35" s="24" t="s">
        <v>62</v>
      </c>
      <c r="C35" s="49">
        <f>'Avg Week Kasangati-Gayaza'!C35+'Avg Week Gayaza-Ksangati'!C35</f>
        <v>86.821428571428569</v>
      </c>
      <c r="D35" s="49">
        <f>'Avg Week Kasangati-Gayaza'!D35+'Avg Week Gayaza-Ksangati'!D35</f>
        <v>16.625</v>
      </c>
      <c r="E35" s="49">
        <f>'Avg Week Kasangati-Gayaza'!E35+'Avg Week Gayaza-Ksangati'!E35</f>
        <v>10.839285714285715</v>
      </c>
      <c r="F35" s="49">
        <f>'Avg Week Kasangati-Gayaza'!F35+'Avg Week Gayaza-Ksangati'!F35</f>
        <v>75.107142857142861</v>
      </c>
      <c r="G35" s="49">
        <f>'Avg Week Kasangati-Gayaza'!G35+'Avg Week Gayaza-Ksangati'!G35</f>
        <v>0.5535714285714286</v>
      </c>
      <c r="H35" s="49">
        <f>'Avg Week Kasangati-Gayaza'!H35+'Avg Week Gayaza-Ksangati'!H35</f>
        <v>0.6964285714285714</v>
      </c>
      <c r="I35" s="49">
        <f>'Avg Week Kasangati-Gayaza'!I35+'Avg Week Gayaza-Ksangati'!I35</f>
        <v>18.035714285714285</v>
      </c>
      <c r="J35" s="49">
        <f>'Avg Week Kasangati-Gayaza'!J35+'Avg Week Gayaza-Ksangati'!J35</f>
        <v>6.1071428571428577</v>
      </c>
      <c r="K35" s="49">
        <f>'Avg Week Kasangati-Gayaza'!K35+'Avg Week Gayaza-Ksangati'!K35</f>
        <v>5.7321428571428577</v>
      </c>
      <c r="L35" s="49">
        <f>'Avg Week Kasangati-Gayaza'!L35+'Avg Week Gayaza-Ksangati'!L35</f>
        <v>0.4107142857142857</v>
      </c>
      <c r="M35" s="49">
        <f>'Avg Week Kasangati-Gayaza'!M35+'Avg Week Gayaza-Ksangati'!M35</f>
        <v>136.17857142857144</v>
      </c>
      <c r="N35" s="49">
        <f>'Avg Week Kasangati-Gayaza'!N35+'Avg Week Gayaza-Ksangati'!N35</f>
        <v>0</v>
      </c>
      <c r="O35" s="15">
        <f t="shared" si="0"/>
        <v>220.92857142857142</v>
      </c>
      <c r="P35" s="15">
        <f t="shared" si="1"/>
        <v>357.10714285714289</v>
      </c>
      <c r="R35" s="38" t="s">
        <v>91</v>
      </c>
      <c r="S35" s="39">
        <f t="shared" ref="S35:AF35" si="27">MAX(S13:S18)</f>
        <v>424.16071428571428</v>
      </c>
      <c r="T35" s="39">
        <f t="shared" si="27"/>
        <v>104.30357142857144</v>
      </c>
      <c r="U35" s="39">
        <f t="shared" si="27"/>
        <v>67.982142857142861</v>
      </c>
      <c r="V35" s="39">
        <f t="shared" si="27"/>
        <v>360.21428571428567</v>
      </c>
      <c r="W35" s="39">
        <f t="shared" si="27"/>
        <v>7.1071428571428577</v>
      </c>
      <c r="X35" s="39">
        <f t="shared" si="27"/>
        <v>4.0714285714285712</v>
      </c>
      <c r="Y35" s="39">
        <f t="shared" si="27"/>
        <v>87.125</v>
      </c>
      <c r="Z35" s="39">
        <f t="shared" si="27"/>
        <v>26.892857142857146</v>
      </c>
      <c r="AA35" s="39">
        <f t="shared" si="27"/>
        <v>29.017857142857139</v>
      </c>
      <c r="AB35" s="39">
        <f t="shared" si="27"/>
        <v>2.8035714285714288</v>
      </c>
      <c r="AC35" s="39">
        <f t="shared" si="27"/>
        <v>852.48214285714278</v>
      </c>
      <c r="AD35" s="39">
        <f t="shared" si="27"/>
        <v>0.2857142857142857</v>
      </c>
      <c r="AE35" s="40">
        <f t="shared" si="27"/>
        <v>1055.9821428571429</v>
      </c>
      <c r="AF35" s="40">
        <f t="shared" si="27"/>
        <v>1882.5714285714284</v>
      </c>
    </row>
    <row r="36" spans="2:32" ht="23.1" customHeight="1" x14ac:dyDescent="0.25">
      <c r="B36" s="24" t="s">
        <v>63</v>
      </c>
      <c r="C36" s="49">
        <f>'Avg Week Kasangati-Gayaza'!C36+'Avg Week Gayaza-Ksangati'!C36</f>
        <v>110.89285714285714</v>
      </c>
      <c r="D36" s="49">
        <f>'Avg Week Kasangati-Gayaza'!D36+'Avg Week Gayaza-Ksangati'!D36</f>
        <v>28.482142857142858</v>
      </c>
      <c r="E36" s="49">
        <f>'Avg Week Kasangati-Gayaza'!E36+'Avg Week Gayaza-Ksangati'!E36</f>
        <v>15.017857142857142</v>
      </c>
      <c r="F36" s="49">
        <f>'Avg Week Kasangati-Gayaza'!F36+'Avg Week Gayaza-Ksangati'!F36</f>
        <v>81.196428571428569</v>
      </c>
      <c r="G36" s="49">
        <f>'Avg Week Kasangati-Gayaza'!G36+'Avg Week Gayaza-Ksangati'!G36</f>
        <v>1.2321428571428572</v>
      </c>
      <c r="H36" s="49">
        <f>'Avg Week Kasangati-Gayaza'!H36+'Avg Week Gayaza-Ksangati'!H36</f>
        <v>1.1964285714285714</v>
      </c>
      <c r="I36" s="49">
        <f>'Avg Week Kasangati-Gayaza'!I36+'Avg Week Gayaza-Ksangati'!I36</f>
        <v>17.267857142857142</v>
      </c>
      <c r="J36" s="49">
        <f>'Avg Week Kasangati-Gayaza'!J36+'Avg Week Gayaza-Ksangati'!J36</f>
        <v>4.0892857142857144</v>
      </c>
      <c r="K36" s="49">
        <f>'Avg Week Kasangati-Gayaza'!K36+'Avg Week Gayaza-Ksangati'!K36</f>
        <v>6.25</v>
      </c>
      <c r="L36" s="49">
        <f>'Avg Week Kasangati-Gayaza'!L36+'Avg Week Gayaza-Ksangati'!L36</f>
        <v>1.5535714285714286</v>
      </c>
      <c r="M36" s="49">
        <f>'Avg Week Kasangati-Gayaza'!M36+'Avg Week Gayaza-Ksangati'!M36</f>
        <v>141.39285714285714</v>
      </c>
      <c r="N36" s="49">
        <f>'Avg Week Kasangati-Gayaza'!N36+'Avg Week Gayaza-Ksangati'!N36</f>
        <v>0</v>
      </c>
      <c r="O36" s="15">
        <f t="shared" si="0"/>
        <v>267.17857142857144</v>
      </c>
      <c r="P36" s="15">
        <f t="shared" si="1"/>
        <v>408.57142857142856</v>
      </c>
      <c r="R36" s="38" t="s">
        <v>92</v>
      </c>
      <c r="S36" s="39">
        <f t="shared" ref="S36:AF36" si="28">MAX(S19:S21)</f>
        <v>517.76785714285711</v>
      </c>
      <c r="T36" s="39">
        <f t="shared" si="28"/>
        <v>104.53571428571428</v>
      </c>
      <c r="U36" s="39">
        <f t="shared" si="28"/>
        <v>76.589285714285708</v>
      </c>
      <c r="V36" s="39">
        <f t="shared" si="28"/>
        <v>428.03571428571428</v>
      </c>
      <c r="W36" s="39">
        <f t="shared" si="28"/>
        <v>11.267857142857142</v>
      </c>
      <c r="X36" s="39">
        <f t="shared" si="28"/>
        <v>5.8928571428571423</v>
      </c>
      <c r="Y36" s="39">
        <f t="shared" si="28"/>
        <v>82.767857142857153</v>
      </c>
      <c r="Z36" s="39">
        <f t="shared" si="28"/>
        <v>20.196428571428573</v>
      </c>
      <c r="AA36" s="39">
        <f t="shared" si="28"/>
        <v>16.553571428571431</v>
      </c>
      <c r="AB36" s="39">
        <f t="shared" si="28"/>
        <v>2.3571428571428572</v>
      </c>
      <c r="AC36" s="39">
        <f t="shared" si="28"/>
        <v>854.73214285714289</v>
      </c>
      <c r="AD36" s="39">
        <f t="shared" si="28"/>
        <v>0.2857142857142857</v>
      </c>
      <c r="AE36" s="40">
        <f t="shared" si="28"/>
        <v>1220.6250000000002</v>
      </c>
      <c r="AF36" s="40">
        <f t="shared" si="28"/>
        <v>2051.2321428571431</v>
      </c>
    </row>
    <row r="37" spans="2:32" ht="23.1" customHeight="1" x14ac:dyDescent="0.25">
      <c r="B37" s="23" t="s">
        <v>64</v>
      </c>
      <c r="C37" s="49">
        <f>'Avg Week Kasangati-Gayaza'!C37+'Avg Week Gayaza-Ksangati'!C37</f>
        <v>89.767857142857139</v>
      </c>
      <c r="D37" s="49">
        <f>'Avg Week Kasangati-Gayaza'!D37+'Avg Week Gayaza-Ksangati'!D37</f>
        <v>20.982142857142858</v>
      </c>
      <c r="E37" s="49">
        <f>'Avg Week Kasangati-Gayaza'!E37+'Avg Week Gayaza-Ksangati'!E37</f>
        <v>12.410714285714285</v>
      </c>
      <c r="F37" s="49">
        <f>'Avg Week Kasangati-Gayaza'!F37+'Avg Week Gayaza-Ksangati'!F37</f>
        <v>68.875</v>
      </c>
      <c r="G37" s="49">
        <f>'Avg Week Kasangati-Gayaza'!G37+'Avg Week Gayaza-Ksangati'!G37</f>
        <v>1.6428571428571428</v>
      </c>
      <c r="H37" s="49">
        <f>'Avg Week Kasangati-Gayaza'!H37+'Avg Week Gayaza-Ksangati'!H37</f>
        <v>1.3928571428571428</v>
      </c>
      <c r="I37" s="49">
        <f>'Avg Week Kasangati-Gayaza'!I37+'Avg Week Gayaza-Ksangati'!I37</f>
        <v>17.160714285714285</v>
      </c>
      <c r="J37" s="49">
        <f>'Avg Week Kasangati-Gayaza'!J37+'Avg Week Gayaza-Ksangati'!J37</f>
        <v>5.8571428571428577</v>
      </c>
      <c r="K37" s="49">
        <f>'Avg Week Kasangati-Gayaza'!K37+'Avg Week Gayaza-Ksangati'!K37</f>
        <v>5.8571428571428577</v>
      </c>
      <c r="L37" s="49">
        <f>'Avg Week Kasangati-Gayaza'!L37+'Avg Week Gayaza-Ksangati'!L37</f>
        <v>0.5714285714285714</v>
      </c>
      <c r="M37" s="49">
        <f>'Avg Week Kasangati-Gayaza'!M37+'Avg Week Gayaza-Ksangati'!M37</f>
        <v>136.125</v>
      </c>
      <c r="N37" s="49">
        <f>'Avg Week Kasangati-Gayaza'!N37+'Avg Week Gayaza-Ksangati'!N37</f>
        <v>0</v>
      </c>
      <c r="O37" s="15">
        <f t="shared" si="0"/>
        <v>224.51785714285714</v>
      </c>
      <c r="P37" s="15">
        <f t="shared" si="1"/>
        <v>360.64285714285711</v>
      </c>
      <c r="R37" s="37" t="s">
        <v>85</v>
      </c>
      <c r="S37" s="35">
        <f t="shared" ref="S37:AF37" si="29">SUM(S10:S12)</f>
        <v>1315.8571428571429</v>
      </c>
      <c r="T37" s="16">
        <f t="shared" si="29"/>
        <v>223.21428571428572</v>
      </c>
      <c r="U37" s="16">
        <f t="shared" si="29"/>
        <v>152.76785714285714</v>
      </c>
      <c r="V37" s="16">
        <f t="shared" si="29"/>
        <v>1009.4821428571428</v>
      </c>
      <c r="W37" s="16">
        <f t="shared" si="29"/>
        <v>16.982142857142858</v>
      </c>
      <c r="X37" s="16">
        <f t="shared" si="29"/>
        <v>9.1607142857142847</v>
      </c>
      <c r="Y37" s="16">
        <f t="shared" si="29"/>
        <v>207.10714285714289</v>
      </c>
      <c r="Z37" s="16">
        <f t="shared" si="29"/>
        <v>60.5</v>
      </c>
      <c r="AA37" s="16">
        <f t="shared" si="29"/>
        <v>59.196428571428569</v>
      </c>
      <c r="AB37" s="16">
        <f t="shared" si="29"/>
        <v>3.3392857142857144</v>
      </c>
      <c r="AC37" s="16">
        <f t="shared" si="29"/>
        <v>3097.0357142857142</v>
      </c>
      <c r="AD37" s="16">
        <f t="shared" si="29"/>
        <v>0</v>
      </c>
      <c r="AE37" s="32">
        <f t="shared" si="29"/>
        <v>3057.6071428571427</v>
      </c>
      <c r="AF37" s="32">
        <f t="shared" si="29"/>
        <v>6154.6428571428569</v>
      </c>
    </row>
    <row r="38" spans="2:32" ht="23.1" customHeight="1" x14ac:dyDescent="0.25">
      <c r="B38" s="24" t="s">
        <v>65</v>
      </c>
      <c r="C38" s="49">
        <f>'Avg Week Kasangati-Gayaza'!C38+'Avg Week Gayaza-Ksangati'!C38</f>
        <v>95.660714285714278</v>
      </c>
      <c r="D38" s="49">
        <f>'Avg Week Kasangati-Gayaza'!D38+'Avg Week Gayaza-Ksangati'!D38</f>
        <v>23.875</v>
      </c>
      <c r="E38" s="49">
        <f>'Avg Week Kasangati-Gayaza'!E38+'Avg Week Gayaza-Ksangati'!E38</f>
        <v>12.446428571428571</v>
      </c>
      <c r="F38" s="49">
        <f>'Avg Week Kasangati-Gayaza'!F38+'Avg Week Gayaza-Ksangati'!F38</f>
        <v>79.589285714285722</v>
      </c>
      <c r="G38" s="49">
        <f>'Avg Week Kasangati-Gayaza'!G38+'Avg Week Gayaza-Ksangati'!G38</f>
        <v>1.8214285714285714</v>
      </c>
      <c r="H38" s="49">
        <f>'Avg Week Kasangati-Gayaza'!H38+'Avg Week Gayaza-Ksangati'!H38</f>
        <v>0.6785714285714286</v>
      </c>
      <c r="I38" s="49">
        <f>'Avg Week Kasangati-Gayaza'!I38+'Avg Week Gayaza-Ksangati'!I38</f>
        <v>22.696428571428569</v>
      </c>
      <c r="J38" s="49">
        <f>'Avg Week Kasangati-Gayaza'!J38+'Avg Week Gayaza-Ksangati'!J38</f>
        <v>5.3035714285714288</v>
      </c>
      <c r="K38" s="49">
        <f>'Avg Week Kasangati-Gayaza'!K38+'Avg Week Gayaza-Ksangati'!K38</f>
        <v>5.0892857142857144</v>
      </c>
      <c r="L38" s="49">
        <f>'Avg Week Kasangati-Gayaza'!L38+'Avg Week Gayaza-Ksangati'!L38</f>
        <v>0.6785714285714286</v>
      </c>
      <c r="M38" s="49">
        <f>'Avg Week Kasangati-Gayaza'!M38+'Avg Week Gayaza-Ksangati'!M38</f>
        <v>145.75</v>
      </c>
      <c r="N38" s="49">
        <f>'Avg Week Kasangati-Gayaza'!N38+'Avg Week Gayaza-Ksangati'!N38</f>
        <v>0</v>
      </c>
      <c r="O38" s="15">
        <f t="shared" si="0"/>
        <v>247.83928571428572</v>
      </c>
      <c r="P38" s="15">
        <f t="shared" si="1"/>
        <v>393.58928571428572</v>
      </c>
      <c r="R38" s="28" t="s">
        <v>86</v>
      </c>
      <c r="S38" s="16">
        <f t="shared" ref="S38:AF38" si="30">SUM(S13:S18)</f>
        <v>2383.2142857142858</v>
      </c>
      <c r="T38" s="16">
        <f t="shared" si="30"/>
        <v>547.48214285714289</v>
      </c>
      <c r="U38" s="16">
        <f t="shared" si="30"/>
        <v>343.625</v>
      </c>
      <c r="V38" s="16">
        <f t="shared" si="30"/>
        <v>1967.4464285714284</v>
      </c>
      <c r="W38" s="16">
        <f t="shared" si="30"/>
        <v>27.089285714285712</v>
      </c>
      <c r="X38" s="16">
        <f t="shared" si="30"/>
        <v>19.107142857142854</v>
      </c>
      <c r="Y38" s="16">
        <f t="shared" si="30"/>
        <v>472.25000000000006</v>
      </c>
      <c r="Z38" s="16">
        <f t="shared" si="30"/>
        <v>140.78571428571428</v>
      </c>
      <c r="AA38" s="16">
        <f t="shared" si="30"/>
        <v>137.66071428571428</v>
      </c>
      <c r="AB38" s="16">
        <f t="shared" si="30"/>
        <v>11.767857142857142</v>
      </c>
      <c r="AC38" s="16">
        <f t="shared" si="30"/>
        <v>4082.7142857142858</v>
      </c>
      <c r="AD38" s="16">
        <f t="shared" si="30"/>
        <v>0.5357142857142857</v>
      </c>
      <c r="AE38" s="32">
        <f t="shared" si="30"/>
        <v>6050.9642857142862</v>
      </c>
      <c r="AF38" s="32">
        <f t="shared" si="30"/>
        <v>10133.678571428571</v>
      </c>
    </row>
    <row r="39" spans="2:32" ht="23.1" customHeight="1" x14ac:dyDescent="0.25">
      <c r="B39" s="24" t="s">
        <v>66</v>
      </c>
      <c r="C39" s="49">
        <f>'Avg Week Kasangati-Gayaza'!C39+'Avg Week Gayaza-Ksangati'!C39</f>
        <v>100.375</v>
      </c>
      <c r="D39" s="49">
        <f>'Avg Week Kasangati-Gayaza'!D39+'Avg Week Gayaza-Ksangati'!D39</f>
        <v>21.357142857142858</v>
      </c>
      <c r="E39" s="49">
        <f>'Avg Week Kasangati-Gayaza'!E39+'Avg Week Gayaza-Ksangati'!E39</f>
        <v>15.589285714285714</v>
      </c>
      <c r="F39" s="49">
        <f>'Avg Week Kasangati-Gayaza'!F39+'Avg Week Gayaza-Ksangati'!F39</f>
        <v>77.375</v>
      </c>
      <c r="G39" s="49">
        <f>'Avg Week Kasangati-Gayaza'!G39+'Avg Week Gayaza-Ksangati'!G39</f>
        <v>0.6785714285714286</v>
      </c>
      <c r="H39" s="49">
        <f>'Avg Week Kasangati-Gayaza'!H39+'Avg Week Gayaza-Ksangati'!H39</f>
        <v>0.4107142857142857</v>
      </c>
      <c r="I39" s="49">
        <f>'Avg Week Kasangati-Gayaza'!I39+'Avg Week Gayaza-Ksangati'!I39</f>
        <v>20.25</v>
      </c>
      <c r="J39" s="49">
        <f>'Avg Week Kasangati-Gayaza'!J39+'Avg Week Gayaza-Ksangati'!J39</f>
        <v>6.3392857142857144</v>
      </c>
      <c r="K39" s="49">
        <f>'Avg Week Kasangati-Gayaza'!K39+'Avg Week Gayaza-Ksangati'!K39</f>
        <v>6.1071428571428568</v>
      </c>
      <c r="L39" s="49">
        <f>'Avg Week Kasangati-Gayaza'!L39+'Avg Week Gayaza-Ksangati'!L39</f>
        <v>0.39285714285714285</v>
      </c>
      <c r="M39" s="49">
        <f>'Avg Week Kasangati-Gayaza'!M39+'Avg Week Gayaza-Ksangati'!M39</f>
        <v>141.28571428571428</v>
      </c>
      <c r="N39" s="49">
        <f>'Avg Week Kasangati-Gayaza'!N39+'Avg Week Gayaza-Ksangati'!N39</f>
        <v>0</v>
      </c>
      <c r="O39" s="15">
        <f t="shared" si="0"/>
        <v>248.875</v>
      </c>
      <c r="P39" s="15">
        <f t="shared" si="1"/>
        <v>390.16071428571428</v>
      </c>
      <c r="R39" s="29" t="s">
        <v>87</v>
      </c>
      <c r="S39" s="16">
        <f t="shared" ref="S39:AF39" si="31">SUM(S19:S21)</f>
        <v>1481</v>
      </c>
      <c r="T39" s="16">
        <f t="shared" si="31"/>
        <v>297.89285714285711</v>
      </c>
      <c r="U39" s="16">
        <f t="shared" si="31"/>
        <v>206.625</v>
      </c>
      <c r="V39" s="16">
        <f t="shared" si="31"/>
        <v>1117.3035714285713</v>
      </c>
      <c r="W39" s="16">
        <f t="shared" si="31"/>
        <v>27.767857142857142</v>
      </c>
      <c r="X39" s="16">
        <f t="shared" si="31"/>
        <v>15.089285714285712</v>
      </c>
      <c r="Y39" s="16">
        <f t="shared" si="31"/>
        <v>230.76785714285717</v>
      </c>
      <c r="Z39" s="16">
        <f t="shared" si="31"/>
        <v>55.142857142857139</v>
      </c>
      <c r="AA39" s="16">
        <f t="shared" si="31"/>
        <v>44.178571428571431</v>
      </c>
      <c r="AB39" s="16">
        <f t="shared" si="31"/>
        <v>5.8035714285714288</v>
      </c>
      <c r="AC39" s="16">
        <f t="shared" si="31"/>
        <v>2416.9642857142858</v>
      </c>
      <c r="AD39" s="16">
        <f t="shared" si="31"/>
        <v>0.5535714285714286</v>
      </c>
      <c r="AE39" s="32">
        <f t="shared" si="31"/>
        <v>3482.125</v>
      </c>
      <c r="AF39" s="32">
        <f t="shared" si="31"/>
        <v>5899.0892857142853</v>
      </c>
    </row>
    <row r="40" spans="2:32" ht="23.1" customHeight="1" x14ac:dyDescent="0.25">
      <c r="B40" s="24" t="s">
        <v>67</v>
      </c>
      <c r="C40" s="49">
        <f>'Avg Week Kasangati-Gayaza'!C40+'Avg Week Gayaza-Ksangati'!C40</f>
        <v>102.375</v>
      </c>
      <c r="D40" s="49">
        <f>'Avg Week Kasangati-Gayaza'!D40+'Avg Week Gayaza-Ksangati'!D40</f>
        <v>25.482142857142858</v>
      </c>
      <c r="E40" s="49">
        <f>'Avg Week Kasangati-Gayaza'!E40+'Avg Week Gayaza-Ksangati'!E40</f>
        <v>13.035714285714285</v>
      </c>
      <c r="F40" s="49">
        <f>'Avg Week Kasangati-Gayaza'!F40+'Avg Week Gayaza-Ksangati'!F40</f>
        <v>76.125</v>
      </c>
      <c r="G40" s="49">
        <f>'Avg Week Kasangati-Gayaza'!G40+'Avg Week Gayaza-Ksangati'!G40</f>
        <v>0.9642857142857143</v>
      </c>
      <c r="H40" s="49">
        <f>'Avg Week Kasangati-Gayaza'!H40+'Avg Week Gayaza-Ksangati'!H40</f>
        <v>1.2678571428571428</v>
      </c>
      <c r="I40" s="49">
        <f>'Avg Week Kasangati-Gayaza'!I40+'Avg Week Gayaza-Ksangati'!I40</f>
        <v>18.732142857142858</v>
      </c>
      <c r="J40" s="49">
        <f>'Avg Week Kasangati-Gayaza'!J40+'Avg Week Gayaza-Ksangati'!J40</f>
        <v>6.0535714285714288</v>
      </c>
      <c r="K40" s="49">
        <f>'Avg Week Kasangati-Gayaza'!K40+'Avg Week Gayaza-Ksangati'!K40</f>
        <v>5.3571428571428577</v>
      </c>
      <c r="L40" s="49">
        <f>'Avg Week Kasangati-Gayaza'!L40+'Avg Week Gayaza-Ksangati'!L40</f>
        <v>0.39285714285714285</v>
      </c>
      <c r="M40" s="49">
        <f>'Avg Week Kasangati-Gayaza'!M40+'Avg Week Gayaza-Ksangati'!M40</f>
        <v>155.44642857142856</v>
      </c>
      <c r="N40" s="49">
        <f>'Avg Week Kasangati-Gayaza'!N40+'Avg Week Gayaza-Ksangati'!N40</f>
        <v>0</v>
      </c>
      <c r="O40" s="15">
        <f t="shared" si="0"/>
        <v>249.78571428571428</v>
      </c>
      <c r="P40" s="15">
        <f t="shared" si="1"/>
        <v>405.23214285714283</v>
      </c>
      <c r="R40" s="5" t="s">
        <v>17</v>
      </c>
      <c r="S40" s="16">
        <f t="shared" ref="S40:AF40" si="32">SUM(S10:S21)</f>
        <v>5180.0714285714275</v>
      </c>
      <c r="T40" s="16">
        <f t="shared" si="32"/>
        <v>1068.5892857142858</v>
      </c>
      <c r="U40" s="16">
        <f t="shared" si="32"/>
        <v>703.01785714285711</v>
      </c>
      <c r="V40" s="16">
        <f t="shared" si="32"/>
        <v>4094.2321428571431</v>
      </c>
      <c r="W40" s="16">
        <f t="shared" si="32"/>
        <v>71.839285714285722</v>
      </c>
      <c r="X40" s="16">
        <f t="shared" si="32"/>
        <v>43.357142857142847</v>
      </c>
      <c r="Y40" s="16">
        <f t="shared" si="32"/>
        <v>910.12499999999989</v>
      </c>
      <c r="Z40" s="16">
        <f t="shared" si="32"/>
        <v>256.42857142857144</v>
      </c>
      <c r="AA40" s="16">
        <f t="shared" si="32"/>
        <v>241.03571428571431</v>
      </c>
      <c r="AB40" s="16">
        <f t="shared" si="32"/>
        <v>20.910714285714288</v>
      </c>
      <c r="AC40" s="16">
        <f t="shared" si="32"/>
        <v>9596.7142857142862</v>
      </c>
      <c r="AD40" s="16">
        <f t="shared" si="32"/>
        <v>1.0892857142857142</v>
      </c>
      <c r="AE40" s="32">
        <f t="shared" si="32"/>
        <v>12590.696428571428</v>
      </c>
      <c r="AF40" s="32">
        <f t="shared" si="32"/>
        <v>22187.41071428571</v>
      </c>
    </row>
    <row r="41" spans="2:32" ht="23.1" customHeight="1" x14ac:dyDescent="0.25">
      <c r="B41" s="23" t="s">
        <v>68</v>
      </c>
      <c r="C41" s="49">
        <f>'Avg Week Kasangati-Gayaza'!C41+'Avg Week Gayaza-Ksangati'!C41</f>
        <v>99.625</v>
      </c>
      <c r="D41" s="49">
        <f>'Avg Week Kasangati-Gayaza'!D41+'Avg Week Gayaza-Ksangati'!D41</f>
        <v>33.589285714285715</v>
      </c>
      <c r="E41" s="49">
        <f>'Avg Week Kasangati-Gayaza'!E41+'Avg Week Gayaza-Ksangati'!E41</f>
        <v>12.375</v>
      </c>
      <c r="F41" s="49">
        <f>'Avg Week Kasangati-Gayaza'!F41+'Avg Week Gayaza-Ksangati'!F41</f>
        <v>86.053571428571431</v>
      </c>
      <c r="G41" s="49">
        <f>'Avg Week Kasangati-Gayaza'!G41+'Avg Week Gayaza-Ksangati'!G41</f>
        <v>0.5535714285714286</v>
      </c>
      <c r="H41" s="49">
        <f>'Avg Week Kasangati-Gayaza'!H41+'Avg Week Gayaza-Ksangati'!H41</f>
        <v>1.2857142857142858</v>
      </c>
      <c r="I41" s="49">
        <f>'Avg Week Kasangati-Gayaza'!I41+'Avg Week Gayaza-Ksangati'!I41</f>
        <v>18.535714285714285</v>
      </c>
      <c r="J41" s="49">
        <f>'Avg Week Kasangati-Gayaza'!J41+'Avg Week Gayaza-Ksangati'!J41</f>
        <v>4.6785714285714288</v>
      </c>
      <c r="K41" s="49">
        <f>'Avg Week Kasangati-Gayaza'!K41+'Avg Week Gayaza-Ksangati'!K41</f>
        <v>7.4107142857142856</v>
      </c>
      <c r="L41" s="49">
        <f>'Avg Week Kasangati-Gayaza'!L41+'Avg Week Gayaza-Ksangati'!L41</f>
        <v>0.5357142857142857</v>
      </c>
      <c r="M41" s="49">
        <f>'Avg Week Kasangati-Gayaza'!M41+'Avg Week Gayaza-Ksangati'!M41</f>
        <v>148.83928571428572</v>
      </c>
      <c r="N41" s="49">
        <f>'Avg Week Kasangati-Gayaza'!N41+'Avg Week Gayaza-Ksangati'!N41</f>
        <v>0</v>
      </c>
      <c r="O41" s="15">
        <f t="shared" si="0"/>
        <v>264.64285714285711</v>
      </c>
      <c r="P41" s="15">
        <f t="shared" si="1"/>
        <v>413.48214285714283</v>
      </c>
      <c r="R41" s="5" t="s">
        <v>184</v>
      </c>
      <c r="S41" s="71">
        <f>SUM(S10:S33)</f>
        <v>7606.5714285714275</v>
      </c>
      <c r="T41" s="71">
        <f t="shared" ref="T41:AD41" si="33">SUM(T10:T33)</f>
        <v>1546.5892857142858</v>
      </c>
      <c r="U41" s="71">
        <f t="shared" si="33"/>
        <v>964.51785714285711</v>
      </c>
      <c r="V41" s="71">
        <f t="shared" si="33"/>
        <v>6001.2321428571431</v>
      </c>
      <c r="W41" s="71">
        <f t="shared" si="33"/>
        <v>152.83928571428572</v>
      </c>
      <c r="X41" s="71">
        <f t="shared" si="33"/>
        <v>55.357142857142847</v>
      </c>
      <c r="Y41" s="71">
        <f t="shared" si="33"/>
        <v>1289.625</v>
      </c>
      <c r="Z41" s="71">
        <f t="shared" si="33"/>
        <v>345.42857142857144</v>
      </c>
      <c r="AA41" s="71">
        <f t="shared" si="33"/>
        <v>270.03571428571433</v>
      </c>
      <c r="AB41" s="71">
        <f t="shared" si="33"/>
        <v>55.910714285714292</v>
      </c>
      <c r="AC41" s="71">
        <f t="shared" si="33"/>
        <v>13271.714285714286</v>
      </c>
      <c r="AD41" s="71">
        <f t="shared" si="33"/>
        <v>1.5892857142857142</v>
      </c>
      <c r="AE41" s="72">
        <f>SUM(AE10:AE33)</f>
        <v>18289.696428571428</v>
      </c>
      <c r="AF41" s="72">
        <f>SUM(AF10:AF33)</f>
        <v>31561.41071428571</v>
      </c>
    </row>
    <row r="42" spans="2:32" ht="23.1" customHeight="1" x14ac:dyDescent="0.25">
      <c r="B42" s="24" t="s">
        <v>69</v>
      </c>
      <c r="C42" s="49">
        <f>'Avg Week Kasangati-Gayaza'!C42+'Avg Week Gayaza-Ksangati'!C42</f>
        <v>103.78571428571428</v>
      </c>
      <c r="D42" s="49">
        <f>'Avg Week Kasangati-Gayaza'!D42+'Avg Week Gayaza-Ksangati'!D42</f>
        <v>21.142857142857142</v>
      </c>
      <c r="E42" s="49">
        <f>'Avg Week Kasangati-Gayaza'!E42+'Avg Week Gayaza-Ksangati'!E42</f>
        <v>14.625</v>
      </c>
      <c r="F42" s="49">
        <f>'Avg Week Kasangati-Gayaza'!F42+'Avg Week Gayaza-Ksangati'!F42</f>
        <v>77.571428571428569</v>
      </c>
      <c r="G42" s="49">
        <f>'Avg Week Kasangati-Gayaza'!G42+'Avg Week Gayaza-Ksangati'!G42</f>
        <v>0.26785714285714285</v>
      </c>
      <c r="H42" s="49">
        <f>'Avg Week Kasangati-Gayaza'!H42+'Avg Week Gayaza-Ksangati'!H42</f>
        <v>1.0535714285714286</v>
      </c>
      <c r="I42" s="49">
        <f>'Avg Week Kasangati-Gayaza'!I42+'Avg Week Gayaza-Ksangati'!I42</f>
        <v>24.267857142857142</v>
      </c>
      <c r="J42" s="49">
        <f>'Avg Week Kasangati-Gayaza'!J42+'Avg Week Gayaza-Ksangati'!J42</f>
        <v>6.375</v>
      </c>
      <c r="K42" s="49">
        <f>'Avg Week Kasangati-Gayaza'!K42+'Avg Week Gayaza-Ksangati'!K42</f>
        <v>4.75</v>
      </c>
      <c r="L42" s="49">
        <f>'Avg Week Kasangati-Gayaza'!L42+'Avg Week Gayaza-Ksangati'!L42</f>
        <v>1.0535714285714286</v>
      </c>
      <c r="M42" s="49">
        <f>'Avg Week Kasangati-Gayaza'!M42+'Avg Week Gayaza-Ksangati'!M42</f>
        <v>158.625</v>
      </c>
      <c r="N42" s="49">
        <f>'Avg Week Kasangati-Gayaza'!N42+'Avg Week Gayaza-Ksangati'!N42</f>
        <v>0</v>
      </c>
      <c r="O42" s="15">
        <f t="shared" si="0"/>
        <v>254.89285714285711</v>
      </c>
      <c r="P42" s="15">
        <f t="shared" si="1"/>
        <v>413.51785714285711</v>
      </c>
      <c r="R42" s="5" t="s">
        <v>160</v>
      </c>
      <c r="S42" s="48">
        <f>S41/S40</f>
        <v>1.4684298341170146</v>
      </c>
      <c r="T42" s="48">
        <f t="shared" ref="T42:AF42" si="34">T41/T40</f>
        <v>1.4473187279624338</v>
      </c>
      <c r="U42" s="48">
        <f t="shared" si="34"/>
        <v>1.3719677919174986</v>
      </c>
      <c r="V42" s="48">
        <f t="shared" si="34"/>
        <v>1.4657772039934227</v>
      </c>
      <c r="W42" s="48">
        <f t="shared" si="34"/>
        <v>2.1275167785234896</v>
      </c>
      <c r="X42" s="48">
        <f t="shared" si="34"/>
        <v>1.2767710049423395</v>
      </c>
      <c r="Y42" s="48">
        <f t="shared" si="34"/>
        <v>1.4169756901524517</v>
      </c>
      <c r="Z42" s="48">
        <f t="shared" si="34"/>
        <v>1.3470752089136491</v>
      </c>
      <c r="AA42" s="48">
        <f t="shared" si="34"/>
        <v>1.120314120610461</v>
      </c>
      <c r="AB42" s="48">
        <f t="shared" si="34"/>
        <v>2.6737830913748932</v>
      </c>
      <c r="AC42" s="48">
        <f t="shared" si="34"/>
        <v>1.3829435669946559</v>
      </c>
      <c r="AD42" s="48">
        <f t="shared" si="34"/>
        <v>1.459016393442623</v>
      </c>
      <c r="AE42" s="70">
        <f t="shared" si="34"/>
        <v>1.4526358039311906</v>
      </c>
      <c r="AF42" s="70">
        <f t="shared" si="34"/>
        <v>1.4224918410134448</v>
      </c>
    </row>
    <row r="43" spans="2:32" ht="23.1" customHeight="1" x14ac:dyDescent="0.25">
      <c r="B43" s="23" t="s">
        <v>70</v>
      </c>
      <c r="C43" s="49">
        <f>'Avg Week Kasangati-Gayaza'!C43+'Avg Week Gayaza-Ksangati'!C43</f>
        <v>95.482142857142861</v>
      </c>
      <c r="D43" s="49">
        <f>'Avg Week Kasangati-Gayaza'!D43+'Avg Week Gayaza-Ksangati'!D43</f>
        <v>23.660714285714285</v>
      </c>
      <c r="E43" s="49">
        <f>'Avg Week Kasangati-Gayaza'!E43+'Avg Week Gayaza-Ksangati'!E43</f>
        <v>13.303571428571429</v>
      </c>
      <c r="F43" s="49">
        <f>'Avg Week Kasangati-Gayaza'!F43+'Avg Week Gayaza-Ksangati'!F43</f>
        <v>70.857142857142861</v>
      </c>
      <c r="G43" s="49">
        <f>'Avg Week Kasangati-Gayaza'!G43+'Avg Week Gayaza-Ksangati'!G43</f>
        <v>0.51785714285714279</v>
      </c>
      <c r="H43" s="49">
        <f>'Avg Week Kasangati-Gayaza'!H43+'Avg Week Gayaza-Ksangati'!H43</f>
        <v>0.5357142857142857</v>
      </c>
      <c r="I43" s="49">
        <f>'Avg Week Kasangati-Gayaza'!I43+'Avg Week Gayaza-Ksangati'!I43</f>
        <v>23.017857142857142</v>
      </c>
      <c r="J43" s="49">
        <f>'Avg Week Kasangati-Gayaza'!J43+'Avg Week Gayaza-Ksangati'!J43</f>
        <v>6.875</v>
      </c>
      <c r="K43" s="49">
        <f>'Avg Week Kasangati-Gayaza'!K43+'Avg Week Gayaza-Ksangati'!K43</f>
        <v>4.8214285714285712</v>
      </c>
      <c r="L43" s="49">
        <f>'Avg Week Kasangati-Gayaza'!L43+'Avg Week Gayaza-Ksangati'!L43</f>
        <v>0.125</v>
      </c>
      <c r="M43" s="49">
        <f>'Avg Week Kasangati-Gayaza'!M43+'Avg Week Gayaza-Ksangati'!M43</f>
        <v>167.08928571428572</v>
      </c>
      <c r="N43" s="49">
        <f>'Avg Week Kasangati-Gayaza'!N43+'Avg Week Gayaza-Ksangati'!N43</f>
        <v>0</v>
      </c>
      <c r="O43" s="15">
        <f t="shared" si="0"/>
        <v>239.19642857142856</v>
      </c>
      <c r="P43" s="15">
        <f t="shared" si="1"/>
        <v>406.28571428571428</v>
      </c>
    </row>
    <row r="44" spans="2:32" ht="23.1" customHeight="1" x14ac:dyDescent="0.25">
      <c r="B44" s="25" t="s">
        <v>71</v>
      </c>
      <c r="C44" s="49">
        <f>'Avg Week Kasangati-Gayaza'!C44+'Avg Week Gayaza-Ksangati'!C44</f>
        <v>88.714285714285722</v>
      </c>
      <c r="D44" s="49">
        <f>'Avg Week Kasangati-Gayaza'!D44+'Avg Week Gayaza-Ksangati'!D44</f>
        <v>23.035714285714285</v>
      </c>
      <c r="E44" s="49">
        <f>'Avg Week Kasangati-Gayaza'!E44+'Avg Week Gayaza-Ksangati'!E44</f>
        <v>16.267857142857142</v>
      </c>
      <c r="F44" s="49">
        <f>'Avg Week Kasangati-Gayaza'!F44+'Avg Week Gayaza-Ksangati'!F44</f>
        <v>64.892857142857139</v>
      </c>
      <c r="G44" s="49">
        <f>'Avg Week Kasangati-Gayaza'!G44+'Avg Week Gayaza-Ksangati'!G44</f>
        <v>0.25</v>
      </c>
      <c r="H44" s="49">
        <f>'Avg Week Kasangati-Gayaza'!H44+'Avg Week Gayaza-Ksangati'!H44</f>
        <v>1.125</v>
      </c>
      <c r="I44" s="49">
        <f>'Avg Week Kasangati-Gayaza'!I44+'Avg Week Gayaza-Ksangati'!I44</f>
        <v>17.732142857142858</v>
      </c>
      <c r="J44" s="49">
        <f>'Avg Week Kasangati-Gayaza'!J44+'Avg Week Gayaza-Ksangati'!J44</f>
        <v>6.3392857142857144</v>
      </c>
      <c r="K44" s="49">
        <f>'Avg Week Kasangati-Gayaza'!K44+'Avg Week Gayaza-Ksangati'!K44</f>
        <v>5.6964285714285712</v>
      </c>
      <c r="L44" s="49">
        <f>'Avg Week Kasangati-Gayaza'!L44+'Avg Week Gayaza-Ksangati'!L44</f>
        <v>0.64285714285714279</v>
      </c>
      <c r="M44" s="49">
        <f>'Avg Week Kasangati-Gayaza'!M44+'Avg Week Gayaza-Ksangati'!M44</f>
        <v>161.39285714285714</v>
      </c>
      <c r="N44" s="49">
        <f>'Avg Week Kasangati-Gayaza'!N44+'Avg Week Gayaza-Ksangati'!N44</f>
        <v>0.125</v>
      </c>
      <c r="O44" s="15">
        <f t="shared" si="0"/>
        <v>224.82142857142858</v>
      </c>
      <c r="P44" s="15">
        <f t="shared" si="1"/>
        <v>386.21428571428572</v>
      </c>
    </row>
    <row r="45" spans="2:32" ht="23.1" customHeight="1" x14ac:dyDescent="0.25">
      <c r="B45" s="23" t="s">
        <v>72</v>
      </c>
      <c r="C45" s="49">
        <f>'Avg Week Kasangati-Gayaza'!C45+'Avg Week Gayaza-Ksangati'!C45</f>
        <v>99.839285714285722</v>
      </c>
      <c r="D45" s="49">
        <f>'Avg Week Kasangati-Gayaza'!D45+'Avg Week Gayaza-Ksangati'!D45</f>
        <v>27.214285714285715</v>
      </c>
      <c r="E45" s="49">
        <f>'Avg Week Kasangati-Gayaza'!E45+'Avg Week Gayaza-Ksangati'!E45</f>
        <v>23.785714285714285</v>
      </c>
      <c r="F45" s="49">
        <f>'Avg Week Kasangati-Gayaza'!F45+'Avg Week Gayaza-Ksangati'!F45</f>
        <v>79.232142857142861</v>
      </c>
      <c r="G45" s="49">
        <f>'Avg Week Kasangati-Gayaza'!G45+'Avg Week Gayaza-Ksangati'!G45</f>
        <v>1.1428571428571428</v>
      </c>
      <c r="H45" s="49">
        <f>'Avg Week Kasangati-Gayaza'!H45+'Avg Week Gayaza-Ksangati'!H45</f>
        <v>0.8392857142857143</v>
      </c>
      <c r="I45" s="49">
        <f>'Avg Week Kasangati-Gayaza'!I45+'Avg Week Gayaza-Ksangati'!I45</f>
        <v>22.107142857142858</v>
      </c>
      <c r="J45" s="49">
        <f>'Avg Week Kasangati-Gayaza'!J45+'Avg Week Gayaza-Ksangati'!J45</f>
        <v>3.6607142857142856</v>
      </c>
      <c r="K45" s="49">
        <f>'Avg Week Kasangati-Gayaza'!K45+'Avg Week Gayaza-Ksangati'!K45</f>
        <v>4.2321428571428577</v>
      </c>
      <c r="L45" s="49">
        <f>'Avg Week Kasangati-Gayaza'!L45+'Avg Week Gayaza-Ksangati'!L45</f>
        <v>0.51785714285714279</v>
      </c>
      <c r="M45" s="49">
        <f>'Avg Week Kasangati-Gayaza'!M45+'Avg Week Gayaza-Ksangati'!M45</f>
        <v>149.44642857142856</v>
      </c>
      <c r="N45" s="49">
        <f>'Avg Week Kasangati-Gayaza'!N45+'Avg Week Gayaza-Ksangati'!N45</f>
        <v>0</v>
      </c>
      <c r="O45" s="15">
        <f t="shared" si="0"/>
        <v>262.57142857142861</v>
      </c>
      <c r="P45" s="15">
        <f t="shared" si="1"/>
        <v>412.01785714285717</v>
      </c>
    </row>
    <row r="46" spans="2:32" ht="23.1" customHeight="1" x14ac:dyDescent="0.25">
      <c r="B46" s="24" t="s">
        <v>73</v>
      </c>
      <c r="C46" s="49">
        <f>'Avg Week Kasangati-Gayaza'!C46+'Avg Week Gayaza-Ksangati'!C46</f>
        <v>96.089285714285722</v>
      </c>
      <c r="D46" s="49">
        <f>'Avg Week Kasangati-Gayaza'!D46+'Avg Week Gayaza-Ksangati'!D46</f>
        <v>27.160714285714285</v>
      </c>
      <c r="E46" s="49">
        <f>'Avg Week Kasangati-Gayaza'!E46+'Avg Week Gayaza-Ksangati'!E46</f>
        <v>17.928571428571431</v>
      </c>
      <c r="F46" s="49">
        <f>'Avg Week Kasangati-Gayaza'!F46+'Avg Week Gayaza-Ksangati'!F46</f>
        <v>72.303571428571431</v>
      </c>
      <c r="G46" s="49">
        <f>'Avg Week Kasangati-Gayaza'!G46+'Avg Week Gayaza-Ksangati'!G46</f>
        <v>0.375</v>
      </c>
      <c r="H46" s="49">
        <f>'Avg Week Kasangati-Gayaza'!H46+'Avg Week Gayaza-Ksangati'!H46</f>
        <v>0.5357142857142857</v>
      </c>
      <c r="I46" s="49">
        <f>'Avg Week Kasangati-Gayaza'!I46+'Avg Week Gayaza-Ksangati'!I46</f>
        <v>17.821428571428569</v>
      </c>
      <c r="J46" s="49">
        <f>'Avg Week Kasangati-Gayaza'!J46+'Avg Week Gayaza-Ksangati'!J46</f>
        <v>5.4642857142857144</v>
      </c>
      <c r="K46" s="49">
        <f>'Avg Week Kasangati-Gayaza'!K46+'Avg Week Gayaza-Ksangati'!K46</f>
        <v>5.0535714285714288</v>
      </c>
      <c r="L46" s="49">
        <f>'Avg Week Kasangati-Gayaza'!L46+'Avg Week Gayaza-Ksangati'!L46</f>
        <v>0</v>
      </c>
      <c r="M46" s="49">
        <f>'Avg Week Kasangati-Gayaza'!M46+'Avg Week Gayaza-Ksangati'!M46</f>
        <v>172.57142857142856</v>
      </c>
      <c r="N46" s="49">
        <f>'Avg Week Kasangati-Gayaza'!N46+'Avg Week Gayaza-Ksangati'!N46</f>
        <v>0</v>
      </c>
      <c r="O46" s="15">
        <f t="shared" si="0"/>
        <v>242.73214285714286</v>
      </c>
      <c r="P46" s="15">
        <f t="shared" si="1"/>
        <v>415.30357142857144</v>
      </c>
      <c r="R46" s="8"/>
      <c r="T46"/>
    </row>
    <row r="47" spans="2:32" ht="23.1" customHeight="1" x14ac:dyDescent="0.25">
      <c r="B47" s="24" t="s">
        <v>74</v>
      </c>
      <c r="C47" s="49">
        <f>'Avg Week Kasangati-Gayaza'!C47+'Avg Week Gayaza-Ksangati'!C47</f>
        <v>116.91071428571428</v>
      </c>
      <c r="D47" s="49">
        <f>'Avg Week Kasangati-Gayaza'!D47+'Avg Week Gayaza-Ksangati'!D47</f>
        <v>28.25</v>
      </c>
      <c r="E47" s="49">
        <f>'Avg Week Kasangati-Gayaza'!E47+'Avg Week Gayaza-Ksangati'!E47</f>
        <v>12.125</v>
      </c>
      <c r="F47" s="49">
        <f>'Avg Week Kasangati-Gayaza'!F47+'Avg Week Gayaza-Ksangati'!F47</f>
        <v>85.660714285714278</v>
      </c>
      <c r="G47" s="49">
        <f>'Avg Week Kasangati-Gayaza'!G47+'Avg Week Gayaza-Ksangati'!G47</f>
        <v>5.4642857142857144</v>
      </c>
      <c r="H47" s="49">
        <f>'Avg Week Kasangati-Gayaza'!H47+'Avg Week Gayaza-Ksangati'!H47</f>
        <v>0.6785714285714286</v>
      </c>
      <c r="I47" s="49">
        <f>'Avg Week Kasangati-Gayaza'!I47+'Avg Week Gayaza-Ksangati'!I47</f>
        <v>19.232142857142858</v>
      </c>
      <c r="J47" s="49">
        <f>'Avg Week Kasangati-Gayaza'!J47+'Avg Week Gayaza-Ksangati'!J47</f>
        <v>4.8571428571428577</v>
      </c>
      <c r="K47" s="49">
        <f>'Avg Week Kasangati-Gayaza'!K47+'Avg Week Gayaza-Ksangati'!K47</f>
        <v>3.0714285714285712</v>
      </c>
      <c r="L47" s="49">
        <f>'Avg Week Kasangati-Gayaza'!L47+'Avg Week Gayaza-Ksangati'!L47</f>
        <v>0.375</v>
      </c>
      <c r="M47" s="49">
        <f>'Avg Week Kasangati-Gayaza'!M47+'Avg Week Gayaza-Ksangati'!M47</f>
        <v>172.14285714285714</v>
      </c>
      <c r="N47" s="49">
        <f>'Avg Week Kasangati-Gayaza'!N47+'Avg Week Gayaza-Ksangati'!N47</f>
        <v>0</v>
      </c>
      <c r="O47" s="15">
        <f t="shared" si="0"/>
        <v>276.62499999999994</v>
      </c>
      <c r="P47" s="15">
        <f t="shared" si="1"/>
        <v>448.76785714285711</v>
      </c>
      <c r="R47" s="8"/>
      <c r="T47"/>
    </row>
    <row r="48" spans="2:32" ht="23.1" customHeight="1" x14ac:dyDescent="0.25">
      <c r="B48" s="24" t="s">
        <v>75</v>
      </c>
      <c r="C48" s="49">
        <f>'Avg Week Kasangati-Gayaza'!C48+'Avg Week Gayaza-Ksangati'!C48</f>
        <v>124.125</v>
      </c>
      <c r="D48" s="49">
        <f>'Avg Week Kasangati-Gayaza'!D48+'Avg Week Gayaza-Ksangati'!D48</f>
        <v>25.339285714285715</v>
      </c>
      <c r="E48" s="49">
        <f>'Avg Week Kasangati-Gayaza'!E48+'Avg Week Gayaza-Ksangati'!E48</f>
        <v>18.589285714285715</v>
      </c>
      <c r="F48" s="49">
        <f>'Avg Week Kasangati-Gayaza'!F48+'Avg Week Gayaza-Ksangati'!F48</f>
        <v>89.964285714285722</v>
      </c>
      <c r="G48" s="49">
        <f>'Avg Week Kasangati-Gayaza'!G48+'Avg Week Gayaza-Ksangati'!G48</f>
        <v>2.7857142857142856</v>
      </c>
      <c r="H48" s="49">
        <f>'Avg Week Kasangati-Gayaza'!H48+'Avg Week Gayaza-Ksangati'!H48</f>
        <v>2</v>
      </c>
      <c r="I48" s="49">
        <f>'Avg Week Kasangati-Gayaza'!I48+'Avg Week Gayaza-Ksangati'!I48</f>
        <v>24.982142857142858</v>
      </c>
      <c r="J48" s="49">
        <f>'Avg Week Kasangati-Gayaza'!J48+'Avg Week Gayaza-Ksangati'!J48</f>
        <v>5.125</v>
      </c>
      <c r="K48" s="49">
        <f>'Avg Week Kasangati-Gayaza'!K48+'Avg Week Gayaza-Ksangati'!K48</f>
        <v>3.9821428571428572</v>
      </c>
      <c r="L48" s="49">
        <f>'Avg Week Kasangati-Gayaza'!L48+'Avg Week Gayaza-Ksangati'!L48</f>
        <v>0.42857142857142855</v>
      </c>
      <c r="M48" s="49">
        <f>'Avg Week Kasangati-Gayaza'!M48+'Avg Week Gayaza-Ksangati'!M48</f>
        <v>193.41071428571428</v>
      </c>
      <c r="N48" s="49">
        <f>'Avg Week Kasangati-Gayaza'!N48+'Avg Week Gayaza-Ksangati'!N48</f>
        <v>0.14285714285714285</v>
      </c>
      <c r="O48" s="15">
        <f t="shared" si="0"/>
        <v>297.46428571428572</v>
      </c>
      <c r="P48" s="15">
        <f t="shared" si="1"/>
        <v>490.875</v>
      </c>
      <c r="R48" s="8"/>
      <c r="T48"/>
    </row>
    <row r="49" spans="2:20" ht="23.1" customHeight="1" x14ac:dyDescent="0.25">
      <c r="B49" s="23" t="s">
        <v>76</v>
      </c>
      <c r="C49" s="49">
        <f>'Avg Week Kasangati-Gayaza'!C49+'Avg Week Gayaza-Ksangati'!C49</f>
        <v>115.05357142857143</v>
      </c>
      <c r="D49" s="49">
        <f>'Avg Week Kasangati-Gayaza'!D49+'Avg Week Gayaza-Ksangati'!D49</f>
        <v>23.785714285714285</v>
      </c>
      <c r="E49" s="49">
        <f>'Avg Week Kasangati-Gayaza'!E49+'Avg Week Gayaza-Ksangati'!E49</f>
        <v>17.964285714285715</v>
      </c>
      <c r="F49" s="49">
        <f>'Avg Week Kasangati-Gayaza'!F49+'Avg Week Gayaza-Ksangati'!F49</f>
        <v>70.446428571428569</v>
      </c>
      <c r="G49" s="49">
        <f>'Avg Week Kasangati-Gayaza'!G49+'Avg Week Gayaza-Ksangati'!G49</f>
        <v>1.9642857142857144</v>
      </c>
      <c r="H49" s="49">
        <f>'Avg Week Kasangati-Gayaza'!H49+'Avg Week Gayaza-Ksangati'!H49</f>
        <v>2.6785714285714284</v>
      </c>
      <c r="I49" s="49">
        <f>'Avg Week Kasangati-Gayaza'!I49+'Avg Week Gayaza-Ksangati'!I49</f>
        <v>20.732142857142858</v>
      </c>
      <c r="J49" s="49">
        <f>'Avg Week Kasangati-Gayaza'!J49+'Avg Week Gayaza-Ksangati'!J49</f>
        <v>4.75</v>
      </c>
      <c r="K49" s="49">
        <f>'Avg Week Kasangati-Gayaza'!K49+'Avg Week Gayaza-Ksangati'!K49</f>
        <v>4.4464285714285712</v>
      </c>
      <c r="L49" s="49">
        <f>'Avg Week Kasangati-Gayaza'!L49+'Avg Week Gayaza-Ksangati'!L49</f>
        <v>0.5535714285714286</v>
      </c>
      <c r="M49" s="49">
        <f>'Avg Week Kasangati-Gayaza'!M49+'Avg Week Gayaza-Ksangati'!M49</f>
        <v>193.5</v>
      </c>
      <c r="N49" s="49">
        <f>'Avg Week Kasangati-Gayaza'!N49+'Avg Week Gayaza-Ksangati'!N49</f>
        <v>0.14285714285714285</v>
      </c>
      <c r="O49" s="15">
        <f t="shared" si="0"/>
        <v>262.51785714285717</v>
      </c>
      <c r="P49" s="15">
        <f t="shared" si="1"/>
        <v>456.01785714285717</v>
      </c>
      <c r="R49" s="8"/>
      <c r="T49"/>
    </row>
    <row r="50" spans="2:20" ht="23.1" customHeight="1" x14ac:dyDescent="0.25">
      <c r="B50" s="24" t="s">
        <v>77</v>
      </c>
      <c r="C50" s="49">
        <f>'Avg Week Kasangati-Gayaza'!C50+'Avg Week Gayaza-Ksangati'!C50</f>
        <v>122.23214285714286</v>
      </c>
      <c r="D50" s="49">
        <f>'Avg Week Kasangati-Gayaza'!D50+'Avg Week Gayaza-Ksangati'!D50</f>
        <v>24.75</v>
      </c>
      <c r="E50" s="49">
        <f>'Avg Week Kasangati-Gayaza'!E50+'Avg Week Gayaza-Ksangati'!E50</f>
        <v>17.982142857142858</v>
      </c>
      <c r="F50" s="49">
        <f>'Avg Week Kasangati-Gayaza'!F50+'Avg Week Gayaza-Ksangati'!F50</f>
        <v>89.678571428571431</v>
      </c>
      <c r="G50" s="49">
        <f>'Avg Week Kasangati-Gayaza'!G50+'Avg Week Gayaza-Ksangati'!G50</f>
        <v>0.51785714285714279</v>
      </c>
      <c r="H50" s="49">
        <f>'Avg Week Kasangati-Gayaza'!H50+'Avg Week Gayaza-Ksangati'!H50</f>
        <v>1.3928571428571428</v>
      </c>
      <c r="I50" s="49">
        <f>'Avg Week Kasangati-Gayaza'!I50+'Avg Week Gayaza-Ksangati'!I50</f>
        <v>17.035714285714285</v>
      </c>
      <c r="J50" s="49">
        <f>'Avg Week Kasangati-Gayaza'!J50+'Avg Week Gayaza-Ksangati'!J50</f>
        <v>6.2142857142857144</v>
      </c>
      <c r="K50" s="49">
        <f>'Avg Week Kasangati-Gayaza'!K50+'Avg Week Gayaza-Ksangati'!K50</f>
        <v>4.0357142857142856</v>
      </c>
      <c r="L50" s="49">
        <f>'Avg Week Kasangati-Gayaza'!L50+'Avg Week Gayaza-Ksangati'!L50</f>
        <v>0.26785714285714285</v>
      </c>
      <c r="M50" s="49">
        <f>'Avg Week Kasangati-Gayaza'!M50+'Avg Week Gayaza-Ksangati'!M50</f>
        <v>199.05357142857144</v>
      </c>
      <c r="N50" s="49">
        <f>'Avg Week Kasangati-Gayaza'!N50+'Avg Week Gayaza-Ksangati'!N50</f>
        <v>0</v>
      </c>
      <c r="O50" s="15">
        <f t="shared" si="0"/>
        <v>284.10714285714289</v>
      </c>
      <c r="P50" s="15">
        <f t="shared" si="1"/>
        <v>483.16071428571433</v>
      </c>
      <c r="R50" s="8"/>
      <c r="T50"/>
    </row>
    <row r="51" spans="2:20" ht="23.1" customHeight="1" x14ac:dyDescent="0.25">
      <c r="B51" s="24" t="s">
        <v>78</v>
      </c>
      <c r="C51" s="49">
        <f>'Avg Week Kasangati-Gayaza'!C51+'Avg Week Gayaza-Ksangati'!C51</f>
        <v>116.625</v>
      </c>
      <c r="D51" s="49">
        <f>'Avg Week Kasangati-Gayaza'!D51+'Avg Week Gayaza-Ksangati'!D51</f>
        <v>16.357142857142858</v>
      </c>
      <c r="E51" s="49">
        <f>'Avg Week Kasangati-Gayaza'!E51+'Avg Week Gayaza-Ksangati'!E51</f>
        <v>13.660714285714285</v>
      </c>
      <c r="F51" s="49">
        <f>'Avg Week Kasangati-Gayaza'!F51+'Avg Week Gayaza-Ksangati'!F51</f>
        <v>91.428571428571431</v>
      </c>
      <c r="G51" s="49">
        <f>'Avg Week Kasangati-Gayaza'!G51+'Avg Week Gayaza-Ksangati'!G51</f>
        <v>1.4107142857142856</v>
      </c>
      <c r="H51" s="49">
        <f>'Avg Week Kasangati-Gayaza'!H51+'Avg Week Gayaza-Ksangati'!H51</f>
        <v>1.5892857142857144</v>
      </c>
      <c r="I51" s="49">
        <f>'Avg Week Kasangati-Gayaza'!I51+'Avg Week Gayaza-Ksangati'!I51</f>
        <v>18.803571428571431</v>
      </c>
      <c r="J51" s="49">
        <f>'Avg Week Kasangati-Gayaza'!J51+'Avg Week Gayaza-Ksangati'!J51</f>
        <v>5.5</v>
      </c>
      <c r="K51" s="49">
        <f>'Avg Week Kasangati-Gayaza'!K51+'Avg Week Gayaza-Ksangati'!K51</f>
        <v>4.6964285714285712</v>
      </c>
      <c r="L51" s="49">
        <f>'Avg Week Kasangati-Gayaza'!L51+'Avg Week Gayaza-Ksangati'!L51</f>
        <v>1.5535714285714286</v>
      </c>
      <c r="M51" s="49">
        <f>'Avg Week Kasangati-Gayaza'!M51+'Avg Week Gayaza-Ksangati'!M51</f>
        <v>212.96428571428572</v>
      </c>
      <c r="N51" s="49">
        <f>'Avg Week Kasangati-Gayaza'!N51+'Avg Week Gayaza-Ksangati'!N51</f>
        <v>0</v>
      </c>
      <c r="O51" s="15">
        <f t="shared" si="0"/>
        <v>271.625</v>
      </c>
      <c r="P51" s="15">
        <f t="shared" si="1"/>
        <v>484.58928571428572</v>
      </c>
      <c r="R51" s="8"/>
      <c r="T51"/>
    </row>
    <row r="52" spans="2:20" ht="23.1" customHeight="1" x14ac:dyDescent="0.25">
      <c r="B52" s="24" t="s">
        <v>79</v>
      </c>
      <c r="C52" s="49">
        <f>'Avg Week Kasangati-Gayaza'!C52+'Avg Week Gayaza-Ksangati'!C52</f>
        <v>137.39285714285714</v>
      </c>
      <c r="D52" s="49">
        <f>'Avg Week Kasangati-Gayaza'!D52+'Avg Week Gayaza-Ksangati'!D52</f>
        <v>23.696428571428569</v>
      </c>
      <c r="E52" s="49">
        <f>'Avg Week Kasangati-Gayaza'!E52+'Avg Week Gayaza-Ksangati'!E52</f>
        <v>16.803571428571431</v>
      </c>
      <c r="F52" s="49">
        <f>'Avg Week Kasangati-Gayaza'!F52+'Avg Week Gayaza-Ksangati'!F52</f>
        <v>152.48214285714286</v>
      </c>
      <c r="G52" s="49">
        <f>'Avg Week Kasangati-Gayaza'!G52+'Avg Week Gayaza-Ksangati'!G52</f>
        <v>1.9642857142857144</v>
      </c>
      <c r="H52" s="49">
        <f>'Avg Week Kasangati-Gayaza'!H52+'Avg Week Gayaza-Ksangati'!H52</f>
        <v>1.3035714285714286</v>
      </c>
      <c r="I52" s="49">
        <f>'Avg Week Kasangati-Gayaza'!I52+'Avg Week Gayaza-Ksangati'!I52</f>
        <v>19.607142857142858</v>
      </c>
      <c r="J52" s="49">
        <f>'Avg Week Kasangati-Gayaza'!J52+'Avg Week Gayaza-Ksangati'!J52</f>
        <v>4.0357142857142856</v>
      </c>
      <c r="K52" s="49">
        <f>'Avg Week Kasangati-Gayaza'!K52+'Avg Week Gayaza-Ksangati'!K52</f>
        <v>3.9285714285714288</v>
      </c>
      <c r="L52" s="49">
        <f>'Avg Week Kasangati-Gayaza'!L52+'Avg Week Gayaza-Ksangati'!L52</f>
        <v>0.26785714285714285</v>
      </c>
      <c r="M52" s="49">
        <f>'Avg Week Kasangati-Gayaza'!M52+'Avg Week Gayaza-Ksangati'!M52</f>
        <v>203.03571428571428</v>
      </c>
      <c r="N52" s="49">
        <f>'Avg Week Kasangati-Gayaza'!N52+'Avg Week Gayaza-Ksangati'!N52</f>
        <v>0</v>
      </c>
      <c r="O52" s="15">
        <f t="shared" si="0"/>
        <v>361.48214285714289</v>
      </c>
      <c r="P52" s="15">
        <f t="shared" si="1"/>
        <v>564.51785714285711</v>
      </c>
      <c r="R52" s="8"/>
      <c r="T52"/>
    </row>
    <row r="53" spans="2:20" ht="23.1" customHeight="1" x14ac:dyDescent="0.25">
      <c r="B53" s="23" t="s">
        <v>80</v>
      </c>
      <c r="C53" s="49">
        <f>'Avg Week Kasangati-Gayaza'!C53+'Avg Week Gayaza-Ksangati'!C53</f>
        <v>141.51785714285714</v>
      </c>
      <c r="D53" s="49">
        <f>'Avg Week Kasangati-Gayaza'!D53+'Avg Week Gayaza-Ksangati'!D53</f>
        <v>25.696428571428569</v>
      </c>
      <c r="E53" s="49">
        <f>'Avg Week Kasangati-Gayaza'!E53+'Avg Week Gayaza-Ksangati'!E53</f>
        <v>14.982142857142858</v>
      </c>
      <c r="F53" s="49">
        <f>'Avg Week Kasangati-Gayaza'!F53+'Avg Week Gayaza-Ksangati'!F53</f>
        <v>94.446428571428569</v>
      </c>
      <c r="G53" s="49">
        <f>'Avg Week Kasangati-Gayaza'!G53+'Avg Week Gayaza-Ksangati'!G53</f>
        <v>2.0178571428571428</v>
      </c>
      <c r="H53" s="49">
        <f>'Avg Week Kasangati-Gayaza'!H53+'Avg Week Gayaza-Ksangati'!H53</f>
        <v>1.375</v>
      </c>
      <c r="I53" s="49">
        <f>'Avg Week Kasangati-Gayaza'!I53+'Avg Week Gayaza-Ksangati'!I53</f>
        <v>17.214285714285715</v>
      </c>
      <c r="J53" s="49">
        <f>'Avg Week Kasangati-Gayaza'!J53+'Avg Week Gayaza-Ksangati'!J53</f>
        <v>2.5</v>
      </c>
      <c r="K53" s="49">
        <f>'Avg Week Kasangati-Gayaza'!K53+'Avg Week Gayaza-Ksangati'!K53</f>
        <v>3.3928571428571428</v>
      </c>
      <c r="L53" s="49">
        <f>'Avg Week Kasangati-Gayaza'!L53+'Avg Week Gayaza-Ksangati'!L53</f>
        <v>0.26785714285714285</v>
      </c>
      <c r="M53" s="49">
        <f>'Avg Week Kasangati-Gayaza'!M53+'Avg Week Gayaza-Ksangati'!M53</f>
        <v>215.55357142857144</v>
      </c>
      <c r="N53" s="49">
        <f>'Avg Week Kasangati-Gayaza'!N53+'Avg Week Gayaza-Ksangati'!N53</f>
        <v>0</v>
      </c>
      <c r="O53" s="15">
        <f t="shared" si="0"/>
        <v>303.41071428571439</v>
      </c>
      <c r="P53" s="15">
        <f t="shared" si="1"/>
        <v>518.96428571428578</v>
      </c>
      <c r="R53" s="8"/>
      <c r="T53"/>
    </row>
    <row r="54" spans="2:20" ht="23.1" customHeight="1" x14ac:dyDescent="0.25">
      <c r="B54" s="23" t="s">
        <v>81</v>
      </c>
      <c r="C54" s="49">
        <f>'Avg Week Kasangati-Gayaza'!C54+'Avg Week Gayaza-Ksangati'!C54</f>
        <v>136.94642857142856</v>
      </c>
      <c r="D54" s="49">
        <f>'Avg Week Kasangati-Gayaza'!D54+'Avg Week Gayaza-Ksangati'!D54</f>
        <v>26.089285714285715</v>
      </c>
      <c r="E54" s="49">
        <f>'Avg Week Kasangati-Gayaza'!E54+'Avg Week Gayaza-Ksangati'!E54</f>
        <v>18.839285714285715</v>
      </c>
      <c r="F54" s="49">
        <f>'Avg Week Kasangati-Gayaza'!F54+'Avg Week Gayaza-Ksangati'!F54</f>
        <v>93.035714285714278</v>
      </c>
      <c r="G54" s="49">
        <f>'Avg Week Kasangati-Gayaza'!G54+'Avg Week Gayaza-Ksangati'!G54</f>
        <v>1.9107142857142856</v>
      </c>
      <c r="H54" s="49">
        <f>'Avg Week Kasangati-Gayaza'!H54+'Avg Week Gayaza-Ksangati'!H54</f>
        <v>2.0535714285714288</v>
      </c>
      <c r="I54" s="49">
        <f>'Avg Week Kasangati-Gayaza'!I54+'Avg Week Gayaza-Ksangati'!I54</f>
        <v>21.857142857142858</v>
      </c>
      <c r="J54" s="49">
        <f>'Avg Week Kasangati-Gayaza'!J54+'Avg Week Gayaza-Ksangati'!J54</f>
        <v>4.4464285714285712</v>
      </c>
      <c r="K54" s="49">
        <f>'Avg Week Kasangati-Gayaza'!K54+'Avg Week Gayaza-Ksangati'!K54</f>
        <v>3</v>
      </c>
      <c r="L54" s="49">
        <f>'Avg Week Kasangati-Gayaza'!L54+'Avg Week Gayaza-Ksangati'!L54</f>
        <v>0.7857142857142857</v>
      </c>
      <c r="M54" s="49">
        <f>'Avg Week Kasangati-Gayaza'!M54+'Avg Week Gayaza-Ksangati'!M54</f>
        <v>214.83928571428572</v>
      </c>
      <c r="N54" s="49">
        <f>'Avg Week Kasangati-Gayaza'!N54+'Avg Week Gayaza-Ksangati'!N54</f>
        <v>0.14285714285714285</v>
      </c>
      <c r="O54" s="15">
        <f t="shared" si="0"/>
        <v>309.10714285714283</v>
      </c>
      <c r="P54" s="15">
        <f t="shared" si="1"/>
        <v>523.94642857142844</v>
      </c>
      <c r="R54" s="8"/>
      <c r="T54"/>
    </row>
    <row r="55" spans="2:20" ht="23.1" customHeight="1" x14ac:dyDescent="0.25">
      <c r="B55" s="23" t="s">
        <v>82</v>
      </c>
      <c r="C55" s="49">
        <f>'Avg Week Kasangati-Gayaza'!C55+'Avg Week Gayaza-Ksangati'!C55</f>
        <v>123.16071428571429</v>
      </c>
      <c r="D55" s="49">
        <f>'Avg Week Kasangati-Gayaza'!D55+'Avg Week Gayaza-Ksangati'!D55</f>
        <v>26.142857142857142</v>
      </c>
      <c r="E55" s="49">
        <f>'Avg Week Kasangati-Gayaza'!E55+'Avg Week Gayaza-Ksangati'!E55</f>
        <v>21.035714285714285</v>
      </c>
      <c r="F55" s="49">
        <f>'Avg Week Kasangati-Gayaza'!F55+'Avg Week Gayaza-Ksangati'!F55</f>
        <v>89.410714285714278</v>
      </c>
      <c r="G55" s="49">
        <f>'Avg Week Kasangati-Gayaza'!G55+'Avg Week Gayaza-Ksangati'!G55</f>
        <v>4.1428571428571423</v>
      </c>
      <c r="H55" s="49">
        <f>'Avg Week Kasangati-Gayaza'!H55+'Avg Week Gayaza-Ksangati'!H55</f>
        <v>0.25</v>
      </c>
      <c r="I55" s="49">
        <f>'Avg Week Kasangati-Gayaza'!I55+'Avg Week Gayaza-Ksangati'!I55</f>
        <v>20.982142857142858</v>
      </c>
      <c r="J55" s="49">
        <f>'Avg Week Kasangati-Gayaza'!J55+'Avg Week Gayaza-Ksangati'!J55</f>
        <v>4.6071428571428577</v>
      </c>
      <c r="K55" s="49">
        <f>'Avg Week Kasangati-Gayaza'!K55+'Avg Week Gayaza-Ksangati'!K55</f>
        <v>3.6607142857142856</v>
      </c>
      <c r="L55" s="49">
        <f>'Avg Week Kasangati-Gayaza'!L55+'Avg Week Gayaza-Ksangati'!L55</f>
        <v>0.625</v>
      </c>
      <c r="M55" s="49">
        <f>'Avg Week Kasangati-Gayaza'!M55+'Avg Week Gayaza-Ksangati'!M55</f>
        <v>220.57142857142856</v>
      </c>
      <c r="N55" s="49">
        <f>'Avg Week Kasangati-Gayaza'!N55+'Avg Week Gayaza-Ksangati'!N55</f>
        <v>0</v>
      </c>
      <c r="O55" s="15">
        <f t="shared" si="0"/>
        <v>294.01785714285711</v>
      </c>
      <c r="P55" s="15">
        <f t="shared" si="1"/>
        <v>514.58928571428567</v>
      </c>
      <c r="R55" s="8"/>
      <c r="T55"/>
    </row>
    <row r="56" spans="2:20" ht="23.1" customHeight="1" x14ac:dyDescent="0.25">
      <c r="B56" s="23" t="s">
        <v>83</v>
      </c>
      <c r="C56" s="49">
        <f>'Avg Week Kasangati-Gayaza'!C56+'Avg Week Gayaza-Ksangati'!C56</f>
        <v>132</v>
      </c>
      <c r="D56" s="49">
        <f>'Avg Week Kasangati-Gayaza'!D56+'Avg Week Gayaza-Ksangati'!D56</f>
        <v>24.410714285714285</v>
      </c>
      <c r="E56" s="49">
        <f>'Avg Week Kasangati-Gayaza'!E56+'Avg Week Gayaza-Ksangati'!E56</f>
        <v>19.946428571428569</v>
      </c>
      <c r="F56" s="49">
        <f>'Avg Week Kasangati-Gayaza'!F56+'Avg Week Gayaza-Ksangati'!F56</f>
        <v>97.946428571428569</v>
      </c>
      <c r="G56" s="49">
        <f>'Avg Week Kasangati-Gayaza'!G56+'Avg Week Gayaza-Ksangati'!G56</f>
        <v>3.1607142857142856</v>
      </c>
      <c r="H56" s="49">
        <f>'Avg Week Kasangati-Gayaza'!H56+'Avg Week Gayaza-Ksangati'!H56</f>
        <v>0.5357142857142857</v>
      </c>
      <c r="I56" s="49">
        <f>'Avg Week Kasangati-Gayaza'!I56+'Avg Week Gayaza-Ksangati'!I56</f>
        <v>17.982142857142858</v>
      </c>
      <c r="J56" s="49">
        <f>'Avg Week Kasangati-Gayaza'!J56+'Avg Week Gayaza-Ksangati'!J56</f>
        <v>4.3571428571428577</v>
      </c>
      <c r="K56" s="49">
        <f>'Avg Week Kasangati-Gayaza'!K56+'Avg Week Gayaza-Ksangati'!K56</f>
        <v>3.0892857142857144</v>
      </c>
      <c r="L56" s="49">
        <f>'Avg Week Kasangati-Gayaza'!L56+'Avg Week Gayaza-Ksangati'!L56</f>
        <v>0.26785714285714285</v>
      </c>
      <c r="M56" s="49">
        <f>'Avg Week Kasangati-Gayaza'!M56+'Avg Week Gayaza-Ksangati'!M56</f>
        <v>215.83928571428572</v>
      </c>
      <c r="N56" s="49">
        <f>'Avg Week Kasangati-Gayaza'!N56+'Avg Week Gayaza-Ksangati'!N56</f>
        <v>0</v>
      </c>
      <c r="O56" s="15">
        <f t="shared" si="0"/>
        <v>303.6964285714285</v>
      </c>
      <c r="P56" s="15">
        <f t="shared" si="1"/>
        <v>519.53571428571422</v>
      </c>
      <c r="R56" s="8"/>
      <c r="T56"/>
    </row>
    <row r="57" spans="2:20" ht="23.1" customHeight="1" x14ac:dyDescent="0.25">
      <c r="B57" s="23" t="s">
        <v>84</v>
      </c>
      <c r="C57" s="49">
        <f>'Avg Week Kasangati-Gayaza'!C57+'Avg Week Gayaza-Ksangati'!C57</f>
        <v>118.94642857142857</v>
      </c>
      <c r="D57" s="49">
        <f>'Avg Week Kasangati-Gayaza'!D57+'Avg Week Gayaza-Ksangati'!D57</f>
        <v>26.214285714285715</v>
      </c>
      <c r="E57" s="49">
        <f>'Avg Week Kasangati-Gayaza'!E57+'Avg Week Gayaza-Ksangati'!E57</f>
        <v>16.767857142857142</v>
      </c>
      <c r="F57" s="49">
        <f>'Avg Week Kasangati-Gayaza'!F57+'Avg Week Gayaza-Ksangati'!F57</f>
        <v>90.5</v>
      </c>
      <c r="G57" s="49">
        <f>'Avg Week Kasangati-Gayaza'!G57+'Avg Week Gayaza-Ksangati'!G57</f>
        <v>2.0535714285714284</v>
      </c>
      <c r="H57" s="49">
        <f>'Avg Week Kasangati-Gayaza'!H57+'Avg Week Gayaza-Ksangati'!H57</f>
        <v>0.6964285714285714</v>
      </c>
      <c r="I57" s="49">
        <f>'Avg Week Kasangati-Gayaza'!I57+'Avg Week Gayaza-Ksangati'!I57</f>
        <v>14.517857142857142</v>
      </c>
      <c r="J57" s="49">
        <f>'Avg Week Kasangati-Gayaza'!J57+'Avg Week Gayaza-Ksangati'!J57</f>
        <v>3.2857142857142856</v>
      </c>
      <c r="K57" s="49">
        <f>'Avg Week Kasangati-Gayaza'!K57+'Avg Week Gayaza-Ksangati'!K57</f>
        <v>1.8214285714285714</v>
      </c>
      <c r="L57" s="49">
        <f>'Avg Week Kasangati-Gayaza'!L57+'Avg Week Gayaza-Ksangati'!L57</f>
        <v>0.4107142857142857</v>
      </c>
      <c r="M57" s="49">
        <f>'Avg Week Kasangati-Gayaza'!M57+'Avg Week Gayaza-Ksangati'!M57</f>
        <v>203.48214285714286</v>
      </c>
      <c r="N57" s="49">
        <f>'Avg Week Kasangati-Gayaza'!N57+'Avg Week Gayaza-Ksangati'!N57</f>
        <v>0.125</v>
      </c>
      <c r="O57" s="15">
        <f t="shared" si="0"/>
        <v>275.33928571428567</v>
      </c>
      <c r="P57" s="15">
        <f t="shared" si="1"/>
        <v>478.82142857142856</v>
      </c>
      <c r="R57" s="8"/>
      <c r="T57"/>
    </row>
    <row r="58" spans="2:20" ht="23.1" customHeight="1" x14ac:dyDescent="0.25">
      <c r="B58" s="23" t="s">
        <v>99</v>
      </c>
      <c r="C58" s="49">
        <f>'Avg Week Kasangati-Gayaza'!C58+'Avg Week Gayaza-Ksangati'!C58</f>
        <v>82</v>
      </c>
      <c r="D58" s="49">
        <f>'Avg Week Kasangati-Gayaza'!D58+'Avg Week Gayaza-Ksangati'!D58</f>
        <v>15</v>
      </c>
      <c r="E58" s="49">
        <f>'Avg Week Kasangati-Gayaza'!E58+'Avg Week Gayaza-Ksangati'!E58</f>
        <v>15</v>
      </c>
      <c r="F58" s="49">
        <f>'Avg Week Kasangati-Gayaza'!F58+'Avg Week Gayaza-Ksangati'!F58</f>
        <v>76.5</v>
      </c>
      <c r="G58" s="49">
        <f>'Avg Week Kasangati-Gayaza'!G58+'Avg Week Gayaza-Ksangati'!G58</f>
        <v>1</v>
      </c>
      <c r="H58" s="49">
        <f>'Avg Week Kasangati-Gayaza'!H58+'Avg Week Gayaza-Ksangati'!H58</f>
        <v>0</v>
      </c>
      <c r="I58" s="49">
        <f>'Avg Week Kasangati-Gayaza'!I58+'Avg Week Gayaza-Ksangati'!I58</f>
        <v>16.5</v>
      </c>
      <c r="J58" s="49">
        <f>'Avg Week Kasangati-Gayaza'!J58+'Avg Week Gayaza-Ksangati'!J58</f>
        <v>3</v>
      </c>
      <c r="K58" s="49">
        <f>'Avg Week Kasangati-Gayaza'!K58+'Avg Week Gayaza-Ksangati'!K58</f>
        <v>1</v>
      </c>
      <c r="L58" s="49">
        <f>'Avg Week Kasangati-Gayaza'!L58+'Avg Week Gayaza-Ksangati'!L58</f>
        <v>0</v>
      </c>
      <c r="M58" s="49">
        <f>'Avg Week Kasangati-Gayaza'!M58+'Avg Week Gayaza-Ksangati'!M58</f>
        <v>199.5</v>
      </c>
      <c r="N58" s="49">
        <f>'Avg Week Kasangati-Gayaza'!N58+'Avg Week Gayaza-Ksangati'!N58</f>
        <v>0</v>
      </c>
      <c r="O58" s="15">
        <f t="shared" si="0"/>
        <v>210</v>
      </c>
      <c r="P58" s="15">
        <f t="shared" ref="P58" si="35">SUM(C58:N58)</f>
        <v>409.5</v>
      </c>
      <c r="R58" s="8"/>
      <c r="T58"/>
    </row>
    <row r="59" spans="2:20" ht="23.1" customHeight="1" x14ac:dyDescent="0.25">
      <c r="B59" s="23" t="s">
        <v>100</v>
      </c>
      <c r="C59" s="49">
        <f>'Avg Week Kasangati-Gayaza'!C59+'Avg Week Gayaza-Ksangati'!C59</f>
        <v>123</v>
      </c>
      <c r="D59" s="49">
        <f>'Avg Week Kasangati-Gayaza'!D59+'Avg Week Gayaza-Ksangati'!D59</f>
        <v>30.5</v>
      </c>
      <c r="E59" s="49">
        <f>'Avg Week Kasangati-Gayaza'!E59+'Avg Week Gayaza-Ksangati'!E59</f>
        <v>15</v>
      </c>
      <c r="F59" s="49">
        <f>'Avg Week Kasangati-Gayaza'!F59+'Avg Week Gayaza-Ksangati'!F59</f>
        <v>96</v>
      </c>
      <c r="G59" s="49">
        <f>'Avg Week Kasangati-Gayaza'!G59+'Avg Week Gayaza-Ksangati'!G59</f>
        <v>5.5</v>
      </c>
      <c r="H59" s="49">
        <f>'Avg Week Kasangati-Gayaza'!H59+'Avg Week Gayaza-Ksangati'!H59</f>
        <v>1.5</v>
      </c>
      <c r="I59" s="49">
        <f>'Avg Week Kasangati-Gayaza'!I59+'Avg Week Gayaza-Ksangati'!I59</f>
        <v>15</v>
      </c>
      <c r="J59" s="49">
        <f>'Avg Week Kasangati-Gayaza'!J59+'Avg Week Gayaza-Ksangati'!J59</f>
        <v>3</v>
      </c>
      <c r="K59" s="49">
        <f>'Avg Week Kasangati-Gayaza'!K59+'Avg Week Gayaza-Ksangati'!K59</f>
        <v>1.5</v>
      </c>
      <c r="L59" s="49">
        <f>'Avg Week Kasangati-Gayaza'!L59+'Avg Week Gayaza-Ksangati'!L59</f>
        <v>1.5</v>
      </c>
      <c r="M59" s="49">
        <f>'Avg Week Kasangati-Gayaza'!M59+'Avg Week Gayaza-Ksangati'!M59</f>
        <v>204.5</v>
      </c>
      <c r="N59" s="49">
        <f>'Avg Week Kasangati-Gayaza'!N59+'Avg Week Gayaza-Ksangati'!N59</f>
        <v>0.5</v>
      </c>
      <c r="O59" s="15">
        <f t="shared" ref="O59:O105" si="36">SUM(C59:L59,N59)</f>
        <v>293</v>
      </c>
      <c r="P59" s="15">
        <f t="shared" ref="P59:P105" si="37">SUM(C59:N59)</f>
        <v>497.5</v>
      </c>
      <c r="R59" s="8"/>
      <c r="T59"/>
    </row>
    <row r="60" spans="2:20" ht="23.1" customHeight="1" x14ac:dyDescent="0.25">
      <c r="B60" s="23" t="s">
        <v>101</v>
      </c>
      <c r="C60" s="49">
        <f>'Avg Week Kasangati-Gayaza'!C60+'Avg Week Gayaza-Ksangati'!C60</f>
        <v>111.5</v>
      </c>
      <c r="D60" s="49">
        <f>'Avg Week Kasangati-Gayaza'!D60+'Avg Week Gayaza-Ksangati'!D60</f>
        <v>23</v>
      </c>
      <c r="E60" s="49">
        <f>'Avg Week Kasangati-Gayaza'!E60+'Avg Week Gayaza-Ksangati'!E60</f>
        <v>13</v>
      </c>
      <c r="F60" s="49">
        <f>'Avg Week Kasangati-Gayaza'!F60+'Avg Week Gayaza-Ksangati'!F60</f>
        <v>88.5</v>
      </c>
      <c r="G60" s="49">
        <f>'Avg Week Kasangati-Gayaza'!G60+'Avg Week Gayaza-Ksangati'!G60</f>
        <v>6</v>
      </c>
      <c r="H60" s="49">
        <f>'Avg Week Kasangati-Gayaza'!H60+'Avg Week Gayaza-Ksangati'!H60</f>
        <v>0</v>
      </c>
      <c r="I60" s="49">
        <f>'Avg Week Kasangati-Gayaza'!I60+'Avg Week Gayaza-Ksangati'!I60</f>
        <v>15.5</v>
      </c>
      <c r="J60" s="49">
        <f>'Avg Week Kasangati-Gayaza'!J60+'Avg Week Gayaza-Ksangati'!J60</f>
        <v>6</v>
      </c>
      <c r="K60" s="49">
        <f>'Avg Week Kasangati-Gayaza'!K60+'Avg Week Gayaza-Ksangati'!K60</f>
        <v>1</v>
      </c>
      <c r="L60" s="49">
        <f>'Avg Week Kasangati-Gayaza'!L60+'Avg Week Gayaza-Ksangati'!L60</f>
        <v>2.5</v>
      </c>
      <c r="M60" s="49">
        <f>'Avg Week Kasangati-Gayaza'!M60+'Avg Week Gayaza-Ksangati'!M60</f>
        <v>274.5</v>
      </c>
      <c r="N60" s="49">
        <f>'Avg Week Kasangati-Gayaza'!N60+'Avg Week Gayaza-Ksangati'!N60</f>
        <v>0</v>
      </c>
      <c r="O60" s="15">
        <f t="shared" si="36"/>
        <v>267</v>
      </c>
      <c r="P60" s="15">
        <f t="shared" si="37"/>
        <v>541.5</v>
      </c>
      <c r="R60" s="8"/>
      <c r="T60"/>
    </row>
    <row r="61" spans="2:20" ht="23.1" customHeight="1" x14ac:dyDescent="0.25">
      <c r="B61" s="23" t="s">
        <v>102</v>
      </c>
      <c r="C61" s="49">
        <f>'Avg Week Kasangati-Gayaza'!C61+'Avg Week Gayaza-Ksangati'!C61</f>
        <v>114.5</v>
      </c>
      <c r="D61" s="49">
        <f>'Avg Week Kasangati-Gayaza'!D61+'Avg Week Gayaza-Ksangati'!D61</f>
        <v>24.5</v>
      </c>
      <c r="E61" s="49">
        <f>'Avg Week Kasangati-Gayaza'!E61+'Avg Week Gayaza-Ksangati'!E61</f>
        <v>20</v>
      </c>
      <c r="F61" s="49">
        <f>'Avg Week Kasangati-Gayaza'!F61+'Avg Week Gayaza-Ksangati'!F61</f>
        <v>98.5</v>
      </c>
      <c r="G61" s="49">
        <f>'Avg Week Kasangati-Gayaza'!G61+'Avg Week Gayaza-Ksangati'!G61</f>
        <v>5.5</v>
      </c>
      <c r="H61" s="49">
        <f>'Avg Week Kasangati-Gayaza'!H61+'Avg Week Gayaza-Ksangati'!H61</f>
        <v>0.5</v>
      </c>
      <c r="I61" s="49">
        <f>'Avg Week Kasangati-Gayaza'!I61+'Avg Week Gayaza-Ksangati'!I61</f>
        <v>16.5</v>
      </c>
      <c r="J61" s="49">
        <f>'Avg Week Kasangati-Gayaza'!J61+'Avg Week Gayaza-Ksangati'!J61</f>
        <v>4.5</v>
      </c>
      <c r="K61" s="49">
        <f>'Avg Week Kasangati-Gayaza'!K61+'Avg Week Gayaza-Ksangati'!K61</f>
        <v>0</v>
      </c>
      <c r="L61" s="49">
        <f>'Avg Week Kasangati-Gayaza'!L61+'Avg Week Gayaza-Ksangati'!L61</f>
        <v>1.5</v>
      </c>
      <c r="M61" s="49">
        <f>'Avg Week Kasangati-Gayaza'!M61+'Avg Week Gayaza-Ksangati'!M61</f>
        <v>233.5</v>
      </c>
      <c r="N61" s="49">
        <f>'Avg Week Kasangati-Gayaza'!N61+'Avg Week Gayaza-Ksangati'!N61</f>
        <v>0</v>
      </c>
      <c r="O61" s="15">
        <f t="shared" si="36"/>
        <v>286</v>
      </c>
      <c r="P61" s="15">
        <f t="shared" si="37"/>
        <v>519.5</v>
      </c>
      <c r="R61" s="8"/>
      <c r="T61"/>
    </row>
    <row r="62" spans="2:20" ht="23.1" customHeight="1" x14ac:dyDescent="0.25">
      <c r="B62" s="23" t="s">
        <v>107</v>
      </c>
      <c r="C62" s="49">
        <f>'Avg Week Kasangati-Gayaza'!C62+'Avg Week Gayaza-Ksangati'!C62</f>
        <v>103.5</v>
      </c>
      <c r="D62" s="49">
        <f>'Avg Week Kasangati-Gayaza'!D62+'Avg Week Gayaza-Ksangati'!D62</f>
        <v>26</v>
      </c>
      <c r="E62" s="49">
        <f>'Avg Week Kasangati-Gayaza'!E62+'Avg Week Gayaza-Ksangati'!E62</f>
        <v>13.5</v>
      </c>
      <c r="F62" s="49">
        <f>'Avg Week Kasangati-Gayaza'!F62+'Avg Week Gayaza-Ksangati'!F62</f>
        <v>88</v>
      </c>
      <c r="G62" s="49">
        <f>'Avg Week Kasangati-Gayaza'!G62+'Avg Week Gayaza-Ksangati'!G62</f>
        <v>3.5</v>
      </c>
      <c r="H62" s="49">
        <f>'Avg Week Kasangati-Gayaza'!H62+'Avg Week Gayaza-Ksangati'!H62</f>
        <v>0.5</v>
      </c>
      <c r="I62" s="49">
        <f>'Avg Week Kasangati-Gayaza'!I62+'Avg Week Gayaza-Ksangati'!I62</f>
        <v>24</v>
      </c>
      <c r="J62" s="49">
        <f>'Avg Week Kasangati-Gayaza'!J62+'Avg Week Gayaza-Ksangati'!J62</f>
        <v>5</v>
      </c>
      <c r="K62" s="49">
        <f>'Avg Week Kasangati-Gayaza'!K62+'Avg Week Gayaza-Ksangati'!K62</f>
        <v>0.5</v>
      </c>
      <c r="L62" s="49">
        <f>'Avg Week Kasangati-Gayaza'!L62+'Avg Week Gayaza-Ksangati'!L62</f>
        <v>0.5</v>
      </c>
      <c r="M62" s="49">
        <f>'Avg Week Kasangati-Gayaza'!M62+'Avg Week Gayaza-Ksangati'!M62</f>
        <v>203.5</v>
      </c>
      <c r="N62" s="49">
        <f>'Avg Week Kasangati-Gayaza'!N62+'Avg Week Gayaza-Ksangati'!N62</f>
        <v>0</v>
      </c>
      <c r="O62" s="15">
        <f t="shared" si="36"/>
        <v>265</v>
      </c>
      <c r="P62" s="15">
        <f t="shared" si="37"/>
        <v>468.5</v>
      </c>
      <c r="R62" s="8"/>
      <c r="T62"/>
    </row>
    <row r="63" spans="2:20" ht="23.1" customHeight="1" x14ac:dyDescent="0.25">
      <c r="B63" s="23" t="s">
        <v>108</v>
      </c>
      <c r="C63" s="49">
        <f>'Avg Week Kasangati-Gayaza'!C63+'Avg Week Gayaza-Ksangati'!C63</f>
        <v>115.5</v>
      </c>
      <c r="D63" s="49">
        <f>'Avg Week Kasangati-Gayaza'!D63+'Avg Week Gayaza-Ksangati'!D63</f>
        <v>27.5</v>
      </c>
      <c r="E63" s="49">
        <f>'Avg Week Kasangati-Gayaza'!E63+'Avg Week Gayaza-Ksangati'!E63</f>
        <v>14</v>
      </c>
      <c r="F63" s="49">
        <f>'Avg Week Kasangati-Gayaza'!F63+'Avg Week Gayaza-Ksangati'!F63</f>
        <v>87</v>
      </c>
      <c r="G63" s="49">
        <f>'Avg Week Kasangati-Gayaza'!G63+'Avg Week Gayaza-Ksangati'!G63</f>
        <v>7</v>
      </c>
      <c r="H63" s="49">
        <f>'Avg Week Kasangati-Gayaza'!H63+'Avg Week Gayaza-Ksangati'!H63</f>
        <v>1</v>
      </c>
      <c r="I63" s="49">
        <f>'Avg Week Kasangati-Gayaza'!I63+'Avg Week Gayaza-Ksangati'!I63</f>
        <v>11.5</v>
      </c>
      <c r="J63" s="49">
        <f>'Avg Week Kasangati-Gayaza'!J63+'Avg Week Gayaza-Ksangati'!J63</f>
        <v>2</v>
      </c>
      <c r="K63" s="49">
        <f>'Avg Week Kasangati-Gayaza'!K63+'Avg Week Gayaza-Ksangati'!K63</f>
        <v>2</v>
      </c>
      <c r="L63" s="49">
        <f>'Avg Week Kasangati-Gayaza'!L63+'Avg Week Gayaza-Ksangati'!L63</f>
        <v>1</v>
      </c>
      <c r="M63" s="49">
        <f>'Avg Week Kasangati-Gayaza'!M63+'Avg Week Gayaza-Ksangati'!M63</f>
        <v>177.5</v>
      </c>
      <c r="N63" s="49">
        <f>'Avg Week Kasangati-Gayaza'!N63+'Avg Week Gayaza-Ksangati'!N63</f>
        <v>0</v>
      </c>
      <c r="O63" s="15">
        <f t="shared" si="36"/>
        <v>268.5</v>
      </c>
      <c r="P63" s="15">
        <f t="shared" si="37"/>
        <v>446</v>
      </c>
      <c r="R63" s="8"/>
      <c r="T63"/>
    </row>
    <row r="64" spans="2:20" ht="23.1" customHeight="1" x14ac:dyDescent="0.25">
      <c r="B64" s="23" t="s">
        <v>109</v>
      </c>
      <c r="C64" s="49">
        <f>'Avg Week Kasangati-Gayaza'!C64+'Avg Week Gayaza-Ksangati'!C64</f>
        <v>126</v>
      </c>
      <c r="D64" s="49">
        <f>'Avg Week Kasangati-Gayaza'!D64+'Avg Week Gayaza-Ksangati'!D64</f>
        <v>28</v>
      </c>
      <c r="E64" s="49">
        <f>'Avg Week Kasangati-Gayaza'!E64+'Avg Week Gayaza-Ksangati'!E64</f>
        <v>14</v>
      </c>
      <c r="F64" s="49">
        <f>'Avg Week Kasangati-Gayaza'!F64+'Avg Week Gayaza-Ksangati'!F64</f>
        <v>94.5</v>
      </c>
      <c r="G64" s="49">
        <f>'Avg Week Kasangati-Gayaza'!G64+'Avg Week Gayaza-Ksangati'!G64</f>
        <v>8</v>
      </c>
      <c r="H64" s="49">
        <f>'Avg Week Kasangati-Gayaza'!H64+'Avg Week Gayaza-Ksangati'!H64</f>
        <v>2</v>
      </c>
      <c r="I64" s="49">
        <f>'Avg Week Kasangati-Gayaza'!I64+'Avg Week Gayaza-Ksangati'!I64</f>
        <v>14.5</v>
      </c>
      <c r="J64" s="49">
        <f>'Avg Week Kasangati-Gayaza'!J64+'Avg Week Gayaza-Ksangati'!J64</f>
        <v>2.5</v>
      </c>
      <c r="K64" s="49">
        <f>'Avg Week Kasangati-Gayaza'!K64+'Avg Week Gayaza-Ksangati'!K64</f>
        <v>1</v>
      </c>
      <c r="L64" s="49">
        <f>'Avg Week Kasangati-Gayaza'!L64+'Avg Week Gayaza-Ksangati'!L64</f>
        <v>1</v>
      </c>
      <c r="M64" s="49">
        <f>'Avg Week Kasangati-Gayaza'!M64+'Avg Week Gayaza-Ksangati'!M64</f>
        <v>189.5</v>
      </c>
      <c r="N64" s="49">
        <f>'Avg Week Kasangati-Gayaza'!N64+'Avg Week Gayaza-Ksangati'!N64</f>
        <v>0</v>
      </c>
      <c r="O64" s="15">
        <f t="shared" si="36"/>
        <v>291.5</v>
      </c>
      <c r="P64" s="15">
        <f t="shared" si="37"/>
        <v>481</v>
      </c>
      <c r="R64" s="8"/>
      <c r="T64"/>
    </row>
    <row r="65" spans="2:20" ht="23.1" customHeight="1" x14ac:dyDescent="0.25">
      <c r="B65" s="23" t="s">
        <v>158</v>
      </c>
      <c r="C65" s="49">
        <f>'Avg Week Kasangati-Gayaza'!C65+'Avg Week Gayaza-Ksangati'!C65</f>
        <v>111.5</v>
      </c>
      <c r="D65" s="49">
        <f>'Avg Week Kasangati-Gayaza'!D65+'Avg Week Gayaza-Ksangati'!D65</f>
        <v>24.5</v>
      </c>
      <c r="E65" s="49">
        <f>'Avg Week Kasangati-Gayaza'!E65+'Avg Week Gayaza-Ksangati'!E65</f>
        <v>11</v>
      </c>
      <c r="F65" s="49">
        <f>'Avg Week Kasangati-Gayaza'!F65+'Avg Week Gayaza-Ksangati'!F65</f>
        <v>91.5</v>
      </c>
      <c r="G65" s="49">
        <f>'Avg Week Kasangati-Gayaza'!G65+'Avg Week Gayaza-Ksangati'!G65</f>
        <v>6.5</v>
      </c>
      <c r="H65" s="49">
        <f>'Avg Week Kasangati-Gayaza'!H65+'Avg Week Gayaza-Ksangati'!H65</f>
        <v>0.5</v>
      </c>
      <c r="I65" s="49">
        <f>'Avg Week Kasangati-Gayaza'!I65+'Avg Week Gayaza-Ksangati'!I65</f>
        <v>20.5</v>
      </c>
      <c r="J65" s="49">
        <f>'Avg Week Kasangati-Gayaza'!J65+'Avg Week Gayaza-Ksangati'!J65</f>
        <v>3</v>
      </c>
      <c r="K65" s="49">
        <f>'Avg Week Kasangati-Gayaza'!K65+'Avg Week Gayaza-Ksangati'!K65</f>
        <v>1</v>
      </c>
      <c r="L65" s="49">
        <f>'Avg Week Kasangati-Gayaza'!L65+'Avg Week Gayaza-Ksangati'!L65</f>
        <v>1</v>
      </c>
      <c r="M65" s="49">
        <f>'Avg Week Kasangati-Gayaza'!M65+'Avg Week Gayaza-Ksangati'!M65</f>
        <v>158.5</v>
      </c>
      <c r="N65" s="49">
        <f>'Avg Week Kasangati-Gayaza'!N65+'Avg Week Gayaza-Ksangati'!N65</f>
        <v>0</v>
      </c>
      <c r="O65" s="15">
        <f t="shared" si="36"/>
        <v>271</v>
      </c>
      <c r="P65" s="15">
        <f t="shared" si="37"/>
        <v>429.5</v>
      </c>
      <c r="R65" s="8"/>
      <c r="T65"/>
    </row>
    <row r="66" spans="2:20" ht="23.1" customHeight="1" x14ac:dyDescent="0.25">
      <c r="B66" s="23" t="s">
        <v>103</v>
      </c>
      <c r="C66" s="49">
        <f>'Avg Week Kasangati-Gayaza'!C66+'Avg Week Gayaza-Ksangati'!C66</f>
        <v>110.5</v>
      </c>
      <c r="D66" s="49">
        <f>'Avg Week Kasangati-Gayaza'!D66+'Avg Week Gayaza-Ksangati'!D66</f>
        <v>19.5</v>
      </c>
      <c r="E66" s="49">
        <f>'Avg Week Kasangati-Gayaza'!E66+'Avg Week Gayaza-Ksangati'!E66</f>
        <v>11.5</v>
      </c>
      <c r="F66" s="49">
        <f>'Avg Week Kasangati-Gayaza'!F66+'Avg Week Gayaza-Ksangati'!F66</f>
        <v>94</v>
      </c>
      <c r="G66" s="49">
        <f>'Avg Week Kasangati-Gayaza'!G66+'Avg Week Gayaza-Ksangati'!G66</f>
        <v>4.5</v>
      </c>
      <c r="H66" s="49">
        <f>'Avg Week Kasangati-Gayaza'!H66+'Avg Week Gayaza-Ksangati'!H66</f>
        <v>0.5</v>
      </c>
      <c r="I66" s="49">
        <f>'Avg Week Kasangati-Gayaza'!I66+'Avg Week Gayaza-Ksangati'!I66</f>
        <v>11</v>
      </c>
      <c r="J66" s="49">
        <f>'Avg Week Kasangati-Gayaza'!J66+'Avg Week Gayaza-Ksangati'!J66</f>
        <v>2</v>
      </c>
      <c r="K66" s="49">
        <f>'Avg Week Kasangati-Gayaza'!K66+'Avg Week Gayaza-Ksangati'!K66</f>
        <v>0</v>
      </c>
      <c r="L66" s="49">
        <f>'Avg Week Kasangati-Gayaza'!L66+'Avg Week Gayaza-Ksangati'!L66</f>
        <v>1.5</v>
      </c>
      <c r="M66" s="49">
        <f>'Avg Week Kasangati-Gayaza'!M66+'Avg Week Gayaza-Ksangati'!M66</f>
        <v>134</v>
      </c>
      <c r="N66" s="49">
        <f>'Avg Week Kasangati-Gayaza'!N66+'Avg Week Gayaza-Ksangati'!N66</f>
        <v>0</v>
      </c>
      <c r="O66" s="15">
        <f t="shared" si="36"/>
        <v>255</v>
      </c>
      <c r="P66" s="15">
        <f t="shared" si="37"/>
        <v>389</v>
      </c>
      <c r="R66" s="8"/>
      <c r="T66"/>
    </row>
    <row r="67" spans="2:20" ht="23.1" customHeight="1" x14ac:dyDescent="0.25">
      <c r="B67" s="23" t="s">
        <v>104</v>
      </c>
      <c r="C67" s="49">
        <f>'Avg Week Kasangati-Gayaza'!C67+'Avg Week Gayaza-Ksangati'!C67</f>
        <v>111</v>
      </c>
      <c r="D67" s="49">
        <f>'Avg Week Kasangati-Gayaza'!D67+'Avg Week Gayaza-Ksangati'!D67</f>
        <v>25.5</v>
      </c>
      <c r="E67" s="49">
        <f>'Avg Week Kasangati-Gayaza'!E67+'Avg Week Gayaza-Ksangati'!E67</f>
        <v>12.5</v>
      </c>
      <c r="F67" s="49">
        <f>'Avg Week Kasangati-Gayaza'!F67+'Avg Week Gayaza-Ksangati'!F67</f>
        <v>98.5</v>
      </c>
      <c r="G67" s="49">
        <f>'Avg Week Kasangati-Gayaza'!G67+'Avg Week Gayaza-Ksangati'!G67</f>
        <v>4.5</v>
      </c>
      <c r="H67" s="49">
        <f>'Avg Week Kasangati-Gayaza'!H67+'Avg Week Gayaza-Ksangati'!H67</f>
        <v>0.5</v>
      </c>
      <c r="I67" s="49">
        <f>'Avg Week Kasangati-Gayaza'!I67+'Avg Week Gayaza-Ksangati'!I67</f>
        <v>21.5</v>
      </c>
      <c r="J67" s="49">
        <f>'Avg Week Kasangati-Gayaza'!J67+'Avg Week Gayaza-Ksangati'!J67</f>
        <v>2</v>
      </c>
      <c r="K67" s="49">
        <f>'Avg Week Kasangati-Gayaza'!K67+'Avg Week Gayaza-Ksangati'!K67</f>
        <v>0</v>
      </c>
      <c r="L67" s="49">
        <f>'Avg Week Kasangati-Gayaza'!L67+'Avg Week Gayaza-Ksangati'!L67</f>
        <v>0</v>
      </c>
      <c r="M67" s="49">
        <f>'Avg Week Kasangati-Gayaza'!M67+'Avg Week Gayaza-Ksangati'!M67</f>
        <v>140</v>
      </c>
      <c r="N67" s="49">
        <f>'Avg Week Kasangati-Gayaza'!N67+'Avg Week Gayaza-Ksangati'!N67</f>
        <v>0</v>
      </c>
      <c r="O67" s="15">
        <f t="shared" si="36"/>
        <v>276</v>
      </c>
      <c r="P67" s="15">
        <f t="shared" si="37"/>
        <v>416</v>
      </c>
      <c r="R67" s="8"/>
      <c r="T67"/>
    </row>
    <row r="68" spans="2:20" ht="23.1" customHeight="1" x14ac:dyDescent="0.25">
      <c r="B68" s="23" t="s">
        <v>105</v>
      </c>
      <c r="C68" s="49">
        <f>'Avg Week Kasangati-Gayaza'!C68+'Avg Week Gayaza-Ksangati'!C68</f>
        <v>104</v>
      </c>
      <c r="D68" s="49">
        <f>'Avg Week Kasangati-Gayaza'!D68+'Avg Week Gayaza-Ksangati'!D68</f>
        <v>18.5</v>
      </c>
      <c r="E68" s="49">
        <f>'Avg Week Kasangati-Gayaza'!E68+'Avg Week Gayaza-Ksangati'!E68</f>
        <v>7.5</v>
      </c>
      <c r="F68" s="49">
        <f>'Avg Week Kasangati-Gayaza'!F68+'Avg Week Gayaza-Ksangati'!F68</f>
        <v>98.5</v>
      </c>
      <c r="G68" s="49">
        <f>'Avg Week Kasangati-Gayaza'!G68+'Avg Week Gayaza-Ksangati'!G68</f>
        <v>2.5</v>
      </c>
      <c r="H68" s="49">
        <f>'Avg Week Kasangati-Gayaza'!H68+'Avg Week Gayaza-Ksangati'!H68</f>
        <v>2</v>
      </c>
      <c r="I68" s="49">
        <f>'Avg Week Kasangati-Gayaza'!I68+'Avg Week Gayaza-Ksangati'!I68</f>
        <v>16</v>
      </c>
      <c r="J68" s="49">
        <f>'Avg Week Kasangati-Gayaza'!J68+'Avg Week Gayaza-Ksangati'!J68</f>
        <v>1</v>
      </c>
      <c r="K68" s="49">
        <f>'Avg Week Kasangati-Gayaza'!K68+'Avg Week Gayaza-Ksangati'!K68</f>
        <v>4</v>
      </c>
      <c r="L68" s="49">
        <f>'Avg Week Kasangati-Gayaza'!L68+'Avg Week Gayaza-Ksangati'!L68</f>
        <v>0.5</v>
      </c>
      <c r="M68" s="49">
        <f>'Avg Week Kasangati-Gayaza'!M68+'Avg Week Gayaza-Ksangati'!M68</f>
        <v>139</v>
      </c>
      <c r="N68" s="49">
        <f>'Avg Week Kasangati-Gayaza'!N68+'Avg Week Gayaza-Ksangati'!N68</f>
        <v>0</v>
      </c>
      <c r="O68" s="15">
        <f t="shared" si="36"/>
        <v>254.5</v>
      </c>
      <c r="P68" s="15">
        <f t="shared" si="37"/>
        <v>393.5</v>
      </c>
      <c r="R68" s="8"/>
      <c r="T68"/>
    </row>
    <row r="69" spans="2:20" ht="23.1" customHeight="1" x14ac:dyDescent="0.25">
      <c r="B69" s="23" t="s">
        <v>106</v>
      </c>
      <c r="C69" s="49">
        <f>'Avg Week Kasangati-Gayaza'!C69+'Avg Week Gayaza-Ksangati'!C69</f>
        <v>108.5</v>
      </c>
      <c r="D69" s="49">
        <f>'Avg Week Kasangati-Gayaza'!D69+'Avg Week Gayaza-Ksangati'!D69</f>
        <v>13</v>
      </c>
      <c r="E69" s="49">
        <f>'Avg Week Kasangati-Gayaza'!E69+'Avg Week Gayaza-Ksangati'!E69</f>
        <v>11</v>
      </c>
      <c r="F69" s="49">
        <f>'Avg Week Kasangati-Gayaza'!F69+'Avg Week Gayaza-Ksangati'!F69</f>
        <v>83.5</v>
      </c>
      <c r="G69" s="49">
        <f>'Avg Week Kasangati-Gayaza'!G69+'Avg Week Gayaza-Ksangati'!G69</f>
        <v>3.5</v>
      </c>
      <c r="H69" s="49">
        <f>'Avg Week Kasangati-Gayaza'!H69+'Avg Week Gayaza-Ksangati'!H69</f>
        <v>0</v>
      </c>
      <c r="I69" s="49">
        <f>'Avg Week Kasangati-Gayaza'!I69+'Avg Week Gayaza-Ksangati'!I69</f>
        <v>11</v>
      </c>
      <c r="J69" s="49">
        <f>'Avg Week Kasangati-Gayaza'!J69+'Avg Week Gayaza-Ksangati'!J69</f>
        <v>3</v>
      </c>
      <c r="K69" s="49">
        <f>'Avg Week Kasangati-Gayaza'!K69+'Avg Week Gayaza-Ksangati'!K69</f>
        <v>0</v>
      </c>
      <c r="L69" s="49">
        <f>'Avg Week Kasangati-Gayaza'!L69+'Avg Week Gayaza-Ksangati'!L69</f>
        <v>0.5</v>
      </c>
      <c r="M69" s="49">
        <f>'Avg Week Kasangati-Gayaza'!M69+'Avg Week Gayaza-Ksangati'!M69</f>
        <v>128</v>
      </c>
      <c r="N69" s="49">
        <f>'Avg Week Kasangati-Gayaza'!N69+'Avg Week Gayaza-Ksangati'!N69</f>
        <v>0</v>
      </c>
      <c r="O69" s="15">
        <f t="shared" si="36"/>
        <v>234</v>
      </c>
      <c r="P69" s="15">
        <f t="shared" si="37"/>
        <v>362</v>
      </c>
      <c r="R69" s="8"/>
      <c r="T69"/>
    </row>
    <row r="70" spans="2:20" ht="23.1" customHeight="1" x14ac:dyDescent="0.25">
      <c r="B70" s="23" t="s">
        <v>110</v>
      </c>
      <c r="C70" s="49">
        <f>'Avg Week Kasangati-Gayaza'!C70+'Avg Week Gayaza-Ksangati'!C70</f>
        <v>79.5</v>
      </c>
      <c r="D70" s="49">
        <f>'Avg Week Kasangati-Gayaza'!D70+'Avg Week Gayaza-Ksangati'!D70</f>
        <v>15</v>
      </c>
      <c r="E70" s="49">
        <f>'Avg Week Kasangati-Gayaza'!E70+'Avg Week Gayaza-Ksangati'!E70</f>
        <v>8.5</v>
      </c>
      <c r="F70" s="49">
        <f>'Avg Week Kasangati-Gayaza'!F70+'Avg Week Gayaza-Ksangati'!F70</f>
        <v>98</v>
      </c>
      <c r="G70" s="49">
        <f>'Avg Week Kasangati-Gayaza'!G70+'Avg Week Gayaza-Ksangati'!G70</f>
        <v>3.5</v>
      </c>
      <c r="H70" s="49">
        <f>'Avg Week Kasangati-Gayaza'!H70+'Avg Week Gayaza-Ksangati'!H70</f>
        <v>0</v>
      </c>
      <c r="I70" s="49">
        <f>'Avg Week Kasangati-Gayaza'!I70+'Avg Week Gayaza-Ksangati'!I70</f>
        <v>11</v>
      </c>
      <c r="J70" s="49">
        <f>'Avg Week Kasangati-Gayaza'!J70+'Avg Week Gayaza-Ksangati'!J70</f>
        <v>2</v>
      </c>
      <c r="K70" s="49">
        <f>'Avg Week Kasangati-Gayaza'!K70+'Avg Week Gayaza-Ksangati'!K70</f>
        <v>0</v>
      </c>
      <c r="L70" s="49">
        <f>'Avg Week Kasangati-Gayaza'!L70+'Avg Week Gayaza-Ksangati'!L70</f>
        <v>1</v>
      </c>
      <c r="M70" s="49">
        <f>'Avg Week Kasangati-Gayaza'!M70+'Avg Week Gayaza-Ksangati'!M70</f>
        <v>119.5</v>
      </c>
      <c r="N70" s="49">
        <f>'Avg Week Kasangati-Gayaza'!N70+'Avg Week Gayaza-Ksangati'!N70</f>
        <v>0</v>
      </c>
      <c r="O70" s="15">
        <f t="shared" si="36"/>
        <v>218.5</v>
      </c>
      <c r="P70" s="15">
        <f t="shared" si="37"/>
        <v>338</v>
      </c>
      <c r="R70" s="8"/>
      <c r="T70"/>
    </row>
    <row r="71" spans="2:20" ht="23.1" customHeight="1" x14ac:dyDescent="0.25">
      <c r="B71" s="23" t="s">
        <v>111</v>
      </c>
      <c r="C71" s="49">
        <f>'Avg Week Kasangati-Gayaza'!C71+'Avg Week Gayaza-Ksangati'!C71</f>
        <v>69</v>
      </c>
      <c r="D71" s="49">
        <f>'Avg Week Kasangati-Gayaza'!D71+'Avg Week Gayaza-Ksangati'!D71</f>
        <v>19.5</v>
      </c>
      <c r="E71" s="49">
        <f>'Avg Week Kasangati-Gayaza'!E71+'Avg Week Gayaza-Ksangati'!E71</f>
        <v>6</v>
      </c>
      <c r="F71" s="49">
        <f>'Avg Week Kasangati-Gayaza'!F71+'Avg Week Gayaza-Ksangati'!F71</f>
        <v>70</v>
      </c>
      <c r="G71" s="49">
        <f>'Avg Week Kasangati-Gayaza'!G71+'Avg Week Gayaza-Ksangati'!G71</f>
        <v>3</v>
      </c>
      <c r="H71" s="49">
        <f>'Avg Week Kasangati-Gayaza'!H71+'Avg Week Gayaza-Ksangati'!H71</f>
        <v>0</v>
      </c>
      <c r="I71" s="49">
        <f>'Avg Week Kasangati-Gayaza'!I71+'Avg Week Gayaza-Ksangati'!I71</f>
        <v>5.5</v>
      </c>
      <c r="J71" s="49">
        <f>'Avg Week Kasangati-Gayaza'!J71+'Avg Week Gayaza-Ksangati'!J71</f>
        <v>2.5</v>
      </c>
      <c r="K71" s="49">
        <f>'Avg Week Kasangati-Gayaza'!K71+'Avg Week Gayaza-Ksangati'!K71</f>
        <v>0</v>
      </c>
      <c r="L71" s="49">
        <f>'Avg Week Kasangati-Gayaza'!L71+'Avg Week Gayaza-Ksangati'!L71</f>
        <v>1</v>
      </c>
      <c r="M71" s="49">
        <f>'Avg Week Kasangati-Gayaza'!M71+'Avg Week Gayaza-Ksangati'!M71</f>
        <v>106.5</v>
      </c>
      <c r="N71" s="49">
        <f>'Avg Week Kasangati-Gayaza'!N71+'Avg Week Gayaza-Ksangati'!N71</f>
        <v>0</v>
      </c>
      <c r="O71" s="15">
        <f t="shared" si="36"/>
        <v>176.5</v>
      </c>
      <c r="P71" s="15">
        <f t="shared" si="37"/>
        <v>283</v>
      </c>
      <c r="R71" s="8"/>
      <c r="T71"/>
    </row>
    <row r="72" spans="2:20" ht="23.1" customHeight="1" x14ac:dyDescent="0.25">
      <c r="B72" s="23" t="s">
        <v>112</v>
      </c>
      <c r="C72" s="49">
        <f>'Avg Week Kasangati-Gayaza'!C72+'Avg Week Gayaza-Ksangati'!C72</f>
        <v>73</v>
      </c>
      <c r="D72" s="49">
        <f>'Avg Week Kasangati-Gayaza'!D72+'Avg Week Gayaza-Ksangati'!D72</f>
        <v>23.5</v>
      </c>
      <c r="E72" s="49">
        <f>'Avg Week Kasangati-Gayaza'!E72+'Avg Week Gayaza-Ksangati'!E72</f>
        <v>6.5</v>
      </c>
      <c r="F72" s="49">
        <f>'Avg Week Kasangati-Gayaza'!F72+'Avg Week Gayaza-Ksangati'!F72</f>
        <v>63.5</v>
      </c>
      <c r="G72" s="49">
        <f>'Avg Week Kasangati-Gayaza'!G72+'Avg Week Gayaza-Ksangati'!G72</f>
        <v>2</v>
      </c>
      <c r="H72" s="49">
        <f>'Avg Week Kasangati-Gayaza'!H72+'Avg Week Gayaza-Ksangati'!H72</f>
        <v>0.5</v>
      </c>
      <c r="I72" s="49">
        <f>'Avg Week Kasangati-Gayaza'!I72+'Avg Week Gayaza-Ksangati'!I72</f>
        <v>16.5</v>
      </c>
      <c r="J72" s="49">
        <f>'Avg Week Kasangati-Gayaza'!J72+'Avg Week Gayaza-Ksangati'!J72</f>
        <v>1</v>
      </c>
      <c r="K72" s="49">
        <f>'Avg Week Kasangati-Gayaza'!K72+'Avg Week Gayaza-Ksangati'!K72</f>
        <v>1</v>
      </c>
      <c r="L72" s="49">
        <f>'Avg Week Kasangati-Gayaza'!L72+'Avg Week Gayaza-Ksangati'!L72</f>
        <v>1</v>
      </c>
      <c r="M72" s="49">
        <f>'Avg Week Kasangati-Gayaza'!M72+'Avg Week Gayaza-Ksangati'!M72</f>
        <v>109</v>
      </c>
      <c r="N72" s="49">
        <f>'Avg Week Kasangati-Gayaza'!N72+'Avg Week Gayaza-Ksangati'!N72</f>
        <v>0</v>
      </c>
      <c r="O72" s="15">
        <f t="shared" si="36"/>
        <v>188.5</v>
      </c>
      <c r="P72" s="15">
        <f t="shared" si="37"/>
        <v>297.5</v>
      </c>
      <c r="R72" s="8"/>
      <c r="T72"/>
    </row>
    <row r="73" spans="2:20" ht="23.1" customHeight="1" x14ac:dyDescent="0.25">
      <c r="B73" s="23" t="s">
        <v>113</v>
      </c>
      <c r="C73" s="49">
        <f>'Avg Week Kasangati-Gayaza'!C73+'Avg Week Gayaza-Ksangati'!C73</f>
        <v>66.5</v>
      </c>
      <c r="D73" s="49">
        <f>'Avg Week Kasangati-Gayaza'!D73+'Avg Week Gayaza-Ksangati'!D73</f>
        <v>9.5</v>
      </c>
      <c r="E73" s="49">
        <f>'Avg Week Kasangati-Gayaza'!E73+'Avg Week Gayaza-Ksangati'!E73</f>
        <v>4.5</v>
      </c>
      <c r="F73" s="49">
        <f>'Avg Week Kasangati-Gayaza'!F73+'Avg Week Gayaza-Ksangati'!F73</f>
        <v>63</v>
      </c>
      <c r="G73" s="49">
        <f>'Avg Week Kasangati-Gayaza'!G73+'Avg Week Gayaza-Ksangati'!G73</f>
        <v>1</v>
      </c>
      <c r="H73" s="49">
        <f>'Avg Week Kasangati-Gayaza'!H73+'Avg Week Gayaza-Ksangati'!H73</f>
        <v>0.5</v>
      </c>
      <c r="I73" s="49">
        <f>'Avg Week Kasangati-Gayaza'!I73+'Avg Week Gayaza-Ksangati'!I73</f>
        <v>6</v>
      </c>
      <c r="J73" s="49">
        <f>'Avg Week Kasangati-Gayaza'!J73+'Avg Week Gayaza-Ksangati'!J73</f>
        <v>0.5</v>
      </c>
      <c r="K73" s="49">
        <f>'Avg Week Kasangati-Gayaza'!K73+'Avg Week Gayaza-Ksangati'!K73</f>
        <v>1</v>
      </c>
      <c r="L73" s="49">
        <f>'Avg Week Kasangati-Gayaza'!L73+'Avg Week Gayaza-Ksangati'!L73</f>
        <v>0</v>
      </c>
      <c r="M73" s="49">
        <f>'Avg Week Kasangati-Gayaza'!M73+'Avg Week Gayaza-Ksangati'!M73</f>
        <v>66</v>
      </c>
      <c r="N73" s="49">
        <f>'Avg Week Kasangati-Gayaza'!N73+'Avg Week Gayaza-Ksangati'!N73</f>
        <v>0</v>
      </c>
      <c r="O73" s="15">
        <f t="shared" si="36"/>
        <v>152.5</v>
      </c>
      <c r="P73" s="15">
        <f t="shared" si="37"/>
        <v>218.5</v>
      </c>
      <c r="R73" s="8"/>
      <c r="T73"/>
    </row>
    <row r="74" spans="2:20" ht="23.1" customHeight="1" x14ac:dyDescent="0.25">
      <c r="B74" s="23" t="s">
        <v>114</v>
      </c>
      <c r="C74" s="49">
        <f>'Avg Week Kasangati-Gayaza'!C74+'Avg Week Gayaza-Ksangati'!C74</f>
        <v>74.5</v>
      </c>
      <c r="D74" s="49">
        <f>'Avg Week Kasangati-Gayaza'!D74+'Avg Week Gayaza-Ksangati'!D74</f>
        <v>19.5</v>
      </c>
      <c r="E74" s="49">
        <f>'Avg Week Kasangati-Gayaza'!E74+'Avg Week Gayaza-Ksangati'!E74</f>
        <v>4.5</v>
      </c>
      <c r="F74" s="49">
        <f>'Avg Week Kasangati-Gayaza'!F74+'Avg Week Gayaza-Ksangati'!F74</f>
        <v>46</v>
      </c>
      <c r="G74" s="49">
        <f>'Avg Week Kasangati-Gayaza'!G74+'Avg Week Gayaza-Ksangati'!G74</f>
        <v>1</v>
      </c>
      <c r="H74" s="49">
        <f>'Avg Week Kasangati-Gayaza'!H74+'Avg Week Gayaza-Ksangati'!H74</f>
        <v>0</v>
      </c>
      <c r="I74" s="49">
        <f>'Avg Week Kasangati-Gayaza'!I74+'Avg Week Gayaza-Ksangati'!I74</f>
        <v>6</v>
      </c>
      <c r="J74" s="49">
        <f>'Avg Week Kasangati-Gayaza'!J74+'Avg Week Gayaza-Ksangati'!J74</f>
        <v>0</v>
      </c>
      <c r="K74" s="49">
        <f>'Avg Week Kasangati-Gayaza'!K74+'Avg Week Gayaza-Ksangati'!K74</f>
        <v>0.5</v>
      </c>
      <c r="L74" s="49">
        <f>'Avg Week Kasangati-Gayaza'!L74+'Avg Week Gayaza-Ksangati'!L74</f>
        <v>0</v>
      </c>
      <c r="M74" s="49">
        <f>'Avg Week Kasangati-Gayaza'!M74+'Avg Week Gayaza-Ksangati'!M74</f>
        <v>58.5</v>
      </c>
      <c r="N74" s="49">
        <f>'Avg Week Kasangati-Gayaza'!N74+'Avg Week Gayaza-Ksangati'!N74</f>
        <v>0</v>
      </c>
      <c r="O74" s="15">
        <f t="shared" si="36"/>
        <v>152</v>
      </c>
      <c r="P74" s="15">
        <f t="shared" si="37"/>
        <v>210.5</v>
      </c>
      <c r="R74" s="8"/>
      <c r="T74"/>
    </row>
    <row r="75" spans="2:20" ht="23.1" customHeight="1" x14ac:dyDescent="0.25">
      <c r="B75" s="23" t="s">
        <v>115</v>
      </c>
      <c r="C75" s="49">
        <f>'Avg Week Kasangati-Gayaza'!C75+'Avg Week Gayaza-Ksangati'!C75</f>
        <v>60</v>
      </c>
      <c r="D75" s="49">
        <f>'Avg Week Kasangati-Gayaza'!D75+'Avg Week Gayaza-Ksangati'!D75</f>
        <v>13.5</v>
      </c>
      <c r="E75" s="49">
        <f>'Avg Week Kasangati-Gayaza'!E75+'Avg Week Gayaza-Ksangati'!E75</f>
        <v>4.5</v>
      </c>
      <c r="F75" s="49">
        <f>'Avg Week Kasangati-Gayaza'!F75+'Avg Week Gayaza-Ksangati'!F75</f>
        <v>27.5</v>
      </c>
      <c r="G75" s="49">
        <f>'Avg Week Kasangati-Gayaza'!G75+'Avg Week Gayaza-Ksangati'!G75</f>
        <v>2</v>
      </c>
      <c r="H75" s="49">
        <f>'Avg Week Kasangati-Gayaza'!H75+'Avg Week Gayaza-Ksangati'!H75</f>
        <v>0</v>
      </c>
      <c r="I75" s="49">
        <f>'Avg Week Kasangati-Gayaza'!I75+'Avg Week Gayaza-Ksangati'!I75</f>
        <v>9.5</v>
      </c>
      <c r="J75" s="49">
        <f>'Avg Week Kasangati-Gayaza'!J75+'Avg Week Gayaza-Ksangati'!J75</f>
        <v>1.5</v>
      </c>
      <c r="K75" s="49">
        <f>'Avg Week Kasangati-Gayaza'!K75+'Avg Week Gayaza-Ksangati'!K75</f>
        <v>0</v>
      </c>
      <c r="L75" s="49">
        <f>'Avg Week Kasangati-Gayaza'!L75+'Avg Week Gayaza-Ksangati'!L75</f>
        <v>1</v>
      </c>
      <c r="M75" s="49">
        <f>'Avg Week Kasangati-Gayaza'!M75+'Avg Week Gayaza-Ksangati'!M75</f>
        <v>70.5</v>
      </c>
      <c r="N75" s="49">
        <f>'Avg Week Kasangati-Gayaza'!N75+'Avg Week Gayaza-Ksangati'!N75</f>
        <v>0</v>
      </c>
      <c r="O75" s="15">
        <f t="shared" si="36"/>
        <v>119.5</v>
      </c>
      <c r="P75" s="15">
        <f t="shared" si="37"/>
        <v>190</v>
      </c>
      <c r="R75" s="8"/>
      <c r="T75"/>
    </row>
    <row r="76" spans="2:20" ht="23.1" customHeight="1" x14ac:dyDescent="0.25">
      <c r="B76" s="23" t="s">
        <v>116</v>
      </c>
      <c r="C76" s="49">
        <f>'Avg Week Kasangati-Gayaza'!C76+'Avg Week Gayaza-Ksangati'!C76</f>
        <v>37</v>
      </c>
      <c r="D76" s="49">
        <f>'Avg Week Kasangati-Gayaza'!D76+'Avg Week Gayaza-Ksangati'!D76</f>
        <v>9</v>
      </c>
      <c r="E76" s="49">
        <f>'Avg Week Kasangati-Gayaza'!E76+'Avg Week Gayaza-Ksangati'!E76</f>
        <v>2.5</v>
      </c>
      <c r="F76" s="49">
        <f>'Avg Week Kasangati-Gayaza'!F76+'Avg Week Gayaza-Ksangati'!F76</f>
        <v>30.5</v>
      </c>
      <c r="G76" s="49">
        <f>'Avg Week Kasangati-Gayaza'!G76+'Avg Week Gayaza-Ksangati'!G76</f>
        <v>1.5</v>
      </c>
      <c r="H76" s="49">
        <f>'Avg Week Kasangati-Gayaza'!H76+'Avg Week Gayaza-Ksangati'!H76</f>
        <v>0</v>
      </c>
      <c r="I76" s="49">
        <f>'Avg Week Kasangati-Gayaza'!I76+'Avg Week Gayaza-Ksangati'!I76</f>
        <v>7.5</v>
      </c>
      <c r="J76" s="49">
        <f>'Avg Week Kasangati-Gayaza'!J76+'Avg Week Gayaza-Ksangati'!J76</f>
        <v>2</v>
      </c>
      <c r="K76" s="49">
        <f>'Avg Week Kasangati-Gayaza'!K76+'Avg Week Gayaza-Ksangati'!K76</f>
        <v>0</v>
      </c>
      <c r="L76" s="49">
        <f>'Avg Week Kasangati-Gayaza'!L76+'Avg Week Gayaza-Ksangati'!L76</f>
        <v>0.5</v>
      </c>
      <c r="M76" s="49">
        <f>'Avg Week Kasangati-Gayaza'!M76+'Avg Week Gayaza-Ksangati'!M76</f>
        <v>73.5</v>
      </c>
      <c r="N76" s="49">
        <f>'Avg Week Kasangati-Gayaza'!N76+'Avg Week Gayaza-Ksangati'!N76</f>
        <v>0</v>
      </c>
      <c r="O76" s="15">
        <f t="shared" si="36"/>
        <v>90.5</v>
      </c>
      <c r="P76" s="15">
        <f t="shared" si="37"/>
        <v>164</v>
      </c>
      <c r="R76" s="8"/>
      <c r="T76"/>
    </row>
    <row r="77" spans="2:20" ht="23.1" customHeight="1" x14ac:dyDescent="0.25">
      <c r="B77" s="23" t="s">
        <v>117</v>
      </c>
      <c r="C77" s="49">
        <f>'Avg Week Kasangati-Gayaza'!C77+'Avg Week Gayaza-Ksangati'!C77</f>
        <v>39.5</v>
      </c>
      <c r="D77" s="49">
        <f>'Avg Week Kasangati-Gayaza'!D77+'Avg Week Gayaza-Ksangati'!D77</f>
        <v>3</v>
      </c>
      <c r="E77" s="49">
        <f>'Avg Week Kasangati-Gayaza'!E77+'Avg Week Gayaza-Ksangati'!E77</f>
        <v>1.5</v>
      </c>
      <c r="F77" s="49">
        <f>'Avg Week Kasangati-Gayaza'!F77+'Avg Week Gayaza-Ksangati'!F77</f>
        <v>25.5</v>
      </c>
      <c r="G77" s="49">
        <f>'Avg Week Kasangati-Gayaza'!G77+'Avg Week Gayaza-Ksangati'!G77</f>
        <v>0</v>
      </c>
      <c r="H77" s="49">
        <f>'Avg Week Kasangati-Gayaza'!H77+'Avg Week Gayaza-Ksangati'!H77</f>
        <v>0.5</v>
      </c>
      <c r="I77" s="49">
        <f>'Avg Week Kasangati-Gayaza'!I77+'Avg Week Gayaza-Ksangati'!I77</f>
        <v>6</v>
      </c>
      <c r="J77" s="49">
        <f>'Avg Week Kasangati-Gayaza'!J77+'Avg Week Gayaza-Ksangati'!J77</f>
        <v>2.5</v>
      </c>
      <c r="K77" s="49">
        <f>'Avg Week Kasangati-Gayaza'!K77+'Avg Week Gayaza-Ksangati'!K77</f>
        <v>1</v>
      </c>
      <c r="L77" s="49">
        <f>'Avg Week Kasangati-Gayaza'!L77+'Avg Week Gayaza-Ksangati'!L77</f>
        <v>1</v>
      </c>
      <c r="M77" s="49">
        <f>'Avg Week Kasangati-Gayaza'!M77+'Avg Week Gayaza-Ksangati'!M77</f>
        <v>44</v>
      </c>
      <c r="N77" s="49">
        <f>'Avg Week Kasangati-Gayaza'!N77+'Avg Week Gayaza-Ksangati'!N77</f>
        <v>0</v>
      </c>
      <c r="O77" s="15">
        <f t="shared" si="36"/>
        <v>80.5</v>
      </c>
      <c r="P77" s="15">
        <f t="shared" si="37"/>
        <v>124.5</v>
      </c>
      <c r="R77" s="8"/>
      <c r="T77"/>
    </row>
    <row r="78" spans="2:20" ht="23.1" customHeight="1" x14ac:dyDescent="0.25">
      <c r="B78" s="24" t="s">
        <v>118</v>
      </c>
      <c r="C78" s="49">
        <f>'Avg Week Kasangati-Gayaza'!C78+'Avg Week Gayaza-Ksangati'!C78</f>
        <v>38.5</v>
      </c>
      <c r="D78" s="49">
        <f>'Avg Week Kasangati-Gayaza'!D78+'Avg Week Gayaza-Ksangati'!D78</f>
        <v>6</v>
      </c>
      <c r="E78" s="49">
        <f>'Avg Week Kasangati-Gayaza'!E78+'Avg Week Gayaza-Ksangati'!E78</f>
        <v>4</v>
      </c>
      <c r="F78" s="49">
        <f>'Avg Week Kasangati-Gayaza'!F78+'Avg Week Gayaza-Ksangati'!F78</f>
        <v>19.5</v>
      </c>
      <c r="G78" s="49">
        <f>'Avg Week Kasangati-Gayaza'!G78+'Avg Week Gayaza-Ksangati'!G78</f>
        <v>0.5</v>
      </c>
      <c r="H78" s="49">
        <f>'Avg Week Kasangati-Gayaza'!H78+'Avg Week Gayaza-Ksangati'!H78</f>
        <v>0</v>
      </c>
      <c r="I78" s="49">
        <f>'Avg Week Kasangati-Gayaza'!I78+'Avg Week Gayaza-Ksangati'!I78</f>
        <v>1.5</v>
      </c>
      <c r="J78" s="49">
        <f>'Avg Week Kasangati-Gayaza'!J78+'Avg Week Gayaza-Ksangati'!J78</f>
        <v>1.5</v>
      </c>
      <c r="K78" s="49">
        <f>'Avg Week Kasangati-Gayaza'!K78+'Avg Week Gayaza-Ksangati'!K78</f>
        <v>0</v>
      </c>
      <c r="L78" s="49">
        <f>'Avg Week Kasangati-Gayaza'!L78+'Avg Week Gayaza-Ksangati'!L78</f>
        <v>0.5</v>
      </c>
      <c r="M78" s="49">
        <f>'Avg Week Kasangati-Gayaza'!M78+'Avg Week Gayaza-Ksangati'!M78</f>
        <v>46</v>
      </c>
      <c r="N78" s="49">
        <f>'Avg Week Kasangati-Gayaza'!N78+'Avg Week Gayaza-Ksangati'!N78</f>
        <v>0</v>
      </c>
      <c r="O78" s="15">
        <f t="shared" si="36"/>
        <v>72</v>
      </c>
      <c r="P78" s="15">
        <f t="shared" si="37"/>
        <v>118</v>
      </c>
      <c r="R78" s="8"/>
      <c r="T78"/>
    </row>
    <row r="79" spans="2:20" ht="23.1" customHeight="1" x14ac:dyDescent="0.25">
      <c r="B79" s="23" t="s">
        <v>119</v>
      </c>
      <c r="C79" s="49">
        <f>'Avg Week Kasangati-Gayaza'!C79+'Avg Week Gayaza-Ksangati'!C79</f>
        <v>32</v>
      </c>
      <c r="D79" s="49">
        <f>'Avg Week Kasangati-Gayaza'!D79+'Avg Week Gayaza-Ksangati'!D79</f>
        <v>6</v>
      </c>
      <c r="E79" s="49">
        <f>'Avg Week Kasangati-Gayaza'!E79+'Avg Week Gayaza-Ksangati'!E79</f>
        <v>1.5</v>
      </c>
      <c r="F79" s="49">
        <f>'Avg Week Kasangati-Gayaza'!F79+'Avg Week Gayaza-Ksangati'!F79</f>
        <v>12.5</v>
      </c>
      <c r="G79" s="49">
        <f>'Avg Week Kasangati-Gayaza'!G79+'Avg Week Gayaza-Ksangati'!G79</f>
        <v>0</v>
      </c>
      <c r="H79" s="49">
        <f>'Avg Week Kasangati-Gayaza'!H79+'Avg Week Gayaza-Ksangati'!H79</f>
        <v>0</v>
      </c>
      <c r="I79" s="49">
        <f>'Avg Week Kasangati-Gayaza'!I79+'Avg Week Gayaza-Ksangati'!I79</f>
        <v>4</v>
      </c>
      <c r="J79" s="49">
        <f>'Avg Week Kasangati-Gayaza'!J79+'Avg Week Gayaza-Ksangati'!J79</f>
        <v>0</v>
      </c>
      <c r="K79" s="49">
        <f>'Avg Week Kasangati-Gayaza'!K79+'Avg Week Gayaza-Ksangati'!K79</f>
        <v>1</v>
      </c>
      <c r="L79" s="49">
        <f>'Avg Week Kasangati-Gayaza'!L79+'Avg Week Gayaza-Ksangati'!L79</f>
        <v>0</v>
      </c>
      <c r="M79" s="49">
        <f>'Avg Week Kasangati-Gayaza'!M79+'Avg Week Gayaza-Ksangati'!M79</f>
        <v>44.5</v>
      </c>
      <c r="N79" s="49">
        <f>'Avg Week Kasangati-Gayaza'!N79+'Avg Week Gayaza-Ksangati'!N79</f>
        <v>0</v>
      </c>
      <c r="O79" s="15">
        <f t="shared" si="36"/>
        <v>57</v>
      </c>
      <c r="P79" s="15">
        <f t="shared" si="37"/>
        <v>101.5</v>
      </c>
      <c r="R79" s="8"/>
      <c r="T79"/>
    </row>
    <row r="80" spans="2:20" ht="23.1" customHeight="1" x14ac:dyDescent="0.25">
      <c r="B80" s="25" t="s">
        <v>120</v>
      </c>
      <c r="C80" s="49">
        <f>'Avg Week Kasangati-Gayaza'!C80+'Avg Week Gayaza-Ksangati'!C80</f>
        <v>21.5</v>
      </c>
      <c r="D80" s="49">
        <f>'Avg Week Kasangati-Gayaza'!D80+'Avg Week Gayaza-Ksangati'!D80</f>
        <v>6</v>
      </c>
      <c r="E80" s="49">
        <f>'Avg Week Kasangati-Gayaza'!E80+'Avg Week Gayaza-Ksangati'!E80</f>
        <v>2</v>
      </c>
      <c r="F80" s="49">
        <f>'Avg Week Kasangati-Gayaza'!F80+'Avg Week Gayaza-Ksangati'!F80</f>
        <v>8</v>
      </c>
      <c r="G80" s="49">
        <f>'Avg Week Kasangati-Gayaza'!G80+'Avg Week Gayaza-Ksangati'!G80</f>
        <v>0</v>
      </c>
      <c r="H80" s="49">
        <f>'Avg Week Kasangati-Gayaza'!H80+'Avg Week Gayaza-Ksangati'!H80</f>
        <v>0</v>
      </c>
      <c r="I80" s="49">
        <f>'Avg Week Kasangati-Gayaza'!I80+'Avg Week Gayaza-Ksangati'!I80</f>
        <v>3</v>
      </c>
      <c r="J80" s="49">
        <f>'Avg Week Kasangati-Gayaza'!J80+'Avg Week Gayaza-Ksangati'!J80</f>
        <v>2.5</v>
      </c>
      <c r="K80" s="49">
        <f>'Avg Week Kasangati-Gayaza'!K80+'Avg Week Gayaza-Ksangati'!K80</f>
        <v>0</v>
      </c>
      <c r="L80" s="49">
        <f>'Avg Week Kasangati-Gayaza'!L80+'Avg Week Gayaza-Ksangati'!L80</f>
        <v>0.5</v>
      </c>
      <c r="M80" s="49">
        <f>'Avg Week Kasangati-Gayaza'!M80+'Avg Week Gayaza-Ksangati'!M80</f>
        <v>35.5</v>
      </c>
      <c r="N80" s="49">
        <f>'Avg Week Kasangati-Gayaza'!N80+'Avg Week Gayaza-Ksangati'!N80</f>
        <v>0</v>
      </c>
      <c r="O80" s="15">
        <f t="shared" si="36"/>
        <v>43.5</v>
      </c>
      <c r="P80" s="15">
        <f t="shared" si="37"/>
        <v>79</v>
      </c>
      <c r="R80" s="8"/>
      <c r="T80"/>
    </row>
    <row r="81" spans="2:20" ht="23.1" customHeight="1" x14ac:dyDescent="0.25">
      <c r="B81" s="23" t="s">
        <v>121</v>
      </c>
      <c r="C81" s="49">
        <f>'Avg Week Kasangati-Gayaza'!C81+'Avg Week Gayaza-Ksangati'!C81</f>
        <v>21.5</v>
      </c>
      <c r="D81" s="49">
        <f>'Avg Week Kasangati-Gayaza'!D81+'Avg Week Gayaza-Ksangati'!D81</f>
        <v>3.5</v>
      </c>
      <c r="E81" s="49">
        <f>'Avg Week Kasangati-Gayaza'!E81+'Avg Week Gayaza-Ksangati'!E81</f>
        <v>2</v>
      </c>
      <c r="F81" s="49">
        <f>'Avg Week Kasangati-Gayaza'!F81+'Avg Week Gayaza-Ksangati'!F81</f>
        <v>7.5</v>
      </c>
      <c r="G81" s="49">
        <f>'Avg Week Kasangati-Gayaza'!G81+'Avg Week Gayaza-Ksangati'!G81</f>
        <v>0.5</v>
      </c>
      <c r="H81" s="49">
        <f>'Avg Week Kasangati-Gayaza'!H81+'Avg Week Gayaza-Ksangati'!H81</f>
        <v>0</v>
      </c>
      <c r="I81" s="49">
        <f>'Avg Week Kasangati-Gayaza'!I81+'Avg Week Gayaza-Ksangati'!I81</f>
        <v>4</v>
      </c>
      <c r="J81" s="49">
        <f>'Avg Week Kasangati-Gayaza'!J81+'Avg Week Gayaza-Ksangati'!J81</f>
        <v>2</v>
      </c>
      <c r="K81" s="49">
        <f>'Avg Week Kasangati-Gayaza'!K81+'Avg Week Gayaza-Ksangati'!K81</f>
        <v>0</v>
      </c>
      <c r="L81" s="49">
        <f>'Avg Week Kasangati-Gayaza'!L81+'Avg Week Gayaza-Ksangati'!L81</f>
        <v>0</v>
      </c>
      <c r="M81" s="49">
        <f>'Avg Week Kasangati-Gayaza'!M81+'Avg Week Gayaza-Ksangati'!M81</f>
        <v>27</v>
      </c>
      <c r="N81" s="49">
        <f>'Avg Week Kasangati-Gayaza'!N81+'Avg Week Gayaza-Ksangati'!N81</f>
        <v>0</v>
      </c>
      <c r="O81" s="15">
        <f t="shared" si="36"/>
        <v>41</v>
      </c>
      <c r="P81" s="15">
        <f t="shared" si="37"/>
        <v>68</v>
      </c>
      <c r="R81" s="8"/>
      <c r="T81"/>
    </row>
    <row r="82" spans="2:20" ht="23.1" customHeight="1" x14ac:dyDescent="0.25">
      <c r="B82" s="24" t="s">
        <v>122</v>
      </c>
      <c r="C82" s="49">
        <f>'Avg Week Kasangati-Gayaza'!C82+'Avg Week Gayaza-Ksangati'!C82</f>
        <v>17</v>
      </c>
      <c r="D82" s="49">
        <f>'Avg Week Kasangati-Gayaza'!D82+'Avg Week Gayaza-Ksangati'!D82</f>
        <v>5</v>
      </c>
      <c r="E82" s="49">
        <f>'Avg Week Kasangati-Gayaza'!E82+'Avg Week Gayaza-Ksangati'!E82</f>
        <v>2.5</v>
      </c>
      <c r="F82" s="49">
        <f>'Avg Week Kasangati-Gayaza'!F82+'Avg Week Gayaza-Ksangati'!F82</f>
        <v>6.5</v>
      </c>
      <c r="G82" s="49">
        <f>'Avg Week Kasangati-Gayaza'!G82+'Avg Week Gayaza-Ksangati'!G82</f>
        <v>0</v>
      </c>
      <c r="H82" s="49">
        <f>'Avg Week Kasangati-Gayaza'!H82+'Avg Week Gayaza-Ksangati'!H82</f>
        <v>0</v>
      </c>
      <c r="I82" s="49">
        <f>'Avg Week Kasangati-Gayaza'!I82+'Avg Week Gayaza-Ksangati'!I82</f>
        <v>1.5</v>
      </c>
      <c r="J82" s="49">
        <f>'Avg Week Kasangati-Gayaza'!J82+'Avg Week Gayaza-Ksangati'!J82</f>
        <v>1</v>
      </c>
      <c r="K82" s="49">
        <f>'Avg Week Kasangati-Gayaza'!K82+'Avg Week Gayaza-Ksangati'!K82</f>
        <v>0.5</v>
      </c>
      <c r="L82" s="49">
        <f>'Avg Week Kasangati-Gayaza'!L82+'Avg Week Gayaza-Ksangati'!L82</f>
        <v>1</v>
      </c>
      <c r="M82" s="49">
        <f>'Avg Week Kasangati-Gayaza'!M82+'Avg Week Gayaza-Ksangati'!M82</f>
        <v>45.5</v>
      </c>
      <c r="N82" s="49">
        <f>'Avg Week Kasangati-Gayaza'!N82+'Avg Week Gayaza-Ksangati'!N82</f>
        <v>0</v>
      </c>
      <c r="O82" s="15">
        <f t="shared" si="36"/>
        <v>35</v>
      </c>
      <c r="P82" s="15">
        <f t="shared" si="37"/>
        <v>80.5</v>
      </c>
      <c r="R82" s="8"/>
      <c r="T82"/>
    </row>
    <row r="83" spans="2:20" ht="23.1" customHeight="1" x14ac:dyDescent="0.25">
      <c r="B83" s="23" t="s">
        <v>123</v>
      </c>
      <c r="C83" s="49">
        <f>'Avg Week Kasangati-Gayaza'!C83+'Avg Week Gayaza-Ksangati'!C83</f>
        <v>11</v>
      </c>
      <c r="D83" s="49">
        <f>'Avg Week Kasangati-Gayaza'!D83+'Avg Week Gayaza-Ksangati'!D83</f>
        <v>0.5</v>
      </c>
      <c r="E83" s="49">
        <f>'Avg Week Kasangati-Gayaza'!E83+'Avg Week Gayaza-Ksangati'!E83</f>
        <v>1.5</v>
      </c>
      <c r="F83" s="49">
        <f>'Avg Week Kasangati-Gayaza'!F83+'Avg Week Gayaza-Ksangati'!F83</f>
        <v>5</v>
      </c>
      <c r="G83" s="49">
        <f>'Avg Week Kasangati-Gayaza'!G83+'Avg Week Gayaza-Ksangati'!G83</f>
        <v>0</v>
      </c>
      <c r="H83" s="49">
        <f>'Avg Week Kasangati-Gayaza'!H83+'Avg Week Gayaza-Ksangati'!H83</f>
        <v>1</v>
      </c>
      <c r="I83" s="49">
        <f>'Avg Week Kasangati-Gayaza'!I83+'Avg Week Gayaza-Ksangati'!I83</f>
        <v>6</v>
      </c>
      <c r="J83" s="49">
        <f>'Avg Week Kasangati-Gayaza'!J83+'Avg Week Gayaza-Ksangati'!J83</f>
        <v>1</v>
      </c>
      <c r="K83" s="49">
        <f>'Avg Week Kasangati-Gayaza'!K83+'Avg Week Gayaza-Ksangati'!K83</f>
        <v>0</v>
      </c>
      <c r="L83" s="49">
        <f>'Avg Week Kasangati-Gayaza'!L83+'Avg Week Gayaza-Ksangati'!L83</f>
        <v>0.5</v>
      </c>
      <c r="M83" s="49">
        <f>'Avg Week Kasangati-Gayaza'!M83+'Avg Week Gayaza-Ksangati'!M83</f>
        <v>29</v>
      </c>
      <c r="N83" s="49">
        <f>'Avg Week Kasangati-Gayaza'!N83+'Avg Week Gayaza-Ksangati'!N83</f>
        <v>0</v>
      </c>
      <c r="O83" s="15">
        <f t="shared" si="36"/>
        <v>26.5</v>
      </c>
      <c r="P83" s="15">
        <f t="shared" si="37"/>
        <v>55.5</v>
      </c>
      <c r="R83" s="8"/>
      <c r="T83"/>
    </row>
    <row r="84" spans="2:20" ht="23.1" customHeight="1" x14ac:dyDescent="0.25">
      <c r="B84" s="25" t="s">
        <v>124</v>
      </c>
      <c r="C84" s="49">
        <f>'Avg Week Kasangati-Gayaza'!C84+'Avg Week Gayaza-Ksangati'!C84</f>
        <v>10</v>
      </c>
      <c r="D84" s="49">
        <f>'Avg Week Kasangati-Gayaza'!D84+'Avg Week Gayaza-Ksangati'!D84</f>
        <v>2.5</v>
      </c>
      <c r="E84" s="49">
        <f>'Avg Week Kasangati-Gayaza'!E84+'Avg Week Gayaza-Ksangati'!E84</f>
        <v>1.5</v>
      </c>
      <c r="F84" s="49">
        <f>'Avg Week Kasangati-Gayaza'!F84+'Avg Week Gayaza-Ksangati'!F84</f>
        <v>4</v>
      </c>
      <c r="G84" s="49">
        <f>'Avg Week Kasangati-Gayaza'!G84+'Avg Week Gayaza-Ksangati'!G84</f>
        <v>0</v>
      </c>
      <c r="H84" s="49">
        <f>'Avg Week Kasangati-Gayaza'!H84+'Avg Week Gayaza-Ksangati'!H84</f>
        <v>0</v>
      </c>
      <c r="I84" s="49">
        <f>'Avg Week Kasangati-Gayaza'!I84+'Avg Week Gayaza-Ksangati'!I84</f>
        <v>3.5</v>
      </c>
      <c r="J84" s="49">
        <f>'Avg Week Kasangati-Gayaza'!J84+'Avg Week Gayaza-Ksangati'!J84</f>
        <v>1</v>
      </c>
      <c r="K84" s="49">
        <f>'Avg Week Kasangati-Gayaza'!K84+'Avg Week Gayaza-Ksangati'!K84</f>
        <v>0</v>
      </c>
      <c r="L84" s="49">
        <f>'Avg Week Kasangati-Gayaza'!L84+'Avg Week Gayaza-Ksangati'!L84</f>
        <v>1</v>
      </c>
      <c r="M84" s="49">
        <f>'Avg Week Kasangati-Gayaza'!M84+'Avg Week Gayaza-Ksangati'!M84</f>
        <v>31.5</v>
      </c>
      <c r="N84" s="49">
        <f>'Avg Week Kasangati-Gayaza'!N84+'Avg Week Gayaza-Ksangati'!N84</f>
        <v>0</v>
      </c>
      <c r="O84" s="15">
        <f t="shared" si="36"/>
        <v>23.5</v>
      </c>
      <c r="P84" s="15">
        <f t="shared" si="37"/>
        <v>55</v>
      </c>
      <c r="R84" s="8"/>
      <c r="T84"/>
    </row>
    <row r="85" spans="2:20" ht="23.1" customHeight="1" x14ac:dyDescent="0.25">
      <c r="B85" s="23" t="s">
        <v>125</v>
      </c>
      <c r="C85" s="49">
        <f>'Avg Week Kasangati-Gayaza'!C85+'Avg Week Gayaza-Ksangati'!C85</f>
        <v>6</v>
      </c>
      <c r="D85" s="49">
        <f>'Avg Week Kasangati-Gayaza'!D85+'Avg Week Gayaza-Ksangati'!D85</f>
        <v>2</v>
      </c>
      <c r="E85" s="49">
        <f>'Avg Week Kasangati-Gayaza'!E85+'Avg Week Gayaza-Ksangati'!E85</f>
        <v>0.5</v>
      </c>
      <c r="F85" s="49">
        <f>'Avg Week Kasangati-Gayaza'!F85+'Avg Week Gayaza-Ksangati'!F85</f>
        <v>3.5</v>
      </c>
      <c r="G85" s="49">
        <f>'Avg Week Kasangati-Gayaza'!G85+'Avg Week Gayaza-Ksangati'!G85</f>
        <v>0</v>
      </c>
      <c r="H85" s="49">
        <f>'Avg Week Kasangati-Gayaza'!H85+'Avg Week Gayaza-Ksangati'!H85</f>
        <v>0</v>
      </c>
      <c r="I85" s="49">
        <f>'Avg Week Kasangati-Gayaza'!I85+'Avg Week Gayaza-Ksangati'!I85</f>
        <v>3.5</v>
      </c>
      <c r="J85" s="49">
        <f>'Avg Week Kasangati-Gayaza'!J85+'Avg Week Gayaza-Ksangati'!J85</f>
        <v>0.5</v>
      </c>
      <c r="K85" s="49">
        <f>'Avg Week Kasangati-Gayaza'!K85+'Avg Week Gayaza-Ksangati'!K85</f>
        <v>0</v>
      </c>
      <c r="L85" s="49">
        <f>'Avg Week Kasangati-Gayaza'!L85+'Avg Week Gayaza-Ksangati'!L85</f>
        <v>1.5</v>
      </c>
      <c r="M85" s="49">
        <f>'Avg Week Kasangati-Gayaza'!M85+'Avg Week Gayaza-Ksangati'!M85</f>
        <v>28</v>
      </c>
      <c r="N85" s="49">
        <f>'Avg Week Kasangati-Gayaza'!N85+'Avg Week Gayaza-Ksangati'!N85</f>
        <v>0</v>
      </c>
      <c r="O85" s="15">
        <f t="shared" si="36"/>
        <v>17.5</v>
      </c>
      <c r="P85" s="15">
        <f t="shared" si="37"/>
        <v>45.5</v>
      </c>
      <c r="R85" s="8"/>
      <c r="T85"/>
    </row>
    <row r="86" spans="2:20" ht="23.1" customHeight="1" x14ac:dyDescent="0.25">
      <c r="B86" s="24" t="s">
        <v>126</v>
      </c>
      <c r="C86" s="49">
        <f>'Avg Week Kasangati-Gayaza'!C86+'Avg Week Gayaza-Ksangati'!C86</f>
        <v>10.5</v>
      </c>
      <c r="D86" s="49">
        <f>'Avg Week Kasangati-Gayaza'!D86+'Avg Week Gayaza-Ksangati'!D86</f>
        <v>1.5</v>
      </c>
      <c r="E86" s="49">
        <f>'Avg Week Kasangati-Gayaza'!E86+'Avg Week Gayaza-Ksangati'!E86</f>
        <v>0.5</v>
      </c>
      <c r="F86" s="49">
        <f>'Avg Week Kasangati-Gayaza'!F86+'Avg Week Gayaza-Ksangati'!F86</f>
        <v>3</v>
      </c>
      <c r="G86" s="49">
        <f>'Avg Week Kasangati-Gayaza'!G86+'Avg Week Gayaza-Ksangati'!G86</f>
        <v>0</v>
      </c>
      <c r="H86" s="49">
        <f>'Avg Week Kasangati-Gayaza'!H86+'Avg Week Gayaza-Ksangati'!H86</f>
        <v>0</v>
      </c>
      <c r="I86" s="49">
        <f>'Avg Week Kasangati-Gayaza'!I86+'Avg Week Gayaza-Ksangati'!I86</f>
        <v>1</v>
      </c>
      <c r="J86" s="49">
        <f>'Avg Week Kasangati-Gayaza'!J86+'Avg Week Gayaza-Ksangati'!J86</f>
        <v>0</v>
      </c>
      <c r="K86" s="49">
        <f>'Avg Week Kasangati-Gayaza'!K86+'Avg Week Gayaza-Ksangati'!K86</f>
        <v>0.5</v>
      </c>
      <c r="L86" s="49">
        <f>'Avg Week Kasangati-Gayaza'!L86+'Avg Week Gayaza-Ksangati'!L86</f>
        <v>0.5</v>
      </c>
      <c r="M86" s="49">
        <f>'Avg Week Kasangati-Gayaza'!M86+'Avg Week Gayaza-Ksangati'!M86</f>
        <v>27.5</v>
      </c>
      <c r="N86" s="49">
        <f>'Avg Week Kasangati-Gayaza'!N86+'Avg Week Gayaza-Ksangati'!N86</f>
        <v>0</v>
      </c>
      <c r="O86" s="15">
        <f t="shared" si="36"/>
        <v>17.5</v>
      </c>
      <c r="P86" s="15">
        <f t="shared" si="37"/>
        <v>45</v>
      </c>
      <c r="R86" s="8"/>
      <c r="T86"/>
    </row>
    <row r="87" spans="2:20" ht="23.1" customHeight="1" x14ac:dyDescent="0.25">
      <c r="B87" s="23" t="s">
        <v>127</v>
      </c>
      <c r="C87" s="49">
        <f>'Avg Week Kasangati-Gayaza'!C87+'Avg Week Gayaza-Ksangati'!C87</f>
        <v>6</v>
      </c>
      <c r="D87" s="49">
        <f>'Avg Week Kasangati-Gayaza'!D87+'Avg Week Gayaza-Ksangati'!D87</f>
        <v>1.5</v>
      </c>
      <c r="E87" s="49">
        <f>'Avg Week Kasangati-Gayaza'!E87+'Avg Week Gayaza-Ksangati'!E87</f>
        <v>0.5</v>
      </c>
      <c r="F87" s="49">
        <f>'Avg Week Kasangati-Gayaza'!F87+'Avg Week Gayaza-Ksangati'!F87</f>
        <v>3</v>
      </c>
      <c r="G87" s="49">
        <f>'Avg Week Kasangati-Gayaza'!G87+'Avg Week Gayaza-Ksangati'!G87</f>
        <v>0</v>
      </c>
      <c r="H87" s="49">
        <f>'Avg Week Kasangati-Gayaza'!H87+'Avg Week Gayaza-Ksangati'!H87</f>
        <v>0</v>
      </c>
      <c r="I87" s="49">
        <f>'Avg Week Kasangati-Gayaza'!I87+'Avg Week Gayaza-Ksangati'!I87</f>
        <v>3.5</v>
      </c>
      <c r="J87" s="49">
        <f>'Avg Week Kasangati-Gayaza'!J87+'Avg Week Gayaza-Ksangati'!J87</f>
        <v>1</v>
      </c>
      <c r="K87" s="49">
        <f>'Avg Week Kasangati-Gayaza'!K87+'Avg Week Gayaza-Ksangati'!K87</f>
        <v>1</v>
      </c>
      <c r="L87" s="49">
        <f>'Avg Week Kasangati-Gayaza'!L87+'Avg Week Gayaza-Ksangati'!L87</f>
        <v>0</v>
      </c>
      <c r="M87" s="49">
        <f>'Avg Week Kasangati-Gayaza'!M87+'Avg Week Gayaza-Ksangati'!M87</f>
        <v>15</v>
      </c>
      <c r="N87" s="49">
        <f>'Avg Week Kasangati-Gayaza'!N87+'Avg Week Gayaza-Ksangati'!N87</f>
        <v>0</v>
      </c>
      <c r="O87" s="15">
        <f t="shared" si="36"/>
        <v>16.5</v>
      </c>
      <c r="P87" s="15">
        <f t="shared" si="37"/>
        <v>31.5</v>
      </c>
      <c r="R87" s="8"/>
      <c r="T87"/>
    </row>
    <row r="88" spans="2:20" ht="23.1" customHeight="1" x14ac:dyDescent="0.25">
      <c r="B88" s="25" t="s">
        <v>128</v>
      </c>
      <c r="C88" s="49">
        <f>'Avg Week Kasangati-Gayaza'!C88+'Avg Week Gayaza-Ksangati'!C88</f>
        <v>6.5</v>
      </c>
      <c r="D88" s="49">
        <f>'Avg Week Kasangati-Gayaza'!D88+'Avg Week Gayaza-Ksangati'!D88</f>
        <v>1</v>
      </c>
      <c r="E88" s="49">
        <f>'Avg Week Kasangati-Gayaza'!E88+'Avg Week Gayaza-Ksangati'!E88</f>
        <v>0</v>
      </c>
      <c r="F88" s="49">
        <f>'Avg Week Kasangati-Gayaza'!F88+'Avg Week Gayaza-Ksangati'!F88</f>
        <v>3.5</v>
      </c>
      <c r="G88" s="49">
        <f>'Avg Week Kasangati-Gayaza'!G88+'Avg Week Gayaza-Ksangati'!G88</f>
        <v>0.5</v>
      </c>
      <c r="H88" s="49">
        <f>'Avg Week Kasangati-Gayaza'!H88+'Avg Week Gayaza-Ksangati'!H88</f>
        <v>0</v>
      </c>
      <c r="I88" s="49">
        <f>'Avg Week Kasangati-Gayaza'!I88+'Avg Week Gayaza-Ksangati'!I88</f>
        <v>2</v>
      </c>
      <c r="J88" s="49">
        <f>'Avg Week Kasangati-Gayaza'!J88+'Avg Week Gayaza-Ksangati'!J88</f>
        <v>0</v>
      </c>
      <c r="K88" s="49">
        <f>'Avg Week Kasangati-Gayaza'!K88+'Avg Week Gayaza-Ksangati'!K88</f>
        <v>0</v>
      </c>
      <c r="L88" s="49">
        <f>'Avg Week Kasangati-Gayaza'!L88+'Avg Week Gayaza-Ksangati'!L88</f>
        <v>0</v>
      </c>
      <c r="M88" s="49">
        <f>'Avg Week Kasangati-Gayaza'!M88+'Avg Week Gayaza-Ksangati'!M88</f>
        <v>12</v>
      </c>
      <c r="N88" s="49">
        <f>'Avg Week Kasangati-Gayaza'!N88+'Avg Week Gayaza-Ksangati'!N88</f>
        <v>0</v>
      </c>
      <c r="O88" s="15">
        <f t="shared" si="36"/>
        <v>13.5</v>
      </c>
      <c r="P88" s="15">
        <f t="shared" si="37"/>
        <v>25.5</v>
      </c>
      <c r="R88" s="8"/>
      <c r="T88"/>
    </row>
    <row r="89" spans="2:20" ht="23.1" customHeight="1" x14ac:dyDescent="0.25">
      <c r="B89" s="23" t="s">
        <v>129</v>
      </c>
      <c r="C89" s="49">
        <f>'Avg Week Kasangati-Gayaza'!C89+'Avg Week Gayaza-Ksangati'!C89</f>
        <v>6.5</v>
      </c>
      <c r="D89" s="49">
        <f>'Avg Week Kasangati-Gayaza'!D89+'Avg Week Gayaza-Ksangati'!D89</f>
        <v>1</v>
      </c>
      <c r="E89" s="49">
        <f>'Avg Week Kasangati-Gayaza'!E89+'Avg Week Gayaza-Ksangati'!E89</f>
        <v>1.5</v>
      </c>
      <c r="F89" s="49">
        <f>'Avg Week Kasangati-Gayaza'!F89+'Avg Week Gayaza-Ksangati'!F89</f>
        <v>4.5</v>
      </c>
      <c r="G89" s="49">
        <f>'Avg Week Kasangati-Gayaza'!G89+'Avg Week Gayaza-Ksangati'!G89</f>
        <v>0</v>
      </c>
      <c r="H89" s="49">
        <f>'Avg Week Kasangati-Gayaza'!H89+'Avg Week Gayaza-Ksangati'!H89</f>
        <v>0</v>
      </c>
      <c r="I89" s="49">
        <f>'Avg Week Kasangati-Gayaza'!I89+'Avg Week Gayaza-Ksangati'!I89</f>
        <v>2.5</v>
      </c>
      <c r="J89" s="49">
        <f>'Avg Week Kasangati-Gayaza'!J89+'Avg Week Gayaza-Ksangati'!J89</f>
        <v>0.5</v>
      </c>
      <c r="K89" s="49">
        <f>'Avg Week Kasangati-Gayaza'!K89+'Avg Week Gayaza-Ksangati'!K89</f>
        <v>0</v>
      </c>
      <c r="L89" s="49">
        <f>'Avg Week Kasangati-Gayaza'!L89+'Avg Week Gayaza-Ksangati'!L89</f>
        <v>0</v>
      </c>
      <c r="M89" s="49">
        <f>'Avg Week Kasangati-Gayaza'!M89+'Avg Week Gayaza-Ksangati'!M89</f>
        <v>14</v>
      </c>
      <c r="N89" s="49">
        <f>'Avg Week Kasangati-Gayaza'!N89+'Avg Week Gayaza-Ksangati'!N89</f>
        <v>0</v>
      </c>
      <c r="O89" s="15">
        <f t="shared" si="36"/>
        <v>16.5</v>
      </c>
      <c r="P89" s="15">
        <f t="shared" si="37"/>
        <v>30.5</v>
      </c>
      <c r="R89" s="8"/>
      <c r="T89"/>
    </row>
    <row r="90" spans="2:20" ht="23.1" customHeight="1" x14ac:dyDescent="0.25">
      <c r="B90" s="24" t="s">
        <v>130</v>
      </c>
      <c r="C90" s="49">
        <f>'Avg Week Kasangati-Gayaza'!C90+'Avg Week Gayaza-Ksangati'!C90</f>
        <v>7</v>
      </c>
      <c r="D90" s="49">
        <f>'Avg Week Kasangati-Gayaza'!D90+'Avg Week Gayaza-Ksangati'!D90</f>
        <v>0.5</v>
      </c>
      <c r="E90" s="49">
        <f>'Avg Week Kasangati-Gayaza'!E90+'Avg Week Gayaza-Ksangati'!E90</f>
        <v>0.5</v>
      </c>
      <c r="F90" s="49">
        <f>'Avg Week Kasangati-Gayaza'!F90+'Avg Week Gayaza-Ksangati'!F90</f>
        <v>3.5</v>
      </c>
      <c r="G90" s="49">
        <f>'Avg Week Kasangati-Gayaza'!G90+'Avg Week Gayaza-Ksangati'!G90</f>
        <v>0</v>
      </c>
      <c r="H90" s="49">
        <f>'Avg Week Kasangati-Gayaza'!H90+'Avg Week Gayaza-Ksangati'!H90</f>
        <v>0</v>
      </c>
      <c r="I90" s="49">
        <f>'Avg Week Kasangati-Gayaza'!I90+'Avg Week Gayaza-Ksangati'!I90</f>
        <v>0.5</v>
      </c>
      <c r="J90" s="49">
        <f>'Avg Week Kasangati-Gayaza'!J90+'Avg Week Gayaza-Ksangati'!J90</f>
        <v>1</v>
      </c>
      <c r="K90" s="49">
        <f>'Avg Week Kasangati-Gayaza'!K90+'Avg Week Gayaza-Ksangati'!K90</f>
        <v>0.5</v>
      </c>
      <c r="L90" s="49">
        <f>'Avg Week Kasangati-Gayaza'!L90+'Avg Week Gayaza-Ksangati'!L90</f>
        <v>1</v>
      </c>
      <c r="M90" s="49">
        <f>'Avg Week Kasangati-Gayaza'!M90+'Avg Week Gayaza-Ksangati'!M90</f>
        <v>13</v>
      </c>
      <c r="N90" s="49">
        <f>'Avg Week Kasangati-Gayaza'!N90+'Avg Week Gayaza-Ksangati'!N90</f>
        <v>0</v>
      </c>
      <c r="O90" s="15">
        <f t="shared" si="36"/>
        <v>14.5</v>
      </c>
      <c r="P90" s="15">
        <f t="shared" si="37"/>
        <v>27.5</v>
      </c>
      <c r="R90" s="8"/>
      <c r="T90"/>
    </row>
    <row r="91" spans="2:20" ht="23.1" customHeight="1" x14ac:dyDescent="0.25">
      <c r="B91" s="23" t="s">
        <v>131</v>
      </c>
      <c r="C91" s="49">
        <f>'Avg Week Kasangati-Gayaza'!C91+'Avg Week Gayaza-Ksangati'!C91</f>
        <v>7</v>
      </c>
      <c r="D91" s="49">
        <f>'Avg Week Kasangati-Gayaza'!D91+'Avg Week Gayaza-Ksangati'!D91</f>
        <v>0.5</v>
      </c>
      <c r="E91" s="49">
        <f>'Avg Week Kasangati-Gayaza'!E91+'Avg Week Gayaza-Ksangati'!E91</f>
        <v>1</v>
      </c>
      <c r="F91" s="49">
        <f>'Avg Week Kasangati-Gayaza'!F91+'Avg Week Gayaza-Ksangati'!F91</f>
        <v>2.5</v>
      </c>
      <c r="G91" s="49">
        <f>'Avg Week Kasangati-Gayaza'!G91+'Avg Week Gayaza-Ksangati'!G91</f>
        <v>0</v>
      </c>
      <c r="H91" s="49">
        <f>'Avg Week Kasangati-Gayaza'!H91+'Avg Week Gayaza-Ksangati'!H91</f>
        <v>0</v>
      </c>
      <c r="I91" s="49">
        <f>'Avg Week Kasangati-Gayaza'!I91+'Avg Week Gayaza-Ksangati'!I91</f>
        <v>2</v>
      </c>
      <c r="J91" s="49">
        <f>'Avg Week Kasangati-Gayaza'!J91+'Avg Week Gayaza-Ksangati'!J91</f>
        <v>1.5</v>
      </c>
      <c r="K91" s="49">
        <f>'Avg Week Kasangati-Gayaza'!K91+'Avg Week Gayaza-Ksangati'!K91</f>
        <v>0</v>
      </c>
      <c r="L91" s="49">
        <f>'Avg Week Kasangati-Gayaza'!L91+'Avg Week Gayaza-Ksangati'!L91</f>
        <v>1</v>
      </c>
      <c r="M91" s="49">
        <f>'Avg Week Kasangati-Gayaza'!M91+'Avg Week Gayaza-Ksangati'!M91</f>
        <v>8.5</v>
      </c>
      <c r="N91" s="49">
        <f>'Avg Week Kasangati-Gayaza'!N91+'Avg Week Gayaza-Ksangati'!N91</f>
        <v>0</v>
      </c>
      <c r="O91" s="15">
        <f t="shared" si="36"/>
        <v>15.5</v>
      </c>
      <c r="P91" s="15">
        <f t="shared" si="37"/>
        <v>24</v>
      </c>
      <c r="R91" s="8"/>
      <c r="T91"/>
    </row>
    <row r="92" spans="2:20" ht="23.1" customHeight="1" x14ac:dyDescent="0.25">
      <c r="B92" s="25" t="s">
        <v>132</v>
      </c>
      <c r="C92" s="49">
        <f>'Avg Week Kasangati-Gayaza'!C92+'Avg Week Gayaza-Ksangati'!C92</f>
        <v>5</v>
      </c>
      <c r="D92" s="49">
        <f>'Avg Week Kasangati-Gayaza'!D92+'Avg Week Gayaza-Ksangati'!D92</f>
        <v>1.5</v>
      </c>
      <c r="E92" s="49">
        <f>'Avg Week Kasangati-Gayaza'!E92+'Avg Week Gayaza-Ksangati'!E92</f>
        <v>2</v>
      </c>
      <c r="F92" s="49">
        <f>'Avg Week Kasangati-Gayaza'!F92+'Avg Week Gayaza-Ksangati'!F92</f>
        <v>2.5</v>
      </c>
      <c r="G92" s="49">
        <f>'Avg Week Kasangati-Gayaza'!G92+'Avg Week Gayaza-Ksangati'!G92</f>
        <v>0</v>
      </c>
      <c r="H92" s="49">
        <f>'Avg Week Kasangati-Gayaza'!H92+'Avg Week Gayaza-Ksangati'!H92</f>
        <v>0</v>
      </c>
      <c r="I92" s="49">
        <f>'Avg Week Kasangati-Gayaza'!I92+'Avg Week Gayaza-Ksangati'!I92</f>
        <v>2.5</v>
      </c>
      <c r="J92" s="49">
        <f>'Avg Week Kasangati-Gayaza'!J92+'Avg Week Gayaza-Ksangati'!J92</f>
        <v>1</v>
      </c>
      <c r="K92" s="49">
        <f>'Avg Week Kasangati-Gayaza'!K92+'Avg Week Gayaza-Ksangati'!K92</f>
        <v>0</v>
      </c>
      <c r="L92" s="49">
        <f>'Avg Week Kasangati-Gayaza'!L92+'Avg Week Gayaza-Ksangati'!L92</f>
        <v>0</v>
      </c>
      <c r="M92" s="49">
        <f>'Avg Week Kasangati-Gayaza'!M92+'Avg Week Gayaza-Ksangati'!M92</f>
        <v>12</v>
      </c>
      <c r="N92" s="49">
        <f>'Avg Week Kasangati-Gayaza'!N92+'Avg Week Gayaza-Ksangati'!N92</f>
        <v>0</v>
      </c>
      <c r="O92" s="15">
        <f t="shared" si="36"/>
        <v>14.5</v>
      </c>
      <c r="P92" s="15">
        <f t="shared" si="37"/>
        <v>26.5</v>
      </c>
      <c r="R92" s="8"/>
      <c r="T92"/>
    </row>
    <row r="93" spans="2:20" ht="23.1" customHeight="1" x14ac:dyDescent="0.25">
      <c r="B93" s="23" t="s">
        <v>133</v>
      </c>
      <c r="C93" s="49">
        <f>'Avg Week Kasangati-Gayaza'!C93+'Avg Week Gayaza-Ksangati'!C93</f>
        <v>8.5</v>
      </c>
      <c r="D93" s="49">
        <f>'Avg Week Kasangati-Gayaza'!D93+'Avg Week Gayaza-Ksangati'!D93</f>
        <v>1</v>
      </c>
      <c r="E93" s="49">
        <f>'Avg Week Kasangati-Gayaza'!E93+'Avg Week Gayaza-Ksangati'!E93</f>
        <v>2.5</v>
      </c>
      <c r="F93" s="49">
        <f>'Avg Week Kasangati-Gayaza'!F93+'Avg Week Gayaza-Ksangati'!F93</f>
        <v>3</v>
      </c>
      <c r="G93" s="49">
        <f>'Avg Week Kasangati-Gayaza'!G93+'Avg Week Gayaza-Ksangati'!G93</f>
        <v>0.5</v>
      </c>
      <c r="H93" s="49">
        <f>'Avg Week Kasangati-Gayaza'!H93+'Avg Week Gayaza-Ksangati'!H93</f>
        <v>0</v>
      </c>
      <c r="I93" s="49">
        <f>'Avg Week Kasangati-Gayaza'!I93+'Avg Week Gayaza-Ksangati'!I93</f>
        <v>3</v>
      </c>
      <c r="J93" s="49">
        <f>'Avg Week Kasangati-Gayaza'!J93+'Avg Week Gayaza-Ksangati'!J93</f>
        <v>1</v>
      </c>
      <c r="K93" s="49">
        <f>'Avg Week Kasangati-Gayaza'!K93+'Avg Week Gayaza-Ksangati'!K93</f>
        <v>0</v>
      </c>
      <c r="L93" s="49">
        <f>'Avg Week Kasangati-Gayaza'!L93+'Avg Week Gayaza-Ksangati'!L93</f>
        <v>0</v>
      </c>
      <c r="M93" s="49">
        <f>'Avg Week Kasangati-Gayaza'!M93+'Avg Week Gayaza-Ksangati'!M93</f>
        <v>17</v>
      </c>
      <c r="N93" s="49">
        <f>'Avg Week Kasangati-Gayaza'!N93+'Avg Week Gayaza-Ksangati'!N93</f>
        <v>0</v>
      </c>
      <c r="O93" s="15">
        <f t="shared" si="36"/>
        <v>19.5</v>
      </c>
      <c r="P93" s="15">
        <f t="shared" si="37"/>
        <v>36.5</v>
      </c>
      <c r="R93" s="8"/>
      <c r="T93"/>
    </row>
    <row r="94" spans="2:20" ht="23.1" customHeight="1" x14ac:dyDescent="0.25">
      <c r="B94" s="24" t="s">
        <v>134</v>
      </c>
      <c r="C94" s="49">
        <f>'Avg Week Kasangati-Gayaza'!C94+'Avg Week Gayaza-Ksangati'!C94</f>
        <v>5.5</v>
      </c>
      <c r="D94" s="49">
        <f>'Avg Week Kasangati-Gayaza'!D94+'Avg Week Gayaza-Ksangati'!D94</f>
        <v>0.5</v>
      </c>
      <c r="E94" s="49">
        <f>'Avg Week Kasangati-Gayaza'!E94+'Avg Week Gayaza-Ksangati'!E94</f>
        <v>0.5</v>
      </c>
      <c r="F94" s="49">
        <f>'Avg Week Kasangati-Gayaza'!F94+'Avg Week Gayaza-Ksangati'!F94</f>
        <v>4.5</v>
      </c>
      <c r="G94" s="49">
        <f>'Avg Week Kasangati-Gayaza'!G94+'Avg Week Gayaza-Ksangati'!G94</f>
        <v>0.5</v>
      </c>
      <c r="H94" s="49">
        <f>'Avg Week Kasangati-Gayaza'!H94+'Avg Week Gayaza-Ksangati'!H94</f>
        <v>0</v>
      </c>
      <c r="I94" s="49">
        <f>'Avg Week Kasangati-Gayaza'!I94+'Avg Week Gayaza-Ksangati'!I94</f>
        <v>3</v>
      </c>
      <c r="J94" s="49">
        <f>'Avg Week Kasangati-Gayaza'!J94+'Avg Week Gayaza-Ksangati'!J94</f>
        <v>1</v>
      </c>
      <c r="K94" s="49">
        <f>'Avg Week Kasangati-Gayaza'!K94+'Avg Week Gayaza-Ksangati'!K94</f>
        <v>0</v>
      </c>
      <c r="L94" s="49">
        <f>'Avg Week Kasangati-Gayaza'!L94+'Avg Week Gayaza-Ksangati'!L94</f>
        <v>0.5</v>
      </c>
      <c r="M94" s="49">
        <f>'Avg Week Kasangati-Gayaza'!M94+'Avg Week Gayaza-Ksangati'!M94</f>
        <v>23.5</v>
      </c>
      <c r="N94" s="49">
        <f>'Avg Week Kasangati-Gayaza'!N94+'Avg Week Gayaza-Ksangati'!N94</f>
        <v>0</v>
      </c>
      <c r="O94" s="15">
        <f t="shared" si="36"/>
        <v>16</v>
      </c>
      <c r="P94" s="15">
        <f t="shared" si="37"/>
        <v>39.5</v>
      </c>
      <c r="R94" s="8"/>
      <c r="T94"/>
    </row>
    <row r="95" spans="2:20" ht="23.1" customHeight="1" x14ac:dyDescent="0.25">
      <c r="B95" s="23" t="s">
        <v>135</v>
      </c>
      <c r="C95" s="49">
        <f>'Avg Week Kasangati-Gayaza'!C95+'Avg Week Gayaza-Ksangati'!C95</f>
        <v>3.5</v>
      </c>
      <c r="D95" s="49">
        <f>'Avg Week Kasangati-Gayaza'!D95+'Avg Week Gayaza-Ksangati'!D95</f>
        <v>0.5</v>
      </c>
      <c r="E95" s="49">
        <f>'Avg Week Kasangati-Gayaza'!E95+'Avg Week Gayaza-Ksangati'!E95</f>
        <v>1</v>
      </c>
      <c r="F95" s="49">
        <f>'Avg Week Kasangati-Gayaza'!F95+'Avg Week Gayaza-Ksangati'!F95</f>
        <v>2.5</v>
      </c>
      <c r="G95" s="49">
        <f>'Avg Week Kasangati-Gayaza'!G95+'Avg Week Gayaza-Ksangati'!G95</f>
        <v>0</v>
      </c>
      <c r="H95" s="49">
        <f>'Avg Week Kasangati-Gayaza'!H95+'Avg Week Gayaza-Ksangati'!H95</f>
        <v>0</v>
      </c>
      <c r="I95" s="49">
        <f>'Avg Week Kasangati-Gayaza'!I95+'Avg Week Gayaza-Ksangati'!I95</f>
        <v>1</v>
      </c>
      <c r="J95" s="49">
        <f>'Avg Week Kasangati-Gayaza'!J95+'Avg Week Gayaza-Ksangati'!J95</f>
        <v>1.5</v>
      </c>
      <c r="K95" s="49">
        <f>'Avg Week Kasangati-Gayaza'!K95+'Avg Week Gayaza-Ksangati'!K95</f>
        <v>0</v>
      </c>
      <c r="L95" s="49">
        <f>'Avg Week Kasangati-Gayaza'!L95+'Avg Week Gayaza-Ksangati'!L95</f>
        <v>0.5</v>
      </c>
      <c r="M95" s="49">
        <f>'Avg Week Kasangati-Gayaza'!M95+'Avg Week Gayaza-Ksangati'!M95</f>
        <v>16</v>
      </c>
      <c r="N95" s="49">
        <f>'Avg Week Kasangati-Gayaza'!N95+'Avg Week Gayaza-Ksangati'!N95</f>
        <v>0</v>
      </c>
      <c r="O95" s="15">
        <f t="shared" si="36"/>
        <v>10.5</v>
      </c>
      <c r="P95" s="15">
        <f t="shared" si="37"/>
        <v>26.5</v>
      </c>
      <c r="R95" s="8"/>
      <c r="T95"/>
    </row>
    <row r="96" spans="2:20" ht="23.1" customHeight="1" x14ac:dyDescent="0.25">
      <c r="B96" s="25" t="s">
        <v>136</v>
      </c>
      <c r="C96" s="49">
        <f>'Avg Week Kasangati-Gayaza'!C96+'Avg Week Gayaza-Ksangati'!C96</f>
        <v>3</v>
      </c>
      <c r="D96" s="49">
        <f>'Avg Week Kasangati-Gayaza'!D96+'Avg Week Gayaza-Ksangati'!D96</f>
        <v>1.5</v>
      </c>
      <c r="E96" s="49">
        <f>'Avg Week Kasangati-Gayaza'!E96+'Avg Week Gayaza-Ksangati'!E96</f>
        <v>1</v>
      </c>
      <c r="F96" s="49">
        <f>'Avg Week Kasangati-Gayaza'!F96+'Avg Week Gayaza-Ksangati'!F96</f>
        <v>4.5</v>
      </c>
      <c r="G96" s="49">
        <f>'Avg Week Kasangati-Gayaza'!G96+'Avg Week Gayaza-Ksangati'!G96</f>
        <v>0</v>
      </c>
      <c r="H96" s="49">
        <f>'Avg Week Kasangati-Gayaza'!H96+'Avg Week Gayaza-Ksangati'!H96</f>
        <v>0</v>
      </c>
      <c r="I96" s="49">
        <f>'Avg Week Kasangati-Gayaza'!I96+'Avg Week Gayaza-Ksangati'!I96</f>
        <v>4</v>
      </c>
      <c r="J96" s="49">
        <f>'Avg Week Kasangati-Gayaza'!J96+'Avg Week Gayaza-Ksangati'!J96</f>
        <v>0.5</v>
      </c>
      <c r="K96" s="49">
        <f>'Avg Week Kasangati-Gayaza'!K96+'Avg Week Gayaza-Ksangati'!K96</f>
        <v>0</v>
      </c>
      <c r="L96" s="49">
        <f>'Avg Week Kasangati-Gayaza'!L96+'Avg Week Gayaza-Ksangati'!L96</f>
        <v>0</v>
      </c>
      <c r="M96" s="49">
        <f>'Avg Week Kasangati-Gayaza'!M96+'Avg Week Gayaza-Ksangati'!M96</f>
        <v>22.5</v>
      </c>
      <c r="N96" s="49">
        <f>'Avg Week Kasangati-Gayaza'!N96+'Avg Week Gayaza-Ksangati'!N96</f>
        <v>0</v>
      </c>
      <c r="O96" s="15">
        <f t="shared" si="36"/>
        <v>14.5</v>
      </c>
      <c r="P96" s="15">
        <f t="shared" si="37"/>
        <v>37</v>
      </c>
      <c r="R96" s="8"/>
      <c r="T96"/>
    </row>
    <row r="97" spans="2:20" ht="23.1" customHeight="1" x14ac:dyDescent="0.25">
      <c r="B97" s="23" t="s">
        <v>137</v>
      </c>
      <c r="C97" s="49">
        <f>'Avg Week Kasangati-Gayaza'!C97+'Avg Week Gayaza-Ksangati'!C97</f>
        <v>2.5</v>
      </c>
      <c r="D97" s="49">
        <f>'Avg Week Kasangati-Gayaza'!D97+'Avg Week Gayaza-Ksangati'!D97</f>
        <v>3.5</v>
      </c>
      <c r="E97" s="49">
        <f>'Avg Week Kasangati-Gayaza'!E97+'Avg Week Gayaza-Ksangati'!E97</f>
        <v>2</v>
      </c>
      <c r="F97" s="49">
        <f>'Avg Week Kasangati-Gayaza'!F97+'Avg Week Gayaza-Ksangati'!F97</f>
        <v>8</v>
      </c>
      <c r="G97" s="49">
        <f>'Avg Week Kasangati-Gayaza'!G97+'Avg Week Gayaza-Ksangati'!G97</f>
        <v>0.5</v>
      </c>
      <c r="H97" s="49">
        <f>'Avg Week Kasangati-Gayaza'!H97+'Avg Week Gayaza-Ksangati'!H97</f>
        <v>0</v>
      </c>
      <c r="I97" s="49">
        <f>'Avg Week Kasangati-Gayaza'!I97+'Avg Week Gayaza-Ksangati'!I97</f>
        <v>1.5</v>
      </c>
      <c r="J97" s="49">
        <f>'Avg Week Kasangati-Gayaza'!J97+'Avg Week Gayaza-Ksangati'!J97</f>
        <v>1.5</v>
      </c>
      <c r="K97" s="49">
        <f>'Avg Week Kasangati-Gayaza'!K97+'Avg Week Gayaza-Ksangati'!K97</f>
        <v>0.5</v>
      </c>
      <c r="L97" s="49">
        <f>'Avg Week Kasangati-Gayaza'!L97+'Avg Week Gayaza-Ksangati'!L97</f>
        <v>0</v>
      </c>
      <c r="M97" s="49">
        <f>'Avg Week Kasangati-Gayaza'!M97+'Avg Week Gayaza-Ksangati'!M97</f>
        <v>22</v>
      </c>
      <c r="N97" s="49">
        <f>'Avg Week Kasangati-Gayaza'!N97+'Avg Week Gayaza-Ksangati'!N97</f>
        <v>0</v>
      </c>
      <c r="O97" s="15">
        <f t="shared" si="36"/>
        <v>20</v>
      </c>
      <c r="P97" s="15">
        <f t="shared" si="37"/>
        <v>42</v>
      </c>
      <c r="R97" s="8"/>
      <c r="T97"/>
    </row>
    <row r="98" spans="2:20" ht="23.1" customHeight="1" x14ac:dyDescent="0.25">
      <c r="B98" s="24" t="s">
        <v>138</v>
      </c>
      <c r="C98" s="49">
        <f>'Avg Week Kasangati-Gayaza'!C98+'Avg Week Gayaza-Ksangati'!C98</f>
        <v>12.5</v>
      </c>
      <c r="D98" s="49">
        <f>'Avg Week Kasangati-Gayaza'!D98+'Avg Week Gayaza-Ksangati'!D98</f>
        <v>2</v>
      </c>
      <c r="E98" s="49">
        <f>'Avg Week Kasangati-Gayaza'!E98+'Avg Week Gayaza-Ksangati'!E98</f>
        <v>3</v>
      </c>
      <c r="F98" s="49">
        <f>'Avg Week Kasangati-Gayaza'!F98+'Avg Week Gayaza-Ksangati'!F98</f>
        <v>12</v>
      </c>
      <c r="G98" s="49">
        <f>'Avg Week Kasangati-Gayaza'!G98+'Avg Week Gayaza-Ksangati'!G98</f>
        <v>0.5</v>
      </c>
      <c r="H98" s="49">
        <f>'Avg Week Kasangati-Gayaza'!H98+'Avg Week Gayaza-Ksangati'!H98</f>
        <v>0</v>
      </c>
      <c r="I98" s="49">
        <f>'Avg Week Kasangati-Gayaza'!I98+'Avg Week Gayaza-Ksangati'!I98</f>
        <v>4.5</v>
      </c>
      <c r="J98" s="49">
        <f>'Avg Week Kasangati-Gayaza'!J98+'Avg Week Gayaza-Ksangati'!J98</f>
        <v>1.5</v>
      </c>
      <c r="K98" s="49">
        <f>'Avg Week Kasangati-Gayaza'!K98+'Avg Week Gayaza-Ksangati'!K98</f>
        <v>0</v>
      </c>
      <c r="L98" s="49">
        <f>'Avg Week Kasangati-Gayaza'!L98+'Avg Week Gayaza-Ksangati'!L98</f>
        <v>0</v>
      </c>
      <c r="M98" s="49">
        <f>'Avg Week Kasangati-Gayaza'!M98+'Avg Week Gayaza-Ksangati'!M98</f>
        <v>26.5</v>
      </c>
      <c r="N98" s="49">
        <f>'Avg Week Kasangati-Gayaza'!N98+'Avg Week Gayaza-Ksangati'!N98</f>
        <v>0</v>
      </c>
      <c r="O98" s="15">
        <f t="shared" si="36"/>
        <v>36</v>
      </c>
      <c r="P98" s="15">
        <f t="shared" si="37"/>
        <v>62.5</v>
      </c>
      <c r="R98" s="8"/>
      <c r="T98"/>
    </row>
    <row r="99" spans="2:20" ht="23.1" customHeight="1" x14ac:dyDescent="0.25">
      <c r="B99" s="23" t="s">
        <v>139</v>
      </c>
      <c r="C99" s="49">
        <f>'Avg Week Kasangati-Gayaza'!C99+'Avg Week Gayaza-Ksangati'!C99</f>
        <v>6.5</v>
      </c>
      <c r="D99" s="49">
        <f>'Avg Week Kasangati-Gayaza'!D99+'Avg Week Gayaza-Ksangati'!D99</f>
        <v>1.5</v>
      </c>
      <c r="E99" s="49">
        <f>'Avg Week Kasangati-Gayaza'!E99+'Avg Week Gayaza-Ksangati'!E99</f>
        <v>3</v>
      </c>
      <c r="F99" s="49">
        <f>'Avg Week Kasangati-Gayaza'!F99+'Avg Week Gayaza-Ksangati'!F99</f>
        <v>14.5</v>
      </c>
      <c r="G99" s="49">
        <f>'Avg Week Kasangati-Gayaza'!G99+'Avg Week Gayaza-Ksangati'!G99</f>
        <v>1</v>
      </c>
      <c r="H99" s="49">
        <f>'Avg Week Kasangati-Gayaza'!H99+'Avg Week Gayaza-Ksangati'!H99</f>
        <v>0</v>
      </c>
      <c r="I99" s="49">
        <f>'Avg Week Kasangati-Gayaza'!I99+'Avg Week Gayaza-Ksangati'!I99</f>
        <v>5</v>
      </c>
      <c r="J99" s="49">
        <f>'Avg Week Kasangati-Gayaza'!J99+'Avg Week Gayaza-Ksangati'!J99</f>
        <v>3</v>
      </c>
      <c r="K99" s="49">
        <f>'Avg Week Kasangati-Gayaza'!K99+'Avg Week Gayaza-Ksangati'!K99</f>
        <v>1.5</v>
      </c>
      <c r="L99" s="49">
        <f>'Avg Week Kasangati-Gayaza'!L99+'Avg Week Gayaza-Ksangati'!L99</f>
        <v>1</v>
      </c>
      <c r="M99" s="49">
        <f>'Avg Week Kasangati-Gayaza'!M99+'Avg Week Gayaza-Ksangati'!M99</f>
        <v>22</v>
      </c>
      <c r="N99" s="49">
        <f>'Avg Week Kasangati-Gayaza'!N99+'Avg Week Gayaza-Ksangati'!N99</f>
        <v>0</v>
      </c>
      <c r="O99" s="15">
        <f t="shared" si="36"/>
        <v>37</v>
      </c>
      <c r="P99" s="15">
        <f t="shared" si="37"/>
        <v>59</v>
      </c>
      <c r="R99" s="8"/>
      <c r="T99"/>
    </row>
    <row r="100" spans="2:20" ht="23.1" customHeight="1" x14ac:dyDescent="0.25">
      <c r="B100" s="25" t="s">
        <v>140</v>
      </c>
      <c r="C100" s="49">
        <f>'Avg Week Kasangati-Gayaza'!C100+'Avg Week Gayaza-Ksangati'!C100</f>
        <v>21</v>
      </c>
      <c r="D100" s="49">
        <f>'Avg Week Kasangati-Gayaza'!D100+'Avg Week Gayaza-Ksangati'!D100</f>
        <v>3</v>
      </c>
      <c r="E100" s="49">
        <f>'Avg Week Kasangati-Gayaza'!E100+'Avg Week Gayaza-Ksangati'!E100</f>
        <v>3.5</v>
      </c>
      <c r="F100" s="49">
        <f>'Avg Week Kasangati-Gayaza'!F100+'Avg Week Gayaza-Ksangati'!F100</f>
        <v>18</v>
      </c>
      <c r="G100" s="49">
        <f>'Avg Week Kasangati-Gayaza'!G100+'Avg Week Gayaza-Ksangati'!G100</f>
        <v>0</v>
      </c>
      <c r="H100" s="49">
        <f>'Avg Week Kasangati-Gayaza'!H100+'Avg Week Gayaza-Ksangati'!H100</f>
        <v>0</v>
      </c>
      <c r="I100" s="49">
        <f>'Avg Week Kasangati-Gayaza'!I100+'Avg Week Gayaza-Ksangati'!I100</f>
        <v>7.5</v>
      </c>
      <c r="J100" s="49">
        <f>'Avg Week Kasangati-Gayaza'!J100+'Avg Week Gayaza-Ksangati'!J100</f>
        <v>2</v>
      </c>
      <c r="K100" s="49">
        <f>'Avg Week Kasangati-Gayaza'!K100+'Avg Week Gayaza-Ksangati'!K100</f>
        <v>1.5</v>
      </c>
      <c r="L100" s="49">
        <f>'Avg Week Kasangati-Gayaza'!L100+'Avg Week Gayaza-Ksangati'!L100</f>
        <v>1</v>
      </c>
      <c r="M100" s="49">
        <f>'Avg Week Kasangati-Gayaza'!M100+'Avg Week Gayaza-Ksangati'!M100</f>
        <v>30.5</v>
      </c>
      <c r="N100" s="49">
        <f>'Avg Week Kasangati-Gayaza'!N100+'Avg Week Gayaza-Ksangati'!N100</f>
        <v>0</v>
      </c>
      <c r="O100" s="15">
        <f t="shared" si="36"/>
        <v>57.5</v>
      </c>
      <c r="P100" s="15">
        <f t="shared" si="37"/>
        <v>88</v>
      </c>
      <c r="R100" s="8"/>
      <c r="T100"/>
    </row>
    <row r="101" spans="2:20" ht="23.1" customHeight="1" x14ac:dyDescent="0.25">
      <c r="B101" s="23" t="s">
        <v>141</v>
      </c>
      <c r="C101" s="49">
        <f>'Avg Week Kasangati-Gayaza'!C101+'Avg Week Gayaza-Ksangati'!C101</f>
        <v>33.5</v>
      </c>
      <c r="D101" s="49">
        <f>'Avg Week Kasangati-Gayaza'!D101+'Avg Week Gayaza-Ksangati'!D101</f>
        <v>3</v>
      </c>
      <c r="E101" s="49">
        <f>'Avg Week Kasangati-Gayaza'!E101+'Avg Week Gayaza-Ksangati'!E101</f>
        <v>4.5</v>
      </c>
      <c r="F101" s="49">
        <f>'Avg Week Kasangati-Gayaza'!F101+'Avg Week Gayaza-Ksangati'!F101</f>
        <v>36</v>
      </c>
      <c r="G101" s="49">
        <f>'Avg Week Kasangati-Gayaza'!G101+'Avg Week Gayaza-Ksangati'!G101</f>
        <v>1.5</v>
      </c>
      <c r="H101" s="49">
        <f>'Avg Week Kasangati-Gayaza'!H101+'Avg Week Gayaza-Ksangati'!H101</f>
        <v>0.5</v>
      </c>
      <c r="I101" s="49">
        <f>'Avg Week Kasangati-Gayaza'!I101+'Avg Week Gayaza-Ksangati'!I101</f>
        <v>7</v>
      </c>
      <c r="J101" s="49">
        <f>'Avg Week Kasangati-Gayaza'!J101+'Avg Week Gayaza-Ksangati'!J101</f>
        <v>0.5</v>
      </c>
      <c r="K101" s="49">
        <f>'Avg Week Kasangati-Gayaza'!K101+'Avg Week Gayaza-Ksangati'!K101</f>
        <v>1</v>
      </c>
      <c r="L101" s="49">
        <f>'Avg Week Kasangati-Gayaza'!L101+'Avg Week Gayaza-Ksangati'!L101</f>
        <v>1</v>
      </c>
      <c r="M101" s="49">
        <f>'Avg Week Kasangati-Gayaza'!M101+'Avg Week Gayaza-Ksangati'!M101</f>
        <v>30.5</v>
      </c>
      <c r="N101" s="49">
        <f>'Avg Week Kasangati-Gayaza'!N101+'Avg Week Gayaza-Ksangati'!N101</f>
        <v>0</v>
      </c>
      <c r="O101" s="15">
        <f t="shared" si="36"/>
        <v>88.5</v>
      </c>
      <c r="P101" s="15">
        <f t="shared" si="37"/>
        <v>119</v>
      </c>
      <c r="R101" s="8"/>
      <c r="T101"/>
    </row>
    <row r="102" spans="2:20" ht="23.1" customHeight="1" x14ac:dyDescent="0.25">
      <c r="B102" s="24" t="s">
        <v>142</v>
      </c>
      <c r="C102" s="49">
        <f>'Avg Week Kasangati-Gayaza'!C102+'Avg Week Gayaza-Ksangati'!C102</f>
        <v>53</v>
      </c>
      <c r="D102" s="49">
        <f>'Avg Week Kasangati-Gayaza'!D102+'Avg Week Gayaza-Ksangati'!D102</f>
        <v>8</v>
      </c>
      <c r="E102" s="49">
        <f>'Avg Week Kasangati-Gayaza'!E102+'Avg Week Gayaza-Ksangati'!E102</f>
        <v>6</v>
      </c>
      <c r="F102" s="49">
        <f>'Avg Week Kasangati-Gayaza'!F102+'Avg Week Gayaza-Ksangati'!F102</f>
        <v>42</v>
      </c>
      <c r="G102" s="49">
        <f>'Avg Week Kasangati-Gayaza'!G102+'Avg Week Gayaza-Ksangati'!G102</f>
        <v>1</v>
      </c>
      <c r="H102" s="49">
        <f>'Avg Week Kasangati-Gayaza'!H102+'Avg Week Gayaza-Ksangati'!H102</f>
        <v>0</v>
      </c>
      <c r="I102" s="49">
        <f>'Avg Week Kasangati-Gayaza'!I102+'Avg Week Gayaza-Ksangati'!I102</f>
        <v>5.5</v>
      </c>
      <c r="J102" s="49">
        <f>'Avg Week Kasangati-Gayaza'!J102+'Avg Week Gayaza-Ksangati'!J102</f>
        <v>2</v>
      </c>
      <c r="K102" s="49">
        <f>'Avg Week Kasangati-Gayaza'!K102+'Avg Week Gayaza-Ksangati'!K102</f>
        <v>2</v>
      </c>
      <c r="L102" s="49">
        <f>'Avg Week Kasangati-Gayaza'!L102+'Avg Week Gayaza-Ksangati'!L102</f>
        <v>1.5</v>
      </c>
      <c r="M102" s="49">
        <f>'Avg Week Kasangati-Gayaza'!M102+'Avg Week Gayaza-Ksangati'!M102</f>
        <v>32.5</v>
      </c>
      <c r="N102" s="49">
        <f>'Avg Week Kasangati-Gayaza'!N102+'Avg Week Gayaza-Ksangati'!N102</f>
        <v>0</v>
      </c>
      <c r="O102" s="15">
        <f t="shared" si="36"/>
        <v>121</v>
      </c>
      <c r="P102" s="15">
        <f t="shared" si="37"/>
        <v>153.5</v>
      </c>
      <c r="R102" s="8"/>
      <c r="T102"/>
    </row>
    <row r="103" spans="2:20" ht="23.1" customHeight="1" x14ac:dyDescent="0.25">
      <c r="B103" s="23" t="s">
        <v>143</v>
      </c>
      <c r="C103" s="49">
        <f>'Avg Week Kasangati-Gayaza'!C103+'Avg Week Gayaza-Ksangati'!C103</f>
        <v>71</v>
      </c>
      <c r="D103" s="49">
        <f>'Avg Week Kasangati-Gayaza'!D103+'Avg Week Gayaza-Ksangati'!D103</f>
        <v>6</v>
      </c>
      <c r="E103" s="49">
        <f>'Avg Week Kasangati-Gayaza'!E103+'Avg Week Gayaza-Ksangati'!E103</f>
        <v>5.5</v>
      </c>
      <c r="F103" s="49">
        <f>'Avg Week Kasangati-Gayaza'!F103+'Avg Week Gayaza-Ksangati'!F103</f>
        <v>39</v>
      </c>
      <c r="G103" s="49">
        <f>'Avg Week Kasangati-Gayaza'!G103+'Avg Week Gayaza-Ksangati'!G103</f>
        <v>0.5</v>
      </c>
      <c r="H103" s="49">
        <f>'Avg Week Kasangati-Gayaza'!H103+'Avg Week Gayaza-Ksangati'!H103</f>
        <v>0</v>
      </c>
      <c r="I103" s="49">
        <f>'Avg Week Kasangati-Gayaza'!I103+'Avg Week Gayaza-Ksangati'!I103</f>
        <v>13</v>
      </c>
      <c r="J103" s="49">
        <f>'Avg Week Kasangati-Gayaza'!J103+'Avg Week Gayaza-Ksangati'!J103</f>
        <v>4.5</v>
      </c>
      <c r="K103" s="49">
        <f>'Avg Week Kasangati-Gayaza'!K103+'Avg Week Gayaza-Ksangati'!K103</f>
        <v>0.5</v>
      </c>
      <c r="L103" s="49">
        <f>'Avg Week Kasangati-Gayaza'!L103+'Avg Week Gayaza-Ksangati'!L103</f>
        <v>1.5</v>
      </c>
      <c r="M103" s="49">
        <f>'Avg Week Kasangati-Gayaza'!M103+'Avg Week Gayaza-Ksangati'!M103</f>
        <v>47.5</v>
      </c>
      <c r="N103" s="49">
        <f>'Avg Week Kasangati-Gayaza'!N103+'Avg Week Gayaza-Ksangati'!N103</f>
        <v>0</v>
      </c>
      <c r="O103" s="15">
        <f t="shared" si="36"/>
        <v>141.5</v>
      </c>
      <c r="P103" s="15">
        <f t="shared" si="37"/>
        <v>189</v>
      </c>
      <c r="R103" s="8"/>
      <c r="T103"/>
    </row>
    <row r="104" spans="2:20" ht="23.1" customHeight="1" x14ac:dyDescent="0.25">
      <c r="B104" s="25" t="s">
        <v>144</v>
      </c>
      <c r="C104" s="49">
        <f>'Avg Week Kasangati-Gayaza'!C104+'Avg Week Gayaza-Ksangati'!C104</f>
        <v>93.5</v>
      </c>
      <c r="D104" s="49">
        <f>'Avg Week Kasangati-Gayaza'!D104+'Avg Week Gayaza-Ksangati'!D104</f>
        <v>12</v>
      </c>
      <c r="E104" s="49">
        <f>'Avg Week Kasangati-Gayaza'!E104+'Avg Week Gayaza-Ksangati'!E104</f>
        <v>5</v>
      </c>
      <c r="F104" s="49">
        <f>'Avg Week Kasangati-Gayaza'!F104+'Avg Week Gayaza-Ksangati'!F104</f>
        <v>54.5</v>
      </c>
      <c r="G104" s="49">
        <f>'Avg Week Kasangati-Gayaza'!G104+'Avg Week Gayaza-Ksangati'!G104</f>
        <v>1</v>
      </c>
      <c r="H104" s="49">
        <f>'Avg Week Kasangati-Gayaza'!H104+'Avg Week Gayaza-Ksangati'!H104</f>
        <v>0</v>
      </c>
      <c r="I104" s="49">
        <f>'Avg Week Kasangati-Gayaza'!I104+'Avg Week Gayaza-Ksangati'!I104</f>
        <v>14</v>
      </c>
      <c r="J104" s="49">
        <f>'Avg Week Kasangati-Gayaza'!J104+'Avg Week Gayaza-Ksangati'!J104</f>
        <v>2</v>
      </c>
      <c r="K104" s="49">
        <f>'Avg Week Kasangati-Gayaza'!K104+'Avg Week Gayaza-Ksangati'!K104</f>
        <v>1.5</v>
      </c>
      <c r="L104" s="49">
        <f>'Avg Week Kasangati-Gayaza'!L104+'Avg Week Gayaza-Ksangati'!L104</f>
        <v>2</v>
      </c>
      <c r="M104" s="49">
        <f>'Avg Week Kasangati-Gayaza'!M104+'Avg Week Gayaza-Ksangati'!M104</f>
        <v>77</v>
      </c>
      <c r="N104" s="49">
        <f>'Avg Week Kasangati-Gayaza'!N104+'Avg Week Gayaza-Ksangati'!N104</f>
        <v>0</v>
      </c>
      <c r="O104" s="15">
        <f t="shared" si="36"/>
        <v>185.5</v>
      </c>
      <c r="P104" s="15">
        <f t="shared" si="37"/>
        <v>262.5</v>
      </c>
      <c r="R104" s="8"/>
      <c r="T104"/>
    </row>
    <row r="105" spans="2:20" ht="23.1" customHeight="1" x14ac:dyDescent="0.25">
      <c r="B105" s="23" t="s">
        <v>145</v>
      </c>
      <c r="C105" s="49">
        <f>'Avg Week Kasangati-Gayaza'!C105+'Avg Week Gayaza-Ksangati'!C105</f>
        <v>86</v>
      </c>
      <c r="D105" s="49">
        <f>'Avg Week Kasangati-Gayaza'!D105+'Avg Week Gayaza-Ksangati'!D105</f>
        <v>8.5</v>
      </c>
      <c r="E105" s="49">
        <f>'Avg Week Kasangati-Gayaza'!E105+'Avg Week Gayaza-Ksangati'!E105</f>
        <v>6</v>
      </c>
      <c r="F105" s="49">
        <f>'Avg Week Kasangati-Gayaza'!F105+'Avg Week Gayaza-Ksangati'!F105</f>
        <v>60.5</v>
      </c>
      <c r="G105" s="49">
        <f>'Avg Week Kasangati-Gayaza'!G105+'Avg Week Gayaza-Ksangati'!G105</f>
        <v>0.5</v>
      </c>
      <c r="H105" s="49">
        <f>'Avg Week Kasangati-Gayaza'!H105+'Avg Week Gayaza-Ksangati'!H105</f>
        <v>0</v>
      </c>
      <c r="I105" s="49">
        <f>'Avg Week Kasangati-Gayaza'!I105+'Avg Week Gayaza-Ksangati'!I105</f>
        <v>8</v>
      </c>
      <c r="J105" s="49">
        <f>'Avg Week Kasangati-Gayaza'!J105+'Avg Week Gayaza-Ksangati'!J105</f>
        <v>4.5</v>
      </c>
      <c r="K105" s="49">
        <f>'Avg Week Kasangati-Gayaza'!K105+'Avg Week Gayaza-Ksangati'!K105</f>
        <v>1.5</v>
      </c>
      <c r="L105" s="49">
        <f>'Avg Week Kasangati-Gayaza'!L105+'Avg Week Gayaza-Ksangati'!L105</f>
        <v>1.5</v>
      </c>
      <c r="M105" s="49">
        <f>'Avg Week Kasangati-Gayaza'!M105+'Avg Week Gayaza-Ksangati'!M105</f>
        <v>89</v>
      </c>
      <c r="N105" s="49">
        <f>'Avg Week Kasangati-Gayaza'!N105+'Avg Week Gayaza-Ksangati'!N105</f>
        <v>0</v>
      </c>
      <c r="O105" s="15">
        <f t="shared" si="36"/>
        <v>177</v>
      </c>
      <c r="P105" s="15">
        <f t="shared" si="37"/>
        <v>266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7606.5714285714284</v>
      </c>
      <c r="D106" s="16">
        <f t="shared" ref="D106:P106" si="38">SUM(D10:D105)</f>
        <v>1546.5892857142858</v>
      </c>
      <c r="E106" s="16">
        <f t="shared" si="38"/>
        <v>964.51785714285711</v>
      </c>
      <c r="F106" s="16">
        <f t="shared" si="38"/>
        <v>6001.2321428571413</v>
      </c>
      <c r="G106" s="16">
        <f t="shared" si="38"/>
        <v>152.83928571428575</v>
      </c>
      <c r="H106" s="16">
        <f t="shared" si="38"/>
        <v>55.357142857142854</v>
      </c>
      <c r="I106" s="16">
        <f t="shared" si="38"/>
        <v>1289.6250000000005</v>
      </c>
      <c r="J106" s="16">
        <f t="shared" si="38"/>
        <v>345.42857142857144</v>
      </c>
      <c r="K106" s="16">
        <f t="shared" si="38"/>
        <v>270.03571428571433</v>
      </c>
      <c r="L106" s="16">
        <f t="shared" si="38"/>
        <v>55.910714285714278</v>
      </c>
      <c r="M106" s="16">
        <f t="shared" si="38"/>
        <v>13271.714285714286</v>
      </c>
      <c r="N106" s="16">
        <f t="shared" si="38"/>
        <v>1.5892857142857142</v>
      </c>
      <c r="O106" s="16">
        <f t="shared" si="38"/>
        <v>18289.696428571435</v>
      </c>
      <c r="P106" s="16">
        <f t="shared" si="38"/>
        <v>31561.410714285717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0.2410086005797088</v>
      </c>
      <c r="D107" s="43">
        <f t="shared" si="39"/>
        <v>4.9002539833057884E-2</v>
      </c>
      <c r="E107" s="43">
        <f t="shared" si="39"/>
        <v>3.0560036301111378E-2</v>
      </c>
      <c r="F107" s="43">
        <f t="shared" si="39"/>
        <v>0.19014461036561933</v>
      </c>
      <c r="G107" s="43">
        <f t="shared" si="39"/>
        <v>4.8425999426288556E-3</v>
      </c>
      <c r="H107" s="43">
        <f t="shared" si="39"/>
        <v>1.7539502070509927E-3</v>
      </c>
      <c r="I107" s="43">
        <f t="shared" si="39"/>
        <v>4.0860816130005063E-2</v>
      </c>
      <c r="J107" s="43">
        <f t="shared" si="39"/>
        <v>1.0944649291998195E-2</v>
      </c>
      <c r="K107" s="43">
        <f t="shared" si="39"/>
        <v>8.5558822680726187E-3</v>
      </c>
      <c r="L107" s="43">
        <f t="shared" si="39"/>
        <v>1.7714897091215024E-3</v>
      </c>
      <c r="M107" s="43">
        <f t="shared" si="39"/>
        <v>0.42050447002697122</v>
      </c>
      <c r="N107" s="43">
        <f t="shared" si="39"/>
        <v>5.0355344654044631E-5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0.4158938043765858</v>
      </c>
      <c r="D108" s="44">
        <f t="shared" ref="D108:N108" si="40">D106/$O$106</f>
        <v>8.4560686491125442E-2</v>
      </c>
      <c r="E108" s="44">
        <f t="shared" si="40"/>
        <v>5.2735585902679377E-2</v>
      </c>
      <c r="F108" s="44">
        <f t="shared" si="40"/>
        <v>0.32812092679035698</v>
      </c>
      <c r="G108" s="44">
        <f t="shared" si="40"/>
        <v>8.3565785966532666E-3</v>
      </c>
      <c r="H108" s="44">
        <f t="shared" si="40"/>
        <v>3.0266846184864027E-3</v>
      </c>
      <c r="I108" s="44">
        <f t="shared" si="40"/>
        <v>7.0511011762086961E-2</v>
      </c>
      <c r="J108" s="44">
        <f t="shared" si="40"/>
        <v>1.8886512019355154E-2</v>
      </c>
      <c r="K108" s="44">
        <f t="shared" si="40"/>
        <v>1.4764362838952062E-2</v>
      </c>
      <c r="L108" s="44">
        <f t="shared" si="40"/>
        <v>3.0569514646712663E-3</v>
      </c>
      <c r="M108" s="44"/>
      <c r="N108" s="44">
        <f t="shared" si="40"/>
        <v>8.6895139046867689E-5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23.09. KASANGATI-GAYAZA</vt:lpstr>
      <vt:lpstr>23.09.Gayaza-Kasangati</vt:lpstr>
      <vt:lpstr>24.09 Kasangati-Gayaza</vt:lpstr>
      <vt:lpstr>24.09 Gayaza-Kasangati</vt:lpstr>
      <vt:lpstr>25.09 Kasangati-Gayaza</vt:lpstr>
      <vt:lpstr>25.09 Gayaza-Kasangati</vt:lpstr>
      <vt:lpstr>26.09 Kasangati-Gayaza-24h</vt:lpstr>
      <vt:lpstr>26.09 Gayaza-Kasangati-24h</vt:lpstr>
      <vt:lpstr>27.09 Kasangati-Gayaza</vt:lpstr>
      <vt:lpstr>27.09 Gayaza-Kasangati</vt:lpstr>
      <vt:lpstr>28.09 Kasangati-Gayaza-24h</vt:lpstr>
      <vt:lpstr>28.09 Gayaza-Kasangati-24h</vt:lpstr>
      <vt:lpstr>29.09 Kasangati-Gayaza</vt:lpstr>
      <vt:lpstr>29.09 Gayaza-Kasangati</vt:lpstr>
      <vt:lpstr>Avg Week Kasangati-Gayaza</vt:lpstr>
      <vt:lpstr>Avg Week Gayaza-Ksangati</vt:lpstr>
      <vt:lpstr>Avg Week Kasangati-Gayaza-2Dir</vt:lpstr>
      <vt:lpstr>'23.09. KASANGATI-GAYAZA'!Print_Area</vt:lpstr>
      <vt:lpstr>'23.09.Gayaza-Kasangati'!Print_Area</vt:lpstr>
      <vt:lpstr>'24.09 Gayaza-Kasangati'!Print_Area</vt:lpstr>
      <vt:lpstr>'24.09 Kasangati-Gayaza'!Print_Area</vt:lpstr>
      <vt:lpstr>'25.09 Gayaza-Kasangati'!Print_Area</vt:lpstr>
      <vt:lpstr>'25.09 Kasangati-Gayaza'!Print_Area</vt:lpstr>
      <vt:lpstr>'26.09 Gayaza-Kasangati-24h'!Print_Area</vt:lpstr>
      <vt:lpstr>'26.09 Kasangati-Gayaza-24h'!Print_Area</vt:lpstr>
      <vt:lpstr>'27.09 Gayaza-Kasangati'!Print_Area</vt:lpstr>
      <vt:lpstr>'27.09 Kasangati-Gayaza'!Print_Area</vt:lpstr>
      <vt:lpstr>'28.09 Gayaza-Kasangati-24h'!Print_Area</vt:lpstr>
      <vt:lpstr>'28.09 Kasangati-Gayaza-24h'!Print_Area</vt:lpstr>
      <vt:lpstr>'29.09 Gayaza-Kasangati'!Print_Area</vt:lpstr>
      <vt:lpstr>'29.09 Kasangati-Gayaza'!Print_Area</vt:lpstr>
      <vt:lpstr>'Avg Week Gayaza-Ksangati'!Print_Area</vt:lpstr>
      <vt:lpstr>'Avg Week Kasangati-Gayaza'!Print_Area</vt:lpstr>
      <vt:lpstr>'Avg Week Kasangati-Gayaza-2Dir'!Print_Area</vt:lpstr>
      <vt:lpstr>'23.09. KASANGATI-GAYAZA'!Print_Titles</vt:lpstr>
      <vt:lpstr>'23.09.Gayaza-Kasangati'!Print_Titles</vt:lpstr>
      <vt:lpstr>'24.09 Gayaza-Kasangati'!Print_Titles</vt:lpstr>
      <vt:lpstr>'24.09 Kasangati-Gayaza'!Print_Titles</vt:lpstr>
      <vt:lpstr>'25.09 Gayaza-Kasangati'!Print_Titles</vt:lpstr>
      <vt:lpstr>'25.09 Kasangati-Gayaza'!Print_Titles</vt:lpstr>
      <vt:lpstr>'26.09 Gayaza-Kasangati-24h'!Print_Titles</vt:lpstr>
      <vt:lpstr>'26.09 Kasangati-Gayaza-24h'!Print_Titles</vt:lpstr>
      <vt:lpstr>'27.09 Gayaza-Kasangati'!Print_Titles</vt:lpstr>
      <vt:lpstr>'27.09 Kasangati-Gayaza'!Print_Titles</vt:lpstr>
      <vt:lpstr>'28.09 Gayaza-Kasangati-24h'!Print_Titles</vt:lpstr>
      <vt:lpstr>'28.09 Kasangati-Gayaza-24h'!Print_Titles</vt:lpstr>
      <vt:lpstr>'29.09 Gayaza-Kasangati'!Print_Titles</vt:lpstr>
      <vt:lpstr>'29.09 Kasangati-Gayaza'!Print_Titles</vt:lpstr>
      <vt:lpstr>'Avg Week Gayaza-Ksangati'!Print_Titles</vt:lpstr>
      <vt:lpstr>'Avg Week Kasangati-Gayaza'!Print_Titles</vt:lpstr>
      <vt:lpstr>'Avg Week Kasangati-Gayaza-2Dir'!Print_Titles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2020-01-16T11:50:31Z</dcterms:modified>
</cp:coreProperties>
</file>