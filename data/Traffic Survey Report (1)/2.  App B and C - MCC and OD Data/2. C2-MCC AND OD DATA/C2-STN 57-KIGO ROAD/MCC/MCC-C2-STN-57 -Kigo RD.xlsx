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8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2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3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drawings/drawing14.xml" ContentType="application/vnd.openxmlformats-officedocument.drawing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15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drawings/drawing16.xml" ContentType="application/vnd.openxmlformats-officedocument.drawing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drawings/drawing17.xml" ContentType="application/vnd.openxmlformats-officedocument.drawing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2 Analysis Complete\C2-STN 57-KIGO ROAD\MCC\"/>
    </mc:Choice>
  </mc:AlternateContent>
  <xr:revisionPtr revIDLastSave="0" documentId="13_ncr:1_{26922C69-81E4-4087-A54B-40FFBA2AD45C}" xr6:coauthVersionLast="45" xr6:coauthVersionMax="45" xr10:uidLastSave="{00000000-0000-0000-0000-000000000000}"/>
  <bookViews>
    <workbookView xWindow="-120" yWindow="-120" windowWidth="20730" windowHeight="11160" tabRatio="911" firstSheet="12" activeTab="16" xr2:uid="{00000000-000D-0000-FFFF-FFFF00000000}"/>
  </bookViews>
  <sheets>
    <sheet name="23.09.19 -Munyonyo-Kigo" sheetId="93" r:id="rId1"/>
    <sheet name="23.09.19 -Kigo-Munyonyo" sheetId="94" r:id="rId2"/>
    <sheet name="24.09 Munyonyo-Kigo" sheetId="95" r:id="rId3"/>
    <sheet name="24.09 Kigo-Munyonyo" sheetId="96" r:id="rId4"/>
    <sheet name="25.09 Munyonyo-Kigo" sheetId="97" r:id="rId5"/>
    <sheet name="25.09 Kigo-Munyonyo" sheetId="98" r:id="rId6"/>
    <sheet name="26.09 Munyonyo-Kigo-24h" sheetId="101" r:id="rId7"/>
    <sheet name="26.09 Kigo-Munyonyo-24h" sheetId="109" r:id="rId8"/>
    <sheet name="27.09 Munyonyo-LWEZA" sheetId="99" r:id="rId9"/>
    <sheet name="27.09 LWEZA-Munyonyo" sheetId="100" r:id="rId10"/>
    <sheet name="28.09 Munyonyo-Kigo-24h" sheetId="105" r:id="rId11"/>
    <sheet name="28.09 Kigo-Munyonyo-24h" sheetId="110" r:id="rId12"/>
    <sheet name="29.09 Munyonyo-Kigo" sheetId="103" r:id="rId13"/>
    <sheet name="29.09 Kigo-Munyonyo" sheetId="104" r:id="rId14"/>
    <sheet name="Avg Week Munyonyo-Kigo" sheetId="107" r:id="rId15"/>
    <sheet name="Avg Week Kigo-Munyonyo" sheetId="108" r:id="rId16"/>
    <sheet name="Avg Week Munyonyo-Kigo-2Dir" sheetId="111" r:id="rId17"/>
  </sheets>
  <externalReferences>
    <externalReference r:id="rId18"/>
    <externalReference r:id="rId19"/>
    <externalReference r:id="rId20"/>
  </externalReferences>
  <definedNames>
    <definedName name="_xlnm.Print_Area" localSheetId="1">'23.09.19 -Kigo-Munyonyo'!$A$1:$AF$60</definedName>
    <definedName name="_xlnm.Print_Area" localSheetId="0">'23.09.19 -Munyonyo-Kigo'!$A$1:$AF$60</definedName>
    <definedName name="_xlnm.Print_Area" localSheetId="3">'24.09 Kigo-Munyonyo'!$A$1:$AF$60</definedName>
    <definedName name="_xlnm.Print_Area" localSheetId="2">'24.09 Munyonyo-Kigo'!$A$1:$AF$60</definedName>
    <definedName name="_xlnm.Print_Area" localSheetId="5">'25.09 Kigo-Munyonyo'!$A$1:$AF$60</definedName>
    <definedName name="_xlnm.Print_Area" localSheetId="4">'25.09 Munyonyo-Kigo'!$A$1:$AF$60</definedName>
    <definedName name="_xlnm.Print_Area" localSheetId="7">'26.09 Kigo-Munyonyo-24h'!$A$1:$AF$108</definedName>
    <definedName name="_xlnm.Print_Area" localSheetId="6">'26.09 Munyonyo-Kigo-24h'!$A$1:$AF$108</definedName>
    <definedName name="_xlnm.Print_Area" localSheetId="9">'27.09 LWEZA-Munyonyo'!$A$1:$AF$60</definedName>
    <definedName name="_xlnm.Print_Area" localSheetId="8">'27.09 Munyonyo-LWEZA'!$A$1:$AF$60</definedName>
    <definedName name="_xlnm.Print_Area" localSheetId="11">'28.09 Kigo-Munyonyo-24h'!$A$1:$AF$108</definedName>
    <definedName name="_xlnm.Print_Area" localSheetId="10">'28.09 Munyonyo-Kigo-24h'!$A$1:$AF$108</definedName>
    <definedName name="_xlnm.Print_Area" localSheetId="13">'29.09 Kigo-Munyonyo'!$A$1:$AF$60</definedName>
    <definedName name="_xlnm.Print_Area" localSheetId="12">'29.09 Munyonyo-Kigo'!$A$1:$AF$60</definedName>
    <definedName name="_xlnm.Print_Area" localSheetId="15">'Avg Week Kigo-Munyonyo'!$A$1:$AF$108</definedName>
    <definedName name="_xlnm.Print_Area" localSheetId="14">'Avg Week Munyonyo-Kigo'!$A$1:$AF$108</definedName>
    <definedName name="_xlnm.Print_Area" localSheetId="16">'Avg Week Munyonyo-Kigo-2Dir'!$A$1:$AF$108</definedName>
    <definedName name="_xlnm.Print_Titles" localSheetId="1">'23.09.19 -Kigo-Munyonyo'!$1:$8</definedName>
    <definedName name="_xlnm.Print_Titles" localSheetId="0">'23.09.19 -Munyonyo-Kigo'!$1:$8</definedName>
    <definedName name="_xlnm.Print_Titles" localSheetId="3">'24.09 Kigo-Munyonyo'!$1:$8</definedName>
    <definedName name="_xlnm.Print_Titles" localSheetId="2">'24.09 Munyonyo-Kigo'!$1:$8</definedName>
    <definedName name="_xlnm.Print_Titles" localSheetId="5">'25.09 Kigo-Munyonyo'!$1:$8</definedName>
    <definedName name="_xlnm.Print_Titles" localSheetId="4">'25.09 Munyonyo-Kigo'!$1:$8</definedName>
    <definedName name="_xlnm.Print_Titles" localSheetId="7">'26.09 Kigo-Munyonyo-24h'!$1:$8</definedName>
    <definedName name="_xlnm.Print_Titles" localSheetId="6">'26.09 Munyonyo-Kigo-24h'!$1:$8</definedName>
    <definedName name="_xlnm.Print_Titles" localSheetId="9">'27.09 LWEZA-Munyonyo'!$1:$8</definedName>
    <definedName name="_xlnm.Print_Titles" localSheetId="8">'27.09 Munyonyo-LWEZA'!$1:$8</definedName>
    <definedName name="_xlnm.Print_Titles" localSheetId="11">'28.09 Kigo-Munyonyo-24h'!$1:$8</definedName>
    <definedName name="_xlnm.Print_Titles" localSheetId="10">'28.09 Munyonyo-Kigo-24h'!$1:$8</definedName>
    <definedName name="_xlnm.Print_Titles" localSheetId="13">'29.09 Kigo-Munyonyo'!$1:$8</definedName>
    <definedName name="_xlnm.Print_Titles" localSheetId="12">'29.09 Munyonyo-Kigo'!$1:$8</definedName>
    <definedName name="_xlnm.Print_Titles" localSheetId="15">'Avg Week Kigo-Munyonyo'!$1:$8</definedName>
    <definedName name="_xlnm.Print_Titles" localSheetId="14">'Avg Week Munyonyo-Kigo'!$1:$8</definedName>
    <definedName name="_xlnm.Print_Titles" localSheetId="16">'Avg Week Munyonyo-Kigo-2Dir'!$1:$8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30" i="104" l="1"/>
  <c r="P30" i="104"/>
  <c r="O31" i="104"/>
  <c r="P31" i="104"/>
  <c r="O32" i="104"/>
  <c r="P32" i="104"/>
  <c r="O33" i="104"/>
  <c r="P33" i="104"/>
  <c r="O34" i="104"/>
  <c r="P34" i="104"/>
  <c r="O35" i="104"/>
  <c r="P35" i="104"/>
  <c r="O36" i="104"/>
  <c r="P36" i="104"/>
  <c r="V31" i="108"/>
  <c r="AD27" i="108"/>
  <c r="V23" i="108"/>
  <c r="P87" i="107"/>
  <c r="O71" i="107"/>
  <c r="D58" i="107"/>
  <c r="E58" i="107"/>
  <c r="F58" i="107"/>
  <c r="G58" i="107"/>
  <c r="W22" i="107" s="1"/>
  <c r="H58" i="107"/>
  <c r="I58" i="107"/>
  <c r="Y22" i="107" s="1"/>
  <c r="J58" i="107"/>
  <c r="K58" i="107"/>
  <c r="L58" i="107"/>
  <c r="M58" i="107"/>
  <c r="N58" i="107"/>
  <c r="N58" i="111" s="1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P61" i="107" s="1"/>
  <c r="N61" i="107"/>
  <c r="D62" i="107"/>
  <c r="E62" i="107"/>
  <c r="F62" i="107"/>
  <c r="G62" i="107"/>
  <c r="H62" i="107"/>
  <c r="I62" i="107"/>
  <c r="Y23" i="107" s="1"/>
  <c r="J62" i="107"/>
  <c r="K62" i="107"/>
  <c r="AA23" i="107" s="1"/>
  <c r="L62" i="107"/>
  <c r="M62" i="107"/>
  <c r="N62" i="107"/>
  <c r="D63" i="107"/>
  <c r="E63" i="107"/>
  <c r="F63" i="107"/>
  <c r="G63" i="107"/>
  <c r="H63" i="107"/>
  <c r="O63" i="107" s="1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AA24" i="107" s="1"/>
  <c r="L66" i="107"/>
  <c r="M66" i="107"/>
  <c r="N66" i="107"/>
  <c r="N66" i="111" s="1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U25" i="107" s="1"/>
  <c r="F70" i="107"/>
  <c r="F70" i="111" s="1"/>
  <c r="V25" i="111" s="1"/>
  <c r="G70" i="107"/>
  <c r="H70" i="107"/>
  <c r="I70" i="107"/>
  <c r="Y25" i="107" s="1"/>
  <c r="J70" i="107"/>
  <c r="K70" i="107"/>
  <c r="AA25" i="107" s="1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N72" i="111" s="1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U26" i="107" s="1"/>
  <c r="F74" i="107"/>
  <c r="G74" i="107"/>
  <c r="W26" i="107" s="1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O77" i="107" s="1"/>
  <c r="D78" i="107"/>
  <c r="E78" i="107"/>
  <c r="F78" i="107"/>
  <c r="G78" i="107"/>
  <c r="H78" i="107"/>
  <c r="I78" i="107"/>
  <c r="Y27" i="107" s="1"/>
  <c r="J78" i="107"/>
  <c r="K78" i="107"/>
  <c r="AA27" i="107" s="1"/>
  <c r="L78" i="107"/>
  <c r="M78" i="107"/>
  <c r="N78" i="107"/>
  <c r="D79" i="107"/>
  <c r="E79" i="107"/>
  <c r="F79" i="107"/>
  <c r="G79" i="107"/>
  <c r="H79" i="107"/>
  <c r="O79" i="107" s="1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M80" i="111" s="1"/>
  <c r="N80" i="107"/>
  <c r="N80" i="111" s="1"/>
  <c r="D81" i="107"/>
  <c r="D81" i="111" s="1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U28" i="107" s="1"/>
  <c r="F82" i="107"/>
  <c r="G82" i="107"/>
  <c r="W28" i="107" s="1"/>
  <c r="H82" i="107"/>
  <c r="I82" i="107"/>
  <c r="J82" i="107"/>
  <c r="K82" i="107"/>
  <c r="AA28" i="107" s="1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L83" i="111" s="1"/>
  <c r="M83" i="107"/>
  <c r="N83" i="107"/>
  <c r="N83" i="111" s="1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M85" i="111" s="1"/>
  <c r="N85" i="107"/>
  <c r="N85" i="111" s="1"/>
  <c r="D86" i="107"/>
  <c r="E86" i="107"/>
  <c r="F86" i="107"/>
  <c r="G86" i="107"/>
  <c r="H86" i="107"/>
  <c r="I86" i="107"/>
  <c r="Y29" i="107" s="1"/>
  <c r="J86" i="107"/>
  <c r="K86" i="107"/>
  <c r="AA29" i="107" s="1"/>
  <c r="L86" i="107"/>
  <c r="M86" i="107"/>
  <c r="N86" i="107"/>
  <c r="D87" i="107"/>
  <c r="E87" i="107"/>
  <c r="F87" i="107"/>
  <c r="G87" i="107"/>
  <c r="H87" i="107"/>
  <c r="O87" i="107" s="1"/>
  <c r="I87" i="107"/>
  <c r="J87" i="107"/>
  <c r="J87" i="111" s="1"/>
  <c r="Z29" i="111" s="1"/>
  <c r="K87" i="107"/>
  <c r="L87" i="107"/>
  <c r="M87" i="107"/>
  <c r="M87" i="111" s="1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L89" i="111" s="1"/>
  <c r="M89" i="107"/>
  <c r="N89" i="107"/>
  <c r="D90" i="107"/>
  <c r="E90" i="107"/>
  <c r="U30" i="107" s="1"/>
  <c r="F90" i="107"/>
  <c r="G90" i="107"/>
  <c r="W30" i="107" s="1"/>
  <c r="H90" i="107"/>
  <c r="I90" i="107"/>
  <c r="J90" i="107"/>
  <c r="K90" i="107"/>
  <c r="L90" i="107"/>
  <c r="M90" i="107"/>
  <c r="M90" i="111" s="1"/>
  <c r="N90" i="107"/>
  <c r="D91" i="107"/>
  <c r="D91" i="111" s="1"/>
  <c r="E91" i="107"/>
  <c r="F91" i="107"/>
  <c r="G91" i="107"/>
  <c r="H91" i="107"/>
  <c r="I91" i="107"/>
  <c r="J91" i="107"/>
  <c r="K91" i="107"/>
  <c r="L91" i="107"/>
  <c r="M91" i="107"/>
  <c r="N91" i="107"/>
  <c r="N91" i="111" s="1"/>
  <c r="D92" i="107"/>
  <c r="E92" i="107"/>
  <c r="F92" i="107"/>
  <c r="G92" i="107"/>
  <c r="H92" i="107"/>
  <c r="I92" i="107"/>
  <c r="I92" i="111" s="1"/>
  <c r="J92" i="107"/>
  <c r="K92" i="107"/>
  <c r="K92" i="111" s="1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P93" i="107" s="1"/>
  <c r="N93" i="107"/>
  <c r="N93" i="111" s="1"/>
  <c r="D94" i="107"/>
  <c r="E94" i="107"/>
  <c r="F94" i="107"/>
  <c r="G94" i="107"/>
  <c r="H94" i="107"/>
  <c r="I94" i="107"/>
  <c r="Y31" i="107" s="1"/>
  <c r="J94" i="107"/>
  <c r="K94" i="107"/>
  <c r="AA31" i="107" s="1"/>
  <c r="L94" i="107"/>
  <c r="M94" i="107"/>
  <c r="M94" i="111" s="1"/>
  <c r="N94" i="107"/>
  <c r="D95" i="107"/>
  <c r="E95" i="107"/>
  <c r="F95" i="107"/>
  <c r="G95" i="107"/>
  <c r="H95" i="107"/>
  <c r="P95" i="107" s="1"/>
  <c r="I95" i="107"/>
  <c r="J95" i="107"/>
  <c r="J95" i="111" s="1"/>
  <c r="K95" i="107"/>
  <c r="L95" i="107"/>
  <c r="M95" i="107"/>
  <c r="M95" i="111" s="1"/>
  <c r="N95" i="107"/>
  <c r="D96" i="107"/>
  <c r="E96" i="107"/>
  <c r="F96" i="107"/>
  <c r="G96" i="107"/>
  <c r="H96" i="107"/>
  <c r="I96" i="107"/>
  <c r="J96" i="107"/>
  <c r="K96" i="107"/>
  <c r="L96" i="107"/>
  <c r="M96" i="107"/>
  <c r="M96" i="111" s="1"/>
  <c r="N96" i="107"/>
  <c r="N96" i="111" s="1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U32" i="107" s="1"/>
  <c r="F98" i="107"/>
  <c r="G98" i="107"/>
  <c r="W32" i="107" s="1"/>
  <c r="H98" i="107"/>
  <c r="I98" i="107"/>
  <c r="I98" i="111" s="1"/>
  <c r="J98" i="107"/>
  <c r="K98" i="107"/>
  <c r="AA32" i="107" s="1"/>
  <c r="L98" i="107"/>
  <c r="M98" i="107"/>
  <c r="N98" i="107"/>
  <c r="N98" i="111" s="1"/>
  <c r="D99" i="107"/>
  <c r="E99" i="107"/>
  <c r="F99" i="107"/>
  <c r="G99" i="107"/>
  <c r="H99" i="107"/>
  <c r="I99" i="107"/>
  <c r="J99" i="107"/>
  <c r="K99" i="107"/>
  <c r="L99" i="107"/>
  <c r="L99" i="111" s="1"/>
  <c r="M99" i="107"/>
  <c r="N99" i="107"/>
  <c r="N99" i="111" s="1"/>
  <c r="D100" i="107"/>
  <c r="E100" i="107"/>
  <c r="F100" i="107"/>
  <c r="G100" i="107"/>
  <c r="H100" i="107"/>
  <c r="I100" i="107"/>
  <c r="I100" i="111" s="1"/>
  <c r="J100" i="107"/>
  <c r="K100" i="107"/>
  <c r="L100" i="107"/>
  <c r="M100" i="107"/>
  <c r="N100" i="107"/>
  <c r="D101" i="107"/>
  <c r="E101" i="107"/>
  <c r="F101" i="107"/>
  <c r="G101" i="107"/>
  <c r="H101" i="107"/>
  <c r="H101" i="111" s="1"/>
  <c r="I101" i="107"/>
  <c r="J101" i="107"/>
  <c r="K101" i="107"/>
  <c r="L101" i="107"/>
  <c r="M101" i="107"/>
  <c r="M101" i="111" s="1"/>
  <c r="N101" i="107"/>
  <c r="D102" i="107"/>
  <c r="E102" i="107"/>
  <c r="F102" i="107"/>
  <c r="G102" i="107"/>
  <c r="H102" i="107"/>
  <c r="I102" i="107"/>
  <c r="Y33" i="107" s="1"/>
  <c r="J102" i="107"/>
  <c r="K102" i="107"/>
  <c r="AA33" i="107" s="1"/>
  <c r="L102" i="107"/>
  <c r="M102" i="107"/>
  <c r="N102" i="107"/>
  <c r="D103" i="107"/>
  <c r="E103" i="107"/>
  <c r="F103" i="107"/>
  <c r="G103" i="107"/>
  <c r="H103" i="107"/>
  <c r="P103" i="107" s="1"/>
  <c r="I103" i="107"/>
  <c r="J103" i="107"/>
  <c r="K103" i="107"/>
  <c r="L103" i="107"/>
  <c r="M103" i="107"/>
  <c r="N103" i="107"/>
  <c r="O103" i="107" s="1"/>
  <c r="D104" i="107"/>
  <c r="E104" i="107"/>
  <c r="E104" i="111" s="1"/>
  <c r="F104" i="107"/>
  <c r="G104" i="107"/>
  <c r="G104" i="111" s="1"/>
  <c r="H104" i="107"/>
  <c r="I104" i="107"/>
  <c r="J104" i="107"/>
  <c r="K104" i="107"/>
  <c r="L104" i="107"/>
  <c r="M104" i="107"/>
  <c r="M104" i="111" s="1"/>
  <c r="N104" i="107"/>
  <c r="N104" i="111" s="1"/>
  <c r="D105" i="107"/>
  <c r="E105" i="107"/>
  <c r="F105" i="107"/>
  <c r="G105" i="107"/>
  <c r="H105" i="107"/>
  <c r="I105" i="107"/>
  <c r="J105" i="107"/>
  <c r="J105" i="111" s="1"/>
  <c r="K105" i="107"/>
  <c r="L105" i="107"/>
  <c r="L105" i="111" s="1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S28" i="107" s="1"/>
  <c r="C83" i="107"/>
  <c r="C84" i="107"/>
  <c r="C85" i="107"/>
  <c r="C86" i="107"/>
  <c r="C86" i="111" s="1"/>
  <c r="S29" i="111" s="1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2" i="111" s="1"/>
  <c r="S33" i="111" s="1"/>
  <c r="C103" i="107"/>
  <c r="C104" i="107"/>
  <c r="C104" i="111" s="1"/>
  <c r="C105" i="107"/>
  <c r="C58" i="107"/>
  <c r="P102" i="108"/>
  <c r="P76" i="108"/>
  <c r="P70" i="108"/>
  <c r="O71" i="108"/>
  <c r="O77" i="108"/>
  <c r="D58" i="108"/>
  <c r="E58" i="108"/>
  <c r="U22" i="108" s="1"/>
  <c r="F58" i="108"/>
  <c r="G58" i="108"/>
  <c r="W22" i="108" s="1"/>
  <c r="H58" i="108"/>
  <c r="I58" i="108"/>
  <c r="Y22" i="108" s="1"/>
  <c r="J58" i="108"/>
  <c r="K58" i="108"/>
  <c r="L58" i="108"/>
  <c r="AB22" i="108" s="1"/>
  <c r="M58" i="108"/>
  <c r="AC22" i="108" s="1"/>
  <c r="N58" i="108"/>
  <c r="D59" i="108"/>
  <c r="T22" i="108" s="1"/>
  <c r="E59" i="108"/>
  <c r="F59" i="108"/>
  <c r="G59" i="108"/>
  <c r="H59" i="108"/>
  <c r="H59" i="111" s="1"/>
  <c r="I59" i="108"/>
  <c r="J59" i="108"/>
  <c r="K59" i="108"/>
  <c r="L59" i="108"/>
  <c r="M59" i="108"/>
  <c r="N59" i="108"/>
  <c r="N59" i="111" s="1"/>
  <c r="D60" i="108"/>
  <c r="E60" i="108"/>
  <c r="E60" i="111" s="1"/>
  <c r="F60" i="108"/>
  <c r="G60" i="108"/>
  <c r="H60" i="108"/>
  <c r="I60" i="108"/>
  <c r="P60" i="108" s="1"/>
  <c r="J60" i="108"/>
  <c r="K60" i="108"/>
  <c r="L60" i="108"/>
  <c r="M60" i="108"/>
  <c r="M60" i="111" s="1"/>
  <c r="N60" i="108"/>
  <c r="D61" i="108"/>
  <c r="E61" i="108"/>
  <c r="F61" i="108"/>
  <c r="O61" i="108" s="1"/>
  <c r="G61" i="108"/>
  <c r="H61" i="108"/>
  <c r="I61" i="108"/>
  <c r="J61" i="108"/>
  <c r="J61" i="111" s="1"/>
  <c r="K61" i="108"/>
  <c r="L61" i="108"/>
  <c r="M61" i="108"/>
  <c r="N61" i="108"/>
  <c r="D62" i="108"/>
  <c r="E62" i="108"/>
  <c r="F62" i="108"/>
  <c r="G62" i="108"/>
  <c r="H62" i="108"/>
  <c r="I62" i="108"/>
  <c r="Y23" i="108" s="1"/>
  <c r="J62" i="108"/>
  <c r="K62" i="108"/>
  <c r="AA23" i="108" s="1"/>
  <c r="L62" i="108"/>
  <c r="M62" i="108"/>
  <c r="AC23" i="108" s="1"/>
  <c r="N62" i="108"/>
  <c r="AD23" i="108" s="1"/>
  <c r="D63" i="108"/>
  <c r="D63" i="111" s="1"/>
  <c r="E63" i="108"/>
  <c r="F63" i="108"/>
  <c r="G63" i="108"/>
  <c r="H63" i="108"/>
  <c r="O63" i="108" s="1"/>
  <c r="I63" i="108"/>
  <c r="J63" i="108"/>
  <c r="K63" i="108"/>
  <c r="L63" i="108"/>
  <c r="L63" i="111" s="1"/>
  <c r="M63" i="108"/>
  <c r="N63" i="108"/>
  <c r="D64" i="108"/>
  <c r="E64" i="108"/>
  <c r="F64" i="108"/>
  <c r="G64" i="108"/>
  <c r="H64" i="108"/>
  <c r="I64" i="108"/>
  <c r="I64" i="111" s="1"/>
  <c r="J64" i="108"/>
  <c r="K64" i="108"/>
  <c r="L64" i="108"/>
  <c r="M64" i="108"/>
  <c r="N64" i="108"/>
  <c r="D65" i="108"/>
  <c r="E65" i="108"/>
  <c r="F65" i="108"/>
  <c r="F65" i="111" s="1"/>
  <c r="G65" i="108"/>
  <c r="H65" i="108"/>
  <c r="I65" i="108"/>
  <c r="J65" i="108"/>
  <c r="K65" i="108"/>
  <c r="L65" i="108"/>
  <c r="L65" i="111" s="1"/>
  <c r="M65" i="108"/>
  <c r="N65" i="108"/>
  <c r="N65" i="111" s="1"/>
  <c r="D66" i="108"/>
  <c r="E66" i="108"/>
  <c r="U24" i="108" s="1"/>
  <c r="F66" i="108"/>
  <c r="G66" i="108"/>
  <c r="W24" i="108" s="1"/>
  <c r="H66" i="108"/>
  <c r="I66" i="108"/>
  <c r="Y24" i="108" s="1"/>
  <c r="J66" i="108"/>
  <c r="K66" i="108"/>
  <c r="L66" i="108"/>
  <c r="M66" i="108"/>
  <c r="AC24" i="108" s="1"/>
  <c r="N66" i="108"/>
  <c r="D67" i="108"/>
  <c r="E67" i="108"/>
  <c r="F67" i="108"/>
  <c r="G67" i="108"/>
  <c r="H67" i="108"/>
  <c r="H67" i="111" s="1"/>
  <c r="I67" i="108"/>
  <c r="J67" i="108"/>
  <c r="K67" i="108"/>
  <c r="L67" i="108"/>
  <c r="M67" i="108"/>
  <c r="N67" i="108"/>
  <c r="D68" i="108"/>
  <c r="E68" i="108"/>
  <c r="E68" i="111" s="1"/>
  <c r="F68" i="108"/>
  <c r="G68" i="108"/>
  <c r="H68" i="108"/>
  <c r="I68" i="108"/>
  <c r="J68" i="108"/>
  <c r="K68" i="108"/>
  <c r="K68" i="111" s="1"/>
  <c r="L68" i="108"/>
  <c r="M68" i="108"/>
  <c r="M68" i="111" s="1"/>
  <c r="N68" i="108"/>
  <c r="D69" i="108"/>
  <c r="E69" i="108"/>
  <c r="F69" i="108"/>
  <c r="O69" i="108" s="1"/>
  <c r="G69" i="108"/>
  <c r="H69" i="108"/>
  <c r="I69" i="108"/>
  <c r="J69" i="108"/>
  <c r="J69" i="111" s="1"/>
  <c r="K69" i="108"/>
  <c r="L69" i="108"/>
  <c r="M69" i="108"/>
  <c r="N69" i="108"/>
  <c r="D70" i="108"/>
  <c r="E70" i="108"/>
  <c r="U25" i="108" s="1"/>
  <c r="F70" i="108"/>
  <c r="G70" i="108"/>
  <c r="H70" i="108"/>
  <c r="I70" i="108"/>
  <c r="Y25" i="108" s="1"/>
  <c r="J70" i="108"/>
  <c r="K70" i="108"/>
  <c r="AA25" i="108" s="1"/>
  <c r="L70" i="108"/>
  <c r="M70" i="108"/>
  <c r="AC25" i="108" s="1"/>
  <c r="N70" i="108"/>
  <c r="D71" i="108"/>
  <c r="D71" i="111" s="1"/>
  <c r="E71" i="108"/>
  <c r="F71" i="108"/>
  <c r="G71" i="108"/>
  <c r="H71" i="108"/>
  <c r="I71" i="108"/>
  <c r="J71" i="108"/>
  <c r="K71" i="108"/>
  <c r="L71" i="108"/>
  <c r="L71" i="111" s="1"/>
  <c r="M71" i="108"/>
  <c r="N71" i="108"/>
  <c r="D72" i="108"/>
  <c r="E72" i="108"/>
  <c r="F72" i="108"/>
  <c r="G72" i="108"/>
  <c r="H72" i="108"/>
  <c r="I72" i="108"/>
  <c r="I72" i="111" s="1"/>
  <c r="J72" i="108"/>
  <c r="K72" i="108"/>
  <c r="L72" i="108"/>
  <c r="M72" i="108"/>
  <c r="N72" i="108"/>
  <c r="D73" i="108"/>
  <c r="E73" i="108"/>
  <c r="F73" i="108"/>
  <c r="F73" i="111" s="1"/>
  <c r="G73" i="108"/>
  <c r="H73" i="108"/>
  <c r="I73" i="108"/>
  <c r="J73" i="108"/>
  <c r="J73" i="111" s="1"/>
  <c r="K73" i="108"/>
  <c r="L73" i="108"/>
  <c r="M73" i="108"/>
  <c r="N73" i="108"/>
  <c r="N73" i="111" s="1"/>
  <c r="D74" i="108"/>
  <c r="T26" i="108" s="1"/>
  <c r="E74" i="108"/>
  <c r="F74" i="108"/>
  <c r="G74" i="108"/>
  <c r="W26" i="108" s="1"/>
  <c r="H74" i="108"/>
  <c r="I74" i="108"/>
  <c r="Y26" i="108" s="1"/>
  <c r="J74" i="108"/>
  <c r="K74" i="108"/>
  <c r="L74" i="108"/>
  <c r="M74" i="108"/>
  <c r="N74" i="108"/>
  <c r="D75" i="108"/>
  <c r="E75" i="108"/>
  <c r="F75" i="108"/>
  <c r="G75" i="108"/>
  <c r="H75" i="108"/>
  <c r="H75" i="111" s="1"/>
  <c r="I75" i="108"/>
  <c r="J75" i="108"/>
  <c r="K75" i="108"/>
  <c r="L75" i="108"/>
  <c r="AB26" i="108" s="1"/>
  <c r="M75" i="108"/>
  <c r="N75" i="108"/>
  <c r="D76" i="108"/>
  <c r="E76" i="108"/>
  <c r="E76" i="111" s="1"/>
  <c r="F76" i="108"/>
  <c r="G76" i="108"/>
  <c r="H76" i="108"/>
  <c r="I76" i="108"/>
  <c r="I76" i="111" s="1"/>
  <c r="J76" i="108"/>
  <c r="K76" i="108"/>
  <c r="L76" i="108"/>
  <c r="M76" i="108"/>
  <c r="M76" i="111" s="1"/>
  <c r="N76" i="108"/>
  <c r="D77" i="108"/>
  <c r="E77" i="108"/>
  <c r="F77" i="108"/>
  <c r="G77" i="108"/>
  <c r="H77" i="108"/>
  <c r="H77" i="111" s="1"/>
  <c r="I77" i="108"/>
  <c r="J77" i="108"/>
  <c r="K77" i="108"/>
  <c r="L77" i="108"/>
  <c r="M77" i="108"/>
  <c r="N77" i="108"/>
  <c r="N77" i="111" s="1"/>
  <c r="D78" i="108"/>
  <c r="E78" i="108"/>
  <c r="U27" i="108" s="1"/>
  <c r="F78" i="108"/>
  <c r="V27" i="108" s="1"/>
  <c r="G78" i="108"/>
  <c r="H78" i="108"/>
  <c r="I78" i="108"/>
  <c r="J78" i="108"/>
  <c r="K78" i="108"/>
  <c r="AA27" i="108" s="1"/>
  <c r="L78" i="108"/>
  <c r="M78" i="108"/>
  <c r="AC27" i="108" s="1"/>
  <c r="N78" i="108"/>
  <c r="D79" i="108"/>
  <c r="D79" i="111" s="1"/>
  <c r="E79" i="108"/>
  <c r="F79" i="108"/>
  <c r="G79" i="108"/>
  <c r="H79" i="108"/>
  <c r="O79" i="108" s="1"/>
  <c r="I79" i="108"/>
  <c r="J79" i="108"/>
  <c r="K79" i="108"/>
  <c r="L79" i="108"/>
  <c r="L79" i="111" s="1"/>
  <c r="M79" i="108"/>
  <c r="N79" i="108"/>
  <c r="D80" i="108"/>
  <c r="E80" i="108"/>
  <c r="F80" i="108"/>
  <c r="G80" i="108"/>
  <c r="H80" i="108"/>
  <c r="I80" i="108"/>
  <c r="I80" i="111" s="1"/>
  <c r="J80" i="108"/>
  <c r="K80" i="108"/>
  <c r="L80" i="108"/>
  <c r="M80" i="108"/>
  <c r="N80" i="108"/>
  <c r="D81" i="108"/>
  <c r="E81" i="108"/>
  <c r="F81" i="108"/>
  <c r="F81" i="111" s="1"/>
  <c r="G81" i="108"/>
  <c r="H81" i="108"/>
  <c r="I81" i="108"/>
  <c r="J81" i="108"/>
  <c r="K81" i="108"/>
  <c r="L81" i="108"/>
  <c r="M81" i="108"/>
  <c r="N81" i="108"/>
  <c r="N81" i="111" s="1"/>
  <c r="D82" i="108"/>
  <c r="E82" i="108"/>
  <c r="F82" i="108"/>
  <c r="G82" i="108"/>
  <c r="W28" i="108" s="1"/>
  <c r="H82" i="108"/>
  <c r="I82" i="108"/>
  <c r="Y28" i="108" s="1"/>
  <c r="J82" i="108"/>
  <c r="K82" i="108"/>
  <c r="L82" i="108"/>
  <c r="M82" i="108"/>
  <c r="N82" i="108"/>
  <c r="D83" i="108"/>
  <c r="E83" i="108"/>
  <c r="F83" i="108"/>
  <c r="G83" i="108"/>
  <c r="H83" i="108"/>
  <c r="H83" i="111" s="1"/>
  <c r="I83" i="108"/>
  <c r="J83" i="108"/>
  <c r="K83" i="108"/>
  <c r="L83" i="108"/>
  <c r="M83" i="108"/>
  <c r="N83" i="108"/>
  <c r="D84" i="108"/>
  <c r="E84" i="108"/>
  <c r="E84" i="111" s="1"/>
  <c r="F84" i="108"/>
  <c r="G84" i="108"/>
  <c r="H84" i="108"/>
  <c r="I84" i="108"/>
  <c r="I84" i="111" s="1"/>
  <c r="J84" i="108"/>
  <c r="K84" i="108"/>
  <c r="L84" i="108"/>
  <c r="M84" i="108"/>
  <c r="M84" i="111" s="1"/>
  <c r="N84" i="108"/>
  <c r="D85" i="108"/>
  <c r="E85" i="108"/>
  <c r="F85" i="108"/>
  <c r="O85" i="108" s="1"/>
  <c r="G85" i="108"/>
  <c r="H85" i="108"/>
  <c r="H85" i="111" s="1"/>
  <c r="I85" i="108"/>
  <c r="J85" i="108"/>
  <c r="J85" i="111" s="1"/>
  <c r="K85" i="108"/>
  <c r="L85" i="108"/>
  <c r="M85" i="108"/>
  <c r="N85" i="108"/>
  <c r="D86" i="108"/>
  <c r="E86" i="108"/>
  <c r="U29" i="108" s="1"/>
  <c r="F86" i="108"/>
  <c r="G86" i="108"/>
  <c r="H86" i="108"/>
  <c r="I86" i="108"/>
  <c r="J86" i="108"/>
  <c r="K86" i="108"/>
  <c r="AA29" i="108" s="1"/>
  <c r="L86" i="108"/>
  <c r="M86" i="108"/>
  <c r="AC29" i="108" s="1"/>
  <c r="N86" i="108"/>
  <c r="D87" i="108"/>
  <c r="D87" i="111" s="1"/>
  <c r="E87" i="108"/>
  <c r="F87" i="108"/>
  <c r="G87" i="108"/>
  <c r="H87" i="108"/>
  <c r="O87" i="108" s="1"/>
  <c r="I87" i="108"/>
  <c r="J87" i="108"/>
  <c r="K87" i="108"/>
  <c r="L87" i="108"/>
  <c r="L87" i="111" s="1"/>
  <c r="M87" i="108"/>
  <c r="N87" i="108"/>
  <c r="D88" i="108"/>
  <c r="E88" i="108"/>
  <c r="F88" i="108"/>
  <c r="G88" i="108"/>
  <c r="H88" i="108"/>
  <c r="I88" i="108"/>
  <c r="I88" i="111" s="1"/>
  <c r="J88" i="108"/>
  <c r="K88" i="108"/>
  <c r="L88" i="108"/>
  <c r="M88" i="108"/>
  <c r="N88" i="108"/>
  <c r="D89" i="108"/>
  <c r="E89" i="108"/>
  <c r="F89" i="108"/>
  <c r="F89" i="111" s="1"/>
  <c r="G89" i="108"/>
  <c r="H89" i="108"/>
  <c r="I89" i="108"/>
  <c r="J89" i="108"/>
  <c r="K89" i="108"/>
  <c r="L89" i="108"/>
  <c r="M89" i="108"/>
  <c r="N89" i="108"/>
  <c r="N89" i="111" s="1"/>
  <c r="D90" i="108"/>
  <c r="T30" i="108" s="1"/>
  <c r="E90" i="108"/>
  <c r="F90" i="108"/>
  <c r="G90" i="108"/>
  <c r="W30" i="108" s="1"/>
  <c r="H90" i="108"/>
  <c r="I90" i="108"/>
  <c r="Y30" i="108" s="1"/>
  <c r="J90" i="108"/>
  <c r="K90" i="108"/>
  <c r="L90" i="108"/>
  <c r="AB30" i="108" s="1"/>
  <c r="M90" i="108"/>
  <c r="N90" i="108"/>
  <c r="D91" i="108"/>
  <c r="E91" i="108"/>
  <c r="F91" i="108"/>
  <c r="G91" i="108"/>
  <c r="H91" i="108"/>
  <c r="H91" i="111" s="1"/>
  <c r="I91" i="108"/>
  <c r="J91" i="108"/>
  <c r="K91" i="108"/>
  <c r="L91" i="108"/>
  <c r="M91" i="108"/>
  <c r="N91" i="108"/>
  <c r="D92" i="108"/>
  <c r="E92" i="108"/>
  <c r="E92" i="111" s="1"/>
  <c r="F92" i="108"/>
  <c r="G92" i="108"/>
  <c r="H92" i="108"/>
  <c r="I92" i="108"/>
  <c r="P92" i="108" s="1"/>
  <c r="J92" i="108"/>
  <c r="K92" i="108"/>
  <c r="L92" i="108"/>
  <c r="M92" i="108"/>
  <c r="M92" i="111" s="1"/>
  <c r="N92" i="108"/>
  <c r="D93" i="108"/>
  <c r="E93" i="108"/>
  <c r="F93" i="108"/>
  <c r="O93" i="108" s="1"/>
  <c r="G93" i="108"/>
  <c r="H93" i="108"/>
  <c r="I93" i="108"/>
  <c r="J93" i="108"/>
  <c r="J93" i="111" s="1"/>
  <c r="K93" i="108"/>
  <c r="L93" i="108"/>
  <c r="M93" i="108"/>
  <c r="N93" i="108"/>
  <c r="D94" i="108"/>
  <c r="E94" i="108"/>
  <c r="U31" i="108" s="1"/>
  <c r="F94" i="108"/>
  <c r="G94" i="108"/>
  <c r="H94" i="108"/>
  <c r="I94" i="108"/>
  <c r="J94" i="108"/>
  <c r="K94" i="108"/>
  <c r="AA31" i="108" s="1"/>
  <c r="L94" i="108"/>
  <c r="M94" i="108"/>
  <c r="AC31" i="108" s="1"/>
  <c r="N94" i="108"/>
  <c r="AD31" i="108" s="1"/>
  <c r="D95" i="108"/>
  <c r="D95" i="111" s="1"/>
  <c r="E95" i="108"/>
  <c r="F95" i="108"/>
  <c r="G95" i="108"/>
  <c r="H95" i="108"/>
  <c r="O95" i="108" s="1"/>
  <c r="I95" i="108"/>
  <c r="J95" i="108"/>
  <c r="K95" i="108"/>
  <c r="L95" i="108"/>
  <c r="L95" i="111" s="1"/>
  <c r="M95" i="108"/>
  <c r="N95" i="108"/>
  <c r="D96" i="108"/>
  <c r="E96" i="108"/>
  <c r="F96" i="108"/>
  <c r="G96" i="108"/>
  <c r="G96" i="111" s="1"/>
  <c r="H96" i="108"/>
  <c r="I96" i="108"/>
  <c r="I96" i="111" s="1"/>
  <c r="J96" i="108"/>
  <c r="K96" i="108"/>
  <c r="L96" i="108"/>
  <c r="M96" i="108"/>
  <c r="N96" i="108"/>
  <c r="D97" i="108"/>
  <c r="E97" i="108"/>
  <c r="F97" i="108"/>
  <c r="F97" i="111" s="1"/>
  <c r="G97" i="108"/>
  <c r="H97" i="108"/>
  <c r="I97" i="108"/>
  <c r="J97" i="108"/>
  <c r="K97" i="108"/>
  <c r="L97" i="108"/>
  <c r="M97" i="108"/>
  <c r="N97" i="108"/>
  <c r="N97" i="111" s="1"/>
  <c r="D98" i="108"/>
  <c r="E98" i="108"/>
  <c r="F98" i="108"/>
  <c r="G98" i="108"/>
  <c r="W32" i="108" s="1"/>
  <c r="H98" i="108"/>
  <c r="I98" i="108"/>
  <c r="Y32" i="108" s="1"/>
  <c r="J98" i="108"/>
  <c r="K98" i="108"/>
  <c r="L98" i="108"/>
  <c r="M98" i="108"/>
  <c r="N98" i="108"/>
  <c r="D99" i="108"/>
  <c r="E99" i="108"/>
  <c r="F99" i="108"/>
  <c r="G99" i="108"/>
  <c r="H99" i="108"/>
  <c r="H99" i="111" s="1"/>
  <c r="I99" i="108"/>
  <c r="J99" i="108"/>
  <c r="K99" i="108"/>
  <c r="L99" i="108"/>
  <c r="M99" i="108"/>
  <c r="N99" i="108"/>
  <c r="D100" i="108"/>
  <c r="E100" i="108"/>
  <c r="E100" i="111" s="1"/>
  <c r="F100" i="108"/>
  <c r="G100" i="108"/>
  <c r="H100" i="108"/>
  <c r="I100" i="108"/>
  <c r="J100" i="108"/>
  <c r="K100" i="108"/>
  <c r="L100" i="108"/>
  <c r="M100" i="108"/>
  <c r="M100" i="111" s="1"/>
  <c r="N100" i="108"/>
  <c r="D101" i="108"/>
  <c r="E101" i="108"/>
  <c r="F101" i="108"/>
  <c r="O101" i="108" s="1"/>
  <c r="G101" i="108"/>
  <c r="H101" i="108"/>
  <c r="X32" i="108" s="1"/>
  <c r="I101" i="108"/>
  <c r="J101" i="108"/>
  <c r="J101" i="111" s="1"/>
  <c r="K101" i="108"/>
  <c r="L101" i="108"/>
  <c r="M101" i="108"/>
  <c r="N101" i="108"/>
  <c r="D102" i="108"/>
  <c r="E102" i="108"/>
  <c r="U33" i="108" s="1"/>
  <c r="F102" i="108"/>
  <c r="G102" i="108"/>
  <c r="H102" i="108"/>
  <c r="I102" i="108"/>
  <c r="J102" i="108"/>
  <c r="K102" i="108"/>
  <c r="AA33" i="108" s="1"/>
  <c r="L102" i="108"/>
  <c r="M102" i="108"/>
  <c r="AC33" i="108" s="1"/>
  <c r="N102" i="108"/>
  <c r="D103" i="108"/>
  <c r="D103" i="111" s="1"/>
  <c r="E103" i="108"/>
  <c r="F103" i="108"/>
  <c r="G103" i="108"/>
  <c r="H103" i="108"/>
  <c r="I103" i="108"/>
  <c r="J103" i="108"/>
  <c r="K103" i="108"/>
  <c r="L103" i="108"/>
  <c r="L103" i="111" s="1"/>
  <c r="M103" i="108"/>
  <c r="N103" i="108"/>
  <c r="D104" i="108"/>
  <c r="E104" i="108"/>
  <c r="F104" i="108"/>
  <c r="G104" i="108"/>
  <c r="H104" i="108"/>
  <c r="I104" i="108"/>
  <c r="I104" i="111" s="1"/>
  <c r="J104" i="108"/>
  <c r="K104" i="108"/>
  <c r="L104" i="108"/>
  <c r="M104" i="108"/>
  <c r="N104" i="108"/>
  <c r="D105" i="108"/>
  <c r="E105" i="108"/>
  <c r="F105" i="108"/>
  <c r="F105" i="111" s="1"/>
  <c r="G105" i="108"/>
  <c r="H105" i="108"/>
  <c r="I105" i="108"/>
  <c r="J105" i="108"/>
  <c r="K105" i="108"/>
  <c r="L105" i="108"/>
  <c r="M105" i="108"/>
  <c r="N105" i="108"/>
  <c r="N105" i="111" s="1"/>
  <c r="C59" i="108"/>
  <c r="P59" i="108" s="1"/>
  <c r="C60" i="108"/>
  <c r="C61" i="108"/>
  <c r="C62" i="108"/>
  <c r="C63" i="108"/>
  <c r="C64" i="108"/>
  <c r="C65" i="108"/>
  <c r="C66" i="108"/>
  <c r="C67" i="108"/>
  <c r="P67" i="108" s="1"/>
  <c r="C68" i="108"/>
  <c r="C69" i="108"/>
  <c r="C70" i="108"/>
  <c r="C71" i="108"/>
  <c r="C72" i="108"/>
  <c r="C73" i="108"/>
  <c r="C74" i="108"/>
  <c r="C75" i="108"/>
  <c r="P75" i="108" s="1"/>
  <c r="C76" i="108"/>
  <c r="C77" i="108"/>
  <c r="C78" i="108"/>
  <c r="P78" i="108" s="1"/>
  <c r="C79" i="108"/>
  <c r="C80" i="108"/>
  <c r="C81" i="108"/>
  <c r="C82" i="108"/>
  <c r="C83" i="108"/>
  <c r="P83" i="108" s="1"/>
  <c r="C84" i="108"/>
  <c r="C85" i="108"/>
  <c r="C86" i="108"/>
  <c r="P86" i="108" s="1"/>
  <c r="C87" i="108"/>
  <c r="C88" i="108"/>
  <c r="C89" i="108"/>
  <c r="C90" i="108"/>
  <c r="C91" i="108"/>
  <c r="P91" i="108" s="1"/>
  <c r="C92" i="108"/>
  <c r="C93" i="108"/>
  <c r="C94" i="108"/>
  <c r="C95" i="108"/>
  <c r="C96" i="108"/>
  <c r="C97" i="108"/>
  <c r="C98" i="108"/>
  <c r="C99" i="108"/>
  <c r="P99" i="108" s="1"/>
  <c r="C100" i="108"/>
  <c r="C101" i="108"/>
  <c r="C102" i="108"/>
  <c r="C103" i="108"/>
  <c r="C104" i="108"/>
  <c r="C105" i="108"/>
  <c r="C58" i="108"/>
  <c r="D58" i="111"/>
  <c r="E58" i="111"/>
  <c r="U22" i="111" s="1"/>
  <c r="F58" i="111"/>
  <c r="G58" i="111"/>
  <c r="H58" i="111"/>
  <c r="I58" i="111"/>
  <c r="J58" i="111"/>
  <c r="L58" i="111"/>
  <c r="M58" i="111"/>
  <c r="E59" i="111"/>
  <c r="G59" i="111"/>
  <c r="I59" i="111"/>
  <c r="J59" i="111"/>
  <c r="K59" i="111"/>
  <c r="L59" i="111"/>
  <c r="M59" i="111"/>
  <c r="D60" i="111"/>
  <c r="F60" i="111"/>
  <c r="G60" i="111"/>
  <c r="H60" i="111"/>
  <c r="J60" i="111"/>
  <c r="L60" i="111"/>
  <c r="N60" i="111"/>
  <c r="D61" i="111"/>
  <c r="E61" i="111"/>
  <c r="F61" i="111"/>
  <c r="G61" i="111"/>
  <c r="H61" i="111"/>
  <c r="I61" i="111"/>
  <c r="K61" i="111"/>
  <c r="L61" i="111"/>
  <c r="D62" i="111"/>
  <c r="F62" i="111"/>
  <c r="V23" i="111" s="1"/>
  <c r="H62" i="111"/>
  <c r="I62" i="111"/>
  <c r="Y23" i="111" s="1"/>
  <c r="J62" i="111"/>
  <c r="K62" i="111"/>
  <c r="L62" i="111"/>
  <c r="N62" i="111"/>
  <c r="E63" i="111"/>
  <c r="F63" i="111"/>
  <c r="G63" i="111"/>
  <c r="I63" i="111"/>
  <c r="K63" i="111"/>
  <c r="M63" i="111"/>
  <c r="N63" i="111"/>
  <c r="D64" i="111"/>
  <c r="E64" i="111"/>
  <c r="F64" i="111"/>
  <c r="G64" i="111"/>
  <c r="H64" i="111"/>
  <c r="J64" i="111"/>
  <c r="K64" i="111"/>
  <c r="L64" i="111"/>
  <c r="N64" i="111"/>
  <c r="E65" i="111"/>
  <c r="G65" i="111"/>
  <c r="H65" i="111"/>
  <c r="I65" i="111"/>
  <c r="J65" i="111"/>
  <c r="K65" i="111"/>
  <c r="M65" i="111"/>
  <c r="D66" i="111"/>
  <c r="E66" i="111"/>
  <c r="F66" i="111"/>
  <c r="H66" i="111"/>
  <c r="J66" i="111"/>
  <c r="Z24" i="111" s="1"/>
  <c r="L66" i="111"/>
  <c r="M66" i="111"/>
  <c r="AC24" i="111" s="1"/>
  <c r="D67" i="111"/>
  <c r="E67" i="111"/>
  <c r="F67" i="111"/>
  <c r="G67" i="111"/>
  <c r="I67" i="111"/>
  <c r="J67" i="111"/>
  <c r="K67" i="111"/>
  <c r="M67" i="111"/>
  <c r="D68" i="111"/>
  <c r="F68" i="111"/>
  <c r="G68" i="111"/>
  <c r="H68" i="111"/>
  <c r="I68" i="111"/>
  <c r="J68" i="111"/>
  <c r="L68" i="111"/>
  <c r="N68" i="111"/>
  <c r="D69" i="111"/>
  <c r="E69" i="111"/>
  <c r="G69" i="111"/>
  <c r="I69" i="111"/>
  <c r="K69" i="111"/>
  <c r="L69" i="111"/>
  <c r="M69" i="111"/>
  <c r="N69" i="111"/>
  <c r="D70" i="111"/>
  <c r="E70" i="111"/>
  <c r="H70" i="111"/>
  <c r="I70" i="111"/>
  <c r="J70" i="111"/>
  <c r="L70" i="111"/>
  <c r="M70" i="111"/>
  <c r="N70" i="111"/>
  <c r="E71" i="111"/>
  <c r="F71" i="111"/>
  <c r="G71" i="111"/>
  <c r="I71" i="111"/>
  <c r="K71" i="111"/>
  <c r="M71" i="111"/>
  <c r="N71" i="111"/>
  <c r="D72" i="111"/>
  <c r="E72" i="111"/>
  <c r="F72" i="111"/>
  <c r="G72" i="111"/>
  <c r="H72" i="111"/>
  <c r="J72" i="111"/>
  <c r="K72" i="111"/>
  <c r="L72" i="111"/>
  <c r="E73" i="111"/>
  <c r="G73" i="111"/>
  <c r="H73" i="111"/>
  <c r="I73" i="111"/>
  <c r="K73" i="111"/>
  <c r="L73" i="111"/>
  <c r="M73" i="111"/>
  <c r="D74" i="111"/>
  <c r="E74" i="111"/>
  <c r="F74" i="111"/>
  <c r="H74" i="111"/>
  <c r="J74" i="111"/>
  <c r="L74" i="111"/>
  <c r="M74" i="111"/>
  <c r="N74" i="111"/>
  <c r="D75" i="111"/>
  <c r="E75" i="111"/>
  <c r="F75" i="111"/>
  <c r="G75" i="111"/>
  <c r="I75" i="111"/>
  <c r="J75" i="111"/>
  <c r="K75" i="111"/>
  <c r="M75" i="111"/>
  <c r="D76" i="111"/>
  <c r="F76" i="111"/>
  <c r="G76" i="111"/>
  <c r="H76" i="111"/>
  <c r="J76" i="111"/>
  <c r="K76" i="111"/>
  <c r="L76" i="111"/>
  <c r="N76" i="111"/>
  <c r="D77" i="111"/>
  <c r="E77" i="111"/>
  <c r="G77" i="111"/>
  <c r="I77" i="111"/>
  <c r="K77" i="111"/>
  <c r="L77" i="111"/>
  <c r="M77" i="111"/>
  <c r="D78" i="111"/>
  <c r="E78" i="111"/>
  <c r="F78" i="111"/>
  <c r="H78" i="111"/>
  <c r="I78" i="111"/>
  <c r="J78" i="111"/>
  <c r="K78" i="111"/>
  <c r="L78" i="111"/>
  <c r="N78" i="111"/>
  <c r="E79" i="111"/>
  <c r="F79" i="111"/>
  <c r="G79" i="111"/>
  <c r="H79" i="111"/>
  <c r="I79" i="111"/>
  <c r="J79" i="111"/>
  <c r="K79" i="111"/>
  <c r="M79" i="111"/>
  <c r="N79" i="111"/>
  <c r="D80" i="111"/>
  <c r="F80" i="111"/>
  <c r="G80" i="111"/>
  <c r="H80" i="111"/>
  <c r="J80" i="111"/>
  <c r="K80" i="111"/>
  <c r="L80" i="111"/>
  <c r="E81" i="111"/>
  <c r="G81" i="111"/>
  <c r="H81" i="111"/>
  <c r="I81" i="111"/>
  <c r="J81" i="111"/>
  <c r="K81" i="111"/>
  <c r="M81" i="111"/>
  <c r="D82" i="111"/>
  <c r="E82" i="111"/>
  <c r="U28" i="111" s="1"/>
  <c r="F82" i="111"/>
  <c r="G82" i="111"/>
  <c r="H82" i="111"/>
  <c r="X28" i="111" s="1"/>
  <c r="I82" i="111"/>
  <c r="J82" i="111"/>
  <c r="L82" i="111"/>
  <c r="M82" i="111"/>
  <c r="N82" i="111"/>
  <c r="E83" i="111"/>
  <c r="F83" i="111"/>
  <c r="G83" i="111"/>
  <c r="I83" i="111"/>
  <c r="J83" i="111"/>
  <c r="K83" i="111"/>
  <c r="M83" i="111"/>
  <c r="D84" i="111"/>
  <c r="F84" i="111"/>
  <c r="G84" i="111"/>
  <c r="H84" i="111"/>
  <c r="J84" i="111"/>
  <c r="L84" i="111"/>
  <c r="N84" i="111"/>
  <c r="D85" i="111"/>
  <c r="E85" i="111"/>
  <c r="F85" i="111"/>
  <c r="G85" i="111"/>
  <c r="I85" i="111"/>
  <c r="K85" i="111"/>
  <c r="L85" i="111"/>
  <c r="D86" i="111"/>
  <c r="T29" i="111" s="1"/>
  <c r="E86" i="111"/>
  <c r="U29" i="111" s="1"/>
  <c r="F86" i="111"/>
  <c r="V29" i="111" s="1"/>
  <c r="H86" i="111"/>
  <c r="I86" i="111"/>
  <c r="J86" i="111"/>
  <c r="K86" i="111"/>
  <c r="L86" i="111"/>
  <c r="M86" i="111"/>
  <c r="N86" i="111"/>
  <c r="E87" i="111"/>
  <c r="F87" i="111"/>
  <c r="G87" i="111"/>
  <c r="I87" i="111"/>
  <c r="K87" i="111"/>
  <c r="N87" i="111"/>
  <c r="D88" i="111"/>
  <c r="E88" i="111"/>
  <c r="F88" i="111"/>
  <c r="G88" i="111"/>
  <c r="H88" i="111"/>
  <c r="J88" i="111"/>
  <c r="K88" i="111"/>
  <c r="L88" i="111"/>
  <c r="N88" i="111"/>
  <c r="D89" i="111"/>
  <c r="E89" i="111"/>
  <c r="G89" i="111"/>
  <c r="H89" i="111"/>
  <c r="I89" i="111"/>
  <c r="J89" i="111"/>
  <c r="K89" i="111"/>
  <c r="M89" i="111"/>
  <c r="D90" i="111"/>
  <c r="E90" i="111"/>
  <c r="F90" i="111"/>
  <c r="G90" i="111"/>
  <c r="W30" i="111" s="1"/>
  <c r="H90" i="111"/>
  <c r="X30" i="111" s="1"/>
  <c r="J90" i="111"/>
  <c r="L90" i="111"/>
  <c r="N90" i="111"/>
  <c r="E91" i="111"/>
  <c r="F91" i="111"/>
  <c r="G91" i="111"/>
  <c r="I91" i="111"/>
  <c r="J91" i="111"/>
  <c r="K91" i="111"/>
  <c r="L91" i="111"/>
  <c r="M91" i="111"/>
  <c r="D92" i="111"/>
  <c r="F92" i="111"/>
  <c r="G92" i="111"/>
  <c r="H92" i="111"/>
  <c r="J92" i="111"/>
  <c r="L92" i="111"/>
  <c r="N92" i="111"/>
  <c r="D93" i="111"/>
  <c r="E93" i="111"/>
  <c r="F93" i="111"/>
  <c r="G93" i="111"/>
  <c r="H93" i="111"/>
  <c r="I93" i="111"/>
  <c r="K93" i="111"/>
  <c r="L93" i="111"/>
  <c r="D94" i="111"/>
  <c r="F94" i="111"/>
  <c r="H94" i="111"/>
  <c r="I94" i="111"/>
  <c r="Y31" i="111" s="1"/>
  <c r="J94" i="111"/>
  <c r="L94" i="111"/>
  <c r="N94" i="111"/>
  <c r="E95" i="111"/>
  <c r="F95" i="111"/>
  <c r="G95" i="111"/>
  <c r="H95" i="111"/>
  <c r="I95" i="111"/>
  <c r="K95" i="111"/>
  <c r="N95" i="111"/>
  <c r="D96" i="111"/>
  <c r="E96" i="111"/>
  <c r="F96" i="111"/>
  <c r="H96" i="111"/>
  <c r="J96" i="111"/>
  <c r="K96" i="111"/>
  <c r="L96" i="111"/>
  <c r="D97" i="111"/>
  <c r="E97" i="111"/>
  <c r="G97" i="111"/>
  <c r="H97" i="111"/>
  <c r="I97" i="111"/>
  <c r="J97" i="111"/>
  <c r="K97" i="111"/>
  <c r="L97" i="111"/>
  <c r="M97" i="111"/>
  <c r="D98" i="111"/>
  <c r="E98" i="111"/>
  <c r="F98" i="111"/>
  <c r="H98" i="111"/>
  <c r="J98" i="111"/>
  <c r="L98" i="111"/>
  <c r="M98" i="111"/>
  <c r="D99" i="111"/>
  <c r="E99" i="111"/>
  <c r="F99" i="111"/>
  <c r="G99" i="111"/>
  <c r="I99" i="111"/>
  <c r="J99" i="111"/>
  <c r="K99" i="111"/>
  <c r="M99" i="111"/>
  <c r="D100" i="111"/>
  <c r="F100" i="111"/>
  <c r="G100" i="111"/>
  <c r="H100" i="111"/>
  <c r="J100" i="111"/>
  <c r="K100" i="111"/>
  <c r="L100" i="111"/>
  <c r="N100" i="111"/>
  <c r="D101" i="111"/>
  <c r="E101" i="111"/>
  <c r="F101" i="111"/>
  <c r="G101" i="111"/>
  <c r="I101" i="111"/>
  <c r="K101" i="111"/>
  <c r="L101" i="111"/>
  <c r="N101" i="111"/>
  <c r="D102" i="111"/>
  <c r="T33" i="111" s="1"/>
  <c r="F102" i="111"/>
  <c r="H102" i="111"/>
  <c r="I102" i="111"/>
  <c r="J102" i="111"/>
  <c r="L102" i="111"/>
  <c r="M102" i="111"/>
  <c r="N102" i="111"/>
  <c r="E103" i="111"/>
  <c r="F103" i="111"/>
  <c r="G103" i="111"/>
  <c r="H103" i="111"/>
  <c r="I103" i="111"/>
  <c r="J103" i="111"/>
  <c r="K103" i="111"/>
  <c r="M103" i="111"/>
  <c r="N103" i="111"/>
  <c r="D104" i="111"/>
  <c r="F104" i="111"/>
  <c r="H104" i="111"/>
  <c r="J104" i="111"/>
  <c r="K104" i="111"/>
  <c r="L104" i="111"/>
  <c r="D105" i="111"/>
  <c r="E105" i="111"/>
  <c r="G105" i="111"/>
  <c r="H105" i="111"/>
  <c r="I105" i="111"/>
  <c r="K105" i="111"/>
  <c r="M105" i="111"/>
  <c r="C59" i="111"/>
  <c r="C60" i="111"/>
  <c r="C61" i="111"/>
  <c r="C63" i="111"/>
  <c r="C64" i="111"/>
  <c r="C65" i="111"/>
  <c r="C67" i="111"/>
  <c r="C68" i="111"/>
  <c r="C69" i="111"/>
  <c r="C70" i="111"/>
  <c r="C71" i="111"/>
  <c r="C73" i="111"/>
  <c r="C75" i="111"/>
  <c r="C76" i="111"/>
  <c r="C77" i="111"/>
  <c r="C78" i="111"/>
  <c r="C79" i="111"/>
  <c r="C81" i="111"/>
  <c r="C83" i="111"/>
  <c r="C84" i="111"/>
  <c r="C85" i="111"/>
  <c r="C87" i="111"/>
  <c r="C88" i="111"/>
  <c r="C89" i="111"/>
  <c r="C91" i="111"/>
  <c r="C92" i="111"/>
  <c r="C93" i="111"/>
  <c r="C94" i="111"/>
  <c r="C95" i="111"/>
  <c r="C96" i="111"/>
  <c r="C97" i="111"/>
  <c r="C99" i="111"/>
  <c r="C100" i="111"/>
  <c r="C101" i="111"/>
  <c r="C103" i="111"/>
  <c r="C105" i="111"/>
  <c r="C58" i="111"/>
  <c r="S22" i="111" s="1"/>
  <c r="P99" i="107" l="1"/>
  <c r="P91" i="107"/>
  <c r="P83" i="107"/>
  <c r="P75" i="107"/>
  <c r="P67" i="107"/>
  <c r="P59" i="107"/>
  <c r="AD29" i="111"/>
  <c r="AD23" i="111"/>
  <c r="P101" i="107"/>
  <c r="O93" i="107"/>
  <c r="O85" i="107"/>
  <c r="P77" i="107"/>
  <c r="O69" i="107"/>
  <c r="O61" i="107"/>
  <c r="M93" i="111"/>
  <c r="P58" i="107"/>
  <c r="AF22" i="107" s="1"/>
  <c r="P98" i="107"/>
  <c r="P90" i="107"/>
  <c r="P74" i="107"/>
  <c r="P66" i="107"/>
  <c r="AC33" i="111"/>
  <c r="AC26" i="111"/>
  <c r="AC31" i="107"/>
  <c r="AC29" i="107"/>
  <c r="AC23" i="107"/>
  <c r="M61" i="111"/>
  <c r="AC32" i="107"/>
  <c r="AC30" i="107"/>
  <c r="AC28" i="107"/>
  <c r="AC26" i="107"/>
  <c r="AC24" i="107"/>
  <c r="Y32" i="111"/>
  <c r="Z31" i="111"/>
  <c r="S27" i="111"/>
  <c r="AB33" i="111"/>
  <c r="Y28" i="111"/>
  <c r="AD27" i="111"/>
  <c r="Y25" i="111"/>
  <c r="AA23" i="111"/>
  <c r="AB22" i="111"/>
  <c r="S22" i="108"/>
  <c r="P58" i="108"/>
  <c r="AF22" i="108" s="1"/>
  <c r="O58" i="108"/>
  <c r="S32" i="108"/>
  <c r="P98" i="108"/>
  <c r="O98" i="108"/>
  <c r="S30" i="108"/>
  <c r="P90" i="108"/>
  <c r="O90" i="108"/>
  <c r="AE30" i="108" s="1"/>
  <c r="S28" i="108"/>
  <c r="P82" i="108"/>
  <c r="O82" i="108"/>
  <c r="S26" i="108"/>
  <c r="P74" i="108"/>
  <c r="O74" i="108"/>
  <c r="S24" i="108"/>
  <c r="P66" i="108"/>
  <c r="O66" i="108"/>
  <c r="AE24" i="108" s="1"/>
  <c r="G102" i="111"/>
  <c r="W33" i="111" s="1"/>
  <c r="W33" i="108"/>
  <c r="O103" i="108"/>
  <c r="K102" i="111"/>
  <c r="AA33" i="111" s="1"/>
  <c r="X31" i="111"/>
  <c r="V30" i="111"/>
  <c r="AB29" i="111"/>
  <c r="O105" i="108"/>
  <c r="O97" i="108"/>
  <c r="O89" i="108"/>
  <c r="O81" i="108"/>
  <c r="O73" i="108"/>
  <c r="O65" i="108"/>
  <c r="P105" i="107"/>
  <c r="P97" i="107"/>
  <c r="P89" i="107"/>
  <c r="P81" i="107"/>
  <c r="P73" i="107"/>
  <c r="P65" i="107"/>
  <c r="O101" i="107"/>
  <c r="P85" i="107"/>
  <c r="AB32" i="111"/>
  <c r="O104" i="108"/>
  <c r="P104" i="108"/>
  <c r="O88" i="108"/>
  <c r="P88" i="108"/>
  <c r="O80" i="108"/>
  <c r="P80" i="108"/>
  <c r="O64" i="108"/>
  <c r="P64" i="108"/>
  <c r="P84" i="108"/>
  <c r="P96" i="107"/>
  <c r="O96" i="107"/>
  <c r="P88" i="107"/>
  <c r="O88" i="107"/>
  <c r="P72" i="107"/>
  <c r="O72" i="107"/>
  <c r="P64" i="107"/>
  <c r="O64" i="107"/>
  <c r="AC33" i="107"/>
  <c r="U33" i="107"/>
  <c r="Y32" i="107"/>
  <c r="U31" i="107"/>
  <c r="Y30" i="107"/>
  <c r="U29" i="107"/>
  <c r="K84" i="111"/>
  <c r="Y28" i="107"/>
  <c r="L81" i="111"/>
  <c r="P81" i="111" s="1"/>
  <c r="AC27" i="107"/>
  <c r="M78" i="111"/>
  <c r="AC27" i="111" s="1"/>
  <c r="U27" i="107"/>
  <c r="N75" i="111"/>
  <c r="Y26" i="107"/>
  <c r="I74" i="111"/>
  <c r="Y26" i="111" s="1"/>
  <c r="D73" i="111"/>
  <c r="P73" i="111" s="1"/>
  <c r="J71" i="111"/>
  <c r="Z25" i="111" s="1"/>
  <c r="AC25" i="107"/>
  <c r="H69" i="111"/>
  <c r="X24" i="111" s="1"/>
  <c r="N67" i="111"/>
  <c r="Y24" i="107"/>
  <c r="I66" i="111"/>
  <c r="Y24" i="111" s="1"/>
  <c r="D65" i="111"/>
  <c r="J63" i="111"/>
  <c r="Z23" i="111" s="1"/>
  <c r="U23" i="107"/>
  <c r="E62" i="111"/>
  <c r="U23" i="111" s="1"/>
  <c r="K60" i="111"/>
  <c r="F59" i="111"/>
  <c r="O95" i="107"/>
  <c r="P79" i="107"/>
  <c r="S31" i="111"/>
  <c r="U30" i="111"/>
  <c r="W28" i="111"/>
  <c r="U25" i="111"/>
  <c r="O96" i="108"/>
  <c r="P96" i="108"/>
  <c r="O72" i="108"/>
  <c r="P72" i="108"/>
  <c r="U23" i="108"/>
  <c r="P104" i="107"/>
  <c r="O104" i="107"/>
  <c r="P80" i="107"/>
  <c r="O80" i="107"/>
  <c r="Y33" i="111"/>
  <c r="G98" i="111"/>
  <c r="W32" i="111" s="1"/>
  <c r="AD31" i="111"/>
  <c r="E94" i="111"/>
  <c r="U31" i="111" s="1"/>
  <c r="AC30" i="111"/>
  <c r="T30" i="111"/>
  <c r="H87" i="111"/>
  <c r="Z27" i="111"/>
  <c r="P103" i="108"/>
  <c r="AF33" i="108" s="1"/>
  <c r="P95" i="108"/>
  <c r="P87" i="108"/>
  <c r="AF29" i="108" s="1"/>
  <c r="P79" i="108"/>
  <c r="AF27" i="108" s="1"/>
  <c r="P71" i="108"/>
  <c r="AF25" i="108" s="1"/>
  <c r="P63" i="108"/>
  <c r="X28" i="108"/>
  <c r="X24" i="108"/>
  <c r="S25" i="111"/>
  <c r="Z33" i="111"/>
  <c r="V31" i="111"/>
  <c r="AA29" i="111"/>
  <c r="V32" i="111"/>
  <c r="T31" i="111"/>
  <c r="AB30" i="111"/>
  <c r="Y29" i="111"/>
  <c r="S31" i="108"/>
  <c r="O94" i="108"/>
  <c r="S25" i="108"/>
  <c r="O70" i="108"/>
  <c r="AE25" i="108" s="1"/>
  <c r="S31" i="107"/>
  <c r="P94" i="107"/>
  <c r="O94" i="107"/>
  <c r="S27" i="107"/>
  <c r="P78" i="107"/>
  <c r="O78" i="107"/>
  <c r="S23" i="107"/>
  <c r="P62" i="107"/>
  <c r="O62" i="107"/>
  <c r="M88" i="111"/>
  <c r="D83" i="111"/>
  <c r="O83" i="111" s="1"/>
  <c r="E80" i="111"/>
  <c r="U27" i="111" s="1"/>
  <c r="F77" i="111"/>
  <c r="V26" i="111" s="1"/>
  <c r="L75" i="111"/>
  <c r="O75" i="111" s="1"/>
  <c r="G74" i="111"/>
  <c r="W26" i="111" s="1"/>
  <c r="M72" i="111"/>
  <c r="AC25" i="111" s="1"/>
  <c r="H71" i="111"/>
  <c r="F69" i="111"/>
  <c r="V24" i="111" s="1"/>
  <c r="L67" i="111"/>
  <c r="P67" i="111" s="1"/>
  <c r="W24" i="107"/>
  <c r="G66" i="111"/>
  <c r="W24" i="111" s="1"/>
  <c r="M64" i="111"/>
  <c r="H63" i="111"/>
  <c r="X23" i="111" s="1"/>
  <c r="N61" i="111"/>
  <c r="I60" i="111"/>
  <c r="Y22" i="111" s="1"/>
  <c r="D59" i="111"/>
  <c r="T22" i="111" s="1"/>
  <c r="P71" i="107"/>
  <c r="X26" i="111"/>
  <c r="Z32" i="111"/>
  <c r="X32" i="111"/>
  <c r="AA27" i="111"/>
  <c r="T24" i="111"/>
  <c r="W22" i="111"/>
  <c r="S29" i="108"/>
  <c r="O86" i="108"/>
  <c r="AE29" i="108" s="1"/>
  <c r="S23" i="108"/>
  <c r="O62" i="108"/>
  <c r="AE23" i="108" s="1"/>
  <c r="S29" i="107"/>
  <c r="P86" i="107"/>
  <c r="O86" i="107"/>
  <c r="S25" i="107"/>
  <c r="P70" i="107"/>
  <c r="O70" i="107"/>
  <c r="C72" i="111"/>
  <c r="V33" i="111"/>
  <c r="AD32" i="111"/>
  <c r="U32" i="111"/>
  <c r="AB31" i="111"/>
  <c r="Z30" i="111"/>
  <c r="AC28" i="111"/>
  <c r="X27" i="111"/>
  <c r="AB26" i="111"/>
  <c r="T23" i="111"/>
  <c r="P101" i="108"/>
  <c r="P93" i="108"/>
  <c r="P85" i="108"/>
  <c r="P77" i="108"/>
  <c r="P69" i="108"/>
  <c r="P61" i="108"/>
  <c r="Z33" i="108"/>
  <c r="Z29" i="108"/>
  <c r="Z25" i="108"/>
  <c r="P62" i="108"/>
  <c r="P94" i="108"/>
  <c r="P69" i="107"/>
  <c r="AC29" i="111"/>
  <c r="AD30" i="111"/>
  <c r="T26" i="111"/>
  <c r="X33" i="111"/>
  <c r="AC31" i="111"/>
  <c r="AD28" i="111"/>
  <c r="S33" i="108"/>
  <c r="O102" i="108"/>
  <c r="S27" i="108"/>
  <c r="O78" i="108"/>
  <c r="AE27" i="108" s="1"/>
  <c r="S33" i="107"/>
  <c r="P102" i="107"/>
  <c r="O102" i="107"/>
  <c r="C80" i="111"/>
  <c r="C62" i="111"/>
  <c r="S23" i="111" s="1"/>
  <c r="AD33" i="111"/>
  <c r="E102" i="111"/>
  <c r="U33" i="111" s="1"/>
  <c r="AC32" i="111"/>
  <c r="T32" i="111"/>
  <c r="K94" i="111"/>
  <c r="AA31" i="111" s="1"/>
  <c r="I90" i="111"/>
  <c r="Y30" i="111" s="1"/>
  <c r="AB28" i="111"/>
  <c r="V27" i="111"/>
  <c r="K70" i="111"/>
  <c r="AA25" i="111" s="1"/>
  <c r="M62" i="111"/>
  <c r="AC23" i="111" s="1"/>
  <c r="AD22" i="111"/>
  <c r="O100" i="108"/>
  <c r="O92" i="108"/>
  <c r="O84" i="108"/>
  <c r="O76" i="108"/>
  <c r="O68" i="108"/>
  <c r="O60" i="108"/>
  <c r="P68" i="108"/>
  <c r="P100" i="108"/>
  <c r="P100" i="107"/>
  <c r="AF32" i="107" s="1"/>
  <c r="P92" i="107"/>
  <c r="AF30" i="107" s="1"/>
  <c r="P84" i="107"/>
  <c r="P76" i="107"/>
  <c r="AF26" i="107" s="1"/>
  <c r="P68" i="107"/>
  <c r="P60" i="107"/>
  <c r="P63" i="107"/>
  <c r="Z28" i="111"/>
  <c r="Y27" i="111"/>
  <c r="AD25" i="111"/>
  <c r="AB24" i="111"/>
  <c r="X22" i="111"/>
  <c r="AB33" i="108"/>
  <c r="T33" i="108"/>
  <c r="AB31" i="108"/>
  <c r="T31" i="108"/>
  <c r="X30" i="108"/>
  <c r="AB29" i="108"/>
  <c r="T29" i="108"/>
  <c r="AB27" i="108"/>
  <c r="T27" i="108"/>
  <c r="X26" i="108"/>
  <c r="AB25" i="108"/>
  <c r="T25" i="108"/>
  <c r="AB23" i="108"/>
  <c r="T23" i="108"/>
  <c r="X22" i="108"/>
  <c r="AB33" i="107"/>
  <c r="T33" i="107"/>
  <c r="X32" i="107"/>
  <c r="AB31" i="107"/>
  <c r="T31" i="107"/>
  <c r="X30" i="107"/>
  <c r="AB29" i="107"/>
  <c r="T29" i="107"/>
  <c r="X28" i="107"/>
  <c r="AB27" i="107"/>
  <c r="T27" i="107"/>
  <c r="X26" i="107"/>
  <c r="AB25" i="107"/>
  <c r="T25" i="107"/>
  <c r="X24" i="107"/>
  <c r="AB23" i="107"/>
  <c r="T23" i="107"/>
  <c r="X22" i="107"/>
  <c r="AD26" i="111"/>
  <c r="U26" i="111"/>
  <c r="AB25" i="111"/>
  <c r="V22" i="111"/>
  <c r="AD32" i="108"/>
  <c r="V32" i="108"/>
  <c r="Z31" i="108"/>
  <c r="AD30" i="108"/>
  <c r="V30" i="108"/>
  <c r="AD28" i="108"/>
  <c r="V28" i="108"/>
  <c r="Z27" i="108"/>
  <c r="AD26" i="108"/>
  <c r="V26" i="108"/>
  <c r="AD24" i="108"/>
  <c r="V24" i="108"/>
  <c r="Z23" i="108"/>
  <c r="AD22" i="108"/>
  <c r="V22" i="108"/>
  <c r="Z33" i="107"/>
  <c r="AD32" i="107"/>
  <c r="V32" i="107"/>
  <c r="Z31" i="107"/>
  <c r="AD30" i="107"/>
  <c r="V30" i="107"/>
  <c r="Z29" i="107"/>
  <c r="AD28" i="107"/>
  <c r="V28" i="107"/>
  <c r="Z27" i="107"/>
  <c r="AD26" i="107"/>
  <c r="V26" i="107"/>
  <c r="Z25" i="107"/>
  <c r="AD24" i="107"/>
  <c r="V24" i="107"/>
  <c r="Z23" i="107"/>
  <c r="AD22" i="107"/>
  <c r="V22" i="107"/>
  <c r="O100" i="107"/>
  <c r="O92" i="107"/>
  <c r="O84" i="107"/>
  <c r="O76" i="107"/>
  <c r="O68" i="107"/>
  <c r="O60" i="107"/>
  <c r="Y33" i="108"/>
  <c r="AC32" i="108"/>
  <c r="U32" i="108"/>
  <c r="Y31" i="108"/>
  <c r="AC30" i="108"/>
  <c r="U30" i="108"/>
  <c r="Y29" i="108"/>
  <c r="AC28" i="108"/>
  <c r="U28" i="108"/>
  <c r="Y27" i="108"/>
  <c r="AC26" i="108"/>
  <c r="U26" i="108"/>
  <c r="O99" i="108"/>
  <c r="O91" i="108"/>
  <c r="O83" i="108"/>
  <c r="O75" i="108"/>
  <c r="O67" i="108"/>
  <c r="O59" i="108"/>
  <c r="U24" i="107"/>
  <c r="AC22" i="107"/>
  <c r="U22" i="107"/>
  <c r="O99" i="107"/>
  <c r="O91" i="107"/>
  <c r="O83" i="107"/>
  <c r="O75" i="107"/>
  <c r="O67" i="107"/>
  <c r="O59" i="107"/>
  <c r="S32" i="107"/>
  <c r="X29" i="111"/>
  <c r="V28" i="111"/>
  <c r="T27" i="111"/>
  <c r="AC22" i="111"/>
  <c r="X33" i="108"/>
  <c r="AB32" i="108"/>
  <c r="T32" i="108"/>
  <c r="X31" i="108"/>
  <c r="X29" i="108"/>
  <c r="AB28" i="108"/>
  <c r="T28" i="108"/>
  <c r="X27" i="108"/>
  <c r="X25" i="108"/>
  <c r="AB24" i="108"/>
  <c r="T24" i="108"/>
  <c r="X23" i="108"/>
  <c r="P65" i="108"/>
  <c r="P73" i="108"/>
  <c r="P81" i="108"/>
  <c r="P89" i="108"/>
  <c r="P97" i="108"/>
  <c r="P105" i="108"/>
  <c r="X33" i="107"/>
  <c r="AB32" i="107"/>
  <c r="T32" i="107"/>
  <c r="X31" i="107"/>
  <c r="AB30" i="107"/>
  <c r="T30" i="107"/>
  <c r="X29" i="107"/>
  <c r="AB28" i="107"/>
  <c r="T28" i="107"/>
  <c r="X27" i="107"/>
  <c r="AB26" i="107"/>
  <c r="T26" i="107"/>
  <c r="X25" i="107"/>
  <c r="AB24" i="107"/>
  <c r="T24" i="107"/>
  <c r="X23" i="107"/>
  <c r="AB22" i="107"/>
  <c r="T22" i="107"/>
  <c r="O98" i="107"/>
  <c r="O90" i="107"/>
  <c r="O82" i="107"/>
  <c r="O74" i="107"/>
  <c r="O66" i="107"/>
  <c r="O58" i="107"/>
  <c r="P82" i="107"/>
  <c r="K98" i="111"/>
  <c r="AA32" i="111" s="1"/>
  <c r="AA32" i="108"/>
  <c r="G94" i="111"/>
  <c r="W31" i="111" s="1"/>
  <c r="W31" i="108"/>
  <c r="K90" i="111"/>
  <c r="AA30" i="111" s="1"/>
  <c r="AA30" i="108"/>
  <c r="G86" i="111"/>
  <c r="W29" i="111" s="1"/>
  <c r="W29" i="108"/>
  <c r="K82" i="111"/>
  <c r="AA28" i="111" s="1"/>
  <c r="AA28" i="108"/>
  <c r="G78" i="111"/>
  <c r="W27" i="111" s="1"/>
  <c r="W27" i="108"/>
  <c r="K74" i="111"/>
  <c r="AA26" i="111" s="1"/>
  <c r="AA26" i="108"/>
  <c r="G70" i="111"/>
  <c r="W25" i="111" s="1"/>
  <c r="W25" i="108"/>
  <c r="K66" i="111"/>
  <c r="AA24" i="111" s="1"/>
  <c r="AA24" i="108"/>
  <c r="G62" i="111"/>
  <c r="W23" i="111" s="1"/>
  <c r="W23" i="108"/>
  <c r="K58" i="111"/>
  <c r="AA22" i="111" s="1"/>
  <c r="AA22" i="108"/>
  <c r="S22" i="107"/>
  <c r="C98" i="111"/>
  <c r="S32" i="111" s="1"/>
  <c r="C90" i="111"/>
  <c r="S30" i="111" s="1"/>
  <c r="S30" i="107"/>
  <c r="C82" i="111"/>
  <c r="S28" i="111" s="1"/>
  <c r="C74" i="111"/>
  <c r="S26" i="111" s="1"/>
  <c r="S26" i="107"/>
  <c r="C66" i="111"/>
  <c r="S24" i="111" s="1"/>
  <c r="W33" i="107"/>
  <c r="W31" i="107"/>
  <c r="AA30" i="107"/>
  <c r="W29" i="107"/>
  <c r="W27" i="107"/>
  <c r="AA26" i="107"/>
  <c r="W25" i="107"/>
  <c r="W23" i="107"/>
  <c r="AA22" i="107"/>
  <c r="O105" i="107"/>
  <c r="O97" i="107"/>
  <c r="O89" i="107"/>
  <c r="O81" i="107"/>
  <c r="O73" i="107"/>
  <c r="O65" i="107"/>
  <c r="S24" i="107"/>
  <c r="X25" i="111"/>
  <c r="AD24" i="111"/>
  <c r="U24" i="111"/>
  <c r="AB23" i="111"/>
  <c r="Z22" i="111"/>
  <c r="AD33" i="108"/>
  <c r="V33" i="108"/>
  <c r="Z32" i="108"/>
  <c r="Z30" i="108"/>
  <c r="AD29" i="108"/>
  <c r="V29" i="108"/>
  <c r="Z28" i="108"/>
  <c r="Z26" i="108"/>
  <c r="AD25" i="108"/>
  <c r="V25" i="108"/>
  <c r="Z24" i="108"/>
  <c r="Z22" i="108"/>
  <c r="AD33" i="107"/>
  <c r="V33" i="107"/>
  <c r="Z32" i="107"/>
  <c r="AD31" i="107"/>
  <c r="V31" i="107"/>
  <c r="Z30" i="107"/>
  <c r="AD29" i="107"/>
  <c r="V29" i="107"/>
  <c r="Z28" i="107"/>
  <c r="AD27" i="107"/>
  <c r="V27" i="107"/>
  <c r="Z26" i="107"/>
  <c r="AD25" i="107"/>
  <c r="V25" i="107"/>
  <c r="Z24" i="107"/>
  <c r="AD23" i="107"/>
  <c r="V23" i="107"/>
  <c r="Z22" i="107"/>
  <c r="J77" i="111"/>
  <c r="P77" i="111" s="1"/>
  <c r="P89" i="111"/>
  <c r="O103" i="111"/>
  <c r="P103" i="111"/>
  <c r="O87" i="111"/>
  <c r="P87" i="111"/>
  <c r="O79" i="111"/>
  <c r="P79" i="111"/>
  <c r="O81" i="111"/>
  <c r="P95" i="111"/>
  <c r="O95" i="111"/>
  <c r="O105" i="111"/>
  <c r="P65" i="111"/>
  <c r="P97" i="111"/>
  <c r="P64" i="111"/>
  <c r="O97" i="111"/>
  <c r="P104" i="111"/>
  <c r="P102" i="111"/>
  <c r="P86" i="111"/>
  <c r="P78" i="111"/>
  <c r="P70" i="111"/>
  <c r="P62" i="111"/>
  <c r="O89" i="111"/>
  <c r="O58" i="111"/>
  <c r="O65" i="111"/>
  <c r="P93" i="111"/>
  <c r="P85" i="111"/>
  <c r="P69" i="111"/>
  <c r="P61" i="111"/>
  <c r="P105" i="111"/>
  <c r="P72" i="111"/>
  <c r="P92" i="111"/>
  <c r="P84" i="111"/>
  <c r="P76" i="111"/>
  <c r="P68" i="111"/>
  <c r="P60" i="111"/>
  <c r="P88" i="111"/>
  <c r="P101" i="111"/>
  <c r="P91" i="111"/>
  <c r="P59" i="111"/>
  <c r="P96" i="111"/>
  <c r="P100" i="111"/>
  <c r="P80" i="111"/>
  <c r="P99" i="111"/>
  <c r="O104" i="111"/>
  <c r="O96" i="111"/>
  <c r="O88" i="111"/>
  <c r="O80" i="111"/>
  <c r="O72" i="111"/>
  <c r="O64" i="111"/>
  <c r="O102" i="111"/>
  <c r="O94" i="111"/>
  <c r="O86" i="111"/>
  <c r="O78" i="111"/>
  <c r="O70" i="111"/>
  <c r="O101" i="111"/>
  <c r="O93" i="111"/>
  <c r="O85" i="111"/>
  <c r="O77" i="111"/>
  <c r="O69" i="111"/>
  <c r="O61" i="111"/>
  <c r="O100" i="111"/>
  <c r="O92" i="111"/>
  <c r="O84" i="111"/>
  <c r="O76" i="111"/>
  <c r="O68" i="111"/>
  <c r="O60" i="111"/>
  <c r="O99" i="111"/>
  <c r="O91" i="111"/>
  <c r="O67" i="111"/>
  <c r="O59" i="111"/>
  <c r="O90" i="111"/>
  <c r="AE30" i="111" s="1"/>
  <c r="O82" i="111"/>
  <c r="E58" i="104"/>
  <c r="D58" i="104"/>
  <c r="C58" i="104"/>
  <c r="P57" i="104"/>
  <c r="O57" i="104"/>
  <c r="P56" i="104"/>
  <c r="O56" i="104"/>
  <c r="P55" i="104"/>
  <c r="O55" i="104"/>
  <c r="P54" i="104"/>
  <c r="O54" i="104"/>
  <c r="P53" i="104"/>
  <c r="O53" i="104"/>
  <c r="P52" i="104"/>
  <c r="O52" i="104"/>
  <c r="P51" i="104"/>
  <c r="O51" i="104"/>
  <c r="P50" i="104"/>
  <c r="O50" i="104"/>
  <c r="P49" i="104"/>
  <c r="O49" i="104"/>
  <c r="P48" i="104"/>
  <c r="O48" i="104"/>
  <c r="P47" i="104"/>
  <c r="O47" i="104"/>
  <c r="P46" i="104"/>
  <c r="O46" i="104"/>
  <c r="P45" i="104"/>
  <c r="O45" i="104"/>
  <c r="P44" i="104"/>
  <c r="O44" i="104"/>
  <c r="P43" i="104"/>
  <c r="O43" i="104"/>
  <c r="P42" i="104"/>
  <c r="O42" i="104"/>
  <c r="P41" i="104"/>
  <c r="O41" i="104"/>
  <c r="P40" i="104"/>
  <c r="O40" i="104"/>
  <c r="P39" i="104"/>
  <c r="O39" i="104"/>
  <c r="P38" i="104"/>
  <c r="O38" i="104"/>
  <c r="P37" i="104"/>
  <c r="O37" i="104"/>
  <c r="AE16" i="104" s="1"/>
  <c r="AE15" i="104"/>
  <c r="P29" i="104"/>
  <c r="O29" i="104"/>
  <c r="P28" i="104"/>
  <c r="O28" i="104"/>
  <c r="P27" i="104"/>
  <c r="O27" i="104"/>
  <c r="P26" i="104"/>
  <c r="O26" i="104"/>
  <c r="P25" i="104"/>
  <c r="O25" i="104"/>
  <c r="P24" i="104"/>
  <c r="O24" i="104"/>
  <c r="P23" i="104"/>
  <c r="O23" i="104"/>
  <c r="P22" i="104"/>
  <c r="O22" i="104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D19" i="104"/>
  <c r="AC19" i="104"/>
  <c r="AB19" i="104"/>
  <c r="AA19" i="104"/>
  <c r="Z19" i="104"/>
  <c r="Y19" i="104"/>
  <c r="X19" i="104"/>
  <c r="W19" i="104"/>
  <c r="V19" i="104"/>
  <c r="U19" i="104"/>
  <c r="T19" i="104"/>
  <c r="S19" i="104"/>
  <c r="P19" i="104"/>
  <c r="O19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O18" i="104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O16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O15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O14" i="104"/>
  <c r="AD13" i="104"/>
  <c r="AC13" i="104"/>
  <c r="AB13" i="104"/>
  <c r="AA13" i="104"/>
  <c r="Z13" i="104"/>
  <c r="Y13" i="104"/>
  <c r="X13" i="104"/>
  <c r="W13" i="104"/>
  <c r="V13" i="104"/>
  <c r="U13" i="104"/>
  <c r="T13" i="104"/>
  <c r="S13" i="104"/>
  <c r="P13" i="104"/>
  <c r="O13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O11" i="104"/>
  <c r="AD10" i="104"/>
  <c r="AC10" i="104"/>
  <c r="AB10" i="104"/>
  <c r="AA10" i="104"/>
  <c r="Z10" i="104"/>
  <c r="Y10" i="104"/>
  <c r="X10" i="104"/>
  <c r="W10" i="104"/>
  <c r="V10" i="104"/>
  <c r="U10" i="104"/>
  <c r="T10" i="104"/>
  <c r="S10" i="104"/>
  <c r="P10" i="104"/>
  <c r="O10" i="104"/>
  <c r="K6" i="104"/>
  <c r="G6" i="104"/>
  <c r="K5" i="104"/>
  <c r="G5" i="104"/>
  <c r="C3" i="104"/>
  <c r="N58" i="103"/>
  <c r="M58" i="103"/>
  <c r="L58" i="103"/>
  <c r="K58" i="103"/>
  <c r="J58" i="103"/>
  <c r="I58" i="103"/>
  <c r="H58" i="103"/>
  <c r="G58" i="103"/>
  <c r="F58" i="103"/>
  <c r="E58" i="103"/>
  <c r="D58" i="103"/>
  <c r="C58" i="103"/>
  <c r="P57" i="103"/>
  <c r="O57" i="103"/>
  <c r="P56" i="103"/>
  <c r="O56" i="103"/>
  <c r="P55" i="103"/>
  <c r="O55" i="103"/>
  <c r="P54" i="103"/>
  <c r="AF21" i="103" s="1"/>
  <c r="O54" i="103"/>
  <c r="P53" i="103"/>
  <c r="O53" i="103"/>
  <c r="P52" i="103"/>
  <c r="O52" i="103"/>
  <c r="P51" i="103"/>
  <c r="O51" i="103"/>
  <c r="P50" i="103"/>
  <c r="O50" i="103"/>
  <c r="P49" i="103"/>
  <c r="O49" i="103"/>
  <c r="P48" i="103"/>
  <c r="O48" i="103"/>
  <c r="P47" i="103"/>
  <c r="O47" i="103"/>
  <c r="P46" i="103"/>
  <c r="O46" i="103"/>
  <c r="P45" i="103"/>
  <c r="O45" i="103"/>
  <c r="P44" i="103"/>
  <c r="O44" i="103"/>
  <c r="P43" i="103"/>
  <c r="O43" i="103"/>
  <c r="P42" i="103"/>
  <c r="O42" i="103"/>
  <c r="P41" i="103"/>
  <c r="O41" i="103"/>
  <c r="P40" i="103"/>
  <c r="O40" i="103"/>
  <c r="P39" i="103"/>
  <c r="O39" i="103"/>
  <c r="P38" i="103"/>
  <c r="AF17" i="103" s="1"/>
  <c r="O38" i="103"/>
  <c r="P37" i="103"/>
  <c r="O37" i="103"/>
  <c r="P36" i="103"/>
  <c r="O36" i="103"/>
  <c r="P35" i="103"/>
  <c r="O35" i="103"/>
  <c r="P34" i="103"/>
  <c r="O34" i="103"/>
  <c r="P33" i="103"/>
  <c r="O33" i="103"/>
  <c r="P32" i="103"/>
  <c r="O32" i="103"/>
  <c r="P31" i="103"/>
  <c r="O31" i="103"/>
  <c r="P30" i="103"/>
  <c r="O30" i="103"/>
  <c r="P29" i="103"/>
  <c r="O29" i="103"/>
  <c r="P28" i="103"/>
  <c r="O28" i="103"/>
  <c r="P27" i="103"/>
  <c r="O27" i="103"/>
  <c r="P26" i="103"/>
  <c r="O26" i="103"/>
  <c r="P25" i="103"/>
  <c r="O25" i="103"/>
  <c r="P24" i="103"/>
  <c r="O24" i="103"/>
  <c r="P23" i="103"/>
  <c r="O23" i="103"/>
  <c r="P22" i="103"/>
  <c r="AF13" i="103" s="1"/>
  <c r="O22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O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D19" i="103"/>
  <c r="AC19" i="103"/>
  <c r="AC27" i="103" s="1"/>
  <c r="AB19" i="103"/>
  <c r="AA19" i="103"/>
  <c r="Z19" i="103"/>
  <c r="Y19" i="103"/>
  <c r="X19" i="103"/>
  <c r="W19" i="103"/>
  <c r="V19" i="103"/>
  <c r="U19" i="103"/>
  <c r="U27" i="103" s="1"/>
  <c r="T19" i="103"/>
  <c r="S19" i="103"/>
  <c r="P19" i="103"/>
  <c r="O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O18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O15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O14" i="103"/>
  <c r="AD13" i="103"/>
  <c r="AC13" i="103"/>
  <c r="AB13" i="103"/>
  <c r="AA13" i="103"/>
  <c r="Z13" i="103"/>
  <c r="Y13" i="103"/>
  <c r="X13" i="103"/>
  <c r="W13" i="103"/>
  <c r="V13" i="103"/>
  <c r="U13" i="103"/>
  <c r="T13" i="103"/>
  <c r="S13" i="103"/>
  <c r="P13" i="103"/>
  <c r="O13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O11" i="103"/>
  <c r="AD10" i="103"/>
  <c r="AC10" i="103"/>
  <c r="AB10" i="103"/>
  <c r="AA10" i="103"/>
  <c r="Z10" i="103"/>
  <c r="Y10" i="103"/>
  <c r="X10" i="103"/>
  <c r="W10" i="103"/>
  <c r="V10" i="103"/>
  <c r="U10" i="103"/>
  <c r="T10" i="103"/>
  <c r="S10" i="103"/>
  <c r="P10" i="103"/>
  <c r="O10" i="103"/>
  <c r="K6" i="103"/>
  <c r="D6" i="103"/>
  <c r="K5" i="103"/>
  <c r="G5" i="103"/>
  <c r="C3" i="103"/>
  <c r="N106" i="105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P103" i="105"/>
  <c r="O103" i="105"/>
  <c r="P102" i="105"/>
  <c r="O102" i="105"/>
  <c r="P101" i="105"/>
  <c r="O101" i="105"/>
  <c r="P100" i="105"/>
  <c r="O100" i="105"/>
  <c r="P99" i="105"/>
  <c r="O99" i="105"/>
  <c r="P98" i="105"/>
  <c r="O98" i="105"/>
  <c r="P97" i="105"/>
  <c r="O97" i="105"/>
  <c r="P96" i="105"/>
  <c r="O96" i="105"/>
  <c r="P95" i="105"/>
  <c r="O95" i="105"/>
  <c r="P94" i="105"/>
  <c r="O94" i="105"/>
  <c r="P93" i="105"/>
  <c r="O93" i="105"/>
  <c r="P92" i="105"/>
  <c r="O92" i="105"/>
  <c r="P91" i="105"/>
  <c r="O91" i="105"/>
  <c r="P90" i="105"/>
  <c r="O90" i="105"/>
  <c r="P89" i="105"/>
  <c r="O89" i="105"/>
  <c r="P88" i="105"/>
  <c r="O88" i="105"/>
  <c r="P87" i="105"/>
  <c r="O87" i="105"/>
  <c r="P86" i="105"/>
  <c r="O86" i="105"/>
  <c r="P85" i="105"/>
  <c r="O85" i="105"/>
  <c r="P84" i="105"/>
  <c r="O84" i="105"/>
  <c r="P83" i="105"/>
  <c r="O83" i="105"/>
  <c r="P82" i="105"/>
  <c r="O82" i="105"/>
  <c r="P81" i="105"/>
  <c r="O81" i="105"/>
  <c r="P80" i="105"/>
  <c r="O80" i="105"/>
  <c r="P79" i="105"/>
  <c r="O79" i="105"/>
  <c r="P78" i="105"/>
  <c r="O78" i="105"/>
  <c r="P77" i="105"/>
  <c r="O77" i="105"/>
  <c r="P76" i="105"/>
  <c r="O76" i="105"/>
  <c r="P75" i="105"/>
  <c r="O75" i="105"/>
  <c r="P74" i="105"/>
  <c r="O74" i="105"/>
  <c r="P73" i="105"/>
  <c r="O73" i="105"/>
  <c r="P72" i="105"/>
  <c r="O72" i="105"/>
  <c r="P71" i="105"/>
  <c r="O71" i="105"/>
  <c r="P70" i="105"/>
  <c r="O70" i="105"/>
  <c r="P69" i="105"/>
  <c r="O69" i="105"/>
  <c r="P68" i="105"/>
  <c r="O68" i="105"/>
  <c r="P67" i="105"/>
  <c r="O67" i="105"/>
  <c r="P66" i="105"/>
  <c r="O66" i="105"/>
  <c r="P65" i="105"/>
  <c r="O65" i="105"/>
  <c r="P64" i="105"/>
  <c r="O64" i="105"/>
  <c r="P63" i="105"/>
  <c r="O63" i="105"/>
  <c r="P62" i="105"/>
  <c r="O62" i="105"/>
  <c r="P61" i="105"/>
  <c r="O61" i="105"/>
  <c r="P60" i="105"/>
  <c r="O60" i="105"/>
  <c r="P59" i="105"/>
  <c r="O59" i="105"/>
  <c r="P58" i="105"/>
  <c r="O58" i="105"/>
  <c r="P57" i="105"/>
  <c r="O57" i="105"/>
  <c r="P56" i="105"/>
  <c r="O56" i="105"/>
  <c r="P55" i="105"/>
  <c r="O55" i="105"/>
  <c r="P54" i="105"/>
  <c r="O54" i="105"/>
  <c r="P53" i="105"/>
  <c r="O53" i="105"/>
  <c r="P52" i="105"/>
  <c r="O52" i="105"/>
  <c r="P51" i="105"/>
  <c r="O51" i="105"/>
  <c r="P50" i="105"/>
  <c r="O50" i="105"/>
  <c r="P49" i="105"/>
  <c r="O49" i="105"/>
  <c r="P48" i="105"/>
  <c r="O48" i="105"/>
  <c r="P47" i="105"/>
  <c r="O47" i="105"/>
  <c r="P46" i="105"/>
  <c r="O46" i="105"/>
  <c r="P45" i="105"/>
  <c r="O45" i="105"/>
  <c r="P44" i="105"/>
  <c r="O44" i="105"/>
  <c r="P43" i="105"/>
  <c r="O43" i="105"/>
  <c r="P42" i="105"/>
  <c r="O42" i="105"/>
  <c r="P41" i="105"/>
  <c r="O41" i="105"/>
  <c r="P40" i="105"/>
  <c r="O40" i="105"/>
  <c r="P39" i="105"/>
  <c r="O39" i="105"/>
  <c r="P38" i="105"/>
  <c r="O38" i="105"/>
  <c r="P37" i="105"/>
  <c r="O37" i="105"/>
  <c r="P36" i="105"/>
  <c r="O36" i="105"/>
  <c r="P35" i="105"/>
  <c r="O35" i="105"/>
  <c r="P34" i="105"/>
  <c r="O34" i="105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O30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O26" i="105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O22" i="105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D19" i="105"/>
  <c r="AC19" i="105"/>
  <c r="AB19" i="105"/>
  <c r="AA19" i="105"/>
  <c r="Z19" i="105"/>
  <c r="Y19" i="105"/>
  <c r="X19" i="105"/>
  <c r="W19" i="105"/>
  <c r="V19" i="105"/>
  <c r="U19" i="105"/>
  <c r="T19" i="105"/>
  <c r="S19" i="105"/>
  <c r="P19" i="105"/>
  <c r="O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O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O14" i="105"/>
  <c r="AD13" i="105"/>
  <c r="AC13" i="105"/>
  <c r="AB13" i="105"/>
  <c r="AA13" i="105"/>
  <c r="Z13" i="105"/>
  <c r="Y13" i="105"/>
  <c r="X13" i="105"/>
  <c r="W13" i="105"/>
  <c r="V13" i="105"/>
  <c r="U13" i="105"/>
  <c r="T13" i="105"/>
  <c r="S13" i="105"/>
  <c r="P13" i="105"/>
  <c r="O13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C10" i="105"/>
  <c r="AB10" i="105"/>
  <c r="AA10" i="105"/>
  <c r="Z10" i="105"/>
  <c r="Y10" i="105"/>
  <c r="X10" i="105"/>
  <c r="W10" i="105"/>
  <c r="V10" i="105"/>
  <c r="U10" i="105"/>
  <c r="T10" i="105"/>
  <c r="S10" i="105"/>
  <c r="P10" i="105"/>
  <c r="O10" i="105"/>
  <c r="K6" i="105"/>
  <c r="D6" i="105"/>
  <c r="K5" i="105"/>
  <c r="G5" i="105"/>
  <c r="C3" i="105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O103" i="110"/>
  <c r="P102" i="110"/>
  <c r="AF33" i="110" s="1"/>
  <c r="O102" i="110"/>
  <c r="P101" i="110"/>
  <c r="O101" i="110"/>
  <c r="P100" i="110"/>
  <c r="O100" i="110"/>
  <c r="P99" i="110"/>
  <c r="O99" i="110"/>
  <c r="P98" i="110"/>
  <c r="AF32" i="110" s="1"/>
  <c r="O98" i="110"/>
  <c r="P97" i="110"/>
  <c r="O97" i="110"/>
  <c r="P96" i="110"/>
  <c r="AF31" i="110" s="1"/>
  <c r="O96" i="110"/>
  <c r="P95" i="110"/>
  <c r="O95" i="110"/>
  <c r="P94" i="110"/>
  <c r="O94" i="110"/>
  <c r="P93" i="110"/>
  <c r="O93" i="110"/>
  <c r="P92" i="110"/>
  <c r="O92" i="110"/>
  <c r="P91" i="110"/>
  <c r="O91" i="110"/>
  <c r="P90" i="110"/>
  <c r="AF30" i="110" s="1"/>
  <c r="O90" i="110"/>
  <c r="P89" i="110"/>
  <c r="O89" i="110"/>
  <c r="P88" i="110"/>
  <c r="O88" i="110"/>
  <c r="P87" i="110"/>
  <c r="O87" i="110"/>
  <c r="P86" i="110"/>
  <c r="AF29" i="110" s="1"/>
  <c r="O86" i="110"/>
  <c r="P85" i="110"/>
  <c r="O85" i="110"/>
  <c r="P84" i="110"/>
  <c r="AF28" i="110" s="1"/>
  <c r="O84" i="110"/>
  <c r="P83" i="110"/>
  <c r="O83" i="110"/>
  <c r="P82" i="110"/>
  <c r="O82" i="110"/>
  <c r="P81" i="110"/>
  <c r="O81" i="110"/>
  <c r="P80" i="110"/>
  <c r="O80" i="110"/>
  <c r="P79" i="110"/>
  <c r="O79" i="110"/>
  <c r="P78" i="110"/>
  <c r="O78" i="110"/>
  <c r="P77" i="110"/>
  <c r="O77" i="110"/>
  <c r="P76" i="110"/>
  <c r="AF26" i="110" s="1"/>
  <c r="O76" i="110"/>
  <c r="P75" i="110"/>
  <c r="O75" i="110"/>
  <c r="P74" i="110"/>
  <c r="O74" i="110"/>
  <c r="P73" i="110"/>
  <c r="O73" i="110"/>
  <c r="P72" i="110"/>
  <c r="O72" i="110"/>
  <c r="P71" i="110"/>
  <c r="O71" i="110"/>
  <c r="P70" i="110"/>
  <c r="AF25" i="110" s="1"/>
  <c r="O70" i="110"/>
  <c r="P69" i="110"/>
  <c r="O69" i="110"/>
  <c r="P68" i="110"/>
  <c r="O68" i="110"/>
  <c r="P67" i="110"/>
  <c r="O67" i="110"/>
  <c r="P66" i="110"/>
  <c r="AF24" i="110" s="1"/>
  <c r="O66" i="110"/>
  <c r="P65" i="110"/>
  <c r="O65" i="110"/>
  <c r="P64" i="110"/>
  <c r="AF23" i="110" s="1"/>
  <c r="O64" i="110"/>
  <c r="P63" i="110"/>
  <c r="O63" i="110"/>
  <c r="P62" i="110"/>
  <c r="O62" i="110"/>
  <c r="P61" i="110"/>
  <c r="O61" i="110"/>
  <c r="P60" i="110"/>
  <c r="O60" i="110"/>
  <c r="P59" i="110"/>
  <c r="O59" i="110"/>
  <c r="P58" i="110"/>
  <c r="AF22" i="110" s="1"/>
  <c r="O58" i="110"/>
  <c r="P57" i="110"/>
  <c r="O57" i="110"/>
  <c r="P56" i="110"/>
  <c r="O56" i="110"/>
  <c r="P55" i="110"/>
  <c r="O55" i="110"/>
  <c r="P54" i="110"/>
  <c r="AF21" i="110" s="1"/>
  <c r="O54" i="110"/>
  <c r="P53" i="110"/>
  <c r="O53" i="110"/>
  <c r="P52" i="110"/>
  <c r="AF20" i="110" s="1"/>
  <c r="O52" i="110"/>
  <c r="P51" i="110"/>
  <c r="O51" i="110"/>
  <c r="P50" i="110"/>
  <c r="O50" i="110"/>
  <c r="P49" i="110"/>
  <c r="O49" i="110"/>
  <c r="P48" i="110"/>
  <c r="O48" i="110"/>
  <c r="P47" i="110"/>
  <c r="O47" i="110"/>
  <c r="P46" i="110"/>
  <c r="O46" i="110"/>
  <c r="P45" i="110"/>
  <c r="O45" i="110"/>
  <c r="P44" i="110"/>
  <c r="AF18" i="110" s="1"/>
  <c r="O44" i="110"/>
  <c r="P43" i="110"/>
  <c r="O43" i="110"/>
  <c r="P42" i="110"/>
  <c r="O42" i="110"/>
  <c r="P41" i="110"/>
  <c r="O41" i="110"/>
  <c r="P40" i="110"/>
  <c r="O40" i="110"/>
  <c r="P39" i="110"/>
  <c r="O39" i="110"/>
  <c r="P38" i="110"/>
  <c r="AF17" i="110" s="1"/>
  <c r="O38" i="110"/>
  <c r="P37" i="110"/>
  <c r="O37" i="110"/>
  <c r="P36" i="110"/>
  <c r="O36" i="110"/>
  <c r="P35" i="110"/>
  <c r="O35" i="110"/>
  <c r="P34" i="110"/>
  <c r="AF16" i="110" s="1"/>
  <c r="O34" i="110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O31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AF15" i="110" s="1"/>
  <c r="O30" i="110"/>
  <c r="AE15" i="110" s="1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F27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AF14" i="110" s="1"/>
  <c r="O26" i="110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AF13" i="110" s="1"/>
  <c r="AF35" i="110" s="1"/>
  <c r="O22" i="110"/>
  <c r="AE13" i="110" s="1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D20" i="110"/>
  <c r="AC20" i="110"/>
  <c r="AB20" i="110"/>
  <c r="AA20" i="110"/>
  <c r="Z20" i="110"/>
  <c r="Y20" i="110"/>
  <c r="X20" i="110"/>
  <c r="W20" i="110"/>
  <c r="V20" i="110"/>
  <c r="U20" i="110"/>
  <c r="T20" i="110"/>
  <c r="S20" i="110"/>
  <c r="P20" i="110"/>
  <c r="O20" i="110"/>
  <c r="AF19" i="110"/>
  <c r="AD19" i="110"/>
  <c r="AD39" i="110" s="1"/>
  <c r="AC19" i="110"/>
  <c r="AB19" i="110"/>
  <c r="AA19" i="110"/>
  <c r="AA39" i="110" s="1"/>
  <c r="Z19" i="110"/>
  <c r="Y19" i="110"/>
  <c r="X19" i="110"/>
  <c r="W19" i="110"/>
  <c r="W39" i="110" s="1"/>
  <c r="V19" i="110"/>
  <c r="V39" i="110" s="1"/>
  <c r="U19" i="110"/>
  <c r="T19" i="110"/>
  <c r="S19" i="110"/>
  <c r="S39" i="110" s="1"/>
  <c r="P19" i="110"/>
  <c r="O19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O18" i="110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AF11" i="110" s="1"/>
  <c r="O14" i="110"/>
  <c r="AE11" i="110" s="1"/>
  <c r="AD13" i="110"/>
  <c r="AC13" i="110"/>
  <c r="AB13" i="110"/>
  <c r="AA13" i="110"/>
  <c r="Z13" i="110"/>
  <c r="Y13" i="110"/>
  <c r="Y38" i="110" s="1"/>
  <c r="X13" i="110"/>
  <c r="X35" i="110" s="1"/>
  <c r="W13" i="110"/>
  <c r="V13" i="110"/>
  <c r="U13" i="110"/>
  <c r="T13" i="110"/>
  <c r="S13" i="110"/>
  <c r="P13" i="110"/>
  <c r="O13" i="110"/>
  <c r="AF12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C10" i="110"/>
  <c r="AB10" i="110"/>
  <c r="AA10" i="110"/>
  <c r="Z10" i="110"/>
  <c r="Y10" i="110"/>
  <c r="X10" i="110"/>
  <c r="W10" i="110"/>
  <c r="V10" i="110"/>
  <c r="U10" i="110"/>
  <c r="T10" i="110"/>
  <c r="S10" i="110"/>
  <c r="P10" i="110"/>
  <c r="O10" i="110"/>
  <c r="K6" i="110"/>
  <c r="G6" i="110"/>
  <c r="K5" i="110"/>
  <c r="G5" i="110"/>
  <c r="C3" i="110"/>
  <c r="AE27" i="107" l="1"/>
  <c r="AE29" i="111"/>
  <c r="AE24" i="107"/>
  <c r="AF19" i="105"/>
  <c r="AE32" i="107"/>
  <c r="AF24" i="107"/>
  <c r="AF25" i="107"/>
  <c r="AF30" i="105"/>
  <c r="AF11" i="105"/>
  <c r="P74" i="111"/>
  <c r="O63" i="111"/>
  <c r="AE31" i="108"/>
  <c r="AF24" i="108"/>
  <c r="S38" i="110"/>
  <c r="AA38" i="110"/>
  <c r="Y39" i="110"/>
  <c r="T28" i="103"/>
  <c r="AB28" i="103"/>
  <c r="O98" i="111"/>
  <c r="AE32" i="111" s="1"/>
  <c r="AE33" i="111"/>
  <c r="P82" i="111"/>
  <c r="AF27" i="111"/>
  <c r="P63" i="111"/>
  <c r="AF23" i="111" s="1"/>
  <c r="O71" i="111"/>
  <c r="AE25" i="111" s="1"/>
  <c r="AF28" i="107"/>
  <c r="AF27" i="107"/>
  <c r="AF30" i="108"/>
  <c r="AF36" i="110"/>
  <c r="V41" i="110"/>
  <c r="Z38" i="110"/>
  <c r="AE31" i="111"/>
  <c r="P71" i="111"/>
  <c r="AF25" i="111" s="1"/>
  <c r="T38" i="110"/>
  <c r="AB38" i="110"/>
  <c r="AE12" i="110"/>
  <c r="Z39" i="110"/>
  <c r="AE14" i="110"/>
  <c r="AE16" i="110"/>
  <c r="AE17" i="110"/>
  <c r="AE35" i="110" s="1"/>
  <c r="AE18" i="110"/>
  <c r="AE19" i="110"/>
  <c r="AE20" i="110"/>
  <c r="AE21" i="110"/>
  <c r="AE22" i="110"/>
  <c r="AE23" i="110"/>
  <c r="AE24" i="110"/>
  <c r="AE25" i="110"/>
  <c r="AE26" i="110"/>
  <c r="AE27" i="110"/>
  <c r="AE28" i="110"/>
  <c r="AE29" i="110"/>
  <c r="AE30" i="110"/>
  <c r="AE31" i="110"/>
  <c r="AE32" i="110"/>
  <c r="AE33" i="110"/>
  <c r="AF15" i="105"/>
  <c r="AF18" i="105"/>
  <c r="AF22" i="105"/>
  <c r="AF23" i="105"/>
  <c r="AF26" i="105"/>
  <c r="AF27" i="105"/>
  <c r="AF31" i="105"/>
  <c r="P98" i="111"/>
  <c r="AF32" i="111" s="1"/>
  <c r="AF29" i="111"/>
  <c r="O73" i="111"/>
  <c r="P58" i="111"/>
  <c r="AF22" i="111" s="1"/>
  <c r="AE22" i="107"/>
  <c r="Z26" i="111"/>
  <c r="AE33" i="108"/>
  <c r="T28" i="111"/>
  <c r="AE25" i="107"/>
  <c r="AB27" i="111"/>
  <c r="AE26" i="108"/>
  <c r="AD41" i="110"/>
  <c r="AC38" i="110"/>
  <c r="S39" i="105"/>
  <c r="AA39" i="105"/>
  <c r="P75" i="111"/>
  <c r="P94" i="111"/>
  <c r="AF31" i="111" s="1"/>
  <c r="AE31" i="107"/>
  <c r="AF26" i="108"/>
  <c r="AE32" i="108"/>
  <c r="AE28" i="111"/>
  <c r="U38" i="110"/>
  <c r="V38" i="110"/>
  <c r="AB39" i="110"/>
  <c r="O62" i="111"/>
  <c r="AE23" i="111" s="1"/>
  <c r="P83" i="111"/>
  <c r="AF33" i="111"/>
  <c r="AE26" i="107"/>
  <c r="T25" i="111"/>
  <c r="AF31" i="108"/>
  <c r="AF31" i="107"/>
  <c r="AF32" i="108"/>
  <c r="X39" i="110"/>
  <c r="AD38" i="110"/>
  <c r="T36" i="110"/>
  <c r="W38" i="110"/>
  <c r="U39" i="110"/>
  <c r="AC39" i="110"/>
  <c r="O66" i="111"/>
  <c r="AE24" i="111" s="1"/>
  <c r="P66" i="111"/>
  <c r="AF24" i="111" s="1"/>
  <c r="AE22" i="111"/>
  <c r="AE28" i="107"/>
  <c r="AE33" i="107"/>
  <c r="AF23" i="108"/>
  <c r="AE29" i="107"/>
  <c r="AE23" i="107"/>
  <c r="AE28" i="108"/>
  <c r="AE13" i="103"/>
  <c r="AE14" i="103"/>
  <c r="O74" i="111"/>
  <c r="AE26" i="111" s="1"/>
  <c r="AE27" i="111"/>
  <c r="P90" i="111"/>
  <c r="AF30" i="111" s="1"/>
  <c r="AE30" i="107"/>
  <c r="AF33" i="107"/>
  <c r="AF29" i="107"/>
  <c r="AF23" i="107"/>
  <c r="AF28" i="108"/>
  <c r="AE22" i="108"/>
  <c r="Y27" i="104"/>
  <c r="V26" i="104"/>
  <c r="AD26" i="104"/>
  <c r="Z27" i="104"/>
  <c r="W26" i="104"/>
  <c r="AE11" i="104"/>
  <c r="AE12" i="104"/>
  <c r="S27" i="104"/>
  <c r="AA27" i="104"/>
  <c r="AE13" i="104"/>
  <c r="X27" i="104"/>
  <c r="AE14" i="104"/>
  <c r="X28" i="104"/>
  <c r="AE17" i="104"/>
  <c r="AE18" i="104"/>
  <c r="AE19" i="104"/>
  <c r="AE20" i="104"/>
  <c r="AE21" i="104"/>
  <c r="AC35" i="105"/>
  <c r="AA26" i="103"/>
  <c r="Y35" i="105"/>
  <c r="AF12" i="105"/>
  <c r="AF16" i="105"/>
  <c r="AF17" i="105"/>
  <c r="AF20" i="105"/>
  <c r="AF21" i="105"/>
  <c r="AF39" i="105" s="1"/>
  <c r="AF24" i="105"/>
  <c r="AF25" i="105"/>
  <c r="AF28" i="105"/>
  <c r="AF29" i="105"/>
  <c r="AF32" i="105"/>
  <c r="AF33" i="105"/>
  <c r="W26" i="103"/>
  <c r="AF11" i="103"/>
  <c r="AF28" i="103" s="1"/>
  <c r="Y27" i="103"/>
  <c r="S26" i="104"/>
  <c r="AA26" i="104"/>
  <c r="W27" i="104"/>
  <c r="S26" i="103"/>
  <c r="T26" i="104"/>
  <c r="AB26" i="104"/>
  <c r="U38" i="105"/>
  <c r="V41" i="105"/>
  <c r="AD41" i="105"/>
  <c r="AF13" i="105"/>
  <c r="W28" i="104"/>
  <c r="U26" i="104"/>
  <c r="AC26" i="104"/>
  <c r="X26" i="104"/>
  <c r="AF11" i="104"/>
  <c r="AF12" i="104"/>
  <c r="T27" i="104"/>
  <c r="AB27" i="104"/>
  <c r="AF13" i="104"/>
  <c r="AF14" i="104"/>
  <c r="AF15" i="104"/>
  <c r="AF16" i="104"/>
  <c r="AF17" i="104"/>
  <c r="AF18" i="104"/>
  <c r="AF19" i="104"/>
  <c r="AF20" i="104"/>
  <c r="AF21" i="104"/>
  <c r="W39" i="105"/>
  <c r="AF10" i="105"/>
  <c r="Z41" i="105"/>
  <c r="AB34" i="105"/>
  <c r="AF14" i="103"/>
  <c r="AF23" i="103" s="1"/>
  <c r="AF15" i="103"/>
  <c r="AF16" i="103"/>
  <c r="AF18" i="103"/>
  <c r="AF19" i="103"/>
  <c r="AF20" i="103"/>
  <c r="S28" i="104"/>
  <c r="AA28" i="104"/>
  <c r="Y26" i="104"/>
  <c r="U27" i="104"/>
  <c r="AC27" i="104"/>
  <c r="AF14" i="105"/>
  <c r="AF10" i="110"/>
  <c r="AF40" i="110" s="1"/>
  <c r="Z41" i="110"/>
  <c r="AE17" i="105"/>
  <c r="AE18" i="105"/>
  <c r="X25" i="103"/>
  <c r="AF10" i="103"/>
  <c r="AF12" i="103"/>
  <c r="T28" i="104"/>
  <c r="AB28" i="104"/>
  <c r="Z26" i="104"/>
  <c r="V27" i="104"/>
  <c r="AD27" i="104"/>
  <c r="AF26" i="103"/>
  <c r="AA41" i="110"/>
  <c r="S41" i="105"/>
  <c r="AD38" i="105"/>
  <c r="P106" i="105"/>
  <c r="M107" i="105" s="1"/>
  <c r="O58" i="103"/>
  <c r="H60" i="103" s="1"/>
  <c r="U28" i="103"/>
  <c r="Y22" i="103"/>
  <c r="AC22" i="103"/>
  <c r="T26" i="103"/>
  <c r="X26" i="103"/>
  <c r="AB26" i="103"/>
  <c r="AE11" i="103"/>
  <c r="AE12" i="103"/>
  <c r="V27" i="103"/>
  <c r="Z27" i="103"/>
  <c r="AD27" i="103"/>
  <c r="W41" i="110"/>
  <c r="AA41" i="105"/>
  <c r="V38" i="105"/>
  <c r="T40" i="110"/>
  <c r="X41" i="110"/>
  <c r="AB37" i="110"/>
  <c r="T34" i="105"/>
  <c r="S38" i="105"/>
  <c r="W38" i="105"/>
  <c r="AA38" i="105"/>
  <c r="U39" i="105"/>
  <c r="Y39" i="105"/>
  <c r="AC39" i="105"/>
  <c r="AE19" i="105"/>
  <c r="AE20" i="105"/>
  <c r="AE21" i="105"/>
  <c r="AE22" i="105"/>
  <c r="AE23" i="105"/>
  <c r="AE24" i="105"/>
  <c r="AE25" i="105"/>
  <c r="AE26" i="105"/>
  <c r="AE27" i="105"/>
  <c r="AE28" i="105"/>
  <c r="AE29" i="105"/>
  <c r="AE30" i="105"/>
  <c r="AE31" i="105"/>
  <c r="AE32" i="105"/>
  <c r="AE33" i="105"/>
  <c r="V28" i="103"/>
  <c r="Z28" i="103"/>
  <c r="AD28" i="103"/>
  <c r="U26" i="103"/>
  <c r="Y26" i="103"/>
  <c r="AC26" i="103"/>
  <c r="S27" i="103"/>
  <c r="W27" i="103"/>
  <c r="AA27" i="103"/>
  <c r="P58" i="103"/>
  <c r="G59" i="103" s="1"/>
  <c r="U28" i="104"/>
  <c r="Y28" i="104"/>
  <c r="AC28" i="104"/>
  <c r="S41" i="110"/>
  <c r="W41" i="105"/>
  <c r="Z38" i="105"/>
  <c r="O106" i="110"/>
  <c r="G108" i="110" s="1"/>
  <c r="U41" i="110"/>
  <c r="Y41" i="110"/>
  <c r="AC41" i="110"/>
  <c r="P106" i="110"/>
  <c r="F107" i="110" s="1"/>
  <c r="O106" i="105"/>
  <c r="K108" i="105" s="1"/>
  <c r="U41" i="105"/>
  <c r="Y41" i="105"/>
  <c r="AC41" i="105"/>
  <c r="T38" i="105"/>
  <c r="X38" i="105"/>
  <c r="AB38" i="105"/>
  <c r="AE11" i="105"/>
  <c r="AE12" i="105"/>
  <c r="V39" i="105"/>
  <c r="Z39" i="105"/>
  <c r="AD39" i="105"/>
  <c r="AE13" i="105"/>
  <c r="AE14" i="105"/>
  <c r="AE15" i="105"/>
  <c r="AE16" i="105"/>
  <c r="S28" i="103"/>
  <c r="W28" i="103"/>
  <c r="AA28" i="103"/>
  <c r="V26" i="103"/>
  <c r="Z26" i="103"/>
  <c r="AD26" i="103"/>
  <c r="T27" i="103"/>
  <c r="X27" i="103"/>
  <c r="AB27" i="103"/>
  <c r="AE15" i="103"/>
  <c r="AE16" i="103"/>
  <c r="AE17" i="103"/>
  <c r="AE18" i="103"/>
  <c r="AE19" i="103"/>
  <c r="AE20" i="103"/>
  <c r="AE21" i="103"/>
  <c r="P58" i="104"/>
  <c r="V28" i="104"/>
  <c r="Z28" i="104"/>
  <c r="AD28" i="104"/>
  <c r="AF10" i="104"/>
  <c r="T22" i="104"/>
  <c r="X22" i="104"/>
  <c r="AB22" i="104"/>
  <c r="T23" i="104"/>
  <c r="X23" i="104"/>
  <c r="K58" i="104" s="1"/>
  <c r="AB23" i="104"/>
  <c r="O58" i="104" s="1"/>
  <c r="T24" i="104"/>
  <c r="X24" i="104"/>
  <c r="AB24" i="104"/>
  <c r="T25" i="104"/>
  <c r="X25" i="104"/>
  <c r="AB25" i="104"/>
  <c r="U22" i="104"/>
  <c r="Y22" i="104"/>
  <c r="AC22" i="104"/>
  <c r="U23" i="104"/>
  <c r="H58" i="104" s="1"/>
  <c r="Y23" i="104"/>
  <c r="L58" i="104" s="1"/>
  <c r="AC23" i="104"/>
  <c r="U24" i="104"/>
  <c r="Y24" i="104"/>
  <c r="AC24" i="104"/>
  <c r="U25" i="104"/>
  <c r="Y25" i="104"/>
  <c r="AC25" i="104"/>
  <c r="V22" i="104"/>
  <c r="Z22" i="104"/>
  <c r="AD22" i="104"/>
  <c r="V23" i="104"/>
  <c r="I58" i="104" s="1"/>
  <c r="Z23" i="104"/>
  <c r="M58" i="104" s="1"/>
  <c r="AD23" i="104"/>
  <c r="V24" i="104"/>
  <c r="Z24" i="104"/>
  <c r="AD24" i="104"/>
  <c r="V25" i="104"/>
  <c r="Z25" i="104"/>
  <c r="AD25" i="104"/>
  <c r="AE10" i="104"/>
  <c r="S22" i="104"/>
  <c r="W22" i="104"/>
  <c r="AA22" i="104"/>
  <c r="S23" i="104"/>
  <c r="F58" i="104" s="1"/>
  <c r="W23" i="104"/>
  <c r="J58" i="104" s="1"/>
  <c r="AA23" i="104"/>
  <c r="N58" i="104" s="1"/>
  <c r="S24" i="104"/>
  <c r="W24" i="104"/>
  <c r="AA24" i="104"/>
  <c r="AE24" i="104"/>
  <c r="S25" i="104"/>
  <c r="W25" i="104"/>
  <c r="AA25" i="104"/>
  <c r="G60" i="103"/>
  <c r="J60" i="103"/>
  <c r="T22" i="103"/>
  <c r="AB22" i="103"/>
  <c r="T23" i="103"/>
  <c r="AB23" i="103"/>
  <c r="T24" i="103"/>
  <c r="AB24" i="103"/>
  <c r="T25" i="103"/>
  <c r="X28" i="103"/>
  <c r="U22" i="103"/>
  <c r="U23" i="103"/>
  <c r="Y23" i="103"/>
  <c r="AC23" i="103"/>
  <c r="U24" i="103"/>
  <c r="Y24" i="103"/>
  <c r="AC24" i="103"/>
  <c r="U25" i="103"/>
  <c r="Y25" i="103"/>
  <c r="AC25" i="103"/>
  <c r="Y28" i="103"/>
  <c r="AC28" i="103"/>
  <c r="X22" i="103"/>
  <c r="X23" i="103"/>
  <c r="X24" i="103"/>
  <c r="AF24" i="103"/>
  <c r="AB25" i="103"/>
  <c r="V22" i="103"/>
  <c r="Z22" i="103"/>
  <c r="AD22" i="103"/>
  <c r="V23" i="103"/>
  <c r="Z23" i="103"/>
  <c r="AD23" i="103"/>
  <c r="V24" i="103"/>
  <c r="Z24" i="103"/>
  <c r="AD24" i="103"/>
  <c r="V25" i="103"/>
  <c r="Z25" i="103"/>
  <c r="AD25" i="103"/>
  <c r="L59" i="103"/>
  <c r="AE10" i="103"/>
  <c r="S22" i="103"/>
  <c r="W22" i="103"/>
  <c r="AA22" i="103"/>
  <c r="S23" i="103"/>
  <c r="W23" i="103"/>
  <c r="AA23" i="103"/>
  <c r="S24" i="103"/>
  <c r="W24" i="103"/>
  <c r="AA24" i="103"/>
  <c r="S25" i="103"/>
  <c r="W25" i="103"/>
  <c r="AA25" i="103"/>
  <c r="X35" i="105"/>
  <c r="T39" i="105"/>
  <c r="T36" i="105"/>
  <c r="X36" i="105"/>
  <c r="X39" i="105"/>
  <c r="AB39" i="105"/>
  <c r="AB36" i="105"/>
  <c r="AB35" i="105"/>
  <c r="T35" i="105"/>
  <c r="T37" i="105"/>
  <c r="T41" i="105"/>
  <c r="T40" i="105"/>
  <c r="X40" i="105"/>
  <c r="X37" i="105"/>
  <c r="X41" i="105"/>
  <c r="AB41" i="105"/>
  <c r="AB40" i="105"/>
  <c r="AB37" i="105"/>
  <c r="X34" i="105"/>
  <c r="U34" i="105"/>
  <c r="U35" i="105"/>
  <c r="Y36" i="105"/>
  <c r="U37" i="105"/>
  <c r="Y38" i="105"/>
  <c r="Y40" i="105"/>
  <c r="Y42" i="105" s="1"/>
  <c r="Y34" i="105"/>
  <c r="AC34" i="105"/>
  <c r="AC36" i="105"/>
  <c r="Y37" i="105"/>
  <c r="AC37" i="105"/>
  <c r="AC38" i="105"/>
  <c r="U40" i="105"/>
  <c r="U42" i="105" s="1"/>
  <c r="AC40" i="105"/>
  <c r="V34" i="105"/>
  <c r="Z34" i="105"/>
  <c r="AD34" i="105"/>
  <c r="V35" i="105"/>
  <c r="Z35" i="105"/>
  <c r="AD35" i="105"/>
  <c r="V36" i="105"/>
  <c r="Z36" i="105"/>
  <c r="AD36" i="105"/>
  <c r="V37" i="105"/>
  <c r="Z37" i="105"/>
  <c r="AD37" i="105"/>
  <c r="V40" i="105"/>
  <c r="Z40" i="105"/>
  <c r="AD40" i="105"/>
  <c r="AD42" i="105" s="1"/>
  <c r="U36" i="105"/>
  <c r="AE10" i="105"/>
  <c r="S34" i="105"/>
  <c r="W34" i="105"/>
  <c r="AA34" i="105"/>
  <c r="S35" i="105"/>
  <c r="W35" i="105"/>
  <c r="AA35" i="105"/>
  <c r="S36" i="105"/>
  <c r="W36" i="105"/>
  <c r="AA36" i="105"/>
  <c r="S37" i="105"/>
  <c r="W37" i="105"/>
  <c r="AA37" i="105"/>
  <c r="S40" i="105"/>
  <c r="W40" i="105"/>
  <c r="W42" i="105" s="1"/>
  <c r="AA40" i="105"/>
  <c r="F108" i="110"/>
  <c r="H108" i="110"/>
  <c r="L108" i="110"/>
  <c r="T34" i="110"/>
  <c r="AF34" i="110"/>
  <c r="AB35" i="110"/>
  <c r="AB36" i="110"/>
  <c r="X37" i="110"/>
  <c r="AF37" i="110"/>
  <c r="X38" i="110"/>
  <c r="T39" i="110"/>
  <c r="AF39" i="110"/>
  <c r="AB40" i="110"/>
  <c r="AB41" i="110"/>
  <c r="U34" i="110"/>
  <c r="Y34" i="110"/>
  <c r="AC34" i="110"/>
  <c r="U35" i="110"/>
  <c r="Y35" i="110"/>
  <c r="AC35" i="110"/>
  <c r="U36" i="110"/>
  <c r="Y36" i="110"/>
  <c r="AC36" i="110"/>
  <c r="U37" i="110"/>
  <c r="Y37" i="110"/>
  <c r="AC37" i="110"/>
  <c r="U40" i="110"/>
  <c r="U42" i="110" s="1"/>
  <c r="Y40" i="110"/>
  <c r="AC40" i="110"/>
  <c r="K107" i="110"/>
  <c r="X34" i="110"/>
  <c r="T35" i="110"/>
  <c r="X36" i="110"/>
  <c r="T37" i="110"/>
  <c r="AF38" i="110"/>
  <c r="X40" i="110"/>
  <c r="X42" i="110" s="1"/>
  <c r="T41" i="110"/>
  <c r="T42" i="110" s="1"/>
  <c r="AF41" i="110"/>
  <c r="AF42" i="110" s="1"/>
  <c r="V34" i="110"/>
  <c r="Z34" i="110"/>
  <c r="AD34" i="110"/>
  <c r="V35" i="110"/>
  <c r="Z35" i="110"/>
  <c r="AD35" i="110"/>
  <c r="V36" i="110"/>
  <c r="Z36" i="110"/>
  <c r="AD36" i="110"/>
  <c r="V37" i="110"/>
  <c r="Z37" i="110"/>
  <c r="AD37" i="110"/>
  <c r="V40" i="110"/>
  <c r="V42" i="110" s="1"/>
  <c r="Z40" i="110"/>
  <c r="AD40" i="110"/>
  <c r="AD42" i="110" s="1"/>
  <c r="D107" i="110"/>
  <c r="AB34" i="110"/>
  <c r="AE10" i="110"/>
  <c r="S34" i="110"/>
  <c r="W34" i="110"/>
  <c r="AA34" i="110"/>
  <c r="S35" i="110"/>
  <c r="W35" i="110"/>
  <c r="AA35" i="110"/>
  <c r="S36" i="110"/>
  <c r="W36" i="110"/>
  <c r="AA36" i="110"/>
  <c r="AE36" i="110"/>
  <c r="S37" i="110"/>
  <c r="W37" i="110"/>
  <c r="AA37" i="110"/>
  <c r="S40" i="110"/>
  <c r="S42" i="110" s="1"/>
  <c r="W40" i="110"/>
  <c r="W42" i="110" s="1"/>
  <c r="AA40" i="110"/>
  <c r="AA42" i="110" s="1"/>
  <c r="AF35" i="105" l="1"/>
  <c r="AE38" i="105"/>
  <c r="G107" i="105"/>
  <c r="J108" i="105"/>
  <c r="H108" i="105"/>
  <c r="I108" i="105"/>
  <c r="L107" i="105"/>
  <c r="L108" i="105"/>
  <c r="AE23" i="103"/>
  <c r="AF36" i="105"/>
  <c r="AE26" i="104"/>
  <c r="AF28" i="111"/>
  <c r="AC42" i="110"/>
  <c r="AF40" i="105"/>
  <c r="AF38" i="105"/>
  <c r="AE23" i="104"/>
  <c r="AE39" i="105"/>
  <c r="AE38" i="110"/>
  <c r="Y42" i="110"/>
  <c r="V42" i="105"/>
  <c r="AA42" i="105"/>
  <c r="AF22" i="103"/>
  <c r="AE39" i="110"/>
  <c r="AF26" i="111"/>
  <c r="AE27" i="103"/>
  <c r="AF24" i="104"/>
  <c r="F59" i="104"/>
  <c r="K60" i="104"/>
  <c r="N60" i="104"/>
  <c r="D60" i="104"/>
  <c r="E60" i="104"/>
  <c r="I60" i="104"/>
  <c r="J60" i="104"/>
  <c r="M59" i="104"/>
  <c r="G58" i="104"/>
  <c r="G60" i="104" s="1"/>
  <c r="AE27" i="104"/>
  <c r="AF23" i="104"/>
  <c r="AF25" i="103"/>
  <c r="K59" i="103"/>
  <c r="C60" i="103"/>
  <c r="E59" i="103"/>
  <c r="D59" i="103"/>
  <c r="N59" i="103"/>
  <c r="K60" i="103"/>
  <c r="L60" i="103"/>
  <c r="M59" i="103"/>
  <c r="F60" i="103"/>
  <c r="H59" i="103"/>
  <c r="F59" i="103"/>
  <c r="D60" i="103"/>
  <c r="I60" i="103"/>
  <c r="N60" i="103"/>
  <c r="I59" i="103"/>
  <c r="J59" i="103"/>
  <c r="E60" i="103"/>
  <c r="C59" i="103"/>
  <c r="Z42" i="110"/>
  <c r="AF27" i="103"/>
  <c r="AE35" i="105"/>
  <c r="C60" i="104"/>
  <c r="AF26" i="104"/>
  <c r="S42" i="105"/>
  <c r="AF41" i="105"/>
  <c r="AF42" i="105" s="1"/>
  <c r="AE26" i="103"/>
  <c r="C108" i="110"/>
  <c r="J107" i="110"/>
  <c r="Z42" i="105"/>
  <c r="AF37" i="105"/>
  <c r="E59" i="104"/>
  <c r="L59" i="104"/>
  <c r="AF34" i="105"/>
  <c r="AF27" i="104"/>
  <c r="M107" i="110"/>
  <c r="H107" i="110"/>
  <c r="H107" i="105"/>
  <c r="AB42" i="105"/>
  <c r="N107" i="105"/>
  <c r="K107" i="105"/>
  <c r="F108" i="105"/>
  <c r="E108" i="105"/>
  <c r="D108" i="105"/>
  <c r="G107" i="110"/>
  <c r="N108" i="110"/>
  <c r="N107" i="110"/>
  <c r="I108" i="110"/>
  <c r="D108" i="110"/>
  <c r="E107" i="105"/>
  <c r="D107" i="105"/>
  <c r="AC42" i="105"/>
  <c r="X42" i="105"/>
  <c r="J107" i="105"/>
  <c r="F107" i="105"/>
  <c r="C108" i="105"/>
  <c r="N108" i="105"/>
  <c r="AE36" i="105"/>
  <c r="AE24" i="103"/>
  <c r="D59" i="104"/>
  <c r="N59" i="104"/>
  <c r="F60" i="104"/>
  <c r="L60" i="104"/>
  <c r="K108" i="110"/>
  <c r="I107" i="105"/>
  <c r="G108" i="105"/>
  <c r="H59" i="104"/>
  <c r="C59" i="104"/>
  <c r="I107" i="110"/>
  <c r="E107" i="110"/>
  <c r="L107" i="110"/>
  <c r="C107" i="110"/>
  <c r="E108" i="110"/>
  <c r="J108" i="110"/>
  <c r="C107" i="105"/>
  <c r="I59" i="104"/>
  <c r="K59" i="104"/>
  <c r="J59" i="104"/>
  <c r="H60" i="104"/>
  <c r="AE28" i="104"/>
  <c r="AE25" i="104"/>
  <c r="AE22" i="104"/>
  <c r="AF28" i="104"/>
  <c r="AF25" i="104"/>
  <c r="AF22" i="104"/>
  <c r="AE28" i="103"/>
  <c r="AE25" i="103"/>
  <c r="AE22" i="103"/>
  <c r="AE41" i="105"/>
  <c r="AE40" i="105"/>
  <c r="AE37" i="105"/>
  <c r="AE34" i="105"/>
  <c r="T42" i="105"/>
  <c r="AE41" i="110"/>
  <c r="AE40" i="110"/>
  <c r="AE37" i="110"/>
  <c r="AE34" i="110"/>
  <c r="AB42" i="110"/>
  <c r="G59" i="104" l="1"/>
  <c r="AE42" i="105"/>
  <c r="AE42" i="110"/>
  <c r="N58" i="96" l="1"/>
  <c r="M58" i="96"/>
  <c r="L58" i="96"/>
  <c r="K58" i="96"/>
  <c r="J58" i="96"/>
  <c r="I58" i="96"/>
  <c r="H58" i="96"/>
  <c r="G58" i="96"/>
  <c r="F58" i="96"/>
  <c r="E58" i="96"/>
  <c r="D58" i="96"/>
  <c r="C58" i="96"/>
  <c r="P57" i="96"/>
  <c r="O57" i="96"/>
  <c r="P56" i="96"/>
  <c r="O56" i="96"/>
  <c r="P55" i="96"/>
  <c r="O55" i="96"/>
  <c r="P54" i="96"/>
  <c r="O54" i="96"/>
  <c r="P53" i="96"/>
  <c r="O53" i="96"/>
  <c r="P52" i="96"/>
  <c r="O52" i="96"/>
  <c r="P51" i="96"/>
  <c r="O51" i="96"/>
  <c r="P50" i="96"/>
  <c r="O50" i="96"/>
  <c r="P49" i="96"/>
  <c r="O49" i="96"/>
  <c r="P48" i="96"/>
  <c r="O48" i="96"/>
  <c r="P47" i="96"/>
  <c r="O47" i="96"/>
  <c r="P46" i="96"/>
  <c r="O46" i="96"/>
  <c r="P45" i="96"/>
  <c r="O45" i="96"/>
  <c r="P44" i="96"/>
  <c r="O44" i="96"/>
  <c r="P43" i="96"/>
  <c r="O43" i="96"/>
  <c r="P42" i="96"/>
  <c r="O42" i="96"/>
  <c r="P41" i="96"/>
  <c r="O41" i="96"/>
  <c r="P40" i="96"/>
  <c r="O40" i="96"/>
  <c r="P39" i="96"/>
  <c r="O39" i="96"/>
  <c r="P38" i="96"/>
  <c r="O38" i="96"/>
  <c r="P37" i="96"/>
  <c r="O37" i="96"/>
  <c r="P36" i="96"/>
  <c r="O36" i="96"/>
  <c r="P35" i="96"/>
  <c r="O35" i="96"/>
  <c r="P34" i="96"/>
  <c r="O34" i="96"/>
  <c r="P33" i="96"/>
  <c r="O33" i="96"/>
  <c r="P32" i="96"/>
  <c r="O32" i="96"/>
  <c r="P31" i="96"/>
  <c r="O31" i="96"/>
  <c r="P30" i="96"/>
  <c r="O30" i="96"/>
  <c r="P29" i="96"/>
  <c r="O29" i="96"/>
  <c r="P28" i="96"/>
  <c r="O28" i="96"/>
  <c r="P27" i="96"/>
  <c r="O27" i="96"/>
  <c r="P26" i="96"/>
  <c r="O26" i="96"/>
  <c r="P25" i="96"/>
  <c r="O25" i="96"/>
  <c r="P24" i="96"/>
  <c r="O24" i="96"/>
  <c r="P23" i="96"/>
  <c r="O23" i="96"/>
  <c r="P22" i="96"/>
  <c r="O22" i="96"/>
  <c r="AD21" i="96"/>
  <c r="AC21" i="96"/>
  <c r="AB21" i="96"/>
  <c r="AA21" i="96"/>
  <c r="Z21" i="96"/>
  <c r="Y21" i="96"/>
  <c r="X21" i="96"/>
  <c r="W21" i="96"/>
  <c r="V21" i="96"/>
  <c r="U21" i="96"/>
  <c r="T21" i="96"/>
  <c r="S21" i="96"/>
  <c r="P21" i="96"/>
  <c r="O21" i="96"/>
  <c r="AD20" i="96"/>
  <c r="AC20" i="96"/>
  <c r="AB20" i="96"/>
  <c r="AA20" i="96"/>
  <c r="Z20" i="96"/>
  <c r="Y20" i="96"/>
  <c r="X20" i="96"/>
  <c r="W20" i="96"/>
  <c r="V20" i="96"/>
  <c r="U20" i="96"/>
  <c r="T20" i="96"/>
  <c r="S20" i="96"/>
  <c r="P20" i="96"/>
  <c r="O20" i="96"/>
  <c r="AD19" i="96"/>
  <c r="AC19" i="96"/>
  <c r="AB19" i="96"/>
  <c r="AA19" i="96"/>
  <c r="Z19" i="96"/>
  <c r="Y19" i="96"/>
  <c r="X19" i="96"/>
  <c r="X27" i="96" s="1"/>
  <c r="W19" i="96"/>
  <c r="W27" i="96" s="1"/>
  <c r="V19" i="96"/>
  <c r="U19" i="96"/>
  <c r="T19" i="96"/>
  <c r="S19" i="96"/>
  <c r="P19" i="96"/>
  <c r="O19" i="96"/>
  <c r="AD18" i="96"/>
  <c r="AC18" i="96"/>
  <c r="AB18" i="96"/>
  <c r="AA18" i="96"/>
  <c r="Z18" i="96"/>
  <c r="Y18" i="96"/>
  <c r="X18" i="96"/>
  <c r="W18" i="96"/>
  <c r="V18" i="96"/>
  <c r="U18" i="96"/>
  <c r="T18" i="96"/>
  <c r="S18" i="96"/>
  <c r="P18" i="96"/>
  <c r="O18" i="96"/>
  <c r="AD17" i="96"/>
  <c r="AC17" i="96"/>
  <c r="AB17" i="96"/>
  <c r="AA17" i="96"/>
  <c r="Z17" i="96"/>
  <c r="Y17" i="96"/>
  <c r="X17" i="96"/>
  <c r="W17" i="96"/>
  <c r="V17" i="96"/>
  <c r="U17" i="96"/>
  <c r="T17" i="96"/>
  <c r="S17" i="96"/>
  <c r="P17" i="96"/>
  <c r="O17" i="96"/>
  <c r="AD16" i="96"/>
  <c r="AC16" i="96"/>
  <c r="AB16" i="96"/>
  <c r="AA16" i="96"/>
  <c r="Z16" i="96"/>
  <c r="Y16" i="96"/>
  <c r="X16" i="96"/>
  <c r="W16" i="96"/>
  <c r="V16" i="96"/>
  <c r="U16" i="96"/>
  <c r="T16" i="96"/>
  <c r="S16" i="96"/>
  <c r="P16" i="96"/>
  <c r="O16" i="96"/>
  <c r="AD15" i="96"/>
  <c r="AC15" i="96"/>
  <c r="AB15" i="96"/>
  <c r="AA15" i="96"/>
  <c r="Z15" i="96"/>
  <c r="Y15" i="96"/>
  <c r="X15" i="96"/>
  <c r="W15" i="96"/>
  <c r="V15" i="96"/>
  <c r="U15" i="96"/>
  <c r="T15" i="96"/>
  <c r="S15" i="96"/>
  <c r="P15" i="96"/>
  <c r="O15" i="96"/>
  <c r="AD14" i="96"/>
  <c r="AC14" i="96"/>
  <c r="AB14" i="96"/>
  <c r="AA14" i="96"/>
  <c r="Z14" i="96"/>
  <c r="Y14" i="96"/>
  <c r="X14" i="96"/>
  <c r="W14" i="96"/>
  <c r="V14" i="96"/>
  <c r="U14" i="96"/>
  <c r="T14" i="96"/>
  <c r="S14" i="96"/>
  <c r="P14" i="96"/>
  <c r="O14" i="96"/>
  <c r="AD13" i="96"/>
  <c r="AC13" i="96"/>
  <c r="AB13" i="96"/>
  <c r="AB26" i="96" s="1"/>
  <c r="AA13" i="96"/>
  <c r="AA26" i="96" s="1"/>
  <c r="Z13" i="96"/>
  <c r="Y13" i="96"/>
  <c r="X13" i="96"/>
  <c r="W13" i="96"/>
  <c r="V13" i="96"/>
  <c r="U13" i="96"/>
  <c r="T13" i="96"/>
  <c r="T26" i="96" s="1"/>
  <c r="S13" i="96"/>
  <c r="S26" i="96" s="1"/>
  <c r="P13" i="96"/>
  <c r="O13" i="96"/>
  <c r="AD12" i="96"/>
  <c r="AC12" i="96"/>
  <c r="AB12" i="96"/>
  <c r="AA12" i="96"/>
  <c r="Z12" i="96"/>
  <c r="Y12" i="96"/>
  <c r="X12" i="96"/>
  <c r="W12" i="96"/>
  <c r="V12" i="96"/>
  <c r="U12" i="96"/>
  <c r="T12" i="96"/>
  <c r="S12" i="96"/>
  <c r="P12" i="96"/>
  <c r="O12" i="96"/>
  <c r="AD11" i="96"/>
  <c r="AC11" i="96"/>
  <c r="AB11" i="96"/>
  <c r="AA11" i="96"/>
  <c r="Z11" i="96"/>
  <c r="Y11" i="96"/>
  <c r="X11" i="96"/>
  <c r="W11" i="96"/>
  <c r="V11" i="96"/>
  <c r="U11" i="96"/>
  <c r="T11" i="96"/>
  <c r="S11" i="96"/>
  <c r="P11" i="96"/>
  <c r="O11" i="96"/>
  <c r="AD10" i="96"/>
  <c r="AC10" i="96"/>
  <c r="AB10" i="96"/>
  <c r="AA10" i="96"/>
  <c r="Z10" i="96"/>
  <c r="Y10" i="96"/>
  <c r="X10" i="96"/>
  <c r="W10" i="96"/>
  <c r="V10" i="96"/>
  <c r="U10" i="96"/>
  <c r="T10" i="96"/>
  <c r="S10" i="96"/>
  <c r="P10" i="96"/>
  <c r="O10" i="96"/>
  <c r="K6" i="96"/>
  <c r="G5" i="96"/>
  <c r="C3" i="96"/>
  <c r="N58" i="95"/>
  <c r="M58" i="95"/>
  <c r="L58" i="95"/>
  <c r="K58" i="95"/>
  <c r="J58" i="95"/>
  <c r="I58" i="95"/>
  <c r="H58" i="95"/>
  <c r="G58" i="95"/>
  <c r="F58" i="95"/>
  <c r="E58" i="95"/>
  <c r="D58" i="95"/>
  <c r="C58" i="95"/>
  <c r="P57" i="95"/>
  <c r="O57" i="95"/>
  <c r="P56" i="95"/>
  <c r="O56" i="95"/>
  <c r="P55" i="95"/>
  <c r="AF21" i="95" s="1"/>
  <c r="O55" i="95"/>
  <c r="P54" i="95"/>
  <c r="O54" i="95"/>
  <c r="P53" i="95"/>
  <c r="O53" i="95"/>
  <c r="P52" i="95"/>
  <c r="O52" i="95"/>
  <c r="P51" i="95"/>
  <c r="AF20" i="95" s="1"/>
  <c r="O51" i="95"/>
  <c r="P50" i="95"/>
  <c r="O50" i="95"/>
  <c r="P49" i="95"/>
  <c r="O49" i="95"/>
  <c r="P48" i="95"/>
  <c r="O48" i="95"/>
  <c r="P47" i="95"/>
  <c r="AF19" i="95" s="1"/>
  <c r="O47" i="95"/>
  <c r="P46" i="95"/>
  <c r="O46" i="95"/>
  <c r="P45" i="95"/>
  <c r="O45" i="95"/>
  <c r="P44" i="95"/>
  <c r="O44" i="95"/>
  <c r="P43" i="95"/>
  <c r="AF18" i="95" s="1"/>
  <c r="O43" i="95"/>
  <c r="P42" i="95"/>
  <c r="O42" i="95"/>
  <c r="P41" i="95"/>
  <c r="O41" i="95"/>
  <c r="P40" i="95"/>
  <c r="O40" i="95"/>
  <c r="P39" i="95"/>
  <c r="AF17" i="95" s="1"/>
  <c r="O39" i="95"/>
  <c r="P38" i="95"/>
  <c r="O38" i="95"/>
  <c r="P37" i="95"/>
  <c r="O37" i="95"/>
  <c r="P36" i="95"/>
  <c r="O36" i="95"/>
  <c r="P35" i="95"/>
  <c r="AF16" i="95" s="1"/>
  <c r="O35" i="95"/>
  <c r="P34" i="95"/>
  <c r="O34" i="95"/>
  <c r="P33" i="95"/>
  <c r="O33" i="95"/>
  <c r="P32" i="95"/>
  <c r="O32" i="95"/>
  <c r="P31" i="95"/>
  <c r="AF15" i="95" s="1"/>
  <c r="O31" i="95"/>
  <c r="P30" i="95"/>
  <c r="O30" i="95"/>
  <c r="P29" i="95"/>
  <c r="O29" i="95"/>
  <c r="P28" i="95"/>
  <c r="O28" i="95"/>
  <c r="P27" i="95"/>
  <c r="AF14" i="95" s="1"/>
  <c r="O27" i="95"/>
  <c r="P26" i="95"/>
  <c r="O26" i="95"/>
  <c r="P25" i="95"/>
  <c r="O25" i="95"/>
  <c r="P24" i="95"/>
  <c r="O24" i="95"/>
  <c r="P23" i="95"/>
  <c r="AF13" i="95" s="1"/>
  <c r="O23" i="95"/>
  <c r="P22" i="95"/>
  <c r="O22" i="95"/>
  <c r="AD21" i="95"/>
  <c r="AC21" i="95"/>
  <c r="AB21" i="95"/>
  <c r="AA21" i="95"/>
  <c r="Z21" i="95"/>
  <c r="Y21" i="95"/>
  <c r="X21" i="95"/>
  <c r="W21" i="95"/>
  <c r="V21" i="95"/>
  <c r="U21" i="95"/>
  <c r="T21" i="95"/>
  <c r="S21" i="95"/>
  <c r="P21" i="95"/>
  <c r="O21" i="95"/>
  <c r="AD20" i="95"/>
  <c r="AC20" i="95"/>
  <c r="AB20" i="95"/>
  <c r="AA20" i="95"/>
  <c r="Z20" i="95"/>
  <c r="Y20" i="95"/>
  <c r="X20" i="95"/>
  <c r="W20" i="95"/>
  <c r="V20" i="95"/>
  <c r="U20" i="95"/>
  <c r="T20" i="95"/>
  <c r="S20" i="95"/>
  <c r="P20" i="95"/>
  <c r="O20" i="95"/>
  <c r="AD19" i="95"/>
  <c r="AC19" i="95"/>
  <c r="AB19" i="95"/>
  <c r="AA19" i="95"/>
  <c r="Z19" i="95"/>
  <c r="Y19" i="95"/>
  <c r="X19" i="95"/>
  <c r="W19" i="95"/>
  <c r="V19" i="95"/>
  <c r="U19" i="95"/>
  <c r="T19" i="95"/>
  <c r="S19" i="95"/>
  <c r="P19" i="95"/>
  <c r="O19" i="95"/>
  <c r="AD18" i="95"/>
  <c r="AC18" i="95"/>
  <c r="AB18" i="95"/>
  <c r="AA18" i="95"/>
  <c r="Z18" i="95"/>
  <c r="Y18" i="95"/>
  <c r="X18" i="95"/>
  <c r="W18" i="95"/>
  <c r="V18" i="95"/>
  <c r="U18" i="95"/>
  <c r="T18" i="95"/>
  <c r="S18" i="95"/>
  <c r="P18" i="95"/>
  <c r="O18" i="95"/>
  <c r="AD17" i="95"/>
  <c r="AC17" i="95"/>
  <c r="AB17" i="95"/>
  <c r="AA17" i="95"/>
  <c r="Z17" i="95"/>
  <c r="Y17" i="95"/>
  <c r="X17" i="95"/>
  <c r="W17" i="95"/>
  <c r="V17" i="95"/>
  <c r="U17" i="95"/>
  <c r="T17" i="95"/>
  <c r="S17" i="95"/>
  <c r="P17" i="95"/>
  <c r="O17" i="95"/>
  <c r="AD16" i="95"/>
  <c r="AC16" i="95"/>
  <c r="AB16" i="95"/>
  <c r="AA16" i="95"/>
  <c r="Z16" i="95"/>
  <c r="Y16" i="95"/>
  <c r="X16" i="95"/>
  <c r="W16" i="95"/>
  <c r="V16" i="95"/>
  <c r="U16" i="95"/>
  <c r="T16" i="95"/>
  <c r="S16" i="95"/>
  <c r="P16" i="95"/>
  <c r="O16" i="95"/>
  <c r="AD15" i="95"/>
  <c r="AC15" i="95"/>
  <c r="AB15" i="95"/>
  <c r="AA15" i="95"/>
  <c r="Z15" i="95"/>
  <c r="Y15" i="95"/>
  <c r="X15" i="95"/>
  <c r="W15" i="95"/>
  <c r="V15" i="95"/>
  <c r="U15" i="95"/>
  <c r="T15" i="95"/>
  <c r="S15" i="95"/>
  <c r="P15" i="95"/>
  <c r="O15" i="95"/>
  <c r="AD14" i="95"/>
  <c r="AC14" i="95"/>
  <c r="AB14" i="95"/>
  <c r="AA14" i="95"/>
  <c r="Z14" i="95"/>
  <c r="Y14" i="95"/>
  <c r="X14" i="95"/>
  <c r="W14" i="95"/>
  <c r="V14" i="95"/>
  <c r="U14" i="95"/>
  <c r="T14" i="95"/>
  <c r="S14" i="95"/>
  <c r="P14" i="95"/>
  <c r="O14" i="95"/>
  <c r="AD13" i="95"/>
  <c r="AC13" i="95"/>
  <c r="AB13" i="95"/>
  <c r="AA13" i="95"/>
  <c r="Z13" i="95"/>
  <c r="Y13" i="95"/>
  <c r="X13" i="95"/>
  <c r="W13" i="95"/>
  <c r="V13" i="95"/>
  <c r="U13" i="95"/>
  <c r="T13" i="95"/>
  <c r="S13" i="95"/>
  <c r="P13" i="95"/>
  <c r="O13" i="95"/>
  <c r="AD12" i="95"/>
  <c r="AC12" i="95"/>
  <c r="AB12" i="95"/>
  <c r="AA12" i="95"/>
  <c r="Z12" i="95"/>
  <c r="Y12" i="95"/>
  <c r="X12" i="95"/>
  <c r="W12" i="95"/>
  <c r="V12" i="95"/>
  <c r="U12" i="95"/>
  <c r="T12" i="95"/>
  <c r="S12" i="95"/>
  <c r="P12" i="95"/>
  <c r="O12" i="95"/>
  <c r="AD11" i="95"/>
  <c r="AC11" i="95"/>
  <c r="AB11" i="95"/>
  <c r="AA11" i="95"/>
  <c r="Z11" i="95"/>
  <c r="Y11" i="95"/>
  <c r="X11" i="95"/>
  <c r="W11" i="95"/>
  <c r="V11" i="95"/>
  <c r="U11" i="95"/>
  <c r="T11" i="95"/>
  <c r="S11" i="95"/>
  <c r="P11" i="95"/>
  <c r="O11" i="95"/>
  <c r="AD10" i="95"/>
  <c r="AC10" i="95"/>
  <c r="AB10" i="95"/>
  <c r="AA10" i="95"/>
  <c r="Z10" i="95"/>
  <c r="Y10" i="95"/>
  <c r="X10" i="95"/>
  <c r="W10" i="95"/>
  <c r="V10" i="95"/>
  <c r="U10" i="95"/>
  <c r="T10" i="95"/>
  <c r="S10" i="95"/>
  <c r="P10" i="95"/>
  <c r="AF10" i="95" s="1"/>
  <c r="O10" i="95"/>
  <c r="X27" i="95" l="1"/>
  <c r="AF12" i="95"/>
  <c r="W28" i="96"/>
  <c r="U26" i="96"/>
  <c r="AC26" i="96"/>
  <c r="Y27" i="96"/>
  <c r="X28" i="96"/>
  <c r="V26" i="96"/>
  <c r="AD26" i="96"/>
  <c r="Z27" i="96"/>
  <c r="AF27" i="95"/>
  <c r="Z26" i="95"/>
  <c r="W26" i="96"/>
  <c r="AE11" i="96"/>
  <c r="AE12" i="96"/>
  <c r="S27" i="96"/>
  <c r="AA27" i="96"/>
  <c r="AE13" i="96"/>
  <c r="AE14" i="96"/>
  <c r="AE15" i="96"/>
  <c r="AE16" i="96"/>
  <c r="AE17" i="96"/>
  <c r="AE18" i="96"/>
  <c r="AE19" i="96"/>
  <c r="AE24" i="96" s="1"/>
  <c r="AE20" i="96"/>
  <c r="AE21" i="96"/>
  <c r="T24" i="95"/>
  <c r="AB24" i="95"/>
  <c r="AF10" i="96"/>
  <c r="X26" i="96"/>
  <c r="AF11" i="96"/>
  <c r="AF12" i="96"/>
  <c r="AF25" i="96" s="1"/>
  <c r="T27" i="96"/>
  <c r="AB24" i="96"/>
  <c r="AF13" i="96"/>
  <c r="AF14" i="96"/>
  <c r="AF16" i="96"/>
  <c r="AF17" i="96"/>
  <c r="AF18" i="96"/>
  <c r="AF19" i="96"/>
  <c r="AF27" i="96" s="1"/>
  <c r="AF20" i="96"/>
  <c r="AF21" i="96"/>
  <c r="AA28" i="95"/>
  <c r="W28" i="95"/>
  <c r="S28" i="96"/>
  <c r="AA28" i="96"/>
  <c r="Y26" i="96"/>
  <c r="U27" i="96"/>
  <c r="AC27" i="96"/>
  <c r="S28" i="95"/>
  <c r="V26" i="95"/>
  <c r="AD26" i="95"/>
  <c r="AF11" i="95"/>
  <c r="AF28" i="95" s="1"/>
  <c r="AE15" i="95"/>
  <c r="AE16" i="95"/>
  <c r="AE17" i="95"/>
  <c r="AE18" i="95"/>
  <c r="AE19" i="95"/>
  <c r="AE20" i="95"/>
  <c r="AE21" i="95"/>
  <c r="T25" i="96"/>
  <c r="AB28" i="96"/>
  <c r="Z26" i="96"/>
  <c r="V27" i="96"/>
  <c r="AD27" i="96"/>
  <c r="T25" i="95"/>
  <c r="AB25" i="95"/>
  <c r="W26" i="95"/>
  <c r="AA26" i="95"/>
  <c r="U24" i="95"/>
  <c r="AC27" i="95"/>
  <c r="O58" i="96"/>
  <c r="L60" i="96" s="1"/>
  <c r="Y28" i="96"/>
  <c r="P58" i="96"/>
  <c r="N59" i="96" s="1"/>
  <c r="O58" i="95"/>
  <c r="U28" i="95"/>
  <c r="Y25" i="95"/>
  <c r="AC28" i="95"/>
  <c r="T26" i="95"/>
  <c r="X26" i="95"/>
  <c r="AB26" i="95"/>
  <c r="AE11" i="95"/>
  <c r="AE12" i="95"/>
  <c r="V27" i="95"/>
  <c r="Z27" i="95"/>
  <c r="AD27" i="95"/>
  <c r="AE13" i="95"/>
  <c r="AE14" i="95"/>
  <c r="V28" i="96"/>
  <c r="Z28" i="96"/>
  <c r="AD28" i="96"/>
  <c r="X28" i="95"/>
  <c r="S26" i="95"/>
  <c r="AF26" i="95"/>
  <c r="Y27" i="95"/>
  <c r="U28" i="96"/>
  <c r="AC28" i="96"/>
  <c r="V28" i="95"/>
  <c r="Z28" i="95"/>
  <c r="AD28" i="95"/>
  <c r="U26" i="95"/>
  <c r="Y23" i="95"/>
  <c r="AC23" i="95"/>
  <c r="S27" i="95"/>
  <c r="W27" i="95"/>
  <c r="AA27" i="95"/>
  <c r="P58" i="95"/>
  <c r="N59" i="95" s="1"/>
  <c r="AF15" i="96"/>
  <c r="D60" i="96"/>
  <c r="M59" i="96"/>
  <c r="J59" i="96"/>
  <c r="AB22" i="96"/>
  <c r="X23" i="96"/>
  <c r="T24" i="96"/>
  <c r="AB25" i="96"/>
  <c r="AB27" i="96"/>
  <c r="T28" i="96"/>
  <c r="U22" i="96"/>
  <c r="Y22" i="96"/>
  <c r="AC22" i="96"/>
  <c r="U23" i="96"/>
  <c r="Y23" i="96"/>
  <c r="AC23" i="96"/>
  <c r="U24" i="96"/>
  <c r="Y24" i="96"/>
  <c r="AC24" i="96"/>
  <c r="U25" i="96"/>
  <c r="Y25" i="96"/>
  <c r="AC25" i="96"/>
  <c r="C59" i="96"/>
  <c r="G59" i="96"/>
  <c r="K59" i="96"/>
  <c r="T22" i="96"/>
  <c r="AB23" i="96"/>
  <c r="X24" i="96"/>
  <c r="V22" i="96"/>
  <c r="Z22" i="96"/>
  <c r="AD22" i="96"/>
  <c r="V23" i="96"/>
  <c r="Z23" i="96"/>
  <c r="AD23" i="96"/>
  <c r="V24" i="96"/>
  <c r="Z24" i="96"/>
  <c r="AD24" i="96"/>
  <c r="V25" i="96"/>
  <c r="Z25" i="96"/>
  <c r="AD25" i="96"/>
  <c r="D59" i="96"/>
  <c r="H59" i="96"/>
  <c r="L59" i="96"/>
  <c r="X22" i="96"/>
  <c r="T23" i="96"/>
  <c r="X25" i="96"/>
  <c r="AE10" i="96"/>
  <c r="S22" i="96"/>
  <c r="W22" i="96"/>
  <c r="AA22" i="96"/>
  <c r="S23" i="96"/>
  <c r="W23" i="96"/>
  <c r="AA23" i="96"/>
  <c r="S24" i="96"/>
  <c r="W24" i="96"/>
  <c r="AA24" i="96"/>
  <c r="S25" i="96"/>
  <c r="W25" i="96"/>
  <c r="AA25" i="96"/>
  <c r="E59" i="96"/>
  <c r="I59" i="96"/>
  <c r="K60" i="95"/>
  <c r="C60" i="95"/>
  <c r="J60" i="95"/>
  <c r="G60" i="95"/>
  <c r="F60" i="95"/>
  <c r="D60" i="95"/>
  <c r="H60" i="95"/>
  <c r="L60" i="95"/>
  <c r="E60" i="95"/>
  <c r="I60" i="95"/>
  <c r="N60" i="95"/>
  <c r="T22" i="95"/>
  <c r="AF22" i="95"/>
  <c r="X23" i="95"/>
  <c r="AF23" i="95"/>
  <c r="X24" i="95"/>
  <c r="AF24" i="95"/>
  <c r="X25" i="95"/>
  <c r="AF25" i="95"/>
  <c r="T27" i="95"/>
  <c r="AB27" i="95"/>
  <c r="T28" i="95"/>
  <c r="AB28" i="95"/>
  <c r="Y22" i="95"/>
  <c r="AC22" i="95"/>
  <c r="U23" i="95"/>
  <c r="Y24" i="95"/>
  <c r="AC24" i="95"/>
  <c r="U25" i="95"/>
  <c r="Y26" i="95"/>
  <c r="AC26" i="95"/>
  <c r="U27" i="95"/>
  <c r="Y28" i="95"/>
  <c r="V22" i="95"/>
  <c r="Z22" i="95"/>
  <c r="AD22" i="95"/>
  <c r="V23" i="95"/>
  <c r="Z23" i="95"/>
  <c r="AD23" i="95"/>
  <c r="V24" i="95"/>
  <c r="Z24" i="95"/>
  <c r="AD24" i="95"/>
  <c r="V25" i="95"/>
  <c r="Z25" i="95"/>
  <c r="AD25" i="95"/>
  <c r="X22" i="95"/>
  <c r="AB22" i="95"/>
  <c r="T23" i="95"/>
  <c r="AB23" i="95"/>
  <c r="U22" i="95"/>
  <c r="AC25" i="95"/>
  <c r="AE10" i="95"/>
  <c r="S22" i="95"/>
  <c r="W22" i="95"/>
  <c r="AA22" i="95"/>
  <c r="S23" i="95"/>
  <c r="W23" i="95"/>
  <c r="AA23" i="95"/>
  <c r="S24" i="95"/>
  <c r="W24" i="95"/>
  <c r="AA24" i="95"/>
  <c r="S25" i="95"/>
  <c r="W25" i="95"/>
  <c r="AA25" i="95"/>
  <c r="I59" i="95"/>
  <c r="C3" i="94"/>
  <c r="AF28" i="96" l="1"/>
  <c r="J59" i="95"/>
  <c r="AE27" i="95"/>
  <c r="AE26" i="96"/>
  <c r="C59" i="95"/>
  <c r="F59" i="96"/>
  <c r="AE26" i="95"/>
  <c r="AF22" i="96"/>
  <c r="F60" i="96"/>
  <c r="K60" i="96"/>
  <c r="H60" i="96"/>
  <c r="AE23" i="96"/>
  <c r="AF26" i="96"/>
  <c r="C60" i="96"/>
  <c r="AE23" i="95"/>
  <c r="AE27" i="96"/>
  <c r="AE24" i="95"/>
  <c r="AF24" i="96"/>
  <c r="I60" i="96"/>
  <c r="G60" i="96"/>
  <c r="H59" i="95"/>
  <c r="K59" i="95"/>
  <c r="E60" i="96"/>
  <c r="J60" i="96"/>
  <c r="AF23" i="96"/>
  <c r="E59" i="95"/>
  <c r="L59" i="95"/>
  <c r="G59" i="95"/>
  <c r="D59" i="95"/>
  <c r="M59" i="95"/>
  <c r="F59" i="95"/>
  <c r="N60" i="96"/>
  <c r="AE28" i="96"/>
  <c r="AE25" i="96"/>
  <c r="AE22" i="96"/>
  <c r="AE28" i="95"/>
  <c r="AE25" i="95"/>
  <c r="AE22" i="95"/>
  <c r="K6" i="98"/>
  <c r="K6" i="99" s="1"/>
  <c r="K6" i="100" s="1"/>
  <c r="K6" i="101" s="1"/>
  <c r="K6" i="109" s="1"/>
  <c r="G5" i="98"/>
  <c r="G5" i="99" s="1"/>
  <c r="G5" i="100" s="1"/>
  <c r="G5" i="101" s="1"/>
  <c r="G5" i="109" s="1"/>
  <c r="K6" i="97"/>
  <c r="K5" i="97"/>
  <c r="G5" i="97"/>
  <c r="K6" i="94"/>
  <c r="G5" i="94"/>
  <c r="G6" i="108"/>
  <c r="G6" i="100"/>
  <c r="G6" i="98"/>
  <c r="G6" i="109"/>
  <c r="G6" i="107"/>
  <c r="G6" i="97"/>
  <c r="D6" i="108"/>
  <c r="D6" i="98"/>
  <c r="D6" i="107"/>
  <c r="D6" i="101"/>
  <c r="D6" i="99"/>
  <c r="D6" i="97"/>
  <c r="D5" i="109"/>
  <c r="D5" i="100"/>
  <c r="D5" i="98"/>
  <c r="D5" i="94"/>
  <c r="K5" i="108" l="1"/>
  <c r="K5" i="111" s="1"/>
  <c r="K5" i="107"/>
  <c r="K6" i="107"/>
  <c r="K6" i="108"/>
  <c r="K6" i="111" s="1"/>
  <c r="G5" i="107"/>
  <c r="G5" i="108"/>
  <c r="G5" i="111" s="1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1"/>
  <c r="C3" i="100"/>
  <c r="C3" i="99"/>
  <c r="C3" i="98"/>
  <c r="C3" i="97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W27" i="99" s="1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W19" i="97"/>
  <c r="V19" i="97"/>
  <c r="U19" i="97"/>
  <c r="T19" i="97"/>
  <c r="T27" i="97" s="1"/>
  <c r="S19" i="97"/>
  <c r="AD18" i="97"/>
  <c r="W17" i="97"/>
  <c r="AC11" i="97"/>
  <c r="X27" i="97" l="1"/>
  <c r="V27" i="99"/>
  <c r="AD27" i="99"/>
  <c r="V39" i="101"/>
  <c r="AC39" i="109"/>
  <c r="AD38" i="101"/>
  <c r="Y39" i="109"/>
  <c r="Z27" i="97"/>
  <c r="V27" i="97"/>
  <c r="X26" i="98"/>
  <c r="AA27" i="99"/>
  <c r="AA39" i="101"/>
  <c r="Z39" i="101"/>
  <c r="AB39" i="101"/>
  <c r="AD39" i="101"/>
  <c r="C3" i="108"/>
  <c r="C3" i="111"/>
  <c r="C3" i="107"/>
  <c r="AD16" i="97"/>
  <c r="AD23" i="97" s="1"/>
  <c r="U20" i="100"/>
  <c r="T18" i="98"/>
  <c r="T26" i="98" s="1"/>
  <c r="Z21" i="98"/>
  <c r="AB20" i="99"/>
  <c r="AB27" i="99" s="1"/>
  <c r="X21" i="101"/>
  <c r="X39" i="101" s="1"/>
  <c r="U22" i="109"/>
  <c r="V14" i="101"/>
  <c r="V38" i="101" s="1"/>
  <c r="V14" i="97"/>
  <c r="S17" i="101"/>
  <c r="Z27" i="99"/>
  <c r="AC32" i="109"/>
  <c r="AB17" i="98"/>
  <c r="AB23" i="98" s="1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W14" i="94"/>
  <c r="S17" i="94"/>
  <c r="S18" i="94"/>
  <c r="S19" i="94"/>
  <c r="AC19" i="94"/>
  <c r="S21" i="94"/>
  <c r="U21" i="94"/>
  <c r="W21" i="94"/>
  <c r="Y21" i="94"/>
  <c r="X12" i="10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X16" i="97"/>
  <c r="X26" i="97" s="1"/>
  <c r="S11" i="109"/>
  <c r="AC17" i="109"/>
  <c r="V14" i="109"/>
  <c r="L10" i="108"/>
  <c r="H10" i="108"/>
  <c r="D10" i="108"/>
  <c r="V13" i="109"/>
  <c r="AD13" i="109"/>
  <c r="V15" i="109"/>
  <c r="AD15" i="109"/>
  <c r="C10" i="108"/>
  <c r="AA11" i="109"/>
  <c r="Z12" i="109"/>
  <c r="Z14" i="109"/>
  <c r="AD13" i="99"/>
  <c r="AD26" i="99" s="1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V18" i="98"/>
  <c r="U18" i="94"/>
  <c r="AB18" i="97"/>
  <c r="AB26" i="97" s="1"/>
  <c r="AC20" i="99"/>
  <c r="AC24" i="99" s="1"/>
  <c r="AD20" i="98"/>
  <c r="AD27" i="98" s="1"/>
  <c r="T39" i="101"/>
  <c r="W16" i="99"/>
  <c r="Y20" i="99"/>
  <c r="Y27" i="99" s="1"/>
  <c r="AC16" i="98"/>
  <c r="AC23" i="98" s="1"/>
  <c r="AD13" i="98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S22" i="101"/>
  <c r="S23" i="101"/>
  <c r="V14" i="98"/>
  <c r="AA16" i="100"/>
  <c r="AA26" i="100" s="1"/>
  <c r="V14" i="99"/>
  <c r="V26" i="99" s="1"/>
  <c r="T21" i="98"/>
  <c r="T27" i="98" s="1"/>
  <c r="U15" i="101"/>
  <c r="P105" i="101"/>
  <c r="Y17" i="94"/>
  <c r="P77" i="101"/>
  <c r="P69" i="101"/>
  <c r="P91" i="101"/>
  <c r="U15" i="94"/>
  <c r="Z19" i="98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AC14" i="94"/>
  <c r="Y13" i="100"/>
  <c r="Y15" i="97"/>
  <c r="Y23" i="97" s="1"/>
  <c r="W20" i="98"/>
  <c r="W24" i="98" s="1"/>
  <c r="Y14" i="94"/>
  <c r="Y15" i="101"/>
  <c r="AA17" i="94"/>
  <c r="W16" i="94"/>
  <c r="AC20" i="94"/>
  <c r="U14" i="94"/>
  <c r="AD12" i="101"/>
  <c r="U12" i="101"/>
  <c r="W12" i="101"/>
  <c r="Y12" i="101"/>
  <c r="AA12" i="101"/>
  <c r="AC12" i="101"/>
  <c r="V11" i="101"/>
  <c r="AC36" i="101"/>
  <c r="W18" i="9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T11" i="101"/>
  <c r="X11" i="101"/>
  <c r="Z11" i="101"/>
  <c r="AB11" i="101"/>
  <c r="AD11" i="101"/>
  <c r="Y39" i="101"/>
  <c r="Y36" i="101"/>
  <c r="Z13" i="101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T11" i="94"/>
  <c r="V11" i="94"/>
  <c r="X11" i="94"/>
  <c r="AB11" i="94"/>
  <c r="AD11" i="94"/>
  <c r="T12" i="94"/>
  <c r="X12" i="94"/>
  <c r="Z12" i="94"/>
  <c r="AB12" i="94"/>
  <c r="S10" i="94"/>
  <c r="W10" i="94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Y11" i="107" s="1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Y19" i="107" s="1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W10" i="107" s="1"/>
  <c r="H10" i="107"/>
  <c r="I10" i="107"/>
  <c r="J10" i="107"/>
  <c r="K10" i="107"/>
  <c r="L10" i="107"/>
  <c r="M10" i="107"/>
  <c r="N10" i="107"/>
  <c r="C10" i="107"/>
  <c r="Z19" i="107" l="1"/>
  <c r="Z12" i="107"/>
  <c r="Y17" i="107"/>
  <c r="Y15" i="107"/>
  <c r="Y13" i="107"/>
  <c r="X18" i="107"/>
  <c r="X17" i="107"/>
  <c r="X16" i="107"/>
  <c r="X15" i="107"/>
  <c r="X14" i="107"/>
  <c r="X13" i="107"/>
  <c r="X12" i="107"/>
  <c r="X11" i="107"/>
  <c r="Z17" i="107"/>
  <c r="Z16" i="107"/>
  <c r="Z14" i="107"/>
  <c r="Y20" i="107"/>
  <c r="Y39" i="107" s="1"/>
  <c r="Y18" i="107"/>
  <c r="X20" i="107"/>
  <c r="X19" i="107"/>
  <c r="X10" i="107"/>
  <c r="H106" i="107"/>
  <c r="W21" i="107"/>
  <c r="W20" i="107"/>
  <c r="W19" i="107"/>
  <c r="W18" i="107"/>
  <c r="W17" i="107"/>
  <c r="W16" i="107"/>
  <c r="W15" i="107"/>
  <c r="W14" i="107"/>
  <c r="W40" i="107" s="1"/>
  <c r="W13" i="107"/>
  <c r="W41" i="107" s="1"/>
  <c r="W42" i="107" s="1"/>
  <c r="W12" i="107"/>
  <c r="W11" i="107"/>
  <c r="W34" i="107" s="1"/>
  <c r="V12" i="108"/>
  <c r="AA18" i="108"/>
  <c r="AA10" i="107"/>
  <c r="K106" i="107"/>
  <c r="Z20" i="107"/>
  <c r="Z36" i="107" s="1"/>
  <c r="Z13" i="107"/>
  <c r="Z11" i="107"/>
  <c r="Y16" i="107"/>
  <c r="Y12" i="107"/>
  <c r="Y10" i="107"/>
  <c r="I106" i="107"/>
  <c r="X21" i="107"/>
  <c r="C106" i="107"/>
  <c r="S10" i="107"/>
  <c r="W37" i="107"/>
  <c r="AD21" i="107"/>
  <c r="V21" i="107"/>
  <c r="AD20" i="107"/>
  <c r="V20" i="107"/>
  <c r="AD19" i="107"/>
  <c r="V19" i="107"/>
  <c r="AD18" i="107"/>
  <c r="V18" i="107"/>
  <c r="AD17" i="107"/>
  <c r="V17" i="107"/>
  <c r="AD16" i="107"/>
  <c r="V16" i="107"/>
  <c r="AD15" i="107"/>
  <c r="V15" i="107"/>
  <c r="AD14" i="107"/>
  <c r="V14" i="107"/>
  <c r="AD13" i="107"/>
  <c r="V13" i="107"/>
  <c r="AD12" i="107"/>
  <c r="V12" i="107"/>
  <c r="AD11" i="107"/>
  <c r="V11" i="107"/>
  <c r="V19" i="108"/>
  <c r="Z18" i="107"/>
  <c r="Z15" i="107"/>
  <c r="V10" i="107"/>
  <c r="F106" i="107"/>
  <c r="AC20" i="107"/>
  <c r="U18" i="107"/>
  <c r="U16" i="107"/>
  <c r="AC15" i="107"/>
  <c r="U15" i="107"/>
  <c r="AC14" i="107"/>
  <c r="U14" i="107"/>
  <c r="AC13" i="107"/>
  <c r="U13" i="107"/>
  <c r="AC12" i="107"/>
  <c r="U12" i="107"/>
  <c r="AC11" i="107"/>
  <c r="U11" i="107"/>
  <c r="Z21" i="107"/>
  <c r="Z10" i="107"/>
  <c r="J106" i="107"/>
  <c r="U21" i="107"/>
  <c r="U20" i="107"/>
  <c r="AC19" i="107"/>
  <c r="U17" i="107"/>
  <c r="AC16" i="107"/>
  <c r="AC10" i="107"/>
  <c r="M106" i="107"/>
  <c r="E106" i="107"/>
  <c r="U10" i="107"/>
  <c r="AB21" i="107"/>
  <c r="T21" i="107"/>
  <c r="AB20" i="107"/>
  <c r="T20" i="107"/>
  <c r="AB19" i="107"/>
  <c r="T19" i="107"/>
  <c r="AB18" i="107"/>
  <c r="T18" i="107"/>
  <c r="AB17" i="107"/>
  <c r="T17" i="107"/>
  <c r="AB16" i="107"/>
  <c r="T16" i="107"/>
  <c r="AB15" i="107"/>
  <c r="T15" i="107"/>
  <c r="AB14" i="107"/>
  <c r="AB38" i="107" s="1"/>
  <c r="T14" i="107"/>
  <c r="AB13" i="107"/>
  <c r="T13" i="107"/>
  <c r="AB12" i="107"/>
  <c r="T12" i="107"/>
  <c r="AB11" i="107"/>
  <c r="T11" i="107"/>
  <c r="Y21" i="107"/>
  <c r="Y36" i="107" s="1"/>
  <c r="Y14" i="107"/>
  <c r="Y38" i="107" s="1"/>
  <c r="AD10" i="107"/>
  <c r="N106" i="107"/>
  <c r="AC21" i="107"/>
  <c r="U19" i="107"/>
  <c r="AC18" i="107"/>
  <c r="AC17" i="107"/>
  <c r="AB10" i="107"/>
  <c r="L106" i="107"/>
  <c r="T10" i="107"/>
  <c r="D106" i="107"/>
  <c r="AA21" i="107"/>
  <c r="S21" i="107"/>
  <c r="AA20" i="107"/>
  <c r="S20" i="107"/>
  <c r="AA19" i="107"/>
  <c r="S19" i="107"/>
  <c r="AA18" i="107"/>
  <c r="S18" i="107"/>
  <c r="AA17" i="107"/>
  <c r="S17" i="107"/>
  <c r="AA16" i="107"/>
  <c r="S16" i="107"/>
  <c r="AA15" i="107"/>
  <c r="AA35" i="107" s="1"/>
  <c r="S15" i="107"/>
  <c r="AA14" i="107"/>
  <c r="S14" i="107"/>
  <c r="AA13" i="107"/>
  <c r="S13" i="107"/>
  <c r="G106" i="107"/>
  <c r="AA12" i="107"/>
  <c r="S12" i="107"/>
  <c r="AA11" i="107"/>
  <c r="S11" i="107"/>
  <c r="AC13" i="108"/>
  <c r="AD16" i="108"/>
  <c r="AD15" i="108"/>
  <c r="AC16" i="108"/>
  <c r="X18" i="108"/>
  <c r="X17" i="108"/>
  <c r="X16" i="108"/>
  <c r="X15" i="108"/>
  <c r="X14" i="108"/>
  <c r="AA17" i="108"/>
  <c r="AC14" i="108"/>
  <c r="AA11" i="108"/>
  <c r="Z21" i="108"/>
  <c r="Z36" i="108" s="1"/>
  <c r="Y15" i="108"/>
  <c r="AB16" i="108"/>
  <c r="AB15" i="108"/>
  <c r="Y20" i="108"/>
  <c r="Y16" i="108"/>
  <c r="U15" i="108"/>
  <c r="Z18" i="108"/>
  <c r="Z17" i="108"/>
  <c r="Z16" i="108"/>
  <c r="Z15" i="108"/>
  <c r="Z14" i="108"/>
  <c r="AB13" i="108"/>
  <c r="AB11" i="108"/>
  <c r="AA20" i="108"/>
  <c r="Y21" i="108"/>
  <c r="AC21" i="108"/>
  <c r="AC17" i="108"/>
  <c r="W16" i="108"/>
  <c r="AC12" i="108"/>
  <c r="AC11" i="108"/>
  <c r="AB21" i="108"/>
  <c r="AB39" i="108" s="1"/>
  <c r="AB20" i="108"/>
  <c r="AB19" i="108"/>
  <c r="AD12" i="108"/>
  <c r="Z11" i="108"/>
  <c r="U16" i="108"/>
  <c r="Z20" i="108"/>
  <c r="Z19" i="108"/>
  <c r="X13" i="108"/>
  <c r="V16" i="108"/>
  <c r="V15" i="108"/>
  <c r="T13" i="108"/>
  <c r="T11" i="108"/>
  <c r="W15" i="108"/>
  <c r="W21" i="108"/>
  <c r="AA13" i="108"/>
  <c r="S15" i="108"/>
  <c r="W17" i="108"/>
  <c r="S17" i="108"/>
  <c r="AA16" i="108"/>
  <c r="W13" i="108"/>
  <c r="S16" i="108"/>
  <c r="AC15" i="108"/>
  <c r="AA19" i="108"/>
  <c r="S18" i="108"/>
  <c r="AA15" i="108"/>
  <c r="AD18" i="108"/>
  <c r="AD17" i="108"/>
  <c r="AD14" i="108"/>
  <c r="T12" i="108"/>
  <c r="S20" i="108"/>
  <c r="S13" i="108"/>
  <c r="U21" i="108"/>
  <c r="AC19" i="108"/>
  <c r="Y19" i="108"/>
  <c r="U10" i="108"/>
  <c r="E106" i="108"/>
  <c r="AD13" i="108"/>
  <c r="AB18" i="108"/>
  <c r="AB17" i="108"/>
  <c r="AB14" i="108"/>
  <c r="AB38" i="108" s="1"/>
  <c r="W20" i="108"/>
  <c r="AA21" i="108"/>
  <c r="AC20" i="108"/>
  <c r="AA14" i="108"/>
  <c r="U19" i="108"/>
  <c r="AD21" i="108"/>
  <c r="AD20" i="108"/>
  <c r="AD19" i="108"/>
  <c r="Z13" i="108"/>
  <c r="AD11" i="108"/>
  <c r="V13" i="108"/>
  <c r="T10" i="108"/>
  <c r="D106" i="108"/>
  <c r="X11" i="108"/>
  <c r="W14" i="108"/>
  <c r="S21" i="108"/>
  <c r="J106" i="108"/>
  <c r="Z10" i="108"/>
  <c r="AA12" i="108"/>
  <c r="Z39" i="108"/>
  <c r="Z12" i="108"/>
  <c r="V18" i="108"/>
  <c r="V17" i="108"/>
  <c r="V14" i="108"/>
  <c r="V10" i="108"/>
  <c r="F106" i="108"/>
  <c r="AC18" i="108"/>
  <c r="Y17" i="108"/>
  <c r="Y14" i="108"/>
  <c r="Y12" i="108"/>
  <c r="Y11" i="108"/>
  <c r="AC10" i="108"/>
  <c r="M106" i="108"/>
  <c r="X21" i="108"/>
  <c r="X20" i="108"/>
  <c r="X19" i="108"/>
  <c r="AB10" i="108"/>
  <c r="L106" i="108"/>
  <c r="T19" i="108"/>
  <c r="T18" i="108"/>
  <c r="T17" i="108"/>
  <c r="T16" i="108"/>
  <c r="T15" i="108"/>
  <c r="T14" i="108"/>
  <c r="Y13" i="108"/>
  <c r="S14" i="108"/>
  <c r="Y18" i="108"/>
  <c r="U17" i="108"/>
  <c r="U14" i="108"/>
  <c r="W12" i="108"/>
  <c r="W11" i="108"/>
  <c r="K106" i="108"/>
  <c r="AA10" i="108"/>
  <c r="V21" i="108"/>
  <c r="V20" i="108"/>
  <c r="S10" i="108"/>
  <c r="C106" i="108"/>
  <c r="AB12" i="108"/>
  <c r="W19" i="108"/>
  <c r="V11" i="108"/>
  <c r="S19" i="108"/>
  <c r="W18" i="108"/>
  <c r="U12" i="108"/>
  <c r="U11" i="108"/>
  <c r="I106" i="108"/>
  <c r="Y10" i="108"/>
  <c r="T21" i="108"/>
  <c r="T20" i="108"/>
  <c r="AD10" i="108"/>
  <c r="N106" i="108"/>
  <c r="AB36" i="108"/>
  <c r="H106" i="108"/>
  <c r="X10" i="108"/>
  <c r="X12" i="108"/>
  <c r="U13" i="108"/>
  <c r="U20" i="108"/>
  <c r="U18" i="108"/>
  <c r="S12" i="108"/>
  <c r="S11" i="108"/>
  <c r="W10" i="108"/>
  <c r="G106" i="108"/>
  <c r="V39" i="109"/>
  <c r="X36" i="101"/>
  <c r="U38" i="109"/>
  <c r="AB26" i="98"/>
  <c r="AF25" i="101"/>
  <c r="AF28" i="101"/>
  <c r="AF32" i="101"/>
  <c r="AF33" i="101"/>
  <c r="T23" i="98"/>
  <c r="Z24" i="98"/>
  <c r="V35" i="101"/>
  <c r="AB24" i="99"/>
  <c r="V26" i="97"/>
  <c r="U27" i="94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35" i="109"/>
  <c r="K10" i="111"/>
  <c r="G10" i="111"/>
  <c r="U26" i="99"/>
  <c r="X24" i="99"/>
  <c r="U23" i="99"/>
  <c r="T38" i="109"/>
  <c r="AD38" i="109"/>
  <c r="Z38" i="109"/>
  <c r="AA35" i="109"/>
  <c r="V35" i="109"/>
  <c r="S35" i="109"/>
  <c r="V24" i="98"/>
  <c r="X23" i="97"/>
  <c r="AD23" i="99"/>
  <c r="AB38" i="109"/>
  <c r="AD36" i="109"/>
  <c r="Z39" i="109"/>
  <c r="S26" i="97"/>
  <c r="AF12" i="109"/>
  <c r="AD39" i="109"/>
  <c r="Z36" i="109"/>
  <c r="V36" i="109"/>
  <c r="AC38" i="109"/>
  <c r="U35" i="109"/>
  <c r="V38" i="109"/>
  <c r="X35" i="109"/>
  <c r="Z35" i="109"/>
  <c r="AD35" i="109"/>
  <c r="X34" i="109"/>
  <c r="Y38" i="109"/>
  <c r="Z38" i="101"/>
  <c r="Y35" i="109"/>
  <c r="AA38" i="109"/>
  <c r="W38" i="109"/>
  <c r="AF30" i="109"/>
  <c r="X39" i="109"/>
  <c r="X37" i="109"/>
  <c r="AF15" i="109"/>
  <c r="AF14" i="109"/>
  <c r="AF13" i="109"/>
  <c r="AF17" i="109"/>
  <c r="AF16" i="109"/>
  <c r="AC27" i="99"/>
  <c r="W38" i="101"/>
  <c r="U35" i="101"/>
  <c r="AE33" i="109"/>
  <c r="AE32" i="109"/>
  <c r="AE31" i="109"/>
  <c r="AE30" i="109"/>
  <c r="AE29" i="109"/>
  <c r="AF32" i="109"/>
  <c r="AB35" i="109"/>
  <c r="W35" i="109"/>
  <c r="AF11" i="109"/>
  <c r="S38" i="109"/>
  <c r="AB36" i="109"/>
  <c r="X36" i="109"/>
  <c r="X40" i="109"/>
  <c r="V23" i="97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O57" i="107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AE11" i="107" s="1"/>
  <c r="O12" i="107"/>
  <c r="P26" i="107"/>
  <c r="P38" i="107"/>
  <c r="P30" i="107"/>
  <c r="P34" i="107"/>
  <c r="AF16" i="107" s="1"/>
  <c r="O30" i="107"/>
  <c r="P10" i="107"/>
  <c r="O10" i="107"/>
  <c r="AD26" i="98"/>
  <c r="AD24" i="98"/>
  <c r="AC26" i="98"/>
  <c r="AA23" i="100"/>
  <c r="O106" i="101"/>
  <c r="C108" i="101" s="1"/>
  <c r="Y24" i="99"/>
  <c r="P106" i="101"/>
  <c r="AB23" i="97"/>
  <c r="W26" i="99"/>
  <c r="U26" i="94"/>
  <c r="V26" i="98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Y24" i="100"/>
  <c r="V23" i="99"/>
  <c r="V23" i="98"/>
  <c r="Z27" i="98"/>
  <c r="T24" i="98"/>
  <c r="Y27" i="94"/>
  <c r="Y26" i="94"/>
  <c r="Y26" i="97"/>
  <c r="AC23" i="94"/>
  <c r="W27" i="98"/>
  <c r="AC27" i="94"/>
  <c r="AA23" i="94"/>
  <c r="X38" i="101"/>
  <c r="Y23" i="94"/>
  <c r="Y38" i="101"/>
  <c r="W26" i="94"/>
  <c r="X35" i="101"/>
  <c r="AB38" i="101"/>
  <c r="T38" i="101"/>
  <c r="AB35" i="101"/>
  <c r="T35" i="101"/>
  <c r="U23" i="94"/>
  <c r="W23" i="94"/>
  <c r="AA38" i="101"/>
  <c r="AC38" i="101"/>
  <c r="Y35" i="101"/>
  <c r="U38" i="101"/>
  <c r="Y23" i="100"/>
  <c r="W28" i="100"/>
  <c r="AB26" i="99"/>
  <c r="T26" i="99"/>
  <c r="AF13" i="100"/>
  <c r="Z35" i="101"/>
  <c r="AC26" i="99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T25" i="94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B25" i="94"/>
  <c r="W22" i="94"/>
  <c r="AF11" i="94"/>
  <c r="W28" i="94"/>
  <c r="S28" i="94"/>
  <c r="AA28" i="94"/>
  <c r="AF12" i="94"/>
  <c r="AF20" i="94"/>
  <c r="AF18" i="94"/>
  <c r="AF16" i="94"/>
  <c r="AF14" i="94"/>
  <c r="AA22" i="94"/>
  <c r="S22" i="94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16" i="107" l="1"/>
  <c r="AA36" i="107"/>
  <c r="AA39" i="107"/>
  <c r="AC38" i="107"/>
  <c r="AC35" i="107"/>
  <c r="AE10" i="107"/>
  <c r="T36" i="107"/>
  <c r="T39" i="107"/>
  <c r="Z40" i="107"/>
  <c r="Z37" i="107"/>
  <c r="Z34" i="107"/>
  <c r="Z41" i="107"/>
  <c r="V41" i="107"/>
  <c r="V37" i="107"/>
  <c r="V40" i="107"/>
  <c r="V42" i="107" s="1"/>
  <c r="V34" i="107"/>
  <c r="X34" i="107"/>
  <c r="X41" i="107"/>
  <c r="X37" i="107"/>
  <c r="Y35" i="107"/>
  <c r="AF10" i="107"/>
  <c r="AE16" i="108"/>
  <c r="AB36" i="107"/>
  <c r="AB39" i="107"/>
  <c r="AC41" i="107"/>
  <c r="AC42" i="107" s="1"/>
  <c r="AC37" i="107"/>
  <c r="AC34" i="107"/>
  <c r="AA40" i="107"/>
  <c r="AA34" i="107"/>
  <c r="AA37" i="107"/>
  <c r="AA41" i="107"/>
  <c r="AA42" i="107" s="1"/>
  <c r="X39" i="107"/>
  <c r="X40" i="107"/>
  <c r="AE15" i="107"/>
  <c r="AE12" i="107"/>
  <c r="AF18" i="107"/>
  <c r="AF19" i="107"/>
  <c r="AF20" i="107"/>
  <c r="AE21" i="107"/>
  <c r="W10" i="111"/>
  <c r="V14" i="111"/>
  <c r="AA39" i="108"/>
  <c r="S38" i="107"/>
  <c r="U39" i="107"/>
  <c r="V38" i="107"/>
  <c r="Y40" i="107"/>
  <c r="Y37" i="107"/>
  <c r="Y34" i="107"/>
  <c r="Y41" i="107"/>
  <c r="Y42" i="107" s="1"/>
  <c r="X36" i="107"/>
  <c r="X38" i="107"/>
  <c r="AE18" i="107"/>
  <c r="AE19" i="107"/>
  <c r="AE20" i="107"/>
  <c r="AF21" i="107"/>
  <c r="AF11" i="107"/>
  <c r="W16" i="111"/>
  <c r="AA38" i="107"/>
  <c r="AD38" i="107"/>
  <c r="AB40" i="107"/>
  <c r="AB37" i="107"/>
  <c r="AB41" i="107"/>
  <c r="AB42" i="107" s="1"/>
  <c r="AB34" i="107"/>
  <c r="AF15" i="107"/>
  <c r="P106" i="107"/>
  <c r="C107" i="107" s="1"/>
  <c r="AE13" i="107"/>
  <c r="Y14" i="111"/>
  <c r="X16" i="111"/>
  <c r="T35" i="107"/>
  <c r="AC39" i="107"/>
  <c r="U40" i="107"/>
  <c r="V35" i="107"/>
  <c r="V39" i="107"/>
  <c r="V36" i="107"/>
  <c r="W39" i="107"/>
  <c r="W36" i="107"/>
  <c r="X35" i="107"/>
  <c r="AF17" i="107"/>
  <c r="AE14" i="107"/>
  <c r="AE17" i="107"/>
  <c r="AF13" i="107"/>
  <c r="T11" i="111"/>
  <c r="T13" i="111"/>
  <c r="U36" i="108"/>
  <c r="T40" i="107"/>
  <c r="T37" i="107"/>
  <c r="T41" i="107"/>
  <c r="T42" i="107" s="1"/>
  <c r="T34" i="107"/>
  <c r="AD41" i="107"/>
  <c r="AD34" i="107"/>
  <c r="AD37" i="107"/>
  <c r="AD40" i="107"/>
  <c r="AB35" i="107"/>
  <c r="U36" i="107"/>
  <c r="AC40" i="107"/>
  <c r="AD35" i="107"/>
  <c r="AD39" i="107"/>
  <c r="AD36" i="107"/>
  <c r="O106" i="107"/>
  <c r="H108" i="107" s="1"/>
  <c r="AF14" i="107"/>
  <c r="AF12" i="107"/>
  <c r="S15" i="111"/>
  <c r="S10" i="111"/>
  <c r="S35" i="107"/>
  <c r="S36" i="107"/>
  <c r="S39" i="107"/>
  <c r="T38" i="107"/>
  <c r="U41" i="107"/>
  <c r="U42" i="107" s="1"/>
  <c r="U34" i="107"/>
  <c r="U37" i="107"/>
  <c r="U38" i="107"/>
  <c r="U35" i="107"/>
  <c r="AC36" i="107"/>
  <c r="S40" i="107"/>
  <c r="S34" i="107"/>
  <c r="S37" i="107"/>
  <c r="S41" i="107"/>
  <c r="S42" i="107" s="1"/>
  <c r="Z35" i="107"/>
  <c r="Z38" i="107"/>
  <c r="W38" i="107"/>
  <c r="W35" i="107"/>
  <c r="Z39" i="107"/>
  <c r="X15" i="111"/>
  <c r="AA36" i="108"/>
  <c r="AB35" i="108"/>
  <c r="AC35" i="108"/>
  <c r="AA38" i="108"/>
  <c r="AF16" i="108"/>
  <c r="AA16" i="111"/>
  <c r="Z19" i="111"/>
  <c r="Z21" i="111"/>
  <c r="W11" i="111"/>
  <c r="W13" i="111"/>
  <c r="W15" i="111"/>
  <c r="T15" i="111"/>
  <c r="Y38" i="108"/>
  <c r="AC16" i="111"/>
  <c r="AD16" i="111"/>
  <c r="W38" i="108"/>
  <c r="AC40" i="108"/>
  <c r="T35" i="108"/>
  <c r="X38" i="108"/>
  <c r="AB16" i="111"/>
  <c r="AA35" i="108"/>
  <c r="AC38" i="108"/>
  <c r="AF20" i="108"/>
  <c r="AF15" i="108"/>
  <c r="AE20" i="108"/>
  <c r="W18" i="111"/>
  <c r="Y20" i="111"/>
  <c r="Z11" i="111"/>
  <c r="V13" i="111"/>
  <c r="V15" i="111"/>
  <c r="V17" i="111"/>
  <c r="V19" i="111"/>
  <c r="V21" i="111"/>
  <c r="S11" i="111"/>
  <c r="S13" i="111"/>
  <c r="Y18" i="111"/>
  <c r="U20" i="111"/>
  <c r="AF21" i="108"/>
  <c r="AF13" i="108"/>
  <c r="U11" i="111"/>
  <c r="U13" i="111"/>
  <c r="U15" i="111"/>
  <c r="AC18" i="111"/>
  <c r="Z13" i="111"/>
  <c r="Z15" i="111"/>
  <c r="Z17" i="111"/>
  <c r="T17" i="111"/>
  <c r="T19" i="111"/>
  <c r="T21" i="111"/>
  <c r="AA18" i="111"/>
  <c r="W35" i="108"/>
  <c r="AC39" i="108"/>
  <c r="AF12" i="108"/>
  <c r="AC15" i="111"/>
  <c r="AB13" i="111"/>
  <c r="AD15" i="111"/>
  <c r="Y15" i="111"/>
  <c r="AA15" i="111"/>
  <c r="AB15" i="111"/>
  <c r="V39" i="108"/>
  <c r="X35" i="108"/>
  <c r="S38" i="108"/>
  <c r="W17" i="111"/>
  <c r="V16" i="111"/>
  <c r="Y16" i="111"/>
  <c r="AE15" i="108"/>
  <c r="AA19" i="111"/>
  <c r="Z16" i="111"/>
  <c r="U16" i="111"/>
  <c r="T38" i="108"/>
  <c r="C106" i="111"/>
  <c r="AE19" i="108"/>
  <c r="O106" i="108"/>
  <c r="AE10" i="108"/>
  <c r="Y12" i="111"/>
  <c r="AC17" i="111"/>
  <c r="AC19" i="111"/>
  <c r="AD12" i="111"/>
  <c r="AD14" i="111"/>
  <c r="AD18" i="111"/>
  <c r="AD20" i="111"/>
  <c r="AA12" i="111"/>
  <c r="AA14" i="111"/>
  <c r="X12" i="111"/>
  <c r="X14" i="111"/>
  <c r="X18" i="111"/>
  <c r="X20" i="111"/>
  <c r="Y10" i="111"/>
  <c r="I106" i="111"/>
  <c r="S18" i="111"/>
  <c r="Y40" i="108"/>
  <c r="Y34" i="108"/>
  <c r="Y37" i="108"/>
  <c r="Y41" i="108"/>
  <c r="AC41" i="108"/>
  <c r="AC42" i="108" s="1"/>
  <c r="AC34" i="108"/>
  <c r="AC37" i="108"/>
  <c r="S35" i="108"/>
  <c r="Z35" i="108"/>
  <c r="Z38" i="108"/>
  <c r="AF18" i="108"/>
  <c r="AF11" i="108"/>
  <c r="AF17" i="108"/>
  <c r="AC12" i="111"/>
  <c r="W20" i="111"/>
  <c r="V10" i="111"/>
  <c r="F106" i="111"/>
  <c r="AC14" i="111"/>
  <c r="Z12" i="111"/>
  <c r="AB14" i="111"/>
  <c r="AB18" i="111"/>
  <c r="AB20" i="111"/>
  <c r="AC10" i="111"/>
  <c r="M106" i="111"/>
  <c r="U18" i="111"/>
  <c r="S20" i="111"/>
  <c r="T10" i="111"/>
  <c r="D106" i="111"/>
  <c r="W39" i="108"/>
  <c r="W36" i="108"/>
  <c r="AA40" i="108"/>
  <c r="AA37" i="108"/>
  <c r="AA41" i="108"/>
  <c r="AA34" i="108"/>
  <c r="Y35" i="108"/>
  <c r="AB40" i="108"/>
  <c r="AB34" i="108"/>
  <c r="AB37" i="108"/>
  <c r="AB41" i="108"/>
  <c r="AD39" i="108"/>
  <c r="AD36" i="108"/>
  <c r="AF14" i="108"/>
  <c r="AF35" i="108" s="1"/>
  <c r="AE11" i="108"/>
  <c r="AE17" i="108"/>
  <c r="N106" i="111"/>
  <c r="AD10" i="111"/>
  <c r="AB11" i="111"/>
  <c r="AA20" i="111"/>
  <c r="AB10" i="111"/>
  <c r="L106" i="111"/>
  <c r="U38" i="108"/>
  <c r="U35" i="108"/>
  <c r="U40" i="108"/>
  <c r="Z40" i="108"/>
  <c r="Z41" i="108"/>
  <c r="Z34" i="108"/>
  <c r="Z37" i="108"/>
  <c r="AE12" i="108"/>
  <c r="AF19" i="108"/>
  <c r="Y11" i="111"/>
  <c r="Y13" i="111"/>
  <c r="AD17" i="111"/>
  <c r="AD19" i="111"/>
  <c r="AD21" i="111"/>
  <c r="AA11" i="111"/>
  <c r="AA13" i="111"/>
  <c r="V11" i="111"/>
  <c r="X13" i="111"/>
  <c r="X17" i="111"/>
  <c r="X19" i="111"/>
  <c r="X21" i="111"/>
  <c r="S17" i="111"/>
  <c r="AC20" i="111"/>
  <c r="S40" i="108"/>
  <c r="S41" i="108"/>
  <c r="S42" i="108" s="1"/>
  <c r="S34" i="108"/>
  <c r="S37" i="108"/>
  <c r="X39" i="108"/>
  <c r="X36" i="108"/>
  <c r="U39" i="108"/>
  <c r="AD38" i="108"/>
  <c r="AD35" i="108"/>
  <c r="H106" i="111"/>
  <c r="X10" i="111"/>
  <c r="Z10" i="111"/>
  <c r="J106" i="111"/>
  <c r="AE13" i="108"/>
  <c r="AC11" i="111"/>
  <c r="AC13" i="111"/>
  <c r="S19" i="111"/>
  <c r="S21" i="111"/>
  <c r="T12" i="111"/>
  <c r="X11" i="111"/>
  <c r="AD13" i="111"/>
  <c r="AB17" i="111"/>
  <c r="AB19" i="111"/>
  <c r="AB21" i="111"/>
  <c r="U17" i="111"/>
  <c r="U19" i="111"/>
  <c r="W21" i="111"/>
  <c r="W34" i="108"/>
  <c r="W37" i="108"/>
  <c r="W40" i="108"/>
  <c r="W41" i="108"/>
  <c r="AD41" i="108"/>
  <c r="AD40" i="108"/>
  <c r="AD37" i="108"/>
  <c r="AD34" i="108"/>
  <c r="S36" i="108"/>
  <c r="S39" i="108"/>
  <c r="V36" i="108"/>
  <c r="T40" i="108"/>
  <c r="T37" i="108"/>
  <c r="T41" i="108"/>
  <c r="T34" i="108"/>
  <c r="G106" i="111"/>
  <c r="AE18" i="108"/>
  <c r="AE14" i="108"/>
  <c r="P106" i="108"/>
  <c r="H107" i="108" s="1"/>
  <c r="AF10" i="108"/>
  <c r="S16" i="111"/>
  <c r="Y19" i="111"/>
  <c r="U21" i="111"/>
  <c r="V12" i="111"/>
  <c r="V18" i="111"/>
  <c r="V20" i="111"/>
  <c r="S12" i="111"/>
  <c r="S14" i="111"/>
  <c r="AD11" i="111"/>
  <c r="AA17" i="111"/>
  <c r="W19" i="111"/>
  <c r="Y21" i="111"/>
  <c r="V38" i="108"/>
  <c r="V35" i="108"/>
  <c r="AC36" i="108"/>
  <c r="U41" i="108"/>
  <c r="U42" i="108" s="1"/>
  <c r="U34" i="108"/>
  <c r="U37" i="108"/>
  <c r="AE21" i="108"/>
  <c r="AA10" i="111"/>
  <c r="K106" i="111"/>
  <c r="U12" i="111"/>
  <c r="W14" i="111"/>
  <c r="Y17" i="111"/>
  <c r="AC21" i="111"/>
  <c r="AB12" i="111"/>
  <c r="Z14" i="111"/>
  <c r="Z18" i="111"/>
  <c r="Z20" i="111"/>
  <c r="W12" i="111"/>
  <c r="U14" i="111"/>
  <c r="T14" i="111"/>
  <c r="T16" i="111"/>
  <c r="T18" i="111"/>
  <c r="T20" i="111"/>
  <c r="E106" i="111"/>
  <c r="U10" i="111"/>
  <c r="AA21" i="111"/>
  <c r="AA39" i="111" s="1"/>
  <c r="X34" i="108"/>
  <c r="X41" i="108"/>
  <c r="X37" i="108"/>
  <c r="X40" i="108"/>
  <c r="T36" i="108"/>
  <c r="T39" i="108"/>
  <c r="V41" i="108"/>
  <c r="V37" i="108"/>
  <c r="V34" i="108"/>
  <c r="V40" i="108"/>
  <c r="Y39" i="108"/>
  <c r="Y36" i="108"/>
  <c r="X42" i="109"/>
  <c r="AE24" i="98"/>
  <c r="V22" i="93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H60" i="94"/>
  <c r="AF35" i="101"/>
  <c r="AF24" i="100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F23" i="94"/>
  <c r="AF27" i="94"/>
  <c r="AF24" i="94"/>
  <c r="AF26" i="94"/>
  <c r="L60" i="94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38" i="107" l="1"/>
  <c r="AF35" i="107"/>
  <c r="AF36" i="107"/>
  <c r="AE34" i="107"/>
  <c r="AE37" i="107"/>
  <c r="AE41" i="107"/>
  <c r="AE40" i="107"/>
  <c r="AF40" i="107"/>
  <c r="AE39" i="107"/>
  <c r="AE36" i="107"/>
  <c r="AF39" i="107"/>
  <c r="AF34" i="107"/>
  <c r="AF37" i="107"/>
  <c r="AF41" i="107"/>
  <c r="AE17" i="111"/>
  <c r="AD42" i="107"/>
  <c r="Z42" i="107"/>
  <c r="AE38" i="107"/>
  <c r="AE35" i="107"/>
  <c r="X42" i="107"/>
  <c r="S35" i="111"/>
  <c r="W38" i="111"/>
  <c r="Z36" i="111"/>
  <c r="AB38" i="111"/>
  <c r="Z35" i="111"/>
  <c r="AA35" i="111"/>
  <c r="AB35" i="111"/>
  <c r="W39" i="111"/>
  <c r="Y35" i="111"/>
  <c r="T42" i="108"/>
  <c r="AF20" i="111"/>
  <c r="AF15" i="111"/>
  <c r="AE16" i="111"/>
  <c r="AB39" i="111"/>
  <c r="V35" i="111"/>
  <c r="AA38" i="111"/>
  <c r="AF10" i="111"/>
  <c r="T36" i="111"/>
  <c r="Z38" i="111"/>
  <c r="V36" i="111"/>
  <c r="AF16" i="111"/>
  <c r="AF17" i="111"/>
  <c r="S38" i="111"/>
  <c r="V38" i="111"/>
  <c r="AF12" i="111"/>
  <c r="AF18" i="111"/>
  <c r="AE15" i="111"/>
  <c r="AE10" i="111"/>
  <c r="AF21" i="111"/>
  <c r="X42" i="108"/>
  <c r="T38" i="111"/>
  <c r="V39" i="111"/>
  <c r="AA36" i="111"/>
  <c r="Y42" i="108"/>
  <c r="U38" i="111"/>
  <c r="Z42" i="108"/>
  <c r="Z39" i="111"/>
  <c r="AF38" i="108"/>
  <c r="AE21" i="111"/>
  <c r="V42" i="108"/>
  <c r="U41" i="111"/>
  <c r="U34" i="111"/>
  <c r="U37" i="111"/>
  <c r="Z40" i="111"/>
  <c r="Z41" i="111"/>
  <c r="Z34" i="111"/>
  <c r="Z37" i="111"/>
  <c r="T39" i="111"/>
  <c r="AC40" i="111"/>
  <c r="Y38" i="111"/>
  <c r="X39" i="111"/>
  <c r="X36" i="111"/>
  <c r="W36" i="111"/>
  <c r="AE12" i="111"/>
  <c r="AE20" i="111"/>
  <c r="AE14" i="111"/>
  <c r="AE13" i="111"/>
  <c r="U40" i="111"/>
  <c r="Y39" i="111"/>
  <c r="Y36" i="111"/>
  <c r="U39" i="111"/>
  <c r="X34" i="111"/>
  <c r="X41" i="111"/>
  <c r="X40" i="111"/>
  <c r="X37" i="111"/>
  <c r="X38" i="111"/>
  <c r="X35" i="111"/>
  <c r="W35" i="111"/>
  <c r="AD41" i="111"/>
  <c r="AD37" i="111"/>
  <c r="AD40" i="111"/>
  <c r="AD34" i="111"/>
  <c r="T40" i="111"/>
  <c r="T34" i="111"/>
  <c r="T37" i="111"/>
  <c r="T41" i="111"/>
  <c r="AE18" i="111"/>
  <c r="AE34" i="108"/>
  <c r="AE37" i="108"/>
  <c r="AE41" i="108"/>
  <c r="AE40" i="108"/>
  <c r="AE11" i="111"/>
  <c r="P106" i="111"/>
  <c r="N107" i="111" s="1"/>
  <c r="AF11" i="111"/>
  <c r="AE19" i="111"/>
  <c r="AF19" i="111"/>
  <c r="AA40" i="111"/>
  <c r="AA34" i="111"/>
  <c r="AA37" i="111"/>
  <c r="AA41" i="111"/>
  <c r="W34" i="111"/>
  <c r="W37" i="111"/>
  <c r="W40" i="111"/>
  <c r="S36" i="111"/>
  <c r="S39" i="111"/>
  <c r="W41" i="111"/>
  <c r="U35" i="111"/>
  <c r="AA42" i="108"/>
  <c r="T35" i="111"/>
  <c r="Y40" i="111"/>
  <c r="Y34" i="111"/>
  <c r="Y37" i="111"/>
  <c r="Y41" i="111"/>
  <c r="AF13" i="111"/>
  <c r="O106" i="111"/>
  <c r="K108" i="111" s="1"/>
  <c r="AF14" i="111"/>
  <c r="AF34" i="108"/>
  <c r="AF41" i="108"/>
  <c r="AF37" i="108"/>
  <c r="AF40" i="108"/>
  <c r="W42" i="108"/>
  <c r="AC38" i="111"/>
  <c r="AC35" i="111"/>
  <c r="AC36" i="111"/>
  <c r="AF39" i="108"/>
  <c r="AF36" i="108"/>
  <c r="U36" i="111"/>
  <c r="AE39" i="108"/>
  <c r="AE36" i="108"/>
  <c r="AC41" i="111"/>
  <c r="AC34" i="111"/>
  <c r="AC37" i="111"/>
  <c r="AD38" i="111"/>
  <c r="AD35" i="111"/>
  <c r="AE38" i="108"/>
  <c r="AE35" i="108"/>
  <c r="AD39" i="111"/>
  <c r="AD36" i="111"/>
  <c r="AB40" i="111"/>
  <c r="AB34" i="111"/>
  <c r="AB37" i="111"/>
  <c r="AB41" i="111"/>
  <c r="AB36" i="111"/>
  <c r="V41" i="111"/>
  <c r="V37" i="111"/>
  <c r="V40" i="111"/>
  <c r="V34" i="111"/>
  <c r="AC39" i="111"/>
  <c r="S40" i="111"/>
  <c r="S37" i="111"/>
  <c r="S41" i="111"/>
  <c r="S34" i="111"/>
  <c r="M107" i="107"/>
  <c r="F108" i="107"/>
  <c r="J107" i="108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42" i="107" l="1"/>
  <c r="AE42" i="107"/>
  <c r="AC42" i="111"/>
  <c r="V42" i="111"/>
  <c r="AB42" i="111"/>
  <c r="AF42" i="108"/>
  <c r="AE39" i="111"/>
  <c r="AD42" i="111"/>
  <c r="S42" i="111"/>
  <c r="AE37" i="111"/>
  <c r="W42" i="111"/>
  <c r="Z42" i="111"/>
  <c r="T42" i="111"/>
  <c r="AF34" i="111"/>
  <c r="AF41" i="111"/>
  <c r="AA42" i="111"/>
  <c r="AE40" i="111"/>
  <c r="AE42" i="108"/>
  <c r="AF39" i="111"/>
  <c r="AF36" i="111"/>
  <c r="AE34" i="111"/>
  <c r="AF40" i="111"/>
  <c r="AF37" i="111"/>
  <c r="AF38" i="111"/>
  <c r="AF35" i="111"/>
  <c r="AE38" i="111"/>
  <c r="AE35" i="111"/>
  <c r="U42" i="111"/>
  <c r="Y42" i="111"/>
  <c r="AE41" i="111"/>
  <c r="X42" i="111"/>
  <c r="AE36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  <c r="AE42" i="111"/>
</calcChain>
</file>

<file path=xl/sharedStrings.xml><?xml version="1.0" encoding="utf-8"?>
<sst xmlns="http://schemas.openxmlformats.org/spreadsheetml/2006/main" count="2350" uniqueCount="184">
  <si>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</si>
  <si>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</si>
  <si>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</si>
  <si>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</si>
  <si>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</si>
  <si>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</si>
  <si>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</si>
  <si>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</si>
  <si>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</si>
  <si>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</si>
  <si>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</si>
  <si>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</si>
  <si>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</si>
  <si>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</si>
  <si>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</si>
  <si>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</si>
  <si>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</si>
  <si>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</si>
  <si>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</si>
  <si>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</si>
  <si>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</si>
  <si>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</si>
  <si>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</si>
  <si>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</si>
  <si>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</si>
  <si>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</si>
  <si>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</si>
  <si>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</si>
  <si>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</si>
  <si>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</si>
  <si>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</si>
  <si>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</si>
  <si>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</si>
  <si>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</si>
  <si>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</si>
  <si>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</si>
  <si>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</si>
  <si>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</si>
  <si>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</si>
  <si>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</si>
  <si>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</si>
  <si>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</si>
  <si>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</si>
  <si>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</si>
  <si>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</si>
  <si>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</si>
  <si>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</si>
  <si>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</si>
  <si>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</si>
  <si>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</si>
  <si>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</si>
  <si>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</si>
  <si>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</si>
  <si>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</si>
  <si>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</si>
  <si>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</si>
  <si>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</si>
  <si>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</si>
  <si>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</si>
  <si>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</si>
  <si>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</si>
  <si>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</si>
  <si>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</si>
  <si>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</si>
  <si>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</si>
  <si>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</si>
  <si>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</si>
  <si>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</si>
  <si>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</si>
  <si>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</si>
  <si>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</si>
  <si>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</si>
  <si>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</si>
  <si>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</si>
  <si>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</si>
  <si>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</si>
  <si>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</si>
  <si>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</si>
  <si>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</si>
  <si>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</si>
  <si>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</si>
  <si>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</si>
  <si>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</si>
  <si>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</si>
  <si>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</si>
  <si>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</si>
  <si>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</si>
  <si>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</si>
  <si>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</si>
  <si>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</si>
  <si>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</si>
  <si>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</si>
  <si>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</si>
  <si>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</si>
  <si>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</si>
  <si>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</si>
  <si>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</si>
  <si>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</si>
  <si>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</si>
  <si>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</si>
  <si>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</si>
  <si>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</si>
  <si>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</si>
  <si>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</si>
  <si>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</si>
  <si>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</si>
  <si>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</si>
  <si>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</si>
  <si>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</si>
  <si>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</si>
  <si>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</si>
  <si>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</si>
  <si>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</si>
  <si>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</si>
  <si>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</si>
  <si>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</si>
  <si>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</si>
  <si>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</si>
  <si>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</si>
  <si>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</si>
  <si>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</si>
  <si>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</si>
  <si>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</si>
  <si>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</si>
  <si>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</si>
  <si>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</si>
  <si>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</si>
  <si>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</si>
  <si>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</si>
  <si>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</si>
  <si>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</si>
  <si>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</si>
  <si>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</si>
  <si>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</si>
  <si>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</si>
  <si>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</si>
  <si>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</si>
  <si>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</si>
  <si>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</si>
  <si>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</si>
  <si>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</si>
  <si>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</si>
  <si>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</si>
  <si>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</si>
  <si>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</si>
  <si>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</si>
  <si>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</si>
  <si>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</si>
  <si>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</si>
  <si>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</si>
  <si>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</si>
  <si>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</si>
  <si>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</si>
  <si>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</si>
  <si>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</si>
  <si>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</si>
  <si>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</si>
  <si>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</si>
  <si>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</si>
  <si>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</si>
  <si>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</si>
  <si>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</si>
  <si>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</si>
  <si>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23.09.19</t>
  </si>
  <si>
    <t>MUNYONYO</t>
  </si>
  <si>
    <t>KIGO</t>
  </si>
  <si>
    <t>Okello Peter</t>
  </si>
  <si>
    <t>Beatrice</t>
  </si>
  <si>
    <t>Racheal</t>
  </si>
  <si>
    <t>MCC-C2-STNO 57-KIGO RD</t>
  </si>
  <si>
    <t>LWEZA KAMUCHANGA</t>
  </si>
  <si>
    <t>MCC-C2-STNO 57 KIGO RD</t>
  </si>
  <si>
    <t>KIGO RD</t>
  </si>
  <si>
    <t>24.09.19</t>
  </si>
  <si>
    <t>28.09.19</t>
  </si>
  <si>
    <t>LWEZA</t>
  </si>
  <si>
    <t>29.09.19</t>
  </si>
  <si>
    <t>OKELLO PETER</t>
  </si>
  <si>
    <t>26.0.19</t>
  </si>
  <si>
    <t>Reacheal</t>
  </si>
  <si>
    <t>27.09.19</t>
  </si>
  <si>
    <t>RECHEAL</t>
  </si>
  <si>
    <t>25.09.19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</si>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</sst>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0" fillId="0" borderId="5" xfId="0" applyBorder="1"/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'23.09.19 -Munyonyo-Kigo'!$AE$9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'23.09.19 -Munyonyo-Kigo'!$R$10:$R$21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'23.09.19 -Munyonyo-Kigo'!$AE$10:$AE$21</c:f>
              <c:numCache>
                <c:formatCode>0</c:formatCode>
                <c:ptCount val="12"/>
                <c:pt idx="0">
                  <c:v>18</c:v>
                </c:pt>
                <c:pt idx="1">
                  <c:v>20</c:v>
                </c:pt>
                <c:pt idx="2">
                  <c:v>6</c:v>
                </c:pt>
                <c:pt idx="3">
                  <c:v>12</c:v>
                </c:pt>
                <c:pt idx="4">
                  <c:v>6</c:v>
                </c:pt>
                <c:pt idx="5">
                  <c:v>12</c:v>
                </c:pt>
                <c:pt idx="6">
                  <c:v>4</c:v>
                </c:pt>
                <c:pt idx="7">
                  <c:v>9</c:v>
                </c:pt>
                <c:pt idx="8">
                  <c:v>16</c:v>
                </c:pt>
                <c:pt idx="9">
                  <c:v>18</c:v>
                </c:pt>
                <c:pt idx="10">
                  <c:v>22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'23.09.19 -Munyonyo-Kigo'!$AF$9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'23.09.19 -Munyonyo-Kigo'!$R$10:$R$21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'23.09.19 -Munyonyo-Kigo'!$AF$10:$AF$21</c:f>
              <c:numCache>
                <c:formatCode>0</c:formatCode>
                <c:ptCount val="12"/>
                <c:pt idx="0">
                  <c:v>136</c:v>
                </c:pt>
                <c:pt idx="1">
                  <c:v>110</c:v>
                </c:pt>
                <c:pt idx="2">
                  <c:v>67</c:v>
                </c:pt>
                <c:pt idx="3">
                  <c:v>85</c:v>
                </c:pt>
                <c:pt idx="4">
                  <c:v>88</c:v>
                </c:pt>
                <c:pt idx="5">
                  <c:v>98</c:v>
                </c:pt>
                <c:pt idx="6">
                  <c:v>56</c:v>
                </c:pt>
                <c:pt idx="7">
                  <c:v>68</c:v>
                </c:pt>
                <c:pt idx="8">
                  <c:v>72</c:v>
                </c:pt>
                <c:pt idx="9">
                  <c:v>86</c:v>
                </c:pt>
                <c:pt idx="10">
                  <c:v>107</c:v>
                </c:pt>
                <c:pt idx="11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'23.09.19 -Munyonyo-Kigo'!$C$9:$N$9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'23.09.19 -Munyonyo-Kigo'!$C$59:$N$59</c:f>
              <c:numCache>
                <c:formatCode>0.0%</c:formatCode>
                <c:ptCount val="12"/>
                <c:pt idx="0">
                  <c:v>6.95970695970696E-2</c:v>
                </c:pt>
                <c:pt idx="1">
                  <c:v>2.8388278388278388E-2</c:v>
                </c:pt>
                <c:pt idx="2">
                  <c:v>1.1904761904761904E-2</c:v>
                </c:pt>
                <c:pt idx="3">
                  <c:v>1.9230769230769232E-2</c:v>
                </c:pt>
                <c:pt idx="4">
                  <c:v>0</c:v>
                </c:pt>
                <c:pt idx="5">
                  <c:v>0</c:v>
                </c:pt>
                <c:pt idx="6">
                  <c:v>1.1904761904761904E-2</c:v>
                </c:pt>
                <c:pt idx="7">
                  <c:v>0</c:v>
                </c:pt>
                <c:pt idx="8">
                  <c:v>6.41025641025641E-3</c:v>
                </c:pt>
                <c:pt idx="9">
                  <c:v>0</c:v>
                </c:pt>
                <c:pt idx="10">
                  <c:v>0.85256410256410253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'23.09.19 -Munyonyo-Kigo'!$C$9:$N$9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'23.09.19 -Munyonyo-Kigo'!$C$60:$N$60</c:f>
              <c:numCache>
                <c:formatCode>0.00%</c:formatCode>
                <c:ptCount val="12"/>
                <c:pt idx="0">
                  <c:v>0.47204968944099379</c:v>
                </c:pt>
                <c:pt idx="1">
                  <c:v>0.19254658385093168</c:v>
                </c:pt>
                <c:pt idx="2">
                  <c:v>8.0745341614906832E-2</c:v>
                </c:pt>
                <c:pt idx="3">
                  <c:v>0.13043478260869565</c:v>
                </c:pt>
                <c:pt idx="4">
                  <c:v>0</c:v>
                </c:pt>
                <c:pt idx="5">
                  <c:v>0</c:v>
                </c:pt>
                <c:pt idx="6">
                  <c:v>8.0745341614906832E-2</c:v>
                </c:pt>
                <c:pt idx="7">
                  <c:v>0</c:v>
                </c:pt>
                <c:pt idx="8">
                  <c:v>4.3478260869565216E-2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'23.09.19 -Kigo-Munyonyo'!$AE$9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'23.09.19 -Kigo-Munyonyo'!$R$10:$R$21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'23.09.19 -Kigo-Munyonyo'!$AE$10:$AE$21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8</c:v>
                </c:pt>
                <c:pt idx="3">
                  <c:v>0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'23.09.19 -Kigo-Munyonyo'!$AF$9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'23.09.19 -Kigo-Munyonyo'!$R$10:$R$21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'23.09.19 -Kigo-Munyonyo'!$AF$10:$AF$21</c:f>
              <c:numCache>
                <c:formatCode>0</c:formatCode>
                <c:ptCount val="12"/>
                <c:pt idx="0">
                  <c:v>125</c:v>
                </c:pt>
                <c:pt idx="1">
                  <c:v>109</c:v>
                </c:pt>
                <c:pt idx="2">
                  <c:v>77</c:v>
                </c:pt>
                <c:pt idx="3">
                  <c:v>69</c:v>
                </c:pt>
                <c:pt idx="4">
                  <c:v>80</c:v>
                </c:pt>
                <c:pt idx="5">
                  <c:v>64</c:v>
                </c:pt>
                <c:pt idx="6">
                  <c:v>42</c:v>
                </c:pt>
                <c:pt idx="7">
                  <c:v>55</c:v>
                </c:pt>
                <c:pt idx="8">
                  <c:v>49</c:v>
                </c:pt>
                <c:pt idx="9">
                  <c:v>73</c:v>
                </c:pt>
                <c:pt idx="10">
                  <c:v>79</c:v>
                </c:pt>
                <c:pt idx="11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'23.09.19 -Kigo-Munyonyo'!$C$9:$N$9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'23.09.19 -Kigo-Munyonyo'!$C$59:$N$59</c:f>
              <c:numCache>
                <c:formatCode>0.0%</c:formatCode>
                <c:ptCount val="12"/>
                <c:pt idx="0">
                  <c:v>1.6339869281045753E-2</c:v>
                </c:pt>
                <c:pt idx="1">
                  <c:v>9.8039215686274508E-3</c:v>
                </c:pt>
                <c:pt idx="2">
                  <c:v>2.1786492374727671E-3</c:v>
                </c:pt>
                <c:pt idx="3">
                  <c:v>5.4466230936819175E-3</c:v>
                </c:pt>
                <c:pt idx="4">
                  <c:v>1.0893246187363835E-3</c:v>
                </c:pt>
                <c:pt idx="5">
                  <c:v>0</c:v>
                </c:pt>
                <c:pt idx="6">
                  <c:v>3.2679738562091504E-3</c:v>
                </c:pt>
                <c:pt idx="7">
                  <c:v>1.0893246187363835E-3</c:v>
                </c:pt>
                <c:pt idx="8">
                  <c:v>0</c:v>
                </c:pt>
                <c:pt idx="9">
                  <c:v>0</c:v>
                </c:pt>
                <c:pt idx="10">
                  <c:v>0.96078431372549022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'23.09.19 -Kigo-Munyonyo'!$S$9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'23.09.19 -Kigo-Munyonyo'!$R$10:$R$21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'23.09.19 -Kigo-Munyonyo'!$S$10:$S$21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'23.09.19 -Kigo-Munyonyo'!$T$9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'23.09.19 -Kigo-Munyonyo'!$R$10:$R$21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'23.09.19 -Kigo-Munyonyo'!$T$10:$T$21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'23.09.19 -Kigo-Munyonyo'!$U$9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'23.09.19 -Kigo-Munyonyo'!$V$9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'23.09.19 -Kigo-Munyonyo'!$W$9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'23.09.19 -Kigo-Munyonyo'!$X$9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'23.09.19 -Kigo-Munyonyo'!$Y$9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'23.09.19 -Kigo-Munyonyo'!$Z$9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'23.09.19 -Kigo-Munyonyo'!$AA$9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'23.09.19 -Kigo-Munyonyo'!$AB$9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'23.09.19 -Kigo-Munyonyo'!$AC$9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'23.09.19 -Kigo-Munyonyo'!$AC$10:$AC$21</c:f>
              <c:numCache>
                <c:formatCode>0</c:formatCode>
                <c:ptCount val="12"/>
                <c:pt idx="0">
                  <c:v>122</c:v>
                </c:pt>
                <c:pt idx="1">
                  <c:v>106</c:v>
                </c:pt>
                <c:pt idx="2">
                  <c:v>69</c:v>
                </c:pt>
                <c:pt idx="3">
                  <c:v>69</c:v>
                </c:pt>
                <c:pt idx="4">
                  <c:v>76</c:v>
                </c:pt>
                <c:pt idx="5">
                  <c:v>60</c:v>
                </c:pt>
                <c:pt idx="6">
                  <c:v>40</c:v>
                </c:pt>
                <c:pt idx="7">
                  <c:v>54</c:v>
                </c:pt>
                <c:pt idx="8">
                  <c:v>47</c:v>
                </c:pt>
                <c:pt idx="9">
                  <c:v>72</c:v>
                </c:pt>
                <c:pt idx="10">
                  <c:v>75</c:v>
                </c:pt>
                <c:pt idx="11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'23.09.19 -Kigo-Munyonyo'!$AD$9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'23.09.19 -Kigo-Munyonyo'!$AD$10:$AD$21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'23.09.19 -Kigo-Munyonyo'!$C$9:$N$9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'23.09.19 -Kigo-Munyonyo'!$C$60:$N$60</c:f>
              <c:numCache>
                <c:formatCode>0.00%</c:formatCode>
                <c:ptCount val="12"/>
                <c:pt idx="0">
                  <c:v>0.41666666666666669</c:v>
                </c:pt>
                <c:pt idx="1">
                  <c:v>0.25</c:v>
                </c:pt>
                <c:pt idx="2">
                  <c:v>5.5555555555555552E-2</c:v>
                </c:pt>
                <c:pt idx="3">
                  <c:v>0.1388888888888889</c:v>
                </c:pt>
                <c:pt idx="4">
                  <c:v>2.7777777777777776E-2</c:v>
                </c:pt>
                <c:pt idx="5">
                  <c:v>0</c:v>
                </c:pt>
                <c:pt idx="6">
                  <c:v>8.3333333333333329E-2</c:v>
                </c:pt>
                <c:pt idx="7">
                  <c:v>2.7777777777777776E-2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Munyonyo-Kigo'!$AE$9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Munyonyo-Kigo'!$AE$10:$AE$21</c:f>
              <c:numCache>
                <c:formatCode>0</c:formatCode>
                <c:ptCount val="12"/>
                <c:pt idx="0">
                  <c:v>18</c:v>
                </c:pt>
                <c:pt idx="1">
                  <c:v>20</c:v>
                </c:pt>
                <c:pt idx="2">
                  <c:v>6</c:v>
                </c:pt>
                <c:pt idx="3">
                  <c:v>12</c:v>
                </c:pt>
                <c:pt idx="4">
                  <c:v>6</c:v>
                </c:pt>
                <c:pt idx="5">
                  <c:v>12</c:v>
                </c:pt>
                <c:pt idx="6">
                  <c:v>4</c:v>
                </c:pt>
                <c:pt idx="7">
                  <c:v>9</c:v>
                </c:pt>
                <c:pt idx="8">
                  <c:v>16</c:v>
                </c:pt>
                <c:pt idx="9">
                  <c:v>18</c:v>
                </c:pt>
                <c:pt idx="10">
                  <c:v>22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Munyonyo-Kigo'!$AF$9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Munyonyo-Kigo'!$AF$10:$AF$21</c:f>
              <c:numCache>
                <c:formatCode>0</c:formatCode>
                <c:ptCount val="12"/>
                <c:pt idx="0">
                  <c:v>136</c:v>
                </c:pt>
                <c:pt idx="1">
                  <c:v>110</c:v>
                </c:pt>
                <c:pt idx="2">
                  <c:v>67</c:v>
                </c:pt>
                <c:pt idx="3">
                  <c:v>85</c:v>
                </c:pt>
                <c:pt idx="4">
                  <c:v>88</c:v>
                </c:pt>
                <c:pt idx="5">
                  <c:v>98</c:v>
                </c:pt>
                <c:pt idx="6">
                  <c:v>56</c:v>
                </c:pt>
                <c:pt idx="7">
                  <c:v>68</c:v>
                </c:pt>
                <c:pt idx="8">
                  <c:v>72</c:v>
                </c:pt>
                <c:pt idx="9">
                  <c:v>86</c:v>
                </c:pt>
                <c:pt idx="10">
                  <c:v>107</c:v>
                </c:pt>
                <c:pt idx="11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Munyonyo-Kigo'!$C$59:$N$59</c:f>
              <c:numCache>
                <c:formatCode>0.0%</c:formatCode>
                <c:ptCount val="12"/>
                <c:pt idx="0">
                  <c:v>6.95970695970696E-2</c:v>
                </c:pt>
                <c:pt idx="1">
                  <c:v>2.8388278388278388E-2</c:v>
                </c:pt>
                <c:pt idx="2">
                  <c:v>1.1904761904761904E-2</c:v>
                </c:pt>
                <c:pt idx="3">
                  <c:v>1.9230769230769232E-2</c:v>
                </c:pt>
                <c:pt idx="4">
                  <c:v>0</c:v>
                </c:pt>
                <c:pt idx="5">
                  <c:v>0</c:v>
                </c:pt>
                <c:pt idx="6">
                  <c:v>1.1904761904761904E-2</c:v>
                </c:pt>
                <c:pt idx="7">
                  <c:v>0</c:v>
                </c:pt>
                <c:pt idx="8">
                  <c:v>6.41025641025641E-3</c:v>
                </c:pt>
                <c:pt idx="9">
                  <c:v>0</c:v>
                </c:pt>
                <c:pt idx="10">
                  <c:v>0.85256410256410253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Munyonyo-Kigo'!$S$9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Munyonyo-Kigo'!$S$10:$S$21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8</c:v>
                </c:pt>
                <c:pt idx="4">
                  <c:v>4</c:v>
                </c:pt>
                <c:pt idx="5">
                  <c:v>5</c:v>
                </c:pt>
                <c:pt idx="6">
                  <c:v>2</c:v>
                </c:pt>
                <c:pt idx="7">
                  <c:v>4</c:v>
                </c:pt>
                <c:pt idx="8">
                  <c:v>7</c:v>
                </c:pt>
                <c:pt idx="9">
                  <c:v>7</c:v>
                </c:pt>
                <c:pt idx="10">
                  <c:v>13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Munyonyo-Kigo'!$T$9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Munyonyo-Kigo'!$T$10:$T$21</c:f>
              <c:numCache>
                <c:formatCode>0</c:formatCode>
                <c:ptCount val="12"/>
                <c:pt idx="0">
                  <c:v>3</c:v>
                </c:pt>
                <c:pt idx="1">
                  <c:v>10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Munyonyo-Kigo'!$U$9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Munyonyo-Kigo'!$V$9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Munyonyo-Kigo'!$V$10:$V$21</c:f>
              <c:numCache>
                <c:formatCode>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Munyonyo-Kigo'!$W$9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Munyonyo-Kigo'!$X$9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Munyonyo-Kigo'!$Y$9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Munyonyo-Kigo'!$Y$10:$Y$21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Munyonyo-Kigo'!$Z$9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Munyonyo-Kigo'!$AA$9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Munyonyo-Kigo'!$AB$9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Munyonyo-Kigo'!$AC$9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Munyonyo-Kigo'!$AC$10:$AC$21</c:f>
              <c:numCache>
                <c:formatCode>0</c:formatCode>
                <c:ptCount val="12"/>
                <c:pt idx="0">
                  <c:v>118</c:v>
                </c:pt>
                <c:pt idx="1">
                  <c:v>90</c:v>
                </c:pt>
                <c:pt idx="2">
                  <c:v>61</c:v>
                </c:pt>
                <c:pt idx="3">
                  <c:v>73</c:v>
                </c:pt>
                <c:pt idx="4">
                  <c:v>82</c:v>
                </c:pt>
                <c:pt idx="5">
                  <c:v>86</c:v>
                </c:pt>
                <c:pt idx="6">
                  <c:v>52</c:v>
                </c:pt>
                <c:pt idx="7">
                  <c:v>59</c:v>
                </c:pt>
                <c:pt idx="8">
                  <c:v>56</c:v>
                </c:pt>
                <c:pt idx="9">
                  <c:v>68</c:v>
                </c:pt>
                <c:pt idx="10">
                  <c:v>85</c:v>
                </c:pt>
                <c:pt idx="11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Munyonyo-Kigo'!$AD$9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Munyonyo-Kigo'!$AD$10:$AD$21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Munyonyo-Kigo'!$C$60:$N$60</c:f>
              <c:numCache>
                <c:formatCode>0.00%</c:formatCode>
                <c:ptCount val="12"/>
                <c:pt idx="0">
                  <c:v>0.47204968944099379</c:v>
                </c:pt>
                <c:pt idx="1">
                  <c:v>0.19254658385093168</c:v>
                </c:pt>
                <c:pt idx="2">
                  <c:v>8.0745341614906832E-2</c:v>
                </c:pt>
                <c:pt idx="3">
                  <c:v>0.13043478260869565</c:v>
                </c:pt>
                <c:pt idx="4">
                  <c:v>0</c:v>
                </c:pt>
                <c:pt idx="5">
                  <c:v>0</c:v>
                </c:pt>
                <c:pt idx="6">
                  <c:v>8.0745341614906832E-2</c:v>
                </c:pt>
                <c:pt idx="7">
                  <c:v>0</c:v>
                </c:pt>
                <c:pt idx="8">
                  <c:v>4.3478260869565216E-2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'[1]24.09.19 -Munyonyo-Kigo'!$AE$9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'[1]24.09.19 -Munyonyo-Kigo'!$R$10:$R$21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'[1]24.09.19 -Munyonyo-Kigo'!$AE$10:$AE$21</c:f>
              <c:numCache>
                <c:formatCode>General</c:formatCode>
                <c:ptCount val="12"/>
                <c:pt idx="0">
                  <c:v>18</c:v>
                </c:pt>
                <c:pt idx="1">
                  <c:v>20</c:v>
                </c:pt>
                <c:pt idx="2">
                  <c:v>6</c:v>
                </c:pt>
                <c:pt idx="3">
                  <c:v>12</c:v>
                </c:pt>
                <c:pt idx="4">
                  <c:v>6</c:v>
                </c:pt>
                <c:pt idx="5">
                  <c:v>12</c:v>
                </c:pt>
                <c:pt idx="6">
                  <c:v>4</c:v>
                </c:pt>
                <c:pt idx="7">
                  <c:v>9</c:v>
                </c:pt>
                <c:pt idx="8">
                  <c:v>16</c:v>
                </c:pt>
                <c:pt idx="9">
                  <c:v>18</c:v>
                </c:pt>
                <c:pt idx="10">
                  <c:v>22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2D5-4253-88CA-09E6D5B39562}"/>
            </c:ext>
          </c:extLst>
        </c:ser>
        <c:ser>
          <c:idx val="1"/>
          <c:order val="1"/>
          <c:tx>
            <c:strRef>
              <c:f>'[1]24.09.19 -Munyonyo-Kigo'!$AF$9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'[1]24.09.19 -Munyonyo-Kigo'!$R$10:$R$21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'[1]24.09.19 -Munyonyo-Kigo'!$AF$10:$AF$21</c:f>
              <c:numCache>
                <c:formatCode>General</c:formatCode>
                <c:ptCount val="12"/>
                <c:pt idx="0">
                  <c:v>136</c:v>
                </c:pt>
                <c:pt idx="1">
                  <c:v>110</c:v>
                </c:pt>
                <c:pt idx="2">
                  <c:v>67</c:v>
                </c:pt>
                <c:pt idx="3">
                  <c:v>85</c:v>
                </c:pt>
                <c:pt idx="4">
                  <c:v>88</c:v>
                </c:pt>
                <c:pt idx="5">
                  <c:v>98</c:v>
                </c:pt>
                <c:pt idx="6">
                  <c:v>56</c:v>
                </c:pt>
                <c:pt idx="7">
                  <c:v>68</c:v>
                </c:pt>
                <c:pt idx="8">
                  <c:v>72</c:v>
                </c:pt>
                <c:pt idx="9">
                  <c:v>86</c:v>
                </c:pt>
                <c:pt idx="10">
                  <c:v>107</c:v>
                </c:pt>
                <c:pt idx="11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2D5-4253-88CA-09E6D5B39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496-40CD-8CB7-E438EAF57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496-40CD-8CB7-E438EAF57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496-40CD-8CB7-E438EAF57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496-40CD-8CB7-E438EAF57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496-40CD-8CB7-E438EAF57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496-40CD-8CB7-E438EAF57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496-40CD-8CB7-E438EAF57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496-40CD-8CB7-E438EAF57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496-40CD-8CB7-E438EAF57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496-40CD-8CB7-E438EAF57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496-40CD-8CB7-E438EAF57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496-40CD-8CB7-E438EAF5776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496-40CD-8CB7-E438EAF577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'[1]24.09.19 -Munyonyo-Kigo'!$C$9:$N$9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'[1]24.09.19 -Munyonyo-Kigo'!$C$59:$N$59</c:f>
              <c:numCache>
                <c:formatCode>General</c:formatCode>
                <c:ptCount val="12"/>
                <c:pt idx="0">
                  <c:v>6.95970695970696E-2</c:v>
                </c:pt>
                <c:pt idx="1">
                  <c:v>2.8388278388278388E-2</c:v>
                </c:pt>
                <c:pt idx="2">
                  <c:v>1.1904761904761904E-2</c:v>
                </c:pt>
                <c:pt idx="3">
                  <c:v>1.9230769230769232E-2</c:v>
                </c:pt>
                <c:pt idx="4">
                  <c:v>0</c:v>
                </c:pt>
                <c:pt idx="5">
                  <c:v>0</c:v>
                </c:pt>
                <c:pt idx="6">
                  <c:v>1.1904761904761904E-2</c:v>
                </c:pt>
                <c:pt idx="7">
                  <c:v>0</c:v>
                </c:pt>
                <c:pt idx="8">
                  <c:v>6.41025641025641E-3</c:v>
                </c:pt>
                <c:pt idx="9">
                  <c:v>0</c:v>
                </c:pt>
                <c:pt idx="10">
                  <c:v>0.85256410256410253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496-40CD-8CB7-E438EAF57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87-4362-8206-E623B17B9A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87-4362-8206-E623B17B9A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87-4362-8206-E623B17B9A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87-4362-8206-E623B17B9A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87-4362-8206-E623B17B9A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87-4362-8206-E623B17B9A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87-4362-8206-E623B17B9A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87-4362-8206-E623B17B9A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87-4362-8206-E623B17B9A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87-4362-8206-E623B17B9A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87-4362-8206-E623B17B9A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87-4362-8206-E623B17B9AA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87-4362-8206-E623B17B9A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'[1]24.09.19 -Munyonyo-Kigo'!$C$9:$N$9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'[1]24.09.19 -Munyonyo-Kigo'!$C$60:$N$60</c:f>
              <c:numCache>
                <c:formatCode>General</c:formatCode>
                <c:ptCount val="12"/>
                <c:pt idx="0">
                  <c:v>0.47204968944099379</c:v>
                </c:pt>
                <c:pt idx="1">
                  <c:v>0.19254658385093168</c:v>
                </c:pt>
                <c:pt idx="2">
                  <c:v>8.0745341614906832E-2</c:v>
                </c:pt>
                <c:pt idx="3">
                  <c:v>0.13043478260869565</c:v>
                </c:pt>
                <c:pt idx="4">
                  <c:v>0</c:v>
                </c:pt>
                <c:pt idx="5">
                  <c:v>0</c:v>
                </c:pt>
                <c:pt idx="6">
                  <c:v>8.0745341614906832E-2</c:v>
                </c:pt>
                <c:pt idx="7">
                  <c:v>0</c:v>
                </c:pt>
                <c:pt idx="8">
                  <c:v>4.3478260869565216E-2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87-4362-8206-E623B17B9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Kigo-Munyonyo'!$AE$9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Kigo-Munyonyo'!$AE$10:$AE$21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8</c:v>
                </c:pt>
                <c:pt idx="3">
                  <c:v>0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 Kigo-Munyonyo'!$AF$9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Kigo-Munyonyo'!$AF$10:$AF$21</c:f>
              <c:numCache>
                <c:formatCode>0</c:formatCode>
                <c:ptCount val="12"/>
                <c:pt idx="0">
                  <c:v>125</c:v>
                </c:pt>
                <c:pt idx="1">
                  <c:v>109</c:v>
                </c:pt>
                <c:pt idx="2">
                  <c:v>77</c:v>
                </c:pt>
                <c:pt idx="3">
                  <c:v>69</c:v>
                </c:pt>
                <c:pt idx="4">
                  <c:v>80</c:v>
                </c:pt>
                <c:pt idx="5">
                  <c:v>64</c:v>
                </c:pt>
                <c:pt idx="6">
                  <c:v>42</c:v>
                </c:pt>
                <c:pt idx="7">
                  <c:v>55</c:v>
                </c:pt>
                <c:pt idx="8">
                  <c:v>49</c:v>
                </c:pt>
                <c:pt idx="9">
                  <c:v>73</c:v>
                </c:pt>
                <c:pt idx="10">
                  <c:v>79</c:v>
                </c:pt>
                <c:pt idx="11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Kigo-Munyonyo'!$C$59:$N$59</c:f>
              <c:numCache>
                <c:formatCode>0.0%</c:formatCode>
                <c:ptCount val="12"/>
                <c:pt idx="0">
                  <c:v>1.6339869281045753E-2</c:v>
                </c:pt>
                <c:pt idx="1">
                  <c:v>9.8039215686274508E-3</c:v>
                </c:pt>
                <c:pt idx="2">
                  <c:v>2.1786492374727671E-3</c:v>
                </c:pt>
                <c:pt idx="3">
                  <c:v>5.4466230936819175E-3</c:v>
                </c:pt>
                <c:pt idx="4">
                  <c:v>1.0893246187363835E-3</c:v>
                </c:pt>
                <c:pt idx="5">
                  <c:v>0</c:v>
                </c:pt>
                <c:pt idx="6">
                  <c:v>3.2679738562091504E-3</c:v>
                </c:pt>
                <c:pt idx="7">
                  <c:v>1.0893246187363835E-3</c:v>
                </c:pt>
                <c:pt idx="8">
                  <c:v>0</c:v>
                </c:pt>
                <c:pt idx="9">
                  <c:v>0</c:v>
                </c:pt>
                <c:pt idx="10">
                  <c:v>0.96078431372549022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Kigo-Munyonyo'!$S$9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Kigo-Munyonyo'!$S$10:$S$21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 Kigo-Munyonyo'!$T$9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Kigo-Munyonyo'!$T$10:$T$21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 Kigo-Munyonyo'!$U$9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 Kigo-Munyonyo'!$V$9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 Kigo-Munyonyo'!$W$9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 Kigo-Munyonyo'!$X$9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 Kigo-Munyonyo'!$Y$9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 Kigo-Munyonyo'!$Z$9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 Kigo-Munyonyo'!$AA$9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 Kigo-Munyonyo'!$AB$9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 Kigo-Munyonyo'!$AC$9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Kigo-Munyonyo'!$AC$10:$AC$21</c:f>
              <c:numCache>
                <c:formatCode>0</c:formatCode>
                <c:ptCount val="12"/>
                <c:pt idx="0">
                  <c:v>122</c:v>
                </c:pt>
                <c:pt idx="1">
                  <c:v>106</c:v>
                </c:pt>
                <c:pt idx="2">
                  <c:v>69</c:v>
                </c:pt>
                <c:pt idx="3">
                  <c:v>69</c:v>
                </c:pt>
                <c:pt idx="4">
                  <c:v>76</c:v>
                </c:pt>
                <c:pt idx="5">
                  <c:v>60</c:v>
                </c:pt>
                <c:pt idx="6">
                  <c:v>40</c:v>
                </c:pt>
                <c:pt idx="7">
                  <c:v>54</c:v>
                </c:pt>
                <c:pt idx="8">
                  <c:v>47</c:v>
                </c:pt>
                <c:pt idx="9">
                  <c:v>72</c:v>
                </c:pt>
                <c:pt idx="10">
                  <c:v>75</c:v>
                </c:pt>
                <c:pt idx="11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 Kigo-Munyonyo'!$AD$9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Kigo-Munyonyo'!$AD$10:$AD$21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Kigo-Munyonyo'!$C$60:$N$60</c:f>
              <c:numCache>
                <c:formatCode>0.00%</c:formatCode>
                <c:ptCount val="12"/>
                <c:pt idx="0">
                  <c:v>0.41666666666666669</c:v>
                </c:pt>
                <c:pt idx="1">
                  <c:v>0.25</c:v>
                </c:pt>
                <c:pt idx="2">
                  <c:v>5.5555555555555552E-2</c:v>
                </c:pt>
                <c:pt idx="3">
                  <c:v>0.1388888888888889</c:v>
                </c:pt>
                <c:pt idx="4">
                  <c:v>2.7777777777777776E-2</c:v>
                </c:pt>
                <c:pt idx="5">
                  <c:v>0</c:v>
                </c:pt>
                <c:pt idx="6">
                  <c:v>8.3333333333333329E-2</c:v>
                </c:pt>
                <c:pt idx="7">
                  <c:v>2.7777777777777776E-2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'[1]24.09.19 -Kigo-Munyonyo'!$AE$9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'[1]24.09.19 -Kigo-Munyonyo'!$R$10:$R$21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'[1]24.09.19 -Kigo-Munyonyo'!$AE$10:$AE$21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8</c:v>
                </c:pt>
                <c:pt idx="3">
                  <c:v>0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8E-4561-AA51-961E3A807D2D}"/>
            </c:ext>
          </c:extLst>
        </c:ser>
        <c:ser>
          <c:idx val="1"/>
          <c:order val="1"/>
          <c:tx>
            <c:strRef>
              <c:f>'[1]24.09.19 -Kigo-Munyonyo'!$AF$9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'[1]24.09.19 -Kigo-Munyonyo'!$R$10:$R$21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'[1]24.09.19 -Kigo-Munyonyo'!$AF$10:$AF$21</c:f>
              <c:numCache>
                <c:formatCode>General</c:formatCode>
                <c:ptCount val="12"/>
                <c:pt idx="0">
                  <c:v>125</c:v>
                </c:pt>
                <c:pt idx="1">
                  <c:v>109</c:v>
                </c:pt>
                <c:pt idx="2">
                  <c:v>77</c:v>
                </c:pt>
                <c:pt idx="3">
                  <c:v>69</c:v>
                </c:pt>
                <c:pt idx="4">
                  <c:v>80</c:v>
                </c:pt>
                <c:pt idx="5">
                  <c:v>64</c:v>
                </c:pt>
                <c:pt idx="6">
                  <c:v>42</c:v>
                </c:pt>
                <c:pt idx="7">
                  <c:v>55</c:v>
                </c:pt>
                <c:pt idx="8">
                  <c:v>49</c:v>
                </c:pt>
                <c:pt idx="9">
                  <c:v>73</c:v>
                </c:pt>
                <c:pt idx="10">
                  <c:v>79</c:v>
                </c:pt>
                <c:pt idx="11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C8E-4561-AA51-961E3A80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2A-4198-BB91-A2043BF692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2A-4198-BB91-A2043BF692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2A-4198-BB91-A2043BF692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2A-4198-BB91-A2043BF692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2A-4198-BB91-A2043BF692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2A-4198-BB91-A2043BF692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12A-4198-BB91-A2043BF692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12A-4198-BB91-A2043BF692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12A-4198-BB91-A2043BF692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12A-4198-BB91-A2043BF692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12A-4198-BB91-A2043BF692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12A-4198-BB91-A2043BF6920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12A-4198-BB91-A2043BF692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'[1]24.09.19 -Kigo-Munyonyo'!$C$9:$N$9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'[1]24.09.19 -Kigo-Munyonyo'!$C$59:$N$59</c:f>
              <c:numCache>
                <c:formatCode>General</c:formatCode>
                <c:ptCount val="12"/>
                <c:pt idx="0">
                  <c:v>1.6339869281045753E-2</c:v>
                </c:pt>
                <c:pt idx="1">
                  <c:v>9.8039215686274508E-3</c:v>
                </c:pt>
                <c:pt idx="2">
                  <c:v>2.1786492374727671E-3</c:v>
                </c:pt>
                <c:pt idx="3">
                  <c:v>5.4466230936819175E-3</c:v>
                </c:pt>
                <c:pt idx="4">
                  <c:v>1.0893246187363835E-3</c:v>
                </c:pt>
                <c:pt idx="5">
                  <c:v>0</c:v>
                </c:pt>
                <c:pt idx="6">
                  <c:v>3.2679738562091504E-3</c:v>
                </c:pt>
                <c:pt idx="7">
                  <c:v>1.0893246187363835E-3</c:v>
                </c:pt>
                <c:pt idx="8">
                  <c:v>0</c:v>
                </c:pt>
                <c:pt idx="9">
                  <c:v>0</c:v>
                </c:pt>
                <c:pt idx="10">
                  <c:v>0.96078431372549022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12A-4198-BB91-A2043BF69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913-42B2-8A3E-E5C132B57A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913-42B2-8A3E-E5C132B57A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913-42B2-8A3E-E5C132B57A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913-42B2-8A3E-E5C132B57A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913-42B2-8A3E-E5C132B57AD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913-42B2-8A3E-E5C132B57AD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913-42B2-8A3E-E5C132B57AD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913-42B2-8A3E-E5C132B57AD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913-42B2-8A3E-E5C132B57AD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913-42B2-8A3E-E5C132B57AD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913-42B2-8A3E-E5C132B57AD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913-42B2-8A3E-E5C132B57AD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913-42B2-8A3E-E5C132B57A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'[1]24.09.19 -Kigo-Munyonyo'!$C$9:$N$9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'[1]24.09.19 -Kigo-Munyonyo'!$C$60:$N$60</c:f>
              <c:numCache>
                <c:formatCode>General</c:formatCode>
                <c:ptCount val="12"/>
                <c:pt idx="0">
                  <c:v>0.41666666666666669</c:v>
                </c:pt>
                <c:pt idx="1">
                  <c:v>0.25</c:v>
                </c:pt>
                <c:pt idx="2">
                  <c:v>5.5555555555555552E-2</c:v>
                </c:pt>
                <c:pt idx="3">
                  <c:v>0.1388888888888889</c:v>
                </c:pt>
                <c:pt idx="4">
                  <c:v>2.7777777777777776E-2</c:v>
                </c:pt>
                <c:pt idx="5">
                  <c:v>0</c:v>
                </c:pt>
                <c:pt idx="6">
                  <c:v>8.3333333333333329E-2</c:v>
                </c:pt>
                <c:pt idx="7">
                  <c:v>2.7777777777777776E-2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913-42B2-8A3E-E5C132B57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Munyonyo-Kigo'!$AE$9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Munyonyo-Kigo'!$AE$10:$AE$21</c:f>
              <c:numCache>
                <c:formatCode>0</c:formatCode>
                <c:ptCount val="12"/>
                <c:pt idx="0">
                  <c:v>18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12</c:v>
                </c:pt>
                <c:pt idx="6">
                  <c:v>12</c:v>
                </c:pt>
                <c:pt idx="7">
                  <c:v>9</c:v>
                </c:pt>
                <c:pt idx="8">
                  <c:v>12</c:v>
                </c:pt>
                <c:pt idx="9">
                  <c:v>22</c:v>
                </c:pt>
                <c:pt idx="10">
                  <c:v>27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Munyonyo-Kigo'!$AF$9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Munyonyo-Kigo'!$AF$10:$AF$21</c:f>
              <c:numCache>
                <c:formatCode>0</c:formatCode>
                <c:ptCount val="12"/>
                <c:pt idx="0">
                  <c:v>141</c:v>
                </c:pt>
                <c:pt idx="1">
                  <c:v>111</c:v>
                </c:pt>
                <c:pt idx="2">
                  <c:v>100</c:v>
                </c:pt>
                <c:pt idx="3">
                  <c:v>87</c:v>
                </c:pt>
                <c:pt idx="4">
                  <c:v>79</c:v>
                </c:pt>
                <c:pt idx="5">
                  <c:v>96</c:v>
                </c:pt>
                <c:pt idx="6">
                  <c:v>60</c:v>
                </c:pt>
                <c:pt idx="7">
                  <c:v>81</c:v>
                </c:pt>
                <c:pt idx="8">
                  <c:v>67</c:v>
                </c:pt>
                <c:pt idx="9">
                  <c:v>98</c:v>
                </c:pt>
                <c:pt idx="10">
                  <c:v>106</c:v>
                </c:pt>
                <c:pt idx="11">
                  <c:v>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Munyonyo-Kigo'!$C$59:$N$59</c:f>
              <c:numCache>
                <c:formatCode>0.0%</c:formatCode>
                <c:ptCount val="12"/>
                <c:pt idx="0">
                  <c:v>7.0496083550913843E-2</c:v>
                </c:pt>
                <c:pt idx="1">
                  <c:v>2.5239338555265448E-2</c:v>
                </c:pt>
                <c:pt idx="2">
                  <c:v>1.1314186248912098E-2</c:v>
                </c:pt>
                <c:pt idx="3">
                  <c:v>2.5239338555265448E-2</c:v>
                </c:pt>
                <c:pt idx="4">
                  <c:v>0</c:v>
                </c:pt>
                <c:pt idx="5">
                  <c:v>0</c:v>
                </c:pt>
                <c:pt idx="6">
                  <c:v>1.392515230635335E-2</c:v>
                </c:pt>
                <c:pt idx="7">
                  <c:v>1.7406440382941688E-3</c:v>
                </c:pt>
                <c:pt idx="8">
                  <c:v>5.2219321148825066E-3</c:v>
                </c:pt>
                <c:pt idx="9">
                  <c:v>0</c:v>
                </c:pt>
                <c:pt idx="10">
                  <c:v>0.84682332463011312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Munyonyo-Kigo'!$S$9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Munyonyo-Kigo'!$S$10:$S$21</c:f>
              <c:numCache>
                <c:formatCode>0</c:formatCode>
                <c:ptCount val="12"/>
                <c:pt idx="0">
                  <c:v>9</c:v>
                </c:pt>
                <c:pt idx="1">
                  <c:v>7</c:v>
                </c:pt>
                <c:pt idx="2">
                  <c:v>3</c:v>
                </c:pt>
                <c:pt idx="3">
                  <c:v>6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5</c:v>
                </c:pt>
                <c:pt idx="9">
                  <c:v>10</c:v>
                </c:pt>
                <c:pt idx="10">
                  <c:v>15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Munyonyo-Kigo'!$T$9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Munyonyo-Kigo'!$T$10:$T$21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6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Munyonyo-Kigo'!$U$9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Munyonyo-Kigo'!$V$9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Munyonyo-Kigo'!$V$10:$V$21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Munyonyo-Kigo'!$W$9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Munyonyo-Kigo'!$X$9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Munyonyo-Kigo'!$Y$9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Munyonyo-Kigo'!$Z$9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Munyonyo-Kigo'!$AA$9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Munyonyo-Kigo'!$AB$9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Munyonyo-Kigo'!$AC$9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Munyonyo-Kigo'!$AC$10:$AC$21</c:f>
              <c:numCache>
                <c:formatCode>0</c:formatCode>
                <c:ptCount val="12"/>
                <c:pt idx="0">
                  <c:v>123</c:v>
                </c:pt>
                <c:pt idx="1">
                  <c:v>100</c:v>
                </c:pt>
                <c:pt idx="2">
                  <c:v>92</c:v>
                </c:pt>
                <c:pt idx="3">
                  <c:v>78</c:v>
                </c:pt>
                <c:pt idx="4">
                  <c:v>69</c:v>
                </c:pt>
                <c:pt idx="5">
                  <c:v>84</c:v>
                </c:pt>
                <c:pt idx="6">
                  <c:v>48</c:v>
                </c:pt>
                <c:pt idx="7">
                  <c:v>72</c:v>
                </c:pt>
                <c:pt idx="8">
                  <c:v>55</c:v>
                </c:pt>
                <c:pt idx="9">
                  <c:v>76</c:v>
                </c:pt>
                <c:pt idx="10">
                  <c:v>79</c:v>
                </c:pt>
                <c:pt idx="1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Munyonyo-Kigo'!$AD$9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Munyonyo-Kigo'!$AD$10:$AD$21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Munyonyo-Kigo'!$C$60:$N$60</c:f>
              <c:numCache>
                <c:formatCode>0.00%</c:formatCode>
                <c:ptCount val="12"/>
                <c:pt idx="0">
                  <c:v>0.46022727272727271</c:v>
                </c:pt>
                <c:pt idx="1">
                  <c:v>0.16477272727272727</c:v>
                </c:pt>
                <c:pt idx="2">
                  <c:v>7.3863636363636367E-2</c:v>
                </c:pt>
                <c:pt idx="3">
                  <c:v>0.16477272727272727</c:v>
                </c:pt>
                <c:pt idx="4">
                  <c:v>0</c:v>
                </c:pt>
                <c:pt idx="5">
                  <c:v>0</c:v>
                </c:pt>
                <c:pt idx="6">
                  <c:v>9.0909090909090912E-2</c:v>
                </c:pt>
                <c:pt idx="7">
                  <c:v>1.1363636363636364E-2</c:v>
                </c:pt>
                <c:pt idx="8">
                  <c:v>3.4090909090909088E-2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Kigo-Munyonyo'!$AE$9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Kigo-Munyonyo'!$AE$10:$AE$21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6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Kigo-Munyonyo'!$AF$9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Kigo-Munyonyo'!$AF$10:$AF$21</c:f>
              <c:numCache>
                <c:formatCode>0</c:formatCode>
                <c:ptCount val="12"/>
                <c:pt idx="0">
                  <c:v>147</c:v>
                </c:pt>
                <c:pt idx="1">
                  <c:v>79</c:v>
                </c:pt>
                <c:pt idx="2">
                  <c:v>70</c:v>
                </c:pt>
                <c:pt idx="3">
                  <c:v>57</c:v>
                </c:pt>
                <c:pt idx="4">
                  <c:v>57</c:v>
                </c:pt>
                <c:pt idx="5">
                  <c:v>74</c:v>
                </c:pt>
                <c:pt idx="6">
                  <c:v>37</c:v>
                </c:pt>
                <c:pt idx="7">
                  <c:v>69</c:v>
                </c:pt>
                <c:pt idx="8">
                  <c:v>61</c:v>
                </c:pt>
                <c:pt idx="9">
                  <c:v>62</c:v>
                </c:pt>
                <c:pt idx="10">
                  <c:v>77</c:v>
                </c:pt>
                <c:pt idx="11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Kigo-Munyonyo'!$C$59:$N$59</c:f>
              <c:numCache>
                <c:formatCode>0.0%</c:formatCode>
                <c:ptCount val="12"/>
                <c:pt idx="0">
                  <c:v>9.2059838895281933E-3</c:v>
                </c:pt>
                <c:pt idx="1">
                  <c:v>1.7261219792865361E-2</c:v>
                </c:pt>
                <c:pt idx="2">
                  <c:v>6.9044879171461446E-3</c:v>
                </c:pt>
                <c:pt idx="3">
                  <c:v>5.7537399309551211E-3</c:v>
                </c:pt>
                <c:pt idx="4">
                  <c:v>0</c:v>
                </c:pt>
                <c:pt idx="5">
                  <c:v>0</c:v>
                </c:pt>
                <c:pt idx="6">
                  <c:v>2.3014959723820483E-3</c:v>
                </c:pt>
                <c:pt idx="7">
                  <c:v>0</c:v>
                </c:pt>
                <c:pt idx="8">
                  <c:v>2.3014959723820483E-3</c:v>
                </c:pt>
                <c:pt idx="9">
                  <c:v>0</c:v>
                </c:pt>
                <c:pt idx="10">
                  <c:v>0.95627157652474104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Kigo-Munyonyo'!$C$60:$N$60</c:f>
              <c:numCache>
                <c:formatCode>0.00%</c:formatCode>
                <c:ptCount val="12"/>
                <c:pt idx="0">
                  <c:v>0.21052631578947367</c:v>
                </c:pt>
                <c:pt idx="1">
                  <c:v>0.39473684210526316</c:v>
                </c:pt>
                <c:pt idx="2">
                  <c:v>0.15789473684210525</c:v>
                </c:pt>
                <c:pt idx="3">
                  <c:v>0.13157894736842105</c:v>
                </c:pt>
                <c:pt idx="4">
                  <c:v>0</c:v>
                </c:pt>
                <c:pt idx="5">
                  <c:v>0</c:v>
                </c:pt>
                <c:pt idx="6">
                  <c:v>5.2631578947368418E-2</c:v>
                </c:pt>
                <c:pt idx="7">
                  <c:v>0</c:v>
                </c:pt>
                <c:pt idx="8">
                  <c:v>5.2631578947368418E-2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Munyonyo-Kigo-24h'!$AE$9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Munyonyo-Kigo-24h'!$R$10:$R$33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Munyonyo-Kigo-24h'!$AE$10:$AE$33</c:f>
              <c:numCache>
                <c:formatCode>0</c:formatCode>
                <c:ptCount val="24"/>
                <c:pt idx="0">
                  <c:v>21</c:v>
                </c:pt>
                <c:pt idx="1">
                  <c:v>10</c:v>
                </c:pt>
                <c:pt idx="2">
                  <c:v>6</c:v>
                </c:pt>
                <c:pt idx="3">
                  <c:v>11</c:v>
                </c:pt>
                <c:pt idx="4">
                  <c:v>13</c:v>
                </c:pt>
                <c:pt idx="5">
                  <c:v>16</c:v>
                </c:pt>
                <c:pt idx="6">
                  <c:v>17</c:v>
                </c:pt>
                <c:pt idx="7">
                  <c:v>6</c:v>
                </c:pt>
                <c:pt idx="8">
                  <c:v>11</c:v>
                </c:pt>
                <c:pt idx="9">
                  <c:v>19</c:v>
                </c:pt>
                <c:pt idx="10">
                  <c:v>26</c:v>
                </c:pt>
                <c:pt idx="11">
                  <c:v>19</c:v>
                </c:pt>
                <c:pt idx="12">
                  <c:v>19</c:v>
                </c:pt>
                <c:pt idx="13">
                  <c:v>33</c:v>
                </c:pt>
                <c:pt idx="14">
                  <c:v>18</c:v>
                </c:pt>
                <c:pt idx="15">
                  <c:v>19</c:v>
                </c:pt>
                <c:pt idx="16">
                  <c:v>13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8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'26.09 Munyonyo-Kigo-24h'!$AF$9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Munyonyo-Kigo-24h'!$R$10:$R$33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Munyonyo-Kigo-24h'!$AF$10:$AF$33</c:f>
              <c:numCache>
                <c:formatCode>0</c:formatCode>
                <c:ptCount val="24"/>
                <c:pt idx="0">
                  <c:v>152</c:v>
                </c:pt>
                <c:pt idx="1">
                  <c:v>89</c:v>
                </c:pt>
                <c:pt idx="2">
                  <c:v>101</c:v>
                </c:pt>
                <c:pt idx="3">
                  <c:v>94</c:v>
                </c:pt>
                <c:pt idx="4">
                  <c:v>91</c:v>
                </c:pt>
                <c:pt idx="5">
                  <c:v>97</c:v>
                </c:pt>
                <c:pt idx="6">
                  <c:v>67</c:v>
                </c:pt>
                <c:pt idx="7">
                  <c:v>82</c:v>
                </c:pt>
                <c:pt idx="8">
                  <c:v>86</c:v>
                </c:pt>
                <c:pt idx="9">
                  <c:v>88</c:v>
                </c:pt>
                <c:pt idx="10">
                  <c:v>115</c:v>
                </c:pt>
                <c:pt idx="11">
                  <c:v>119</c:v>
                </c:pt>
                <c:pt idx="12">
                  <c:v>158</c:v>
                </c:pt>
                <c:pt idx="13">
                  <c:v>142</c:v>
                </c:pt>
                <c:pt idx="14">
                  <c:v>119</c:v>
                </c:pt>
                <c:pt idx="15">
                  <c:v>111</c:v>
                </c:pt>
                <c:pt idx="16">
                  <c:v>79</c:v>
                </c:pt>
                <c:pt idx="17">
                  <c:v>27</c:v>
                </c:pt>
                <c:pt idx="18">
                  <c:v>13</c:v>
                </c:pt>
                <c:pt idx="19">
                  <c:v>15</c:v>
                </c:pt>
                <c:pt idx="20">
                  <c:v>9</c:v>
                </c:pt>
                <c:pt idx="21">
                  <c:v>10</c:v>
                </c:pt>
                <c:pt idx="22">
                  <c:v>15</c:v>
                </c:pt>
                <c:pt idx="23">
                  <c:v>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Munyonyo-Kigo-24h'!$C$9:$N$9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Munyonyo-Kigo-24h'!$C$107:$N$107</c:f>
              <c:numCache>
                <c:formatCode>0.0%</c:formatCode>
                <c:ptCount val="12"/>
                <c:pt idx="0">
                  <c:v>8.9093701996927802E-2</c:v>
                </c:pt>
                <c:pt idx="1">
                  <c:v>1.9457245263696878E-2</c:v>
                </c:pt>
                <c:pt idx="2">
                  <c:v>1.6897081413210446E-2</c:v>
                </c:pt>
                <c:pt idx="3">
                  <c:v>2.3041474654377881E-2</c:v>
                </c:pt>
                <c:pt idx="4">
                  <c:v>0</c:v>
                </c:pt>
                <c:pt idx="5">
                  <c:v>5.1203277009728623E-4</c:v>
                </c:pt>
                <c:pt idx="6">
                  <c:v>9.2165898617511521E-3</c:v>
                </c:pt>
                <c:pt idx="7">
                  <c:v>1.0240655401945725E-3</c:v>
                </c:pt>
                <c:pt idx="8">
                  <c:v>0</c:v>
                </c:pt>
                <c:pt idx="9">
                  <c:v>0</c:v>
                </c:pt>
                <c:pt idx="10">
                  <c:v>0.84075780849974402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Munyonyo-Kigo-24h'!$C$9:$N$9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Munyonyo-Kigo-24h'!$C$108:$N$108</c:f>
              <c:numCache>
                <c:formatCode>0.00%</c:formatCode>
                <c:ptCount val="12"/>
                <c:pt idx="0">
                  <c:v>0.55948553054662375</c:v>
                </c:pt>
                <c:pt idx="1">
                  <c:v>0.12218649517684887</c:v>
                </c:pt>
                <c:pt idx="2">
                  <c:v>0.10610932475884244</c:v>
                </c:pt>
                <c:pt idx="3">
                  <c:v>0.14469453376205788</c:v>
                </c:pt>
                <c:pt idx="4">
                  <c:v>0</c:v>
                </c:pt>
                <c:pt idx="5">
                  <c:v>3.2154340836012861E-3</c:v>
                </c:pt>
                <c:pt idx="6">
                  <c:v>5.7877813504823149E-2</c:v>
                </c:pt>
                <c:pt idx="7">
                  <c:v>6.4308681672025723E-3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Kigo-Munyonyo-24h'!$AE$9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Kigo-Munyonyo-24h'!$R$10:$R$33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Kigo-Munyonyo-24h'!$AE$10:$AE$33</c:f>
              <c:numCache>
                <c:formatCode>0</c:formatCode>
                <c:ptCount val="24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6</c:v>
                </c:pt>
                <c:pt idx="12">
                  <c:v>1</c:v>
                </c:pt>
                <c:pt idx="13">
                  <c:v>8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3</c:v>
                </c:pt>
                <c:pt idx="23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Kigo-Munyonyo-24h'!$AF$9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Kigo-Munyonyo-24h'!$R$10:$R$33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Kigo-Munyonyo-24h'!$AF$10:$AF$33</c:f>
              <c:numCache>
                <c:formatCode>0</c:formatCode>
                <c:ptCount val="24"/>
                <c:pt idx="0">
                  <c:v>119</c:v>
                </c:pt>
                <c:pt idx="1">
                  <c:v>60</c:v>
                </c:pt>
                <c:pt idx="2">
                  <c:v>78</c:v>
                </c:pt>
                <c:pt idx="3">
                  <c:v>67</c:v>
                </c:pt>
                <c:pt idx="4">
                  <c:v>56</c:v>
                </c:pt>
                <c:pt idx="5">
                  <c:v>60</c:v>
                </c:pt>
                <c:pt idx="6">
                  <c:v>54</c:v>
                </c:pt>
                <c:pt idx="7">
                  <c:v>69</c:v>
                </c:pt>
                <c:pt idx="8">
                  <c:v>55</c:v>
                </c:pt>
                <c:pt idx="9">
                  <c:v>68</c:v>
                </c:pt>
                <c:pt idx="10">
                  <c:v>77</c:v>
                </c:pt>
                <c:pt idx="11">
                  <c:v>78</c:v>
                </c:pt>
                <c:pt idx="12">
                  <c:v>109</c:v>
                </c:pt>
                <c:pt idx="13">
                  <c:v>107</c:v>
                </c:pt>
                <c:pt idx="14">
                  <c:v>96</c:v>
                </c:pt>
                <c:pt idx="15">
                  <c:v>61</c:v>
                </c:pt>
                <c:pt idx="16">
                  <c:v>55</c:v>
                </c:pt>
                <c:pt idx="17">
                  <c:v>24</c:v>
                </c:pt>
                <c:pt idx="18">
                  <c:v>3</c:v>
                </c:pt>
                <c:pt idx="19">
                  <c:v>6</c:v>
                </c:pt>
                <c:pt idx="20">
                  <c:v>13</c:v>
                </c:pt>
                <c:pt idx="21">
                  <c:v>11</c:v>
                </c:pt>
                <c:pt idx="22">
                  <c:v>12</c:v>
                </c:pt>
                <c:pt idx="23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Kigo-Munyonyo-24h'!$C$9:$N$9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Kigo-Munyonyo-24h'!$C$107:$N$107</c:f>
              <c:numCache>
                <c:formatCode>0.0%</c:formatCode>
                <c:ptCount val="12"/>
                <c:pt idx="0">
                  <c:v>1.8518518518518517E-2</c:v>
                </c:pt>
                <c:pt idx="1">
                  <c:v>1.1396011396011397E-2</c:v>
                </c:pt>
                <c:pt idx="2">
                  <c:v>2.136752136752137E-3</c:v>
                </c:pt>
                <c:pt idx="3">
                  <c:v>4.9857549857549857E-3</c:v>
                </c:pt>
                <c:pt idx="4">
                  <c:v>0</c:v>
                </c:pt>
                <c:pt idx="5">
                  <c:v>0</c:v>
                </c:pt>
                <c:pt idx="6">
                  <c:v>1.4245014245014246E-3</c:v>
                </c:pt>
                <c:pt idx="7">
                  <c:v>2.136752136752137E-3</c:v>
                </c:pt>
                <c:pt idx="8">
                  <c:v>0</c:v>
                </c:pt>
                <c:pt idx="9">
                  <c:v>0</c:v>
                </c:pt>
                <c:pt idx="10">
                  <c:v>0.95940170940170943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Kigo-Munyonyo-24h'!$C$9:$N$9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Kigo-Munyonyo-24h'!$C$108:$N$108</c:f>
              <c:numCache>
                <c:formatCode>0.00%</c:formatCode>
                <c:ptCount val="12"/>
                <c:pt idx="0">
                  <c:v>0.45614035087719296</c:v>
                </c:pt>
                <c:pt idx="1">
                  <c:v>0.2807017543859649</c:v>
                </c:pt>
                <c:pt idx="2">
                  <c:v>5.2631578947368418E-2</c:v>
                </c:pt>
                <c:pt idx="3">
                  <c:v>0.12280701754385964</c:v>
                </c:pt>
                <c:pt idx="4">
                  <c:v>0</c:v>
                </c:pt>
                <c:pt idx="5">
                  <c:v>0</c:v>
                </c:pt>
                <c:pt idx="6">
                  <c:v>3.5087719298245612E-2</c:v>
                </c:pt>
                <c:pt idx="7">
                  <c:v>5.2631578947368418E-2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Munyonyo-LWEZA'!$AE$9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Munyonyo-LWEZA'!$R$10:$R$21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Munyonyo-LWEZA'!$AE$10:$AE$21</c:f>
              <c:numCache>
                <c:formatCode>0</c:formatCode>
                <c:ptCount val="12"/>
                <c:pt idx="0">
                  <c:v>24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18</c:v>
                </c:pt>
                <c:pt idx="5">
                  <c:v>9</c:v>
                </c:pt>
                <c:pt idx="6">
                  <c:v>18</c:v>
                </c:pt>
                <c:pt idx="7">
                  <c:v>8</c:v>
                </c:pt>
                <c:pt idx="8">
                  <c:v>19</c:v>
                </c:pt>
                <c:pt idx="9">
                  <c:v>27</c:v>
                </c:pt>
                <c:pt idx="10">
                  <c:v>35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'27.09 Munyonyo-LWEZA'!$AF$9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Munyonyo-LWEZA'!$R$10:$R$21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Munyonyo-LWEZA'!$AF$10:$AF$21</c:f>
              <c:numCache>
                <c:formatCode>0</c:formatCode>
                <c:ptCount val="12"/>
                <c:pt idx="0">
                  <c:v>126</c:v>
                </c:pt>
                <c:pt idx="1">
                  <c:v>102</c:v>
                </c:pt>
                <c:pt idx="2">
                  <c:v>101</c:v>
                </c:pt>
                <c:pt idx="3">
                  <c:v>86</c:v>
                </c:pt>
                <c:pt idx="4">
                  <c:v>118</c:v>
                </c:pt>
                <c:pt idx="5">
                  <c:v>103</c:v>
                </c:pt>
                <c:pt idx="6">
                  <c:v>109</c:v>
                </c:pt>
                <c:pt idx="7">
                  <c:v>98</c:v>
                </c:pt>
                <c:pt idx="8">
                  <c:v>100</c:v>
                </c:pt>
                <c:pt idx="9">
                  <c:v>99</c:v>
                </c:pt>
                <c:pt idx="10">
                  <c:v>122</c:v>
                </c:pt>
                <c:pt idx="11">
                  <c:v>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Munyonyo-LWEZA'!$C$9:$N$9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Munyonyo-LWEZA'!$C$59:$N$59</c:f>
              <c:numCache>
                <c:formatCode>0.0%</c:formatCode>
                <c:ptCount val="12"/>
                <c:pt idx="0">
                  <c:v>8.5023400936037441E-2</c:v>
                </c:pt>
                <c:pt idx="1">
                  <c:v>2.0280811232449299E-2</c:v>
                </c:pt>
                <c:pt idx="2">
                  <c:v>2.1060842433697349E-2</c:v>
                </c:pt>
                <c:pt idx="3">
                  <c:v>1.5600624024960999E-2</c:v>
                </c:pt>
                <c:pt idx="4">
                  <c:v>0</c:v>
                </c:pt>
                <c:pt idx="5">
                  <c:v>0</c:v>
                </c:pt>
                <c:pt idx="6">
                  <c:v>2.0280811232449299E-2</c:v>
                </c:pt>
                <c:pt idx="7">
                  <c:v>4.6801872074882997E-3</c:v>
                </c:pt>
                <c:pt idx="8">
                  <c:v>0</c:v>
                </c:pt>
                <c:pt idx="9">
                  <c:v>0</c:v>
                </c:pt>
                <c:pt idx="10">
                  <c:v>0.83229329173166922</c:v>
                </c:pt>
                <c:pt idx="11">
                  <c:v>7.8003120124804995E-4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Munyonyo-LWEZA'!$S$9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Munyonyo-LWEZA'!$R$10:$R$21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Munyonyo-LWEZA'!$S$10:$S$21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  <c:pt idx="7">
                  <c:v>4</c:v>
                </c:pt>
                <c:pt idx="8">
                  <c:v>9</c:v>
                </c:pt>
                <c:pt idx="9">
                  <c:v>13</c:v>
                </c:pt>
                <c:pt idx="10">
                  <c:v>20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'27.09 Munyonyo-LWEZA'!$T$9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Munyonyo-LWEZA'!$R$10:$R$21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Munyonyo-LWEZA'!$T$10:$T$21</c:f>
              <c:numCache>
                <c:formatCode>0</c:formatCode>
                <c:ptCount val="12"/>
                <c:pt idx="0">
                  <c:v>7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3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'27.09 Munyonyo-LWEZA'!$U$9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Munyonyo-LWEZA'!$U$10:$U$21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'27.09 Munyonyo-LWEZA'!$V$9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Munyonyo-LWEZA'!$V$10:$V$21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'27.09 Munyonyo-LWEZA'!$W$9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'27.09 Munyonyo-LWEZA'!$X$9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'27.09 Munyonyo-LWEZA'!$Y$9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'27.09 Munyonyo-LWEZA'!$Z$9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'27.09 Munyonyo-LWEZA'!$AA$9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'27.09 Munyonyo-LWEZA'!$AB$9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'27.09 Munyonyo-LWEZA'!$AC$9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Munyonyo-LWEZA'!$AC$10:$AC$21</c:f>
              <c:numCache>
                <c:formatCode>0</c:formatCode>
                <c:ptCount val="12"/>
                <c:pt idx="0">
                  <c:v>102</c:v>
                </c:pt>
                <c:pt idx="1">
                  <c:v>90</c:v>
                </c:pt>
                <c:pt idx="2">
                  <c:v>88</c:v>
                </c:pt>
                <c:pt idx="3">
                  <c:v>74</c:v>
                </c:pt>
                <c:pt idx="4">
                  <c:v>100</c:v>
                </c:pt>
                <c:pt idx="5">
                  <c:v>94</c:v>
                </c:pt>
                <c:pt idx="6">
                  <c:v>91</c:v>
                </c:pt>
                <c:pt idx="7">
                  <c:v>90</c:v>
                </c:pt>
                <c:pt idx="8">
                  <c:v>81</c:v>
                </c:pt>
                <c:pt idx="9">
                  <c:v>72</c:v>
                </c:pt>
                <c:pt idx="10">
                  <c:v>87</c:v>
                </c:pt>
                <c:pt idx="11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'27.09 Munyonyo-LWEZA'!$AD$9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Munyonyo-LWEZA'!$AD$10:$AD$21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Munyonyo-LWEZA'!$C$9:$N$9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Munyonyo-LWEZA'!$C$60:$N$60</c:f>
              <c:numCache>
                <c:formatCode>0.00%</c:formatCode>
                <c:ptCount val="12"/>
                <c:pt idx="0">
                  <c:v>0.50697674418604655</c:v>
                </c:pt>
                <c:pt idx="1">
                  <c:v>0.12093023255813953</c:v>
                </c:pt>
                <c:pt idx="2">
                  <c:v>0.12558139534883722</c:v>
                </c:pt>
                <c:pt idx="3">
                  <c:v>9.3023255813953487E-2</c:v>
                </c:pt>
                <c:pt idx="4">
                  <c:v>0</c:v>
                </c:pt>
                <c:pt idx="5">
                  <c:v>0</c:v>
                </c:pt>
                <c:pt idx="6">
                  <c:v>0.12093023255813953</c:v>
                </c:pt>
                <c:pt idx="7">
                  <c:v>2.7906976744186046E-2</c:v>
                </c:pt>
                <c:pt idx="8">
                  <c:v>0</c:v>
                </c:pt>
                <c:pt idx="9">
                  <c:v>0</c:v>
                </c:pt>
                <c:pt idx="11">
                  <c:v>4.6511627906976744E-3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LWEZA-Munyonyo'!$AE$9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LWEZA-Munyonyo'!$R$10:$R$21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LWEZA-Munyonyo'!$AE$10:$AE$21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5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12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'27.09 LWEZA-Munyonyo'!$AF$9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LWEZA-Munyonyo'!$R$10:$R$21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LWEZA-Munyonyo'!$AF$10:$AF$21</c:f>
              <c:numCache>
                <c:formatCode>0</c:formatCode>
                <c:ptCount val="12"/>
                <c:pt idx="0">
                  <c:v>113</c:v>
                </c:pt>
                <c:pt idx="1">
                  <c:v>90</c:v>
                </c:pt>
                <c:pt idx="2">
                  <c:v>96</c:v>
                </c:pt>
                <c:pt idx="3">
                  <c:v>76</c:v>
                </c:pt>
                <c:pt idx="4">
                  <c:v>83</c:v>
                </c:pt>
                <c:pt idx="5">
                  <c:v>82</c:v>
                </c:pt>
                <c:pt idx="6">
                  <c:v>65</c:v>
                </c:pt>
                <c:pt idx="7">
                  <c:v>61</c:v>
                </c:pt>
                <c:pt idx="8">
                  <c:v>47</c:v>
                </c:pt>
                <c:pt idx="9">
                  <c:v>81</c:v>
                </c:pt>
                <c:pt idx="10">
                  <c:v>77</c:v>
                </c:pt>
                <c:pt idx="11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LWEZA-Munyonyo'!$C$9:$N$9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LWEZA-Munyonyo'!$C$59:$N$59</c:f>
              <c:numCache>
                <c:formatCode>0.0%</c:formatCode>
                <c:ptCount val="12"/>
                <c:pt idx="0">
                  <c:v>1.344364012409514E-2</c:v>
                </c:pt>
                <c:pt idx="1">
                  <c:v>1.5511892450879007E-2</c:v>
                </c:pt>
                <c:pt idx="2">
                  <c:v>7.2388831437435368E-3</c:v>
                </c:pt>
                <c:pt idx="3">
                  <c:v>5.170630816959669E-3</c:v>
                </c:pt>
                <c:pt idx="4">
                  <c:v>0</c:v>
                </c:pt>
                <c:pt idx="5">
                  <c:v>0</c:v>
                </c:pt>
                <c:pt idx="6">
                  <c:v>6.2047569803516025E-3</c:v>
                </c:pt>
                <c:pt idx="7">
                  <c:v>1.0341261633919339E-3</c:v>
                </c:pt>
                <c:pt idx="8">
                  <c:v>3.1023784901758012E-3</c:v>
                </c:pt>
                <c:pt idx="9">
                  <c:v>0</c:v>
                </c:pt>
                <c:pt idx="10">
                  <c:v>0.94829369183040335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LWEZA-Munyonyo'!$S$9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LWEZA-Munyonyo'!$R$10:$R$21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LWEZA-Munyonyo'!$S$10:$S$21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'27.09 LWEZA-Munyonyo'!$T$9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LWEZA-Munyonyo'!$R$10:$R$21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LWEZA-Munyonyo'!$T$10:$T$21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'27.09 LWEZA-Munyonyo'!$U$9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LWEZA-Munyonyo'!$U$10:$U$21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'27.09 LWEZA-Munyonyo'!$V$9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'27.09 LWEZA-Munyonyo'!$W$9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'27.09 LWEZA-Munyonyo'!$X$9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'27.09 LWEZA-Munyonyo'!$Y$9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'27.09 LWEZA-Munyonyo'!$Z$9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'27.09 LWEZA-Munyonyo'!$AA$9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'27.09 LWEZA-Munyonyo'!$AB$9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'27.09 LWEZA-Munyonyo'!$AC$9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LWEZA-Munyonyo'!$AC$10:$AC$21</c:f>
              <c:numCache>
                <c:formatCode>0</c:formatCode>
                <c:ptCount val="12"/>
                <c:pt idx="0">
                  <c:v>109</c:v>
                </c:pt>
                <c:pt idx="1">
                  <c:v>85</c:v>
                </c:pt>
                <c:pt idx="2">
                  <c:v>94</c:v>
                </c:pt>
                <c:pt idx="3">
                  <c:v>74</c:v>
                </c:pt>
                <c:pt idx="4">
                  <c:v>80</c:v>
                </c:pt>
                <c:pt idx="5">
                  <c:v>77</c:v>
                </c:pt>
                <c:pt idx="6">
                  <c:v>62</c:v>
                </c:pt>
                <c:pt idx="7">
                  <c:v>60</c:v>
                </c:pt>
                <c:pt idx="8">
                  <c:v>44</c:v>
                </c:pt>
                <c:pt idx="9">
                  <c:v>69</c:v>
                </c:pt>
                <c:pt idx="10">
                  <c:v>73</c:v>
                </c:pt>
                <c:pt idx="11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'27.09 LWEZA-Munyonyo'!$AD$9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LWEZA-Munyonyo'!$AD$10:$AD$21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LWEZA-Munyonyo'!$C$9:$N$9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LWEZA-Munyonyo'!$C$60:$N$60</c:f>
              <c:numCache>
                <c:formatCode>0.00%</c:formatCode>
                <c:ptCount val="12"/>
                <c:pt idx="0">
                  <c:v>0.26</c:v>
                </c:pt>
                <c:pt idx="1">
                  <c:v>0.3</c:v>
                </c:pt>
                <c:pt idx="2">
                  <c:v>0.14000000000000001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  <c:pt idx="6">
                  <c:v>0.12</c:v>
                </c:pt>
                <c:pt idx="7">
                  <c:v>0.02</c:v>
                </c:pt>
                <c:pt idx="8">
                  <c:v>0.06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Munyonyo-Kigo-24h'!$AE$9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Munyonyo-Kigo-24h'!$R$10:$R$33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Munyonyo-Kigo-24h'!$AE$10:$AE$33</c:f>
              <c:numCache>
                <c:formatCode>0</c:formatCode>
                <c:ptCount val="24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15</c:v>
                </c:pt>
                <c:pt idx="5">
                  <c:v>11</c:v>
                </c:pt>
                <c:pt idx="6">
                  <c:v>18</c:v>
                </c:pt>
                <c:pt idx="7">
                  <c:v>8</c:v>
                </c:pt>
                <c:pt idx="8">
                  <c:v>22</c:v>
                </c:pt>
                <c:pt idx="9">
                  <c:v>20</c:v>
                </c:pt>
                <c:pt idx="10">
                  <c:v>12</c:v>
                </c:pt>
                <c:pt idx="11">
                  <c:v>12</c:v>
                </c:pt>
                <c:pt idx="12">
                  <c:v>19</c:v>
                </c:pt>
                <c:pt idx="13">
                  <c:v>24</c:v>
                </c:pt>
                <c:pt idx="14">
                  <c:v>29</c:v>
                </c:pt>
                <c:pt idx="15">
                  <c:v>31</c:v>
                </c:pt>
                <c:pt idx="16">
                  <c:v>16</c:v>
                </c:pt>
                <c:pt idx="17">
                  <c:v>2</c:v>
                </c:pt>
                <c:pt idx="18">
                  <c:v>2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1</c:v>
                </c:pt>
                <c:pt idx="23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Munyonyo-Kigo-24h'!$AF$9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Munyonyo-Kigo-24h'!$R$10:$R$33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Munyonyo-Kigo-24h'!$AF$10:$AF$33</c:f>
              <c:numCache>
                <c:formatCode>0</c:formatCode>
                <c:ptCount val="24"/>
                <c:pt idx="0">
                  <c:v>109</c:v>
                </c:pt>
                <c:pt idx="1">
                  <c:v>119</c:v>
                </c:pt>
                <c:pt idx="2">
                  <c:v>107</c:v>
                </c:pt>
                <c:pt idx="3">
                  <c:v>99</c:v>
                </c:pt>
                <c:pt idx="4">
                  <c:v>123</c:v>
                </c:pt>
                <c:pt idx="5">
                  <c:v>92</c:v>
                </c:pt>
                <c:pt idx="6">
                  <c:v>90</c:v>
                </c:pt>
                <c:pt idx="7">
                  <c:v>63</c:v>
                </c:pt>
                <c:pt idx="8">
                  <c:v>114</c:v>
                </c:pt>
                <c:pt idx="9">
                  <c:v>124</c:v>
                </c:pt>
                <c:pt idx="10">
                  <c:v>105</c:v>
                </c:pt>
                <c:pt idx="11">
                  <c:v>107</c:v>
                </c:pt>
                <c:pt idx="12">
                  <c:v>137</c:v>
                </c:pt>
                <c:pt idx="13">
                  <c:v>154</c:v>
                </c:pt>
                <c:pt idx="14">
                  <c:v>134</c:v>
                </c:pt>
                <c:pt idx="15">
                  <c:v>135</c:v>
                </c:pt>
                <c:pt idx="16">
                  <c:v>79</c:v>
                </c:pt>
                <c:pt idx="17">
                  <c:v>39</c:v>
                </c:pt>
                <c:pt idx="18">
                  <c:v>23</c:v>
                </c:pt>
                <c:pt idx="19">
                  <c:v>7</c:v>
                </c:pt>
                <c:pt idx="20">
                  <c:v>10</c:v>
                </c:pt>
                <c:pt idx="21">
                  <c:v>17</c:v>
                </c:pt>
                <c:pt idx="22">
                  <c:v>10</c:v>
                </c:pt>
                <c:pt idx="23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Munyonyo-Kigo-24h'!$C$9:$N$9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Munyonyo-Kigo-24h'!$C$107:$N$107</c:f>
              <c:numCache>
                <c:formatCode>0.0%</c:formatCode>
                <c:ptCount val="12"/>
                <c:pt idx="0">
                  <c:v>8.88671875E-2</c:v>
                </c:pt>
                <c:pt idx="1">
                  <c:v>1.904296875E-2</c:v>
                </c:pt>
                <c:pt idx="2">
                  <c:v>1.318359375E-2</c:v>
                </c:pt>
                <c:pt idx="3">
                  <c:v>1.171875E-2</c:v>
                </c:pt>
                <c:pt idx="4">
                  <c:v>0</c:v>
                </c:pt>
                <c:pt idx="5">
                  <c:v>0</c:v>
                </c:pt>
                <c:pt idx="6">
                  <c:v>6.34765625E-3</c:v>
                </c:pt>
                <c:pt idx="7">
                  <c:v>9.765625E-4</c:v>
                </c:pt>
                <c:pt idx="8">
                  <c:v>4.8828125E-4</c:v>
                </c:pt>
                <c:pt idx="9">
                  <c:v>0</c:v>
                </c:pt>
                <c:pt idx="10">
                  <c:v>0.859375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Munyonyo-Kigo-24h'!$C$9:$N$9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Munyonyo-Kigo-24h'!$C$108:$N$108</c:f>
              <c:numCache>
                <c:formatCode>0.00%</c:formatCode>
                <c:ptCount val="12"/>
                <c:pt idx="0">
                  <c:v>0.63194444444444442</c:v>
                </c:pt>
                <c:pt idx="1">
                  <c:v>0.13541666666666666</c:v>
                </c:pt>
                <c:pt idx="2">
                  <c:v>9.375E-2</c:v>
                </c:pt>
                <c:pt idx="3">
                  <c:v>8.3333333333333329E-2</c:v>
                </c:pt>
                <c:pt idx="4">
                  <c:v>0</c:v>
                </c:pt>
                <c:pt idx="5">
                  <c:v>0</c:v>
                </c:pt>
                <c:pt idx="6">
                  <c:v>4.5138888888888888E-2</c:v>
                </c:pt>
                <c:pt idx="7">
                  <c:v>6.9444444444444441E-3</c:v>
                </c:pt>
                <c:pt idx="8">
                  <c:v>3.472222222222222E-3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'[2]28.09 MUNYONYO-LWEZA-24h'!$AE$9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'[2]28.09 MUNYONYO-LWEZA-24h'!$R$10:$R$33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MUNYONYO-LWEZA-24h'!$AE$10:$AE$33</c:f>
              <c:numCache>
                <c:formatCode>General</c:formatCode>
                <c:ptCount val="24"/>
                <c:pt idx="0">
                  <c:v>109</c:v>
                </c:pt>
                <c:pt idx="1">
                  <c:v>119</c:v>
                </c:pt>
                <c:pt idx="2">
                  <c:v>107</c:v>
                </c:pt>
                <c:pt idx="3">
                  <c:v>99</c:v>
                </c:pt>
                <c:pt idx="4">
                  <c:v>123</c:v>
                </c:pt>
                <c:pt idx="5">
                  <c:v>92</c:v>
                </c:pt>
                <c:pt idx="6">
                  <c:v>90</c:v>
                </c:pt>
                <c:pt idx="7">
                  <c:v>63</c:v>
                </c:pt>
                <c:pt idx="8">
                  <c:v>114</c:v>
                </c:pt>
                <c:pt idx="9">
                  <c:v>124</c:v>
                </c:pt>
                <c:pt idx="10">
                  <c:v>105</c:v>
                </c:pt>
                <c:pt idx="11">
                  <c:v>107</c:v>
                </c:pt>
                <c:pt idx="12">
                  <c:v>137</c:v>
                </c:pt>
                <c:pt idx="13">
                  <c:v>154</c:v>
                </c:pt>
                <c:pt idx="14">
                  <c:v>134</c:v>
                </c:pt>
                <c:pt idx="15">
                  <c:v>135</c:v>
                </c:pt>
                <c:pt idx="16">
                  <c:v>79</c:v>
                </c:pt>
                <c:pt idx="17">
                  <c:v>39</c:v>
                </c:pt>
                <c:pt idx="18">
                  <c:v>23</c:v>
                </c:pt>
                <c:pt idx="19">
                  <c:v>7</c:v>
                </c:pt>
                <c:pt idx="20">
                  <c:v>10</c:v>
                </c:pt>
                <c:pt idx="21">
                  <c:v>17</c:v>
                </c:pt>
                <c:pt idx="22">
                  <c:v>10</c:v>
                </c:pt>
                <c:pt idx="23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9C-4407-9D6D-3FCCC8580479}"/>
            </c:ext>
          </c:extLst>
        </c:ser>
        <c:ser>
          <c:idx val="1"/>
          <c:order val="1"/>
          <c:tx>
            <c:strRef>
              <c:f>'[2]28.09 MUNYONYO-LWEZA-24h'!$AF$9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'[2]28.09 MUNYONYO-LWEZA-24h'!$R$10:$R$33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MUNYONYO-LWEZA-24h'!$AF$10:$AF$33</c:f>
              <c:numCache>
                <c:formatCode>General</c:formatCode>
                <c:ptCount val="24"/>
                <c:pt idx="0">
                  <c:v>109</c:v>
                </c:pt>
                <c:pt idx="1">
                  <c:v>119</c:v>
                </c:pt>
                <c:pt idx="2">
                  <c:v>107</c:v>
                </c:pt>
                <c:pt idx="3">
                  <c:v>99</c:v>
                </c:pt>
                <c:pt idx="4">
                  <c:v>123</c:v>
                </c:pt>
                <c:pt idx="5">
                  <c:v>92</c:v>
                </c:pt>
                <c:pt idx="6">
                  <c:v>90</c:v>
                </c:pt>
                <c:pt idx="7">
                  <c:v>63</c:v>
                </c:pt>
                <c:pt idx="8">
                  <c:v>114</c:v>
                </c:pt>
                <c:pt idx="9">
                  <c:v>124</c:v>
                </c:pt>
                <c:pt idx="10">
                  <c:v>105</c:v>
                </c:pt>
                <c:pt idx="11">
                  <c:v>107</c:v>
                </c:pt>
                <c:pt idx="12">
                  <c:v>137</c:v>
                </c:pt>
                <c:pt idx="13">
                  <c:v>154</c:v>
                </c:pt>
                <c:pt idx="14">
                  <c:v>134</c:v>
                </c:pt>
                <c:pt idx="15">
                  <c:v>135</c:v>
                </c:pt>
                <c:pt idx="16">
                  <c:v>79</c:v>
                </c:pt>
                <c:pt idx="17">
                  <c:v>39</c:v>
                </c:pt>
                <c:pt idx="18">
                  <c:v>23</c:v>
                </c:pt>
                <c:pt idx="19">
                  <c:v>7</c:v>
                </c:pt>
                <c:pt idx="20">
                  <c:v>10</c:v>
                </c:pt>
                <c:pt idx="21">
                  <c:v>17</c:v>
                </c:pt>
                <c:pt idx="22">
                  <c:v>10</c:v>
                </c:pt>
                <c:pt idx="23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59C-4407-9D6D-3FCCC8580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3E2-4701-B10F-F1D924373F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3E2-4701-B10F-F1D924373F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3E2-4701-B10F-F1D924373F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3E2-4701-B10F-F1D924373F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3E2-4701-B10F-F1D924373F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3E2-4701-B10F-F1D924373F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3E2-4701-B10F-F1D924373F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3E2-4701-B10F-F1D924373F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3E2-4701-B10F-F1D924373F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3E2-4701-B10F-F1D924373F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3E2-4701-B10F-F1D924373F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3E2-4701-B10F-F1D924373F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3E2-4701-B10F-F1D924373F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MUNYONYO-LWEZA-24h'!$C$9:$N$9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MUNYONYO-LWEZA-24h'!$C$107:$N$107</c:f>
              <c:numCache>
                <c:formatCode>General</c:formatCode>
                <c:ptCount val="12"/>
                <c:pt idx="0">
                  <c:v>8.88671875E-2</c:v>
                </c:pt>
                <c:pt idx="1">
                  <c:v>1.904296875E-2</c:v>
                </c:pt>
                <c:pt idx="2">
                  <c:v>1.318359375E-2</c:v>
                </c:pt>
                <c:pt idx="3">
                  <c:v>1.171875E-2</c:v>
                </c:pt>
                <c:pt idx="4">
                  <c:v>0</c:v>
                </c:pt>
                <c:pt idx="5">
                  <c:v>0</c:v>
                </c:pt>
                <c:pt idx="6">
                  <c:v>6.34765625E-3</c:v>
                </c:pt>
                <c:pt idx="7">
                  <c:v>9.765625E-4</c:v>
                </c:pt>
                <c:pt idx="8">
                  <c:v>4.8828125E-4</c:v>
                </c:pt>
                <c:pt idx="9">
                  <c:v>0</c:v>
                </c:pt>
                <c:pt idx="10">
                  <c:v>0</c:v>
                </c:pt>
                <c:pt idx="11">
                  <c:v>0.859375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3E2-4701-B10F-F1D924373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62C-43F0-BA1B-D2116DD00D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62C-43F0-BA1B-D2116DD00D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62C-43F0-BA1B-D2116DD00D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62C-43F0-BA1B-D2116DD00D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62C-43F0-BA1B-D2116DD00D9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62C-43F0-BA1B-D2116DD00D9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62C-43F0-BA1B-D2116DD00D9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62C-43F0-BA1B-D2116DD00D9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62C-43F0-BA1B-D2116DD00D9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62C-43F0-BA1B-D2116DD00D9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62C-43F0-BA1B-D2116DD00D9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62C-43F0-BA1B-D2116DD00D9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62C-43F0-BA1B-D2116DD00D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MUNYONYO-LWEZA-24h'!$C$9:$N$9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MUNYONYO-LWEZA-24h'!$C$108:$N$108</c:f>
              <c:numCache>
                <c:formatCode>General</c:formatCode>
                <c:ptCount val="12"/>
                <c:pt idx="0">
                  <c:v>8.88671875E-2</c:v>
                </c:pt>
                <c:pt idx="1">
                  <c:v>1.904296875E-2</c:v>
                </c:pt>
                <c:pt idx="2">
                  <c:v>1.318359375E-2</c:v>
                </c:pt>
                <c:pt idx="3">
                  <c:v>1.171875E-2</c:v>
                </c:pt>
                <c:pt idx="4">
                  <c:v>0</c:v>
                </c:pt>
                <c:pt idx="5">
                  <c:v>0</c:v>
                </c:pt>
                <c:pt idx="6">
                  <c:v>6.34765625E-3</c:v>
                </c:pt>
                <c:pt idx="7">
                  <c:v>9.765625E-4</c:v>
                </c:pt>
                <c:pt idx="8">
                  <c:v>4.8828125E-4</c:v>
                </c:pt>
                <c:pt idx="9">
                  <c:v>0</c:v>
                </c:pt>
                <c:pt idx="11">
                  <c:v>0.859375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2C-43F0-BA1B-D2116DD00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Kigo-Munyonyo-24h'!$AE$9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Kigo-Munyonyo-24h'!$R$10:$R$33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Kigo-Munyonyo-24h'!$AE$10:$AE$33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4</c:v>
                </c:pt>
                <c:pt idx="5">
                  <c:v>1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5</c:v>
                </c:pt>
                <c:pt idx="10">
                  <c:v>1</c:v>
                </c:pt>
                <c:pt idx="11">
                  <c:v>5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Kigo-Munyonyo-24h'!$AF$9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Kigo-Munyonyo-24h'!$R$10:$R$33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Kigo-Munyonyo-24h'!$AF$10:$AF$33</c:f>
              <c:numCache>
                <c:formatCode>0</c:formatCode>
                <c:ptCount val="24"/>
                <c:pt idx="0">
                  <c:v>129</c:v>
                </c:pt>
                <c:pt idx="1">
                  <c:v>81</c:v>
                </c:pt>
                <c:pt idx="2">
                  <c:v>88</c:v>
                </c:pt>
                <c:pt idx="3">
                  <c:v>73</c:v>
                </c:pt>
                <c:pt idx="4">
                  <c:v>99</c:v>
                </c:pt>
                <c:pt idx="5">
                  <c:v>51</c:v>
                </c:pt>
                <c:pt idx="6">
                  <c:v>71</c:v>
                </c:pt>
                <c:pt idx="7">
                  <c:v>46</c:v>
                </c:pt>
                <c:pt idx="8">
                  <c:v>44</c:v>
                </c:pt>
                <c:pt idx="9">
                  <c:v>77</c:v>
                </c:pt>
                <c:pt idx="10">
                  <c:v>84</c:v>
                </c:pt>
                <c:pt idx="11">
                  <c:v>85</c:v>
                </c:pt>
                <c:pt idx="12">
                  <c:v>93</c:v>
                </c:pt>
                <c:pt idx="13">
                  <c:v>86</c:v>
                </c:pt>
                <c:pt idx="14">
                  <c:v>94</c:v>
                </c:pt>
                <c:pt idx="15">
                  <c:v>80</c:v>
                </c:pt>
                <c:pt idx="16">
                  <c:v>54</c:v>
                </c:pt>
                <c:pt idx="17">
                  <c:v>29</c:v>
                </c:pt>
                <c:pt idx="18">
                  <c:v>20</c:v>
                </c:pt>
                <c:pt idx="19">
                  <c:v>7</c:v>
                </c:pt>
                <c:pt idx="20">
                  <c:v>9</c:v>
                </c:pt>
                <c:pt idx="21">
                  <c:v>9</c:v>
                </c:pt>
                <c:pt idx="22">
                  <c:v>12</c:v>
                </c:pt>
                <c:pt idx="23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Kigo-Munyonyo-24h'!$C$9:$N$9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Kigo-Munyonyo-24h'!$C$107:$N$107</c:f>
              <c:numCache>
                <c:formatCode>0.0%</c:formatCode>
                <c:ptCount val="12"/>
                <c:pt idx="0">
                  <c:v>2.0491803278688523E-2</c:v>
                </c:pt>
                <c:pt idx="1">
                  <c:v>6.1475409836065573E-3</c:v>
                </c:pt>
                <c:pt idx="2">
                  <c:v>4.0983606557377051E-3</c:v>
                </c:pt>
                <c:pt idx="3">
                  <c:v>1.366120218579235E-3</c:v>
                </c:pt>
                <c:pt idx="4">
                  <c:v>0</c:v>
                </c:pt>
                <c:pt idx="5">
                  <c:v>6.8306010928961749E-4</c:v>
                </c:pt>
                <c:pt idx="6">
                  <c:v>1.366120218579235E-3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0.96584699453551914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Kigo-Munyonyo-24h'!$C$9:$N$9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Kigo-Munyonyo-24h'!$C$108:$N$108</c:f>
              <c:numCache>
                <c:formatCode>0.00%</c:formatCode>
                <c:ptCount val="12"/>
                <c:pt idx="0">
                  <c:v>0.6</c:v>
                </c:pt>
                <c:pt idx="1">
                  <c:v>0.18</c:v>
                </c:pt>
                <c:pt idx="2">
                  <c:v>0.12</c:v>
                </c:pt>
                <c:pt idx="3">
                  <c:v>0.04</c:v>
                </c:pt>
                <c:pt idx="4">
                  <c:v>0</c:v>
                </c:pt>
                <c:pt idx="5">
                  <c:v>0.02</c:v>
                </c:pt>
                <c:pt idx="6">
                  <c:v>0.04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'[2]28.09 LWEZA-MUNYONYO-24h'!$AE$9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'[2]28.09 LWEZA-MUNYONYO-24h'!$R$10:$R$33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LWEZA-MUNYONYO-24h'!$AE$10:$AE$33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4</c:v>
                </c:pt>
                <c:pt idx="5">
                  <c:v>1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5</c:v>
                </c:pt>
                <c:pt idx="10">
                  <c:v>1</c:v>
                </c:pt>
                <c:pt idx="11">
                  <c:v>5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FE-4F2F-91EA-7480FDC30E40}"/>
            </c:ext>
          </c:extLst>
        </c:ser>
        <c:ser>
          <c:idx val="1"/>
          <c:order val="1"/>
          <c:tx>
            <c:strRef>
              <c:f>'[2]28.09 LWEZA-MUNYONYO-24h'!$AF$9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'[2]28.09 LWEZA-MUNYONYO-24h'!$R$10:$R$33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LWEZA-MUNYONYO-24h'!$AF$10:$AF$33</c:f>
              <c:numCache>
                <c:formatCode>General</c:formatCode>
                <c:ptCount val="24"/>
                <c:pt idx="0">
                  <c:v>129</c:v>
                </c:pt>
                <c:pt idx="1">
                  <c:v>81</c:v>
                </c:pt>
                <c:pt idx="2">
                  <c:v>88</c:v>
                </c:pt>
                <c:pt idx="3">
                  <c:v>73</c:v>
                </c:pt>
                <c:pt idx="4">
                  <c:v>99</c:v>
                </c:pt>
                <c:pt idx="5">
                  <c:v>51</c:v>
                </c:pt>
                <c:pt idx="6">
                  <c:v>71</c:v>
                </c:pt>
                <c:pt idx="7">
                  <c:v>46</c:v>
                </c:pt>
                <c:pt idx="8">
                  <c:v>44</c:v>
                </c:pt>
                <c:pt idx="9">
                  <c:v>77</c:v>
                </c:pt>
                <c:pt idx="10">
                  <c:v>84</c:v>
                </c:pt>
                <c:pt idx="11">
                  <c:v>85</c:v>
                </c:pt>
                <c:pt idx="12">
                  <c:v>93</c:v>
                </c:pt>
                <c:pt idx="13">
                  <c:v>86</c:v>
                </c:pt>
                <c:pt idx="14">
                  <c:v>94</c:v>
                </c:pt>
                <c:pt idx="15">
                  <c:v>80</c:v>
                </c:pt>
                <c:pt idx="16">
                  <c:v>54</c:v>
                </c:pt>
                <c:pt idx="17">
                  <c:v>29</c:v>
                </c:pt>
                <c:pt idx="18">
                  <c:v>20</c:v>
                </c:pt>
                <c:pt idx="19">
                  <c:v>7</c:v>
                </c:pt>
                <c:pt idx="20">
                  <c:v>9</c:v>
                </c:pt>
                <c:pt idx="21">
                  <c:v>9</c:v>
                </c:pt>
                <c:pt idx="22">
                  <c:v>12</c:v>
                </c:pt>
                <c:pt idx="23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FFE-4F2F-91EA-7480FDC30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E09-4335-A410-24DD3E776F5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E09-4335-A410-24DD3E776F5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E09-4335-A410-24DD3E776F5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E09-4335-A410-24DD3E776F5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E09-4335-A410-24DD3E776F5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E09-4335-A410-24DD3E776F5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E09-4335-A410-24DD3E776F5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E09-4335-A410-24DD3E776F5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E09-4335-A410-24DD3E776F5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E09-4335-A410-24DD3E776F5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E09-4335-A410-24DD3E776F5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E09-4335-A410-24DD3E776F5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E09-4335-A410-24DD3E776F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LWEZA-MUNYONYO-24h'!$C$9:$N$9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LWEZA-MUNYONYO-24h'!$C$107:$N$107</c:f>
              <c:numCache>
                <c:formatCode>General</c:formatCode>
                <c:ptCount val="12"/>
                <c:pt idx="0">
                  <c:v>2.0491803278688523E-2</c:v>
                </c:pt>
                <c:pt idx="1">
                  <c:v>6.1475409836065573E-3</c:v>
                </c:pt>
                <c:pt idx="2">
                  <c:v>4.0983606557377051E-3</c:v>
                </c:pt>
                <c:pt idx="3">
                  <c:v>1.366120218579235E-3</c:v>
                </c:pt>
                <c:pt idx="4">
                  <c:v>0</c:v>
                </c:pt>
                <c:pt idx="5">
                  <c:v>6.8306010928961749E-4</c:v>
                </c:pt>
                <c:pt idx="6">
                  <c:v>1.366120218579235E-3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0.96584699453551914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E09-4335-A410-24DD3E776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71-4AF8-8EF1-6BF0894995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71-4AF8-8EF1-6BF0894995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71-4AF8-8EF1-6BF0894995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71-4AF8-8EF1-6BF0894995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71-4AF8-8EF1-6BF0894995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71-4AF8-8EF1-6BF0894995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71-4AF8-8EF1-6BF0894995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71-4AF8-8EF1-6BF0894995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71-4AF8-8EF1-6BF0894995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71-4AF8-8EF1-6BF0894995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71-4AF8-8EF1-6BF0894995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71-4AF8-8EF1-6BF0894995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71-4AF8-8EF1-6BF0894995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LWEZA-MUNYONYO-24h'!$C$9:$N$9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LWEZA-MUNYONYO-24h'!$C$108:$N$108</c:f>
              <c:numCache>
                <c:formatCode>General</c:formatCode>
                <c:ptCount val="12"/>
                <c:pt idx="0">
                  <c:v>0.6</c:v>
                </c:pt>
                <c:pt idx="1">
                  <c:v>0.18</c:v>
                </c:pt>
                <c:pt idx="2">
                  <c:v>0.12</c:v>
                </c:pt>
                <c:pt idx="3">
                  <c:v>0.04</c:v>
                </c:pt>
                <c:pt idx="4">
                  <c:v>0</c:v>
                </c:pt>
                <c:pt idx="5">
                  <c:v>0.02</c:v>
                </c:pt>
                <c:pt idx="6">
                  <c:v>0.04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71-4AF8-8EF1-6BF089499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Munyonyo-Kigo'!$AE$9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Munyonyo-Kigo'!$AE$10:$AE$21</c:f>
              <c:numCache>
                <c:formatCode>0</c:formatCode>
                <c:ptCount val="12"/>
                <c:pt idx="0">
                  <c:v>10</c:v>
                </c:pt>
                <c:pt idx="1">
                  <c:v>11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13</c:v>
                </c:pt>
                <c:pt idx="6">
                  <c:v>17</c:v>
                </c:pt>
                <c:pt idx="7">
                  <c:v>15</c:v>
                </c:pt>
                <c:pt idx="8">
                  <c:v>22</c:v>
                </c:pt>
                <c:pt idx="9">
                  <c:v>16</c:v>
                </c:pt>
                <c:pt idx="10">
                  <c:v>16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Munyonyo-Kigo'!$AF$9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Munyonyo-Kigo'!$AF$10:$AF$21</c:f>
              <c:numCache>
                <c:formatCode>0</c:formatCode>
                <c:ptCount val="12"/>
                <c:pt idx="0">
                  <c:v>81</c:v>
                </c:pt>
                <c:pt idx="1">
                  <c:v>93</c:v>
                </c:pt>
                <c:pt idx="2">
                  <c:v>115</c:v>
                </c:pt>
                <c:pt idx="3">
                  <c:v>116</c:v>
                </c:pt>
                <c:pt idx="4">
                  <c:v>103</c:v>
                </c:pt>
                <c:pt idx="5">
                  <c:v>78</c:v>
                </c:pt>
                <c:pt idx="6">
                  <c:v>76</c:v>
                </c:pt>
                <c:pt idx="7">
                  <c:v>90</c:v>
                </c:pt>
                <c:pt idx="8">
                  <c:v>118</c:v>
                </c:pt>
                <c:pt idx="9">
                  <c:v>126</c:v>
                </c:pt>
                <c:pt idx="10">
                  <c:v>99</c:v>
                </c:pt>
                <c:pt idx="11">
                  <c:v>126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Munyonyo-Kigo'!$C$59:$N$59</c:f>
              <c:numCache>
                <c:formatCode>0.0%</c:formatCode>
                <c:ptCount val="12"/>
                <c:pt idx="0">
                  <c:v>7.6986076986076984E-2</c:v>
                </c:pt>
                <c:pt idx="1">
                  <c:v>2.8665028665028666E-2</c:v>
                </c:pt>
                <c:pt idx="2">
                  <c:v>1.7199017199017199E-2</c:v>
                </c:pt>
                <c:pt idx="3">
                  <c:v>8.1900081900081901E-3</c:v>
                </c:pt>
                <c:pt idx="4">
                  <c:v>0</c:v>
                </c:pt>
                <c:pt idx="5">
                  <c:v>8.1900081900081905E-4</c:v>
                </c:pt>
                <c:pt idx="6">
                  <c:v>8.1900081900081901E-3</c:v>
                </c:pt>
                <c:pt idx="7">
                  <c:v>7.3710073710073713E-3</c:v>
                </c:pt>
                <c:pt idx="8">
                  <c:v>2.4570024570024569E-3</c:v>
                </c:pt>
                <c:pt idx="9">
                  <c:v>4.9140049140049139E-3</c:v>
                </c:pt>
                <c:pt idx="10">
                  <c:v>0.84520884520884521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Munyonyo-Kigo'!$S$9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Munyonyo-Kigo'!$S$10:$S$21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  <c:pt idx="6">
                  <c:v>12</c:v>
                </c:pt>
                <c:pt idx="7">
                  <c:v>6</c:v>
                </c:pt>
                <c:pt idx="8">
                  <c:v>10</c:v>
                </c:pt>
                <c:pt idx="9">
                  <c:v>6</c:v>
                </c:pt>
                <c:pt idx="10">
                  <c:v>9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Munyonyo-Kigo'!$T$9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Munyonyo-Kigo'!$R$10:$R$21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Munyonyo-Kigo'!$T$10:$T$21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5</c:v>
                </c:pt>
                <c:pt idx="6">
                  <c:v>0</c:v>
                </c:pt>
                <c:pt idx="7">
                  <c:v>2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Munyonyo-Kigo'!$U$9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Munyonyo-Kigo'!$U$10:$U$21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5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Munyonyo-Kigo'!$V$9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Munyonyo-Kigo'!$W$9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Munyonyo-Kigo'!$X$9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Munyonyo-Kigo'!$Y$9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Munyonyo-Kigo'!$Z$9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Munyonyo-Kigo'!$AA$9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Munyonyo-Kigo'!$AB$9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Munyonyo-Kigo'!$AC$9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Munyonyo-Kigo'!$AC$10:$AC$21</c:f>
              <c:numCache>
                <c:formatCode>0</c:formatCode>
                <c:ptCount val="12"/>
                <c:pt idx="0">
                  <c:v>71</c:v>
                </c:pt>
                <c:pt idx="1">
                  <c:v>82</c:v>
                </c:pt>
                <c:pt idx="2">
                  <c:v>99</c:v>
                </c:pt>
                <c:pt idx="3">
                  <c:v>103</c:v>
                </c:pt>
                <c:pt idx="4">
                  <c:v>93</c:v>
                </c:pt>
                <c:pt idx="5">
                  <c:v>65</c:v>
                </c:pt>
                <c:pt idx="6">
                  <c:v>59</c:v>
                </c:pt>
                <c:pt idx="7">
                  <c:v>75</c:v>
                </c:pt>
                <c:pt idx="8">
                  <c:v>96</c:v>
                </c:pt>
                <c:pt idx="9">
                  <c:v>110</c:v>
                </c:pt>
                <c:pt idx="10">
                  <c:v>83</c:v>
                </c:pt>
                <c:pt idx="11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Munyonyo-Kigo'!$AD$9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Munyonyo-Kigo'!$AD$10:$AD$21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Munyonyo-Kigo'!$C$60:$N$60</c:f>
              <c:numCache>
                <c:formatCode>0.00%</c:formatCode>
                <c:ptCount val="12"/>
                <c:pt idx="0">
                  <c:v>0.49735449735449733</c:v>
                </c:pt>
                <c:pt idx="1">
                  <c:v>0.18518518518518517</c:v>
                </c:pt>
                <c:pt idx="2">
                  <c:v>0.1111111111111111</c:v>
                </c:pt>
                <c:pt idx="3">
                  <c:v>5.2910052910052907E-2</c:v>
                </c:pt>
                <c:pt idx="4">
                  <c:v>0</c:v>
                </c:pt>
                <c:pt idx="5">
                  <c:v>5.2910052910052907E-3</c:v>
                </c:pt>
                <c:pt idx="6">
                  <c:v>5.2910052910052907E-2</c:v>
                </c:pt>
                <c:pt idx="7">
                  <c:v>4.7619047619047616E-2</c:v>
                </c:pt>
                <c:pt idx="8">
                  <c:v>1.5873015873015872E-2</c:v>
                </c:pt>
                <c:pt idx="9">
                  <c:v>3.1746031746031744E-2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'[2]29.09 MUNYONYO-LWEZA'!$AE$9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'[2]29.09 MUNYONYO-LWEZA'!$R$10:$R$21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MUNYONYO-LWEZA'!$AE$10:$AE$21</c:f>
              <c:numCache>
                <c:formatCode>General</c:formatCode>
                <c:ptCount val="12"/>
                <c:pt idx="0">
                  <c:v>10</c:v>
                </c:pt>
                <c:pt idx="1">
                  <c:v>11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13</c:v>
                </c:pt>
                <c:pt idx="6">
                  <c:v>17</c:v>
                </c:pt>
                <c:pt idx="7">
                  <c:v>15</c:v>
                </c:pt>
                <c:pt idx="8">
                  <c:v>22</c:v>
                </c:pt>
                <c:pt idx="9">
                  <c:v>16</c:v>
                </c:pt>
                <c:pt idx="10">
                  <c:v>16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8F-4C33-9EC4-9C34D2D0A6FA}"/>
            </c:ext>
          </c:extLst>
        </c:ser>
        <c:ser>
          <c:idx val="1"/>
          <c:order val="1"/>
          <c:tx>
            <c:strRef>
              <c:f>'[2]29.09 MUNYONYO-LWEZA'!$AF$9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'[2]29.09 MUNYONYO-LWEZA'!$R$10:$R$21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MUNYONYO-LWEZA'!$AF$10:$AF$21</c:f>
              <c:numCache>
                <c:formatCode>General</c:formatCode>
                <c:ptCount val="12"/>
                <c:pt idx="0">
                  <c:v>81</c:v>
                </c:pt>
                <c:pt idx="1">
                  <c:v>93</c:v>
                </c:pt>
                <c:pt idx="2">
                  <c:v>115</c:v>
                </c:pt>
                <c:pt idx="3">
                  <c:v>116</c:v>
                </c:pt>
                <c:pt idx="4">
                  <c:v>103</c:v>
                </c:pt>
                <c:pt idx="5">
                  <c:v>78</c:v>
                </c:pt>
                <c:pt idx="6">
                  <c:v>76</c:v>
                </c:pt>
                <c:pt idx="7">
                  <c:v>90</c:v>
                </c:pt>
                <c:pt idx="8">
                  <c:v>118</c:v>
                </c:pt>
                <c:pt idx="9">
                  <c:v>126</c:v>
                </c:pt>
                <c:pt idx="10">
                  <c:v>99</c:v>
                </c:pt>
                <c:pt idx="11">
                  <c:v>126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B8F-4C33-9EC4-9C34D2D0A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939-4C10-987C-BEAE628A0C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939-4C10-987C-BEAE628A0C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939-4C10-987C-BEAE628A0C0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939-4C10-987C-BEAE628A0C0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939-4C10-987C-BEAE628A0C0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939-4C10-987C-BEAE628A0C0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939-4C10-987C-BEAE628A0C0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939-4C10-987C-BEAE628A0C0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939-4C10-987C-BEAE628A0C0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939-4C10-987C-BEAE628A0C0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939-4C10-987C-BEAE628A0C0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939-4C10-987C-BEAE628A0C01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939-4C10-987C-BEAE628A0C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MUNYONYO-LWEZA'!$C$9:$N$9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MUNYONYO-LWEZA'!$C$59:$N$59</c:f>
              <c:numCache>
                <c:formatCode>General</c:formatCode>
                <c:ptCount val="12"/>
                <c:pt idx="0">
                  <c:v>7.6986076986076984E-2</c:v>
                </c:pt>
                <c:pt idx="1">
                  <c:v>2.8665028665028666E-2</c:v>
                </c:pt>
                <c:pt idx="2">
                  <c:v>1.7199017199017199E-2</c:v>
                </c:pt>
                <c:pt idx="3">
                  <c:v>8.1900081900081901E-3</c:v>
                </c:pt>
                <c:pt idx="4">
                  <c:v>0</c:v>
                </c:pt>
                <c:pt idx="5">
                  <c:v>8.1900081900081905E-4</c:v>
                </c:pt>
                <c:pt idx="6">
                  <c:v>8.1900081900081901E-3</c:v>
                </c:pt>
                <c:pt idx="7">
                  <c:v>7.3710073710073713E-3</c:v>
                </c:pt>
                <c:pt idx="8">
                  <c:v>2.4570024570024569E-3</c:v>
                </c:pt>
                <c:pt idx="9">
                  <c:v>4.9140049140049139E-3</c:v>
                </c:pt>
                <c:pt idx="10">
                  <c:v>0.84520884520884521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939-4C10-987C-BEAE628A0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53E-4243-8C65-F0E1949519D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53E-4243-8C65-F0E1949519D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53E-4243-8C65-F0E1949519D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53E-4243-8C65-F0E1949519D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53E-4243-8C65-F0E1949519D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53E-4243-8C65-F0E1949519D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53E-4243-8C65-F0E1949519D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53E-4243-8C65-F0E1949519D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53E-4243-8C65-F0E1949519D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53E-4243-8C65-F0E1949519D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53E-4243-8C65-F0E1949519D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53E-4243-8C65-F0E1949519D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53E-4243-8C65-F0E1949519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MUNYONYO-LWEZA'!$C$9:$N$9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MUNYONYO-LWEZA'!$C$60:$N$60</c:f>
              <c:numCache>
                <c:formatCode>General</c:formatCode>
                <c:ptCount val="12"/>
                <c:pt idx="0">
                  <c:v>0.49735449735449733</c:v>
                </c:pt>
                <c:pt idx="1">
                  <c:v>0.18518518518518517</c:v>
                </c:pt>
                <c:pt idx="2">
                  <c:v>0.1111111111111111</c:v>
                </c:pt>
                <c:pt idx="3">
                  <c:v>5.2910052910052907E-2</c:v>
                </c:pt>
                <c:pt idx="4">
                  <c:v>0</c:v>
                </c:pt>
                <c:pt idx="5">
                  <c:v>5.2910052910052907E-3</c:v>
                </c:pt>
                <c:pt idx="6">
                  <c:v>5.2910052910052907E-2</c:v>
                </c:pt>
                <c:pt idx="7">
                  <c:v>4.7619047619047616E-2</c:v>
                </c:pt>
                <c:pt idx="8">
                  <c:v>1.5873015873015872E-2</c:v>
                </c:pt>
                <c:pt idx="9">
                  <c:v>3.1746031746031744E-2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53E-4243-8C65-F0E194951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Kigo-Munyonyo'!$AE$9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Kigo-Munyonyo'!$AE$10:$AE$21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4</c:v>
                </c:pt>
                <c:pt idx="5">
                  <c:v>7</c:v>
                </c:pt>
                <c:pt idx="6">
                  <c:v>2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3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Kigo-Munyonyo'!$AF$9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Kigo-Munyonyo'!$AF$10:$AF$21</c:f>
              <c:numCache>
                <c:formatCode>0</c:formatCode>
                <c:ptCount val="12"/>
                <c:pt idx="0">
                  <c:v>65</c:v>
                </c:pt>
                <c:pt idx="1">
                  <c:v>90</c:v>
                </c:pt>
                <c:pt idx="2">
                  <c:v>61</c:v>
                </c:pt>
                <c:pt idx="3">
                  <c:v>110</c:v>
                </c:pt>
                <c:pt idx="4">
                  <c:v>115</c:v>
                </c:pt>
                <c:pt idx="5">
                  <c:v>68</c:v>
                </c:pt>
                <c:pt idx="6">
                  <c:v>56</c:v>
                </c:pt>
                <c:pt idx="7">
                  <c:v>86</c:v>
                </c:pt>
                <c:pt idx="8">
                  <c:v>67</c:v>
                </c:pt>
                <c:pt idx="9">
                  <c:v>101</c:v>
                </c:pt>
                <c:pt idx="10">
                  <c:v>81</c:v>
                </c:pt>
                <c:pt idx="11">
                  <c:v>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Kigo-Munyonyo'!$C$59:$N$59</c:f>
              <c:numCache>
                <c:formatCode>0.0%</c:formatCode>
                <c:ptCount val="12"/>
                <c:pt idx="0">
                  <c:v>1.794616151545364E-2</c:v>
                </c:pt>
                <c:pt idx="1">
                  <c:v>2.1934197407776669E-2</c:v>
                </c:pt>
                <c:pt idx="2">
                  <c:v>5.9820538384845467E-3</c:v>
                </c:pt>
                <c:pt idx="3">
                  <c:v>2.9910269192422734E-3</c:v>
                </c:pt>
                <c:pt idx="4">
                  <c:v>0</c:v>
                </c:pt>
                <c:pt idx="5">
                  <c:v>0</c:v>
                </c:pt>
                <c:pt idx="6">
                  <c:v>4.9850448654037887E-3</c:v>
                </c:pt>
                <c:pt idx="7">
                  <c:v>9.9700897308075765E-4</c:v>
                </c:pt>
                <c:pt idx="8">
                  <c:v>1.9940179461615153E-3</c:v>
                </c:pt>
                <c:pt idx="9">
                  <c:v>0</c:v>
                </c:pt>
                <c:pt idx="10">
                  <c:v>0.94317048853439678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Kigo-Munyonyo'!$S$9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Kigo-Munyonyo'!$S$10:$S$21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Kigo-Munyonyo'!$T$9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Kigo-Munyonyo'!$R$10:$R$21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Kigo-Munyonyo'!$T$10:$T$21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Kigo-Munyonyo'!$U$9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Kigo-Munyonyo'!$V$9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Kigo-Munyonyo'!$W$9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Kigo-Munyonyo'!$X$9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Kigo-Munyonyo'!$Y$9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Kigo-Munyonyo'!$Z$9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Kigo-Munyonyo'!$AA$9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Kigo-Munyonyo'!$AB$9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Kigo-Munyonyo'!$AC$9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Kigo-Munyonyo'!$AC$10:$AC$21</c:f>
              <c:numCache>
                <c:formatCode>0</c:formatCode>
                <c:ptCount val="12"/>
                <c:pt idx="0">
                  <c:v>65</c:v>
                </c:pt>
                <c:pt idx="1">
                  <c:v>88</c:v>
                </c:pt>
                <c:pt idx="2">
                  <c:v>57</c:v>
                </c:pt>
                <c:pt idx="3">
                  <c:v>103</c:v>
                </c:pt>
                <c:pt idx="4">
                  <c:v>111</c:v>
                </c:pt>
                <c:pt idx="5">
                  <c:v>61</c:v>
                </c:pt>
                <c:pt idx="6">
                  <c:v>54</c:v>
                </c:pt>
                <c:pt idx="7">
                  <c:v>81</c:v>
                </c:pt>
                <c:pt idx="8">
                  <c:v>62</c:v>
                </c:pt>
                <c:pt idx="9">
                  <c:v>94</c:v>
                </c:pt>
                <c:pt idx="10">
                  <c:v>78</c:v>
                </c:pt>
                <c:pt idx="11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Kigo-Munyonyo'!$AD$9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Kigo-Munyonyo'!$AD$10:$AD$21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Kigo-Munyonyo'!$C$60:$N$60</c:f>
              <c:numCache>
                <c:formatCode>0.00%</c:formatCode>
                <c:ptCount val="12"/>
                <c:pt idx="0">
                  <c:v>0.31578947368421051</c:v>
                </c:pt>
                <c:pt idx="1">
                  <c:v>0.38596491228070173</c:v>
                </c:pt>
                <c:pt idx="2">
                  <c:v>0.10526315789473684</c:v>
                </c:pt>
                <c:pt idx="3">
                  <c:v>5.2631578947368418E-2</c:v>
                </c:pt>
                <c:pt idx="4">
                  <c:v>0</c:v>
                </c:pt>
                <c:pt idx="5">
                  <c:v>0</c:v>
                </c:pt>
                <c:pt idx="6">
                  <c:v>8.771929824561403E-2</c:v>
                </c:pt>
                <c:pt idx="7">
                  <c:v>1.7543859649122806E-2</c:v>
                </c:pt>
                <c:pt idx="8">
                  <c:v>3.5087719298245612E-2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'[2]29.09 LWEZA-MUNYONYO'!$AE$9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'[2]29.09 LWEZA-MUNYONYO'!$R$10:$R$21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LWEZA-MUNYONYO'!$AE$10:$AE$21</c:f>
              <c:numCache>
                <c:formatCode>General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4</c:v>
                </c:pt>
                <c:pt idx="5">
                  <c:v>7</c:v>
                </c:pt>
                <c:pt idx="6">
                  <c:v>2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3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E2-4347-84F9-02BDC3B74188}"/>
            </c:ext>
          </c:extLst>
        </c:ser>
        <c:ser>
          <c:idx val="1"/>
          <c:order val="1"/>
          <c:tx>
            <c:strRef>
              <c:f>'[2]29.09 LWEZA-MUNYONYO'!$AF$9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'[2]29.09 LWEZA-MUNYONYO'!$R$10:$R$21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LWEZA-MUNYONYO'!$AF$10:$AF$21</c:f>
              <c:numCache>
                <c:formatCode>General</c:formatCode>
                <c:ptCount val="12"/>
                <c:pt idx="0">
                  <c:v>65</c:v>
                </c:pt>
                <c:pt idx="1">
                  <c:v>90</c:v>
                </c:pt>
                <c:pt idx="2">
                  <c:v>61</c:v>
                </c:pt>
                <c:pt idx="3">
                  <c:v>110</c:v>
                </c:pt>
                <c:pt idx="4">
                  <c:v>115</c:v>
                </c:pt>
                <c:pt idx="5">
                  <c:v>68</c:v>
                </c:pt>
                <c:pt idx="6">
                  <c:v>56</c:v>
                </c:pt>
                <c:pt idx="7">
                  <c:v>86</c:v>
                </c:pt>
                <c:pt idx="8">
                  <c:v>67</c:v>
                </c:pt>
                <c:pt idx="9">
                  <c:v>101</c:v>
                </c:pt>
                <c:pt idx="10">
                  <c:v>81</c:v>
                </c:pt>
                <c:pt idx="11">
                  <c:v>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E2-4347-84F9-02BDC3B74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2C2-4669-96C0-DF5A3BDFCE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2C2-4669-96C0-DF5A3BDFCE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2C2-4669-96C0-DF5A3BDFCE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2C2-4669-96C0-DF5A3BDFCE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2C2-4669-96C0-DF5A3BDFCE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2C2-4669-96C0-DF5A3BDFCE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2C2-4669-96C0-DF5A3BDFCE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2C2-4669-96C0-DF5A3BDFCE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2C2-4669-96C0-DF5A3BDFCE7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2C2-4669-96C0-DF5A3BDFCE7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2C2-4669-96C0-DF5A3BDFCE7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2C2-4669-96C0-DF5A3BDFCE7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C2-4669-96C0-DF5A3BDFCE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LWEZA-MUNYONYO'!$C$9:$N$9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LWEZA-MUNYONYO'!$C$59:$N$59</c:f>
              <c:numCache>
                <c:formatCode>General</c:formatCode>
                <c:ptCount val="12"/>
                <c:pt idx="0">
                  <c:v>1.794616151545364E-2</c:v>
                </c:pt>
                <c:pt idx="1">
                  <c:v>2.1934197407776669E-2</c:v>
                </c:pt>
                <c:pt idx="2">
                  <c:v>5.9820538384845467E-3</c:v>
                </c:pt>
                <c:pt idx="3">
                  <c:v>2.9910269192422734E-3</c:v>
                </c:pt>
                <c:pt idx="4">
                  <c:v>0</c:v>
                </c:pt>
                <c:pt idx="5">
                  <c:v>0</c:v>
                </c:pt>
                <c:pt idx="6">
                  <c:v>4.9850448654037887E-3</c:v>
                </c:pt>
                <c:pt idx="7">
                  <c:v>9.9700897308075765E-4</c:v>
                </c:pt>
                <c:pt idx="8">
                  <c:v>1.9940179461615153E-3</c:v>
                </c:pt>
                <c:pt idx="9">
                  <c:v>0</c:v>
                </c:pt>
                <c:pt idx="10">
                  <c:v>0.94317048853439678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2C2-4669-96C0-DF5A3BDFC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2F6-45B8-9F53-DDBE14E487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2F6-45B8-9F53-DDBE14E487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2F6-45B8-9F53-DDBE14E487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2F6-45B8-9F53-DDBE14E487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2F6-45B8-9F53-DDBE14E487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2F6-45B8-9F53-DDBE14E487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2F6-45B8-9F53-DDBE14E487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2F6-45B8-9F53-DDBE14E487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2F6-45B8-9F53-DDBE14E487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2F6-45B8-9F53-DDBE14E487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2F6-45B8-9F53-DDBE14E487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2F6-45B8-9F53-DDBE14E4876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2F6-45B8-9F53-DDBE14E487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LWEZA-MUNYONYO'!$C$9:$N$9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LWEZA-MUNYONYO'!$C$60:$N$60</c:f>
              <c:numCache>
                <c:formatCode>General</c:formatCode>
                <c:ptCount val="12"/>
                <c:pt idx="0">
                  <c:v>0.31578947368421051</c:v>
                </c:pt>
                <c:pt idx="1">
                  <c:v>0.38596491228070173</c:v>
                </c:pt>
                <c:pt idx="2">
                  <c:v>0.10526315789473684</c:v>
                </c:pt>
                <c:pt idx="3">
                  <c:v>5.2631578947368418E-2</c:v>
                </c:pt>
                <c:pt idx="4">
                  <c:v>0</c:v>
                </c:pt>
                <c:pt idx="5">
                  <c:v>0</c:v>
                </c:pt>
                <c:pt idx="6">
                  <c:v>8.771929824561403E-2</c:v>
                </c:pt>
                <c:pt idx="7">
                  <c:v>1.7543859649122806E-2</c:v>
                </c:pt>
                <c:pt idx="8">
                  <c:v>3.5087719298245612E-2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2F6-45B8-9F53-DDBE14E48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Munyonyo-Kigo'!$AE$9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Munyonyo-Kigo'!$R$10:$R$33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Munyonyo-Kigo'!$AE$10:$AE$33</c:f>
              <c:numCache>
                <c:formatCode>0</c:formatCode>
                <c:ptCount val="24"/>
                <c:pt idx="0">
                  <c:v>16.285714285714285</c:v>
                </c:pt>
                <c:pt idx="1">
                  <c:v>13.285714285714285</c:v>
                </c:pt>
                <c:pt idx="2">
                  <c:v>9.2857142857142847</c:v>
                </c:pt>
                <c:pt idx="3">
                  <c:v>11.428571428571429</c:v>
                </c:pt>
                <c:pt idx="4">
                  <c:v>11.142857142857142</c:v>
                </c:pt>
                <c:pt idx="5">
                  <c:v>12.142857142857141</c:v>
                </c:pt>
                <c:pt idx="6">
                  <c:v>12.857142857142856</c:v>
                </c:pt>
                <c:pt idx="7">
                  <c:v>9.1428571428571423</c:v>
                </c:pt>
                <c:pt idx="8">
                  <c:v>16.857142857142858</c:v>
                </c:pt>
                <c:pt idx="9">
                  <c:v>20</c:v>
                </c:pt>
                <c:pt idx="10">
                  <c:v>22.857142857142861</c:v>
                </c:pt>
                <c:pt idx="11">
                  <c:v>20.428571428571431</c:v>
                </c:pt>
                <c:pt idx="12">
                  <c:v>19</c:v>
                </c:pt>
                <c:pt idx="13">
                  <c:v>28.5</c:v>
                </c:pt>
                <c:pt idx="14">
                  <c:v>23.5</c:v>
                </c:pt>
                <c:pt idx="15">
                  <c:v>25</c:v>
                </c:pt>
                <c:pt idx="16">
                  <c:v>14.5</c:v>
                </c:pt>
                <c:pt idx="17">
                  <c:v>3</c:v>
                </c:pt>
                <c:pt idx="18">
                  <c:v>2.5</c:v>
                </c:pt>
                <c:pt idx="19">
                  <c:v>1</c:v>
                </c:pt>
                <c:pt idx="20">
                  <c:v>2</c:v>
                </c:pt>
                <c:pt idx="21">
                  <c:v>1.5</c:v>
                </c:pt>
                <c:pt idx="22">
                  <c:v>4.5</c:v>
                </c:pt>
                <c:pt idx="23">
                  <c:v>10.5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Munyonyo-Kigo'!$AF$9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Munyonyo-Kigo'!$R$10:$R$33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Munyonyo-Kigo'!$AF$10:$AF$33</c:f>
              <c:numCache>
                <c:formatCode>0</c:formatCode>
                <c:ptCount val="24"/>
                <c:pt idx="0">
                  <c:v>125.85714285714285</c:v>
                </c:pt>
                <c:pt idx="1">
                  <c:v>104.85714285714286</c:v>
                </c:pt>
                <c:pt idx="2">
                  <c:v>94</c:v>
                </c:pt>
                <c:pt idx="3">
                  <c:v>93.142857142857139</c:v>
                </c:pt>
                <c:pt idx="4">
                  <c:v>98.571428571428555</c:v>
                </c:pt>
                <c:pt idx="5">
                  <c:v>94.571428571428555</c:v>
                </c:pt>
                <c:pt idx="6">
                  <c:v>73.428571428571431</c:v>
                </c:pt>
                <c:pt idx="7">
                  <c:v>78.571428571428555</c:v>
                </c:pt>
                <c:pt idx="8">
                  <c:v>89.857142857142861</c:v>
                </c:pt>
                <c:pt idx="9">
                  <c:v>101</c:v>
                </c:pt>
                <c:pt idx="10">
                  <c:v>108.71428571428572</c:v>
                </c:pt>
                <c:pt idx="11">
                  <c:v>118.71428571428572</c:v>
                </c:pt>
                <c:pt idx="12">
                  <c:v>147.5</c:v>
                </c:pt>
                <c:pt idx="13">
                  <c:v>148</c:v>
                </c:pt>
                <c:pt idx="14">
                  <c:v>126.5</c:v>
                </c:pt>
                <c:pt idx="15">
                  <c:v>123</c:v>
                </c:pt>
                <c:pt idx="16">
                  <c:v>79</c:v>
                </c:pt>
                <c:pt idx="17">
                  <c:v>33</c:v>
                </c:pt>
                <c:pt idx="18">
                  <c:v>18</c:v>
                </c:pt>
                <c:pt idx="19">
                  <c:v>11</c:v>
                </c:pt>
                <c:pt idx="20">
                  <c:v>9.5</c:v>
                </c:pt>
                <c:pt idx="21">
                  <c:v>13.5</c:v>
                </c:pt>
                <c:pt idx="22">
                  <c:v>12.5</c:v>
                </c:pt>
                <c:pt idx="23">
                  <c:v>62.5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Munyonyo-Kigo'!$C$107:$N$107</c:f>
              <c:numCache>
                <c:formatCode>0.0%</c:formatCode>
                <c:ptCount val="12"/>
                <c:pt idx="0">
                  <c:v>8.8827505996946998E-2</c:v>
                </c:pt>
                <c:pt idx="1">
                  <c:v>2.227956676601003E-2</c:v>
                </c:pt>
                <c:pt idx="2">
                  <c:v>1.5228610889001966E-2</c:v>
                </c:pt>
                <c:pt idx="3">
                  <c:v>1.817256669331976E-2</c:v>
                </c:pt>
                <c:pt idx="4">
                  <c:v>0</c:v>
                </c:pt>
                <c:pt idx="5">
                  <c:v>3.2710620047975576E-4</c:v>
                </c:pt>
                <c:pt idx="6">
                  <c:v>9.3770444137529999E-3</c:v>
                </c:pt>
                <c:pt idx="7">
                  <c:v>1.8899469361052551E-3</c:v>
                </c:pt>
                <c:pt idx="8">
                  <c:v>1.7445664025586972E-3</c:v>
                </c:pt>
                <c:pt idx="9">
                  <c:v>4.3614160063967431E-4</c:v>
                </c:pt>
                <c:pt idx="10">
                  <c:v>0.84164425383441177</c:v>
                </c:pt>
                <c:pt idx="11">
                  <c:v>7.2690266773279056E-5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Munyonyo-Kigo'!$C$9:$N$9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Munyonyo-Kigo'!$C$108:$N$108</c:f>
              <c:numCache>
                <c:formatCode>0.00%</c:formatCode>
                <c:ptCount val="12"/>
                <c:pt idx="0">
                  <c:v>0.56093642414505385</c:v>
                </c:pt>
                <c:pt idx="1">
                  <c:v>0.14069313747991738</c:v>
                </c:pt>
                <c:pt idx="2">
                  <c:v>9.6167087445490032E-2</c:v>
                </c:pt>
                <c:pt idx="3">
                  <c:v>0.11475786091347255</c:v>
                </c:pt>
                <c:pt idx="4">
                  <c:v>0</c:v>
                </c:pt>
                <c:pt idx="5">
                  <c:v>2.065641496442506E-3</c:v>
                </c:pt>
                <c:pt idx="6">
                  <c:v>5.9215056231351849E-2</c:v>
                </c:pt>
                <c:pt idx="7">
                  <c:v>1.1934817535001144E-2</c:v>
                </c:pt>
                <c:pt idx="8">
                  <c:v>1.1016754647693364E-2</c:v>
                </c:pt>
                <c:pt idx="9">
                  <c:v>2.7541886619233411E-3</c:v>
                </c:pt>
                <c:pt idx="11">
                  <c:v>4.5903144365389025E-4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Kigo-Munyonyo'!$AE$9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Kigo-Munyonyo'!$R$10:$R$33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Kigo-Munyonyo'!$AE$10:$AE$33</c:f>
              <c:numCache>
                <c:formatCode>0</c:formatCode>
                <c:ptCount val="24"/>
                <c:pt idx="0">
                  <c:v>3.1428571428571423</c:v>
                </c:pt>
                <c:pt idx="1">
                  <c:v>2.5714285714285712</c:v>
                </c:pt>
                <c:pt idx="2">
                  <c:v>4.4285714285714288</c:v>
                </c:pt>
                <c:pt idx="3">
                  <c:v>2.2857142857142851</c:v>
                </c:pt>
                <c:pt idx="4">
                  <c:v>3.1428571428571423</c:v>
                </c:pt>
                <c:pt idx="5">
                  <c:v>3.4285714285714279</c:v>
                </c:pt>
                <c:pt idx="6">
                  <c:v>3</c:v>
                </c:pt>
                <c:pt idx="7">
                  <c:v>2.714285714285714</c:v>
                </c:pt>
                <c:pt idx="8">
                  <c:v>2.714285714285714</c:v>
                </c:pt>
                <c:pt idx="9">
                  <c:v>4.9999999999999991</c:v>
                </c:pt>
                <c:pt idx="10">
                  <c:v>2.8571428571428568</c:v>
                </c:pt>
                <c:pt idx="11">
                  <c:v>5.5714285714285712</c:v>
                </c:pt>
                <c:pt idx="12">
                  <c:v>0.5</c:v>
                </c:pt>
                <c:pt idx="13">
                  <c:v>4.5</c:v>
                </c:pt>
                <c:pt idx="14">
                  <c:v>2.5</c:v>
                </c:pt>
                <c:pt idx="15">
                  <c:v>2</c:v>
                </c:pt>
                <c:pt idx="16">
                  <c:v>1.5</c:v>
                </c:pt>
                <c:pt idx="17">
                  <c:v>1</c:v>
                </c:pt>
                <c:pt idx="18">
                  <c:v>0</c:v>
                </c:pt>
                <c:pt idx="19">
                  <c:v>0.5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Kigo-Munyonyo'!$AF$9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Kigo-Munyonyo'!$R$10:$R$33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Kigo-Munyonyo'!$AF$10:$AF$33</c:f>
              <c:numCache>
                <c:formatCode>0</c:formatCode>
                <c:ptCount val="24"/>
                <c:pt idx="0">
                  <c:v>117.57142857142857</c:v>
                </c:pt>
                <c:pt idx="1">
                  <c:v>88.285714285714292</c:v>
                </c:pt>
                <c:pt idx="2">
                  <c:v>78.142857142857139</c:v>
                </c:pt>
                <c:pt idx="3">
                  <c:v>74.428571428571431</c:v>
                </c:pt>
                <c:pt idx="4">
                  <c:v>81.428571428571431</c:v>
                </c:pt>
                <c:pt idx="5">
                  <c:v>66.142857142857153</c:v>
                </c:pt>
                <c:pt idx="6">
                  <c:v>52.428571428571431</c:v>
                </c:pt>
                <c:pt idx="7">
                  <c:v>63</c:v>
                </c:pt>
                <c:pt idx="8">
                  <c:v>53.142857142857146</c:v>
                </c:pt>
                <c:pt idx="9">
                  <c:v>76.428571428571431</c:v>
                </c:pt>
                <c:pt idx="10">
                  <c:v>79.142857142857139</c:v>
                </c:pt>
                <c:pt idx="11">
                  <c:v>90.428571428571416</c:v>
                </c:pt>
                <c:pt idx="12">
                  <c:v>101</c:v>
                </c:pt>
                <c:pt idx="13">
                  <c:v>96.5</c:v>
                </c:pt>
                <c:pt idx="14">
                  <c:v>95</c:v>
                </c:pt>
                <c:pt idx="15">
                  <c:v>70.5</c:v>
                </c:pt>
                <c:pt idx="16">
                  <c:v>54.5</c:v>
                </c:pt>
                <c:pt idx="17">
                  <c:v>26.5</c:v>
                </c:pt>
                <c:pt idx="18">
                  <c:v>11.5</c:v>
                </c:pt>
                <c:pt idx="19">
                  <c:v>6.5</c:v>
                </c:pt>
                <c:pt idx="20">
                  <c:v>11</c:v>
                </c:pt>
                <c:pt idx="21">
                  <c:v>10</c:v>
                </c:pt>
                <c:pt idx="22">
                  <c:v>12</c:v>
                </c:pt>
                <c:pt idx="23">
                  <c:v>54.5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Kigo-Munyonyo'!$C$107:$N$107</c:f>
              <c:numCache>
                <c:formatCode>0.0%</c:formatCode>
                <c:ptCount val="12"/>
                <c:pt idx="0">
                  <c:v>1.8949516544385599E-2</c:v>
                </c:pt>
                <c:pt idx="1">
                  <c:v>1.0446528351392065E-2</c:v>
                </c:pt>
                <c:pt idx="2">
                  <c:v>3.3526067732374521E-3</c:v>
                </c:pt>
                <c:pt idx="3">
                  <c:v>3.5955492930372672E-3</c:v>
                </c:pt>
                <c:pt idx="4">
                  <c:v>1.9435401583985229E-4</c:v>
                </c:pt>
                <c:pt idx="5">
                  <c:v>9.7177007919926144E-5</c:v>
                </c:pt>
                <c:pt idx="6">
                  <c:v>2.4780137019581165E-3</c:v>
                </c:pt>
                <c:pt idx="7">
                  <c:v>9.2318157523929838E-4</c:v>
                </c:pt>
                <c:pt idx="8">
                  <c:v>6.8023905543948288E-4</c:v>
                </c:pt>
                <c:pt idx="9">
                  <c:v>0</c:v>
                </c:pt>
                <c:pt idx="10">
                  <c:v>0.95928283368155121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Kigo-Munyonyo'!$C$9:$N$9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Kigo-Munyonyo'!$C$108:$N$108</c:f>
              <c:numCache>
                <c:formatCode>0.00%</c:formatCode>
                <c:ptCount val="12"/>
                <c:pt idx="0">
                  <c:v>0.46539379474940334</c:v>
                </c:pt>
                <c:pt idx="1">
                  <c:v>0.25656324582338907</c:v>
                </c:pt>
                <c:pt idx="2">
                  <c:v>8.2338902147971349E-2</c:v>
                </c:pt>
                <c:pt idx="3">
                  <c:v>8.8305489260143172E-2</c:v>
                </c:pt>
                <c:pt idx="4">
                  <c:v>4.7732696897374695E-3</c:v>
                </c:pt>
                <c:pt idx="5">
                  <c:v>2.3866348448687348E-3</c:v>
                </c:pt>
                <c:pt idx="6">
                  <c:v>6.0859188544152731E-2</c:v>
                </c:pt>
                <c:pt idx="7">
                  <c:v>2.2673031026252979E-2</c:v>
                </c:pt>
                <c:pt idx="8">
                  <c:v>1.6706443914081142E-2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Munyonyo-Kigo-2Dir'!$C$9:$N$9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Munyonyo-Kigo-2Dir'!$C$107:$N$107</c:f>
              <c:numCache>
                <c:formatCode>0.0%</c:formatCode>
                <c:ptCount val="12"/>
                <c:pt idx="0">
                  <c:v>5.8925044183387038E-2</c:v>
                </c:pt>
                <c:pt idx="1">
                  <c:v>1.7215926811518865E-2</c:v>
                </c:pt>
                <c:pt idx="2">
                  <c:v>1.0146584884083586E-2</c:v>
                </c:pt>
                <c:pt idx="3">
                  <c:v>1.1934712548081924E-2</c:v>
                </c:pt>
                <c:pt idx="4">
                  <c:v>8.3168728558062174E-5</c:v>
                </c:pt>
                <c:pt idx="5">
                  <c:v>2.2871400353467096E-4</c:v>
                </c:pt>
                <c:pt idx="6">
                  <c:v>6.4247842811103037E-3</c:v>
                </c:pt>
                <c:pt idx="7">
                  <c:v>1.4762449319056033E-3</c:v>
                </c:pt>
                <c:pt idx="8">
                  <c:v>1.2891152926499633E-3</c:v>
                </c:pt>
                <c:pt idx="9">
                  <c:v>2.4950618567418645E-4</c:v>
                </c:pt>
                <c:pt idx="10">
                  <c:v>0.89198461378521665</c:v>
                </c:pt>
                <c:pt idx="11">
                  <c:v>4.1584364279031087E-5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0505851662159247E-2"/>
          <c:y val="7.3962429468557037E-2"/>
          <c:w val="0.82101228366016787"/>
          <c:h val="0.8450700404022530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Munyonyo-Kigo-2Dir'!$C$9:$N$9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Munyonyo-Kigo-2Dir'!$C$108:$N$108</c:f>
              <c:numCache>
                <c:formatCode>0.00%</c:formatCode>
                <c:ptCount val="12"/>
                <c:pt idx="0">
                  <c:v>0.5455245428296438</c:v>
                </c:pt>
                <c:pt idx="1">
                  <c:v>0.15938402309913377</c:v>
                </c:pt>
                <c:pt idx="2">
                  <c:v>9.3936477382098191E-2</c:v>
                </c:pt>
                <c:pt idx="3">
                  <c:v>0.11049085659287779</c:v>
                </c:pt>
                <c:pt idx="4">
                  <c:v>7.6997112608277187E-4</c:v>
                </c:pt>
                <c:pt idx="5">
                  <c:v>2.1174205967276227E-3</c:v>
                </c:pt>
                <c:pt idx="6">
                  <c:v>5.9480269489894134E-2</c:v>
                </c:pt>
                <c:pt idx="7">
                  <c:v>1.3666987487969198E-2</c:v>
                </c:pt>
                <c:pt idx="8">
                  <c:v>1.1934552454282961E-2</c:v>
                </c:pt>
                <c:pt idx="9">
                  <c:v>2.3099133782483153E-3</c:v>
                </c:pt>
                <c:pt idx="11">
                  <c:v>3.8498556304138594E-4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Munyonyo-Kigo-2Dir'!$S$9:$AF$9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Munyonyo-Kigo-2Dir'!$S$42:$AF$42</c:f>
              <c:numCache>
                <c:formatCode>0.000</c:formatCode>
                <c:ptCount val="14"/>
                <c:pt idx="0">
                  <c:v>1.9762900976290099</c:v>
                </c:pt>
                <c:pt idx="1">
                  <c:v>1.4375</c:v>
                </c:pt>
                <c:pt idx="2">
                  <c:v>1.5947712418300655</c:v>
                </c:pt>
                <c:pt idx="3">
                  <c:v>1.7083333333333335</c:v>
                </c:pt>
                <c:pt idx="4">
                  <c:v>1</c:v>
                </c:pt>
                <c:pt idx="5">
                  <c:v>2.75</c:v>
                </c:pt>
                <c:pt idx="6">
                  <c:v>1.2560975609756098</c:v>
                </c:pt>
                <c:pt idx="7">
                  <c:v>1.4200000000000002</c:v>
                </c:pt>
                <c:pt idx="8">
                  <c:v>1</c:v>
                </c:pt>
                <c:pt idx="9">
                  <c:v>1</c:v>
                </c:pt>
                <c:pt idx="10">
                  <c:v>1.6253694021368492</c:v>
                </c:pt>
                <c:pt idx="11">
                  <c:v>1</c:v>
                </c:pt>
                <c:pt idx="12">
                  <c:v>1.713390501319261</c:v>
                </c:pt>
                <c:pt idx="13">
                  <c:v>1.6344389315571262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90-4305-91DF-7428105AE59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'[3]Avg Week Munyonyo-Kibuye-2Dir'!$AE$9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'[3]Avg Week Munyonyo-Kibuye-2Dir'!$R$10:$R$33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'[3]Avg Week Munyonyo-Kibuye-2Dir'!$AE$10:$AE$33</c:f>
              <c:numCache>
                <c:formatCode>General</c:formatCode>
                <c:ptCount val="24"/>
                <c:pt idx="0">
                  <c:v>621.28571428571422</c:v>
                </c:pt>
                <c:pt idx="1">
                  <c:v>748.57142857142844</c:v>
                </c:pt>
                <c:pt idx="2">
                  <c:v>658.71428571428578</c:v>
                </c:pt>
                <c:pt idx="3">
                  <c:v>581.57142857142844</c:v>
                </c:pt>
                <c:pt idx="4">
                  <c:v>522.21428571428567</c:v>
                </c:pt>
                <c:pt idx="5">
                  <c:v>470.28571428571433</c:v>
                </c:pt>
                <c:pt idx="6">
                  <c:v>483.57142857142867</c:v>
                </c:pt>
                <c:pt idx="7">
                  <c:v>488.28571428571433</c:v>
                </c:pt>
                <c:pt idx="8">
                  <c:v>506.85714285714283</c:v>
                </c:pt>
                <c:pt idx="9">
                  <c:v>611.99999999999989</c:v>
                </c:pt>
                <c:pt idx="10">
                  <c:v>630.14285714285711</c:v>
                </c:pt>
                <c:pt idx="11">
                  <c:v>617.42857142857156</c:v>
                </c:pt>
                <c:pt idx="12">
                  <c:v>735</c:v>
                </c:pt>
                <c:pt idx="13">
                  <c:v>1084.5</c:v>
                </c:pt>
                <c:pt idx="14">
                  <c:v>864.5</c:v>
                </c:pt>
                <c:pt idx="15">
                  <c:v>785.5</c:v>
                </c:pt>
                <c:pt idx="16">
                  <c:v>516.5</c:v>
                </c:pt>
                <c:pt idx="17">
                  <c:v>390</c:v>
                </c:pt>
                <c:pt idx="18">
                  <c:v>272.5</c:v>
                </c:pt>
                <c:pt idx="19">
                  <c:v>137</c:v>
                </c:pt>
                <c:pt idx="20">
                  <c:v>131</c:v>
                </c:pt>
                <c:pt idx="21">
                  <c:v>126.5</c:v>
                </c:pt>
                <c:pt idx="22">
                  <c:v>316.5</c:v>
                </c:pt>
                <c:pt idx="23">
                  <c:v>664.5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89-46B8-B11C-D537E8FDF64B}"/>
            </c:ext>
          </c:extLst>
        </c:ser>
        <c:ser>
          <c:idx val="1"/>
          <c:order val="1"/>
          <c:tx>
            <c:strRef>
              <c:f>'[3]Avg Week Munyonyo-Kibuye-2Dir'!$AF$9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'[3]Avg Week Munyonyo-Kibuye-2Dir'!$R$10:$R$33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'[3]Avg Week Munyonyo-Kibuye-2Dir'!$AF$10:$AF$33</c:f>
              <c:numCache>
                <c:formatCode>General</c:formatCode>
                <c:ptCount val="24"/>
                <c:pt idx="0">
                  <c:v>1746.5714285714284</c:v>
                </c:pt>
                <c:pt idx="1">
                  <c:v>2273.8571428571427</c:v>
                </c:pt>
                <c:pt idx="2">
                  <c:v>2017.2857142857142</c:v>
                </c:pt>
                <c:pt idx="3">
                  <c:v>1801.7142857142858</c:v>
                </c:pt>
                <c:pt idx="4">
                  <c:v>1631.6428571428573</c:v>
                </c:pt>
                <c:pt idx="5">
                  <c:v>1467.2857142857142</c:v>
                </c:pt>
                <c:pt idx="6">
                  <c:v>1385.1428571428573</c:v>
                </c:pt>
                <c:pt idx="7">
                  <c:v>1464.2857142857142</c:v>
                </c:pt>
                <c:pt idx="8">
                  <c:v>1444.5714285714284</c:v>
                </c:pt>
                <c:pt idx="9">
                  <c:v>1701.8571428571427</c:v>
                </c:pt>
                <c:pt idx="10">
                  <c:v>1739.2857142857142</c:v>
                </c:pt>
                <c:pt idx="11">
                  <c:v>1738.7142857142858</c:v>
                </c:pt>
                <c:pt idx="12">
                  <c:v>1959</c:v>
                </c:pt>
                <c:pt idx="13">
                  <c:v>2562.5</c:v>
                </c:pt>
                <c:pt idx="14">
                  <c:v>2220.5</c:v>
                </c:pt>
                <c:pt idx="15">
                  <c:v>1868</c:v>
                </c:pt>
                <c:pt idx="16">
                  <c:v>1396.5</c:v>
                </c:pt>
                <c:pt idx="17">
                  <c:v>1154</c:v>
                </c:pt>
                <c:pt idx="18">
                  <c:v>722.5</c:v>
                </c:pt>
                <c:pt idx="19">
                  <c:v>479</c:v>
                </c:pt>
                <c:pt idx="20">
                  <c:v>543.5</c:v>
                </c:pt>
                <c:pt idx="21">
                  <c:v>454.5</c:v>
                </c:pt>
                <c:pt idx="22">
                  <c:v>878</c:v>
                </c:pt>
                <c:pt idx="23">
                  <c:v>1300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C89-46B8-B11C-D537E8FDF64B}"/>
            </c:ext>
          </c:extLst>
        </c:ser>
        <c:ser>
          <c:idx val="5"/>
          <c:order val="2"/>
          <c:tx>
            <c:strRef>
              <c:f>'[3]Avg Week Munyonyo-Kibuye-2Dir'!$AC$9</c:f>
              <c:strCache>
                <c:ptCount val="1"/>
                <c:pt idx="0">
                  <c:v>11. Motorcycles</c:v>
                </c:pt>
              </c:strCache>
            </c:strRef>
          </c:tx>
          <c:val>
            <c:numRef>
              <c:f>'[3]Avg Week Munyonyo-Kibuye-2Dir'!$AC$10:$AC$33</c:f>
              <c:numCache>
                <c:formatCode>General</c:formatCode>
                <c:ptCount val="24"/>
                <c:pt idx="0">
                  <c:v>1125.2857142857142</c:v>
                </c:pt>
                <c:pt idx="1">
                  <c:v>1525.2857142857142</c:v>
                </c:pt>
                <c:pt idx="2">
                  <c:v>1358.5714285714284</c:v>
                </c:pt>
                <c:pt idx="3">
                  <c:v>1220.1428571428571</c:v>
                </c:pt>
                <c:pt idx="4">
                  <c:v>1109.4285714285716</c:v>
                </c:pt>
                <c:pt idx="5">
                  <c:v>997</c:v>
                </c:pt>
                <c:pt idx="6">
                  <c:v>901.57142857142856</c:v>
                </c:pt>
                <c:pt idx="7">
                  <c:v>976</c:v>
                </c:pt>
                <c:pt idx="8">
                  <c:v>937.71428571428578</c:v>
                </c:pt>
                <c:pt idx="9">
                  <c:v>1089.8571428571429</c:v>
                </c:pt>
                <c:pt idx="10">
                  <c:v>1109.1428571428571</c:v>
                </c:pt>
                <c:pt idx="11">
                  <c:v>1121.2857142857144</c:v>
                </c:pt>
                <c:pt idx="12">
                  <c:v>1224</c:v>
                </c:pt>
                <c:pt idx="13">
                  <c:v>1478</c:v>
                </c:pt>
                <c:pt idx="14">
                  <c:v>1356</c:v>
                </c:pt>
                <c:pt idx="15">
                  <c:v>1082.5</c:v>
                </c:pt>
                <c:pt idx="16">
                  <c:v>880</c:v>
                </c:pt>
                <c:pt idx="17">
                  <c:v>764</c:v>
                </c:pt>
                <c:pt idx="18">
                  <c:v>450</c:v>
                </c:pt>
                <c:pt idx="19">
                  <c:v>342</c:v>
                </c:pt>
                <c:pt idx="20">
                  <c:v>412.5</c:v>
                </c:pt>
                <c:pt idx="21">
                  <c:v>328</c:v>
                </c:pt>
                <c:pt idx="22">
                  <c:v>561.5</c:v>
                </c:pt>
                <c:pt idx="23">
                  <c:v>635.5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89-46B8-B11C-D537E8FDF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Munyonyo-Kigo-2Dir'!$S$9:$AF$9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Munyonyo-Kigo-2Dir'!$S$41:$AF$41</c:f>
              <c:numCache>
                <c:formatCode>_(* #,##0_);_(* \(#,##0\);_(* "-"_);_(@_)</c:formatCode>
                <c:ptCount val="14"/>
                <c:pt idx="0">
                  <c:v>202.42857142857144</c:v>
                </c:pt>
                <c:pt idx="1">
                  <c:v>59.142857142857139</c:v>
                </c:pt>
                <c:pt idx="2">
                  <c:v>34.857142857142854</c:v>
                </c:pt>
                <c:pt idx="3">
                  <c:v>41</c:v>
                </c:pt>
                <c:pt idx="4">
                  <c:v>0.2857142857142857</c:v>
                </c:pt>
                <c:pt idx="5">
                  <c:v>0.7857142857142857</c:v>
                </c:pt>
                <c:pt idx="6">
                  <c:v>22.071428571428569</c:v>
                </c:pt>
                <c:pt idx="7">
                  <c:v>5.0714285714285712</c:v>
                </c:pt>
                <c:pt idx="8">
                  <c:v>4.4285714285714288</c:v>
                </c:pt>
                <c:pt idx="9">
                  <c:v>0.8571428571428571</c:v>
                </c:pt>
                <c:pt idx="10">
                  <c:v>3064.2857142857142</c:v>
                </c:pt>
                <c:pt idx="11">
                  <c:v>0.14285714285714285</c:v>
                </c:pt>
                <c:pt idx="12">
                  <c:v>371.07142857142856</c:v>
                </c:pt>
                <c:pt idx="13">
                  <c:v>3435.3571428571431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BE-4147-B61D-593B13AA57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12.xml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20" Type="http://schemas.openxmlformats.org/officeDocument/2006/relationships/chart" Target="../charts/chart14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19" Type="http://schemas.openxmlformats.org/officeDocument/2006/relationships/chart" Target="../charts/chart13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18" Type="http://schemas.openxmlformats.org/officeDocument/2006/relationships/image" Target="../media/image13.jpeg"/><Relationship Id="rId3" Type="http://schemas.openxmlformats.org/officeDocument/2006/relationships/image" Target="../media/image2.emf"/><Relationship Id="rId21" Type="http://schemas.openxmlformats.org/officeDocument/2006/relationships/image" Target="../media/image12.jpeg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19.xml"/><Relationship Id="rId2" Type="http://schemas.openxmlformats.org/officeDocument/2006/relationships/image" Target="../media/image1.emf"/><Relationship Id="rId16" Type="http://schemas.openxmlformats.org/officeDocument/2006/relationships/chart" Target="../charts/chart18.xml"/><Relationship Id="rId20" Type="http://schemas.openxmlformats.org/officeDocument/2006/relationships/image" Target="../media/image11.jpeg"/><Relationship Id="rId1" Type="http://schemas.openxmlformats.org/officeDocument/2006/relationships/chart" Target="../charts/chart1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7.xml"/><Relationship Id="rId23" Type="http://schemas.openxmlformats.org/officeDocument/2006/relationships/chart" Target="../charts/chart21.xml"/><Relationship Id="rId10" Type="http://schemas.openxmlformats.org/officeDocument/2006/relationships/image" Target="../media/image9.jpeg"/><Relationship Id="rId19" Type="http://schemas.openxmlformats.org/officeDocument/2006/relationships/image" Target="../media/image10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6.xml"/><Relationship Id="rId22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8.png"/><Relationship Id="rId3" Type="http://schemas.openxmlformats.org/officeDocument/2006/relationships/image" Target="../media/image2.emf"/><Relationship Id="rId21" Type="http://schemas.openxmlformats.org/officeDocument/2006/relationships/chart" Target="../charts/chart48.xml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image" Target="../media/image17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20" Type="http://schemas.openxmlformats.org/officeDocument/2006/relationships/chart" Target="../charts/chart47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19" Type="http://schemas.openxmlformats.org/officeDocument/2006/relationships/image" Target="../media/image16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3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image" Target="../media/image19.jpeg"/><Relationship Id="rId2" Type="http://schemas.openxmlformats.org/officeDocument/2006/relationships/image" Target="../media/image1.emf"/><Relationship Id="rId16" Type="http://schemas.openxmlformats.org/officeDocument/2006/relationships/chart" Target="../charts/chart52.xml"/><Relationship Id="rId1" Type="http://schemas.openxmlformats.org/officeDocument/2006/relationships/chart" Target="../charts/chart4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1.xml"/><Relationship Id="rId10" Type="http://schemas.openxmlformats.org/officeDocument/2006/relationships/image" Target="../media/image9.jpeg"/><Relationship Id="rId19" Type="http://schemas.openxmlformats.org/officeDocument/2006/relationships/chart" Target="../charts/chart54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0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59.xml"/><Relationship Id="rId2" Type="http://schemas.openxmlformats.org/officeDocument/2006/relationships/image" Target="../media/image1.emf"/><Relationship Id="rId16" Type="http://schemas.openxmlformats.org/officeDocument/2006/relationships/chart" Target="../charts/chart58.xml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19" Type="http://schemas.openxmlformats.org/officeDocument/2006/relationships/chart" Target="../charts/chart61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7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66.xml"/><Relationship Id="rId2" Type="http://schemas.openxmlformats.org/officeDocument/2006/relationships/image" Target="../media/image1.emf"/><Relationship Id="rId16" Type="http://schemas.openxmlformats.org/officeDocument/2006/relationships/chart" Target="../charts/chart65.xml"/><Relationship Id="rId1" Type="http://schemas.openxmlformats.org/officeDocument/2006/relationships/chart" Target="../charts/chart6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4.xml"/><Relationship Id="rId10" Type="http://schemas.openxmlformats.org/officeDocument/2006/relationships/image" Target="../media/image9.jpeg"/><Relationship Id="rId19" Type="http://schemas.openxmlformats.org/officeDocument/2006/relationships/chart" Target="../charts/chart68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3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6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0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7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3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75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79.xml"/><Relationship Id="rId2" Type="http://schemas.openxmlformats.org/officeDocument/2006/relationships/image" Target="../media/image2.emf"/><Relationship Id="rId16" Type="http://schemas.openxmlformats.org/officeDocument/2006/relationships/chart" Target="../charts/chart78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77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7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44B2F4E-A58A-4C12-B5A5-4E70610A0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E1321D5-B3C3-44EA-AD8F-60225DDF50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96B17D1C-DDB6-42B1-A2F0-2DD8870FE9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CAAE63A-4DB4-425C-A5DB-AF43E5D728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9FFEBC42-8865-4B2D-8C4A-7791B4B98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EF570F0-ACBA-409F-B560-4419118BA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FF623C0-8423-497F-92EE-1A772FC3F5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9580B3A-F9FD-47A2-8F5C-09AC772C95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EE2B8B0-F85C-41D6-B0EF-6B64B6727C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30A017C-3B47-4C57-A03F-459F39CB1D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800C9E08-CA2F-4B1F-9BF9-423C25764F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44CC4CC-C176-4747-99DD-C286D8DA5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35FBA78-01DF-4BAA-A8E0-FAFB84F17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71EF7E6-E318-4D8A-A71F-4D3FCDF2A6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BE415D7-1470-4DFF-8FAC-C7C31FE8D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2DC7D14-2A0E-417B-AE58-C99B716E8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4E6D89E3-71B1-4B1F-9FA3-5B03E8EB2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48FCEF7-3333-409C-AEF8-678115344B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CFAADE60-6FA6-4F98-AF71-61B7C881A4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75BB755-B0D5-45C7-BD1C-4D68347423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D0299C6-F687-4055-9050-9CF4B980F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0D4286F-145C-4516-924C-3DC9FB615D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EBA47BD7-EAD1-4384-80A9-B5FA63C301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223B1D1-A4D4-40A8-A57B-4DA6F7DE64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CC9621A-82F2-4A4A-8D6E-AED48216EC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FA258F96-4053-4C46-A200-42698C9973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19261A9D-1B67-4F85-9493-7EDCF06FE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3677854-32B9-42F9-BDFC-36ABF89CA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6EEB65E-3F78-4768-A863-BB5BEC168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7C3589-63D5-4B6C-88C0-E7887844D4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7D3AFFF-6457-430E-A41F-76EAF4BBA5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DE8EE6E1-F943-4192-B7A8-B536B93256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71C97E0-AC33-4BAA-9E00-89627F17EF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11C93CD-1F74-4584-85AC-D1F7C2AD9E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5FD6939-DE3E-4BD0-BDD6-8E079E5F08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AED4396-1E6D-42AD-8F06-B0D164F209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D608D78-3B1F-4569-BFC8-69EE11522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BCD6A65-E768-409B-BDE8-284F38308E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5C99BC6-77B2-474F-9561-0D7EE2616D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35A05FE-55B3-4D61-A957-0AF175FC1B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C04D0D5D-BF0A-458F-BC02-7DF8D7584A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B25501E-0C54-4D72-8673-CBD592297E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02E9E7-F127-4C16-A95A-FD49146BA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A9C7F5D0-B9D0-4932-9CD4-95DE386E7D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5048516-3B10-4D5A-9042-D0D55E2752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80C61F3-4250-4689-B2C5-20E52134A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D104C51-508C-40FB-8DC2-5EFAECFC5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6E4F66D-1DD6-4F26-9B85-899E0740AB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1282CE7-1B8F-489A-A9AB-E2EB1D4A66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DC6ADF-8B2A-4145-BB60-20AD14AE7A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07C3838-E6A6-4E79-971E-C0E04C9308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4D7293A1-31B7-4BE0-A555-C46F15DE2F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CB1AE84-7ED0-4708-B58F-C617FEF65B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AA57E9A-C841-405E-BE54-9174DCFB7B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23AA4EB-38E4-43F3-8821-833353B92C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96C26862-ABB0-41AC-84CB-44E43305A4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DAC8AA1-66B1-43CA-A55A-D94E7C145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9DF9BDA-6BBC-4CC1-8022-AD7289469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A6FD4F7F-0E29-482A-A5B6-F8B71CF0B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5634B0E-2424-4500-8792-5F8C98267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973A520-4352-4913-B7CC-C52B20BB5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7D4958C-4EE3-4A3B-85E9-CE6DB53C7C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333C15A9-DBAC-41C3-95F7-A970C21582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914C83C-7416-442B-BF9C-6447F2E09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1DCE37C-71DC-4CFD-A0A2-A7D0898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C459BE2-22F1-4829-940B-822F940F3E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8AC4D9ED-E032-44C8-825A-5A6785984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FBE69B-1FB1-4E06-B85E-3D56CD91BE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D5315EE-0FB6-47EF-8D01-C2AF1A50DF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FD356AD-09CA-488E-A372-38CAD33D9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8A0E89B4-B6AB-413B-B060-CD5273D7BE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7BFC7D-E4F5-4F82-A02C-7313917CF3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052238B-DBDD-4E2D-BA22-91600BA5F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311EF7E-15DE-4E66-BAD2-0C2237E19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88D2F542-1139-4D1F-935C-778079C48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C25548A-2443-4D92-B0BD-880BED6DD0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F004B0E-DC7A-4666-8A37-C73496DD49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22FBA24E-85EE-437D-8587-1B68E0E533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47806B7-69D7-4E5E-9C81-CB73571564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6C0D410-E9DE-4F4D-A8FF-716E32434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AC809E1-5506-4C03-AB33-21EAD42E02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780A829-3953-4FFB-943F-E7202974B7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0818D94-1600-4759-A33B-1FD159C59C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129DD00-881D-465B-95BC-6383F77913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64338E-04AE-49A0-B4FD-BA6E296F4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B351956A-230A-4927-91D2-80725623C4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DF18032-4318-4953-B303-D8EA5FCF4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D4EA8FB-9867-49F9-ADC4-1407D8BD3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48C68E5-5E9C-410A-A657-8F45DADA90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BBC2422-55D2-4D47-AD03-7868F11A8E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22224</xdr:rowOff>
    </xdr:from>
    <xdr:to>
      <xdr:col>28</xdr:col>
      <xdr:colOff>0</xdr:colOff>
      <xdr:row>57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57</xdr:row>
      <xdr:rowOff>279400</xdr:rowOff>
    </xdr:from>
    <xdr:to>
      <xdr:col>23</xdr:col>
      <xdr:colOff>15875</xdr:colOff>
      <xdr:row>72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58</xdr:row>
      <xdr:rowOff>0</xdr:rowOff>
    </xdr:from>
    <xdr:to>
      <xdr:col>31</xdr:col>
      <xdr:colOff>15875</xdr:colOff>
      <xdr:row>72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22225</xdr:rowOff>
    </xdr:from>
    <xdr:to>
      <xdr:col>28</xdr:col>
      <xdr:colOff>0</xdr:colOff>
      <xdr:row>57</xdr:row>
      <xdr:rowOff>31751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142875</xdr:colOff>
      <xdr:row>58</xdr:row>
      <xdr:rowOff>9525</xdr:rowOff>
    </xdr:from>
    <xdr:to>
      <xdr:col>23</xdr:col>
      <xdr:colOff>0</xdr:colOff>
      <xdr:row>71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698501</xdr:colOff>
      <xdr:row>57</xdr:row>
      <xdr:rowOff>269877</xdr:rowOff>
    </xdr:from>
    <xdr:to>
      <xdr:col>31</xdr:col>
      <xdr:colOff>1</xdr:colOff>
      <xdr:row>72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263525</xdr:rowOff>
    </xdr:from>
    <xdr:to>
      <xdr:col>23</xdr:col>
      <xdr:colOff>698499</xdr:colOff>
      <xdr:row>73</xdr:row>
      <xdr:rowOff>63500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</xdr:colOff>
      <xdr:row>73</xdr:row>
      <xdr:rowOff>63501</xdr:rowOff>
    </xdr:from>
    <xdr:to>
      <xdr:col>23</xdr:col>
      <xdr:colOff>698501</xdr:colOff>
      <xdr:row>88</xdr:row>
      <xdr:rowOff>269874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58</xdr:row>
      <xdr:rowOff>271462</xdr:rowOff>
    </xdr:from>
    <xdr:to>
      <xdr:col>31</xdr:col>
      <xdr:colOff>63500</xdr:colOff>
      <xdr:row>73</xdr:row>
      <xdr:rowOff>63500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9EED3A3-82DB-4140-8DA6-1ECBD157F0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</xdr:colOff>
      <xdr:row>43</xdr:row>
      <xdr:rowOff>0</xdr:rowOff>
    </xdr:from>
    <xdr:to>
      <xdr:col>28</xdr:col>
      <xdr:colOff>15875</xdr:colOff>
      <xdr:row>59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9C148C67-7152-4CA3-9B65-25FAA7088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0</xdr:colOff>
      <xdr:row>73</xdr:row>
      <xdr:rowOff>47625</xdr:rowOff>
    </xdr:from>
    <xdr:to>
      <xdr:col>31</xdr:col>
      <xdr:colOff>63500</xdr:colOff>
      <xdr:row>88</xdr:row>
      <xdr:rowOff>269875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D6DE9E6-7591-433A-AF4C-659A0DD50A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24.09\MCC-C2-STNO%2057%20-Munyonyo%20-Kigo%20R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Preliminary%20Data%20For%20Review\EDMP-1.10%20ELIZABETH\MCC-C2-STNO%2057%20-Kigo%20RD-LIZ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EDMP\EDMP%20Analysis\STN-C1-RD-1A-SALAMA%20ROAD\MCC%20DATA\MCC-C1-STN1A-%20SALAM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4.09.19 -Munyonyo-Kigo"/>
      <sheetName val="24.09.19 -Kigo-Munyonyo"/>
      <sheetName val="23.07 Kibuye-Makindye"/>
      <sheetName val="23.07 Makindye-Kibuye"/>
      <sheetName val="24.07 Kibuye-Makindye"/>
      <sheetName val="24.07 Makindye-Kibuye"/>
      <sheetName val="25.07 Kibuye-Makindye"/>
      <sheetName val="25.07 Makindye-Kibuye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MCC-C2-STNO 57 KIGO RD</v>
          </cell>
        </row>
        <row r="5">
          <cell r="G5" t="str">
            <v>KIGO RD</v>
          </cell>
        </row>
        <row r="6">
          <cell r="K6" t="str">
            <v>Beatrice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18</v>
          </cell>
          <cell r="AF10">
            <v>136</v>
          </cell>
        </row>
        <row r="11">
          <cell r="R11" t="str">
            <v>0800-0900</v>
          </cell>
          <cell r="AE11">
            <v>20</v>
          </cell>
          <cell r="AF11">
            <v>110</v>
          </cell>
        </row>
        <row r="12">
          <cell r="R12" t="str">
            <v>0900-1000</v>
          </cell>
          <cell r="AE12">
            <v>6</v>
          </cell>
          <cell r="AF12">
            <v>67</v>
          </cell>
        </row>
        <row r="13">
          <cell r="R13" t="str">
            <v>1000-1100</v>
          </cell>
          <cell r="AE13">
            <v>12</v>
          </cell>
          <cell r="AF13">
            <v>85</v>
          </cell>
        </row>
        <row r="14">
          <cell r="R14" t="str">
            <v>1100-1200</v>
          </cell>
          <cell r="AE14">
            <v>6</v>
          </cell>
          <cell r="AF14">
            <v>88</v>
          </cell>
        </row>
        <row r="15">
          <cell r="R15" t="str">
            <v>1200-1300</v>
          </cell>
          <cell r="AE15">
            <v>12</v>
          </cell>
          <cell r="AF15">
            <v>98</v>
          </cell>
        </row>
        <row r="16">
          <cell r="R16" t="str">
            <v>1300-1400</v>
          </cell>
          <cell r="AE16">
            <v>4</v>
          </cell>
          <cell r="AF16">
            <v>56</v>
          </cell>
        </row>
        <row r="17">
          <cell r="R17" t="str">
            <v>1400-1500</v>
          </cell>
          <cell r="AE17">
            <v>9</v>
          </cell>
          <cell r="AF17">
            <v>68</v>
          </cell>
        </row>
        <row r="18">
          <cell r="R18" t="str">
            <v>1500-1600</v>
          </cell>
          <cell r="AE18">
            <v>16</v>
          </cell>
          <cell r="AF18">
            <v>72</v>
          </cell>
        </row>
        <row r="19">
          <cell r="R19" t="str">
            <v>1600-1700</v>
          </cell>
          <cell r="AE19">
            <v>18</v>
          </cell>
          <cell r="AF19">
            <v>86</v>
          </cell>
        </row>
        <row r="20">
          <cell r="R20" t="str">
            <v>1700-1800</v>
          </cell>
          <cell r="AE20">
            <v>22</v>
          </cell>
          <cell r="AF20">
            <v>107</v>
          </cell>
        </row>
        <row r="21">
          <cell r="R21" t="str">
            <v>1800-1900</v>
          </cell>
          <cell r="AE21">
            <v>18</v>
          </cell>
          <cell r="AF21">
            <v>119</v>
          </cell>
        </row>
        <row r="59">
          <cell r="C59">
            <v>6.95970695970696E-2</v>
          </cell>
          <cell r="D59">
            <v>2.8388278388278388E-2</v>
          </cell>
          <cell r="E59">
            <v>1.1904761904761904E-2</v>
          </cell>
          <cell r="F59">
            <v>1.9230769230769232E-2</v>
          </cell>
          <cell r="G59">
            <v>0</v>
          </cell>
          <cell r="H59">
            <v>0</v>
          </cell>
          <cell r="I59">
            <v>1.1904761904761904E-2</v>
          </cell>
          <cell r="J59">
            <v>0</v>
          </cell>
          <cell r="K59">
            <v>6.41025641025641E-3</v>
          </cell>
          <cell r="L59">
            <v>0</v>
          </cell>
          <cell r="M59">
            <v>0.85256410256410253</v>
          </cell>
          <cell r="N59">
            <v>0</v>
          </cell>
        </row>
        <row r="60">
          <cell r="C60">
            <v>0.47204968944099379</v>
          </cell>
          <cell r="D60">
            <v>0.19254658385093168</v>
          </cell>
          <cell r="E60">
            <v>8.0745341614906832E-2</v>
          </cell>
          <cell r="F60">
            <v>0.13043478260869565</v>
          </cell>
          <cell r="G60">
            <v>0</v>
          </cell>
          <cell r="H60">
            <v>0</v>
          </cell>
          <cell r="I60">
            <v>8.0745341614906832E-2</v>
          </cell>
          <cell r="J60">
            <v>0</v>
          </cell>
          <cell r="K60">
            <v>4.3478260869565216E-2</v>
          </cell>
          <cell r="L60">
            <v>0</v>
          </cell>
          <cell r="N60">
            <v>0</v>
          </cell>
        </row>
      </sheetData>
      <sheetData sheetId="1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</v>
          </cell>
          <cell r="AF10">
            <v>125</v>
          </cell>
        </row>
        <row r="11">
          <cell r="R11" t="str">
            <v>0800-0900</v>
          </cell>
          <cell r="AE11">
            <v>3</v>
          </cell>
          <cell r="AF11">
            <v>109</v>
          </cell>
        </row>
        <row r="12">
          <cell r="R12" t="str">
            <v>0900-1000</v>
          </cell>
          <cell r="AE12">
            <v>8</v>
          </cell>
          <cell r="AF12">
            <v>77</v>
          </cell>
        </row>
        <row r="13">
          <cell r="R13" t="str">
            <v>1000-1100</v>
          </cell>
          <cell r="AE13">
            <v>0</v>
          </cell>
          <cell r="AF13">
            <v>69</v>
          </cell>
        </row>
        <row r="14">
          <cell r="R14" t="str">
            <v>1100-1200</v>
          </cell>
          <cell r="AE14">
            <v>4</v>
          </cell>
          <cell r="AF14">
            <v>80</v>
          </cell>
        </row>
        <row r="15">
          <cell r="R15" t="str">
            <v>1200-1300</v>
          </cell>
          <cell r="AE15">
            <v>4</v>
          </cell>
          <cell r="AF15">
            <v>64</v>
          </cell>
        </row>
        <row r="16">
          <cell r="R16" t="str">
            <v>1300-1400</v>
          </cell>
          <cell r="AE16">
            <v>2</v>
          </cell>
          <cell r="AF16">
            <v>42</v>
          </cell>
        </row>
        <row r="17">
          <cell r="R17" t="str">
            <v>1400-1500</v>
          </cell>
          <cell r="AE17">
            <v>1</v>
          </cell>
          <cell r="AF17">
            <v>55</v>
          </cell>
        </row>
        <row r="18">
          <cell r="R18" t="str">
            <v>1500-1600</v>
          </cell>
          <cell r="AE18">
            <v>2</v>
          </cell>
          <cell r="AF18">
            <v>49</v>
          </cell>
        </row>
        <row r="19">
          <cell r="R19" t="str">
            <v>1600-1700</v>
          </cell>
          <cell r="AE19">
            <v>1</v>
          </cell>
          <cell r="AF19">
            <v>73</v>
          </cell>
        </row>
        <row r="20">
          <cell r="R20" t="str">
            <v>1700-1800</v>
          </cell>
          <cell r="AE20">
            <v>4</v>
          </cell>
          <cell r="AF20">
            <v>79</v>
          </cell>
        </row>
        <row r="21">
          <cell r="R21" t="str">
            <v>1800-1900</v>
          </cell>
          <cell r="AE21">
            <v>4</v>
          </cell>
          <cell r="AF21">
            <v>96</v>
          </cell>
        </row>
        <row r="59">
          <cell r="C59">
            <v>1.6339869281045753E-2</v>
          </cell>
          <cell r="D59">
            <v>9.8039215686274508E-3</v>
          </cell>
          <cell r="E59">
            <v>2.1786492374727671E-3</v>
          </cell>
          <cell r="F59">
            <v>5.4466230936819175E-3</v>
          </cell>
          <cell r="G59">
            <v>1.0893246187363835E-3</v>
          </cell>
          <cell r="H59">
            <v>0</v>
          </cell>
          <cell r="I59">
            <v>3.2679738562091504E-3</v>
          </cell>
          <cell r="J59">
            <v>1.0893246187363835E-3</v>
          </cell>
          <cell r="K59">
            <v>0</v>
          </cell>
          <cell r="L59">
            <v>0</v>
          </cell>
          <cell r="M59">
            <v>0.96078431372549022</v>
          </cell>
          <cell r="N59">
            <v>0</v>
          </cell>
        </row>
        <row r="60">
          <cell r="C60">
            <v>0.41666666666666669</v>
          </cell>
          <cell r="D60">
            <v>0.25</v>
          </cell>
          <cell r="E60">
            <v>5.5555555555555552E-2</v>
          </cell>
          <cell r="F60">
            <v>0.1388888888888889</v>
          </cell>
          <cell r="G60">
            <v>2.7777777777777776E-2</v>
          </cell>
          <cell r="H60">
            <v>0</v>
          </cell>
          <cell r="I60">
            <v>8.3333333333333329E-2</v>
          </cell>
          <cell r="J60">
            <v>2.7777777777777776E-2</v>
          </cell>
          <cell r="K60">
            <v>0</v>
          </cell>
          <cell r="L60">
            <v>0</v>
          </cell>
          <cell r="N6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19 -Munyonyo-Kigo"/>
      <sheetName val="23.09.19 -Kigo-Munyonyo"/>
      <sheetName val="24.09 Munyonyo-Kigo"/>
      <sheetName val="24.09 Kigo-Munyonyo"/>
      <sheetName val="25.09 Munyonyo-Kigo"/>
      <sheetName val="25.09 Kigo-Munyonyo"/>
      <sheetName val="25.07 Kibuye-Makindye"/>
      <sheetName val="25.07 Makindye-Kibuye"/>
      <sheetName val="28.09 LWEZA-MUNYONYO-24h"/>
      <sheetName val="28.09 MUNYONYO-LWEZA-24h"/>
      <sheetName val="29.09 LWEZA-MUNYONYO"/>
      <sheetName val="29.09 MUNYONYO-LWEZA"/>
      <sheetName val="27.07 Kbuye-Makindye-24h"/>
      <sheetName val="27.07 Makindye-Kibuye-24h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MCC-C2-STNO 57-KIGO RD</v>
          </cell>
        </row>
        <row r="6">
          <cell r="D6" t="str">
            <v>MUNYONYO</v>
          </cell>
        </row>
      </sheetData>
      <sheetData sheetId="1">
        <row r="3">
          <cell r="C3" t="str">
            <v>MCC-C2-STNO 57-KIGO RD</v>
          </cell>
        </row>
        <row r="6">
          <cell r="G6" t="str">
            <v>MUNYONYO</v>
          </cell>
        </row>
      </sheetData>
      <sheetData sheetId="2"/>
      <sheetData sheetId="3">
        <row r="6">
          <cell r="G6" t="str">
            <v>MUNYONYO</v>
          </cell>
        </row>
      </sheetData>
      <sheetData sheetId="4"/>
      <sheetData sheetId="5"/>
      <sheetData sheetId="6"/>
      <sheetData sheetId="7">
        <row r="5">
          <cell r="G5" t="str">
            <v>LWEZA KAMUCHANGA</v>
          </cell>
          <cell r="K5" t="str">
            <v>Racheal</v>
          </cell>
        </row>
        <row r="6">
          <cell r="K6" t="str">
            <v>Beatrice</v>
          </cell>
        </row>
      </sheetData>
      <sheetData sheetId="8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0</v>
          </cell>
          <cell r="AF10">
            <v>129</v>
          </cell>
        </row>
        <row r="11">
          <cell r="R11" t="str">
            <v>0800-0900</v>
          </cell>
          <cell r="AE11">
            <v>0</v>
          </cell>
          <cell r="AF11">
            <v>81</v>
          </cell>
        </row>
        <row r="12">
          <cell r="R12" t="str">
            <v>0900-1000</v>
          </cell>
          <cell r="AE12">
            <v>5</v>
          </cell>
          <cell r="AF12">
            <v>88</v>
          </cell>
        </row>
        <row r="13">
          <cell r="R13" t="str">
            <v>1000-1100</v>
          </cell>
          <cell r="AE13">
            <v>1</v>
          </cell>
          <cell r="AF13">
            <v>73</v>
          </cell>
        </row>
        <row r="14">
          <cell r="R14" t="str">
            <v>1100-1200</v>
          </cell>
          <cell r="AE14">
            <v>4</v>
          </cell>
          <cell r="AF14">
            <v>99</v>
          </cell>
        </row>
        <row r="15">
          <cell r="R15" t="str">
            <v>1200-1300</v>
          </cell>
          <cell r="AE15">
            <v>1</v>
          </cell>
          <cell r="AF15">
            <v>51</v>
          </cell>
        </row>
        <row r="16">
          <cell r="R16" t="str">
            <v>1300-1400</v>
          </cell>
          <cell r="AE16">
            <v>6</v>
          </cell>
          <cell r="AF16">
            <v>71</v>
          </cell>
        </row>
        <row r="17">
          <cell r="R17" t="str">
            <v>1400-1500</v>
          </cell>
          <cell r="AE17">
            <v>6</v>
          </cell>
          <cell r="AF17">
            <v>46</v>
          </cell>
        </row>
        <row r="18">
          <cell r="R18" t="str">
            <v>1500-1600</v>
          </cell>
          <cell r="AE18">
            <v>3</v>
          </cell>
          <cell r="AF18">
            <v>44</v>
          </cell>
        </row>
        <row r="19">
          <cell r="R19" t="str">
            <v>1600-1700</v>
          </cell>
          <cell r="AE19">
            <v>5</v>
          </cell>
          <cell r="AF19">
            <v>77</v>
          </cell>
        </row>
        <row r="20">
          <cell r="R20" t="str">
            <v>1700-1800</v>
          </cell>
          <cell r="AE20">
            <v>1</v>
          </cell>
          <cell r="AF20">
            <v>84</v>
          </cell>
        </row>
        <row r="21">
          <cell r="R21" t="str">
            <v>1800-1900</v>
          </cell>
          <cell r="AE21">
            <v>5</v>
          </cell>
          <cell r="AF21">
            <v>85</v>
          </cell>
        </row>
        <row r="22">
          <cell r="R22" t="str">
            <v>1900-2000</v>
          </cell>
          <cell r="AE22">
            <v>0</v>
          </cell>
          <cell r="AF22">
            <v>93</v>
          </cell>
        </row>
        <row r="23">
          <cell r="R23" t="str">
            <v>2000-2100</v>
          </cell>
          <cell r="AE23">
            <v>1</v>
          </cell>
          <cell r="AF23">
            <v>86</v>
          </cell>
        </row>
        <row r="24">
          <cell r="R24" t="str">
            <v>2100-2200</v>
          </cell>
          <cell r="AE24">
            <v>2</v>
          </cell>
          <cell r="AF24">
            <v>94</v>
          </cell>
        </row>
        <row r="25">
          <cell r="R25" t="str">
            <v>2200-2300</v>
          </cell>
          <cell r="AE25">
            <v>2</v>
          </cell>
          <cell r="AF25">
            <v>80</v>
          </cell>
        </row>
        <row r="26">
          <cell r="R26" t="str">
            <v>2300-0000</v>
          </cell>
          <cell r="AE26">
            <v>2</v>
          </cell>
          <cell r="AF26">
            <v>54</v>
          </cell>
        </row>
        <row r="27">
          <cell r="R27" t="str">
            <v>0000-0100</v>
          </cell>
          <cell r="AE27">
            <v>2</v>
          </cell>
          <cell r="AF27">
            <v>29</v>
          </cell>
        </row>
        <row r="28">
          <cell r="R28" t="str">
            <v>0100-0200</v>
          </cell>
          <cell r="AE28">
            <v>0</v>
          </cell>
          <cell r="AF28">
            <v>20</v>
          </cell>
        </row>
        <row r="29">
          <cell r="R29" t="str">
            <v>0200-0300</v>
          </cell>
          <cell r="AE29">
            <v>1</v>
          </cell>
          <cell r="AF29">
            <v>7</v>
          </cell>
        </row>
        <row r="30">
          <cell r="R30" t="str">
            <v>0300-0400</v>
          </cell>
          <cell r="AE30">
            <v>1</v>
          </cell>
          <cell r="AF30">
            <v>9</v>
          </cell>
        </row>
        <row r="31">
          <cell r="R31" t="str">
            <v>0400-0500</v>
          </cell>
          <cell r="AE31">
            <v>1</v>
          </cell>
          <cell r="AF31">
            <v>9</v>
          </cell>
        </row>
        <row r="32">
          <cell r="R32" t="str">
            <v>0500-0600</v>
          </cell>
          <cell r="AE32">
            <v>1</v>
          </cell>
          <cell r="AF32">
            <v>12</v>
          </cell>
        </row>
        <row r="33">
          <cell r="R33" t="str">
            <v>0600-0700</v>
          </cell>
          <cell r="AE33">
            <v>0</v>
          </cell>
          <cell r="AF33">
            <v>43</v>
          </cell>
        </row>
        <row r="107">
          <cell r="C107">
            <v>2.0491803278688523E-2</v>
          </cell>
          <cell r="D107">
            <v>6.1475409836065573E-3</v>
          </cell>
          <cell r="E107">
            <v>4.0983606557377051E-3</v>
          </cell>
          <cell r="F107">
            <v>1.366120218579235E-3</v>
          </cell>
          <cell r="G107">
            <v>0</v>
          </cell>
          <cell r="H107">
            <v>6.8306010928961749E-4</v>
          </cell>
          <cell r="I107">
            <v>1.366120218579235E-3</v>
          </cell>
          <cell r="J107">
            <v>0</v>
          </cell>
          <cell r="K107">
            <v>0</v>
          </cell>
          <cell r="L107">
            <v>0</v>
          </cell>
          <cell r="M107">
            <v>0.96584699453551914</v>
          </cell>
          <cell r="N107">
            <v>0</v>
          </cell>
        </row>
        <row r="108">
          <cell r="C108">
            <v>0.6</v>
          </cell>
          <cell r="D108">
            <v>0.18</v>
          </cell>
          <cell r="E108">
            <v>0.12</v>
          </cell>
          <cell r="F108">
            <v>0.04</v>
          </cell>
          <cell r="G108">
            <v>0</v>
          </cell>
          <cell r="H108">
            <v>0.02</v>
          </cell>
          <cell r="I108">
            <v>0.04</v>
          </cell>
          <cell r="J108">
            <v>0</v>
          </cell>
          <cell r="K108">
            <v>0</v>
          </cell>
          <cell r="L108">
            <v>0</v>
          </cell>
          <cell r="N108">
            <v>0</v>
          </cell>
        </row>
      </sheetData>
      <sheetData sheetId="9">
        <row r="5">
          <cell r="G5" t="str">
            <v>LWEZA KAMUCHANGA</v>
          </cell>
          <cell r="K5" t="str">
            <v>Racheal</v>
          </cell>
        </row>
        <row r="6">
          <cell r="K6" t="str">
            <v>Beatrice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109</v>
          </cell>
          <cell r="AF10">
            <v>109</v>
          </cell>
        </row>
        <row r="11">
          <cell r="R11" t="str">
            <v>0800-0900</v>
          </cell>
          <cell r="AE11">
            <v>119</v>
          </cell>
          <cell r="AF11">
            <v>119</v>
          </cell>
        </row>
        <row r="12">
          <cell r="R12" t="str">
            <v>0900-1000</v>
          </cell>
          <cell r="AE12">
            <v>107</v>
          </cell>
          <cell r="AF12">
            <v>107</v>
          </cell>
        </row>
        <row r="13">
          <cell r="R13" t="str">
            <v>1000-1100</v>
          </cell>
          <cell r="AE13">
            <v>99</v>
          </cell>
          <cell r="AF13">
            <v>99</v>
          </cell>
        </row>
        <row r="14">
          <cell r="R14" t="str">
            <v>1100-1200</v>
          </cell>
          <cell r="AE14">
            <v>123</v>
          </cell>
          <cell r="AF14">
            <v>123</v>
          </cell>
        </row>
        <row r="15">
          <cell r="R15" t="str">
            <v>1200-1300</v>
          </cell>
          <cell r="AE15">
            <v>92</v>
          </cell>
          <cell r="AF15">
            <v>92</v>
          </cell>
        </row>
        <row r="16">
          <cell r="R16" t="str">
            <v>1300-1400</v>
          </cell>
          <cell r="AE16">
            <v>90</v>
          </cell>
          <cell r="AF16">
            <v>90</v>
          </cell>
        </row>
        <row r="17">
          <cell r="R17" t="str">
            <v>1400-1500</v>
          </cell>
          <cell r="AE17">
            <v>63</v>
          </cell>
          <cell r="AF17">
            <v>63</v>
          </cell>
        </row>
        <row r="18">
          <cell r="R18" t="str">
            <v>1500-1600</v>
          </cell>
          <cell r="AE18">
            <v>114</v>
          </cell>
          <cell r="AF18">
            <v>114</v>
          </cell>
        </row>
        <row r="19">
          <cell r="R19" t="str">
            <v>1600-1700</v>
          </cell>
          <cell r="AE19">
            <v>124</v>
          </cell>
          <cell r="AF19">
            <v>124</v>
          </cell>
        </row>
        <row r="20">
          <cell r="R20" t="str">
            <v>1700-1800</v>
          </cell>
          <cell r="AE20">
            <v>105</v>
          </cell>
          <cell r="AF20">
            <v>105</v>
          </cell>
        </row>
        <row r="21">
          <cell r="R21" t="str">
            <v>1800-1900</v>
          </cell>
          <cell r="AE21">
            <v>107</v>
          </cell>
          <cell r="AF21">
            <v>107</v>
          </cell>
        </row>
        <row r="22">
          <cell r="R22" t="str">
            <v>1900-2000</v>
          </cell>
          <cell r="AE22">
            <v>137</v>
          </cell>
          <cell r="AF22">
            <v>137</v>
          </cell>
        </row>
        <row r="23">
          <cell r="R23" t="str">
            <v>2000-2100</v>
          </cell>
          <cell r="AE23">
            <v>154</v>
          </cell>
          <cell r="AF23">
            <v>154</v>
          </cell>
        </row>
        <row r="24">
          <cell r="R24" t="str">
            <v>2100-2200</v>
          </cell>
          <cell r="AE24">
            <v>134</v>
          </cell>
          <cell r="AF24">
            <v>134</v>
          </cell>
        </row>
        <row r="25">
          <cell r="R25" t="str">
            <v>2200-2300</v>
          </cell>
          <cell r="AE25">
            <v>135</v>
          </cell>
          <cell r="AF25">
            <v>135</v>
          </cell>
        </row>
        <row r="26">
          <cell r="R26" t="str">
            <v>2300-0000</v>
          </cell>
          <cell r="AE26">
            <v>79</v>
          </cell>
          <cell r="AF26">
            <v>79</v>
          </cell>
        </row>
        <row r="27">
          <cell r="R27" t="str">
            <v>0000-0100</v>
          </cell>
          <cell r="AE27">
            <v>39</v>
          </cell>
          <cell r="AF27">
            <v>39</v>
          </cell>
        </row>
        <row r="28">
          <cell r="R28" t="str">
            <v>0100-0200</v>
          </cell>
          <cell r="AE28">
            <v>23</v>
          </cell>
          <cell r="AF28">
            <v>23</v>
          </cell>
        </row>
        <row r="29">
          <cell r="R29" t="str">
            <v>0200-0300</v>
          </cell>
          <cell r="AE29">
            <v>7</v>
          </cell>
          <cell r="AF29">
            <v>7</v>
          </cell>
        </row>
        <row r="30">
          <cell r="R30" t="str">
            <v>0300-0400</v>
          </cell>
          <cell r="AE30">
            <v>10</v>
          </cell>
          <cell r="AF30">
            <v>10</v>
          </cell>
        </row>
        <row r="31">
          <cell r="R31" t="str">
            <v>0400-0500</v>
          </cell>
          <cell r="AE31">
            <v>17</v>
          </cell>
          <cell r="AF31">
            <v>17</v>
          </cell>
        </row>
        <row r="32">
          <cell r="R32" t="str">
            <v>0500-0600</v>
          </cell>
          <cell r="AE32">
            <v>10</v>
          </cell>
          <cell r="AF32">
            <v>10</v>
          </cell>
        </row>
        <row r="33">
          <cell r="R33" t="str">
            <v>0600-0700</v>
          </cell>
          <cell r="AE33">
            <v>51</v>
          </cell>
          <cell r="AF33">
            <v>51</v>
          </cell>
        </row>
        <row r="107">
          <cell r="C107">
            <v>8.88671875E-2</v>
          </cell>
          <cell r="D107">
            <v>1.904296875E-2</v>
          </cell>
          <cell r="E107">
            <v>1.318359375E-2</v>
          </cell>
          <cell r="F107">
            <v>1.171875E-2</v>
          </cell>
          <cell r="G107">
            <v>0</v>
          </cell>
          <cell r="H107">
            <v>0</v>
          </cell>
          <cell r="I107">
            <v>6.34765625E-3</v>
          </cell>
          <cell r="J107">
            <v>9.765625E-4</v>
          </cell>
          <cell r="K107">
            <v>4.8828125E-4</v>
          </cell>
          <cell r="L107">
            <v>0</v>
          </cell>
          <cell r="M107">
            <v>0</v>
          </cell>
          <cell r="N107">
            <v>0.859375</v>
          </cell>
        </row>
        <row r="108">
          <cell r="C108">
            <v>8.88671875E-2</v>
          </cell>
          <cell r="D108">
            <v>1.904296875E-2</v>
          </cell>
          <cell r="E108">
            <v>1.318359375E-2</v>
          </cell>
          <cell r="F108">
            <v>1.171875E-2</v>
          </cell>
          <cell r="G108">
            <v>0</v>
          </cell>
          <cell r="H108">
            <v>0</v>
          </cell>
          <cell r="I108">
            <v>6.34765625E-3</v>
          </cell>
          <cell r="J108">
            <v>9.765625E-4</v>
          </cell>
          <cell r="K108">
            <v>4.8828125E-4</v>
          </cell>
          <cell r="L108">
            <v>0</v>
          </cell>
          <cell r="N108">
            <v>0.859375</v>
          </cell>
        </row>
      </sheetData>
      <sheetData sheetId="10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0</v>
          </cell>
          <cell r="AF10">
            <v>65</v>
          </cell>
        </row>
        <row r="11">
          <cell r="R11" t="str">
            <v>0800-0900</v>
          </cell>
          <cell r="AE11">
            <v>2</v>
          </cell>
          <cell r="AF11">
            <v>90</v>
          </cell>
        </row>
        <row r="12">
          <cell r="R12" t="str">
            <v>0900-1000</v>
          </cell>
          <cell r="AE12">
            <v>4</v>
          </cell>
          <cell r="AF12">
            <v>61</v>
          </cell>
        </row>
        <row r="13">
          <cell r="R13" t="str">
            <v>1000-1100</v>
          </cell>
          <cell r="AE13">
            <v>7</v>
          </cell>
          <cell r="AF13">
            <v>110</v>
          </cell>
        </row>
        <row r="14">
          <cell r="R14" t="str">
            <v>1100-1200</v>
          </cell>
          <cell r="AE14">
            <v>4</v>
          </cell>
          <cell r="AF14">
            <v>115</v>
          </cell>
        </row>
        <row r="15">
          <cell r="R15" t="str">
            <v>1200-1300</v>
          </cell>
          <cell r="AE15">
            <v>7</v>
          </cell>
          <cell r="AF15">
            <v>68</v>
          </cell>
        </row>
        <row r="16">
          <cell r="R16" t="str">
            <v>1300-1400</v>
          </cell>
          <cell r="AE16">
            <v>2</v>
          </cell>
          <cell r="AF16">
            <v>56</v>
          </cell>
        </row>
        <row r="17">
          <cell r="R17" t="str">
            <v>1400-1500</v>
          </cell>
          <cell r="AE17">
            <v>5</v>
          </cell>
          <cell r="AF17">
            <v>86</v>
          </cell>
        </row>
        <row r="18">
          <cell r="R18" t="str">
            <v>1500-1600</v>
          </cell>
          <cell r="AE18">
            <v>5</v>
          </cell>
          <cell r="AF18">
            <v>67</v>
          </cell>
        </row>
        <row r="19">
          <cell r="R19" t="str">
            <v>1600-1700</v>
          </cell>
          <cell r="AE19">
            <v>7</v>
          </cell>
          <cell r="AF19">
            <v>101</v>
          </cell>
        </row>
        <row r="20">
          <cell r="R20" t="str">
            <v>1700-1800</v>
          </cell>
          <cell r="AE20">
            <v>3</v>
          </cell>
          <cell r="AF20">
            <v>81</v>
          </cell>
        </row>
        <row r="21">
          <cell r="R21" t="str">
            <v>1800-1900</v>
          </cell>
          <cell r="AE21">
            <v>11</v>
          </cell>
          <cell r="AF21">
            <v>103</v>
          </cell>
        </row>
        <row r="59">
          <cell r="C59">
            <v>1.794616151545364E-2</v>
          </cell>
          <cell r="D59">
            <v>2.1934197407776669E-2</v>
          </cell>
          <cell r="E59">
            <v>5.9820538384845467E-3</v>
          </cell>
          <cell r="F59">
            <v>2.9910269192422734E-3</v>
          </cell>
          <cell r="G59">
            <v>0</v>
          </cell>
          <cell r="H59">
            <v>0</v>
          </cell>
          <cell r="I59">
            <v>4.9850448654037887E-3</v>
          </cell>
          <cell r="J59">
            <v>9.9700897308075765E-4</v>
          </cell>
          <cell r="K59">
            <v>1.9940179461615153E-3</v>
          </cell>
          <cell r="L59">
            <v>0</v>
          </cell>
          <cell r="M59">
            <v>0.94317048853439678</v>
          </cell>
          <cell r="N59">
            <v>0</v>
          </cell>
        </row>
        <row r="60">
          <cell r="C60">
            <v>0.31578947368421051</v>
          </cell>
          <cell r="D60">
            <v>0.38596491228070173</v>
          </cell>
          <cell r="E60">
            <v>0.10526315789473684</v>
          </cell>
          <cell r="F60">
            <v>5.2631578947368418E-2</v>
          </cell>
          <cell r="G60">
            <v>0</v>
          </cell>
          <cell r="H60">
            <v>0</v>
          </cell>
          <cell r="I60">
            <v>8.771929824561403E-2</v>
          </cell>
          <cell r="J60">
            <v>1.7543859649122806E-2</v>
          </cell>
          <cell r="K60">
            <v>3.5087719298245612E-2</v>
          </cell>
          <cell r="L60">
            <v>0</v>
          </cell>
          <cell r="N60">
            <v>0</v>
          </cell>
        </row>
      </sheetData>
      <sheetData sheetId="11">
        <row r="5">
          <cell r="G5" t="str">
            <v>LWEZA KAMUCHANGA</v>
          </cell>
          <cell r="K5" t="str">
            <v>Racheal</v>
          </cell>
        </row>
        <row r="6">
          <cell r="K6" t="str">
            <v>Beatrice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10</v>
          </cell>
          <cell r="AF10">
            <v>81</v>
          </cell>
        </row>
        <row r="11">
          <cell r="R11" t="str">
            <v>0800-0900</v>
          </cell>
          <cell r="AE11">
            <v>11</v>
          </cell>
          <cell r="AF11">
            <v>93</v>
          </cell>
        </row>
        <row r="12">
          <cell r="R12" t="str">
            <v>0900-1000</v>
          </cell>
          <cell r="AE12">
            <v>16</v>
          </cell>
          <cell r="AF12">
            <v>115</v>
          </cell>
        </row>
        <row r="13">
          <cell r="R13" t="str">
            <v>1000-1100</v>
          </cell>
          <cell r="AE13">
            <v>13</v>
          </cell>
          <cell r="AF13">
            <v>116</v>
          </cell>
        </row>
        <row r="14">
          <cell r="R14" t="str">
            <v>1100-1200</v>
          </cell>
          <cell r="AE14">
            <v>10</v>
          </cell>
          <cell r="AF14">
            <v>103</v>
          </cell>
        </row>
        <row r="15">
          <cell r="R15" t="str">
            <v>1200-1300</v>
          </cell>
          <cell r="AE15">
            <v>13</v>
          </cell>
          <cell r="AF15">
            <v>78</v>
          </cell>
        </row>
        <row r="16">
          <cell r="R16" t="str">
            <v>1300-1400</v>
          </cell>
          <cell r="AE16">
            <v>17</v>
          </cell>
          <cell r="AF16">
            <v>76</v>
          </cell>
        </row>
        <row r="17">
          <cell r="R17" t="str">
            <v>1400-1500</v>
          </cell>
          <cell r="AE17">
            <v>15</v>
          </cell>
          <cell r="AF17">
            <v>90</v>
          </cell>
        </row>
        <row r="18">
          <cell r="R18" t="str">
            <v>1500-1600</v>
          </cell>
          <cell r="AE18">
            <v>22</v>
          </cell>
          <cell r="AF18">
            <v>118</v>
          </cell>
        </row>
        <row r="19">
          <cell r="R19" t="str">
            <v>1600-1700</v>
          </cell>
          <cell r="AE19">
            <v>16</v>
          </cell>
          <cell r="AF19">
            <v>126</v>
          </cell>
        </row>
        <row r="20">
          <cell r="R20" t="str">
            <v>1700-1800</v>
          </cell>
          <cell r="AE20">
            <v>16</v>
          </cell>
          <cell r="AF20">
            <v>99</v>
          </cell>
        </row>
        <row r="21">
          <cell r="R21" t="str">
            <v>1800-1900</v>
          </cell>
          <cell r="AE21">
            <v>30</v>
          </cell>
          <cell r="AF21">
            <v>126</v>
          </cell>
        </row>
        <row r="59">
          <cell r="C59">
            <v>7.6986076986076984E-2</v>
          </cell>
          <cell r="D59">
            <v>2.8665028665028666E-2</v>
          </cell>
          <cell r="E59">
            <v>1.7199017199017199E-2</v>
          </cell>
          <cell r="F59">
            <v>8.1900081900081901E-3</v>
          </cell>
          <cell r="G59">
            <v>0</v>
          </cell>
          <cell r="H59">
            <v>8.1900081900081905E-4</v>
          </cell>
          <cell r="I59">
            <v>8.1900081900081901E-3</v>
          </cell>
          <cell r="J59">
            <v>7.3710073710073713E-3</v>
          </cell>
          <cell r="K59">
            <v>2.4570024570024569E-3</v>
          </cell>
          <cell r="L59">
            <v>4.9140049140049139E-3</v>
          </cell>
          <cell r="M59">
            <v>0.84520884520884521</v>
          </cell>
          <cell r="N59">
            <v>0</v>
          </cell>
        </row>
        <row r="60">
          <cell r="C60">
            <v>0.49735449735449733</v>
          </cell>
          <cell r="D60">
            <v>0.18518518518518517</v>
          </cell>
          <cell r="E60">
            <v>0.1111111111111111</v>
          </cell>
          <cell r="F60">
            <v>5.2910052910052907E-2</v>
          </cell>
          <cell r="G60">
            <v>0</v>
          </cell>
          <cell r="H60">
            <v>5.2910052910052907E-3</v>
          </cell>
          <cell r="I60">
            <v>5.2910052910052907E-2</v>
          </cell>
          <cell r="J60">
            <v>4.7619047619047616E-2</v>
          </cell>
          <cell r="K60">
            <v>1.5873015873015872E-2</v>
          </cell>
          <cell r="L60">
            <v>3.1746031746031744E-2</v>
          </cell>
          <cell r="N60">
            <v>0</v>
          </cell>
        </row>
      </sheetData>
      <sheetData sheetId="12"/>
      <sheetData sheetId="13">
        <row r="5">
          <cell r="G5" t="str">
            <v>LWEZA KAMUCHANGA</v>
          </cell>
          <cell r="K5" t="str">
            <v>Racheal</v>
          </cell>
        </row>
        <row r="6">
          <cell r="K6" t="str">
            <v>Beatrice</v>
          </cell>
        </row>
      </sheetData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.07 Kibuye-Munyonyo"/>
      <sheetName val="22.07 Munyonyo-Kibuye"/>
      <sheetName val="23.07 Kibuye-Munyonyo"/>
      <sheetName val="23.07 Munyonyo-Kibuye"/>
      <sheetName val="24.07 Kibuye-Munyonyo"/>
      <sheetName val="24.07 Munyonyo-Kibuye"/>
      <sheetName val="25.07 Kibuye-Munyonyo"/>
      <sheetName val="25.07 Munyonyo-Kibuye"/>
      <sheetName val="26.07 Kibuye-Munyonyo-24h"/>
      <sheetName val="26.07 Munyonyo-Kibuye-24h"/>
      <sheetName val="27.07 Kibuye-Munyonyo-24h"/>
      <sheetName val="27.07 Munyonyo-Kibuye-24h"/>
      <sheetName val="28.07 Kibuye-Munyonyo"/>
      <sheetName val="28.07 Munyonyo-Kibuye"/>
      <sheetName val="Avg Week Kibuye-Munyonyo"/>
      <sheetName val="Avg Week Munyonyo-Kibuye"/>
      <sheetName val="Avg Week Munyonyo-Kibuye-2Di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9">
          <cell r="S9" t="str">
            <v>1. Car</v>
          </cell>
          <cell r="AC9" t="str">
            <v>11. Motorcycles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C10">
            <v>1125.2857142857142</v>
          </cell>
          <cell r="AE10">
            <v>621.28571428571422</v>
          </cell>
          <cell r="AF10">
            <v>1746.5714285714284</v>
          </cell>
        </row>
        <row r="11">
          <cell r="R11" t="str">
            <v>0800-0900</v>
          </cell>
          <cell r="AC11">
            <v>1525.2857142857142</v>
          </cell>
          <cell r="AE11">
            <v>748.57142857142844</v>
          </cell>
          <cell r="AF11">
            <v>2273.8571428571427</v>
          </cell>
        </row>
        <row r="12">
          <cell r="R12" t="str">
            <v>0900-1000</v>
          </cell>
          <cell r="AC12">
            <v>1358.5714285714284</v>
          </cell>
          <cell r="AE12">
            <v>658.71428571428578</v>
          </cell>
          <cell r="AF12">
            <v>2017.2857142857142</v>
          </cell>
        </row>
        <row r="13">
          <cell r="R13" t="str">
            <v>1000-1100</v>
          </cell>
          <cell r="AC13">
            <v>1220.1428571428571</v>
          </cell>
          <cell r="AE13">
            <v>581.57142857142844</v>
          </cell>
          <cell r="AF13">
            <v>1801.7142857142858</v>
          </cell>
        </row>
        <row r="14">
          <cell r="R14" t="str">
            <v>1100-1200</v>
          </cell>
          <cell r="AC14">
            <v>1109.4285714285716</v>
          </cell>
          <cell r="AE14">
            <v>522.21428571428567</v>
          </cell>
          <cell r="AF14">
            <v>1631.6428571428573</v>
          </cell>
        </row>
        <row r="15">
          <cell r="R15" t="str">
            <v>1200-1300</v>
          </cell>
          <cell r="AC15">
            <v>997</v>
          </cell>
          <cell r="AE15">
            <v>470.28571428571433</v>
          </cell>
          <cell r="AF15">
            <v>1467.2857142857142</v>
          </cell>
        </row>
        <row r="16">
          <cell r="R16" t="str">
            <v>1300-1400</v>
          </cell>
          <cell r="AC16">
            <v>901.57142857142856</v>
          </cell>
          <cell r="AE16">
            <v>483.57142857142867</v>
          </cell>
          <cell r="AF16">
            <v>1385.1428571428573</v>
          </cell>
        </row>
        <row r="17">
          <cell r="R17" t="str">
            <v>1400-1500</v>
          </cell>
          <cell r="AC17">
            <v>976</v>
          </cell>
          <cell r="AE17">
            <v>488.28571428571433</v>
          </cell>
          <cell r="AF17">
            <v>1464.2857142857142</v>
          </cell>
        </row>
        <row r="18">
          <cell r="R18" t="str">
            <v>1500-1600</v>
          </cell>
          <cell r="AC18">
            <v>937.71428571428578</v>
          </cell>
          <cell r="AE18">
            <v>506.85714285714283</v>
          </cell>
          <cell r="AF18">
            <v>1444.5714285714284</v>
          </cell>
        </row>
        <row r="19">
          <cell r="R19" t="str">
            <v>1600-1700</v>
          </cell>
          <cell r="AC19">
            <v>1089.8571428571429</v>
          </cell>
          <cell r="AE19">
            <v>611.99999999999989</v>
          </cell>
          <cell r="AF19">
            <v>1701.8571428571427</v>
          </cell>
        </row>
        <row r="20">
          <cell r="R20" t="str">
            <v>1700-1800</v>
          </cell>
          <cell r="AC20">
            <v>1109.1428571428571</v>
          </cell>
          <cell r="AE20">
            <v>630.14285714285711</v>
          </cell>
          <cell r="AF20">
            <v>1739.2857142857142</v>
          </cell>
        </row>
        <row r="21">
          <cell r="R21" t="str">
            <v>1800-1900</v>
          </cell>
          <cell r="AC21">
            <v>1121.2857142857144</v>
          </cell>
          <cell r="AE21">
            <v>617.42857142857156</v>
          </cell>
          <cell r="AF21">
            <v>1738.7142857142858</v>
          </cell>
        </row>
        <row r="22">
          <cell r="R22" t="str">
            <v>1900-2000</v>
          </cell>
          <cell r="AC22">
            <v>1224</v>
          </cell>
          <cell r="AE22">
            <v>735</v>
          </cell>
          <cell r="AF22">
            <v>1959</v>
          </cell>
        </row>
        <row r="23">
          <cell r="R23" t="str">
            <v>2000-2100</v>
          </cell>
          <cell r="AC23">
            <v>1478</v>
          </cell>
          <cell r="AE23">
            <v>1084.5</v>
          </cell>
          <cell r="AF23">
            <v>2562.5</v>
          </cell>
        </row>
        <row r="24">
          <cell r="R24" t="str">
            <v>2100-2200</v>
          </cell>
          <cell r="AC24">
            <v>1356</v>
          </cell>
          <cell r="AE24">
            <v>864.5</v>
          </cell>
          <cell r="AF24">
            <v>2220.5</v>
          </cell>
        </row>
        <row r="25">
          <cell r="R25" t="str">
            <v>2200-2300</v>
          </cell>
          <cell r="AC25">
            <v>1082.5</v>
          </cell>
          <cell r="AE25">
            <v>785.5</v>
          </cell>
          <cell r="AF25">
            <v>1868</v>
          </cell>
        </row>
        <row r="26">
          <cell r="R26" t="str">
            <v>2300-0000</v>
          </cell>
          <cell r="AC26">
            <v>880</v>
          </cell>
          <cell r="AE26">
            <v>516.5</v>
          </cell>
          <cell r="AF26">
            <v>1396.5</v>
          </cell>
        </row>
        <row r="27">
          <cell r="R27" t="str">
            <v>0000-0100</v>
          </cell>
          <cell r="AC27">
            <v>764</v>
          </cell>
          <cell r="AE27">
            <v>390</v>
          </cell>
          <cell r="AF27">
            <v>1154</v>
          </cell>
        </row>
        <row r="28">
          <cell r="R28" t="str">
            <v>0100-0200</v>
          </cell>
          <cell r="AC28">
            <v>450</v>
          </cell>
          <cell r="AE28">
            <v>272.5</v>
          </cell>
          <cell r="AF28">
            <v>722.5</v>
          </cell>
        </row>
        <row r="29">
          <cell r="R29" t="str">
            <v>0200-0300</v>
          </cell>
          <cell r="AC29">
            <v>342</v>
          </cell>
          <cell r="AE29">
            <v>137</v>
          </cell>
          <cell r="AF29">
            <v>479</v>
          </cell>
        </row>
        <row r="30">
          <cell r="R30" t="str">
            <v>0300-0400</v>
          </cell>
          <cell r="AC30">
            <v>412.5</v>
          </cell>
          <cell r="AE30">
            <v>131</v>
          </cell>
          <cell r="AF30">
            <v>543.5</v>
          </cell>
        </row>
        <row r="31">
          <cell r="R31" t="str">
            <v>0400-0500</v>
          </cell>
          <cell r="AC31">
            <v>328</v>
          </cell>
          <cell r="AE31">
            <v>126.5</v>
          </cell>
          <cell r="AF31">
            <v>454.5</v>
          </cell>
        </row>
        <row r="32">
          <cell r="R32" t="str">
            <v>0500-0600</v>
          </cell>
          <cell r="AC32">
            <v>561.5</v>
          </cell>
          <cell r="AE32">
            <v>316.5</v>
          </cell>
          <cell r="AF32">
            <v>878</v>
          </cell>
        </row>
        <row r="33">
          <cell r="R33" t="str">
            <v>0600-0700</v>
          </cell>
          <cell r="AC33">
            <v>635.5</v>
          </cell>
          <cell r="AE33">
            <v>664.5</v>
          </cell>
          <cell r="AF33">
            <v>1300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G5" sqref="G5:H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1" t="s">
        <v>96</v>
      </c>
      <c r="C3" s="65" t="s">
        <v>169</v>
      </c>
      <c r="D3" s="65"/>
      <c r="E3" s="65"/>
      <c r="F3" s="65"/>
      <c r="G3" s="65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0" t="s">
        <v>170</v>
      </c>
      <c r="H5" s="61"/>
      <c r="I5" s="14"/>
      <c r="J5" s="2" t="s">
        <v>5</v>
      </c>
      <c r="K5" s="60" t="s">
        <v>166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164</v>
      </c>
      <c r="E6" s="61"/>
      <c r="F6" s="2" t="s">
        <v>2</v>
      </c>
      <c r="G6" s="60" t="s">
        <v>165</v>
      </c>
      <c r="H6" s="61"/>
      <c r="J6" s="2" t="s">
        <v>21</v>
      </c>
      <c r="K6" s="60" t="s">
        <v>167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0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24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31</v>
      </c>
      <c r="R10" s="1" t="s">
        <v>6</v>
      </c>
      <c r="S10" s="17">
        <f t="shared" ref="S10:AF10" si="2">SUM(C10:C13)</f>
        <v>9</v>
      </c>
      <c r="T10" s="17">
        <f t="shared" si="2"/>
        <v>3</v>
      </c>
      <c r="U10" s="17">
        <f t="shared" si="2"/>
        <v>0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118</v>
      </c>
      <c r="AD10" s="17">
        <f t="shared" si="2"/>
        <v>0</v>
      </c>
      <c r="AE10" s="31">
        <f t="shared" si="2"/>
        <v>18</v>
      </c>
      <c r="AF10" s="31">
        <f t="shared" si="2"/>
        <v>136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25</v>
      </c>
      <c r="N11" s="50">
        <v>0</v>
      </c>
      <c r="O11" s="15">
        <f t="shared" si="0"/>
        <v>5</v>
      </c>
      <c r="P11" s="15">
        <f t="shared" si="1"/>
        <v>30</v>
      </c>
      <c r="R11" s="1" t="s">
        <v>7</v>
      </c>
      <c r="S11" s="17">
        <f t="shared" ref="S11:AF11" si="3">SUM(C14:C17)</f>
        <v>6</v>
      </c>
      <c r="T11" s="17">
        <f t="shared" si="3"/>
        <v>10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90</v>
      </c>
      <c r="AD11" s="17">
        <f t="shared" si="3"/>
        <v>0</v>
      </c>
      <c r="AE11" s="31">
        <f t="shared" si="3"/>
        <v>20</v>
      </c>
      <c r="AF11" s="31">
        <f t="shared" si="3"/>
        <v>110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38</v>
      </c>
      <c r="N12" s="50">
        <v>0</v>
      </c>
      <c r="O12" s="15">
        <f t="shared" si="0"/>
        <v>3</v>
      </c>
      <c r="P12" s="15">
        <f t="shared" si="1"/>
        <v>41</v>
      </c>
      <c r="R12" s="1" t="s">
        <v>8</v>
      </c>
      <c r="S12" s="17">
        <f t="shared" ref="S12:AF12" si="4">SUM(C18:C21)</f>
        <v>2</v>
      </c>
      <c r="T12" s="17">
        <f t="shared" si="4"/>
        <v>3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61</v>
      </c>
      <c r="AD12" s="17">
        <f t="shared" si="4"/>
        <v>0</v>
      </c>
      <c r="AE12" s="31">
        <f t="shared" si="4"/>
        <v>6</v>
      </c>
      <c r="AF12" s="31">
        <f t="shared" si="4"/>
        <v>67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31</v>
      </c>
      <c r="N13" s="50">
        <v>0</v>
      </c>
      <c r="O13" s="15">
        <f t="shared" si="0"/>
        <v>3</v>
      </c>
      <c r="P13" s="15">
        <f t="shared" si="1"/>
        <v>34</v>
      </c>
      <c r="R13" s="1" t="s">
        <v>9</v>
      </c>
      <c r="S13" s="17">
        <f t="shared" ref="S13:AF13" si="5">SUM(C22:C25)</f>
        <v>8</v>
      </c>
      <c r="T13" s="17">
        <f t="shared" si="5"/>
        <v>3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73</v>
      </c>
      <c r="AD13" s="17">
        <f t="shared" si="5"/>
        <v>0</v>
      </c>
      <c r="AE13" s="31">
        <f t="shared" si="5"/>
        <v>12</v>
      </c>
      <c r="AF13" s="31">
        <f t="shared" si="5"/>
        <v>85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30</v>
      </c>
      <c r="N14" s="50">
        <v>0</v>
      </c>
      <c r="O14" s="15">
        <f t="shared" si="0"/>
        <v>2</v>
      </c>
      <c r="P14" s="15">
        <f t="shared" si="1"/>
        <v>32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82</v>
      </c>
      <c r="AD14" s="17">
        <f t="shared" si="6"/>
        <v>0</v>
      </c>
      <c r="AE14" s="31">
        <f t="shared" si="6"/>
        <v>6</v>
      </c>
      <c r="AF14" s="31">
        <f t="shared" si="6"/>
        <v>88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38</v>
      </c>
      <c r="N15" s="50">
        <v>0</v>
      </c>
      <c r="O15" s="15">
        <f t="shared" si="0"/>
        <v>4</v>
      </c>
      <c r="P15" s="15">
        <f t="shared" si="1"/>
        <v>42</v>
      </c>
      <c r="R15" s="1" t="s">
        <v>11</v>
      </c>
      <c r="S15" s="17">
        <f t="shared" ref="S15:AF15" si="7">SUM(C30:C33)</f>
        <v>5</v>
      </c>
      <c r="T15" s="17">
        <f t="shared" si="7"/>
        <v>3</v>
      </c>
      <c r="U15" s="17">
        <f t="shared" si="7"/>
        <v>1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86</v>
      </c>
      <c r="AD15" s="17">
        <f t="shared" si="7"/>
        <v>0</v>
      </c>
      <c r="AE15" s="31">
        <f t="shared" si="7"/>
        <v>12</v>
      </c>
      <c r="AF15" s="31">
        <f t="shared" si="7"/>
        <v>98</v>
      </c>
    </row>
    <row r="16" spans="2:32" ht="23.1" customHeight="1" x14ac:dyDescent="0.25">
      <c r="B16" s="23" t="s">
        <v>43</v>
      </c>
      <c r="C16" s="50">
        <v>1</v>
      </c>
      <c r="D16" s="50">
        <v>10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12</v>
      </c>
      <c r="P16" s="15">
        <f t="shared" si="1"/>
        <v>22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52</v>
      </c>
      <c r="AD16" s="17">
        <f t="shared" si="8"/>
        <v>0</v>
      </c>
      <c r="AE16" s="31">
        <f t="shared" si="8"/>
        <v>4</v>
      </c>
      <c r="AF16" s="31">
        <f t="shared" si="8"/>
        <v>56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5">
        <f t="shared" si="0"/>
        <v>2</v>
      </c>
      <c r="P17" s="15">
        <f t="shared" si="1"/>
        <v>14</v>
      </c>
      <c r="R17" s="1" t="s">
        <v>13</v>
      </c>
      <c r="S17" s="17">
        <f t="shared" ref="S17:AF17" si="9">SUM(C38:C41)</f>
        <v>4</v>
      </c>
      <c r="T17" s="17">
        <f t="shared" si="9"/>
        <v>2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2</v>
      </c>
      <c r="AB17" s="17">
        <f t="shared" si="9"/>
        <v>0</v>
      </c>
      <c r="AC17" s="17">
        <f t="shared" si="9"/>
        <v>59</v>
      </c>
      <c r="AD17" s="17">
        <f t="shared" si="9"/>
        <v>0</v>
      </c>
      <c r="AE17" s="31">
        <f t="shared" si="9"/>
        <v>9</v>
      </c>
      <c r="AF17" s="31">
        <f t="shared" si="9"/>
        <v>68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19</v>
      </c>
      <c r="N18" s="50">
        <v>0</v>
      </c>
      <c r="O18" s="15">
        <f t="shared" si="0"/>
        <v>1</v>
      </c>
      <c r="P18" s="15">
        <f t="shared" si="1"/>
        <v>20</v>
      </c>
      <c r="R18" s="1" t="s">
        <v>14</v>
      </c>
      <c r="S18" s="17">
        <f t="shared" ref="S18:AF18" si="10">SUM(C42:C45)</f>
        <v>7</v>
      </c>
      <c r="T18" s="17">
        <f t="shared" si="10"/>
        <v>2</v>
      </c>
      <c r="U18" s="17">
        <f t="shared" si="10"/>
        <v>1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2</v>
      </c>
      <c r="AB18" s="17">
        <f t="shared" si="10"/>
        <v>0</v>
      </c>
      <c r="AC18" s="17">
        <f t="shared" si="10"/>
        <v>56</v>
      </c>
      <c r="AD18" s="17">
        <f t="shared" si="10"/>
        <v>0</v>
      </c>
      <c r="AE18" s="31">
        <f t="shared" si="10"/>
        <v>16</v>
      </c>
      <c r="AF18" s="31">
        <f t="shared" si="10"/>
        <v>72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1</v>
      </c>
      <c r="P19" s="15">
        <f t="shared" si="1"/>
        <v>13</v>
      </c>
      <c r="R19" s="1" t="s">
        <v>15</v>
      </c>
      <c r="S19" s="17">
        <f t="shared" ref="S19:AF19" si="11">SUM(C46:C49)</f>
        <v>7</v>
      </c>
      <c r="T19" s="17">
        <f t="shared" si="11"/>
        <v>3</v>
      </c>
      <c r="U19" s="17">
        <f t="shared" si="11"/>
        <v>3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2</v>
      </c>
      <c r="AB19" s="17">
        <f t="shared" si="11"/>
        <v>0</v>
      </c>
      <c r="AC19" s="17">
        <f t="shared" si="11"/>
        <v>68</v>
      </c>
      <c r="AD19" s="17">
        <f t="shared" si="11"/>
        <v>0</v>
      </c>
      <c r="AE19" s="31">
        <f t="shared" si="11"/>
        <v>18</v>
      </c>
      <c r="AF19" s="31">
        <f t="shared" si="11"/>
        <v>86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16</v>
      </c>
      <c r="N20" s="50">
        <v>0</v>
      </c>
      <c r="O20" s="15">
        <f t="shared" si="0"/>
        <v>1</v>
      </c>
      <c r="P20" s="15">
        <f t="shared" si="1"/>
        <v>17</v>
      </c>
      <c r="R20" s="1" t="s">
        <v>16</v>
      </c>
      <c r="S20" s="17">
        <f t="shared" ref="S20:AF20" si="12">SUM(C50:C53)</f>
        <v>13</v>
      </c>
      <c r="T20" s="17">
        <f t="shared" si="12"/>
        <v>0</v>
      </c>
      <c r="U20" s="17">
        <f t="shared" si="12"/>
        <v>2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85</v>
      </c>
      <c r="AD20" s="17">
        <f t="shared" si="12"/>
        <v>0</v>
      </c>
      <c r="AE20" s="31">
        <f t="shared" si="12"/>
        <v>22</v>
      </c>
      <c r="AF20" s="31">
        <f t="shared" si="12"/>
        <v>107</v>
      </c>
    </row>
    <row r="21" spans="2:32" ht="23.1" customHeight="1" x14ac:dyDescent="0.25">
      <c r="B21" s="23" t="s">
        <v>48</v>
      </c>
      <c r="C21" s="50">
        <v>1</v>
      </c>
      <c r="D21" s="50">
        <v>2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14</v>
      </c>
      <c r="N21" s="50">
        <v>0</v>
      </c>
      <c r="O21" s="15">
        <f t="shared" si="0"/>
        <v>3</v>
      </c>
      <c r="P21" s="15">
        <f t="shared" si="1"/>
        <v>17</v>
      </c>
      <c r="R21" s="36" t="s">
        <v>20</v>
      </c>
      <c r="S21" s="34">
        <f t="shared" ref="S21:AF21" si="13">SUM(C54:C57)</f>
        <v>9</v>
      </c>
      <c r="T21" s="17">
        <f t="shared" si="13"/>
        <v>2</v>
      </c>
      <c r="U21" s="17">
        <f t="shared" si="13"/>
        <v>3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101</v>
      </c>
      <c r="AD21" s="17">
        <f t="shared" si="13"/>
        <v>0</v>
      </c>
      <c r="AE21" s="31">
        <f t="shared" si="13"/>
        <v>18</v>
      </c>
      <c r="AF21" s="31">
        <f t="shared" si="13"/>
        <v>119</v>
      </c>
    </row>
    <row r="22" spans="2:32" ht="23.1" customHeight="1" x14ac:dyDescent="0.25">
      <c r="B22" s="23" t="s">
        <v>49</v>
      </c>
      <c r="C22" s="50">
        <v>3</v>
      </c>
      <c r="D22" s="50">
        <v>2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21</v>
      </c>
      <c r="N22" s="50">
        <v>0</v>
      </c>
      <c r="O22" s="15">
        <f t="shared" si="0"/>
        <v>5</v>
      </c>
      <c r="P22" s="15">
        <f t="shared" si="1"/>
        <v>26</v>
      </c>
      <c r="R22" s="38" t="s">
        <v>90</v>
      </c>
      <c r="S22" s="39">
        <f>MAX(S10:S12)</f>
        <v>9</v>
      </c>
      <c r="T22" s="39">
        <f t="shared" ref="T22:AF22" si="14">MAX(T10:T12)</f>
        <v>10</v>
      </c>
      <c r="U22" s="39">
        <f t="shared" si="14"/>
        <v>2</v>
      </c>
      <c r="V22" s="39">
        <f t="shared" si="14"/>
        <v>6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118</v>
      </c>
      <c r="AD22" s="39">
        <f t="shared" si="14"/>
        <v>0</v>
      </c>
      <c r="AE22" s="40">
        <f t="shared" si="14"/>
        <v>20</v>
      </c>
      <c r="AF22" s="40">
        <f t="shared" si="14"/>
        <v>136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2</v>
      </c>
      <c r="P23" s="15">
        <f t="shared" si="1"/>
        <v>16</v>
      </c>
      <c r="R23" s="38" t="s">
        <v>91</v>
      </c>
      <c r="S23" s="39">
        <f>MAX(S13:S18)</f>
        <v>8</v>
      </c>
      <c r="T23" s="39">
        <f t="shared" ref="T23:AF23" si="15">MAX(T13:T18)</f>
        <v>3</v>
      </c>
      <c r="U23" s="39">
        <f t="shared" si="15"/>
        <v>1</v>
      </c>
      <c r="V23" s="39">
        <f t="shared" si="15"/>
        <v>3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0</v>
      </c>
      <c r="AA23" s="39">
        <f t="shared" si="15"/>
        <v>2</v>
      </c>
      <c r="AB23" s="39">
        <f t="shared" si="15"/>
        <v>0</v>
      </c>
      <c r="AC23" s="39">
        <f t="shared" si="15"/>
        <v>86</v>
      </c>
      <c r="AD23" s="39">
        <f t="shared" si="15"/>
        <v>0</v>
      </c>
      <c r="AE23" s="40">
        <f t="shared" si="15"/>
        <v>16</v>
      </c>
      <c r="AF23" s="40">
        <f t="shared" si="15"/>
        <v>98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21</v>
      </c>
      <c r="N24" s="50">
        <v>0</v>
      </c>
      <c r="O24" s="15">
        <f t="shared" si="0"/>
        <v>2</v>
      </c>
      <c r="P24" s="15">
        <f t="shared" si="1"/>
        <v>23</v>
      </c>
      <c r="R24" s="38" t="s">
        <v>92</v>
      </c>
      <c r="S24" s="39">
        <f>MAX(S19:S21)</f>
        <v>13</v>
      </c>
      <c r="T24" s="39">
        <f t="shared" ref="T24:AF24" si="16">MAX(T19:T21)</f>
        <v>3</v>
      </c>
      <c r="U24" s="39">
        <f t="shared" si="16"/>
        <v>3</v>
      </c>
      <c r="V24" s="39">
        <f t="shared" si="16"/>
        <v>6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0</v>
      </c>
      <c r="AA24" s="39">
        <f t="shared" si="16"/>
        <v>2</v>
      </c>
      <c r="AB24" s="39">
        <f t="shared" si="16"/>
        <v>0</v>
      </c>
      <c r="AC24" s="39">
        <f t="shared" si="16"/>
        <v>101</v>
      </c>
      <c r="AD24" s="39">
        <f t="shared" si="16"/>
        <v>0</v>
      </c>
      <c r="AE24" s="40">
        <f t="shared" si="16"/>
        <v>22</v>
      </c>
      <c r="AF24" s="40">
        <f t="shared" si="16"/>
        <v>119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17</v>
      </c>
      <c r="N25" s="50">
        <v>0</v>
      </c>
      <c r="O25" s="15">
        <f t="shared" si="0"/>
        <v>3</v>
      </c>
      <c r="P25" s="15">
        <f t="shared" si="1"/>
        <v>20</v>
      </c>
      <c r="R25" s="37" t="s">
        <v>85</v>
      </c>
      <c r="S25" s="35">
        <f t="shared" ref="S25:AF25" si="17">SUM(S10:S12)</f>
        <v>17</v>
      </c>
      <c r="T25" s="16">
        <f t="shared" si="17"/>
        <v>16</v>
      </c>
      <c r="U25" s="16">
        <f t="shared" si="17"/>
        <v>2</v>
      </c>
      <c r="V25" s="16">
        <f t="shared" si="17"/>
        <v>6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269</v>
      </c>
      <c r="AD25" s="16">
        <f t="shared" si="17"/>
        <v>0</v>
      </c>
      <c r="AE25" s="32">
        <f t="shared" si="17"/>
        <v>44</v>
      </c>
      <c r="AF25" s="32">
        <f t="shared" si="17"/>
        <v>313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18</v>
      </c>
      <c r="N26" s="50">
        <v>0</v>
      </c>
      <c r="O26" s="15">
        <f t="shared" si="0"/>
        <v>4</v>
      </c>
      <c r="P26" s="15">
        <f t="shared" si="1"/>
        <v>22</v>
      </c>
      <c r="R26" s="28" t="s">
        <v>86</v>
      </c>
      <c r="S26" s="16">
        <f t="shared" ref="S26:AF26" si="18">SUM(S13:S18)</f>
        <v>30</v>
      </c>
      <c r="T26" s="16">
        <f t="shared" si="18"/>
        <v>10</v>
      </c>
      <c r="U26" s="16">
        <f t="shared" si="18"/>
        <v>3</v>
      </c>
      <c r="V26" s="16">
        <f t="shared" si="18"/>
        <v>4</v>
      </c>
      <c r="W26" s="16">
        <f t="shared" si="18"/>
        <v>0</v>
      </c>
      <c r="X26" s="16">
        <f t="shared" si="18"/>
        <v>0</v>
      </c>
      <c r="Y26" s="16">
        <f t="shared" si="18"/>
        <v>7</v>
      </c>
      <c r="Z26" s="16">
        <f t="shared" si="18"/>
        <v>0</v>
      </c>
      <c r="AA26" s="16">
        <f t="shared" si="18"/>
        <v>5</v>
      </c>
      <c r="AB26" s="16">
        <f t="shared" si="18"/>
        <v>0</v>
      </c>
      <c r="AC26" s="16">
        <f t="shared" si="18"/>
        <v>408</v>
      </c>
      <c r="AD26" s="16">
        <f t="shared" si="18"/>
        <v>0</v>
      </c>
      <c r="AE26" s="32">
        <f t="shared" si="18"/>
        <v>59</v>
      </c>
      <c r="AF26" s="32">
        <f t="shared" si="18"/>
        <v>467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18</v>
      </c>
      <c r="N27" s="50">
        <v>0</v>
      </c>
      <c r="O27" s="15">
        <f t="shared" si="0"/>
        <v>0</v>
      </c>
      <c r="P27" s="15">
        <f t="shared" si="1"/>
        <v>18</v>
      </c>
      <c r="R27" s="29" t="s">
        <v>87</v>
      </c>
      <c r="S27" s="16">
        <f t="shared" ref="S27:AF27" si="19">SUM(S19:S21)</f>
        <v>29</v>
      </c>
      <c r="T27" s="16">
        <f t="shared" si="19"/>
        <v>5</v>
      </c>
      <c r="U27" s="16">
        <f t="shared" si="19"/>
        <v>8</v>
      </c>
      <c r="V27" s="16">
        <f t="shared" si="19"/>
        <v>11</v>
      </c>
      <c r="W27" s="16">
        <f t="shared" si="19"/>
        <v>0</v>
      </c>
      <c r="X27" s="16">
        <f t="shared" si="19"/>
        <v>0</v>
      </c>
      <c r="Y27" s="16">
        <f t="shared" si="19"/>
        <v>3</v>
      </c>
      <c r="Z27" s="16">
        <f t="shared" si="19"/>
        <v>0</v>
      </c>
      <c r="AA27" s="16">
        <f t="shared" si="19"/>
        <v>2</v>
      </c>
      <c r="AB27" s="16">
        <f t="shared" si="19"/>
        <v>0</v>
      </c>
      <c r="AC27" s="16">
        <f t="shared" si="19"/>
        <v>254</v>
      </c>
      <c r="AD27" s="16">
        <f t="shared" si="19"/>
        <v>0</v>
      </c>
      <c r="AE27" s="32">
        <f t="shared" si="19"/>
        <v>58</v>
      </c>
      <c r="AF27" s="32">
        <f t="shared" si="19"/>
        <v>312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25</v>
      </c>
      <c r="N28" s="50">
        <v>0</v>
      </c>
      <c r="O28" s="15">
        <f t="shared" si="0"/>
        <v>1</v>
      </c>
      <c r="P28" s="15">
        <f t="shared" si="1"/>
        <v>26</v>
      </c>
      <c r="R28" s="5" t="s">
        <v>17</v>
      </c>
      <c r="S28" s="16">
        <f t="shared" ref="S28:AF28" si="20">SUM(S10:S21)</f>
        <v>76</v>
      </c>
      <c r="T28" s="16">
        <f t="shared" si="20"/>
        <v>31</v>
      </c>
      <c r="U28" s="16">
        <f t="shared" si="20"/>
        <v>13</v>
      </c>
      <c r="V28" s="16">
        <f t="shared" si="20"/>
        <v>21</v>
      </c>
      <c r="W28" s="16">
        <f t="shared" si="20"/>
        <v>0</v>
      </c>
      <c r="X28" s="16">
        <f t="shared" si="20"/>
        <v>0</v>
      </c>
      <c r="Y28" s="16">
        <f t="shared" si="20"/>
        <v>13</v>
      </c>
      <c r="Z28" s="16">
        <f t="shared" si="20"/>
        <v>0</v>
      </c>
      <c r="AA28" s="16">
        <f t="shared" si="20"/>
        <v>7</v>
      </c>
      <c r="AB28" s="16">
        <f t="shared" si="20"/>
        <v>0</v>
      </c>
      <c r="AC28" s="16">
        <f t="shared" si="20"/>
        <v>931</v>
      </c>
      <c r="AD28" s="16">
        <f t="shared" si="20"/>
        <v>0</v>
      </c>
      <c r="AE28" s="32">
        <f t="shared" si="20"/>
        <v>161</v>
      </c>
      <c r="AF28" s="32">
        <f t="shared" si="20"/>
        <v>1092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21</v>
      </c>
      <c r="N29" s="50">
        <v>0</v>
      </c>
      <c r="O29" s="15">
        <f t="shared" si="0"/>
        <v>1</v>
      </c>
      <c r="P29" s="15">
        <f t="shared" si="1"/>
        <v>22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24</v>
      </c>
      <c r="N30" s="50">
        <v>0</v>
      </c>
      <c r="O30" s="15">
        <f t="shared" si="0"/>
        <v>4</v>
      </c>
      <c r="P30" s="15">
        <f t="shared" si="1"/>
        <v>28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19</v>
      </c>
      <c r="N31" s="50">
        <v>0</v>
      </c>
      <c r="O31" s="15">
        <f t="shared" si="0"/>
        <v>3</v>
      </c>
      <c r="P31" s="15">
        <f t="shared" si="1"/>
        <v>22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30</v>
      </c>
      <c r="N32" s="50">
        <v>0</v>
      </c>
      <c r="O32" s="15">
        <f t="shared" si="0"/>
        <v>2</v>
      </c>
      <c r="P32" s="15">
        <f t="shared" si="1"/>
        <v>32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5">
        <f t="shared" si="0"/>
        <v>3</v>
      </c>
      <c r="P33" s="15">
        <f t="shared" si="1"/>
        <v>16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21</v>
      </c>
      <c r="N34" s="50">
        <v>0</v>
      </c>
      <c r="O34" s="15">
        <f t="shared" si="0"/>
        <v>0</v>
      </c>
      <c r="P34" s="15">
        <f t="shared" si="1"/>
        <v>21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0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12</v>
      </c>
      <c r="N36" s="50">
        <v>0</v>
      </c>
      <c r="O36" s="15">
        <f t="shared" si="0"/>
        <v>1</v>
      </c>
      <c r="P36" s="15">
        <f t="shared" si="1"/>
        <v>13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11</v>
      </c>
      <c r="N37" s="50">
        <v>0</v>
      </c>
      <c r="O37" s="15">
        <f t="shared" si="0"/>
        <v>3</v>
      </c>
      <c r="P37" s="15">
        <f t="shared" si="1"/>
        <v>14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1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1</v>
      </c>
      <c r="L39" s="50">
        <v>0</v>
      </c>
      <c r="M39" s="50">
        <v>19</v>
      </c>
      <c r="N39" s="50">
        <v>0</v>
      </c>
      <c r="O39" s="15">
        <f t="shared" si="0"/>
        <v>2</v>
      </c>
      <c r="P39" s="15">
        <f t="shared" si="1"/>
        <v>21</v>
      </c>
    </row>
    <row r="40" spans="2:20" ht="23.1" customHeight="1" x14ac:dyDescent="0.25">
      <c r="B40" s="24" t="s">
        <v>67</v>
      </c>
      <c r="C40" s="50">
        <v>2</v>
      </c>
      <c r="D40" s="50">
        <v>2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15</v>
      </c>
      <c r="N40" s="50">
        <v>0</v>
      </c>
      <c r="O40" s="15">
        <f t="shared" si="0"/>
        <v>5</v>
      </c>
      <c r="P40" s="15">
        <f t="shared" si="1"/>
        <v>20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14</v>
      </c>
      <c r="N41" s="50">
        <v>0</v>
      </c>
      <c r="O41" s="15">
        <f t="shared" si="0"/>
        <v>1</v>
      </c>
      <c r="P41" s="15">
        <f t="shared" si="1"/>
        <v>15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1</v>
      </c>
      <c r="L42" s="50">
        <v>0</v>
      </c>
      <c r="M42" s="50">
        <v>8</v>
      </c>
      <c r="N42" s="50">
        <v>0</v>
      </c>
      <c r="O42" s="15">
        <f t="shared" si="0"/>
        <v>4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3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24</v>
      </c>
      <c r="N43" s="50">
        <v>0</v>
      </c>
      <c r="O43" s="15">
        <f t="shared" si="0"/>
        <v>5</v>
      </c>
      <c r="P43" s="15">
        <f t="shared" si="1"/>
        <v>29</v>
      </c>
    </row>
    <row r="44" spans="2:20" ht="23.1" customHeight="1" x14ac:dyDescent="0.25">
      <c r="B44" s="25" t="s">
        <v>71</v>
      </c>
      <c r="C44" s="50">
        <v>2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4</v>
      </c>
      <c r="P44" s="15">
        <f t="shared" si="1"/>
        <v>17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11</v>
      </c>
      <c r="N45" s="50">
        <v>0</v>
      </c>
      <c r="O45" s="15">
        <f t="shared" si="0"/>
        <v>3</v>
      </c>
      <c r="P45" s="15">
        <f t="shared" si="1"/>
        <v>14</v>
      </c>
    </row>
    <row r="46" spans="2:20" ht="23.1" customHeight="1" x14ac:dyDescent="0.25">
      <c r="B46" s="24" t="s">
        <v>73</v>
      </c>
      <c r="C46" s="50">
        <v>1</v>
      </c>
      <c r="D46" s="50">
        <v>2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15</v>
      </c>
      <c r="N46" s="50">
        <v>0</v>
      </c>
      <c r="O46" s="15">
        <f t="shared" si="0"/>
        <v>3</v>
      </c>
      <c r="P46" s="15">
        <f t="shared" si="1"/>
        <v>18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19</v>
      </c>
      <c r="N47" s="50">
        <v>0</v>
      </c>
      <c r="O47" s="15">
        <f t="shared" si="0"/>
        <v>4</v>
      </c>
      <c r="P47" s="15">
        <f t="shared" si="1"/>
        <v>23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2</v>
      </c>
      <c r="L48" s="50">
        <v>0</v>
      </c>
      <c r="M48" s="50">
        <v>20</v>
      </c>
      <c r="N48" s="50">
        <v>0</v>
      </c>
      <c r="O48" s="15">
        <f t="shared" si="0"/>
        <v>7</v>
      </c>
      <c r="P48" s="15">
        <f t="shared" si="1"/>
        <v>27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4</v>
      </c>
      <c r="P49" s="15">
        <f t="shared" si="1"/>
        <v>18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22</v>
      </c>
      <c r="N50" s="50">
        <v>0</v>
      </c>
      <c r="O50" s="15">
        <f t="shared" si="0"/>
        <v>3</v>
      </c>
      <c r="P50" s="15">
        <f t="shared" si="1"/>
        <v>25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30</v>
      </c>
      <c r="N51" s="50">
        <v>0</v>
      </c>
      <c r="O51" s="15">
        <f t="shared" si="0"/>
        <v>4</v>
      </c>
      <c r="P51" s="15">
        <f t="shared" si="1"/>
        <v>34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7</v>
      </c>
      <c r="P52" s="15">
        <f t="shared" si="1"/>
        <v>25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2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15</v>
      </c>
      <c r="N53" s="50">
        <v>0</v>
      </c>
      <c r="O53" s="15">
        <f t="shared" si="0"/>
        <v>8</v>
      </c>
      <c r="P53" s="15">
        <f t="shared" si="1"/>
        <v>23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27</v>
      </c>
      <c r="N54" s="50">
        <v>0</v>
      </c>
      <c r="O54" s="15">
        <f t="shared" si="0"/>
        <v>5</v>
      </c>
      <c r="P54" s="15">
        <f t="shared" si="1"/>
        <v>32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21</v>
      </c>
      <c r="N55" s="50">
        <v>0</v>
      </c>
      <c r="O55" s="15">
        <f t="shared" si="0"/>
        <v>2</v>
      </c>
      <c r="P55" s="15">
        <f t="shared" si="1"/>
        <v>23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26</v>
      </c>
      <c r="N56" s="50">
        <v>0</v>
      </c>
      <c r="O56" s="15">
        <f t="shared" si="0"/>
        <v>7</v>
      </c>
      <c r="P56" s="15">
        <f t="shared" si="1"/>
        <v>33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1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27</v>
      </c>
      <c r="N57" s="50">
        <v>0</v>
      </c>
      <c r="O57" s="15">
        <f t="shared" si="0"/>
        <v>4</v>
      </c>
      <c r="P57" s="15">
        <f t="shared" si="1"/>
        <v>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76</v>
      </c>
      <c r="D58" s="16">
        <f t="shared" si="21"/>
        <v>31</v>
      </c>
      <c r="E58" s="16">
        <f t="shared" si="21"/>
        <v>13</v>
      </c>
      <c r="F58" s="16">
        <f t="shared" si="21"/>
        <v>21</v>
      </c>
      <c r="G58" s="16">
        <f t="shared" si="21"/>
        <v>0</v>
      </c>
      <c r="H58" s="16">
        <f t="shared" si="21"/>
        <v>0</v>
      </c>
      <c r="I58" s="16">
        <f t="shared" si="21"/>
        <v>13</v>
      </c>
      <c r="J58" s="16">
        <f t="shared" si="21"/>
        <v>0</v>
      </c>
      <c r="K58" s="16">
        <f t="shared" si="21"/>
        <v>7</v>
      </c>
      <c r="L58" s="16">
        <f t="shared" si="21"/>
        <v>0</v>
      </c>
      <c r="M58" s="16">
        <f t="shared" si="21"/>
        <v>931</v>
      </c>
      <c r="N58" s="16">
        <f t="shared" si="21"/>
        <v>0</v>
      </c>
      <c r="O58" s="16">
        <f t="shared" si="21"/>
        <v>161</v>
      </c>
      <c r="P58" s="16">
        <f t="shared" si="21"/>
        <v>1092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6.95970695970696E-2</v>
      </c>
      <c r="D59" s="43">
        <f t="shared" si="22"/>
        <v>2.8388278388278388E-2</v>
      </c>
      <c r="E59" s="43">
        <f t="shared" si="22"/>
        <v>1.1904761904761904E-2</v>
      </c>
      <c r="F59" s="43">
        <f t="shared" si="22"/>
        <v>1.9230769230769232E-2</v>
      </c>
      <c r="G59" s="43">
        <f t="shared" si="22"/>
        <v>0</v>
      </c>
      <c r="H59" s="43">
        <f t="shared" si="22"/>
        <v>0</v>
      </c>
      <c r="I59" s="43">
        <f t="shared" si="22"/>
        <v>1.1904761904761904E-2</v>
      </c>
      <c r="J59" s="43">
        <f t="shared" si="22"/>
        <v>0</v>
      </c>
      <c r="K59" s="43">
        <f t="shared" si="22"/>
        <v>6.41025641025641E-3</v>
      </c>
      <c r="L59" s="43">
        <f t="shared" si="22"/>
        <v>0</v>
      </c>
      <c r="M59" s="43">
        <f t="shared" si="22"/>
        <v>0.85256410256410253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0.47204968944099379</v>
      </c>
      <c r="D60" s="44">
        <f t="shared" ref="D60:N60" si="23">D58/$O$58</f>
        <v>0.19254658385093168</v>
      </c>
      <c r="E60" s="44">
        <f t="shared" si="23"/>
        <v>8.0745341614906832E-2</v>
      </c>
      <c r="F60" s="44">
        <f t="shared" si="23"/>
        <v>0.13043478260869565</v>
      </c>
      <c r="G60" s="44">
        <f t="shared" si="23"/>
        <v>0</v>
      </c>
      <c r="H60" s="44">
        <f t="shared" si="23"/>
        <v>0</v>
      </c>
      <c r="I60" s="44">
        <f t="shared" si="23"/>
        <v>8.0745341614906832E-2</v>
      </c>
      <c r="J60" s="44">
        <f t="shared" si="23"/>
        <v>0</v>
      </c>
      <c r="K60" s="44">
        <f t="shared" si="23"/>
        <v>4.3478260869565216E-2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G5" sqref="G5:H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'23.09.19 -Munyonyo-Kigo'!C3:G3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'23.09.19 -Munyonyo-Kigo'!D5</f>
        <v>23.09.19</v>
      </c>
      <c r="E5" s="3"/>
      <c r="F5" s="41" t="s">
        <v>1</v>
      </c>
      <c r="G5" s="66" t="str">
        <f>'23.09.19 -Munyonyo-Kigo'!G5:H5</f>
        <v>LWEZA KAMUCHANGA</v>
      </c>
      <c r="H5" s="67"/>
      <c r="I5" s="14"/>
      <c r="J5" s="2" t="s">
        <v>5</v>
      </c>
      <c r="K5" s="66" t="s">
        <v>168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165</v>
      </c>
      <c r="E6" s="61"/>
      <c r="F6" s="2" t="s">
        <v>2</v>
      </c>
      <c r="G6" s="60" t="s">
        <v>164</v>
      </c>
      <c r="H6" s="61"/>
      <c r="J6" s="2" t="s">
        <v>21</v>
      </c>
      <c r="K6" s="66" t="str">
        <f>'23.09.19 -Munyonyo-Kigo'!K6:L6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30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31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1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122</v>
      </c>
      <c r="AD10" s="17">
        <f t="shared" si="2"/>
        <v>0</v>
      </c>
      <c r="AE10" s="31">
        <f t="shared" si="2"/>
        <v>3</v>
      </c>
      <c r="AF10" s="31">
        <f t="shared" si="2"/>
        <v>125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5">
        <f t="shared" si="0"/>
        <v>1</v>
      </c>
      <c r="P11" s="15">
        <f t="shared" si="1"/>
        <v>36</v>
      </c>
      <c r="R11" s="1" t="s">
        <v>7</v>
      </c>
      <c r="S11" s="17">
        <f t="shared" ref="S11:AF11" si="3">SUM(C14:C17)</f>
        <v>1</v>
      </c>
      <c r="T11" s="17">
        <f t="shared" si="3"/>
        <v>1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106</v>
      </c>
      <c r="AD11" s="17">
        <f t="shared" si="3"/>
        <v>0</v>
      </c>
      <c r="AE11" s="31">
        <f t="shared" si="3"/>
        <v>3</v>
      </c>
      <c r="AF11" s="31">
        <f t="shared" si="3"/>
        <v>109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30</v>
      </c>
      <c r="N12" s="50">
        <v>0</v>
      </c>
      <c r="O12" s="15">
        <f t="shared" si="0"/>
        <v>1</v>
      </c>
      <c r="P12" s="15">
        <f t="shared" si="1"/>
        <v>31</v>
      </c>
      <c r="R12" s="1" t="s">
        <v>8</v>
      </c>
      <c r="S12" s="17">
        <f t="shared" ref="S12:AF12" si="4">SUM(C18:C21)</f>
        <v>4</v>
      </c>
      <c r="T12" s="17">
        <f t="shared" si="4"/>
        <v>3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69</v>
      </c>
      <c r="AD12" s="17">
        <f t="shared" si="4"/>
        <v>0</v>
      </c>
      <c r="AE12" s="31">
        <f t="shared" si="4"/>
        <v>8</v>
      </c>
      <c r="AF12" s="31">
        <f t="shared" si="4"/>
        <v>77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27</v>
      </c>
      <c r="N13" s="50">
        <v>0</v>
      </c>
      <c r="O13" s="15">
        <f t="shared" si="0"/>
        <v>0</v>
      </c>
      <c r="P13" s="15">
        <f t="shared" si="1"/>
        <v>27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69</v>
      </c>
      <c r="AD13" s="17">
        <f t="shared" si="5"/>
        <v>0</v>
      </c>
      <c r="AE13" s="31">
        <f t="shared" si="5"/>
        <v>0</v>
      </c>
      <c r="AF13" s="31">
        <f t="shared" si="5"/>
        <v>69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32</v>
      </c>
      <c r="N14" s="50">
        <v>0</v>
      </c>
      <c r="O14" s="15">
        <f t="shared" si="0"/>
        <v>1</v>
      </c>
      <c r="P14" s="15">
        <f t="shared" si="1"/>
        <v>33</v>
      </c>
      <c r="R14" s="1" t="s">
        <v>10</v>
      </c>
      <c r="S14" s="17">
        <f t="shared" ref="S14:AF14" si="6">SUM(C26:C29)</f>
        <v>1</v>
      </c>
      <c r="T14" s="17">
        <f t="shared" si="6"/>
        <v>1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76</v>
      </c>
      <c r="AD14" s="17">
        <f t="shared" si="6"/>
        <v>0</v>
      </c>
      <c r="AE14" s="31">
        <f t="shared" si="6"/>
        <v>4</v>
      </c>
      <c r="AF14" s="31">
        <f t="shared" si="6"/>
        <v>80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35</v>
      </c>
      <c r="N15" s="50">
        <v>0</v>
      </c>
      <c r="O15" s="15">
        <f t="shared" si="0"/>
        <v>0</v>
      </c>
      <c r="P15" s="15">
        <f t="shared" si="1"/>
        <v>35</v>
      </c>
      <c r="R15" s="1" t="s">
        <v>11</v>
      </c>
      <c r="S15" s="17">
        <f t="shared" ref="S15:AF15" si="7">SUM(C30:C33)</f>
        <v>2</v>
      </c>
      <c r="T15" s="17">
        <f t="shared" si="7"/>
        <v>2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60</v>
      </c>
      <c r="AD15" s="17">
        <f t="shared" si="7"/>
        <v>0</v>
      </c>
      <c r="AE15" s="31">
        <f t="shared" si="7"/>
        <v>4</v>
      </c>
      <c r="AF15" s="31">
        <f t="shared" si="7"/>
        <v>64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0</v>
      </c>
      <c r="P16" s="15">
        <f t="shared" si="1"/>
        <v>15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40</v>
      </c>
      <c r="AD16" s="17">
        <f t="shared" si="8"/>
        <v>0</v>
      </c>
      <c r="AE16" s="31">
        <f t="shared" si="8"/>
        <v>2</v>
      </c>
      <c r="AF16" s="31">
        <f t="shared" si="8"/>
        <v>42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24</v>
      </c>
      <c r="N17" s="50">
        <v>0</v>
      </c>
      <c r="O17" s="15">
        <f t="shared" si="0"/>
        <v>2</v>
      </c>
      <c r="P17" s="15">
        <f t="shared" si="1"/>
        <v>26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54</v>
      </c>
      <c r="AD17" s="17">
        <f t="shared" si="9"/>
        <v>0</v>
      </c>
      <c r="AE17" s="31">
        <f t="shared" si="9"/>
        <v>1</v>
      </c>
      <c r="AF17" s="31">
        <f t="shared" si="9"/>
        <v>55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1</v>
      </c>
      <c r="P18" s="15">
        <f t="shared" si="1"/>
        <v>16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47</v>
      </c>
      <c r="AD18" s="17">
        <f t="shared" si="10"/>
        <v>0</v>
      </c>
      <c r="AE18" s="31">
        <f t="shared" si="10"/>
        <v>2</v>
      </c>
      <c r="AF18" s="31">
        <f t="shared" si="10"/>
        <v>49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20</v>
      </c>
      <c r="N19" s="50">
        <v>0</v>
      </c>
      <c r="O19" s="15">
        <f t="shared" si="0"/>
        <v>1</v>
      </c>
      <c r="P19" s="15">
        <f t="shared" si="1"/>
        <v>21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72</v>
      </c>
      <c r="AD19" s="17">
        <f t="shared" si="11"/>
        <v>0</v>
      </c>
      <c r="AE19" s="31">
        <f t="shared" si="11"/>
        <v>1</v>
      </c>
      <c r="AF19" s="31">
        <f t="shared" si="11"/>
        <v>73</v>
      </c>
    </row>
    <row r="20" spans="2:32" ht="23.1" customHeight="1" x14ac:dyDescent="0.25">
      <c r="B20" s="23" t="s">
        <v>47</v>
      </c>
      <c r="C20" s="50">
        <v>3</v>
      </c>
      <c r="D20" s="50">
        <v>2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20</v>
      </c>
      <c r="N20" s="50">
        <v>0</v>
      </c>
      <c r="O20" s="15">
        <f t="shared" si="0"/>
        <v>5</v>
      </c>
      <c r="P20" s="15">
        <f t="shared" si="1"/>
        <v>25</v>
      </c>
      <c r="R20" s="1" t="s">
        <v>16</v>
      </c>
      <c r="S20" s="17">
        <f t="shared" ref="S20:AF20" si="12">SUM(C50:C53)</f>
        <v>2</v>
      </c>
      <c r="T20" s="17">
        <f t="shared" si="12"/>
        <v>0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75</v>
      </c>
      <c r="AD20" s="17">
        <f t="shared" si="12"/>
        <v>0</v>
      </c>
      <c r="AE20" s="31">
        <f t="shared" si="12"/>
        <v>4</v>
      </c>
      <c r="AF20" s="31">
        <f t="shared" si="12"/>
        <v>79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14</v>
      </c>
      <c r="N21" s="50">
        <v>0</v>
      </c>
      <c r="O21" s="15">
        <f t="shared" si="0"/>
        <v>1</v>
      </c>
      <c r="P21" s="15">
        <f t="shared" si="1"/>
        <v>15</v>
      </c>
      <c r="R21" s="36" t="s">
        <v>20</v>
      </c>
      <c r="S21" s="34">
        <f t="shared" ref="S21:AF21" si="13">SUM(C54:C57)</f>
        <v>1</v>
      </c>
      <c r="T21" s="17">
        <f t="shared" si="13"/>
        <v>2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92</v>
      </c>
      <c r="AD21" s="17">
        <f t="shared" si="13"/>
        <v>0</v>
      </c>
      <c r="AE21" s="31">
        <f t="shared" si="13"/>
        <v>4</v>
      </c>
      <c r="AF21" s="31">
        <f t="shared" si="13"/>
        <v>96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17</v>
      </c>
      <c r="N22" s="50">
        <v>0</v>
      </c>
      <c r="O22" s="15">
        <f t="shared" si="0"/>
        <v>0</v>
      </c>
      <c r="P22" s="15">
        <f t="shared" si="1"/>
        <v>17</v>
      </c>
      <c r="R22" s="38" t="s">
        <v>90</v>
      </c>
      <c r="S22" s="39">
        <f>MAX(S10:S12)</f>
        <v>4</v>
      </c>
      <c r="T22" s="39">
        <f t="shared" ref="T22:AF22" si="14">MAX(T10:T12)</f>
        <v>3</v>
      </c>
      <c r="U22" s="39">
        <f t="shared" si="14"/>
        <v>1</v>
      </c>
      <c r="V22" s="39">
        <f t="shared" si="14"/>
        <v>0</v>
      </c>
      <c r="W22" s="39">
        <f t="shared" si="14"/>
        <v>1</v>
      </c>
      <c r="X22" s="39">
        <f t="shared" si="14"/>
        <v>0</v>
      </c>
      <c r="Y22" s="39">
        <f t="shared" si="14"/>
        <v>1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122</v>
      </c>
      <c r="AD22" s="39">
        <f t="shared" si="14"/>
        <v>0</v>
      </c>
      <c r="AE22" s="40">
        <f t="shared" si="14"/>
        <v>8</v>
      </c>
      <c r="AF22" s="40">
        <f t="shared" si="14"/>
        <v>125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0</v>
      </c>
      <c r="P23" s="15">
        <f t="shared" si="1"/>
        <v>18</v>
      </c>
      <c r="R23" s="38" t="s">
        <v>91</v>
      </c>
      <c r="S23" s="39">
        <f>MAX(S13:S18)</f>
        <v>2</v>
      </c>
      <c r="T23" s="39">
        <f t="shared" ref="T23:AF23" si="15">MAX(T13:T18)</f>
        <v>2</v>
      </c>
      <c r="U23" s="39">
        <f t="shared" si="15"/>
        <v>1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1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76</v>
      </c>
      <c r="AD23" s="39">
        <f t="shared" si="15"/>
        <v>0</v>
      </c>
      <c r="AE23" s="40">
        <f t="shared" si="15"/>
        <v>4</v>
      </c>
      <c r="AF23" s="40">
        <f t="shared" si="15"/>
        <v>80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16</v>
      </c>
      <c r="N24" s="50">
        <v>0</v>
      </c>
      <c r="O24" s="15">
        <f t="shared" si="0"/>
        <v>0</v>
      </c>
      <c r="P24" s="15">
        <f t="shared" si="1"/>
        <v>16</v>
      </c>
      <c r="R24" s="38" t="s">
        <v>92</v>
      </c>
      <c r="S24" s="39">
        <f>MAX(S19:S21)</f>
        <v>2</v>
      </c>
      <c r="T24" s="39">
        <f t="shared" ref="T24:AF24" si="16">MAX(T19:T21)</f>
        <v>2</v>
      </c>
      <c r="U24" s="39">
        <f t="shared" si="16"/>
        <v>0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92</v>
      </c>
      <c r="AD24" s="39">
        <f t="shared" si="16"/>
        <v>0</v>
      </c>
      <c r="AE24" s="40">
        <f t="shared" si="16"/>
        <v>4</v>
      </c>
      <c r="AF24" s="40">
        <f t="shared" si="16"/>
        <v>96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0</v>
      </c>
      <c r="P25" s="15">
        <f t="shared" si="1"/>
        <v>18</v>
      </c>
      <c r="R25" s="37" t="s">
        <v>85</v>
      </c>
      <c r="S25" s="35">
        <f t="shared" ref="S25:AF25" si="17">SUM(S10:S12)</f>
        <v>7</v>
      </c>
      <c r="T25" s="16">
        <f t="shared" si="17"/>
        <v>4</v>
      </c>
      <c r="U25" s="16">
        <f t="shared" si="17"/>
        <v>1</v>
      </c>
      <c r="V25" s="16">
        <f t="shared" si="17"/>
        <v>0</v>
      </c>
      <c r="W25" s="16">
        <f t="shared" si="17"/>
        <v>1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297</v>
      </c>
      <c r="AD25" s="16">
        <f t="shared" si="17"/>
        <v>0</v>
      </c>
      <c r="AE25" s="32">
        <f t="shared" si="17"/>
        <v>14</v>
      </c>
      <c r="AF25" s="32">
        <f t="shared" si="17"/>
        <v>311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0</v>
      </c>
      <c r="P26" s="15">
        <f t="shared" si="1"/>
        <v>17</v>
      </c>
      <c r="R26" s="28" t="s">
        <v>86</v>
      </c>
      <c r="S26" s="16">
        <f t="shared" ref="S26:AF26" si="18">SUM(S13:S18)</f>
        <v>4</v>
      </c>
      <c r="T26" s="16">
        <f t="shared" si="18"/>
        <v>3</v>
      </c>
      <c r="U26" s="16">
        <f t="shared" si="18"/>
        <v>1</v>
      </c>
      <c r="V26" s="16">
        <f t="shared" si="18"/>
        <v>3</v>
      </c>
      <c r="W26" s="16">
        <f t="shared" si="18"/>
        <v>0</v>
      </c>
      <c r="X26" s="16">
        <f t="shared" si="18"/>
        <v>0</v>
      </c>
      <c r="Y26" s="16">
        <f t="shared" si="18"/>
        <v>1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346</v>
      </c>
      <c r="AD26" s="16">
        <f t="shared" si="18"/>
        <v>0</v>
      </c>
      <c r="AE26" s="32">
        <f t="shared" si="18"/>
        <v>13</v>
      </c>
      <c r="AF26" s="32">
        <f t="shared" si="18"/>
        <v>359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14</v>
      </c>
      <c r="N27" s="50">
        <v>0</v>
      </c>
      <c r="O27" s="15">
        <f t="shared" si="0"/>
        <v>2</v>
      </c>
      <c r="P27" s="15">
        <f t="shared" si="1"/>
        <v>16</v>
      </c>
      <c r="R27" s="29" t="s">
        <v>87</v>
      </c>
      <c r="S27" s="16">
        <f t="shared" ref="S27:AF27" si="19">SUM(S19:S21)</f>
        <v>4</v>
      </c>
      <c r="T27" s="16">
        <f t="shared" si="19"/>
        <v>2</v>
      </c>
      <c r="U27" s="16">
        <f t="shared" si="19"/>
        <v>0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239</v>
      </c>
      <c r="AD27" s="16">
        <f t="shared" si="19"/>
        <v>0</v>
      </c>
      <c r="AE27" s="32">
        <f t="shared" si="19"/>
        <v>9</v>
      </c>
      <c r="AF27" s="32">
        <f t="shared" si="19"/>
        <v>248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23</v>
      </c>
      <c r="N28" s="50">
        <v>0</v>
      </c>
      <c r="O28" s="15">
        <f t="shared" si="0"/>
        <v>2</v>
      </c>
      <c r="P28" s="15">
        <f t="shared" si="1"/>
        <v>25</v>
      </c>
      <c r="R28" s="5" t="s">
        <v>17</v>
      </c>
      <c r="S28" s="16">
        <f t="shared" ref="S28:AF28" si="20">SUM(S10:S21)</f>
        <v>15</v>
      </c>
      <c r="T28" s="16">
        <f t="shared" si="20"/>
        <v>9</v>
      </c>
      <c r="U28" s="16">
        <f t="shared" si="20"/>
        <v>2</v>
      </c>
      <c r="V28" s="16">
        <f t="shared" si="20"/>
        <v>5</v>
      </c>
      <c r="W28" s="16">
        <f t="shared" si="20"/>
        <v>1</v>
      </c>
      <c r="X28" s="16">
        <f t="shared" si="20"/>
        <v>0</v>
      </c>
      <c r="Y28" s="16">
        <f t="shared" si="20"/>
        <v>3</v>
      </c>
      <c r="Z28" s="16">
        <f t="shared" si="20"/>
        <v>1</v>
      </c>
      <c r="AA28" s="16">
        <f t="shared" si="20"/>
        <v>0</v>
      </c>
      <c r="AB28" s="16">
        <f t="shared" si="20"/>
        <v>0</v>
      </c>
      <c r="AC28" s="16">
        <f t="shared" si="20"/>
        <v>882</v>
      </c>
      <c r="AD28" s="16">
        <f t="shared" si="20"/>
        <v>0</v>
      </c>
      <c r="AE28" s="32">
        <f t="shared" si="20"/>
        <v>36</v>
      </c>
      <c r="AF28" s="32">
        <f t="shared" si="20"/>
        <v>918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22</v>
      </c>
      <c r="N29" s="50">
        <v>0</v>
      </c>
      <c r="O29" s="15">
        <f t="shared" si="0"/>
        <v>0</v>
      </c>
      <c r="P29" s="15">
        <f t="shared" si="1"/>
        <v>22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1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14</v>
      </c>
      <c r="N31" s="50">
        <v>0</v>
      </c>
      <c r="O31" s="15">
        <f t="shared" si="0"/>
        <v>1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20</v>
      </c>
      <c r="N32" s="50">
        <v>0</v>
      </c>
      <c r="O32" s="15">
        <f t="shared" si="0"/>
        <v>0</v>
      </c>
      <c r="P32" s="15">
        <f t="shared" si="1"/>
        <v>20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11</v>
      </c>
      <c r="N33" s="50">
        <v>0</v>
      </c>
      <c r="O33" s="15">
        <f t="shared" si="0"/>
        <v>2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11</v>
      </c>
      <c r="N34" s="50">
        <v>0</v>
      </c>
      <c r="O34" s="15">
        <f t="shared" si="0"/>
        <v>1</v>
      </c>
      <c r="P34" s="15">
        <f t="shared" si="1"/>
        <v>12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1</v>
      </c>
      <c r="P35" s="15">
        <f t="shared" si="1"/>
        <v>16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5">
        <f t="shared" si="0"/>
        <v>0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7</v>
      </c>
      <c r="N37" s="50">
        <v>0</v>
      </c>
      <c r="O37" s="15">
        <f t="shared" si="0"/>
        <v>0</v>
      </c>
      <c r="P37" s="15">
        <f t="shared" si="1"/>
        <v>7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0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17</v>
      </c>
      <c r="N39" s="50">
        <v>0</v>
      </c>
      <c r="O39" s="15">
        <f t="shared" si="0"/>
        <v>1</v>
      </c>
      <c r="P39" s="15">
        <f t="shared" si="1"/>
        <v>18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0</v>
      </c>
      <c r="P40" s="15">
        <f t="shared" si="1"/>
        <v>15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10</v>
      </c>
      <c r="N41" s="50">
        <v>0</v>
      </c>
      <c r="O41" s="15">
        <f t="shared" si="0"/>
        <v>0</v>
      </c>
      <c r="P41" s="15">
        <f t="shared" si="1"/>
        <v>10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15</v>
      </c>
      <c r="N42" s="50">
        <v>0</v>
      </c>
      <c r="O42" s="15">
        <f t="shared" si="0"/>
        <v>1</v>
      </c>
      <c r="P42" s="15">
        <f t="shared" si="1"/>
        <v>16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18</v>
      </c>
      <c r="N43" s="50">
        <v>0</v>
      </c>
      <c r="O43" s="15">
        <f t="shared" si="0"/>
        <v>0</v>
      </c>
      <c r="P43" s="15">
        <f t="shared" si="1"/>
        <v>18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1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0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0</v>
      </c>
      <c r="P46" s="15">
        <f t="shared" si="1"/>
        <v>18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27</v>
      </c>
      <c r="N47" s="50">
        <v>0</v>
      </c>
      <c r="O47" s="15">
        <f t="shared" si="0"/>
        <v>0</v>
      </c>
      <c r="P47" s="15">
        <f t="shared" si="1"/>
        <v>27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14</v>
      </c>
      <c r="N48" s="50">
        <v>0</v>
      </c>
      <c r="O48" s="15">
        <f t="shared" si="0"/>
        <v>1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13</v>
      </c>
      <c r="N49" s="50">
        <v>0</v>
      </c>
      <c r="O49" s="15">
        <f t="shared" si="0"/>
        <v>0</v>
      </c>
      <c r="P49" s="15">
        <f t="shared" si="1"/>
        <v>13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24</v>
      </c>
      <c r="N50" s="50">
        <v>0</v>
      </c>
      <c r="O50" s="15">
        <f t="shared" si="0"/>
        <v>1</v>
      </c>
      <c r="P50" s="15">
        <f t="shared" si="1"/>
        <v>25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21</v>
      </c>
      <c r="N51" s="50">
        <v>0</v>
      </c>
      <c r="O51" s="15">
        <f t="shared" si="0"/>
        <v>1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1</v>
      </c>
      <c r="P52" s="15">
        <f t="shared" si="1"/>
        <v>14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17</v>
      </c>
      <c r="N53" s="50">
        <v>0</v>
      </c>
      <c r="O53" s="15">
        <f t="shared" si="0"/>
        <v>1</v>
      </c>
      <c r="P53" s="15">
        <f t="shared" si="1"/>
        <v>18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26</v>
      </c>
      <c r="N54" s="50">
        <v>0</v>
      </c>
      <c r="O54" s="15">
        <f t="shared" si="0"/>
        <v>1</v>
      </c>
      <c r="P54" s="15">
        <f t="shared" si="1"/>
        <v>27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23</v>
      </c>
      <c r="N55" s="50">
        <v>0</v>
      </c>
      <c r="O55" s="15">
        <f t="shared" si="0"/>
        <v>1</v>
      </c>
      <c r="P55" s="15">
        <f t="shared" si="1"/>
        <v>24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27</v>
      </c>
      <c r="N56" s="50">
        <v>0</v>
      </c>
      <c r="O56" s="15">
        <f t="shared" si="0"/>
        <v>1</v>
      </c>
      <c r="P56" s="15">
        <f t="shared" si="1"/>
        <v>28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16</v>
      </c>
      <c r="N57" s="50">
        <v>0</v>
      </c>
      <c r="O57" s="15">
        <f t="shared" si="0"/>
        <v>1</v>
      </c>
      <c r="P57" s="15">
        <f t="shared" si="1"/>
        <v>17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</v>
      </c>
      <c r="D58" s="16">
        <f t="shared" si="21"/>
        <v>9</v>
      </c>
      <c r="E58" s="16">
        <f t="shared" si="21"/>
        <v>2</v>
      </c>
      <c r="F58" s="16">
        <f t="shared" si="21"/>
        <v>5</v>
      </c>
      <c r="G58" s="16">
        <f t="shared" si="21"/>
        <v>1</v>
      </c>
      <c r="H58" s="16">
        <f t="shared" si="21"/>
        <v>0</v>
      </c>
      <c r="I58" s="16">
        <f t="shared" si="21"/>
        <v>3</v>
      </c>
      <c r="J58" s="16">
        <f t="shared" si="21"/>
        <v>1</v>
      </c>
      <c r="K58" s="16">
        <f t="shared" si="21"/>
        <v>0</v>
      </c>
      <c r="L58" s="16">
        <f t="shared" si="21"/>
        <v>0</v>
      </c>
      <c r="M58" s="16">
        <f t="shared" si="21"/>
        <v>882</v>
      </c>
      <c r="N58" s="16">
        <f t="shared" si="21"/>
        <v>0</v>
      </c>
      <c r="O58" s="16">
        <f t="shared" si="21"/>
        <v>36</v>
      </c>
      <c r="P58" s="16">
        <f t="shared" si="21"/>
        <v>918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1.6339869281045753E-2</v>
      </c>
      <c r="D59" s="43">
        <f t="shared" si="22"/>
        <v>9.8039215686274508E-3</v>
      </c>
      <c r="E59" s="43">
        <f t="shared" si="22"/>
        <v>2.1786492374727671E-3</v>
      </c>
      <c r="F59" s="43">
        <f t="shared" si="22"/>
        <v>5.4466230936819175E-3</v>
      </c>
      <c r="G59" s="43">
        <f t="shared" si="22"/>
        <v>1.0893246187363835E-3</v>
      </c>
      <c r="H59" s="43">
        <f t="shared" si="22"/>
        <v>0</v>
      </c>
      <c r="I59" s="43">
        <f t="shared" si="22"/>
        <v>3.2679738562091504E-3</v>
      </c>
      <c r="J59" s="43">
        <f t="shared" si="22"/>
        <v>1.0893246187363835E-3</v>
      </c>
      <c r="K59" s="43">
        <f t="shared" si="22"/>
        <v>0</v>
      </c>
      <c r="L59" s="43">
        <f t="shared" si="22"/>
        <v>0</v>
      </c>
      <c r="M59" s="43">
        <f t="shared" si="22"/>
        <v>0.96078431372549022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0.41666666666666669</v>
      </c>
      <c r="D60" s="44">
        <f t="shared" ref="D60:N60" si="23">D58/$O$58</f>
        <v>0.25</v>
      </c>
      <c r="E60" s="44">
        <f t="shared" si="23"/>
        <v>5.5555555555555552E-2</v>
      </c>
      <c r="F60" s="44">
        <f t="shared" si="23"/>
        <v>0.1388888888888889</v>
      </c>
      <c r="G60" s="44">
        <f t="shared" si="23"/>
        <v>2.7777777777777776E-2</v>
      </c>
      <c r="H60" s="44">
        <f t="shared" si="23"/>
        <v>0</v>
      </c>
      <c r="I60" s="44">
        <f t="shared" si="23"/>
        <v>8.3333333333333329E-2</v>
      </c>
      <c r="J60" s="44">
        <f t="shared" si="23"/>
        <v>2.7777777777777776E-2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">
        <v>171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173</v>
      </c>
      <c r="F5" s="41" t="s">
        <v>1</v>
      </c>
      <c r="G5" s="60" t="s">
        <v>172</v>
      </c>
      <c r="H5" s="61"/>
      <c r="I5" s="14"/>
      <c r="J5" s="2" t="s">
        <v>5</v>
      </c>
      <c r="K5" s="60" t="s">
        <v>166</v>
      </c>
      <c r="L5" s="6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0" t="s">
        <v>164</v>
      </c>
      <c r="E6" s="61"/>
      <c r="F6" s="2" t="s">
        <v>2</v>
      </c>
      <c r="G6" s="60" t="s">
        <v>165</v>
      </c>
      <c r="H6" s="61"/>
      <c r="J6" s="2" t="s">
        <v>21</v>
      </c>
      <c r="K6" s="60" t="s">
        <v>167</v>
      </c>
      <c r="L6" s="6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0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24</v>
      </c>
      <c r="N10" s="50">
        <v>0</v>
      </c>
      <c r="O10" s="17">
        <f t="shared" ref="O10:O57" si="0">SUM(C10:L10,N10)</f>
        <v>7</v>
      </c>
      <c r="P10" s="17">
        <f t="shared" ref="P10:P57" si="1">SUM(C10:N10)</f>
        <v>31</v>
      </c>
      <c r="R10" s="1" t="s">
        <v>6</v>
      </c>
      <c r="S10" s="17">
        <f t="shared" ref="S10:AF10" si="2">SUM(C10:C13)</f>
        <v>9</v>
      </c>
      <c r="T10" s="17">
        <f t="shared" si="2"/>
        <v>3</v>
      </c>
      <c r="U10" s="17">
        <f t="shared" si="2"/>
        <v>0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118</v>
      </c>
      <c r="AD10" s="17">
        <f t="shared" si="2"/>
        <v>0</v>
      </c>
      <c r="AE10" s="31">
        <f t="shared" si="2"/>
        <v>18</v>
      </c>
      <c r="AF10" s="31">
        <f t="shared" si="2"/>
        <v>136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25</v>
      </c>
      <c r="N11" s="50">
        <v>0</v>
      </c>
      <c r="O11" s="17">
        <f t="shared" si="0"/>
        <v>5</v>
      </c>
      <c r="P11" s="17">
        <f t="shared" si="1"/>
        <v>30</v>
      </c>
      <c r="R11" s="1" t="s">
        <v>7</v>
      </c>
      <c r="S11" s="17">
        <f t="shared" ref="S11:AF11" si="3">SUM(C14:C17)</f>
        <v>6</v>
      </c>
      <c r="T11" s="17">
        <f t="shared" si="3"/>
        <v>10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90</v>
      </c>
      <c r="AD11" s="17">
        <f t="shared" si="3"/>
        <v>0</v>
      </c>
      <c r="AE11" s="31">
        <f t="shared" si="3"/>
        <v>20</v>
      </c>
      <c r="AF11" s="31">
        <f t="shared" si="3"/>
        <v>110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38</v>
      </c>
      <c r="N12" s="50">
        <v>0</v>
      </c>
      <c r="O12" s="17">
        <f t="shared" si="0"/>
        <v>3</v>
      </c>
      <c r="P12" s="17">
        <f t="shared" si="1"/>
        <v>41</v>
      </c>
      <c r="R12" s="1" t="s">
        <v>8</v>
      </c>
      <c r="S12" s="17">
        <f t="shared" ref="S12:AF12" si="4">SUM(C18:C21)</f>
        <v>2</v>
      </c>
      <c r="T12" s="17">
        <f t="shared" si="4"/>
        <v>3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61</v>
      </c>
      <c r="AD12" s="17">
        <f t="shared" si="4"/>
        <v>0</v>
      </c>
      <c r="AE12" s="31">
        <f t="shared" si="4"/>
        <v>6</v>
      </c>
      <c r="AF12" s="31">
        <f t="shared" si="4"/>
        <v>67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31</v>
      </c>
      <c r="N13" s="50">
        <v>0</v>
      </c>
      <c r="O13" s="17">
        <f t="shared" si="0"/>
        <v>3</v>
      </c>
      <c r="P13" s="17">
        <f t="shared" si="1"/>
        <v>34</v>
      </c>
      <c r="R13" s="1" t="s">
        <v>9</v>
      </c>
      <c r="S13" s="17">
        <f t="shared" ref="S13:AF13" si="5">SUM(C22:C25)</f>
        <v>8</v>
      </c>
      <c r="T13" s="17">
        <f t="shared" si="5"/>
        <v>3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73</v>
      </c>
      <c r="AD13" s="17">
        <f t="shared" si="5"/>
        <v>0</v>
      </c>
      <c r="AE13" s="31">
        <f t="shared" si="5"/>
        <v>12</v>
      </c>
      <c r="AF13" s="31">
        <f t="shared" si="5"/>
        <v>85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30</v>
      </c>
      <c r="N14" s="50">
        <v>0</v>
      </c>
      <c r="O14" s="17">
        <f t="shared" si="0"/>
        <v>2</v>
      </c>
      <c r="P14" s="17">
        <f t="shared" si="1"/>
        <v>32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82</v>
      </c>
      <c r="AD14" s="17">
        <f t="shared" si="6"/>
        <v>0</v>
      </c>
      <c r="AE14" s="31">
        <f t="shared" si="6"/>
        <v>6</v>
      </c>
      <c r="AF14" s="31">
        <f t="shared" si="6"/>
        <v>88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38</v>
      </c>
      <c r="N15" s="50">
        <v>0</v>
      </c>
      <c r="O15" s="17">
        <f t="shared" si="0"/>
        <v>4</v>
      </c>
      <c r="P15" s="17">
        <f t="shared" si="1"/>
        <v>42</v>
      </c>
      <c r="R15" s="1" t="s">
        <v>11</v>
      </c>
      <c r="S15" s="17">
        <f t="shared" ref="S15:AF15" si="7">SUM(C30:C33)</f>
        <v>5</v>
      </c>
      <c r="T15" s="17">
        <f t="shared" si="7"/>
        <v>3</v>
      </c>
      <c r="U15" s="17">
        <f t="shared" si="7"/>
        <v>1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86</v>
      </c>
      <c r="AD15" s="17">
        <f t="shared" si="7"/>
        <v>0</v>
      </c>
      <c r="AE15" s="31">
        <f t="shared" si="7"/>
        <v>12</v>
      </c>
      <c r="AF15" s="31">
        <f t="shared" si="7"/>
        <v>98</v>
      </c>
    </row>
    <row r="16" spans="2:32" ht="23.1" customHeight="1" x14ac:dyDescent="0.25">
      <c r="B16" s="23" t="s">
        <v>43</v>
      </c>
      <c r="C16" s="50">
        <v>1</v>
      </c>
      <c r="D16" s="50">
        <v>10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7">
        <f t="shared" si="0"/>
        <v>12</v>
      </c>
      <c r="P16" s="17">
        <f t="shared" si="1"/>
        <v>22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52</v>
      </c>
      <c r="AD16" s="17">
        <f t="shared" si="8"/>
        <v>0</v>
      </c>
      <c r="AE16" s="31">
        <f t="shared" si="8"/>
        <v>4</v>
      </c>
      <c r="AF16" s="31">
        <f t="shared" si="8"/>
        <v>56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7">
        <f t="shared" si="0"/>
        <v>2</v>
      </c>
      <c r="P17" s="17">
        <f t="shared" si="1"/>
        <v>14</v>
      </c>
      <c r="R17" s="1" t="s">
        <v>13</v>
      </c>
      <c r="S17" s="17">
        <f t="shared" ref="S17:AF17" si="9">SUM(C38:C41)</f>
        <v>4</v>
      </c>
      <c r="T17" s="17">
        <f t="shared" si="9"/>
        <v>2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2</v>
      </c>
      <c r="AB17" s="17">
        <f t="shared" si="9"/>
        <v>0</v>
      </c>
      <c r="AC17" s="17">
        <f t="shared" si="9"/>
        <v>59</v>
      </c>
      <c r="AD17" s="17">
        <f t="shared" si="9"/>
        <v>0</v>
      </c>
      <c r="AE17" s="31">
        <f t="shared" si="9"/>
        <v>9</v>
      </c>
      <c r="AF17" s="31">
        <f t="shared" si="9"/>
        <v>68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19</v>
      </c>
      <c r="N18" s="50">
        <v>0</v>
      </c>
      <c r="O18" s="17">
        <f t="shared" si="0"/>
        <v>1</v>
      </c>
      <c r="P18" s="17">
        <f t="shared" si="1"/>
        <v>20</v>
      </c>
      <c r="R18" s="1" t="s">
        <v>14</v>
      </c>
      <c r="S18" s="17">
        <f t="shared" ref="S18:AF18" si="10">SUM(C42:C45)</f>
        <v>7</v>
      </c>
      <c r="T18" s="17">
        <f t="shared" si="10"/>
        <v>2</v>
      </c>
      <c r="U18" s="17">
        <f t="shared" si="10"/>
        <v>1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2</v>
      </c>
      <c r="AB18" s="17">
        <f t="shared" si="10"/>
        <v>0</v>
      </c>
      <c r="AC18" s="17">
        <f t="shared" si="10"/>
        <v>56</v>
      </c>
      <c r="AD18" s="17">
        <f t="shared" si="10"/>
        <v>0</v>
      </c>
      <c r="AE18" s="31">
        <f t="shared" si="10"/>
        <v>16</v>
      </c>
      <c r="AF18" s="31">
        <f t="shared" si="10"/>
        <v>72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12</v>
      </c>
      <c r="N19" s="50">
        <v>0</v>
      </c>
      <c r="O19" s="17">
        <f t="shared" si="0"/>
        <v>1</v>
      </c>
      <c r="P19" s="17">
        <f t="shared" si="1"/>
        <v>13</v>
      </c>
      <c r="R19" s="1" t="s">
        <v>15</v>
      </c>
      <c r="S19" s="17">
        <f t="shared" ref="S19:AF19" si="11">SUM(C46:C49)</f>
        <v>7</v>
      </c>
      <c r="T19" s="17">
        <f t="shared" si="11"/>
        <v>3</v>
      </c>
      <c r="U19" s="17">
        <f t="shared" si="11"/>
        <v>3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2</v>
      </c>
      <c r="AB19" s="17">
        <f t="shared" si="11"/>
        <v>0</v>
      </c>
      <c r="AC19" s="17">
        <f t="shared" si="11"/>
        <v>68</v>
      </c>
      <c r="AD19" s="17">
        <f t="shared" si="11"/>
        <v>0</v>
      </c>
      <c r="AE19" s="31">
        <f t="shared" si="11"/>
        <v>18</v>
      </c>
      <c r="AF19" s="31">
        <f t="shared" si="11"/>
        <v>86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16</v>
      </c>
      <c r="N20" s="50">
        <v>0</v>
      </c>
      <c r="O20" s="17">
        <f t="shared" si="0"/>
        <v>1</v>
      </c>
      <c r="P20" s="17">
        <f t="shared" si="1"/>
        <v>17</v>
      </c>
      <c r="R20" s="1" t="s">
        <v>16</v>
      </c>
      <c r="S20" s="17">
        <f t="shared" ref="S20:AF20" si="12">SUM(C50:C53)</f>
        <v>13</v>
      </c>
      <c r="T20" s="17">
        <f t="shared" si="12"/>
        <v>0</v>
      </c>
      <c r="U20" s="17">
        <f t="shared" si="12"/>
        <v>2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85</v>
      </c>
      <c r="AD20" s="17">
        <f t="shared" si="12"/>
        <v>0</v>
      </c>
      <c r="AE20" s="31">
        <f t="shared" si="12"/>
        <v>22</v>
      </c>
      <c r="AF20" s="31">
        <f t="shared" si="12"/>
        <v>107</v>
      </c>
    </row>
    <row r="21" spans="2:32" ht="23.1" customHeight="1" x14ac:dyDescent="0.25">
      <c r="B21" s="23" t="s">
        <v>48</v>
      </c>
      <c r="C21" s="50">
        <v>1</v>
      </c>
      <c r="D21" s="50">
        <v>2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14</v>
      </c>
      <c r="N21" s="50">
        <v>0</v>
      </c>
      <c r="O21" s="17">
        <f t="shared" si="0"/>
        <v>3</v>
      </c>
      <c r="P21" s="17">
        <f t="shared" si="1"/>
        <v>17</v>
      </c>
      <c r="R21" s="36" t="s">
        <v>20</v>
      </c>
      <c r="S21" s="34">
        <f t="shared" ref="S21:AF21" si="13">SUM(C54:C57)</f>
        <v>9</v>
      </c>
      <c r="T21" s="17">
        <f t="shared" si="13"/>
        <v>2</v>
      </c>
      <c r="U21" s="17">
        <f t="shared" si="13"/>
        <v>3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101</v>
      </c>
      <c r="AD21" s="17">
        <f t="shared" si="13"/>
        <v>0</v>
      </c>
      <c r="AE21" s="31">
        <f t="shared" si="13"/>
        <v>18</v>
      </c>
      <c r="AF21" s="31">
        <f t="shared" si="13"/>
        <v>119</v>
      </c>
    </row>
    <row r="22" spans="2:32" ht="23.1" customHeight="1" x14ac:dyDescent="0.25">
      <c r="B22" s="23" t="s">
        <v>49</v>
      </c>
      <c r="C22" s="50">
        <v>3</v>
      </c>
      <c r="D22" s="50">
        <v>2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21</v>
      </c>
      <c r="N22" s="50">
        <v>0</v>
      </c>
      <c r="O22" s="17">
        <f t="shared" si="0"/>
        <v>5</v>
      </c>
      <c r="P22" s="17">
        <f t="shared" si="1"/>
        <v>26</v>
      </c>
      <c r="R22" s="51" t="s">
        <v>90</v>
      </c>
      <c r="S22" s="52">
        <f>MAX(S10:S12)</f>
        <v>9</v>
      </c>
      <c r="T22" s="52">
        <f t="shared" ref="T22:AF22" si="14">MAX(T10:T12)</f>
        <v>10</v>
      </c>
      <c r="U22" s="52">
        <f t="shared" si="14"/>
        <v>2</v>
      </c>
      <c r="V22" s="52">
        <f t="shared" si="14"/>
        <v>6</v>
      </c>
      <c r="W22" s="52">
        <f t="shared" si="14"/>
        <v>0</v>
      </c>
      <c r="X22" s="52">
        <f t="shared" si="14"/>
        <v>0</v>
      </c>
      <c r="Y22" s="52">
        <f t="shared" si="14"/>
        <v>2</v>
      </c>
      <c r="Z22" s="52">
        <f t="shared" si="14"/>
        <v>0</v>
      </c>
      <c r="AA22" s="52">
        <f t="shared" si="14"/>
        <v>0</v>
      </c>
      <c r="AB22" s="52">
        <f t="shared" si="14"/>
        <v>0</v>
      </c>
      <c r="AC22" s="52">
        <f t="shared" si="14"/>
        <v>118</v>
      </c>
      <c r="AD22" s="52">
        <f t="shared" si="14"/>
        <v>0</v>
      </c>
      <c r="AE22" s="40">
        <f t="shared" si="14"/>
        <v>20</v>
      </c>
      <c r="AF22" s="40">
        <f t="shared" si="14"/>
        <v>136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7">
        <f t="shared" si="0"/>
        <v>2</v>
      </c>
      <c r="P23" s="17">
        <f t="shared" si="1"/>
        <v>16</v>
      </c>
      <c r="R23" s="51" t="s">
        <v>91</v>
      </c>
      <c r="S23" s="52">
        <f>MAX(S13:S18)</f>
        <v>8</v>
      </c>
      <c r="T23" s="52">
        <f t="shared" ref="T23:AF23" si="15">MAX(T13:T18)</f>
        <v>3</v>
      </c>
      <c r="U23" s="52">
        <f t="shared" si="15"/>
        <v>1</v>
      </c>
      <c r="V23" s="52">
        <f t="shared" si="15"/>
        <v>3</v>
      </c>
      <c r="W23" s="52">
        <f t="shared" si="15"/>
        <v>0</v>
      </c>
      <c r="X23" s="52">
        <f t="shared" si="15"/>
        <v>0</v>
      </c>
      <c r="Y23" s="52">
        <f t="shared" si="15"/>
        <v>3</v>
      </c>
      <c r="Z23" s="52">
        <f t="shared" si="15"/>
        <v>0</v>
      </c>
      <c r="AA23" s="52">
        <f t="shared" si="15"/>
        <v>2</v>
      </c>
      <c r="AB23" s="52">
        <f t="shared" si="15"/>
        <v>0</v>
      </c>
      <c r="AC23" s="52">
        <f t="shared" si="15"/>
        <v>86</v>
      </c>
      <c r="AD23" s="52">
        <f t="shared" si="15"/>
        <v>0</v>
      </c>
      <c r="AE23" s="40">
        <f t="shared" si="15"/>
        <v>16</v>
      </c>
      <c r="AF23" s="40">
        <f t="shared" si="15"/>
        <v>98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21</v>
      </c>
      <c r="N24" s="50">
        <v>0</v>
      </c>
      <c r="O24" s="17">
        <f t="shared" si="0"/>
        <v>2</v>
      </c>
      <c r="P24" s="17">
        <f t="shared" si="1"/>
        <v>23</v>
      </c>
      <c r="R24" s="51" t="s">
        <v>92</v>
      </c>
      <c r="S24" s="52">
        <f>MAX(S19:S21)</f>
        <v>13</v>
      </c>
      <c r="T24" s="52">
        <f t="shared" ref="T24:AF24" si="16">MAX(T19:T21)</f>
        <v>3</v>
      </c>
      <c r="U24" s="52">
        <f t="shared" si="16"/>
        <v>3</v>
      </c>
      <c r="V24" s="52">
        <f t="shared" si="16"/>
        <v>6</v>
      </c>
      <c r="W24" s="52">
        <f t="shared" si="16"/>
        <v>0</v>
      </c>
      <c r="X24" s="52">
        <f t="shared" si="16"/>
        <v>0</v>
      </c>
      <c r="Y24" s="52">
        <f t="shared" si="16"/>
        <v>2</v>
      </c>
      <c r="Z24" s="52">
        <f t="shared" si="16"/>
        <v>0</v>
      </c>
      <c r="AA24" s="52">
        <f t="shared" si="16"/>
        <v>2</v>
      </c>
      <c r="AB24" s="52">
        <f t="shared" si="16"/>
        <v>0</v>
      </c>
      <c r="AC24" s="52">
        <f t="shared" si="16"/>
        <v>101</v>
      </c>
      <c r="AD24" s="52">
        <f t="shared" si="16"/>
        <v>0</v>
      </c>
      <c r="AE24" s="40">
        <f t="shared" si="16"/>
        <v>22</v>
      </c>
      <c r="AF24" s="40">
        <f t="shared" si="16"/>
        <v>119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17</v>
      </c>
      <c r="N25" s="50">
        <v>0</v>
      </c>
      <c r="O25" s="17">
        <f t="shared" si="0"/>
        <v>3</v>
      </c>
      <c r="P25" s="17">
        <f t="shared" si="1"/>
        <v>20</v>
      </c>
      <c r="R25" s="37" t="s">
        <v>85</v>
      </c>
      <c r="S25" s="35">
        <f t="shared" ref="S25:AF25" si="17">SUM(S10:S12)</f>
        <v>17</v>
      </c>
      <c r="T25" s="16">
        <f t="shared" si="17"/>
        <v>16</v>
      </c>
      <c r="U25" s="16">
        <f t="shared" si="17"/>
        <v>2</v>
      </c>
      <c r="V25" s="16">
        <f t="shared" si="17"/>
        <v>6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269</v>
      </c>
      <c r="AD25" s="16">
        <f t="shared" si="17"/>
        <v>0</v>
      </c>
      <c r="AE25" s="32">
        <f t="shared" si="17"/>
        <v>44</v>
      </c>
      <c r="AF25" s="32">
        <f t="shared" si="17"/>
        <v>313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18</v>
      </c>
      <c r="N26" s="50">
        <v>0</v>
      </c>
      <c r="O26" s="17">
        <f t="shared" si="0"/>
        <v>4</v>
      </c>
      <c r="P26" s="17">
        <f t="shared" si="1"/>
        <v>22</v>
      </c>
      <c r="R26" s="28" t="s">
        <v>86</v>
      </c>
      <c r="S26" s="16">
        <f t="shared" ref="S26:AF26" si="18">SUM(S13:S18)</f>
        <v>30</v>
      </c>
      <c r="T26" s="16">
        <f t="shared" si="18"/>
        <v>10</v>
      </c>
      <c r="U26" s="16">
        <f t="shared" si="18"/>
        <v>3</v>
      </c>
      <c r="V26" s="16">
        <f t="shared" si="18"/>
        <v>4</v>
      </c>
      <c r="W26" s="16">
        <f t="shared" si="18"/>
        <v>0</v>
      </c>
      <c r="X26" s="16">
        <f t="shared" si="18"/>
        <v>0</v>
      </c>
      <c r="Y26" s="16">
        <f t="shared" si="18"/>
        <v>7</v>
      </c>
      <c r="Z26" s="16">
        <f t="shared" si="18"/>
        <v>0</v>
      </c>
      <c r="AA26" s="16">
        <f t="shared" si="18"/>
        <v>5</v>
      </c>
      <c r="AB26" s="16">
        <f t="shared" si="18"/>
        <v>0</v>
      </c>
      <c r="AC26" s="16">
        <f t="shared" si="18"/>
        <v>408</v>
      </c>
      <c r="AD26" s="16">
        <f t="shared" si="18"/>
        <v>0</v>
      </c>
      <c r="AE26" s="32">
        <f t="shared" si="18"/>
        <v>59</v>
      </c>
      <c r="AF26" s="32">
        <f t="shared" si="18"/>
        <v>467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18</v>
      </c>
      <c r="N27" s="50">
        <v>0</v>
      </c>
      <c r="O27" s="17">
        <f t="shared" si="0"/>
        <v>0</v>
      </c>
      <c r="P27" s="17">
        <f t="shared" si="1"/>
        <v>18</v>
      </c>
      <c r="R27" s="29" t="s">
        <v>87</v>
      </c>
      <c r="S27" s="16">
        <f t="shared" ref="S27:AF27" si="19">SUM(S19:S21)</f>
        <v>29</v>
      </c>
      <c r="T27" s="16">
        <f t="shared" si="19"/>
        <v>5</v>
      </c>
      <c r="U27" s="16">
        <f t="shared" si="19"/>
        <v>8</v>
      </c>
      <c r="V27" s="16">
        <f t="shared" si="19"/>
        <v>11</v>
      </c>
      <c r="W27" s="16">
        <f t="shared" si="19"/>
        <v>0</v>
      </c>
      <c r="X27" s="16">
        <f t="shared" si="19"/>
        <v>0</v>
      </c>
      <c r="Y27" s="16">
        <f t="shared" si="19"/>
        <v>3</v>
      </c>
      <c r="Z27" s="16">
        <f t="shared" si="19"/>
        <v>0</v>
      </c>
      <c r="AA27" s="16">
        <f t="shared" si="19"/>
        <v>2</v>
      </c>
      <c r="AB27" s="16">
        <f t="shared" si="19"/>
        <v>0</v>
      </c>
      <c r="AC27" s="16">
        <f t="shared" si="19"/>
        <v>254</v>
      </c>
      <c r="AD27" s="16">
        <f t="shared" si="19"/>
        <v>0</v>
      </c>
      <c r="AE27" s="32">
        <f t="shared" si="19"/>
        <v>58</v>
      </c>
      <c r="AF27" s="32">
        <f t="shared" si="19"/>
        <v>312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25</v>
      </c>
      <c r="N28" s="50">
        <v>0</v>
      </c>
      <c r="O28" s="17">
        <f t="shared" si="0"/>
        <v>1</v>
      </c>
      <c r="P28" s="17">
        <f t="shared" si="1"/>
        <v>26</v>
      </c>
      <c r="R28" s="5" t="s">
        <v>17</v>
      </c>
      <c r="S28" s="16">
        <f t="shared" ref="S28:AF28" si="20">SUM(S10:S21)</f>
        <v>76</v>
      </c>
      <c r="T28" s="16">
        <f t="shared" si="20"/>
        <v>31</v>
      </c>
      <c r="U28" s="16">
        <f t="shared" si="20"/>
        <v>13</v>
      </c>
      <c r="V28" s="16">
        <f t="shared" si="20"/>
        <v>21</v>
      </c>
      <c r="W28" s="16">
        <f t="shared" si="20"/>
        <v>0</v>
      </c>
      <c r="X28" s="16">
        <f t="shared" si="20"/>
        <v>0</v>
      </c>
      <c r="Y28" s="16">
        <f t="shared" si="20"/>
        <v>13</v>
      </c>
      <c r="Z28" s="16">
        <f t="shared" si="20"/>
        <v>0</v>
      </c>
      <c r="AA28" s="16">
        <f t="shared" si="20"/>
        <v>7</v>
      </c>
      <c r="AB28" s="16">
        <f t="shared" si="20"/>
        <v>0</v>
      </c>
      <c r="AC28" s="16">
        <f t="shared" si="20"/>
        <v>931</v>
      </c>
      <c r="AD28" s="16">
        <f t="shared" si="20"/>
        <v>0</v>
      </c>
      <c r="AE28" s="32">
        <f t="shared" si="20"/>
        <v>161</v>
      </c>
      <c r="AF28" s="32">
        <f t="shared" si="20"/>
        <v>1092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21</v>
      </c>
      <c r="N29" s="50">
        <v>0</v>
      </c>
      <c r="O29" s="17">
        <f t="shared" si="0"/>
        <v>1</v>
      </c>
      <c r="P29" s="17">
        <f t="shared" si="1"/>
        <v>22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24</v>
      </c>
      <c r="N30" s="50">
        <v>0</v>
      </c>
      <c r="O30" s="17">
        <f t="shared" si="0"/>
        <v>4</v>
      </c>
      <c r="P30" s="17">
        <f t="shared" si="1"/>
        <v>28</v>
      </c>
      <c r="R30"/>
      <c r="S30" s="19"/>
      <c r="T30" s="19"/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19</v>
      </c>
      <c r="N31" s="50">
        <v>0</v>
      </c>
      <c r="O31" s="17">
        <f t="shared" si="0"/>
        <v>3</v>
      </c>
      <c r="P31" s="17">
        <f t="shared" si="1"/>
        <v>22</v>
      </c>
      <c r="R31"/>
      <c r="S31" s="19"/>
      <c r="T31" s="19"/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30</v>
      </c>
      <c r="N32" s="50">
        <v>0</v>
      </c>
      <c r="O32" s="17">
        <f t="shared" si="0"/>
        <v>2</v>
      </c>
      <c r="P32" s="17">
        <f t="shared" si="1"/>
        <v>32</v>
      </c>
      <c r="R32"/>
      <c r="S32" s="19"/>
      <c r="T32" s="19"/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7">
        <f t="shared" si="0"/>
        <v>3</v>
      </c>
      <c r="P33" s="17">
        <f t="shared" si="1"/>
        <v>16</v>
      </c>
      <c r="R33"/>
      <c r="S33" s="19"/>
      <c r="T33" s="19"/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21</v>
      </c>
      <c r="N34" s="50">
        <v>0</v>
      </c>
      <c r="O34" s="17">
        <f t="shared" si="0"/>
        <v>0</v>
      </c>
      <c r="P34" s="17">
        <f t="shared" si="1"/>
        <v>21</v>
      </c>
      <c r="R34"/>
      <c r="S34" s="19"/>
      <c r="T34" s="19"/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7">
        <f t="shared" si="0"/>
        <v>0</v>
      </c>
      <c r="P35" s="17">
        <f t="shared" si="1"/>
        <v>8</v>
      </c>
      <c r="R35"/>
      <c r="S35" s="19"/>
      <c r="T35" s="19"/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12</v>
      </c>
      <c r="N36" s="50">
        <v>0</v>
      </c>
      <c r="O36" s="17">
        <f t="shared" si="0"/>
        <v>1</v>
      </c>
      <c r="P36" s="17">
        <f t="shared" si="1"/>
        <v>13</v>
      </c>
      <c r="R36"/>
      <c r="S36" s="19"/>
      <c r="T36" s="19"/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11</v>
      </c>
      <c r="N37" s="50">
        <v>0</v>
      </c>
      <c r="O37" s="17">
        <f t="shared" si="0"/>
        <v>3</v>
      </c>
      <c r="P37" s="17">
        <f t="shared" si="1"/>
        <v>14</v>
      </c>
      <c r="R37"/>
      <c r="S37" s="19"/>
      <c r="T37" s="19"/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7">
        <f t="shared" si="0"/>
        <v>1</v>
      </c>
      <c r="P38" s="17">
        <f t="shared" si="1"/>
        <v>12</v>
      </c>
      <c r="R38"/>
      <c r="S38" s="19"/>
      <c r="T38" s="19"/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1</v>
      </c>
      <c r="L39" s="50">
        <v>0</v>
      </c>
      <c r="M39" s="50">
        <v>19</v>
      </c>
      <c r="N39" s="50">
        <v>0</v>
      </c>
      <c r="O39" s="17">
        <f t="shared" si="0"/>
        <v>2</v>
      </c>
      <c r="P39" s="17">
        <f t="shared" si="1"/>
        <v>21</v>
      </c>
      <c r="R39"/>
      <c r="S39" s="19"/>
      <c r="T39" s="19"/>
    </row>
    <row r="40" spans="2:20" ht="23.1" customHeight="1" x14ac:dyDescent="0.25">
      <c r="B40" s="24" t="s">
        <v>67</v>
      </c>
      <c r="C40" s="50">
        <v>2</v>
      </c>
      <c r="D40" s="50">
        <v>2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15</v>
      </c>
      <c r="N40" s="50">
        <v>0</v>
      </c>
      <c r="O40" s="17">
        <f t="shared" si="0"/>
        <v>5</v>
      </c>
      <c r="P40" s="17">
        <f t="shared" si="1"/>
        <v>20</v>
      </c>
      <c r="R40"/>
      <c r="S40" s="19"/>
      <c r="T40" s="19"/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14</v>
      </c>
      <c r="N41" s="50">
        <v>0</v>
      </c>
      <c r="O41" s="17">
        <f t="shared" si="0"/>
        <v>1</v>
      </c>
      <c r="P41" s="17">
        <f t="shared" si="1"/>
        <v>15</v>
      </c>
      <c r="R41"/>
      <c r="S41" s="19"/>
      <c r="T41" s="19"/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1</v>
      </c>
      <c r="L42" s="50">
        <v>0</v>
      </c>
      <c r="M42" s="50">
        <v>8</v>
      </c>
      <c r="N42" s="50">
        <v>0</v>
      </c>
      <c r="O42" s="17">
        <f t="shared" si="0"/>
        <v>4</v>
      </c>
      <c r="P42" s="17">
        <f t="shared" si="1"/>
        <v>12</v>
      </c>
      <c r="R42"/>
      <c r="S42" s="19"/>
      <c r="T42" s="19"/>
    </row>
    <row r="43" spans="2:20" ht="23.1" customHeight="1" x14ac:dyDescent="0.25">
      <c r="B43" s="23" t="s">
        <v>70</v>
      </c>
      <c r="C43" s="50">
        <v>3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24</v>
      </c>
      <c r="N43" s="50">
        <v>0</v>
      </c>
      <c r="O43" s="17">
        <f t="shared" si="0"/>
        <v>5</v>
      </c>
      <c r="P43" s="17">
        <f t="shared" si="1"/>
        <v>29</v>
      </c>
      <c r="R43"/>
      <c r="S43" s="19"/>
      <c r="T43" s="19"/>
    </row>
    <row r="44" spans="2:20" ht="23.1" customHeight="1" x14ac:dyDescent="0.25">
      <c r="B44" s="25" t="s">
        <v>71</v>
      </c>
      <c r="C44" s="50">
        <v>2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7">
        <f t="shared" si="0"/>
        <v>4</v>
      </c>
      <c r="P44" s="17">
        <f t="shared" si="1"/>
        <v>17</v>
      </c>
      <c r="R44"/>
      <c r="S44" s="19"/>
      <c r="T44" s="19"/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11</v>
      </c>
      <c r="N45" s="50">
        <v>0</v>
      </c>
      <c r="O45" s="17">
        <f t="shared" si="0"/>
        <v>3</v>
      </c>
      <c r="P45" s="17">
        <f t="shared" si="1"/>
        <v>14</v>
      </c>
      <c r="R45"/>
      <c r="S45" s="19"/>
      <c r="T45" s="19"/>
    </row>
    <row r="46" spans="2:20" ht="23.1" customHeight="1" x14ac:dyDescent="0.25">
      <c r="B46" s="24" t="s">
        <v>73</v>
      </c>
      <c r="C46" s="50">
        <v>1</v>
      </c>
      <c r="D46" s="50">
        <v>2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15</v>
      </c>
      <c r="N46" s="50">
        <v>0</v>
      </c>
      <c r="O46" s="17">
        <f t="shared" si="0"/>
        <v>3</v>
      </c>
      <c r="P46" s="17">
        <f t="shared" si="1"/>
        <v>18</v>
      </c>
      <c r="R46" s="19"/>
      <c r="S46" s="19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19</v>
      </c>
      <c r="N47" s="50">
        <v>0</v>
      </c>
      <c r="O47" s="17">
        <f t="shared" si="0"/>
        <v>4</v>
      </c>
      <c r="P47" s="17">
        <f t="shared" si="1"/>
        <v>23</v>
      </c>
      <c r="R47" s="19"/>
      <c r="S47" s="19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2</v>
      </c>
      <c r="L48" s="50">
        <v>0</v>
      </c>
      <c r="M48" s="50">
        <v>20</v>
      </c>
      <c r="N48" s="50">
        <v>0</v>
      </c>
      <c r="O48" s="17">
        <f t="shared" si="0"/>
        <v>7</v>
      </c>
      <c r="P48" s="17">
        <f t="shared" si="1"/>
        <v>27</v>
      </c>
      <c r="R48" s="19"/>
      <c r="S48" s="19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7">
        <f t="shared" si="0"/>
        <v>4</v>
      </c>
      <c r="P49" s="17">
        <f t="shared" si="1"/>
        <v>18</v>
      </c>
      <c r="R49" s="19"/>
      <c r="S49" s="19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22</v>
      </c>
      <c r="N50" s="50">
        <v>0</v>
      </c>
      <c r="O50" s="17">
        <f t="shared" si="0"/>
        <v>3</v>
      </c>
      <c r="P50" s="17">
        <f t="shared" si="1"/>
        <v>25</v>
      </c>
      <c r="R50" s="19"/>
      <c r="S50" s="19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30</v>
      </c>
      <c r="N51" s="50">
        <v>0</v>
      </c>
      <c r="O51" s="17">
        <f t="shared" si="0"/>
        <v>4</v>
      </c>
      <c r="P51" s="17">
        <f t="shared" si="1"/>
        <v>34</v>
      </c>
      <c r="R51" s="19"/>
      <c r="S51" s="19"/>
      <c r="T51"/>
    </row>
    <row r="52" spans="2:20" ht="23.1" customHeight="1" x14ac:dyDescent="0.25">
      <c r="B52" s="24" t="s">
        <v>79</v>
      </c>
      <c r="C52" s="50">
        <v>6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7">
        <f t="shared" si="0"/>
        <v>7</v>
      </c>
      <c r="P52" s="17">
        <f t="shared" si="1"/>
        <v>25</v>
      </c>
      <c r="R52" s="19"/>
      <c r="S52" s="19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2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15</v>
      </c>
      <c r="N53" s="50">
        <v>0</v>
      </c>
      <c r="O53" s="17">
        <f t="shared" si="0"/>
        <v>8</v>
      </c>
      <c r="P53" s="17">
        <f t="shared" si="1"/>
        <v>23</v>
      </c>
      <c r="R53" s="19"/>
      <c r="S53" s="19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27</v>
      </c>
      <c r="N54" s="50">
        <v>0</v>
      </c>
      <c r="O54" s="17">
        <f t="shared" si="0"/>
        <v>5</v>
      </c>
      <c r="P54" s="17">
        <f t="shared" si="1"/>
        <v>32</v>
      </c>
      <c r="R54" s="19"/>
      <c r="S54" s="19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21</v>
      </c>
      <c r="N55" s="50">
        <v>0</v>
      </c>
      <c r="O55" s="17">
        <f t="shared" si="0"/>
        <v>2</v>
      </c>
      <c r="P55" s="17">
        <f t="shared" si="1"/>
        <v>23</v>
      </c>
      <c r="R55" s="19"/>
      <c r="S55" s="19"/>
      <c r="T55"/>
    </row>
    <row r="56" spans="2:20" ht="23.1" customHeight="1" x14ac:dyDescent="0.25">
      <c r="B56" s="23" t="s">
        <v>83</v>
      </c>
      <c r="C56" s="50">
        <v>3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26</v>
      </c>
      <c r="N56" s="50">
        <v>0</v>
      </c>
      <c r="O56" s="17">
        <f t="shared" si="0"/>
        <v>7</v>
      </c>
      <c r="P56" s="17">
        <f t="shared" si="1"/>
        <v>33</v>
      </c>
      <c r="R56" s="19"/>
      <c r="S56" s="19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1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27</v>
      </c>
      <c r="N57" s="50">
        <v>0</v>
      </c>
      <c r="O57" s="17">
        <f t="shared" si="0"/>
        <v>4</v>
      </c>
      <c r="P57" s="17">
        <f t="shared" si="1"/>
        <v>31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76</v>
      </c>
      <c r="D58" s="16">
        <f t="shared" si="21"/>
        <v>31</v>
      </c>
      <c r="E58" s="16">
        <f t="shared" si="21"/>
        <v>13</v>
      </c>
      <c r="F58" s="16">
        <f t="shared" si="21"/>
        <v>21</v>
      </c>
      <c r="G58" s="16">
        <f t="shared" si="21"/>
        <v>0</v>
      </c>
      <c r="H58" s="16">
        <f t="shared" si="21"/>
        <v>0</v>
      </c>
      <c r="I58" s="16">
        <f t="shared" si="21"/>
        <v>13</v>
      </c>
      <c r="J58" s="16">
        <f t="shared" si="21"/>
        <v>0</v>
      </c>
      <c r="K58" s="16">
        <f t="shared" si="21"/>
        <v>7</v>
      </c>
      <c r="L58" s="16">
        <f t="shared" si="21"/>
        <v>0</v>
      </c>
      <c r="M58" s="16">
        <f t="shared" si="21"/>
        <v>931</v>
      </c>
      <c r="N58" s="16">
        <f t="shared" si="21"/>
        <v>0</v>
      </c>
      <c r="O58" s="16">
        <f t="shared" si="21"/>
        <v>161</v>
      </c>
      <c r="P58" s="16">
        <f t="shared" si="21"/>
        <v>1092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6.95970695970696E-2</v>
      </c>
      <c r="D59" s="43">
        <f t="shared" si="22"/>
        <v>2.8388278388278388E-2</v>
      </c>
      <c r="E59" s="43">
        <f t="shared" si="22"/>
        <v>1.1904761904761904E-2</v>
      </c>
      <c r="F59" s="43">
        <f t="shared" si="22"/>
        <v>1.9230769230769232E-2</v>
      </c>
      <c r="G59" s="43">
        <f t="shared" si="22"/>
        <v>0</v>
      </c>
      <c r="H59" s="43">
        <f t="shared" si="22"/>
        <v>0</v>
      </c>
      <c r="I59" s="43">
        <f t="shared" si="22"/>
        <v>1.1904761904761904E-2</v>
      </c>
      <c r="J59" s="43">
        <f t="shared" si="22"/>
        <v>0</v>
      </c>
      <c r="K59" s="43">
        <f t="shared" si="22"/>
        <v>6.41025641025641E-3</v>
      </c>
      <c r="L59" s="43">
        <f t="shared" si="22"/>
        <v>0</v>
      </c>
      <c r="M59" s="43">
        <f t="shared" si="22"/>
        <v>0.85256410256410253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0.47204968944099379</v>
      </c>
      <c r="D60" s="44">
        <f t="shared" ref="D60:N60" si="23">D58/$O$58</f>
        <v>0.19254658385093168</v>
      </c>
      <c r="E60" s="44">
        <f t="shared" si="23"/>
        <v>8.0745341614906832E-2</v>
      </c>
      <c r="F60" s="44">
        <f t="shared" si="23"/>
        <v>0.13043478260869565</v>
      </c>
      <c r="G60" s="44">
        <f t="shared" si="23"/>
        <v>0</v>
      </c>
      <c r="H60" s="44">
        <f t="shared" si="23"/>
        <v>0</v>
      </c>
      <c r="I60" s="44">
        <f t="shared" si="23"/>
        <v>8.0745341614906832E-2</v>
      </c>
      <c r="J60" s="44">
        <f t="shared" si="23"/>
        <v>0</v>
      </c>
      <c r="K60" s="44">
        <f t="shared" si="23"/>
        <v>4.3478260869565216E-2</v>
      </c>
      <c r="L60" s="44">
        <f t="shared" si="23"/>
        <v>0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1:32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1:32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1:32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26"/>
  <sheetViews>
    <sheetView view="pageBreakPreview" zoomScale="60" workbookViewId="0">
      <selection activeCell="S57" sqref="S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'[1]24.09.19 -Munyonyo-Kigo'!C3:G3</f>
        <v>MCC-C2-STNO 57 KIGO RD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173</v>
      </c>
      <c r="F5" s="41" t="s">
        <v>1</v>
      </c>
      <c r="G5" s="70" t="str">
        <f>'[1]24.09.19 -Munyonyo-Kigo'!G5:H5</f>
        <v>KIGO RD</v>
      </c>
      <c r="H5" s="71"/>
      <c r="I5" s="14"/>
      <c r="J5" s="2" t="s">
        <v>5</v>
      </c>
      <c r="K5" s="70" t="s">
        <v>168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0" t="s">
        <v>165</v>
      </c>
      <c r="E6" s="61"/>
      <c r="F6" s="2" t="s">
        <v>2</v>
      </c>
      <c r="G6" s="60" t="s">
        <v>164</v>
      </c>
      <c r="H6" s="61"/>
      <c r="J6" s="2" t="s">
        <v>21</v>
      </c>
      <c r="K6" s="70" t="str">
        <f>'[1]24.09.19 -Munyonyo-Kigo'!K6:L6</f>
        <v>Beatrice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30</v>
      </c>
      <c r="N10" s="50">
        <v>0</v>
      </c>
      <c r="O10" s="17">
        <f t="shared" ref="O10:O57" si="0">SUM(C10:L10,N10)</f>
        <v>1</v>
      </c>
      <c r="P10" s="17">
        <f t="shared" ref="P10:P57" si="1">SUM(C10:N10)</f>
        <v>31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1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122</v>
      </c>
      <c r="AD10" s="17">
        <f t="shared" si="2"/>
        <v>0</v>
      </c>
      <c r="AE10" s="31">
        <f t="shared" si="2"/>
        <v>3</v>
      </c>
      <c r="AF10" s="31">
        <f t="shared" si="2"/>
        <v>125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7">
        <f t="shared" si="0"/>
        <v>1</v>
      </c>
      <c r="P11" s="17">
        <f t="shared" si="1"/>
        <v>36</v>
      </c>
      <c r="R11" s="1" t="s">
        <v>7</v>
      </c>
      <c r="S11" s="17">
        <f t="shared" ref="S11:AF11" si="3">SUM(C14:C17)</f>
        <v>1</v>
      </c>
      <c r="T11" s="17">
        <f t="shared" si="3"/>
        <v>1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106</v>
      </c>
      <c r="AD11" s="17">
        <f t="shared" si="3"/>
        <v>0</v>
      </c>
      <c r="AE11" s="31">
        <f t="shared" si="3"/>
        <v>3</v>
      </c>
      <c r="AF11" s="31">
        <f t="shared" si="3"/>
        <v>109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30</v>
      </c>
      <c r="N12" s="50">
        <v>0</v>
      </c>
      <c r="O12" s="17">
        <f t="shared" si="0"/>
        <v>1</v>
      </c>
      <c r="P12" s="17">
        <f t="shared" si="1"/>
        <v>31</v>
      </c>
      <c r="R12" s="1" t="s">
        <v>8</v>
      </c>
      <c r="S12" s="17">
        <f t="shared" ref="S12:AF12" si="4">SUM(C18:C21)</f>
        <v>4</v>
      </c>
      <c r="T12" s="17">
        <f t="shared" si="4"/>
        <v>3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69</v>
      </c>
      <c r="AD12" s="17">
        <f t="shared" si="4"/>
        <v>0</v>
      </c>
      <c r="AE12" s="31">
        <f t="shared" si="4"/>
        <v>8</v>
      </c>
      <c r="AF12" s="31">
        <f t="shared" si="4"/>
        <v>77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27</v>
      </c>
      <c r="N13" s="50">
        <v>0</v>
      </c>
      <c r="O13" s="17">
        <f t="shared" si="0"/>
        <v>0</v>
      </c>
      <c r="P13" s="17">
        <f t="shared" si="1"/>
        <v>27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69</v>
      </c>
      <c r="AD13" s="17">
        <f t="shared" si="5"/>
        <v>0</v>
      </c>
      <c r="AE13" s="31">
        <f t="shared" si="5"/>
        <v>0</v>
      </c>
      <c r="AF13" s="31">
        <f t="shared" si="5"/>
        <v>69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32</v>
      </c>
      <c r="N14" s="50">
        <v>0</v>
      </c>
      <c r="O14" s="17">
        <f t="shared" si="0"/>
        <v>1</v>
      </c>
      <c r="P14" s="17">
        <f t="shared" si="1"/>
        <v>33</v>
      </c>
      <c r="R14" s="1" t="s">
        <v>10</v>
      </c>
      <c r="S14" s="17">
        <f t="shared" ref="S14:AF14" si="6">SUM(C26:C29)</f>
        <v>1</v>
      </c>
      <c r="T14" s="17">
        <f t="shared" si="6"/>
        <v>1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76</v>
      </c>
      <c r="AD14" s="17">
        <f t="shared" si="6"/>
        <v>0</v>
      </c>
      <c r="AE14" s="31">
        <f t="shared" si="6"/>
        <v>4</v>
      </c>
      <c r="AF14" s="31">
        <f t="shared" si="6"/>
        <v>80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35</v>
      </c>
      <c r="N15" s="50">
        <v>0</v>
      </c>
      <c r="O15" s="17">
        <f t="shared" si="0"/>
        <v>0</v>
      </c>
      <c r="P15" s="17">
        <f t="shared" si="1"/>
        <v>35</v>
      </c>
      <c r="R15" s="1" t="s">
        <v>11</v>
      </c>
      <c r="S15" s="17">
        <f t="shared" ref="S15:AF15" si="7">SUM(C30:C33)</f>
        <v>2</v>
      </c>
      <c r="T15" s="17">
        <f t="shared" si="7"/>
        <v>2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60</v>
      </c>
      <c r="AD15" s="17">
        <f t="shared" si="7"/>
        <v>0</v>
      </c>
      <c r="AE15" s="31">
        <f t="shared" si="7"/>
        <v>4</v>
      </c>
      <c r="AF15" s="31">
        <f t="shared" si="7"/>
        <v>64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7">
        <f t="shared" si="0"/>
        <v>0</v>
      </c>
      <c r="P16" s="17">
        <f t="shared" si="1"/>
        <v>15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40</v>
      </c>
      <c r="AD16" s="17">
        <f t="shared" si="8"/>
        <v>0</v>
      </c>
      <c r="AE16" s="31">
        <f t="shared" si="8"/>
        <v>2</v>
      </c>
      <c r="AF16" s="31">
        <f t="shared" si="8"/>
        <v>42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24</v>
      </c>
      <c r="N17" s="50">
        <v>0</v>
      </c>
      <c r="O17" s="17">
        <f t="shared" si="0"/>
        <v>2</v>
      </c>
      <c r="P17" s="17">
        <f t="shared" si="1"/>
        <v>26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54</v>
      </c>
      <c r="AD17" s="17">
        <f t="shared" si="9"/>
        <v>0</v>
      </c>
      <c r="AE17" s="31">
        <f t="shared" si="9"/>
        <v>1</v>
      </c>
      <c r="AF17" s="31">
        <f t="shared" si="9"/>
        <v>55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7">
        <f t="shared" si="0"/>
        <v>1</v>
      </c>
      <c r="P18" s="17">
        <f t="shared" si="1"/>
        <v>16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47</v>
      </c>
      <c r="AD18" s="17">
        <f t="shared" si="10"/>
        <v>0</v>
      </c>
      <c r="AE18" s="31">
        <f t="shared" si="10"/>
        <v>2</v>
      </c>
      <c r="AF18" s="31">
        <f t="shared" si="10"/>
        <v>49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20</v>
      </c>
      <c r="N19" s="50">
        <v>0</v>
      </c>
      <c r="O19" s="17">
        <f t="shared" si="0"/>
        <v>1</v>
      </c>
      <c r="P19" s="17">
        <f t="shared" si="1"/>
        <v>21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72</v>
      </c>
      <c r="AD19" s="17">
        <f t="shared" si="11"/>
        <v>0</v>
      </c>
      <c r="AE19" s="31">
        <f t="shared" si="11"/>
        <v>1</v>
      </c>
      <c r="AF19" s="31">
        <f t="shared" si="11"/>
        <v>73</v>
      </c>
    </row>
    <row r="20" spans="2:32" ht="23.1" customHeight="1" x14ac:dyDescent="0.25">
      <c r="B20" s="23" t="s">
        <v>47</v>
      </c>
      <c r="C20" s="50">
        <v>3</v>
      </c>
      <c r="D20" s="50">
        <v>2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20</v>
      </c>
      <c r="N20" s="50">
        <v>0</v>
      </c>
      <c r="O20" s="17">
        <f t="shared" si="0"/>
        <v>5</v>
      </c>
      <c r="P20" s="17">
        <f t="shared" si="1"/>
        <v>25</v>
      </c>
      <c r="R20" s="1" t="s">
        <v>16</v>
      </c>
      <c r="S20" s="17">
        <f t="shared" ref="S20:AF20" si="12">SUM(C50:C53)</f>
        <v>2</v>
      </c>
      <c r="T20" s="17">
        <f t="shared" si="12"/>
        <v>0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75</v>
      </c>
      <c r="AD20" s="17">
        <f t="shared" si="12"/>
        <v>0</v>
      </c>
      <c r="AE20" s="31">
        <f t="shared" si="12"/>
        <v>4</v>
      </c>
      <c r="AF20" s="31">
        <f t="shared" si="12"/>
        <v>79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14</v>
      </c>
      <c r="N21" s="50">
        <v>0</v>
      </c>
      <c r="O21" s="17">
        <f t="shared" si="0"/>
        <v>1</v>
      </c>
      <c r="P21" s="17">
        <f t="shared" si="1"/>
        <v>15</v>
      </c>
      <c r="R21" s="36" t="s">
        <v>20</v>
      </c>
      <c r="S21" s="34">
        <f t="shared" ref="S21:AF21" si="13">SUM(C54:C57)</f>
        <v>1</v>
      </c>
      <c r="T21" s="17">
        <f t="shared" si="13"/>
        <v>2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92</v>
      </c>
      <c r="AD21" s="17">
        <f t="shared" si="13"/>
        <v>0</v>
      </c>
      <c r="AE21" s="31">
        <f t="shared" si="13"/>
        <v>4</v>
      </c>
      <c r="AF21" s="31">
        <f t="shared" si="13"/>
        <v>96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17</v>
      </c>
      <c r="N22" s="50">
        <v>0</v>
      </c>
      <c r="O22" s="17">
        <f t="shared" si="0"/>
        <v>0</v>
      </c>
      <c r="P22" s="17">
        <f t="shared" si="1"/>
        <v>17</v>
      </c>
      <c r="R22" s="51" t="s">
        <v>90</v>
      </c>
      <c r="S22" s="52">
        <f>MAX(S10:S12)</f>
        <v>4</v>
      </c>
      <c r="T22" s="52">
        <f t="shared" ref="T22:AF22" si="14">MAX(T10:T12)</f>
        <v>3</v>
      </c>
      <c r="U22" s="52">
        <f t="shared" si="14"/>
        <v>1</v>
      </c>
      <c r="V22" s="52">
        <f t="shared" si="14"/>
        <v>0</v>
      </c>
      <c r="W22" s="52">
        <f t="shared" si="14"/>
        <v>1</v>
      </c>
      <c r="X22" s="52">
        <f t="shared" si="14"/>
        <v>0</v>
      </c>
      <c r="Y22" s="52">
        <f t="shared" si="14"/>
        <v>1</v>
      </c>
      <c r="Z22" s="52">
        <f t="shared" si="14"/>
        <v>0</v>
      </c>
      <c r="AA22" s="52">
        <f t="shared" si="14"/>
        <v>0</v>
      </c>
      <c r="AB22" s="52">
        <f t="shared" si="14"/>
        <v>0</v>
      </c>
      <c r="AC22" s="52">
        <f t="shared" si="14"/>
        <v>122</v>
      </c>
      <c r="AD22" s="52">
        <f t="shared" si="14"/>
        <v>0</v>
      </c>
      <c r="AE22" s="40">
        <f t="shared" si="14"/>
        <v>8</v>
      </c>
      <c r="AF22" s="40">
        <f t="shared" si="14"/>
        <v>125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18</v>
      </c>
      <c r="N23" s="50">
        <v>0</v>
      </c>
      <c r="O23" s="17">
        <f t="shared" si="0"/>
        <v>0</v>
      </c>
      <c r="P23" s="17">
        <f t="shared" si="1"/>
        <v>18</v>
      </c>
      <c r="R23" s="51" t="s">
        <v>91</v>
      </c>
      <c r="S23" s="52">
        <f>MAX(S13:S18)</f>
        <v>2</v>
      </c>
      <c r="T23" s="52">
        <f t="shared" ref="T23:AF23" si="15">MAX(T13:T18)</f>
        <v>2</v>
      </c>
      <c r="U23" s="52">
        <f t="shared" si="15"/>
        <v>1</v>
      </c>
      <c r="V23" s="52">
        <f t="shared" si="15"/>
        <v>1</v>
      </c>
      <c r="W23" s="52">
        <f t="shared" si="15"/>
        <v>0</v>
      </c>
      <c r="X23" s="52">
        <f t="shared" si="15"/>
        <v>0</v>
      </c>
      <c r="Y23" s="52">
        <f t="shared" si="15"/>
        <v>1</v>
      </c>
      <c r="Z23" s="52">
        <f t="shared" si="15"/>
        <v>1</v>
      </c>
      <c r="AA23" s="52">
        <f t="shared" si="15"/>
        <v>0</v>
      </c>
      <c r="AB23" s="52">
        <f t="shared" si="15"/>
        <v>0</v>
      </c>
      <c r="AC23" s="52">
        <f t="shared" si="15"/>
        <v>76</v>
      </c>
      <c r="AD23" s="52">
        <f t="shared" si="15"/>
        <v>0</v>
      </c>
      <c r="AE23" s="40">
        <f t="shared" si="15"/>
        <v>4</v>
      </c>
      <c r="AF23" s="40">
        <f t="shared" si="15"/>
        <v>80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16</v>
      </c>
      <c r="N24" s="50">
        <v>0</v>
      </c>
      <c r="O24" s="17">
        <f t="shared" si="0"/>
        <v>0</v>
      </c>
      <c r="P24" s="17">
        <f t="shared" si="1"/>
        <v>16</v>
      </c>
      <c r="R24" s="51" t="s">
        <v>92</v>
      </c>
      <c r="S24" s="52">
        <f>MAX(S19:S21)</f>
        <v>2</v>
      </c>
      <c r="T24" s="52">
        <f t="shared" ref="T24:AF24" si="16">MAX(T19:T21)</f>
        <v>2</v>
      </c>
      <c r="U24" s="52">
        <f t="shared" si="16"/>
        <v>0</v>
      </c>
      <c r="V24" s="52">
        <f t="shared" si="16"/>
        <v>1</v>
      </c>
      <c r="W24" s="52">
        <f t="shared" si="16"/>
        <v>0</v>
      </c>
      <c r="X24" s="52">
        <f t="shared" si="16"/>
        <v>0</v>
      </c>
      <c r="Y24" s="52">
        <f t="shared" si="16"/>
        <v>1</v>
      </c>
      <c r="Z24" s="52">
        <f t="shared" si="16"/>
        <v>0</v>
      </c>
      <c r="AA24" s="52">
        <f t="shared" si="16"/>
        <v>0</v>
      </c>
      <c r="AB24" s="52">
        <f t="shared" si="16"/>
        <v>0</v>
      </c>
      <c r="AC24" s="52">
        <f t="shared" si="16"/>
        <v>92</v>
      </c>
      <c r="AD24" s="52">
        <f t="shared" si="16"/>
        <v>0</v>
      </c>
      <c r="AE24" s="40">
        <f t="shared" si="16"/>
        <v>4</v>
      </c>
      <c r="AF24" s="40">
        <f t="shared" si="16"/>
        <v>96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18</v>
      </c>
      <c r="N25" s="50">
        <v>0</v>
      </c>
      <c r="O25" s="17">
        <f t="shared" si="0"/>
        <v>0</v>
      </c>
      <c r="P25" s="17">
        <f t="shared" si="1"/>
        <v>18</v>
      </c>
      <c r="R25" s="37" t="s">
        <v>85</v>
      </c>
      <c r="S25" s="35">
        <f t="shared" ref="S25:AF25" si="17">SUM(S10:S12)</f>
        <v>7</v>
      </c>
      <c r="T25" s="16">
        <f t="shared" si="17"/>
        <v>4</v>
      </c>
      <c r="U25" s="16">
        <f t="shared" si="17"/>
        <v>1</v>
      </c>
      <c r="V25" s="16">
        <f t="shared" si="17"/>
        <v>0</v>
      </c>
      <c r="W25" s="16">
        <f t="shared" si="17"/>
        <v>1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297</v>
      </c>
      <c r="AD25" s="16">
        <f t="shared" si="17"/>
        <v>0</v>
      </c>
      <c r="AE25" s="32">
        <f t="shared" si="17"/>
        <v>14</v>
      </c>
      <c r="AF25" s="32">
        <f t="shared" si="17"/>
        <v>311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17</v>
      </c>
      <c r="N26" s="50">
        <v>0</v>
      </c>
      <c r="O26" s="17">
        <f t="shared" si="0"/>
        <v>0</v>
      </c>
      <c r="P26" s="17">
        <f t="shared" si="1"/>
        <v>17</v>
      </c>
      <c r="R26" s="28" t="s">
        <v>86</v>
      </c>
      <c r="S26" s="16">
        <f t="shared" ref="S26:AF26" si="18">SUM(S13:S18)</f>
        <v>4</v>
      </c>
      <c r="T26" s="16">
        <f t="shared" si="18"/>
        <v>3</v>
      </c>
      <c r="U26" s="16">
        <f t="shared" si="18"/>
        <v>1</v>
      </c>
      <c r="V26" s="16">
        <f t="shared" si="18"/>
        <v>3</v>
      </c>
      <c r="W26" s="16">
        <f t="shared" si="18"/>
        <v>0</v>
      </c>
      <c r="X26" s="16">
        <f t="shared" si="18"/>
        <v>0</v>
      </c>
      <c r="Y26" s="16">
        <f t="shared" si="18"/>
        <v>1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346</v>
      </c>
      <c r="AD26" s="16">
        <f t="shared" si="18"/>
        <v>0</v>
      </c>
      <c r="AE26" s="32">
        <f t="shared" si="18"/>
        <v>13</v>
      </c>
      <c r="AF26" s="32">
        <f t="shared" si="18"/>
        <v>359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14</v>
      </c>
      <c r="N27" s="50">
        <v>0</v>
      </c>
      <c r="O27" s="17">
        <f t="shared" si="0"/>
        <v>2</v>
      </c>
      <c r="P27" s="17">
        <f t="shared" si="1"/>
        <v>16</v>
      </c>
      <c r="R27" s="29" t="s">
        <v>87</v>
      </c>
      <c r="S27" s="16">
        <f t="shared" ref="S27:AF27" si="19">SUM(S19:S21)</f>
        <v>4</v>
      </c>
      <c r="T27" s="16">
        <f t="shared" si="19"/>
        <v>2</v>
      </c>
      <c r="U27" s="16">
        <f t="shared" si="19"/>
        <v>0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239</v>
      </c>
      <c r="AD27" s="16">
        <f t="shared" si="19"/>
        <v>0</v>
      </c>
      <c r="AE27" s="32">
        <f t="shared" si="19"/>
        <v>9</v>
      </c>
      <c r="AF27" s="32">
        <f t="shared" si="19"/>
        <v>248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23</v>
      </c>
      <c r="N28" s="50">
        <v>0</v>
      </c>
      <c r="O28" s="17">
        <f t="shared" si="0"/>
        <v>2</v>
      </c>
      <c r="P28" s="17">
        <f t="shared" si="1"/>
        <v>25</v>
      </c>
      <c r="R28" s="5" t="s">
        <v>17</v>
      </c>
      <c r="S28" s="16">
        <f t="shared" ref="S28:AF28" si="20">SUM(S10:S21)</f>
        <v>15</v>
      </c>
      <c r="T28" s="16">
        <f t="shared" si="20"/>
        <v>9</v>
      </c>
      <c r="U28" s="16">
        <f t="shared" si="20"/>
        <v>2</v>
      </c>
      <c r="V28" s="16">
        <f t="shared" si="20"/>
        <v>5</v>
      </c>
      <c r="W28" s="16">
        <f t="shared" si="20"/>
        <v>1</v>
      </c>
      <c r="X28" s="16">
        <f t="shared" si="20"/>
        <v>0</v>
      </c>
      <c r="Y28" s="16">
        <f t="shared" si="20"/>
        <v>3</v>
      </c>
      <c r="Z28" s="16">
        <f t="shared" si="20"/>
        <v>1</v>
      </c>
      <c r="AA28" s="16">
        <f t="shared" si="20"/>
        <v>0</v>
      </c>
      <c r="AB28" s="16">
        <f t="shared" si="20"/>
        <v>0</v>
      </c>
      <c r="AC28" s="16">
        <f t="shared" si="20"/>
        <v>882</v>
      </c>
      <c r="AD28" s="16">
        <f t="shared" si="20"/>
        <v>0</v>
      </c>
      <c r="AE28" s="32">
        <f t="shared" si="20"/>
        <v>36</v>
      </c>
      <c r="AF28" s="32">
        <f t="shared" si="20"/>
        <v>918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22</v>
      </c>
      <c r="N29" s="50">
        <v>0</v>
      </c>
      <c r="O29" s="17">
        <f t="shared" si="0"/>
        <v>0</v>
      </c>
      <c r="P29" s="17">
        <f t="shared" si="1"/>
        <v>22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15</v>
      </c>
      <c r="N30" s="50">
        <v>0</v>
      </c>
      <c r="O30" s="17">
        <f t="shared" si="0"/>
        <v>1</v>
      </c>
      <c r="P30" s="17">
        <f t="shared" si="1"/>
        <v>16</v>
      </c>
      <c r="R30"/>
      <c r="S30" s="19"/>
      <c r="T30" s="19"/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14</v>
      </c>
      <c r="N31" s="50">
        <v>0</v>
      </c>
      <c r="O31" s="17">
        <f t="shared" si="0"/>
        <v>1</v>
      </c>
      <c r="P31" s="17">
        <f t="shared" si="1"/>
        <v>15</v>
      </c>
      <c r="R31"/>
      <c r="S31" s="19"/>
      <c r="T31" s="19"/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20</v>
      </c>
      <c r="N32" s="50">
        <v>0</v>
      </c>
      <c r="O32" s="17">
        <f t="shared" si="0"/>
        <v>0</v>
      </c>
      <c r="P32" s="17">
        <f t="shared" si="1"/>
        <v>20</v>
      </c>
      <c r="R32"/>
      <c r="S32" s="19"/>
      <c r="T32" s="19"/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11</v>
      </c>
      <c r="N33" s="50">
        <v>0</v>
      </c>
      <c r="O33" s="17">
        <f t="shared" si="0"/>
        <v>2</v>
      </c>
      <c r="P33" s="17">
        <f t="shared" si="1"/>
        <v>13</v>
      </c>
      <c r="R33"/>
      <c r="S33" s="19"/>
      <c r="T33" s="19"/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11</v>
      </c>
      <c r="N34" s="50">
        <v>0</v>
      </c>
      <c r="O34" s="17">
        <f t="shared" si="0"/>
        <v>1</v>
      </c>
      <c r="P34" s="17">
        <f t="shared" si="1"/>
        <v>12</v>
      </c>
      <c r="R34"/>
      <c r="S34" s="19"/>
      <c r="T34" s="19"/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7">
        <f t="shared" si="0"/>
        <v>1</v>
      </c>
      <c r="P35" s="17">
        <f t="shared" si="1"/>
        <v>16</v>
      </c>
      <c r="R35"/>
      <c r="S35" s="19"/>
      <c r="T35" s="19"/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7">
        <f t="shared" si="0"/>
        <v>0</v>
      </c>
      <c r="P36" s="17">
        <f t="shared" si="1"/>
        <v>7</v>
      </c>
      <c r="R36"/>
      <c r="S36" s="19"/>
      <c r="T36" s="19"/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7</v>
      </c>
      <c r="N37" s="50">
        <v>0</v>
      </c>
      <c r="O37" s="17">
        <f t="shared" si="0"/>
        <v>0</v>
      </c>
      <c r="P37" s="17">
        <f t="shared" si="1"/>
        <v>7</v>
      </c>
      <c r="R37"/>
      <c r="S37" s="19"/>
      <c r="T37" s="19"/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7">
        <f t="shared" si="0"/>
        <v>0</v>
      </c>
      <c r="P38" s="17">
        <f t="shared" si="1"/>
        <v>12</v>
      </c>
      <c r="R38"/>
      <c r="S38" s="19"/>
      <c r="T38" s="19"/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17</v>
      </c>
      <c r="N39" s="50">
        <v>0</v>
      </c>
      <c r="O39" s="17">
        <f t="shared" si="0"/>
        <v>1</v>
      </c>
      <c r="P39" s="17">
        <f t="shared" si="1"/>
        <v>18</v>
      </c>
      <c r="R39"/>
      <c r="S39" s="19"/>
      <c r="T39" s="19"/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7">
        <f t="shared" si="0"/>
        <v>0</v>
      </c>
      <c r="P40" s="17">
        <f t="shared" si="1"/>
        <v>15</v>
      </c>
      <c r="R40"/>
      <c r="S40" s="19"/>
      <c r="T40" s="19"/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10</v>
      </c>
      <c r="N41" s="50">
        <v>0</v>
      </c>
      <c r="O41" s="17">
        <f t="shared" si="0"/>
        <v>0</v>
      </c>
      <c r="P41" s="17">
        <f t="shared" si="1"/>
        <v>10</v>
      </c>
      <c r="R41"/>
      <c r="S41" s="19"/>
      <c r="T41" s="19"/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15</v>
      </c>
      <c r="N42" s="50">
        <v>0</v>
      </c>
      <c r="O42" s="17">
        <f t="shared" si="0"/>
        <v>1</v>
      </c>
      <c r="P42" s="17">
        <f t="shared" si="1"/>
        <v>16</v>
      </c>
      <c r="R42"/>
      <c r="S42" s="19"/>
      <c r="T42" s="19"/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18</v>
      </c>
      <c r="N43" s="50">
        <v>0</v>
      </c>
      <c r="O43" s="17">
        <f t="shared" si="0"/>
        <v>0</v>
      </c>
      <c r="P43" s="17">
        <f t="shared" si="1"/>
        <v>18</v>
      </c>
      <c r="R43"/>
      <c r="S43" s="19"/>
      <c r="T43" s="19"/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7">
        <f t="shared" si="0"/>
        <v>1</v>
      </c>
      <c r="P44" s="17">
        <f t="shared" si="1"/>
        <v>9</v>
      </c>
      <c r="R44"/>
      <c r="S44" s="19"/>
      <c r="T44" s="19"/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7">
        <f t="shared" si="0"/>
        <v>0</v>
      </c>
      <c r="P45" s="17">
        <f t="shared" si="1"/>
        <v>6</v>
      </c>
      <c r="R45"/>
      <c r="S45" s="19"/>
      <c r="T45" s="19"/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7">
        <f t="shared" si="0"/>
        <v>0</v>
      </c>
      <c r="P46" s="17">
        <f t="shared" si="1"/>
        <v>18</v>
      </c>
      <c r="R46" s="19"/>
      <c r="S46" s="19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27</v>
      </c>
      <c r="N47" s="50">
        <v>0</v>
      </c>
      <c r="O47" s="17">
        <f t="shared" si="0"/>
        <v>0</v>
      </c>
      <c r="P47" s="17">
        <f t="shared" si="1"/>
        <v>27</v>
      </c>
      <c r="R47" s="19"/>
      <c r="S47" s="19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14</v>
      </c>
      <c r="N48" s="50">
        <v>0</v>
      </c>
      <c r="O48" s="17">
        <f t="shared" si="0"/>
        <v>1</v>
      </c>
      <c r="P48" s="17">
        <f t="shared" si="1"/>
        <v>15</v>
      </c>
      <c r="R48" s="19"/>
      <c r="S48" s="19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13</v>
      </c>
      <c r="N49" s="50">
        <v>0</v>
      </c>
      <c r="O49" s="17">
        <f t="shared" si="0"/>
        <v>0</v>
      </c>
      <c r="P49" s="17">
        <f t="shared" si="1"/>
        <v>13</v>
      </c>
      <c r="R49" s="19"/>
      <c r="S49" s="19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24</v>
      </c>
      <c r="N50" s="50">
        <v>0</v>
      </c>
      <c r="O50" s="17">
        <f t="shared" si="0"/>
        <v>1</v>
      </c>
      <c r="P50" s="17">
        <f t="shared" si="1"/>
        <v>25</v>
      </c>
      <c r="R50" s="19"/>
      <c r="S50" s="19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21</v>
      </c>
      <c r="N51" s="50">
        <v>0</v>
      </c>
      <c r="O51" s="17">
        <f t="shared" si="0"/>
        <v>1</v>
      </c>
      <c r="P51" s="17">
        <f t="shared" si="1"/>
        <v>22</v>
      </c>
      <c r="R51" s="19"/>
      <c r="S51" s="19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7">
        <f t="shared" si="0"/>
        <v>1</v>
      </c>
      <c r="P52" s="17">
        <f t="shared" si="1"/>
        <v>14</v>
      </c>
      <c r="R52" s="19"/>
      <c r="S52" s="19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17</v>
      </c>
      <c r="N53" s="50">
        <v>0</v>
      </c>
      <c r="O53" s="17">
        <f t="shared" si="0"/>
        <v>1</v>
      </c>
      <c r="P53" s="17">
        <f t="shared" si="1"/>
        <v>18</v>
      </c>
      <c r="R53" s="19"/>
      <c r="S53" s="19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26</v>
      </c>
      <c r="N54" s="50">
        <v>0</v>
      </c>
      <c r="O54" s="17">
        <f t="shared" si="0"/>
        <v>1</v>
      </c>
      <c r="P54" s="17">
        <f t="shared" si="1"/>
        <v>27</v>
      </c>
      <c r="R54" s="19"/>
      <c r="S54" s="19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23</v>
      </c>
      <c r="N55" s="50">
        <v>0</v>
      </c>
      <c r="O55" s="17">
        <f t="shared" si="0"/>
        <v>1</v>
      </c>
      <c r="P55" s="17">
        <f t="shared" si="1"/>
        <v>24</v>
      </c>
      <c r="R55" s="19"/>
      <c r="S55" s="19"/>
      <c r="T55"/>
    </row>
    <row r="56" spans="2:20" ht="23.1" customHeight="1" x14ac:dyDescent="0.25">
      <c r="B56" s="23" t="s">
        <v>83</v>
      </c>
      <c r="C56" s="50">
        <v>0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27</v>
      </c>
      <c r="N56" s="50">
        <v>0</v>
      </c>
      <c r="O56" s="17">
        <f t="shared" si="0"/>
        <v>1</v>
      </c>
      <c r="P56" s="17">
        <f t="shared" si="1"/>
        <v>28</v>
      </c>
      <c r="R56" s="19"/>
      <c r="S56" s="19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16</v>
      </c>
      <c r="N57" s="50">
        <v>0</v>
      </c>
      <c r="O57" s="17">
        <f t="shared" si="0"/>
        <v>1</v>
      </c>
      <c r="P57" s="17">
        <f t="shared" si="1"/>
        <v>17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15</v>
      </c>
      <c r="D58" s="16">
        <f t="shared" si="21"/>
        <v>9</v>
      </c>
      <c r="E58" s="16">
        <f t="shared" si="21"/>
        <v>2</v>
      </c>
      <c r="F58" s="16">
        <f t="shared" si="21"/>
        <v>5</v>
      </c>
      <c r="G58" s="16">
        <f t="shared" si="21"/>
        <v>1</v>
      </c>
      <c r="H58" s="16">
        <f t="shared" si="21"/>
        <v>0</v>
      </c>
      <c r="I58" s="16">
        <f t="shared" si="21"/>
        <v>3</v>
      </c>
      <c r="J58" s="16">
        <f t="shared" si="21"/>
        <v>1</v>
      </c>
      <c r="K58" s="16">
        <f t="shared" si="21"/>
        <v>0</v>
      </c>
      <c r="L58" s="16">
        <f t="shared" si="21"/>
        <v>0</v>
      </c>
      <c r="M58" s="16">
        <f t="shared" si="21"/>
        <v>882</v>
      </c>
      <c r="N58" s="16">
        <f t="shared" si="21"/>
        <v>0</v>
      </c>
      <c r="O58" s="16">
        <f t="shared" si="21"/>
        <v>36</v>
      </c>
      <c r="P58" s="16">
        <f t="shared" si="21"/>
        <v>918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1.6339869281045753E-2</v>
      </c>
      <c r="D59" s="43">
        <f t="shared" si="22"/>
        <v>9.8039215686274508E-3</v>
      </c>
      <c r="E59" s="43">
        <f t="shared" si="22"/>
        <v>2.1786492374727671E-3</v>
      </c>
      <c r="F59" s="43">
        <f t="shared" si="22"/>
        <v>5.4466230936819175E-3</v>
      </c>
      <c r="G59" s="43">
        <f t="shared" si="22"/>
        <v>1.0893246187363835E-3</v>
      </c>
      <c r="H59" s="43">
        <f t="shared" si="22"/>
        <v>0</v>
      </c>
      <c r="I59" s="43">
        <f t="shared" si="22"/>
        <v>3.2679738562091504E-3</v>
      </c>
      <c r="J59" s="43">
        <f t="shared" si="22"/>
        <v>1.0893246187363835E-3</v>
      </c>
      <c r="K59" s="43">
        <f t="shared" si="22"/>
        <v>0</v>
      </c>
      <c r="L59" s="43">
        <f t="shared" si="22"/>
        <v>0</v>
      </c>
      <c r="M59" s="43">
        <f t="shared" si="22"/>
        <v>0.96078431372549022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0.41666666666666669</v>
      </c>
      <c r="D60" s="44">
        <f t="shared" ref="D60:N60" si="23">D58/$O$58</f>
        <v>0.25</v>
      </c>
      <c r="E60" s="44">
        <f t="shared" si="23"/>
        <v>5.5555555555555552E-2</v>
      </c>
      <c r="F60" s="44">
        <f t="shared" si="23"/>
        <v>0.1388888888888889</v>
      </c>
      <c r="G60" s="44">
        <f t="shared" si="23"/>
        <v>2.7777777777777776E-2</v>
      </c>
      <c r="H60" s="44">
        <f t="shared" si="23"/>
        <v>0</v>
      </c>
      <c r="I60" s="44">
        <f t="shared" si="23"/>
        <v>8.3333333333333329E-2</v>
      </c>
      <c r="J60" s="44">
        <f t="shared" si="23"/>
        <v>2.7777777777777776E-2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2:20" ht="20.100000000000001" customHeight="1" x14ac:dyDescent="0.25">
      <c r="R81"/>
      <c r="S81" s="19"/>
      <c r="T81" s="19"/>
    </row>
    <row r="82" spans="2:20" ht="20.100000000000001" customHeight="1" x14ac:dyDescent="0.25">
      <c r="R82"/>
      <c r="S82" s="19"/>
      <c r="T82" s="19"/>
    </row>
    <row r="83" spans="2:20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20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20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20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20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20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20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20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20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20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20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20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20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20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H10" sqref="H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'23.09.19 -Munyonyo-Kigo'!C3:G3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182</v>
      </c>
      <c r="E5" s="3"/>
      <c r="F5" s="41" t="s">
        <v>1</v>
      </c>
      <c r="G5" s="70" t="str">
        <f>'23.09.19 -Munyonyo-Kigo'!G5:H5</f>
        <v>LWEZA KAMUCHANGA</v>
      </c>
      <c r="H5" s="71"/>
      <c r="I5" s="14"/>
      <c r="J5" s="2" t="s">
        <v>5</v>
      </c>
      <c r="K5" s="70" t="str">
        <f>'23.09.19 -Munyonyo-Kigo'!K5:L5</f>
        <v>Okello Peter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'23.09.19 -Munyonyo-Kigo'!D6:E6</f>
        <v>MUNYONYO</v>
      </c>
      <c r="E6" s="71"/>
      <c r="F6" s="2" t="s">
        <v>2</v>
      </c>
      <c r="G6" s="70" t="str">
        <f>'23.09.19 -Munyonyo-Kigo'!G6:H6</f>
        <v>KIGO</v>
      </c>
      <c r="H6" s="71"/>
      <c r="J6" s="2" t="s">
        <v>21</v>
      </c>
      <c r="K6" s="70" t="str">
        <f>'23.09.19 -Munyonyo-Kigo'!K6:L6</f>
        <v>Beatrice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31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36</v>
      </c>
      <c r="R10" s="1" t="s">
        <v>6</v>
      </c>
      <c r="S10" s="17">
        <f t="shared" ref="S10:AF10" si="2">SUM(C10:C13)</f>
        <v>9</v>
      </c>
      <c r="T10" s="17">
        <f t="shared" si="2"/>
        <v>5</v>
      </c>
      <c r="U10" s="17">
        <f t="shared" si="2"/>
        <v>0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123</v>
      </c>
      <c r="AD10" s="17">
        <f t="shared" si="2"/>
        <v>0</v>
      </c>
      <c r="AE10" s="31">
        <f t="shared" si="2"/>
        <v>18</v>
      </c>
      <c r="AF10" s="31">
        <f t="shared" si="2"/>
        <v>141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43</v>
      </c>
      <c r="N11" s="50">
        <v>0</v>
      </c>
      <c r="O11" s="15">
        <f t="shared" si="0"/>
        <v>3</v>
      </c>
      <c r="P11" s="15">
        <f t="shared" si="1"/>
        <v>46</v>
      </c>
      <c r="R11" s="1" t="s">
        <v>7</v>
      </c>
      <c r="S11" s="17">
        <f t="shared" ref="S11:AF11" si="3">SUM(C14:C17)</f>
        <v>7</v>
      </c>
      <c r="T11" s="17">
        <f t="shared" si="3"/>
        <v>1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100</v>
      </c>
      <c r="AD11" s="17">
        <f t="shared" si="3"/>
        <v>0</v>
      </c>
      <c r="AE11" s="31">
        <f t="shared" si="3"/>
        <v>11</v>
      </c>
      <c r="AF11" s="31">
        <f t="shared" si="3"/>
        <v>111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23</v>
      </c>
      <c r="N12" s="50">
        <v>0</v>
      </c>
      <c r="O12" s="15">
        <f t="shared" si="0"/>
        <v>5</v>
      </c>
      <c r="P12" s="15">
        <f t="shared" si="1"/>
        <v>28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92</v>
      </c>
      <c r="AD12" s="17">
        <f t="shared" si="4"/>
        <v>0</v>
      </c>
      <c r="AE12" s="31">
        <f t="shared" si="4"/>
        <v>8</v>
      </c>
      <c r="AF12" s="31">
        <f t="shared" si="4"/>
        <v>100</v>
      </c>
    </row>
    <row r="13" spans="2:32" ht="23.1" customHeight="1" x14ac:dyDescent="0.25">
      <c r="B13" s="23" t="s">
        <v>40</v>
      </c>
      <c r="C13" s="50">
        <v>2</v>
      </c>
      <c r="D13" s="50">
        <v>3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26</v>
      </c>
      <c r="N13" s="50">
        <v>0</v>
      </c>
      <c r="O13" s="15">
        <f t="shared" si="0"/>
        <v>5</v>
      </c>
      <c r="P13" s="15">
        <f t="shared" si="1"/>
        <v>31</v>
      </c>
      <c r="R13" s="1" t="s">
        <v>9</v>
      </c>
      <c r="S13" s="17">
        <f t="shared" ref="S13:AF13" si="5">SUM(C22:C25)</f>
        <v>6</v>
      </c>
      <c r="T13" s="17">
        <f t="shared" si="5"/>
        <v>2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78</v>
      </c>
      <c r="AD13" s="17">
        <f t="shared" si="5"/>
        <v>0</v>
      </c>
      <c r="AE13" s="31">
        <f t="shared" si="5"/>
        <v>9</v>
      </c>
      <c r="AF13" s="31">
        <f t="shared" si="5"/>
        <v>87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27</v>
      </c>
      <c r="N14" s="50">
        <v>0</v>
      </c>
      <c r="O14" s="15">
        <f t="shared" si="0"/>
        <v>3</v>
      </c>
      <c r="P14" s="15">
        <f t="shared" si="1"/>
        <v>30</v>
      </c>
      <c r="R14" s="1" t="s">
        <v>10</v>
      </c>
      <c r="S14" s="17">
        <f t="shared" ref="S14:AF14" si="6">SUM(C26:C29)</f>
        <v>2</v>
      </c>
      <c r="T14" s="17">
        <f t="shared" si="6"/>
        <v>3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2</v>
      </c>
      <c r="AB14" s="17">
        <f t="shared" si="6"/>
        <v>0</v>
      </c>
      <c r="AC14" s="17">
        <f t="shared" si="6"/>
        <v>69</v>
      </c>
      <c r="AD14" s="17">
        <f t="shared" si="6"/>
        <v>0</v>
      </c>
      <c r="AE14" s="31">
        <f t="shared" si="6"/>
        <v>10</v>
      </c>
      <c r="AF14" s="31">
        <f t="shared" si="6"/>
        <v>79</v>
      </c>
    </row>
    <row r="15" spans="2:32" ht="23.1" customHeight="1" x14ac:dyDescent="0.25">
      <c r="B15" s="23" t="s">
        <v>42</v>
      </c>
      <c r="C15" s="50">
        <v>2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23</v>
      </c>
      <c r="N15" s="50">
        <v>0</v>
      </c>
      <c r="O15" s="15">
        <f t="shared" si="0"/>
        <v>4</v>
      </c>
      <c r="P15" s="15">
        <f t="shared" si="1"/>
        <v>27</v>
      </c>
      <c r="R15" s="1" t="s">
        <v>11</v>
      </c>
      <c r="S15" s="17">
        <f t="shared" ref="S15:AF15" si="7">SUM(C30:C33)</f>
        <v>4</v>
      </c>
      <c r="T15" s="17">
        <f t="shared" si="7"/>
        <v>6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84</v>
      </c>
      <c r="AD15" s="17">
        <f t="shared" si="7"/>
        <v>0</v>
      </c>
      <c r="AE15" s="31">
        <f t="shared" si="7"/>
        <v>12</v>
      </c>
      <c r="AF15" s="31">
        <f t="shared" si="7"/>
        <v>96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24</v>
      </c>
      <c r="N16" s="50">
        <v>0</v>
      </c>
      <c r="O16" s="15">
        <f t="shared" si="0"/>
        <v>2</v>
      </c>
      <c r="P16" s="15">
        <f t="shared" si="1"/>
        <v>26</v>
      </c>
      <c r="R16" s="1" t="s">
        <v>12</v>
      </c>
      <c r="S16" s="17">
        <f t="shared" ref="S16:AF16" si="8">SUM(C34:C37)</f>
        <v>1</v>
      </c>
      <c r="T16" s="17">
        <f t="shared" si="8"/>
        <v>4</v>
      </c>
      <c r="U16" s="17">
        <f t="shared" si="8"/>
        <v>2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48</v>
      </c>
      <c r="AD16" s="17">
        <f t="shared" si="8"/>
        <v>0</v>
      </c>
      <c r="AE16" s="31">
        <f t="shared" si="8"/>
        <v>12</v>
      </c>
      <c r="AF16" s="31">
        <f t="shared" si="8"/>
        <v>60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26</v>
      </c>
      <c r="N17" s="50">
        <v>0</v>
      </c>
      <c r="O17" s="15">
        <f t="shared" si="0"/>
        <v>2</v>
      </c>
      <c r="P17" s="15">
        <f t="shared" si="1"/>
        <v>28</v>
      </c>
      <c r="R17" s="1" t="s">
        <v>13</v>
      </c>
      <c r="S17" s="17">
        <f t="shared" ref="S17:AF17" si="9">SUM(C38:C41)</f>
        <v>4</v>
      </c>
      <c r="T17" s="17">
        <f t="shared" si="9"/>
        <v>1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72</v>
      </c>
      <c r="AD17" s="17">
        <f t="shared" si="9"/>
        <v>0</v>
      </c>
      <c r="AE17" s="31">
        <f t="shared" si="9"/>
        <v>9</v>
      </c>
      <c r="AF17" s="31">
        <f t="shared" si="9"/>
        <v>81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23</v>
      </c>
      <c r="N18" s="50">
        <v>0</v>
      </c>
      <c r="O18" s="15">
        <f t="shared" si="0"/>
        <v>2</v>
      </c>
      <c r="P18" s="15">
        <f t="shared" si="1"/>
        <v>25</v>
      </c>
      <c r="R18" s="1" t="s">
        <v>14</v>
      </c>
      <c r="S18" s="17">
        <f t="shared" ref="S18:AF18" si="10">SUM(C42:C45)</f>
        <v>5</v>
      </c>
      <c r="T18" s="17">
        <f t="shared" si="10"/>
        <v>1</v>
      </c>
      <c r="U18" s="17">
        <f t="shared" si="10"/>
        <v>3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55</v>
      </c>
      <c r="AD18" s="17">
        <f t="shared" si="10"/>
        <v>0</v>
      </c>
      <c r="AE18" s="31">
        <f t="shared" si="10"/>
        <v>12</v>
      </c>
      <c r="AF18" s="31">
        <f t="shared" si="10"/>
        <v>67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33</v>
      </c>
      <c r="N19" s="50">
        <v>0</v>
      </c>
      <c r="O19" s="15">
        <f t="shared" si="0"/>
        <v>2</v>
      </c>
      <c r="P19" s="15">
        <f t="shared" si="1"/>
        <v>35</v>
      </c>
      <c r="R19" s="1" t="s">
        <v>15</v>
      </c>
      <c r="S19" s="17">
        <f t="shared" ref="S19:AF19" si="11">SUM(C46:C49)</f>
        <v>10</v>
      </c>
      <c r="T19" s="17">
        <f t="shared" si="11"/>
        <v>2</v>
      </c>
      <c r="U19" s="17">
        <f t="shared" si="11"/>
        <v>3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76</v>
      </c>
      <c r="AD19" s="17">
        <f t="shared" si="11"/>
        <v>0</v>
      </c>
      <c r="AE19" s="31">
        <f t="shared" si="11"/>
        <v>22</v>
      </c>
      <c r="AF19" s="31">
        <f t="shared" si="11"/>
        <v>98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3</v>
      </c>
      <c r="P20" s="15">
        <f t="shared" si="1"/>
        <v>17</v>
      </c>
      <c r="R20" s="1" t="s">
        <v>16</v>
      </c>
      <c r="S20" s="17">
        <f t="shared" ref="S20:AF20" si="12">SUM(C50:C53)</f>
        <v>15</v>
      </c>
      <c r="T20" s="17">
        <f t="shared" si="12"/>
        <v>2</v>
      </c>
      <c r="U20" s="17">
        <f t="shared" si="12"/>
        <v>1</v>
      </c>
      <c r="V20" s="17">
        <f t="shared" si="12"/>
        <v>9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79</v>
      </c>
      <c r="AD20" s="17">
        <f t="shared" si="12"/>
        <v>0</v>
      </c>
      <c r="AE20" s="31">
        <f t="shared" si="12"/>
        <v>27</v>
      </c>
      <c r="AF20" s="31">
        <f t="shared" si="12"/>
        <v>106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22</v>
      </c>
      <c r="N21" s="50">
        <v>0</v>
      </c>
      <c r="O21" s="15">
        <f t="shared" si="0"/>
        <v>1</v>
      </c>
      <c r="P21" s="15">
        <f t="shared" si="1"/>
        <v>23</v>
      </c>
      <c r="R21" s="36" t="s">
        <v>20</v>
      </c>
      <c r="S21" s="34">
        <f t="shared" ref="S21:AF21" si="13">SUM(C54:C57)</f>
        <v>15</v>
      </c>
      <c r="T21" s="17">
        <f t="shared" si="13"/>
        <v>2</v>
      </c>
      <c r="U21" s="17">
        <f t="shared" si="13"/>
        <v>0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97</v>
      </c>
      <c r="AD21" s="17">
        <f t="shared" si="13"/>
        <v>0</v>
      </c>
      <c r="AE21" s="31">
        <f t="shared" si="13"/>
        <v>26</v>
      </c>
      <c r="AF21" s="31">
        <f t="shared" si="13"/>
        <v>123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5</v>
      </c>
      <c r="P22" s="15">
        <f t="shared" si="1"/>
        <v>20</v>
      </c>
      <c r="R22" s="38" t="s">
        <v>90</v>
      </c>
      <c r="S22" s="39">
        <f>MAX(S10:S12)</f>
        <v>9</v>
      </c>
      <c r="T22" s="39">
        <f t="shared" ref="T22:AF22" si="14">MAX(T10:T12)</f>
        <v>5</v>
      </c>
      <c r="U22" s="39">
        <f t="shared" si="14"/>
        <v>1</v>
      </c>
      <c r="V22" s="39">
        <f t="shared" si="14"/>
        <v>3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123</v>
      </c>
      <c r="AD22" s="39">
        <f t="shared" si="14"/>
        <v>0</v>
      </c>
      <c r="AE22" s="40">
        <f t="shared" si="14"/>
        <v>18</v>
      </c>
      <c r="AF22" s="40">
        <f t="shared" si="14"/>
        <v>141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20</v>
      </c>
      <c r="N23" s="50">
        <v>0</v>
      </c>
      <c r="O23" s="15">
        <f t="shared" si="0"/>
        <v>0</v>
      </c>
      <c r="P23" s="15">
        <f t="shared" si="1"/>
        <v>20</v>
      </c>
      <c r="R23" s="38" t="s">
        <v>91</v>
      </c>
      <c r="S23" s="39">
        <f>MAX(S13:S18)</f>
        <v>6</v>
      </c>
      <c r="T23" s="39">
        <f t="shared" ref="T23:AF23" si="15">MAX(T13:T18)</f>
        <v>6</v>
      </c>
      <c r="U23" s="39">
        <f t="shared" si="15"/>
        <v>3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0</v>
      </c>
      <c r="AA23" s="39">
        <f t="shared" si="15"/>
        <v>2</v>
      </c>
      <c r="AB23" s="39">
        <f t="shared" si="15"/>
        <v>0</v>
      </c>
      <c r="AC23" s="39">
        <f t="shared" si="15"/>
        <v>84</v>
      </c>
      <c r="AD23" s="39">
        <f t="shared" si="15"/>
        <v>0</v>
      </c>
      <c r="AE23" s="40">
        <f t="shared" si="15"/>
        <v>12</v>
      </c>
      <c r="AF23" s="40">
        <f t="shared" si="15"/>
        <v>96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20</v>
      </c>
      <c r="N24" s="50">
        <v>0</v>
      </c>
      <c r="O24" s="15">
        <f t="shared" si="0"/>
        <v>3</v>
      </c>
      <c r="P24" s="15">
        <f t="shared" si="1"/>
        <v>23</v>
      </c>
      <c r="R24" s="38" t="s">
        <v>92</v>
      </c>
      <c r="S24" s="39">
        <f>MAX(S19:S21)</f>
        <v>15</v>
      </c>
      <c r="T24" s="39">
        <f t="shared" ref="T24:AF24" si="16">MAX(T19:T21)</f>
        <v>2</v>
      </c>
      <c r="U24" s="39">
        <f t="shared" si="16"/>
        <v>3</v>
      </c>
      <c r="V24" s="39">
        <f t="shared" si="16"/>
        <v>9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1</v>
      </c>
      <c r="AA24" s="39">
        <f t="shared" si="16"/>
        <v>1</v>
      </c>
      <c r="AB24" s="39">
        <f t="shared" si="16"/>
        <v>0</v>
      </c>
      <c r="AC24" s="39">
        <f t="shared" si="16"/>
        <v>97</v>
      </c>
      <c r="AD24" s="39">
        <f t="shared" si="16"/>
        <v>0</v>
      </c>
      <c r="AE24" s="40">
        <f t="shared" si="16"/>
        <v>27</v>
      </c>
      <c r="AF24" s="40">
        <f t="shared" si="16"/>
        <v>123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23</v>
      </c>
      <c r="N25" s="50">
        <v>0</v>
      </c>
      <c r="O25" s="15">
        <f t="shared" si="0"/>
        <v>1</v>
      </c>
      <c r="P25" s="15">
        <f t="shared" si="1"/>
        <v>24</v>
      </c>
      <c r="R25" s="37" t="s">
        <v>85</v>
      </c>
      <c r="S25" s="35">
        <f t="shared" ref="S25:AF25" si="17">SUM(S10:S12)</f>
        <v>19</v>
      </c>
      <c r="T25" s="16">
        <f t="shared" si="17"/>
        <v>6</v>
      </c>
      <c r="U25" s="16">
        <f t="shared" si="17"/>
        <v>2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5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315</v>
      </c>
      <c r="AD25" s="16">
        <f t="shared" si="17"/>
        <v>0</v>
      </c>
      <c r="AE25" s="32">
        <f t="shared" si="17"/>
        <v>37</v>
      </c>
      <c r="AF25" s="32">
        <f t="shared" si="17"/>
        <v>352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16</v>
      </c>
      <c r="N26" s="50">
        <v>0</v>
      </c>
      <c r="O26" s="15">
        <f t="shared" si="0"/>
        <v>3</v>
      </c>
      <c r="P26" s="15">
        <f t="shared" si="1"/>
        <v>19</v>
      </c>
      <c r="R26" s="28" t="s">
        <v>86</v>
      </c>
      <c r="S26" s="16">
        <f t="shared" ref="S26:AF26" si="18">SUM(S13:S18)</f>
        <v>22</v>
      </c>
      <c r="T26" s="16">
        <f t="shared" si="18"/>
        <v>17</v>
      </c>
      <c r="U26" s="16">
        <f t="shared" si="18"/>
        <v>7</v>
      </c>
      <c r="V26" s="16">
        <f t="shared" si="18"/>
        <v>7</v>
      </c>
      <c r="W26" s="16">
        <f t="shared" si="18"/>
        <v>0</v>
      </c>
      <c r="X26" s="16">
        <f t="shared" si="18"/>
        <v>0</v>
      </c>
      <c r="Y26" s="16">
        <f t="shared" si="18"/>
        <v>6</v>
      </c>
      <c r="Z26" s="16">
        <f t="shared" si="18"/>
        <v>0</v>
      </c>
      <c r="AA26" s="16">
        <f t="shared" si="18"/>
        <v>5</v>
      </c>
      <c r="AB26" s="16">
        <f t="shared" si="18"/>
        <v>0</v>
      </c>
      <c r="AC26" s="16">
        <f t="shared" si="18"/>
        <v>406</v>
      </c>
      <c r="AD26" s="16">
        <f t="shared" si="18"/>
        <v>0</v>
      </c>
      <c r="AE26" s="32">
        <f t="shared" si="18"/>
        <v>64</v>
      </c>
      <c r="AF26" s="32">
        <f t="shared" si="18"/>
        <v>470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14</v>
      </c>
      <c r="N27" s="50">
        <v>0</v>
      </c>
      <c r="O27" s="15">
        <f t="shared" si="0"/>
        <v>1</v>
      </c>
      <c r="P27" s="15">
        <f t="shared" si="1"/>
        <v>15</v>
      </c>
      <c r="R27" s="29" t="s">
        <v>87</v>
      </c>
      <c r="S27" s="16">
        <f t="shared" ref="S27:AF27" si="19">SUM(S19:S21)</f>
        <v>40</v>
      </c>
      <c r="T27" s="16">
        <f t="shared" si="19"/>
        <v>6</v>
      </c>
      <c r="U27" s="16">
        <f t="shared" si="19"/>
        <v>4</v>
      </c>
      <c r="V27" s="16">
        <f t="shared" si="19"/>
        <v>18</v>
      </c>
      <c r="W27" s="16">
        <f t="shared" si="19"/>
        <v>0</v>
      </c>
      <c r="X27" s="16">
        <f t="shared" si="19"/>
        <v>0</v>
      </c>
      <c r="Y27" s="16">
        <f t="shared" si="19"/>
        <v>5</v>
      </c>
      <c r="Z27" s="16">
        <f t="shared" si="19"/>
        <v>1</v>
      </c>
      <c r="AA27" s="16">
        <f t="shared" si="19"/>
        <v>1</v>
      </c>
      <c r="AB27" s="16">
        <f t="shared" si="19"/>
        <v>0</v>
      </c>
      <c r="AC27" s="16">
        <f t="shared" si="19"/>
        <v>252</v>
      </c>
      <c r="AD27" s="16">
        <f t="shared" si="19"/>
        <v>0</v>
      </c>
      <c r="AE27" s="32">
        <f t="shared" si="19"/>
        <v>75</v>
      </c>
      <c r="AF27" s="32">
        <f t="shared" si="19"/>
        <v>327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2</v>
      </c>
      <c r="L28" s="50">
        <v>0</v>
      </c>
      <c r="M28" s="50">
        <v>19</v>
      </c>
      <c r="N28" s="50">
        <v>0</v>
      </c>
      <c r="O28" s="15">
        <f t="shared" si="0"/>
        <v>3</v>
      </c>
      <c r="P28" s="15">
        <f t="shared" si="1"/>
        <v>22</v>
      </c>
      <c r="R28" s="5" t="s">
        <v>17</v>
      </c>
      <c r="S28" s="16">
        <f t="shared" ref="S28:AF28" si="20">SUM(S10:S21)</f>
        <v>81</v>
      </c>
      <c r="T28" s="16">
        <f t="shared" si="20"/>
        <v>29</v>
      </c>
      <c r="U28" s="16">
        <f t="shared" si="20"/>
        <v>13</v>
      </c>
      <c r="V28" s="16">
        <f t="shared" si="20"/>
        <v>29</v>
      </c>
      <c r="W28" s="16">
        <f t="shared" si="20"/>
        <v>0</v>
      </c>
      <c r="X28" s="16">
        <f t="shared" si="20"/>
        <v>0</v>
      </c>
      <c r="Y28" s="16">
        <f t="shared" si="20"/>
        <v>16</v>
      </c>
      <c r="Z28" s="16">
        <f t="shared" si="20"/>
        <v>2</v>
      </c>
      <c r="AA28" s="16">
        <f t="shared" si="20"/>
        <v>6</v>
      </c>
      <c r="AB28" s="16">
        <f t="shared" si="20"/>
        <v>0</v>
      </c>
      <c r="AC28" s="16">
        <f t="shared" si="20"/>
        <v>973</v>
      </c>
      <c r="AD28" s="16">
        <f t="shared" si="20"/>
        <v>0</v>
      </c>
      <c r="AE28" s="32">
        <f t="shared" si="20"/>
        <v>176</v>
      </c>
      <c r="AF28" s="32">
        <f t="shared" si="20"/>
        <v>1149</v>
      </c>
    </row>
    <row r="29" spans="2:32" ht="23.1" customHeight="1" x14ac:dyDescent="0.25">
      <c r="B29" s="23" t="s">
        <v>56</v>
      </c>
      <c r="C29" s="50">
        <v>1</v>
      </c>
      <c r="D29" s="50">
        <v>1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20</v>
      </c>
      <c r="N29" s="50">
        <v>0</v>
      </c>
      <c r="O29" s="15">
        <f t="shared" si="0"/>
        <v>3</v>
      </c>
      <c r="P29" s="15">
        <f t="shared" si="1"/>
        <v>23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18</v>
      </c>
      <c r="N30" s="50">
        <v>0</v>
      </c>
      <c r="O30" s="15">
        <f t="shared" si="0"/>
        <v>0</v>
      </c>
      <c r="P30" s="15">
        <f t="shared" si="1"/>
        <v>18</v>
      </c>
    </row>
    <row r="31" spans="2:32" ht="23.1" customHeight="1" x14ac:dyDescent="0.25">
      <c r="B31" s="24" t="s">
        <v>58</v>
      </c>
      <c r="C31" s="50">
        <v>3</v>
      </c>
      <c r="D31" s="50">
        <v>2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21</v>
      </c>
      <c r="N31" s="50">
        <v>0</v>
      </c>
      <c r="O31" s="15">
        <f t="shared" si="0"/>
        <v>7</v>
      </c>
      <c r="P31" s="15">
        <f t="shared" si="1"/>
        <v>28</v>
      </c>
    </row>
    <row r="32" spans="2:32" ht="23.1" customHeight="1" x14ac:dyDescent="0.25">
      <c r="B32" s="24" t="s">
        <v>59</v>
      </c>
      <c r="C32" s="50">
        <v>1</v>
      </c>
      <c r="D32" s="50">
        <v>4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5</v>
      </c>
      <c r="P32" s="15">
        <f t="shared" si="1"/>
        <v>23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27</v>
      </c>
      <c r="N33" s="50">
        <v>0</v>
      </c>
      <c r="O33" s="15">
        <f t="shared" si="0"/>
        <v>0</v>
      </c>
      <c r="P33" s="15">
        <f t="shared" si="1"/>
        <v>27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20</v>
      </c>
      <c r="N34" s="50">
        <v>0</v>
      </c>
      <c r="O34" s="15">
        <f t="shared" si="0"/>
        <v>3</v>
      </c>
      <c r="P34" s="15">
        <f t="shared" si="1"/>
        <v>23</v>
      </c>
    </row>
    <row r="35" spans="2:20" ht="23.1" customHeight="1" x14ac:dyDescent="0.25">
      <c r="B35" s="24" t="s">
        <v>62</v>
      </c>
      <c r="C35" s="50">
        <v>0</v>
      </c>
      <c r="D35" s="50">
        <v>2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3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12</v>
      </c>
      <c r="N36" s="50">
        <v>0</v>
      </c>
      <c r="O36" s="15">
        <f t="shared" si="0"/>
        <v>2</v>
      </c>
      <c r="P36" s="15">
        <f t="shared" si="1"/>
        <v>14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4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18</v>
      </c>
      <c r="N38" s="50">
        <v>0</v>
      </c>
      <c r="O38" s="15">
        <f t="shared" si="0"/>
        <v>2</v>
      </c>
      <c r="P38" s="15">
        <f t="shared" si="1"/>
        <v>20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5">
        <f t="shared" si="0"/>
        <v>0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3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21</v>
      </c>
      <c r="N40" s="50">
        <v>0</v>
      </c>
      <c r="O40" s="15">
        <f t="shared" si="0"/>
        <v>4</v>
      </c>
      <c r="P40" s="15">
        <f t="shared" si="1"/>
        <v>25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20</v>
      </c>
      <c r="N41" s="50">
        <v>0</v>
      </c>
      <c r="O41" s="15">
        <f t="shared" si="0"/>
        <v>3</v>
      </c>
      <c r="P41" s="15">
        <f t="shared" si="1"/>
        <v>23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1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14</v>
      </c>
      <c r="N43" s="50">
        <v>0</v>
      </c>
      <c r="O43" s="15">
        <f t="shared" si="0"/>
        <v>4</v>
      </c>
      <c r="P43" s="15">
        <f t="shared" si="1"/>
        <v>18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3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4</v>
      </c>
      <c r="P44" s="15">
        <f t="shared" si="1"/>
        <v>17</v>
      </c>
    </row>
    <row r="45" spans="2:20" ht="23.1" customHeight="1" x14ac:dyDescent="0.25">
      <c r="B45" s="23" t="s">
        <v>72</v>
      </c>
      <c r="C45" s="50">
        <v>2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3</v>
      </c>
      <c r="P45" s="15">
        <f t="shared" si="1"/>
        <v>19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16</v>
      </c>
      <c r="N46" s="50">
        <v>0</v>
      </c>
      <c r="O46" s="15">
        <f t="shared" si="0"/>
        <v>2</v>
      </c>
      <c r="P46" s="15">
        <f t="shared" si="1"/>
        <v>18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1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23</v>
      </c>
      <c r="N47" s="50">
        <v>0</v>
      </c>
      <c r="O47" s="15">
        <f t="shared" si="0"/>
        <v>6</v>
      </c>
      <c r="P47" s="15">
        <f t="shared" si="1"/>
        <v>29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2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1</v>
      </c>
      <c r="L48" s="50">
        <v>0</v>
      </c>
      <c r="M48" s="50">
        <v>21</v>
      </c>
      <c r="N48" s="50">
        <v>0</v>
      </c>
      <c r="O48" s="15">
        <f t="shared" si="0"/>
        <v>9</v>
      </c>
      <c r="P48" s="15">
        <f t="shared" si="1"/>
        <v>30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16</v>
      </c>
      <c r="N49" s="50">
        <v>0</v>
      </c>
      <c r="O49" s="15">
        <f t="shared" si="0"/>
        <v>5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5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22</v>
      </c>
      <c r="N50" s="50">
        <v>0</v>
      </c>
      <c r="O50" s="15">
        <f t="shared" si="0"/>
        <v>8</v>
      </c>
      <c r="P50" s="15">
        <f t="shared" si="1"/>
        <v>30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1</v>
      </c>
      <c r="E51" s="50">
        <v>0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7</v>
      </c>
      <c r="P51" s="15">
        <f t="shared" si="1"/>
        <v>26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22</v>
      </c>
      <c r="N52" s="50">
        <v>0</v>
      </c>
      <c r="O52" s="15">
        <f t="shared" si="0"/>
        <v>5</v>
      </c>
      <c r="P52" s="15">
        <f t="shared" si="1"/>
        <v>27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16</v>
      </c>
      <c r="N53" s="50">
        <v>0</v>
      </c>
      <c r="O53" s="15">
        <f t="shared" si="0"/>
        <v>7</v>
      </c>
      <c r="P53" s="15">
        <f t="shared" si="1"/>
        <v>23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26</v>
      </c>
      <c r="N54" s="50">
        <v>0</v>
      </c>
      <c r="O54" s="15">
        <f t="shared" si="0"/>
        <v>6</v>
      </c>
      <c r="P54" s="15">
        <f t="shared" si="1"/>
        <v>32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20</v>
      </c>
      <c r="N55" s="50">
        <v>0</v>
      </c>
      <c r="O55" s="15">
        <f t="shared" si="0"/>
        <v>4</v>
      </c>
      <c r="P55" s="15">
        <f t="shared" si="1"/>
        <v>24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1</v>
      </c>
      <c r="E56" s="50">
        <v>0</v>
      </c>
      <c r="F56" s="50">
        <v>5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31</v>
      </c>
      <c r="N56" s="50">
        <v>0</v>
      </c>
      <c r="O56" s="15">
        <f t="shared" si="0"/>
        <v>10</v>
      </c>
      <c r="P56" s="15">
        <f t="shared" si="1"/>
        <v>41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6</v>
      </c>
      <c r="P57" s="15">
        <f t="shared" si="1"/>
        <v>26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81</v>
      </c>
      <c r="D58" s="16">
        <f t="shared" si="21"/>
        <v>29</v>
      </c>
      <c r="E58" s="16">
        <f t="shared" si="21"/>
        <v>13</v>
      </c>
      <c r="F58" s="16">
        <f t="shared" si="21"/>
        <v>29</v>
      </c>
      <c r="G58" s="16">
        <f t="shared" si="21"/>
        <v>0</v>
      </c>
      <c r="H58" s="16">
        <f t="shared" si="21"/>
        <v>0</v>
      </c>
      <c r="I58" s="16">
        <f t="shared" si="21"/>
        <v>16</v>
      </c>
      <c r="J58" s="16">
        <f t="shared" si="21"/>
        <v>2</v>
      </c>
      <c r="K58" s="16">
        <f t="shared" si="21"/>
        <v>6</v>
      </c>
      <c r="L58" s="16">
        <f t="shared" si="21"/>
        <v>0</v>
      </c>
      <c r="M58" s="16">
        <f t="shared" si="21"/>
        <v>973</v>
      </c>
      <c r="N58" s="16">
        <f t="shared" si="21"/>
        <v>0</v>
      </c>
      <c r="O58" s="16">
        <f t="shared" si="21"/>
        <v>176</v>
      </c>
      <c r="P58" s="16">
        <f t="shared" si="21"/>
        <v>1149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7.0496083550913843E-2</v>
      </c>
      <c r="D59" s="43">
        <f t="shared" si="22"/>
        <v>2.5239338555265448E-2</v>
      </c>
      <c r="E59" s="43">
        <f t="shared" si="22"/>
        <v>1.1314186248912098E-2</v>
      </c>
      <c r="F59" s="43">
        <f t="shared" si="22"/>
        <v>2.5239338555265448E-2</v>
      </c>
      <c r="G59" s="43">
        <f t="shared" si="22"/>
        <v>0</v>
      </c>
      <c r="H59" s="43">
        <f t="shared" si="22"/>
        <v>0</v>
      </c>
      <c r="I59" s="43">
        <f t="shared" si="22"/>
        <v>1.392515230635335E-2</v>
      </c>
      <c r="J59" s="43">
        <f t="shared" si="22"/>
        <v>1.7406440382941688E-3</v>
      </c>
      <c r="K59" s="43">
        <f t="shared" si="22"/>
        <v>5.2219321148825066E-3</v>
      </c>
      <c r="L59" s="43">
        <f t="shared" si="22"/>
        <v>0</v>
      </c>
      <c r="M59" s="43">
        <f t="shared" si="22"/>
        <v>0.84682332463011312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0.46022727272727271</v>
      </c>
      <c r="D60" s="44">
        <f t="shared" ref="D60:N60" si="23">D58/$O$58</f>
        <v>0.16477272727272727</v>
      </c>
      <c r="E60" s="44">
        <f t="shared" si="23"/>
        <v>7.3863636363636367E-2</v>
      </c>
      <c r="F60" s="44">
        <f t="shared" si="23"/>
        <v>0.16477272727272727</v>
      </c>
      <c r="G60" s="44">
        <f t="shared" si="23"/>
        <v>0</v>
      </c>
      <c r="H60" s="44">
        <f t="shared" si="23"/>
        <v>0</v>
      </c>
      <c r="I60" s="44">
        <f t="shared" si="23"/>
        <v>9.0909090909090912E-2</v>
      </c>
      <c r="J60" s="44">
        <f t="shared" si="23"/>
        <v>1.1363636363636364E-2</v>
      </c>
      <c r="K60" s="44">
        <f t="shared" si="23"/>
        <v>3.4090909090909088E-2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S49" sqref="S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'23.09.19 -Kigo-Munyonyo'!C3:G3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'25.09 Munyonyo-Kigo'!D5</f>
        <v>25.09.19</v>
      </c>
      <c r="E5" s="3"/>
      <c r="F5" s="41" t="s">
        <v>1</v>
      </c>
      <c r="G5" s="70" t="str">
        <f>'23.09.19 -Munyonyo-Kigo'!G5:H5</f>
        <v>LWEZA KAMUCHANGA</v>
      </c>
      <c r="H5" s="71"/>
      <c r="I5" s="14"/>
      <c r="J5" s="2" t="s">
        <v>5</v>
      </c>
      <c r="K5" s="70" t="s">
        <v>168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'23.09.19 -Kigo-Munyonyo'!D6:E6</f>
        <v>KIGO</v>
      </c>
      <c r="E6" s="71"/>
      <c r="F6" s="2" t="s">
        <v>2</v>
      </c>
      <c r="G6" s="70" t="str">
        <f>'23.09.19 -Kigo-Munyonyo'!G6:H6</f>
        <v>MUNYONYO</v>
      </c>
      <c r="H6" s="71"/>
      <c r="J6" s="2" t="s">
        <v>21</v>
      </c>
      <c r="K6" s="70" t="str">
        <f>'23.09.19 -Munyonyo-Kigo'!K6:L6</f>
        <v>Beatrice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38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39</v>
      </c>
      <c r="R10" s="1" t="s">
        <v>6</v>
      </c>
      <c r="S10" s="17">
        <f t="shared" ref="S10:AF10" si="2">SUM(C10:C13)</f>
        <v>1</v>
      </c>
      <c r="T10" s="17">
        <f t="shared" si="2"/>
        <v>4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140</v>
      </c>
      <c r="AD10" s="17">
        <f t="shared" si="2"/>
        <v>0</v>
      </c>
      <c r="AE10" s="31">
        <f t="shared" si="2"/>
        <v>7</v>
      </c>
      <c r="AF10" s="31">
        <f t="shared" si="2"/>
        <v>147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42</v>
      </c>
      <c r="N11" s="50">
        <v>0</v>
      </c>
      <c r="O11" s="15">
        <f t="shared" si="0"/>
        <v>3</v>
      </c>
      <c r="P11" s="15">
        <f t="shared" si="1"/>
        <v>45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76</v>
      </c>
      <c r="AD11" s="17">
        <f t="shared" si="3"/>
        <v>0</v>
      </c>
      <c r="AE11" s="31">
        <f t="shared" si="3"/>
        <v>3</v>
      </c>
      <c r="AF11" s="31">
        <f t="shared" si="3"/>
        <v>79</v>
      </c>
    </row>
    <row r="12" spans="2:32" ht="23.1" customHeight="1" x14ac:dyDescent="0.25">
      <c r="B12" s="23" t="s">
        <v>39</v>
      </c>
      <c r="C12" s="50">
        <v>0</v>
      </c>
      <c r="D12" s="50">
        <v>2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29</v>
      </c>
      <c r="N12" s="50">
        <v>0</v>
      </c>
      <c r="O12" s="15">
        <f t="shared" si="0"/>
        <v>3</v>
      </c>
      <c r="P12" s="15">
        <f t="shared" si="1"/>
        <v>32</v>
      </c>
      <c r="R12" s="1" t="s">
        <v>8</v>
      </c>
      <c r="S12" s="17">
        <f t="shared" ref="S12:AF12" si="4">SUM(C18:C21)</f>
        <v>0</v>
      </c>
      <c r="T12" s="17">
        <f t="shared" si="4"/>
        <v>2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67</v>
      </c>
      <c r="AD12" s="17">
        <f t="shared" si="4"/>
        <v>0</v>
      </c>
      <c r="AE12" s="31">
        <f t="shared" si="4"/>
        <v>3</v>
      </c>
      <c r="AF12" s="31">
        <f t="shared" si="4"/>
        <v>70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31</v>
      </c>
      <c r="N13" s="50">
        <v>0</v>
      </c>
      <c r="O13" s="15">
        <f t="shared" si="0"/>
        <v>0</v>
      </c>
      <c r="P13" s="15">
        <f t="shared" si="1"/>
        <v>31</v>
      </c>
      <c r="R13" s="1" t="s">
        <v>9</v>
      </c>
      <c r="S13" s="17">
        <f t="shared" ref="S13:AF13" si="5">SUM(C22:C25)</f>
        <v>1</v>
      </c>
      <c r="T13" s="17">
        <f t="shared" si="5"/>
        <v>1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53</v>
      </c>
      <c r="AD13" s="17">
        <f t="shared" si="5"/>
        <v>0</v>
      </c>
      <c r="AE13" s="31">
        <f t="shared" si="5"/>
        <v>4</v>
      </c>
      <c r="AF13" s="31">
        <f t="shared" si="5"/>
        <v>57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1</v>
      </c>
      <c r="P14" s="15">
        <f t="shared" si="1"/>
        <v>13</v>
      </c>
      <c r="R14" s="1" t="s">
        <v>10</v>
      </c>
      <c r="S14" s="17">
        <f t="shared" ref="S14:AF14" si="6">SUM(C26:C29)</f>
        <v>0</v>
      </c>
      <c r="T14" s="17">
        <f t="shared" si="6"/>
        <v>1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55</v>
      </c>
      <c r="AD14" s="17">
        <f t="shared" si="6"/>
        <v>0</v>
      </c>
      <c r="AE14" s="31">
        <f t="shared" si="6"/>
        <v>2</v>
      </c>
      <c r="AF14" s="31">
        <f t="shared" si="6"/>
        <v>57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29</v>
      </c>
      <c r="N15" s="50">
        <v>0</v>
      </c>
      <c r="O15" s="15">
        <f t="shared" si="0"/>
        <v>0</v>
      </c>
      <c r="P15" s="15">
        <f t="shared" si="1"/>
        <v>29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72</v>
      </c>
      <c r="AD15" s="17">
        <f t="shared" si="7"/>
        <v>0</v>
      </c>
      <c r="AE15" s="31">
        <f t="shared" si="7"/>
        <v>2</v>
      </c>
      <c r="AF15" s="31">
        <f t="shared" si="7"/>
        <v>74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24</v>
      </c>
      <c r="N16" s="50">
        <v>0</v>
      </c>
      <c r="O16" s="15">
        <f t="shared" si="0"/>
        <v>1</v>
      </c>
      <c r="P16" s="15">
        <f t="shared" si="1"/>
        <v>25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1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34</v>
      </c>
      <c r="AD16" s="17">
        <f t="shared" si="8"/>
        <v>0</v>
      </c>
      <c r="AE16" s="31">
        <f t="shared" si="8"/>
        <v>3</v>
      </c>
      <c r="AF16" s="31">
        <f t="shared" si="8"/>
        <v>37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1</v>
      </c>
      <c r="P17" s="15">
        <f t="shared" si="1"/>
        <v>12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66</v>
      </c>
      <c r="AD17" s="17">
        <f t="shared" si="9"/>
        <v>0</v>
      </c>
      <c r="AE17" s="31">
        <f t="shared" si="9"/>
        <v>3</v>
      </c>
      <c r="AF17" s="31">
        <f t="shared" si="9"/>
        <v>69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16</v>
      </c>
      <c r="N18" s="50">
        <v>0</v>
      </c>
      <c r="O18" s="15">
        <f t="shared" si="0"/>
        <v>0</v>
      </c>
      <c r="P18" s="15">
        <f t="shared" si="1"/>
        <v>16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60</v>
      </c>
      <c r="AD18" s="17">
        <f t="shared" si="10"/>
        <v>0</v>
      </c>
      <c r="AE18" s="31">
        <f t="shared" si="10"/>
        <v>1</v>
      </c>
      <c r="AF18" s="31">
        <f t="shared" si="10"/>
        <v>61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28</v>
      </c>
      <c r="N19" s="50">
        <v>0</v>
      </c>
      <c r="O19" s="15">
        <f t="shared" si="0"/>
        <v>0</v>
      </c>
      <c r="P19" s="15">
        <f t="shared" si="1"/>
        <v>28</v>
      </c>
      <c r="R19" s="1" t="s">
        <v>15</v>
      </c>
      <c r="S19" s="17">
        <f t="shared" ref="S19:AF19" si="11">SUM(C46:C49)</f>
        <v>1</v>
      </c>
      <c r="T19" s="17">
        <f t="shared" si="11"/>
        <v>3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56</v>
      </c>
      <c r="AD19" s="17">
        <f t="shared" si="11"/>
        <v>0</v>
      </c>
      <c r="AE19" s="31">
        <f t="shared" si="11"/>
        <v>6</v>
      </c>
      <c r="AF19" s="31">
        <f t="shared" si="11"/>
        <v>62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3</v>
      </c>
      <c r="P20" s="15">
        <f t="shared" si="1"/>
        <v>13</v>
      </c>
      <c r="R20" s="1" t="s">
        <v>16</v>
      </c>
      <c r="S20" s="17">
        <f t="shared" ref="S20:AF20" si="12">SUM(C50:C53)</f>
        <v>0</v>
      </c>
      <c r="T20" s="17">
        <f t="shared" si="12"/>
        <v>1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76</v>
      </c>
      <c r="AD20" s="17">
        <f t="shared" si="12"/>
        <v>0</v>
      </c>
      <c r="AE20" s="31">
        <f t="shared" si="12"/>
        <v>1</v>
      </c>
      <c r="AF20" s="31">
        <f t="shared" si="12"/>
        <v>77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13</v>
      </c>
      <c r="N21" s="50">
        <v>0</v>
      </c>
      <c r="O21" s="15">
        <f t="shared" si="0"/>
        <v>0</v>
      </c>
      <c r="P21" s="15">
        <f t="shared" si="1"/>
        <v>13</v>
      </c>
      <c r="R21" s="36" t="s">
        <v>20</v>
      </c>
      <c r="S21" s="34">
        <f t="shared" ref="S21:AF21" si="13">SUM(C54:C57)</f>
        <v>1</v>
      </c>
      <c r="T21" s="17">
        <f t="shared" si="13"/>
        <v>1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76</v>
      </c>
      <c r="AD21" s="17">
        <f t="shared" si="13"/>
        <v>0</v>
      </c>
      <c r="AE21" s="31">
        <f t="shared" si="13"/>
        <v>3</v>
      </c>
      <c r="AF21" s="31">
        <f t="shared" si="13"/>
        <v>79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13</v>
      </c>
      <c r="N22" s="50">
        <v>0</v>
      </c>
      <c r="O22" s="15">
        <f t="shared" si="0"/>
        <v>1</v>
      </c>
      <c r="P22" s="15">
        <f t="shared" si="1"/>
        <v>14</v>
      </c>
      <c r="R22" s="38" t="s">
        <v>90</v>
      </c>
      <c r="S22" s="39">
        <f>MAX(S10:S12)</f>
        <v>1</v>
      </c>
      <c r="T22" s="39">
        <f t="shared" ref="T22:AF22" si="14">MAX(T10:T12)</f>
        <v>4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140</v>
      </c>
      <c r="AD22" s="39">
        <f t="shared" si="14"/>
        <v>0</v>
      </c>
      <c r="AE22" s="40">
        <f t="shared" si="14"/>
        <v>7</v>
      </c>
      <c r="AF22" s="40">
        <f t="shared" si="14"/>
        <v>147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0</v>
      </c>
      <c r="M23" s="50">
        <v>19</v>
      </c>
      <c r="N23" s="50">
        <v>0</v>
      </c>
      <c r="O23" s="15">
        <f t="shared" si="0"/>
        <v>2</v>
      </c>
      <c r="P23" s="15">
        <f t="shared" si="1"/>
        <v>21</v>
      </c>
      <c r="R23" s="38" t="s">
        <v>91</v>
      </c>
      <c r="S23" s="39">
        <f>MAX(S13:S18)</f>
        <v>2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0</v>
      </c>
      <c r="Z23" s="39">
        <f t="shared" si="15"/>
        <v>0</v>
      </c>
      <c r="AA23" s="39">
        <f t="shared" si="15"/>
        <v>1</v>
      </c>
      <c r="AB23" s="39">
        <f t="shared" si="15"/>
        <v>0</v>
      </c>
      <c r="AC23" s="39">
        <f t="shared" si="15"/>
        <v>72</v>
      </c>
      <c r="AD23" s="39">
        <f t="shared" si="15"/>
        <v>0</v>
      </c>
      <c r="AE23" s="40">
        <f t="shared" si="15"/>
        <v>4</v>
      </c>
      <c r="AF23" s="40">
        <f t="shared" si="15"/>
        <v>74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16</v>
      </c>
      <c r="N24" s="50">
        <v>0</v>
      </c>
      <c r="O24" s="15">
        <f t="shared" si="0"/>
        <v>1</v>
      </c>
      <c r="P24" s="15">
        <f t="shared" si="1"/>
        <v>17</v>
      </c>
      <c r="R24" s="38" t="s">
        <v>92</v>
      </c>
      <c r="S24" s="39">
        <f>MAX(S19:S21)</f>
        <v>1</v>
      </c>
      <c r="T24" s="39">
        <f t="shared" ref="T24:AF24" si="16">MAX(T19:T21)</f>
        <v>3</v>
      </c>
      <c r="U24" s="39">
        <f t="shared" si="16"/>
        <v>0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76</v>
      </c>
      <c r="AD24" s="39">
        <f t="shared" si="16"/>
        <v>0</v>
      </c>
      <c r="AE24" s="40">
        <f t="shared" si="16"/>
        <v>6</v>
      </c>
      <c r="AF24" s="40">
        <f t="shared" si="16"/>
        <v>79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0</v>
      </c>
      <c r="P25" s="15">
        <f t="shared" si="1"/>
        <v>5</v>
      </c>
      <c r="R25" s="37" t="s">
        <v>85</v>
      </c>
      <c r="S25" s="35">
        <f t="shared" ref="S25:AF25" si="17">SUM(S10:S12)</f>
        <v>2</v>
      </c>
      <c r="T25" s="16">
        <f t="shared" si="17"/>
        <v>6</v>
      </c>
      <c r="U25" s="16">
        <f t="shared" si="17"/>
        <v>4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283</v>
      </c>
      <c r="AD25" s="16">
        <f t="shared" si="17"/>
        <v>0</v>
      </c>
      <c r="AE25" s="32">
        <f t="shared" si="17"/>
        <v>13</v>
      </c>
      <c r="AF25" s="32">
        <f t="shared" si="17"/>
        <v>296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16</v>
      </c>
      <c r="N26" s="50">
        <v>0</v>
      </c>
      <c r="O26" s="15">
        <f t="shared" si="0"/>
        <v>1</v>
      </c>
      <c r="P26" s="15">
        <f t="shared" si="1"/>
        <v>17</v>
      </c>
      <c r="R26" s="28" t="s">
        <v>86</v>
      </c>
      <c r="S26" s="16">
        <f t="shared" ref="S26:AF26" si="18">SUM(S13:S18)</f>
        <v>4</v>
      </c>
      <c r="T26" s="16">
        <f t="shared" si="18"/>
        <v>4</v>
      </c>
      <c r="U26" s="16">
        <f t="shared" si="18"/>
        <v>2</v>
      </c>
      <c r="V26" s="16">
        <f t="shared" si="18"/>
        <v>3</v>
      </c>
      <c r="W26" s="16">
        <f t="shared" si="18"/>
        <v>0</v>
      </c>
      <c r="X26" s="16">
        <f t="shared" si="18"/>
        <v>0</v>
      </c>
      <c r="Y26" s="16">
        <f t="shared" si="18"/>
        <v>0</v>
      </c>
      <c r="Z26" s="16">
        <f t="shared" si="18"/>
        <v>0</v>
      </c>
      <c r="AA26" s="16">
        <f t="shared" si="18"/>
        <v>2</v>
      </c>
      <c r="AB26" s="16">
        <f t="shared" si="18"/>
        <v>0</v>
      </c>
      <c r="AC26" s="16">
        <f t="shared" si="18"/>
        <v>340</v>
      </c>
      <c r="AD26" s="16">
        <f t="shared" si="18"/>
        <v>0</v>
      </c>
      <c r="AE26" s="32">
        <f t="shared" si="18"/>
        <v>15</v>
      </c>
      <c r="AF26" s="32">
        <f t="shared" si="18"/>
        <v>355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11</v>
      </c>
      <c r="N27" s="50">
        <v>0</v>
      </c>
      <c r="O27" s="15">
        <f t="shared" si="0"/>
        <v>0</v>
      </c>
      <c r="P27" s="15">
        <f t="shared" si="1"/>
        <v>11</v>
      </c>
      <c r="R27" s="29" t="s">
        <v>87</v>
      </c>
      <c r="S27" s="16">
        <f t="shared" ref="S27:AF27" si="19">SUM(S19:S21)</f>
        <v>2</v>
      </c>
      <c r="T27" s="16">
        <f t="shared" si="19"/>
        <v>5</v>
      </c>
      <c r="U27" s="16">
        <f t="shared" si="19"/>
        <v>0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208</v>
      </c>
      <c r="AD27" s="16">
        <f t="shared" si="19"/>
        <v>0</v>
      </c>
      <c r="AE27" s="32">
        <f t="shared" si="19"/>
        <v>10</v>
      </c>
      <c r="AF27" s="32">
        <f t="shared" si="19"/>
        <v>218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16</v>
      </c>
      <c r="N28" s="50">
        <v>0</v>
      </c>
      <c r="O28" s="15">
        <f t="shared" si="0"/>
        <v>1</v>
      </c>
      <c r="P28" s="15">
        <f t="shared" si="1"/>
        <v>17</v>
      </c>
      <c r="R28" s="5" t="s">
        <v>17</v>
      </c>
      <c r="S28" s="16">
        <f t="shared" ref="S28:AF28" si="20">SUM(S10:S21)</f>
        <v>8</v>
      </c>
      <c r="T28" s="16">
        <f t="shared" si="20"/>
        <v>15</v>
      </c>
      <c r="U28" s="16">
        <f t="shared" si="20"/>
        <v>6</v>
      </c>
      <c r="V28" s="16">
        <f t="shared" si="20"/>
        <v>5</v>
      </c>
      <c r="W28" s="16">
        <f t="shared" si="20"/>
        <v>0</v>
      </c>
      <c r="X28" s="16">
        <f t="shared" si="20"/>
        <v>0</v>
      </c>
      <c r="Y28" s="16">
        <f t="shared" si="20"/>
        <v>2</v>
      </c>
      <c r="Z28" s="16">
        <f t="shared" si="20"/>
        <v>0</v>
      </c>
      <c r="AA28" s="16">
        <f t="shared" si="20"/>
        <v>2</v>
      </c>
      <c r="AB28" s="16">
        <f t="shared" si="20"/>
        <v>0</v>
      </c>
      <c r="AC28" s="16">
        <f t="shared" si="20"/>
        <v>831</v>
      </c>
      <c r="AD28" s="16">
        <f t="shared" si="20"/>
        <v>0</v>
      </c>
      <c r="AE28" s="32">
        <f t="shared" si="20"/>
        <v>38</v>
      </c>
      <c r="AF28" s="32">
        <f t="shared" si="20"/>
        <v>869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12</v>
      </c>
      <c r="N29" s="50">
        <v>0</v>
      </c>
      <c r="O29" s="15">
        <f t="shared" si="0"/>
        <v>0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0</v>
      </c>
      <c r="P30" s="15">
        <f t="shared" si="1"/>
        <v>13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15</v>
      </c>
      <c r="N31" s="50">
        <v>0</v>
      </c>
      <c r="O31" s="15">
        <f t="shared" si="0"/>
        <v>1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25</v>
      </c>
      <c r="N32" s="50">
        <v>0</v>
      </c>
      <c r="O32" s="15">
        <f t="shared" si="0"/>
        <v>1</v>
      </c>
      <c r="P32" s="15">
        <f t="shared" si="1"/>
        <v>26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19</v>
      </c>
      <c r="N33" s="50">
        <v>0</v>
      </c>
      <c r="O33" s="15">
        <f t="shared" si="0"/>
        <v>0</v>
      </c>
      <c r="P33" s="15">
        <f t="shared" si="1"/>
        <v>19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0</v>
      </c>
      <c r="P34" s="15">
        <f t="shared" si="1"/>
        <v>19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0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2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1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18</v>
      </c>
      <c r="N38" s="50">
        <v>0</v>
      </c>
      <c r="O38" s="15">
        <f t="shared" si="0"/>
        <v>1</v>
      </c>
      <c r="P38" s="15">
        <f t="shared" si="1"/>
        <v>19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1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5">
        <f t="shared" si="0"/>
        <v>0</v>
      </c>
      <c r="P40" s="15">
        <f t="shared" si="1"/>
        <v>14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20</v>
      </c>
      <c r="N41" s="50">
        <v>0</v>
      </c>
      <c r="O41" s="15">
        <f t="shared" si="0"/>
        <v>1</v>
      </c>
      <c r="P41" s="15">
        <f t="shared" si="1"/>
        <v>21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0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15</v>
      </c>
      <c r="N43" s="50">
        <v>0</v>
      </c>
      <c r="O43" s="15">
        <f t="shared" si="0"/>
        <v>0</v>
      </c>
      <c r="P43" s="15">
        <f t="shared" si="1"/>
        <v>15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1</v>
      </c>
      <c r="P44" s="15">
        <f t="shared" si="1"/>
        <v>14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0</v>
      </c>
      <c r="P45" s="15">
        <f t="shared" si="1"/>
        <v>20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2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19</v>
      </c>
      <c r="N47" s="50">
        <v>0</v>
      </c>
      <c r="O47" s="15">
        <f t="shared" si="0"/>
        <v>2</v>
      </c>
      <c r="P47" s="15">
        <f t="shared" si="1"/>
        <v>21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2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2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0</v>
      </c>
      <c r="P49" s="15">
        <f t="shared" si="1"/>
        <v>10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0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22</v>
      </c>
      <c r="N51" s="50">
        <v>0</v>
      </c>
      <c r="O51" s="15">
        <f t="shared" si="0"/>
        <v>1</v>
      </c>
      <c r="P51" s="15">
        <f t="shared" si="1"/>
        <v>23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0</v>
      </c>
      <c r="P52" s="15">
        <f t="shared" si="1"/>
        <v>13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28</v>
      </c>
      <c r="N53" s="50">
        <v>0</v>
      </c>
      <c r="O53" s="15">
        <f t="shared" si="0"/>
        <v>0</v>
      </c>
      <c r="P53" s="15">
        <f t="shared" si="1"/>
        <v>28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0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2</v>
      </c>
      <c r="P55" s="15">
        <f t="shared" si="1"/>
        <v>14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29</v>
      </c>
      <c r="N56" s="50">
        <v>0</v>
      </c>
      <c r="O56" s="15">
        <f t="shared" si="0"/>
        <v>1</v>
      </c>
      <c r="P56" s="15">
        <f t="shared" si="1"/>
        <v>30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0</v>
      </c>
      <c r="P57" s="15">
        <f t="shared" si="1"/>
        <v>15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</v>
      </c>
      <c r="D58" s="16">
        <f t="shared" si="21"/>
        <v>15</v>
      </c>
      <c r="E58" s="16">
        <f t="shared" si="21"/>
        <v>6</v>
      </c>
      <c r="F58" s="16">
        <f t="shared" si="21"/>
        <v>5</v>
      </c>
      <c r="G58" s="16">
        <f t="shared" si="21"/>
        <v>0</v>
      </c>
      <c r="H58" s="16">
        <f t="shared" si="21"/>
        <v>0</v>
      </c>
      <c r="I58" s="16">
        <f t="shared" si="21"/>
        <v>2</v>
      </c>
      <c r="J58" s="16">
        <f t="shared" si="21"/>
        <v>0</v>
      </c>
      <c r="K58" s="16">
        <f t="shared" si="21"/>
        <v>2</v>
      </c>
      <c r="L58" s="16">
        <f t="shared" si="21"/>
        <v>0</v>
      </c>
      <c r="M58" s="16">
        <f t="shared" si="21"/>
        <v>831</v>
      </c>
      <c r="N58" s="16">
        <f t="shared" si="21"/>
        <v>0</v>
      </c>
      <c r="O58" s="16">
        <f t="shared" si="21"/>
        <v>38</v>
      </c>
      <c r="P58" s="16">
        <f t="shared" si="21"/>
        <v>869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9.2059838895281933E-3</v>
      </c>
      <c r="D59" s="43">
        <f t="shared" si="22"/>
        <v>1.7261219792865361E-2</v>
      </c>
      <c r="E59" s="43">
        <f t="shared" si="22"/>
        <v>6.9044879171461446E-3</v>
      </c>
      <c r="F59" s="43">
        <f t="shared" si="22"/>
        <v>5.7537399309551211E-3</v>
      </c>
      <c r="G59" s="43">
        <f t="shared" si="22"/>
        <v>0</v>
      </c>
      <c r="H59" s="43">
        <f t="shared" si="22"/>
        <v>0</v>
      </c>
      <c r="I59" s="43">
        <f t="shared" si="22"/>
        <v>2.3014959723820483E-3</v>
      </c>
      <c r="J59" s="43">
        <f t="shared" si="22"/>
        <v>0</v>
      </c>
      <c r="K59" s="43">
        <f t="shared" si="22"/>
        <v>2.3014959723820483E-3</v>
      </c>
      <c r="L59" s="43">
        <f t="shared" si="22"/>
        <v>0</v>
      </c>
      <c r="M59" s="43">
        <f t="shared" si="22"/>
        <v>0.95627157652474104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0.21052631578947367</v>
      </c>
      <c r="D60" s="44">
        <f t="shared" ref="D60:N60" si="23">D58/$O$58</f>
        <v>0.39473684210526316</v>
      </c>
      <c r="E60" s="44">
        <f t="shared" si="23"/>
        <v>0.15789473684210525</v>
      </c>
      <c r="F60" s="44">
        <f t="shared" si="23"/>
        <v>0.13157894736842105</v>
      </c>
      <c r="G60" s="44">
        <f t="shared" si="23"/>
        <v>0</v>
      </c>
      <c r="H60" s="44">
        <f t="shared" si="23"/>
        <v>0</v>
      </c>
      <c r="I60" s="44">
        <f t="shared" si="23"/>
        <v>5.2631578947368418E-2</v>
      </c>
      <c r="J60" s="44">
        <f t="shared" si="23"/>
        <v>0</v>
      </c>
      <c r="K60" s="44">
        <f t="shared" si="23"/>
        <v>5.2631578947368418E-2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52" zoomScale="60" workbookViewId="0">
      <selection activeCell="I70" sqref="I7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'23.09.19 -Munyonyo-Kigo'!C3:G3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178</v>
      </c>
      <c r="E5" s="3"/>
      <c r="F5" s="41" t="s">
        <v>1</v>
      </c>
      <c r="G5" s="70" t="str">
        <f>'27.09 LWEZA-Munyonyo'!G5:H5</f>
        <v>LWEZA KAMUCHANGA</v>
      </c>
      <c r="H5" s="71"/>
      <c r="I5" s="14"/>
      <c r="J5" s="2" t="s">
        <v>5</v>
      </c>
      <c r="K5" s="70" t="s">
        <v>177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'23.09.19 -Munyonyo-Kigo'!D6:E6</f>
        <v>MUNYONYO</v>
      </c>
      <c r="E6" s="71"/>
      <c r="F6" s="2" t="s">
        <v>2</v>
      </c>
      <c r="G6" s="70" t="s">
        <v>170</v>
      </c>
      <c r="H6" s="71"/>
      <c r="J6" s="2" t="s">
        <v>21</v>
      </c>
      <c r="K6" s="70" t="str">
        <f>'27.09 LWEZA-Munyonyo'!K6:L6</f>
        <v>Beatrice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1</v>
      </c>
      <c r="E10" s="50">
        <v>0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37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45</v>
      </c>
      <c r="R10" s="1" t="s">
        <v>6</v>
      </c>
      <c r="S10" s="17">
        <f t="shared" ref="S10:AF10" si="2">SUM(C10:C13)</f>
        <v>11</v>
      </c>
      <c r="T10" s="17">
        <f t="shared" si="2"/>
        <v>3</v>
      </c>
      <c r="U10" s="17">
        <f t="shared" si="2"/>
        <v>2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131</v>
      </c>
      <c r="AD10" s="17">
        <f t="shared" si="2"/>
        <v>0</v>
      </c>
      <c r="AE10" s="31">
        <f t="shared" si="2"/>
        <v>21</v>
      </c>
      <c r="AF10" s="31">
        <f t="shared" si="2"/>
        <v>152</v>
      </c>
    </row>
    <row r="11" spans="2:32" s="6" customFormat="1" ht="23.1" customHeight="1" x14ac:dyDescent="0.25">
      <c r="B11" s="45" t="s">
        <v>38</v>
      </c>
      <c r="C11" s="50">
        <v>2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5">
        <f t="shared" si="0"/>
        <v>5</v>
      </c>
      <c r="P11" s="15">
        <f t="shared" si="1"/>
        <v>40</v>
      </c>
      <c r="R11" s="1" t="s">
        <v>7</v>
      </c>
      <c r="S11" s="17">
        <f t="shared" ref="S11:AF11" si="3">SUM(C14:C17)</f>
        <v>5</v>
      </c>
      <c r="T11" s="17">
        <f t="shared" si="3"/>
        <v>1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79</v>
      </c>
      <c r="AD11" s="17">
        <f t="shared" si="3"/>
        <v>0</v>
      </c>
      <c r="AE11" s="31">
        <f t="shared" si="3"/>
        <v>10</v>
      </c>
      <c r="AF11" s="31">
        <f t="shared" si="3"/>
        <v>89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30</v>
      </c>
      <c r="N12" s="50">
        <v>0</v>
      </c>
      <c r="O12" s="15">
        <f t="shared" si="0"/>
        <v>3</v>
      </c>
      <c r="P12" s="15">
        <f t="shared" si="1"/>
        <v>33</v>
      </c>
      <c r="R12" s="1" t="s">
        <v>8</v>
      </c>
      <c r="S12" s="17">
        <f t="shared" ref="S12:AF12" si="4">SUM(C18:C21)</f>
        <v>4</v>
      </c>
      <c r="T12" s="17">
        <f t="shared" si="4"/>
        <v>1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95</v>
      </c>
      <c r="AD12" s="17">
        <f t="shared" si="4"/>
        <v>0</v>
      </c>
      <c r="AE12" s="31">
        <f t="shared" si="4"/>
        <v>6</v>
      </c>
      <c r="AF12" s="31">
        <f t="shared" si="4"/>
        <v>101</v>
      </c>
    </row>
    <row r="13" spans="2:32" ht="23.1" customHeight="1" x14ac:dyDescent="0.25">
      <c r="B13" s="45" t="s">
        <v>40</v>
      </c>
      <c r="C13" s="50">
        <v>3</v>
      </c>
      <c r="D13" s="50">
        <v>1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29</v>
      </c>
      <c r="N13" s="50">
        <v>0</v>
      </c>
      <c r="O13" s="15">
        <f t="shared" si="0"/>
        <v>5</v>
      </c>
      <c r="P13" s="15">
        <f t="shared" si="1"/>
        <v>34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83</v>
      </c>
      <c r="AD13" s="17">
        <f t="shared" si="5"/>
        <v>0</v>
      </c>
      <c r="AE13" s="31">
        <f t="shared" si="5"/>
        <v>11</v>
      </c>
      <c r="AF13" s="31">
        <f t="shared" si="5"/>
        <v>94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29</v>
      </c>
      <c r="N14" s="50">
        <v>0</v>
      </c>
      <c r="O14" s="15">
        <f t="shared" si="0"/>
        <v>1</v>
      </c>
      <c r="P14" s="15">
        <f t="shared" si="1"/>
        <v>30</v>
      </c>
      <c r="R14" s="1" t="s">
        <v>10</v>
      </c>
      <c r="S14" s="17">
        <f t="shared" ref="S14:AF14" si="6">SUM(C26:C29)</f>
        <v>7</v>
      </c>
      <c r="T14" s="17">
        <f t="shared" si="6"/>
        <v>1</v>
      </c>
      <c r="U14" s="17">
        <f t="shared" si="6"/>
        <v>2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78</v>
      </c>
      <c r="AD14" s="17">
        <f t="shared" si="6"/>
        <v>0</v>
      </c>
      <c r="AE14" s="31">
        <f t="shared" si="6"/>
        <v>13</v>
      </c>
      <c r="AF14" s="31">
        <f t="shared" si="6"/>
        <v>91</v>
      </c>
    </row>
    <row r="15" spans="2:32" ht="23.1" customHeight="1" x14ac:dyDescent="0.25">
      <c r="B15" s="45" t="s">
        <v>42</v>
      </c>
      <c r="C15" s="50">
        <v>4</v>
      </c>
      <c r="D15" s="50">
        <v>1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6</v>
      </c>
      <c r="P15" s="15">
        <f t="shared" si="1"/>
        <v>14</v>
      </c>
      <c r="R15" s="1" t="s">
        <v>11</v>
      </c>
      <c r="S15" s="17">
        <f t="shared" ref="S15:AF15" si="7">SUM(C30:C33)</f>
        <v>10</v>
      </c>
      <c r="T15" s="17">
        <f t="shared" si="7"/>
        <v>1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81</v>
      </c>
      <c r="AD15" s="17">
        <f t="shared" si="7"/>
        <v>0</v>
      </c>
      <c r="AE15" s="31">
        <f t="shared" si="7"/>
        <v>16</v>
      </c>
      <c r="AF15" s="31">
        <f t="shared" si="7"/>
        <v>97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20</v>
      </c>
      <c r="N16" s="50">
        <v>0</v>
      </c>
      <c r="O16" s="15">
        <f t="shared" si="0"/>
        <v>2</v>
      </c>
      <c r="P16" s="15">
        <f t="shared" si="1"/>
        <v>22</v>
      </c>
      <c r="R16" s="1" t="s">
        <v>12</v>
      </c>
      <c r="S16" s="17">
        <f t="shared" ref="S16:AF16" si="8">SUM(C34:C37)</f>
        <v>11</v>
      </c>
      <c r="T16" s="17">
        <f t="shared" si="8"/>
        <v>2</v>
      </c>
      <c r="U16" s="17">
        <f t="shared" si="8"/>
        <v>1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50</v>
      </c>
      <c r="AD16" s="17">
        <f t="shared" si="8"/>
        <v>0</v>
      </c>
      <c r="AE16" s="31">
        <f t="shared" si="8"/>
        <v>17</v>
      </c>
      <c r="AF16" s="31">
        <f t="shared" si="8"/>
        <v>67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22</v>
      </c>
      <c r="N17" s="50">
        <v>0</v>
      </c>
      <c r="O17" s="15">
        <f t="shared" si="0"/>
        <v>1</v>
      </c>
      <c r="P17" s="15">
        <f t="shared" si="1"/>
        <v>23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1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76</v>
      </c>
      <c r="AD17" s="17">
        <f t="shared" si="9"/>
        <v>0</v>
      </c>
      <c r="AE17" s="31">
        <f t="shared" si="9"/>
        <v>6</v>
      </c>
      <c r="AF17" s="31">
        <f t="shared" si="9"/>
        <v>82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24</v>
      </c>
      <c r="N18" s="50">
        <v>0</v>
      </c>
      <c r="O18" s="15">
        <f t="shared" si="0"/>
        <v>1</v>
      </c>
      <c r="P18" s="15">
        <f t="shared" si="1"/>
        <v>25</v>
      </c>
      <c r="R18" s="1" t="s">
        <v>14</v>
      </c>
      <c r="S18" s="17">
        <f t="shared" ref="S18:AF18" si="10">SUM(C42:C45)</f>
        <v>7</v>
      </c>
      <c r="T18" s="17">
        <f t="shared" si="10"/>
        <v>2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75</v>
      </c>
      <c r="AD18" s="17">
        <f t="shared" si="10"/>
        <v>0</v>
      </c>
      <c r="AE18" s="31">
        <f t="shared" si="10"/>
        <v>11</v>
      </c>
      <c r="AF18" s="31">
        <f t="shared" si="10"/>
        <v>86</v>
      </c>
    </row>
    <row r="19" spans="2:32" ht="23.1" customHeight="1" x14ac:dyDescent="0.25">
      <c r="B19" s="45" t="s">
        <v>46</v>
      </c>
      <c r="C19" s="50">
        <v>1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24</v>
      </c>
      <c r="N19" s="50">
        <v>0</v>
      </c>
      <c r="O19" s="15">
        <f t="shared" si="0"/>
        <v>2</v>
      </c>
      <c r="P19" s="15">
        <f t="shared" si="1"/>
        <v>26</v>
      </c>
      <c r="R19" s="1" t="s">
        <v>15</v>
      </c>
      <c r="S19" s="17">
        <f t="shared" ref="S19:AF19" si="11">SUM(C46:C49)</f>
        <v>7</v>
      </c>
      <c r="T19" s="17">
        <f t="shared" si="11"/>
        <v>5</v>
      </c>
      <c r="U19" s="17">
        <f t="shared" si="11"/>
        <v>2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69</v>
      </c>
      <c r="AD19" s="17">
        <f t="shared" si="11"/>
        <v>0</v>
      </c>
      <c r="AE19" s="31">
        <f t="shared" si="11"/>
        <v>19</v>
      </c>
      <c r="AF19" s="31">
        <f t="shared" si="11"/>
        <v>88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19</v>
      </c>
      <c r="N20" s="50">
        <v>0</v>
      </c>
      <c r="O20" s="15">
        <f t="shared" si="0"/>
        <v>3</v>
      </c>
      <c r="P20" s="15">
        <f t="shared" si="1"/>
        <v>22</v>
      </c>
      <c r="R20" s="1" t="s">
        <v>16</v>
      </c>
      <c r="S20" s="17">
        <f t="shared" ref="S20:AF20" si="12">SUM(C50:C53)</f>
        <v>13</v>
      </c>
      <c r="T20" s="17">
        <f t="shared" si="12"/>
        <v>1</v>
      </c>
      <c r="U20" s="17">
        <f t="shared" si="12"/>
        <v>3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89</v>
      </c>
      <c r="AD20" s="17">
        <f t="shared" si="12"/>
        <v>0</v>
      </c>
      <c r="AE20" s="31">
        <f t="shared" si="12"/>
        <v>26</v>
      </c>
      <c r="AF20" s="31">
        <f t="shared" si="12"/>
        <v>115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28</v>
      </c>
      <c r="N21" s="50">
        <v>0</v>
      </c>
      <c r="O21" s="15">
        <f t="shared" si="0"/>
        <v>0</v>
      </c>
      <c r="P21" s="15">
        <f t="shared" si="1"/>
        <v>28</v>
      </c>
      <c r="R21" s="36" t="s">
        <v>20</v>
      </c>
      <c r="S21" s="34">
        <f t="shared" ref="S21:AF21" si="13">SUM(C54:C57)</f>
        <v>13</v>
      </c>
      <c r="T21" s="17">
        <f t="shared" si="13"/>
        <v>3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100</v>
      </c>
      <c r="AD21" s="17">
        <f t="shared" si="13"/>
        <v>0</v>
      </c>
      <c r="AE21" s="31">
        <f t="shared" si="13"/>
        <v>19</v>
      </c>
      <c r="AF21" s="31">
        <f t="shared" si="13"/>
        <v>119</v>
      </c>
    </row>
    <row r="22" spans="2:32" ht="23.1" customHeight="1" x14ac:dyDescent="0.25">
      <c r="B22" s="45" t="s">
        <v>49</v>
      </c>
      <c r="C22" s="50">
        <v>3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22</v>
      </c>
      <c r="N22" s="50">
        <v>0</v>
      </c>
      <c r="O22" s="15">
        <f t="shared" si="0"/>
        <v>4</v>
      </c>
      <c r="P22" s="15">
        <f t="shared" si="1"/>
        <v>26</v>
      </c>
      <c r="R22" s="36" t="s">
        <v>146</v>
      </c>
      <c r="S22" s="34">
        <f>SUM(C58:C61)</f>
        <v>13</v>
      </c>
      <c r="T22" s="34">
        <f t="shared" ref="T22:AF22" si="14">SUM(D58:D61)</f>
        <v>4</v>
      </c>
      <c r="U22" s="34">
        <f t="shared" si="14"/>
        <v>2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139</v>
      </c>
      <c r="AD22" s="34">
        <f t="shared" si="14"/>
        <v>0</v>
      </c>
      <c r="AE22" s="31">
        <f t="shared" si="14"/>
        <v>19</v>
      </c>
      <c r="AF22" s="31">
        <f t="shared" si="14"/>
        <v>158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20</v>
      </c>
      <c r="N23" s="50">
        <v>0</v>
      </c>
      <c r="O23" s="15">
        <f t="shared" si="0"/>
        <v>0</v>
      </c>
      <c r="P23" s="15">
        <f t="shared" si="1"/>
        <v>20</v>
      </c>
      <c r="R23" s="36" t="s">
        <v>147</v>
      </c>
      <c r="S23" s="34">
        <f>SUM(C62:C65)</f>
        <v>19</v>
      </c>
      <c r="T23" s="34">
        <f t="shared" ref="T23:AF23" si="15">SUM(D62:D65)</f>
        <v>1</v>
      </c>
      <c r="U23" s="34">
        <f t="shared" si="15"/>
        <v>6</v>
      </c>
      <c r="V23" s="34">
        <f t="shared" si="15"/>
        <v>5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109</v>
      </c>
      <c r="AD23" s="34">
        <f t="shared" si="15"/>
        <v>0</v>
      </c>
      <c r="AE23" s="31">
        <f t="shared" si="15"/>
        <v>33</v>
      </c>
      <c r="AF23" s="31">
        <f t="shared" si="15"/>
        <v>142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24</v>
      </c>
      <c r="N24" s="50">
        <v>0</v>
      </c>
      <c r="O24" s="15">
        <f t="shared" si="0"/>
        <v>1</v>
      </c>
      <c r="P24" s="15">
        <f t="shared" si="1"/>
        <v>25</v>
      </c>
      <c r="R24" s="36" t="s">
        <v>148</v>
      </c>
      <c r="S24" s="34">
        <f>SUM(C66:C69)</f>
        <v>6</v>
      </c>
      <c r="T24" s="34">
        <f t="shared" ref="T24:AF24" si="16">SUM(D66:D69)</f>
        <v>4</v>
      </c>
      <c r="U24" s="34">
        <f t="shared" si="16"/>
        <v>4</v>
      </c>
      <c r="V24" s="34">
        <f t="shared" si="16"/>
        <v>2</v>
      </c>
      <c r="W24" s="34">
        <f t="shared" si="16"/>
        <v>0</v>
      </c>
      <c r="X24" s="34">
        <f t="shared" si="16"/>
        <v>1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101</v>
      </c>
      <c r="AD24" s="34">
        <f t="shared" si="16"/>
        <v>0</v>
      </c>
      <c r="AE24" s="31">
        <f t="shared" si="16"/>
        <v>18</v>
      </c>
      <c r="AF24" s="31">
        <f t="shared" si="16"/>
        <v>119</v>
      </c>
    </row>
    <row r="25" spans="2:32" ht="23.1" customHeight="1" x14ac:dyDescent="0.25">
      <c r="B25" s="45" t="s">
        <v>52</v>
      </c>
      <c r="C25" s="50">
        <v>4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17</v>
      </c>
      <c r="N25" s="50">
        <v>0</v>
      </c>
      <c r="O25" s="15">
        <f t="shared" si="0"/>
        <v>6</v>
      </c>
      <c r="P25" s="15">
        <f t="shared" si="1"/>
        <v>23</v>
      </c>
      <c r="R25" s="36" t="s">
        <v>149</v>
      </c>
      <c r="S25" s="34">
        <f>SUM(C70:C73)</f>
        <v>10</v>
      </c>
      <c r="T25" s="34">
        <f t="shared" ref="T25:AF25" si="17">SUM(D70:D73)</f>
        <v>4</v>
      </c>
      <c r="U25" s="34">
        <f t="shared" si="17"/>
        <v>2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92</v>
      </c>
      <c r="AD25" s="34">
        <f t="shared" si="17"/>
        <v>0</v>
      </c>
      <c r="AE25" s="31">
        <f t="shared" si="17"/>
        <v>19</v>
      </c>
      <c r="AF25" s="31">
        <f t="shared" si="17"/>
        <v>111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20</v>
      </c>
      <c r="N26" s="50">
        <v>0</v>
      </c>
      <c r="O26" s="15">
        <f t="shared" si="0"/>
        <v>1</v>
      </c>
      <c r="P26" s="15">
        <f t="shared" si="1"/>
        <v>21</v>
      </c>
      <c r="R26" s="36" t="s">
        <v>150</v>
      </c>
      <c r="S26" s="34">
        <f>SUM(C74:C77)</f>
        <v>9</v>
      </c>
      <c r="T26" s="34">
        <f t="shared" ref="T26:AF26" si="18">SUM(D74:D77)</f>
        <v>3</v>
      </c>
      <c r="U26" s="34">
        <f t="shared" si="18"/>
        <v>0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66</v>
      </c>
      <c r="AD26" s="34">
        <f t="shared" si="18"/>
        <v>0</v>
      </c>
      <c r="AE26" s="31">
        <f t="shared" si="18"/>
        <v>13</v>
      </c>
      <c r="AF26" s="31">
        <f t="shared" si="18"/>
        <v>79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26</v>
      </c>
      <c r="N27" s="50">
        <v>0</v>
      </c>
      <c r="O27" s="15">
        <f t="shared" si="0"/>
        <v>3</v>
      </c>
      <c r="P27" s="15">
        <f t="shared" si="1"/>
        <v>29</v>
      </c>
      <c r="R27" s="36" t="s">
        <v>151</v>
      </c>
      <c r="S27" s="34">
        <f>SUM(C78:C81)</f>
        <v>3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23</v>
      </c>
      <c r="AD27" s="34">
        <f t="shared" si="19"/>
        <v>0</v>
      </c>
      <c r="AE27" s="31">
        <f t="shared" si="19"/>
        <v>4</v>
      </c>
      <c r="AF27" s="31">
        <f t="shared" si="19"/>
        <v>27</v>
      </c>
    </row>
    <row r="28" spans="2:32" ht="23.1" customHeight="1" x14ac:dyDescent="0.25">
      <c r="B28" s="45" t="s">
        <v>55</v>
      </c>
      <c r="C28" s="50">
        <v>4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21</v>
      </c>
      <c r="N28" s="50">
        <v>0</v>
      </c>
      <c r="O28" s="15">
        <f t="shared" si="0"/>
        <v>5</v>
      </c>
      <c r="P28" s="15">
        <f t="shared" si="1"/>
        <v>26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10</v>
      </c>
      <c r="AD28" s="34">
        <f t="shared" si="20"/>
        <v>0</v>
      </c>
      <c r="AE28" s="31">
        <f t="shared" si="20"/>
        <v>3</v>
      </c>
      <c r="AF28" s="31">
        <f t="shared" si="20"/>
        <v>13</v>
      </c>
    </row>
    <row r="29" spans="2:32" ht="23.1" customHeight="1" x14ac:dyDescent="0.25">
      <c r="B29" s="45" t="s">
        <v>56</v>
      </c>
      <c r="C29" s="50">
        <v>1</v>
      </c>
      <c r="D29" s="50">
        <v>1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4</v>
      </c>
      <c r="P29" s="15">
        <f t="shared" si="1"/>
        <v>15</v>
      </c>
      <c r="R29" s="36" t="s">
        <v>153</v>
      </c>
      <c r="S29" s="34">
        <f>SUM(C86:C89)</f>
        <v>1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13</v>
      </c>
      <c r="AD29" s="34">
        <f t="shared" si="21"/>
        <v>0</v>
      </c>
      <c r="AE29" s="31">
        <f t="shared" si="21"/>
        <v>2</v>
      </c>
      <c r="AF29" s="31">
        <f t="shared" si="21"/>
        <v>15</v>
      </c>
    </row>
    <row r="30" spans="2:32" ht="23.1" customHeight="1" x14ac:dyDescent="0.25">
      <c r="B30" s="45" t="s">
        <v>57</v>
      </c>
      <c r="C30" s="50">
        <v>3</v>
      </c>
      <c r="D30" s="50">
        <v>1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5</v>
      </c>
      <c r="P30" s="15">
        <f t="shared" si="1"/>
        <v>20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8</v>
      </c>
      <c r="AD30" s="34">
        <f t="shared" si="22"/>
        <v>0</v>
      </c>
      <c r="AE30" s="31">
        <f t="shared" si="22"/>
        <v>1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2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20</v>
      </c>
      <c r="N31" s="50">
        <v>0</v>
      </c>
      <c r="O31" s="15">
        <f t="shared" si="0"/>
        <v>3</v>
      </c>
      <c r="P31" s="15">
        <f t="shared" si="1"/>
        <v>23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10</v>
      </c>
      <c r="AD31" s="34">
        <f t="shared" si="23"/>
        <v>0</v>
      </c>
      <c r="AE31" s="31">
        <f t="shared" si="23"/>
        <v>0</v>
      </c>
      <c r="AF31" s="31">
        <f t="shared" si="23"/>
        <v>10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29</v>
      </c>
      <c r="N32" s="50">
        <v>0</v>
      </c>
      <c r="O32" s="15">
        <f t="shared" si="0"/>
        <v>5</v>
      </c>
      <c r="P32" s="15">
        <f t="shared" si="1"/>
        <v>34</v>
      </c>
      <c r="R32" s="33" t="s">
        <v>156</v>
      </c>
      <c r="S32" s="34">
        <f>SUM(C98:C101)</f>
        <v>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3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8</v>
      </c>
      <c r="AF32" s="31">
        <f t="shared" si="24"/>
        <v>15</v>
      </c>
    </row>
    <row r="33" spans="2:32" ht="23.1" customHeight="1" x14ac:dyDescent="0.25">
      <c r="B33" s="45" t="s">
        <v>60</v>
      </c>
      <c r="C33" s="50">
        <v>3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3</v>
      </c>
      <c r="P33" s="15">
        <f t="shared" si="1"/>
        <v>20</v>
      </c>
      <c r="R33" s="33" t="s">
        <v>157</v>
      </c>
      <c r="S33" s="34">
        <f>SUM(C102:C105)</f>
        <v>9</v>
      </c>
      <c r="T33" s="34">
        <f t="shared" ref="T33:AF33" si="25">SUM(D102:D105)</f>
        <v>1</v>
      </c>
      <c r="U33" s="34">
        <f t="shared" si="25"/>
        <v>0</v>
      </c>
      <c r="V33" s="34">
        <f t="shared" si="25"/>
        <v>5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58</v>
      </c>
      <c r="AD33" s="34">
        <f t="shared" si="25"/>
        <v>0</v>
      </c>
      <c r="AE33" s="31">
        <f t="shared" si="25"/>
        <v>16</v>
      </c>
      <c r="AF33" s="31">
        <f t="shared" si="25"/>
        <v>74</v>
      </c>
    </row>
    <row r="34" spans="2:32" ht="23.1" customHeight="1" x14ac:dyDescent="0.25">
      <c r="B34" s="46" t="s">
        <v>61</v>
      </c>
      <c r="C34" s="50">
        <v>1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7</v>
      </c>
      <c r="N34" s="50">
        <v>0</v>
      </c>
      <c r="O34" s="15">
        <f t="shared" si="0"/>
        <v>4</v>
      </c>
      <c r="P34" s="15">
        <f t="shared" si="1"/>
        <v>11</v>
      </c>
      <c r="R34" s="38" t="s">
        <v>90</v>
      </c>
      <c r="S34" s="39">
        <f t="shared" ref="S34:AF34" si="26">MAX(S10:S12)</f>
        <v>11</v>
      </c>
      <c r="T34" s="39">
        <f t="shared" si="26"/>
        <v>3</v>
      </c>
      <c r="U34" s="39">
        <f t="shared" si="26"/>
        <v>2</v>
      </c>
      <c r="V34" s="39">
        <f t="shared" si="26"/>
        <v>4</v>
      </c>
      <c r="W34" s="39">
        <f t="shared" si="26"/>
        <v>0</v>
      </c>
      <c r="X34" s="39">
        <f t="shared" si="26"/>
        <v>0</v>
      </c>
      <c r="Y34" s="39">
        <f t="shared" si="26"/>
        <v>2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131</v>
      </c>
      <c r="AD34" s="39">
        <f t="shared" si="26"/>
        <v>0</v>
      </c>
      <c r="AE34" s="40">
        <f t="shared" si="26"/>
        <v>21</v>
      </c>
      <c r="AF34" s="40">
        <f t="shared" si="26"/>
        <v>152</v>
      </c>
    </row>
    <row r="35" spans="2:32" ht="23.1" customHeight="1" x14ac:dyDescent="0.25">
      <c r="B35" s="46" t="s">
        <v>62</v>
      </c>
      <c r="C35" s="50">
        <v>4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5</v>
      </c>
      <c r="P35" s="15">
        <f t="shared" si="1"/>
        <v>15</v>
      </c>
      <c r="R35" s="38" t="s">
        <v>91</v>
      </c>
      <c r="S35" s="39">
        <f t="shared" ref="S35:AF35" si="27">MAX(S13:S18)</f>
        <v>11</v>
      </c>
      <c r="T35" s="39">
        <f t="shared" si="27"/>
        <v>2</v>
      </c>
      <c r="U35" s="39">
        <f t="shared" si="27"/>
        <v>2</v>
      </c>
      <c r="V35" s="39">
        <f t="shared" si="27"/>
        <v>3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1</v>
      </c>
      <c r="AA35" s="39">
        <f t="shared" si="27"/>
        <v>0</v>
      </c>
      <c r="AB35" s="39">
        <f t="shared" si="27"/>
        <v>0</v>
      </c>
      <c r="AC35" s="39">
        <f t="shared" si="27"/>
        <v>83</v>
      </c>
      <c r="AD35" s="39">
        <f t="shared" si="27"/>
        <v>0</v>
      </c>
      <c r="AE35" s="40">
        <f t="shared" si="27"/>
        <v>17</v>
      </c>
      <c r="AF35" s="40">
        <f t="shared" si="27"/>
        <v>97</v>
      </c>
    </row>
    <row r="36" spans="2:32" ht="23.1" customHeight="1" x14ac:dyDescent="0.25">
      <c r="B36" s="46" t="s">
        <v>63</v>
      </c>
      <c r="C36" s="50">
        <v>4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16</v>
      </c>
      <c r="N36" s="50">
        <v>0</v>
      </c>
      <c r="O36" s="15">
        <f t="shared" si="0"/>
        <v>4</v>
      </c>
      <c r="P36" s="15">
        <f t="shared" si="1"/>
        <v>20</v>
      </c>
      <c r="R36" s="38" t="s">
        <v>92</v>
      </c>
      <c r="S36" s="39">
        <f t="shared" ref="S36:AF36" si="28">MAX(S19:S21)</f>
        <v>13</v>
      </c>
      <c r="T36" s="39">
        <f t="shared" si="28"/>
        <v>5</v>
      </c>
      <c r="U36" s="39">
        <f t="shared" si="28"/>
        <v>3</v>
      </c>
      <c r="V36" s="39">
        <f t="shared" si="28"/>
        <v>7</v>
      </c>
      <c r="W36" s="39">
        <f t="shared" si="28"/>
        <v>0</v>
      </c>
      <c r="X36" s="39">
        <f t="shared" si="28"/>
        <v>0</v>
      </c>
      <c r="Y36" s="39">
        <f t="shared" si="28"/>
        <v>2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100</v>
      </c>
      <c r="AD36" s="39">
        <f t="shared" si="28"/>
        <v>0</v>
      </c>
      <c r="AE36" s="40">
        <f t="shared" si="28"/>
        <v>26</v>
      </c>
      <c r="AF36" s="40">
        <f t="shared" si="28"/>
        <v>119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17</v>
      </c>
      <c r="N37" s="50">
        <v>0</v>
      </c>
      <c r="O37" s="15">
        <f t="shared" si="0"/>
        <v>4</v>
      </c>
      <c r="P37" s="15">
        <f t="shared" si="1"/>
        <v>21</v>
      </c>
      <c r="R37" s="37" t="s">
        <v>85</v>
      </c>
      <c r="S37" s="35">
        <f t="shared" ref="S37:AF37" si="29">SUM(S10:S12)</f>
        <v>20</v>
      </c>
      <c r="T37" s="16">
        <f t="shared" si="29"/>
        <v>5</v>
      </c>
      <c r="U37" s="16">
        <f t="shared" si="29"/>
        <v>3</v>
      </c>
      <c r="V37" s="16">
        <f t="shared" si="29"/>
        <v>6</v>
      </c>
      <c r="W37" s="16">
        <f t="shared" si="29"/>
        <v>0</v>
      </c>
      <c r="X37" s="16">
        <f t="shared" si="29"/>
        <v>0</v>
      </c>
      <c r="Y37" s="16">
        <f t="shared" si="29"/>
        <v>3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305</v>
      </c>
      <c r="AD37" s="16">
        <f t="shared" si="29"/>
        <v>0</v>
      </c>
      <c r="AE37" s="32">
        <f t="shared" si="29"/>
        <v>37</v>
      </c>
      <c r="AF37" s="32">
        <f t="shared" si="29"/>
        <v>342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20</v>
      </c>
      <c r="N38" s="50">
        <v>0</v>
      </c>
      <c r="O38" s="15">
        <f t="shared" si="0"/>
        <v>1</v>
      </c>
      <c r="P38" s="15">
        <f t="shared" si="1"/>
        <v>21</v>
      </c>
      <c r="R38" s="28" t="s">
        <v>86</v>
      </c>
      <c r="S38" s="16">
        <f t="shared" ref="S38:AF38" si="30">SUM(S13:S18)</f>
        <v>44</v>
      </c>
      <c r="T38" s="16">
        <f t="shared" si="30"/>
        <v>6</v>
      </c>
      <c r="U38" s="16">
        <f t="shared" si="30"/>
        <v>8</v>
      </c>
      <c r="V38" s="16">
        <f t="shared" si="30"/>
        <v>8</v>
      </c>
      <c r="W38" s="16">
        <f t="shared" si="30"/>
        <v>0</v>
      </c>
      <c r="X38" s="16">
        <f t="shared" si="30"/>
        <v>0</v>
      </c>
      <c r="Y38" s="16">
        <f t="shared" si="30"/>
        <v>7</v>
      </c>
      <c r="Z38" s="16">
        <f t="shared" si="30"/>
        <v>1</v>
      </c>
      <c r="AA38" s="16">
        <f t="shared" si="30"/>
        <v>0</v>
      </c>
      <c r="AB38" s="16">
        <f t="shared" si="30"/>
        <v>0</v>
      </c>
      <c r="AC38" s="16">
        <f t="shared" si="30"/>
        <v>443</v>
      </c>
      <c r="AD38" s="16">
        <f t="shared" si="30"/>
        <v>0</v>
      </c>
      <c r="AE38" s="32">
        <f t="shared" si="30"/>
        <v>74</v>
      </c>
      <c r="AF38" s="32">
        <f t="shared" si="30"/>
        <v>517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12</v>
      </c>
      <c r="N39" s="50">
        <v>0</v>
      </c>
      <c r="O39" s="15">
        <f t="shared" si="0"/>
        <v>1</v>
      </c>
      <c r="P39" s="15">
        <f t="shared" si="1"/>
        <v>13</v>
      </c>
      <c r="R39" s="29" t="s">
        <v>87</v>
      </c>
      <c r="S39" s="16">
        <f t="shared" ref="S39:AF39" si="31">SUM(S19:S21)</f>
        <v>33</v>
      </c>
      <c r="T39" s="16">
        <f t="shared" si="31"/>
        <v>9</v>
      </c>
      <c r="U39" s="16">
        <f t="shared" si="31"/>
        <v>7</v>
      </c>
      <c r="V39" s="16">
        <f t="shared" si="31"/>
        <v>11</v>
      </c>
      <c r="W39" s="16">
        <f t="shared" si="31"/>
        <v>0</v>
      </c>
      <c r="X39" s="16">
        <f t="shared" si="31"/>
        <v>0</v>
      </c>
      <c r="Y39" s="16">
        <f t="shared" si="31"/>
        <v>4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258</v>
      </c>
      <c r="AD39" s="16">
        <f t="shared" si="31"/>
        <v>0</v>
      </c>
      <c r="AE39" s="32">
        <f t="shared" si="31"/>
        <v>64</v>
      </c>
      <c r="AF39" s="32">
        <f t="shared" si="31"/>
        <v>322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24</v>
      </c>
      <c r="N40" s="50">
        <v>0</v>
      </c>
      <c r="O40" s="15">
        <f t="shared" si="0"/>
        <v>2</v>
      </c>
      <c r="P40" s="15">
        <f t="shared" si="1"/>
        <v>26</v>
      </c>
      <c r="R40" s="5" t="s">
        <v>17</v>
      </c>
      <c r="S40" s="16">
        <f t="shared" ref="S40:AF40" si="32">SUM(S10:S21)</f>
        <v>97</v>
      </c>
      <c r="T40" s="16">
        <f t="shared" si="32"/>
        <v>20</v>
      </c>
      <c r="U40" s="16">
        <f t="shared" si="32"/>
        <v>18</v>
      </c>
      <c r="V40" s="16">
        <f t="shared" si="32"/>
        <v>25</v>
      </c>
      <c r="W40" s="16">
        <f t="shared" si="32"/>
        <v>0</v>
      </c>
      <c r="X40" s="16">
        <f t="shared" si="32"/>
        <v>0</v>
      </c>
      <c r="Y40" s="16">
        <f t="shared" si="32"/>
        <v>14</v>
      </c>
      <c r="Z40" s="16">
        <f t="shared" si="32"/>
        <v>1</v>
      </c>
      <c r="AA40" s="16">
        <f t="shared" si="32"/>
        <v>0</v>
      </c>
      <c r="AB40" s="16">
        <f t="shared" si="32"/>
        <v>0</v>
      </c>
      <c r="AC40" s="16">
        <f t="shared" si="32"/>
        <v>1006</v>
      </c>
      <c r="AD40" s="16">
        <f t="shared" si="32"/>
        <v>0</v>
      </c>
      <c r="AE40" s="32">
        <f t="shared" si="32"/>
        <v>175</v>
      </c>
      <c r="AF40" s="32">
        <f t="shared" si="32"/>
        <v>1181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20</v>
      </c>
      <c r="N41" s="50">
        <v>0</v>
      </c>
      <c r="O41" s="15">
        <f t="shared" si="0"/>
        <v>2</v>
      </c>
      <c r="P41" s="15">
        <f t="shared" si="1"/>
        <v>22</v>
      </c>
      <c r="R41" s="5" t="s">
        <v>159</v>
      </c>
      <c r="S41" s="16">
        <f>SUM(S10:S33)</f>
        <v>174</v>
      </c>
      <c r="T41" s="16">
        <f t="shared" ref="T41:AF41" si="33">SUM(T10:T33)</f>
        <v>38</v>
      </c>
      <c r="U41" s="16">
        <f t="shared" si="33"/>
        <v>33</v>
      </c>
      <c r="V41" s="16">
        <f t="shared" si="33"/>
        <v>45</v>
      </c>
      <c r="W41" s="16">
        <f t="shared" si="33"/>
        <v>0</v>
      </c>
      <c r="X41" s="16">
        <f t="shared" si="33"/>
        <v>1</v>
      </c>
      <c r="Y41" s="16">
        <f t="shared" si="33"/>
        <v>18</v>
      </c>
      <c r="Z41" s="16">
        <f t="shared" si="33"/>
        <v>2</v>
      </c>
      <c r="AA41" s="16">
        <f t="shared" si="33"/>
        <v>0</v>
      </c>
      <c r="AB41" s="16">
        <f t="shared" si="33"/>
        <v>0</v>
      </c>
      <c r="AC41" s="16">
        <f t="shared" si="33"/>
        <v>1642</v>
      </c>
      <c r="AD41" s="16">
        <f t="shared" si="33"/>
        <v>0</v>
      </c>
      <c r="AE41" s="32">
        <f t="shared" si="33"/>
        <v>311</v>
      </c>
      <c r="AF41" s="32">
        <f t="shared" si="33"/>
        <v>1953</v>
      </c>
    </row>
    <row r="42" spans="2:32" ht="23.1" customHeight="1" x14ac:dyDescent="0.25">
      <c r="B42" s="46" t="s">
        <v>69</v>
      </c>
      <c r="C42" s="50">
        <v>1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25</v>
      </c>
      <c r="N42" s="50">
        <v>0</v>
      </c>
      <c r="O42" s="15">
        <f t="shared" si="0"/>
        <v>2</v>
      </c>
      <c r="P42" s="15">
        <f t="shared" si="1"/>
        <v>27</v>
      </c>
      <c r="R42" s="5" t="s">
        <v>160</v>
      </c>
      <c r="S42" s="48">
        <f>S41/S40</f>
        <v>1.7938144329896908</v>
      </c>
      <c r="T42" s="48">
        <f t="shared" ref="T42:AF42" si="34">T41/T40</f>
        <v>1.9</v>
      </c>
      <c r="U42" s="48">
        <f t="shared" si="34"/>
        <v>1.8333333333333333</v>
      </c>
      <c r="V42" s="48">
        <f t="shared" si="34"/>
        <v>1.8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1.2857142857142858</v>
      </c>
      <c r="Z42" s="48">
        <f t="shared" si="34"/>
        <v>2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1.63220675944334</v>
      </c>
      <c r="AD42" s="48" t="e">
        <f t="shared" si="34"/>
        <v>#DIV/0!</v>
      </c>
      <c r="AE42" s="48">
        <f t="shared" si="34"/>
        <v>1.7771428571428571</v>
      </c>
      <c r="AF42" s="48">
        <f t="shared" si="34"/>
        <v>1.6536833192209992</v>
      </c>
    </row>
    <row r="43" spans="2:32" ht="23.1" customHeight="1" x14ac:dyDescent="0.25">
      <c r="B43" s="45" t="s">
        <v>70</v>
      </c>
      <c r="C43" s="50">
        <v>3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4</v>
      </c>
      <c r="P43" s="15">
        <f t="shared" si="1"/>
        <v>18</v>
      </c>
    </row>
    <row r="44" spans="2:32" ht="23.1" customHeight="1" x14ac:dyDescent="0.25">
      <c r="B44" s="47" t="s">
        <v>71</v>
      </c>
      <c r="C44" s="50">
        <v>1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20</v>
      </c>
      <c r="N44" s="50">
        <v>0</v>
      </c>
      <c r="O44" s="15">
        <f t="shared" si="0"/>
        <v>2</v>
      </c>
      <c r="P44" s="15">
        <f t="shared" si="1"/>
        <v>22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3</v>
      </c>
      <c r="P45" s="15">
        <f t="shared" si="1"/>
        <v>19</v>
      </c>
    </row>
    <row r="46" spans="2:32" ht="23.1" customHeight="1" x14ac:dyDescent="0.25">
      <c r="B46" s="46" t="s">
        <v>73</v>
      </c>
      <c r="C46" s="50">
        <v>0</v>
      </c>
      <c r="D46" s="50">
        <v>2</v>
      </c>
      <c r="E46" s="50">
        <v>1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24</v>
      </c>
      <c r="N46" s="50">
        <v>0</v>
      </c>
      <c r="O46" s="15">
        <f t="shared" si="0"/>
        <v>5</v>
      </c>
      <c r="P46" s="15">
        <f t="shared" si="1"/>
        <v>29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1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9</v>
      </c>
      <c r="N47" s="50">
        <v>0</v>
      </c>
      <c r="O47" s="15">
        <f t="shared" si="0"/>
        <v>3</v>
      </c>
      <c r="P47" s="15">
        <f t="shared" si="1"/>
        <v>12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1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4</v>
      </c>
      <c r="P48" s="15">
        <f t="shared" si="1"/>
        <v>17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1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23</v>
      </c>
      <c r="N49" s="50">
        <v>0</v>
      </c>
      <c r="O49" s="15">
        <f t="shared" si="0"/>
        <v>7</v>
      </c>
      <c r="P49" s="15">
        <f t="shared" si="1"/>
        <v>30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2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28</v>
      </c>
      <c r="N50" s="50">
        <v>0</v>
      </c>
      <c r="O50" s="15">
        <f t="shared" si="0"/>
        <v>5</v>
      </c>
      <c r="P50" s="15">
        <f t="shared" si="1"/>
        <v>33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0</v>
      </c>
      <c r="E51" s="50">
        <v>0</v>
      </c>
      <c r="F51" s="50">
        <v>5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26</v>
      </c>
      <c r="N51" s="50">
        <v>0</v>
      </c>
      <c r="O51" s="15">
        <f t="shared" si="0"/>
        <v>10</v>
      </c>
      <c r="P51" s="15">
        <f t="shared" si="1"/>
        <v>36</v>
      </c>
      <c r="R51" s="8"/>
      <c r="T51"/>
    </row>
    <row r="52" spans="2:20" ht="23.1" customHeight="1" x14ac:dyDescent="0.25">
      <c r="B52" s="46" t="s">
        <v>79</v>
      </c>
      <c r="C52" s="50">
        <v>4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23</v>
      </c>
      <c r="N52" s="50">
        <v>0</v>
      </c>
      <c r="O52" s="15">
        <f t="shared" si="0"/>
        <v>4</v>
      </c>
      <c r="P52" s="15">
        <f t="shared" si="1"/>
        <v>27</v>
      </c>
      <c r="R52" s="8"/>
      <c r="T52"/>
    </row>
    <row r="53" spans="2:20" ht="23.1" customHeight="1" x14ac:dyDescent="0.25">
      <c r="B53" s="45" t="s">
        <v>80</v>
      </c>
      <c r="C53" s="50">
        <v>4</v>
      </c>
      <c r="D53" s="50">
        <v>1</v>
      </c>
      <c r="E53" s="50">
        <v>1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12</v>
      </c>
      <c r="N53" s="50">
        <v>0</v>
      </c>
      <c r="O53" s="15">
        <f t="shared" si="0"/>
        <v>7</v>
      </c>
      <c r="P53" s="15">
        <f t="shared" si="1"/>
        <v>19</v>
      </c>
      <c r="R53" s="8"/>
      <c r="T53"/>
    </row>
    <row r="54" spans="2:20" ht="23.1" customHeight="1" x14ac:dyDescent="0.25">
      <c r="B54" s="45" t="s">
        <v>81</v>
      </c>
      <c r="C54" s="50">
        <v>5</v>
      </c>
      <c r="D54" s="50">
        <v>1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27</v>
      </c>
      <c r="N54" s="50">
        <v>0</v>
      </c>
      <c r="O54" s="15">
        <f t="shared" si="0"/>
        <v>8</v>
      </c>
      <c r="P54" s="15">
        <f t="shared" si="1"/>
        <v>35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28</v>
      </c>
      <c r="N55" s="50">
        <v>0</v>
      </c>
      <c r="O55" s="15">
        <f t="shared" si="0"/>
        <v>6</v>
      </c>
      <c r="P55" s="15">
        <f t="shared" si="1"/>
        <v>34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25</v>
      </c>
      <c r="N56" s="50">
        <v>0</v>
      </c>
      <c r="O56" s="15">
        <f t="shared" si="0"/>
        <v>3</v>
      </c>
      <c r="P56" s="15">
        <f t="shared" si="1"/>
        <v>28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2</v>
      </c>
      <c r="P57" s="15">
        <f t="shared" si="1"/>
        <v>22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42</v>
      </c>
      <c r="N58" s="50">
        <v>0</v>
      </c>
      <c r="O58" s="15">
        <f t="shared" ref="O58:O105" si="35">SUM(C58:L58,N58)</f>
        <v>4</v>
      </c>
      <c r="P58" s="15">
        <f t="shared" ref="P58:P105" si="36">SUM(C58:N58)</f>
        <v>46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1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29</v>
      </c>
      <c r="N59" s="50">
        <v>0</v>
      </c>
      <c r="O59" s="15">
        <f t="shared" si="35"/>
        <v>3</v>
      </c>
      <c r="P59" s="15">
        <f t="shared" si="36"/>
        <v>32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3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30</v>
      </c>
      <c r="N60" s="50">
        <v>0</v>
      </c>
      <c r="O60" s="15">
        <f t="shared" si="35"/>
        <v>8</v>
      </c>
      <c r="P60" s="15">
        <f t="shared" si="36"/>
        <v>38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38</v>
      </c>
      <c r="N61" s="50">
        <v>0</v>
      </c>
      <c r="O61" s="15">
        <f t="shared" si="35"/>
        <v>4</v>
      </c>
      <c r="P61" s="15">
        <f t="shared" si="36"/>
        <v>42</v>
      </c>
      <c r="R61" s="8"/>
      <c r="T61"/>
    </row>
    <row r="62" spans="2:20" ht="23.1" customHeight="1" x14ac:dyDescent="0.25">
      <c r="B62" s="45" t="s">
        <v>107</v>
      </c>
      <c r="C62" s="50">
        <v>9</v>
      </c>
      <c r="D62" s="50">
        <v>0</v>
      </c>
      <c r="E62" s="50">
        <v>2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36</v>
      </c>
      <c r="N62" s="50">
        <v>0</v>
      </c>
      <c r="O62" s="15">
        <f t="shared" si="35"/>
        <v>11</v>
      </c>
      <c r="P62" s="15">
        <f t="shared" si="36"/>
        <v>47</v>
      </c>
      <c r="R62" s="8"/>
      <c r="T62"/>
    </row>
    <row r="63" spans="2:20" ht="23.1" customHeight="1" x14ac:dyDescent="0.25">
      <c r="B63" s="45" t="s">
        <v>108</v>
      </c>
      <c r="C63" s="50">
        <v>4</v>
      </c>
      <c r="D63" s="50">
        <v>1</v>
      </c>
      <c r="E63" s="50">
        <v>2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31</v>
      </c>
      <c r="N63" s="50">
        <v>0</v>
      </c>
      <c r="O63" s="15">
        <f t="shared" si="35"/>
        <v>7</v>
      </c>
      <c r="P63" s="15">
        <f t="shared" si="36"/>
        <v>38</v>
      </c>
      <c r="R63" s="8"/>
      <c r="T63"/>
    </row>
    <row r="64" spans="2:20" ht="23.1" customHeight="1" x14ac:dyDescent="0.25">
      <c r="B64" s="45" t="s">
        <v>109</v>
      </c>
      <c r="C64" s="50">
        <v>4</v>
      </c>
      <c r="D64" s="50">
        <v>0</v>
      </c>
      <c r="E64" s="50">
        <v>0</v>
      </c>
      <c r="F64" s="50">
        <v>4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26</v>
      </c>
      <c r="N64" s="50">
        <v>0</v>
      </c>
      <c r="O64" s="15">
        <f t="shared" si="35"/>
        <v>10</v>
      </c>
      <c r="P64" s="15">
        <f t="shared" si="36"/>
        <v>36</v>
      </c>
      <c r="R64" s="8"/>
      <c r="T64"/>
    </row>
    <row r="65" spans="2:20" ht="23.1" customHeight="1" x14ac:dyDescent="0.25">
      <c r="B65" s="45" t="s">
        <v>158</v>
      </c>
      <c r="C65" s="50">
        <v>2</v>
      </c>
      <c r="D65" s="50">
        <v>0</v>
      </c>
      <c r="E65" s="50">
        <v>2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16</v>
      </c>
      <c r="N65" s="50">
        <v>0</v>
      </c>
      <c r="O65" s="15">
        <f t="shared" si="35"/>
        <v>5</v>
      </c>
      <c r="P65" s="15">
        <f t="shared" si="36"/>
        <v>21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2</v>
      </c>
      <c r="E66" s="50">
        <v>2</v>
      </c>
      <c r="F66" s="50">
        <v>2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32</v>
      </c>
      <c r="N66" s="50">
        <v>0</v>
      </c>
      <c r="O66" s="15">
        <f t="shared" si="35"/>
        <v>10</v>
      </c>
      <c r="P66" s="15">
        <f t="shared" si="36"/>
        <v>42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2</v>
      </c>
      <c r="E67" s="50">
        <v>2</v>
      </c>
      <c r="F67" s="50">
        <v>0</v>
      </c>
      <c r="G67" s="50">
        <v>0</v>
      </c>
      <c r="H67" s="50">
        <v>1</v>
      </c>
      <c r="I67" s="50">
        <v>0</v>
      </c>
      <c r="J67" s="50">
        <v>0</v>
      </c>
      <c r="K67" s="50">
        <v>0</v>
      </c>
      <c r="L67" s="50">
        <v>0</v>
      </c>
      <c r="M67" s="50">
        <v>25</v>
      </c>
      <c r="N67" s="50">
        <v>0</v>
      </c>
      <c r="O67" s="15">
        <f t="shared" si="35"/>
        <v>8</v>
      </c>
      <c r="P67" s="15">
        <f t="shared" si="36"/>
        <v>33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24</v>
      </c>
      <c r="N68" s="50">
        <v>0</v>
      </c>
      <c r="O68" s="15">
        <f t="shared" si="35"/>
        <v>0</v>
      </c>
      <c r="P68" s="15">
        <f t="shared" si="36"/>
        <v>24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20</v>
      </c>
      <c r="N69" s="50">
        <v>0</v>
      </c>
      <c r="O69" s="15">
        <f t="shared" si="35"/>
        <v>0</v>
      </c>
      <c r="P69" s="15">
        <f t="shared" si="36"/>
        <v>20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1</v>
      </c>
      <c r="E70" s="50">
        <v>0</v>
      </c>
      <c r="F70" s="50">
        <v>1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21</v>
      </c>
      <c r="N70" s="50">
        <v>0</v>
      </c>
      <c r="O70" s="15">
        <f t="shared" si="35"/>
        <v>5</v>
      </c>
      <c r="P70" s="15">
        <f t="shared" si="36"/>
        <v>26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1</v>
      </c>
      <c r="E71" s="50">
        <v>2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22</v>
      </c>
      <c r="N71" s="50">
        <v>0</v>
      </c>
      <c r="O71" s="15">
        <f t="shared" si="35"/>
        <v>5</v>
      </c>
      <c r="P71" s="15">
        <f t="shared" si="36"/>
        <v>27</v>
      </c>
      <c r="R71" s="8"/>
      <c r="T71"/>
    </row>
    <row r="72" spans="2:20" ht="23.1" customHeight="1" x14ac:dyDescent="0.25">
      <c r="B72" s="45" t="s">
        <v>112</v>
      </c>
      <c r="C72" s="50">
        <v>4</v>
      </c>
      <c r="D72" s="50">
        <v>2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26</v>
      </c>
      <c r="N72" s="50">
        <v>0</v>
      </c>
      <c r="O72" s="15">
        <f t="shared" si="35"/>
        <v>6</v>
      </c>
      <c r="P72" s="15">
        <f t="shared" si="36"/>
        <v>32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23</v>
      </c>
      <c r="N73" s="50">
        <v>0</v>
      </c>
      <c r="O73" s="15">
        <f t="shared" si="35"/>
        <v>3</v>
      </c>
      <c r="P73" s="15">
        <f t="shared" si="36"/>
        <v>26</v>
      </c>
      <c r="R73" s="8"/>
      <c r="T73"/>
    </row>
    <row r="74" spans="2:20" ht="23.1" customHeight="1" x14ac:dyDescent="0.25">
      <c r="B74" s="45" t="s">
        <v>114</v>
      </c>
      <c r="C74" s="50">
        <v>6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20</v>
      </c>
      <c r="N74" s="50">
        <v>0</v>
      </c>
      <c r="O74" s="15">
        <f t="shared" si="35"/>
        <v>6</v>
      </c>
      <c r="P74" s="15">
        <f t="shared" si="36"/>
        <v>26</v>
      </c>
      <c r="R74" s="8"/>
      <c r="T74"/>
    </row>
    <row r="75" spans="2:20" ht="23.1" customHeight="1" x14ac:dyDescent="0.25">
      <c r="B75" s="45" t="s">
        <v>115</v>
      </c>
      <c r="C75" s="50">
        <v>2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16</v>
      </c>
      <c r="N75" s="50">
        <v>0</v>
      </c>
      <c r="O75" s="15">
        <f t="shared" si="35"/>
        <v>3</v>
      </c>
      <c r="P75" s="15">
        <f t="shared" si="36"/>
        <v>19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1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15</v>
      </c>
      <c r="N76" s="50">
        <v>0</v>
      </c>
      <c r="O76" s="15">
        <f t="shared" si="35"/>
        <v>2</v>
      </c>
      <c r="P76" s="15">
        <f t="shared" si="36"/>
        <v>17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15</v>
      </c>
      <c r="N77" s="50">
        <v>0</v>
      </c>
      <c r="O77" s="15">
        <f t="shared" si="35"/>
        <v>2</v>
      </c>
      <c r="P77" s="15">
        <f t="shared" si="36"/>
        <v>17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6</v>
      </c>
      <c r="N78" s="50">
        <v>0</v>
      </c>
      <c r="O78" s="15">
        <f t="shared" si="35"/>
        <v>1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9</v>
      </c>
      <c r="N79" s="50">
        <v>0</v>
      </c>
      <c r="O79" s="15">
        <f t="shared" si="35"/>
        <v>2</v>
      </c>
      <c r="P79" s="15">
        <f t="shared" si="36"/>
        <v>11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6</v>
      </c>
      <c r="N80" s="50">
        <v>0</v>
      </c>
      <c r="O80" s="15">
        <f t="shared" si="35"/>
        <v>1</v>
      </c>
      <c r="P80" s="15">
        <f t="shared" si="36"/>
        <v>7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0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6</v>
      </c>
      <c r="N82" s="50">
        <v>0</v>
      </c>
      <c r="O82" s="15">
        <f t="shared" si="35"/>
        <v>1</v>
      </c>
      <c r="P82" s="15">
        <f t="shared" si="36"/>
        <v>7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</v>
      </c>
      <c r="N83" s="50">
        <v>0</v>
      </c>
      <c r="O83" s="15">
        <f t="shared" si="35"/>
        <v>0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1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1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0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4</v>
      </c>
      <c r="N87" s="50">
        <v>0</v>
      </c>
      <c r="O87" s="15">
        <f t="shared" si="35"/>
        <v>1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2</v>
      </c>
      <c r="N88" s="50">
        <v>0</v>
      </c>
      <c r="O88" s="15">
        <f t="shared" si="35"/>
        <v>0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5</v>
      </c>
      <c r="N89" s="50">
        <v>0</v>
      </c>
      <c r="O89" s="15">
        <f t="shared" si="35"/>
        <v>1</v>
      </c>
      <c r="P89" s="15">
        <f t="shared" si="36"/>
        <v>6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5</v>
      </c>
      <c r="N90" s="50">
        <v>0</v>
      </c>
      <c r="O90" s="15">
        <f t="shared" si="35"/>
        <v>0</v>
      </c>
      <c r="P90" s="15">
        <f t="shared" si="36"/>
        <v>5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1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0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0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5">
        <f t="shared" si="35"/>
        <v>0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4</v>
      </c>
      <c r="N96" s="50">
        <v>0</v>
      </c>
      <c r="O96" s="15">
        <f t="shared" si="35"/>
        <v>0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3</v>
      </c>
      <c r="N97" s="50">
        <v>0</v>
      </c>
      <c r="O97" s="15">
        <f t="shared" si="35"/>
        <v>0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1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2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4</v>
      </c>
      <c r="N100" s="50">
        <v>0</v>
      </c>
      <c r="O100" s="15">
        <f t="shared" si="35"/>
        <v>2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5</v>
      </c>
      <c r="P101" s="15">
        <f t="shared" si="36"/>
        <v>7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7</v>
      </c>
      <c r="N102" s="50">
        <v>0</v>
      </c>
      <c r="O102" s="15">
        <f t="shared" si="35"/>
        <v>2</v>
      </c>
      <c r="P102" s="15">
        <f t="shared" si="36"/>
        <v>9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2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7</v>
      </c>
      <c r="N103" s="50">
        <v>0</v>
      </c>
      <c r="O103" s="15">
        <f t="shared" si="35"/>
        <v>3</v>
      </c>
      <c r="P103" s="15">
        <f t="shared" si="36"/>
        <v>10</v>
      </c>
      <c r="R103" s="8"/>
      <c r="T103"/>
    </row>
    <row r="104" spans="2:20" ht="23.1" customHeight="1" x14ac:dyDescent="0.25">
      <c r="B104" s="47" t="s">
        <v>144</v>
      </c>
      <c r="C104" s="50">
        <v>6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22</v>
      </c>
      <c r="N104" s="50">
        <v>0</v>
      </c>
      <c r="O104" s="15">
        <f t="shared" si="35"/>
        <v>6</v>
      </c>
      <c r="P104" s="15">
        <f t="shared" si="36"/>
        <v>28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1</v>
      </c>
      <c r="E105" s="50">
        <v>0</v>
      </c>
      <c r="F105" s="50">
        <v>2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22</v>
      </c>
      <c r="N105" s="50">
        <v>0</v>
      </c>
      <c r="O105" s="15">
        <f t="shared" si="35"/>
        <v>5</v>
      </c>
      <c r="P105" s="15">
        <f t="shared" si="36"/>
        <v>27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174</v>
      </c>
      <c r="D106" s="16">
        <f t="shared" ref="D106:P106" si="37">SUM(D10:D105)</f>
        <v>38</v>
      </c>
      <c r="E106" s="16">
        <f t="shared" si="37"/>
        <v>33</v>
      </c>
      <c r="F106" s="16">
        <f t="shared" si="37"/>
        <v>45</v>
      </c>
      <c r="G106" s="16">
        <f t="shared" si="37"/>
        <v>0</v>
      </c>
      <c r="H106" s="16">
        <f t="shared" si="37"/>
        <v>1</v>
      </c>
      <c r="I106" s="16">
        <f t="shared" si="37"/>
        <v>18</v>
      </c>
      <c r="J106" s="16">
        <f t="shared" si="37"/>
        <v>2</v>
      </c>
      <c r="K106" s="16">
        <f t="shared" si="37"/>
        <v>0</v>
      </c>
      <c r="L106" s="16">
        <f t="shared" si="37"/>
        <v>0</v>
      </c>
      <c r="M106" s="16">
        <f t="shared" si="37"/>
        <v>1642</v>
      </c>
      <c r="N106" s="16">
        <f t="shared" si="37"/>
        <v>0</v>
      </c>
      <c r="O106" s="16">
        <f t="shared" si="37"/>
        <v>311</v>
      </c>
      <c r="P106" s="16">
        <f t="shared" si="37"/>
        <v>1953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8.9093701996927802E-2</v>
      </c>
      <c r="D107" s="43">
        <f t="shared" si="38"/>
        <v>1.9457245263696878E-2</v>
      </c>
      <c r="E107" s="43">
        <f t="shared" si="38"/>
        <v>1.6897081413210446E-2</v>
      </c>
      <c r="F107" s="43">
        <f t="shared" si="38"/>
        <v>2.3041474654377881E-2</v>
      </c>
      <c r="G107" s="43">
        <f t="shared" si="38"/>
        <v>0</v>
      </c>
      <c r="H107" s="43">
        <f t="shared" si="38"/>
        <v>5.1203277009728623E-4</v>
      </c>
      <c r="I107" s="43">
        <f t="shared" si="38"/>
        <v>9.2165898617511521E-3</v>
      </c>
      <c r="J107" s="43">
        <f t="shared" si="38"/>
        <v>1.0240655401945725E-3</v>
      </c>
      <c r="K107" s="43">
        <f t="shared" si="38"/>
        <v>0</v>
      </c>
      <c r="L107" s="43">
        <f t="shared" si="38"/>
        <v>0</v>
      </c>
      <c r="M107" s="43">
        <f t="shared" si="38"/>
        <v>0.84075780849974402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0.55948553054662375</v>
      </c>
      <c r="D108" s="44">
        <f t="shared" ref="D108:N108" si="39">D106/$O$106</f>
        <v>0.12218649517684887</v>
      </c>
      <c r="E108" s="44">
        <f t="shared" si="39"/>
        <v>0.10610932475884244</v>
      </c>
      <c r="F108" s="44">
        <f t="shared" si="39"/>
        <v>0.14469453376205788</v>
      </c>
      <c r="G108" s="44">
        <f t="shared" si="39"/>
        <v>0</v>
      </c>
      <c r="H108" s="44">
        <f t="shared" si="39"/>
        <v>3.2154340836012861E-3</v>
      </c>
      <c r="I108" s="44">
        <f t="shared" si="39"/>
        <v>5.7877813504823149E-2</v>
      </c>
      <c r="J108" s="44">
        <f t="shared" si="39"/>
        <v>6.4308681672025723E-3</v>
      </c>
      <c r="K108" s="44">
        <f t="shared" si="39"/>
        <v>0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55" zoomScale="60" workbookViewId="0">
      <selection activeCell="H73" sqref="H7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'23.09.19 -Munyonyo-Kigo'!C3:G3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'26.09 Munyonyo-Kigo-24h'!D5</f>
        <v>26.0.19</v>
      </c>
      <c r="E5" s="3"/>
      <c r="F5" s="41" t="s">
        <v>1</v>
      </c>
      <c r="G5" s="70" t="str">
        <f>'26.09 Munyonyo-Kigo-24h'!G5:H5</f>
        <v>LWEZA KAMUCHANGA</v>
      </c>
      <c r="H5" s="71"/>
      <c r="I5" s="14"/>
      <c r="J5" s="2" t="s">
        <v>5</v>
      </c>
      <c r="K5" s="70" t="s">
        <v>179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175</v>
      </c>
      <c r="E6" s="71"/>
      <c r="F6" s="2" t="s">
        <v>2</v>
      </c>
      <c r="G6" s="70" t="str">
        <f>'24.09 Kigo-Munyonyo'!G6:H6</f>
        <v>MUNYONYO</v>
      </c>
      <c r="H6" s="71"/>
      <c r="J6" s="2" t="s">
        <v>21</v>
      </c>
      <c r="K6" s="70" t="str">
        <f>'26.09 Munyonyo-Kigo-24h'!K6:L6</f>
        <v>Beatrice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1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35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37</v>
      </c>
      <c r="R10" s="1" t="s">
        <v>6</v>
      </c>
      <c r="S10" s="17">
        <f t="shared" ref="S10:AF10" si="2">SUM(C10:C13)</f>
        <v>0</v>
      </c>
      <c r="T10" s="17">
        <f t="shared" si="2"/>
        <v>3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114</v>
      </c>
      <c r="AD10" s="17">
        <f t="shared" si="2"/>
        <v>0</v>
      </c>
      <c r="AE10" s="31">
        <f t="shared" si="2"/>
        <v>5</v>
      </c>
      <c r="AF10" s="31">
        <f t="shared" si="2"/>
        <v>119</v>
      </c>
    </row>
    <row r="11" spans="2:32" s="6" customFormat="1" ht="23.1" customHeight="1" x14ac:dyDescent="0.25">
      <c r="B11" s="45" t="s">
        <v>38</v>
      </c>
      <c r="C11" s="50">
        <v>0</v>
      </c>
      <c r="D11" s="50">
        <v>2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32</v>
      </c>
      <c r="N11" s="50">
        <v>0</v>
      </c>
      <c r="O11" s="15">
        <f t="shared" si="0"/>
        <v>2</v>
      </c>
      <c r="P11" s="15">
        <f t="shared" si="1"/>
        <v>34</v>
      </c>
      <c r="R11" s="1" t="s">
        <v>7</v>
      </c>
      <c r="S11" s="17">
        <f t="shared" ref="S11:AF11" si="3">SUM(C14:C17)</f>
        <v>0</v>
      </c>
      <c r="T11" s="17">
        <f t="shared" si="3"/>
        <v>2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58</v>
      </c>
      <c r="AD11" s="17">
        <f t="shared" si="3"/>
        <v>0</v>
      </c>
      <c r="AE11" s="31">
        <f t="shared" si="3"/>
        <v>2</v>
      </c>
      <c r="AF11" s="31">
        <f t="shared" si="3"/>
        <v>60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18</v>
      </c>
      <c r="N12" s="50">
        <v>0</v>
      </c>
      <c r="O12" s="15">
        <f t="shared" si="0"/>
        <v>0</v>
      </c>
      <c r="P12" s="15">
        <f t="shared" si="1"/>
        <v>18</v>
      </c>
      <c r="R12" s="1" t="s">
        <v>8</v>
      </c>
      <c r="S12" s="17">
        <f t="shared" ref="S12:AF12" si="4">SUM(C18:C21)</f>
        <v>0</v>
      </c>
      <c r="T12" s="17">
        <f t="shared" si="4"/>
        <v>1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77</v>
      </c>
      <c r="AD12" s="17">
        <f t="shared" si="4"/>
        <v>0</v>
      </c>
      <c r="AE12" s="31">
        <f t="shared" si="4"/>
        <v>1</v>
      </c>
      <c r="AF12" s="31">
        <f t="shared" si="4"/>
        <v>78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29</v>
      </c>
      <c r="N13" s="50">
        <v>0</v>
      </c>
      <c r="O13" s="15">
        <f t="shared" si="0"/>
        <v>1</v>
      </c>
      <c r="P13" s="15">
        <f t="shared" si="1"/>
        <v>30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65</v>
      </c>
      <c r="AD13" s="17">
        <f t="shared" si="5"/>
        <v>0</v>
      </c>
      <c r="AE13" s="31">
        <f t="shared" si="5"/>
        <v>2</v>
      </c>
      <c r="AF13" s="31">
        <f t="shared" si="5"/>
        <v>67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21</v>
      </c>
      <c r="N14" s="50">
        <v>0</v>
      </c>
      <c r="O14" s="15">
        <f t="shared" si="0"/>
        <v>0</v>
      </c>
      <c r="P14" s="15">
        <f t="shared" si="1"/>
        <v>21</v>
      </c>
      <c r="R14" s="1" t="s">
        <v>10</v>
      </c>
      <c r="S14" s="17">
        <f t="shared" ref="S14:AF14" si="6">SUM(C26:C29)</f>
        <v>0</v>
      </c>
      <c r="T14" s="17">
        <f t="shared" si="6"/>
        <v>1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55</v>
      </c>
      <c r="AD14" s="17">
        <f t="shared" si="6"/>
        <v>0</v>
      </c>
      <c r="AE14" s="31">
        <f t="shared" si="6"/>
        <v>1</v>
      </c>
      <c r="AF14" s="31">
        <f t="shared" si="6"/>
        <v>56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0</v>
      </c>
      <c r="P15" s="15">
        <f t="shared" si="1"/>
        <v>11</v>
      </c>
      <c r="R15" s="1" t="s">
        <v>11</v>
      </c>
      <c r="S15" s="17">
        <f t="shared" ref="S15:AF15" si="7">SUM(C30:C33)</f>
        <v>0</v>
      </c>
      <c r="T15" s="17">
        <f t="shared" si="7"/>
        <v>1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59</v>
      </c>
      <c r="AD15" s="17">
        <f t="shared" si="7"/>
        <v>0</v>
      </c>
      <c r="AE15" s="31">
        <f t="shared" si="7"/>
        <v>1</v>
      </c>
      <c r="AF15" s="31">
        <f t="shared" si="7"/>
        <v>60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13</v>
      </c>
      <c r="N16" s="50">
        <v>0</v>
      </c>
      <c r="O16" s="15">
        <f t="shared" si="0"/>
        <v>0</v>
      </c>
      <c r="P16" s="15">
        <f t="shared" si="1"/>
        <v>13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0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51</v>
      </c>
      <c r="AD16" s="17">
        <f t="shared" si="8"/>
        <v>0</v>
      </c>
      <c r="AE16" s="31">
        <f t="shared" si="8"/>
        <v>3</v>
      </c>
      <c r="AF16" s="31">
        <f t="shared" si="8"/>
        <v>54</v>
      </c>
    </row>
    <row r="17" spans="2:32" ht="23.1" customHeight="1" x14ac:dyDescent="0.25">
      <c r="B17" s="45" t="s">
        <v>44</v>
      </c>
      <c r="C17" s="50">
        <v>0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2</v>
      </c>
      <c r="P17" s="15">
        <f t="shared" si="1"/>
        <v>15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67</v>
      </c>
      <c r="AD17" s="17">
        <f t="shared" si="9"/>
        <v>0</v>
      </c>
      <c r="AE17" s="31">
        <f t="shared" si="9"/>
        <v>2</v>
      </c>
      <c r="AF17" s="31">
        <f t="shared" si="9"/>
        <v>69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21</v>
      </c>
      <c r="N18" s="50">
        <v>0</v>
      </c>
      <c r="O18" s="15">
        <f t="shared" si="0"/>
        <v>0</v>
      </c>
      <c r="P18" s="15">
        <f t="shared" si="1"/>
        <v>21</v>
      </c>
      <c r="R18" s="1" t="s">
        <v>14</v>
      </c>
      <c r="S18" s="17">
        <f t="shared" ref="S18:AF18" si="10">SUM(C42:C45)</f>
        <v>0</v>
      </c>
      <c r="T18" s="17">
        <f t="shared" si="10"/>
        <v>1</v>
      </c>
      <c r="U18" s="17">
        <f t="shared" si="10"/>
        <v>1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52</v>
      </c>
      <c r="AD18" s="17">
        <f t="shared" si="10"/>
        <v>0</v>
      </c>
      <c r="AE18" s="31">
        <f t="shared" si="10"/>
        <v>3</v>
      </c>
      <c r="AF18" s="31">
        <f t="shared" si="10"/>
        <v>55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18</v>
      </c>
      <c r="N19" s="50">
        <v>0</v>
      </c>
      <c r="O19" s="15">
        <f t="shared" si="0"/>
        <v>0</v>
      </c>
      <c r="P19" s="15">
        <f t="shared" si="1"/>
        <v>18</v>
      </c>
      <c r="R19" s="1" t="s">
        <v>15</v>
      </c>
      <c r="S19" s="17">
        <f t="shared" ref="S19:AF19" si="11">SUM(C46:C49)</f>
        <v>1</v>
      </c>
      <c r="T19" s="17">
        <f t="shared" si="11"/>
        <v>1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65</v>
      </c>
      <c r="AD19" s="17">
        <f t="shared" si="11"/>
        <v>0</v>
      </c>
      <c r="AE19" s="31">
        <f t="shared" si="11"/>
        <v>3</v>
      </c>
      <c r="AF19" s="31">
        <f t="shared" si="11"/>
        <v>68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16</v>
      </c>
      <c r="N20" s="50">
        <v>0</v>
      </c>
      <c r="O20" s="15">
        <f t="shared" si="0"/>
        <v>0</v>
      </c>
      <c r="P20" s="15">
        <f t="shared" si="1"/>
        <v>16</v>
      </c>
      <c r="R20" s="1" t="s">
        <v>16</v>
      </c>
      <c r="S20" s="17">
        <f t="shared" ref="S20:AF20" si="12">SUM(C50:C53)</f>
        <v>0</v>
      </c>
      <c r="T20" s="17">
        <f t="shared" si="12"/>
        <v>1</v>
      </c>
      <c r="U20" s="17">
        <f t="shared" si="12"/>
        <v>0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74</v>
      </c>
      <c r="AD20" s="17">
        <f t="shared" si="12"/>
        <v>0</v>
      </c>
      <c r="AE20" s="31">
        <f t="shared" si="12"/>
        <v>3</v>
      </c>
      <c r="AF20" s="31">
        <f t="shared" si="12"/>
        <v>77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22</v>
      </c>
      <c r="N21" s="50">
        <v>0</v>
      </c>
      <c r="O21" s="15">
        <f t="shared" si="0"/>
        <v>1</v>
      </c>
      <c r="P21" s="15">
        <f t="shared" si="1"/>
        <v>23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72</v>
      </c>
      <c r="AD21" s="17">
        <f t="shared" si="13"/>
        <v>0</v>
      </c>
      <c r="AE21" s="31">
        <f t="shared" si="13"/>
        <v>6</v>
      </c>
      <c r="AF21" s="31">
        <f t="shared" si="13"/>
        <v>78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12</v>
      </c>
      <c r="N22" s="50">
        <v>0</v>
      </c>
      <c r="O22" s="15">
        <f t="shared" si="0"/>
        <v>2</v>
      </c>
      <c r="P22" s="15">
        <f t="shared" si="1"/>
        <v>14</v>
      </c>
      <c r="R22" s="36" t="s">
        <v>146</v>
      </c>
      <c r="S22" s="34">
        <f>SUM(C58:C61)</f>
        <v>0</v>
      </c>
      <c r="T22" s="34">
        <f t="shared" ref="T22:AF22" si="14">SUM(D58:D61)</f>
        <v>1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108</v>
      </c>
      <c r="AD22" s="34">
        <f t="shared" si="14"/>
        <v>0</v>
      </c>
      <c r="AE22" s="31">
        <f t="shared" si="14"/>
        <v>1</v>
      </c>
      <c r="AF22" s="31">
        <f t="shared" si="14"/>
        <v>109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13</v>
      </c>
      <c r="N23" s="50">
        <v>0</v>
      </c>
      <c r="O23" s="15">
        <f t="shared" si="0"/>
        <v>0</v>
      </c>
      <c r="P23" s="15">
        <f t="shared" si="1"/>
        <v>13</v>
      </c>
      <c r="R23" s="36" t="s">
        <v>147</v>
      </c>
      <c r="S23" s="34">
        <f>SUM(C62:C65)</f>
        <v>4</v>
      </c>
      <c r="T23" s="34">
        <f t="shared" ref="T23:AF23" si="15">SUM(D62:D65)</f>
        <v>1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99</v>
      </c>
      <c r="AD23" s="34">
        <f t="shared" si="15"/>
        <v>0</v>
      </c>
      <c r="AE23" s="31">
        <f t="shared" si="15"/>
        <v>8</v>
      </c>
      <c r="AF23" s="31">
        <f t="shared" si="15"/>
        <v>107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20</v>
      </c>
      <c r="N24" s="50">
        <v>0</v>
      </c>
      <c r="O24" s="15">
        <f t="shared" si="0"/>
        <v>0</v>
      </c>
      <c r="P24" s="15">
        <f t="shared" si="1"/>
        <v>20</v>
      </c>
      <c r="R24" s="36" t="s">
        <v>148</v>
      </c>
      <c r="S24" s="34">
        <f>SUM(C66:C69)</f>
        <v>2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93</v>
      </c>
      <c r="AD24" s="34">
        <f t="shared" si="16"/>
        <v>0</v>
      </c>
      <c r="AE24" s="31">
        <f t="shared" si="16"/>
        <v>3</v>
      </c>
      <c r="AF24" s="31">
        <f t="shared" si="16"/>
        <v>96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20</v>
      </c>
      <c r="N25" s="50">
        <v>0</v>
      </c>
      <c r="O25" s="15">
        <f t="shared" si="0"/>
        <v>0</v>
      </c>
      <c r="P25" s="15">
        <f t="shared" si="1"/>
        <v>20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59</v>
      </c>
      <c r="AD25" s="34">
        <f t="shared" si="17"/>
        <v>0</v>
      </c>
      <c r="AE25" s="31">
        <f t="shared" si="17"/>
        <v>2</v>
      </c>
      <c r="AF25" s="31">
        <f t="shared" si="17"/>
        <v>61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0</v>
      </c>
      <c r="P26" s="15">
        <f t="shared" si="1"/>
        <v>10</v>
      </c>
      <c r="R26" s="36" t="s">
        <v>150</v>
      </c>
      <c r="S26" s="34">
        <f>SUM(C74:C77)</f>
        <v>0</v>
      </c>
      <c r="T26" s="34">
        <f t="shared" ref="T26:AF26" si="18">SUM(D74:D77)</f>
        <v>1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54</v>
      </c>
      <c r="AD26" s="34">
        <f t="shared" si="18"/>
        <v>0</v>
      </c>
      <c r="AE26" s="31">
        <f t="shared" si="18"/>
        <v>1</v>
      </c>
      <c r="AF26" s="31">
        <f t="shared" si="18"/>
        <v>55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18</v>
      </c>
      <c r="N27" s="50">
        <v>0</v>
      </c>
      <c r="O27" s="15">
        <f t="shared" si="0"/>
        <v>0</v>
      </c>
      <c r="P27" s="15">
        <f t="shared" si="1"/>
        <v>18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24</v>
      </c>
      <c r="AD27" s="34">
        <f t="shared" si="19"/>
        <v>0</v>
      </c>
      <c r="AE27" s="31">
        <f t="shared" si="19"/>
        <v>0</v>
      </c>
      <c r="AF27" s="31">
        <f t="shared" si="19"/>
        <v>24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10</v>
      </c>
      <c r="N28" s="50">
        <v>0</v>
      </c>
      <c r="O28" s="15">
        <f t="shared" si="0"/>
        <v>0</v>
      </c>
      <c r="P28" s="15">
        <f t="shared" si="1"/>
        <v>10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3</v>
      </c>
      <c r="AD28" s="34">
        <f t="shared" si="20"/>
        <v>0</v>
      </c>
      <c r="AE28" s="31">
        <f t="shared" si="20"/>
        <v>0</v>
      </c>
      <c r="AF28" s="31">
        <f t="shared" si="20"/>
        <v>3</v>
      </c>
    </row>
    <row r="29" spans="2:32" ht="23.1" customHeight="1" x14ac:dyDescent="0.25">
      <c r="B29" s="45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17</v>
      </c>
      <c r="N29" s="50">
        <v>0</v>
      </c>
      <c r="O29" s="15">
        <f t="shared" si="0"/>
        <v>1</v>
      </c>
      <c r="P29" s="15">
        <f t="shared" si="1"/>
        <v>18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6</v>
      </c>
      <c r="AD29" s="34">
        <f t="shared" si="21"/>
        <v>0</v>
      </c>
      <c r="AE29" s="31">
        <f t="shared" si="21"/>
        <v>0</v>
      </c>
      <c r="AF29" s="31">
        <f t="shared" si="21"/>
        <v>6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0</v>
      </c>
      <c r="P30" s="15">
        <f t="shared" si="1"/>
        <v>14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12</v>
      </c>
      <c r="AD30" s="34">
        <f t="shared" si="22"/>
        <v>0</v>
      </c>
      <c r="AE30" s="31">
        <f t="shared" si="22"/>
        <v>1</v>
      </c>
      <c r="AF30" s="31">
        <f t="shared" si="22"/>
        <v>13</v>
      </c>
    </row>
    <row r="31" spans="2:32" ht="23.1" customHeight="1" x14ac:dyDescent="0.25">
      <c r="B31" s="46" t="s">
        <v>58</v>
      </c>
      <c r="C31" s="50">
        <v>0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1</v>
      </c>
      <c r="P31" s="15">
        <f t="shared" si="1"/>
        <v>17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10</v>
      </c>
      <c r="AD31" s="34">
        <f t="shared" si="23"/>
        <v>0</v>
      </c>
      <c r="AE31" s="31">
        <f t="shared" si="23"/>
        <v>1</v>
      </c>
      <c r="AF31" s="31">
        <f t="shared" si="23"/>
        <v>11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15</v>
      </c>
      <c r="N32" s="50">
        <v>0</v>
      </c>
      <c r="O32" s="15">
        <f t="shared" si="0"/>
        <v>0</v>
      </c>
      <c r="P32" s="15">
        <f t="shared" si="1"/>
        <v>15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9</v>
      </c>
      <c r="AD32" s="34">
        <f t="shared" si="24"/>
        <v>0</v>
      </c>
      <c r="AE32" s="31">
        <f t="shared" si="24"/>
        <v>3</v>
      </c>
      <c r="AF32" s="31">
        <f t="shared" si="24"/>
        <v>12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0</v>
      </c>
      <c r="P33" s="15">
        <f t="shared" si="1"/>
        <v>14</v>
      </c>
      <c r="R33" s="33" t="s">
        <v>157</v>
      </c>
      <c r="S33" s="34">
        <f>SUM(C102:C105)</f>
        <v>4</v>
      </c>
      <c r="T33" s="34">
        <f t="shared" ref="T33:AF33" si="25">SUM(D102:D105)</f>
        <v>1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61</v>
      </c>
      <c r="AD33" s="34">
        <f t="shared" si="25"/>
        <v>0</v>
      </c>
      <c r="AE33" s="31">
        <f t="shared" si="25"/>
        <v>5</v>
      </c>
      <c r="AF33" s="31">
        <f t="shared" si="25"/>
        <v>66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0</v>
      </c>
      <c r="P34" s="15">
        <f t="shared" si="1"/>
        <v>15</v>
      </c>
      <c r="R34" s="38" t="s">
        <v>90</v>
      </c>
      <c r="S34" s="39">
        <f t="shared" ref="S34:AF34" si="26">MAX(S10:S12)</f>
        <v>0</v>
      </c>
      <c r="T34" s="39">
        <f t="shared" si="26"/>
        <v>3</v>
      </c>
      <c r="U34" s="39">
        <f t="shared" si="26"/>
        <v>0</v>
      </c>
      <c r="V34" s="39">
        <f t="shared" si="26"/>
        <v>2</v>
      </c>
      <c r="W34" s="39">
        <f t="shared" si="26"/>
        <v>0</v>
      </c>
      <c r="X34" s="39">
        <f t="shared" si="26"/>
        <v>0</v>
      </c>
      <c r="Y34" s="39">
        <f t="shared" si="26"/>
        <v>0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114</v>
      </c>
      <c r="AD34" s="39">
        <f t="shared" si="26"/>
        <v>0</v>
      </c>
      <c r="AE34" s="40">
        <f t="shared" si="26"/>
        <v>5</v>
      </c>
      <c r="AF34" s="40">
        <f t="shared" si="26"/>
        <v>119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1</v>
      </c>
      <c r="P35" s="15">
        <f t="shared" si="1"/>
        <v>12</v>
      </c>
      <c r="R35" s="38" t="s">
        <v>91</v>
      </c>
      <c r="S35" s="39">
        <f t="shared" ref="S35:AF35" si="27">MAX(S13:S18)</f>
        <v>2</v>
      </c>
      <c r="T35" s="39">
        <f t="shared" si="27"/>
        <v>1</v>
      </c>
      <c r="U35" s="39">
        <f t="shared" si="27"/>
        <v>1</v>
      </c>
      <c r="V35" s="39">
        <f t="shared" si="27"/>
        <v>1</v>
      </c>
      <c r="W35" s="39">
        <f t="shared" si="27"/>
        <v>0</v>
      </c>
      <c r="X35" s="39">
        <f t="shared" si="27"/>
        <v>0</v>
      </c>
      <c r="Y35" s="39">
        <f t="shared" si="27"/>
        <v>0</v>
      </c>
      <c r="Z35" s="39">
        <f t="shared" si="27"/>
        <v>0</v>
      </c>
      <c r="AA35" s="39">
        <f t="shared" si="27"/>
        <v>0</v>
      </c>
      <c r="AB35" s="39">
        <f t="shared" si="27"/>
        <v>0</v>
      </c>
      <c r="AC35" s="39">
        <f t="shared" si="27"/>
        <v>67</v>
      </c>
      <c r="AD35" s="39">
        <f t="shared" si="27"/>
        <v>0</v>
      </c>
      <c r="AE35" s="40">
        <f t="shared" si="27"/>
        <v>3</v>
      </c>
      <c r="AF35" s="40">
        <f t="shared" si="27"/>
        <v>69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0</v>
      </c>
      <c r="P36" s="15">
        <f t="shared" si="1"/>
        <v>14</v>
      </c>
      <c r="R36" s="38" t="s">
        <v>92</v>
      </c>
      <c r="S36" s="39">
        <f t="shared" ref="S36:AF36" si="28">MAX(S19:S21)</f>
        <v>3</v>
      </c>
      <c r="T36" s="39">
        <f t="shared" si="28"/>
        <v>1</v>
      </c>
      <c r="U36" s="39">
        <f t="shared" si="28"/>
        <v>1</v>
      </c>
      <c r="V36" s="39">
        <f t="shared" si="28"/>
        <v>2</v>
      </c>
      <c r="W36" s="39">
        <f t="shared" si="28"/>
        <v>0</v>
      </c>
      <c r="X36" s="39">
        <f t="shared" si="28"/>
        <v>0</v>
      </c>
      <c r="Y36" s="39">
        <f t="shared" si="28"/>
        <v>1</v>
      </c>
      <c r="Z36" s="39">
        <f t="shared" si="28"/>
        <v>2</v>
      </c>
      <c r="AA36" s="39">
        <f t="shared" si="28"/>
        <v>0</v>
      </c>
      <c r="AB36" s="39">
        <f t="shared" si="28"/>
        <v>0</v>
      </c>
      <c r="AC36" s="39">
        <f t="shared" si="28"/>
        <v>74</v>
      </c>
      <c r="AD36" s="39">
        <f t="shared" si="28"/>
        <v>0</v>
      </c>
      <c r="AE36" s="40">
        <f t="shared" si="28"/>
        <v>6</v>
      </c>
      <c r="AF36" s="40">
        <f t="shared" si="28"/>
        <v>78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11</v>
      </c>
      <c r="N37" s="50">
        <v>0</v>
      </c>
      <c r="O37" s="15">
        <f t="shared" si="0"/>
        <v>2</v>
      </c>
      <c r="P37" s="15">
        <f t="shared" si="1"/>
        <v>13</v>
      </c>
      <c r="R37" s="37" t="s">
        <v>85</v>
      </c>
      <c r="S37" s="35">
        <f t="shared" ref="S37:AF37" si="29">SUM(S10:S12)</f>
        <v>0</v>
      </c>
      <c r="T37" s="16">
        <f t="shared" si="29"/>
        <v>6</v>
      </c>
      <c r="U37" s="16">
        <f t="shared" si="29"/>
        <v>0</v>
      </c>
      <c r="V37" s="16">
        <f t="shared" si="29"/>
        <v>2</v>
      </c>
      <c r="W37" s="16">
        <f t="shared" si="29"/>
        <v>0</v>
      </c>
      <c r="X37" s="16">
        <f t="shared" si="29"/>
        <v>0</v>
      </c>
      <c r="Y37" s="16">
        <f t="shared" si="29"/>
        <v>0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249</v>
      </c>
      <c r="AD37" s="16">
        <f t="shared" si="29"/>
        <v>0</v>
      </c>
      <c r="AE37" s="32">
        <f t="shared" si="29"/>
        <v>8</v>
      </c>
      <c r="AF37" s="32">
        <f t="shared" si="29"/>
        <v>257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14</v>
      </c>
      <c r="N38" s="50">
        <v>0</v>
      </c>
      <c r="O38" s="15">
        <f t="shared" si="0"/>
        <v>0</v>
      </c>
      <c r="P38" s="15">
        <f t="shared" si="1"/>
        <v>14</v>
      </c>
      <c r="R38" s="28" t="s">
        <v>86</v>
      </c>
      <c r="S38" s="16">
        <f t="shared" ref="S38:AF38" si="30">SUM(S13:S18)</f>
        <v>6</v>
      </c>
      <c r="T38" s="16">
        <f t="shared" si="30"/>
        <v>3</v>
      </c>
      <c r="U38" s="16">
        <f t="shared" si="30"/>
        <v>1</v>
      </c>
      <c r="V38" s="16">
        <f t="shared" si="30"/>
        <v>2</v>
      </c>
      <c r="W38" s="16">
        <f t="shared" si="30"/>
        <v>0</v>
      </c>
      <c r="X38" s="16">
        <f t="shared" si="30"/>
        <v>0</v>
      </c>
      <c r="Y38" s="16">
        <f t="shared" si="30"/>
        <v>0</v>
      </c>
      <c r="Z38" s="16">
        <f t="shared" si="30"/>
        <v>0</v>
      </c>
      <c r="AA38" s="16">
        <f t="shared" si="30"/>
        <v>0</v>
      </c>
      <c r="AB38" s="16">
        <f t="shared" si="30"/>
        <v>0</v>
      </c>
      <c r="AC38" s="16">
        <f t="shared" si="30"/>
        <v>349</v>
      </c>
      <c r="AD38" s="16">
        <f t="shared" si="30"/>
        <v>0</v>
      </c>
      <c r="AE38" s="32">
        <f t="shared" si="30"/>
        <v>12</v>
      </c>
      <c r="AF38" s="32">
        <f t="shared" si="30"/>
        <v>361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19</v>
      </c>
      <c r="N39" s="50">
        <v>0</v>
      </c>
      <c r="O39" s="15">
        <f t="shared" si="0"/>
        <v>1</v>
      </c>
      <c r="P39" s="15">
        <f t="shared" si="1"/>
        <v>20</v>
      </c>
      <c r="R39" s="29" t="s">
        <v>87</v>
      </c>
      <c r="S39" s="16">
        <f t="shared" ref="S39:AF39" si="31">SUM(S19:S21)</f>
        <v>4</v>
      </c>
      <c r="T39" s="16">
        <f t="shared" si="31"/>
        <v>2</v>
      </c>
      <c r="U39" s="16">
        <f t="shared" si="31"/>
        <v>1</v>
      </c>
      <c r="V39" s="16">
        <f t="shared" si="31"/>
        <v>2</v>
      </c>
      <c r="W39" s="16">
        <f t="shared" si="31"/>
        <v>0</v>
      </c>
      <c r="X39" s="16">
        <f t="shared" si="31"/>
        <v>0</v>
      </c>
      <c r="Y39" s="16">
        <f t="shared" si="31"/>
        <v>1</v>
      </c>
      <c r="Z39" s="16">
        <f t="shared" si="31"/>
        <v>2</v>
      </c>
      <c r="AA39" s="16">
        <f t="shared" si="31"/>
        <v>0</v>
      </c>
      <c r="AB39" s="16">
        <f t="shared" si="31"/>
        <v>0</v>
      </c>
      <c r="AC39" s="16">
        <f t="shared" si="31"/>
        <v>211</v>
      </c>
      <c r="AD39" s="16">
        <f t="shared" si="31"/>
        <v>0</v>
      </c>
      <c r="AE39" s="32">
        <f t="shared" si="31"/>
        <v>12</v>
      </c>
      <c r="AF39" s="32">
        <f t="shared" si="31"/>
        <v>223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18</v>
      </c>
      <c r="N40" s="50">
        <v>0</v>
      </c>
      <c r="O40" s="15">
        <f t="shared" si="0"/>
        <v>1</v>
      </c>
      <c r="P40" s="15">
        <f t="shared" si="1"/>
        <v>19</v>
      </c>
      <c r="R40" s="5" t="s">
        <v>17</v>
      </c>
      <c r="S40" s="16">
        <f t="shared" ref="S40:AF40" si="32">SUM(S10:S21)</f>
        <v>10</v>
      </c>
      <c r="T40" s="16">
        <f t="shared" si="32"/>
        <v>11</v>
      </c>
      <c r="U40" s="16">
        <f t="shared" si="32"/>
        <v>2</v>
      </c>
      <c r="V40" s="16">
        <f t="shared" si="32"/>
        <v>6</v>
      </c>
      <c r="W40" s="16">
        <f t="shared" si="32"/>
        <v>0</v>
      </c>
      <c r="X40" s="16">
        <f t="shared" si="32"/>
        <v>0</v>
      </c>
      <c r="Y40" s="16">
        <f t="shared" si="32"/>
        <v>1</v>
      </c>
      <c r="Z40" s="16">
        <f t="shared" si="32"/>
        <v>2</v>
      </c>
      <c r="AA40" s="16">
        <f t="shared" si="32"/>
        <v>0</v>
      </c>
      <c r="AB40" s="16">
        <f t="shared" si="32"/>
        <v>0</v>
      </c>
      <c r="AC40" s="16">
        <f t="shared" si="32"/>
        <v>809</v>
      </c>
      <c r="AD40" s="16">
        <f t="shared" si="32"/>
        <v>0</v>
      </c>
      <c r="AE40" s="32">
        <f t="shared" si="32"/>
        <v>32</v>
      </c>
      <c r="AF40" s="32">
        <f t="shared" si="32"/>
        <v>841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0</v>
      </c>
      <c r="P41" s="15">
        <f t="shared" si="1"/>
        <v>16</v>
      </c>
      <c r="R41" s="5" t="s">
        <v>159</v>
      </c>
      <c r="S41" s="16">
        <f>SUM(S10:S33)</f>
        <v>26</v>
      </c>
      <c r="T41" s="16">
        <f t="shared" ref="T41:AF41" si="33">SUM(T10:T33)</f>
        <v>16</v>
      </c>
      <c r="U41" s="16">
        <f t="shared" si="33"/>
        <v>3</v>
      </c>
      <c r="V41" s="16">
        <f t="shared" si="33"/>
        <v>7</v>
      </c>
      <c r="W41" s="16">
        <f t="shared" si="33"/>
        <v>0</v>
      </c>
      <c r="X41" s="16">
        <f t="shared" si="33"/>
        <v>0</v>
      </c>
      <c r="Y41" s="16">
        <f t="shared" si="33"/>
        <v>2</v>
      </c>
      <c r="Z41" s="16">
        <f t="shared" si="33"/>
        <v>3</v>
      </c>
      <c r="AA41" s="16">
        <f t="shared" si="33"/>
        <v>0</v>
      </c>
      <c r="AB41" s="16">
        <f t="shared" si="33"/>
        <v>0</v>
      </c>
      <c r="AC41" s="16">
        <f t="shared" si="33"/>
        <v>1347</v>
      </c>
      <c r="AD41" s="16">
        <f t="shared" si="33"/>
        <v>0</v>
      </c>
      <c r="AE41" s="32">
        <f t="shared" si="33"/>
        <v>57</v>
      </c>
      <c r="AF41" s="32">
        <f t="shared" si="33"/>
        <v>1404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14</v>
      </c>
      <c r="N42" s="50">
        <v>0</v>
      </c>
      <c r="O42" s="15">
        <f t="shared" si="0"/>
        <v>1</v>
      </c>
      <c r="P42" s="15">
        <f t="shared" si="1"/>
        <v>15</v>
      </c>
      <c r="R42" s="5" t="s">
        <v>160</v>
      </c>
      <c r="S42" s="48">
        <f>S41/S40</f>
        <v>2.6</v>
      </c>
      <c r="T42" s="48">
        <f t="shared" ref="T42:AF42" si="34">T41/T40</f>
        <v>1.4545454545454546</v>
      </c>
      <c r="U42" s="48">
        <f t="shared" si="34"/>
        <v>1.5</v>
      </c>
      <c r="V42" s="48">
        <f t="shared" si="34"/>
        <v>1.1666666666666667</v>
      </c>
      <c r="W42" s="48" t="e">
        <f t="shared" si="34"/>
        <v>#DIV/0!</v>
      </c>
      <c r="X42" s="48" t="e">
        <f t="shared" si="34"/>
        <v>#DIV/0!</v>
      </c>
      <c r="Y42" s="48">
        <f t="shared" si="34"/>
        <v>2</v>
      </c>
      <c r="Z42" s="48">
        <f t="shared" si="34"/>
        <v>1.5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1.6650185414091472</v>
      </c>
      <c r="AD42" s="48" t="e">
        <f t="shared" si="34"/>
        <v>#DIV/0!</v>
      </c>
      <c r="AE42" s="48">
        <f t="shared" si="34"/>
        <v>1.78125</v>
      </c>
      <c r="AF42" s="48">
        <f t="shared" si="34"/>
        <v>1.6694411414982164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1</v>
      </c>
      <c r="P43" s="15">
        <f t="shared" si="1"/>
        <v>8</v>
      </c>
    </row>
    <row r="44" spans="2:32" ht="23.1" customHeight="1" x14ac:dyDescent="0.25">
      <c r="B44" s="47" t="s">
        <v>71</v>
      </c>
      <c r="C44" s="50">
        <v>0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16</v>
      </c>
      <c r="N44" s="50">
        <v>0</v>
      </c>
      <c r="O44" s="15">
        <f t="shared" si="0"/>
        <v>1</v>
      </c>
      <c r="P44" s="15">
        <f t="shared" si="1"/>
        <v>17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15</v>
      </c>
      <c r="N45" s="50">
        <v>0</v>
      </c>
      <c r="O45" s="15">
        <f t="shared" si="0"/>
        <v>0</v>
      </c>
      <c r="P45" s="15">
        <f t="shared" si="1"/>
        <v>15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20</v>
      </c>
      <c r="N46" s="50">
        <v>0</v>
      </c>
      <c r="O46" s="15">
        <f t="shared" si="0"/>
        <v>1</v>
      </c>
      <c r="P46" s="15">
        <f t="shared" si="1"/>
        <v>21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0</v>
      </c>
      <c r="P47" s="15">
        <f t="shared" si="1"/>
        <v>13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20</v>
      </c>
      <c r="N48" s="50">
        <v>0</v>
      </c>
      <c r="O48" s="15">
        <f t="shared" si="0"/>
        <v>2</v>
      </c>
      <c r="P48" s="15">
        <f t="shared" si="1"/>
        <v>22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12</v>
      </c>
      <c r="N49" s="50">
        <v>0</v>
      </c>
      <c r="O49" s="15">
        <f t="shared" si="0"/>
        <v>0</v>
      </c>
      <c r="P49" s="15">
        <f t="shared" si="1"/>
        <v>12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19</v>
      </c>
      <c r="N50" s="50">
        <v>0</v>
      </c>
      <c r="O50" s="15">
        <f t="shared" si="0"/>
        <v>1</v>
      </c>
      <c r="P50" s="15">
        <f t="shared" si="1"/>
        <v>20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21</v>
      </c>
      <c r="N51" s="50">
        <v>0</v>
      </c>
      <c r="O51" s="15">
        <f t="shared" si="0"/>
        <v>1</v>
      </c>
      <c r="P51" s="15">
        <f t="shared" si="1"/>
        <v>22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20</v>
      </c>
      <c r="N52" s="50">
        <v>0</v>
      </c>
      <c r="O52" s="15">
        <f t="shared" si="0"/>
        <v>1</v>
      </c>
      <c r="P52" s="15">
        <f t="shared" si="1"/>
        <v>21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14</v>
      </c>
      <c r="N53" s="50">
        <v>0</v>
      </c>
      <c r="O53" s="15">
        <f t="shared" si="0"/>
        <v>0</v>
      </c>
      <c r="P53" s="15">
        <f t="shared" si="1"/>
        <v>14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19</v>
      </c>
      <c r="N54" s="50">
        <v>0</v>
      </c>
      <c r="O54" s="15">
        <f t="shared" si="0"/>
        <v>1</v>
      </c>
      <c r="P54" s="15">
        <f t="shared" si="1"/>
        <v>20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3</v>
      </c>
      <c r="P55" s="15">
        <f t="shared" si="1"/>
        <v>15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15</v>
      </c>
      <c r="N56" s="50">
        <v>0</v>
      </c>
      <c r="O56" s="15">
        <f t="shared" si="0"/>
        <v>2</v>
      </c>
      <c r="P56" s="15">
        <f t="shared" si="1"/>
        <v>17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26</v>
      </c>
      <c r="N57" s="50">
        <v>0</v>
      </c>
      <c r="O57" s="15">
        <f t="shared" si="0"/>
        <v>0</v>
      </c>
      <c r="P57" s="15">
        <f t="shared" si="1"/>
        <v>26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16</v>
      </c>
      <c r="N58" s="50">
        <v>0</v>
      </c>
      <c r="O58" s="15">
        <f t="shared" si="0"/>
        <v>0</v>
      </c>
      <c r="P58" s="15">
        <f t="shared" si="1"/>
        <v>16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32</v>
      </c>
      <c r="N59" s="50">
        <v>0</v>
      </c>
      <c r="O59" s="15">
        <f t="shared" si="0"/>
        <v>0</v>
      </c>
      <c r="P59" s="15">
        <f t="shared" si="1"/>
        <v>32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1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30</v>
      </c>
      <c r="N60" s="50">
        <v>0</v>
      </c>
      <c r="O60" s="15">
        <f t="shared" si="0"/>
        <v>1</v>
      </c>
      <c r="P60" s="15">
        <f t="shared" si="1"/>
        <v>31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30</v>
      </c>
      <c r="N61" s="50">
        <v>0</v>
      </c>
      <c r="O61" s="15">
        <f t="shared" si="0"/>
        <v>0</v>
      </c>
      <c r="P61" s="15">
        <f t="shared" si="1"/>
        <v>30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1</v>
      </c>
      <c r="K62" s="50">
        <v>0</v>
      </c>
      <c r="L62" s="50">
        <v>0</v>
      </c>
      <c r="M62" s="50">
        <v>30</v>
      </c>
      <c r="N62" s="50">
        <v>0</v>
      </c>
      <c r="O62" s="15">
        <f t="shared" si="0"/>
        <v>1</v>
      </c>
      <c r="P62" s="15">
        <f t="shared" si="1"/>
        <v>31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1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19</v>
      </c>
      <c r="N63" s="50">
        <v>0</v>
      </c>
      <c r="O63" s="15">
        <f t="shared" si="0"/>
        <v>5</v>
      </c>
      <c r="P63" s="15">
        <f t="shared" si="1"/>
        <v>24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30</v>
      </c>
      <c r="N64" s="50">
        <v>0</v>
      </c>
      <c r="O64" s="15">
        <f t="shared" si="0"/>
        <v>1</v>
      </c>
      <c r="P64" s="15">
        <f t="shared" si="1"/>
        <v>31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20</v>
      </c>
      <c r="N65" s="50">
        <v>0</v>
      </c>
      <c r="O65" s="15">
        <f t="shared" si="0"/>
        <v>1</v>
      </c>
      <c r="P65" s="15">
        <f t="shared" si="1"/>
        <v>21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21</v>
      </c>
      <c r="N66" s="50">
        <v>0</v>
      </c>
      <c r="O66" s="15">
        <f t="shared" si="0"/>
        <v>1</v>
      </c>
      <c r="P66" s="15">
        <f t="shared" si="1"/>
        <v>22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1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18</v>
      </c>
      <c r="N67" s="50">
        <v>0</v>
      </c>
      <c r="O67" s="15">
        <f t="shared" si="0"/>
        <v>1</v>
      </c>
      <c r="P67" s="15">
        <f t="shared" si="1"/>
        <v>19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24</v>
      </c>
      <c r="N68" s="50">
        <v>0</v>
      </c>
      <c r="O68" s="15">
        <f t="shared" si="0"/>
        <v>1</v>
      </c>
      <c r="P68" s="15">
        <f t="shared" si="1"/>
        <v>25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30</v>
      </c>
      <c r="N69" s="50">
        <v>0</v>
      </c>
      <c r="O69" s="15">
        <f t="shared" si="0"/>
        <v>0</v>
      </c>
      <c r="P69" s="15">
        <f t="shared" si="1"/>
        <v>30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20</v>
      </c>
      <c r="N70" s="50">
        <v>0</v>
      </c>
      <c r="O70" s="15">
        <f t="shared" si="0"/>
        <v>2</v>
      </c>
      <c r="P70" s="15">
        <f t="shared" si="1"/>
        <v>22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10</v>
      </c>
      <c r="N71" s="50">
        <v>0</v>
      </c>
      <c r="O71" s="15">
        <f t="shared" si="0"/>
        <v>0</v>
      </c>
      <c r="P71" s="15">
        <f t="shared" si="1"/>
        <v>10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18</v>
      </c>
      <c r="N72" s="50">
        <v>0</v>
      </c>
      <c r="O72" s="15">
        <f t="shared" si="0"/>
        <v>0</v>
      </c>
      <c r="P72" s="15">
        <f t="shared" si="1"/>
        <v>18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11</v>
      </c>
      <c r="N73" s="50">
        <v>0</v>
      </c>
      <c r="O73" s="15">
        <f t="shared" si="0"/>
        <v>0</v>
      </c>
      <c r="P73" s="15">
        <f t="shared" si="1"/>
        <v>11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15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15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9</v>
      </c>
      <c r="N75" s="50">
        <v>0</v>
      </c>
      <c r="O75" s="15">
        <f t="shared" si="35"/>
        <v>0</v>
      </c>
      <c r="P75" s="15">
        <f t="shared" si="36"/>
        <v>9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18</v>
      </c>
      <c r="N76" s="50">
        <v>0</v>
      </c>
      <c r="O76" s="15">
        <f t="shared" si="35"/>
        <v>0</v>
      </c>
      <c r="P76" s="15">
        <f t="shared" si="36"/>
        <v>18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12</v>
      </c>
      <c r="N77" s="50">
        <v>0</v>
      </c>
      <c r="O77" s="15">
        <f t="shared" si="35"/>
        <v>1</v>
      </c>
      <c r="P77" s="15">
        <f t="shared" si="36"/>
        <v>13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6</v>
      </c>
      <c r="N78" s="50">
        <v>0</v>
      </c>
      <c r="O78" s="15">
        <f t="shared" si="35"/>
        <v>0</v>
      </c>
      <c r="P78" s="15">
        <f t="shared" si="36"/>
        <v>6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8</v>
      </c>
      <c r="N79" s="50">
        <v>0</v>
      </c>
      <c r="O79" s="15">
        <f t="shared" si="35"/>
        <v>0</v>
      </c>
      <c r="P79" s="15">
        <f t="shared" si="36"/>
        <v>8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6</v>
      </c>
      <c r="N80" s="50">
        <v>0</v>
      </c>
      <c r="O80" s="15">
        <f t="shared" si="35"/>
        <v>0</v>
      </c>
      <c r="P80" s="15">
        <f t="shared" si="36"/>
        <v>6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4</v>
      </c>
      <c r="N81" s="50">
        <v>0</v>
      </c>
      <c r="O81" s="15">
        <f t="shared" si="35"/>
        <v>0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0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</v>
      </c>
      <c r="N83" s="50">
        <v>0</v>
      </c>
      <c r="O83" s="15">
        <f t="shared" si="35"/>
        <v>0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3</v>
      </c>
      <c r="N87" s="50">
        <v>0</v>
      </c>
      <c r="O87" s="15">
        <f t="shared" si="35"/>
        <v>0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0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0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6</v>
      </c>
      <c r="N92" s="50">
        <v>0</v>
      </c>
      <c r="O92" s="15">
        <f t="shared" si="35"/>
        <v>0</v>
      </c>
      <c r="P92" s="15">
        <f t="shared" si="36"/>
        <v>6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1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5">
        <f t="shared" si="35"/>
        <v>0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5">
        <f t="shared" si="35"/>
        <v>1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0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3</v>
      </c>
      <c r="N97" s="50">
        <v>0</v>
      </c>
      <c r="O97" s="15">
        <f t="shared" si="35"/>
        <v>0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3</v>
      </c>
      <c r="N98" s="50">
        <v>0</v>
      </c>
      <c r="O98" s="15">
        <f t="shared" si="35"/>
        <v>0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1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1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3</v>
      </c>
      <c r="N101" s="50">
        <v>0</v>
      </c>
      <c r="O101" s="15">
        <f t="shared" si="35"/>
        <v>1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10</v>
      </c>
      <c r="N102" s="50">
        <v>0</v>
      </c>
      <c r="O102" s="15">
        <f t="shared" si="35"/>
        <v>0</v>
      </c>
      <c r="P102" s="15">
        <f t="shared" si="36"/>
        <v>10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14</v>
      </c>
      <c r="N103" s="50">
        <v>0</v>
      </c>
      <c r="O103" s="15">
        <f t="shared" si="35"/>
        <v>1</v>
      </c>
      <c r="P103" s="15">
        <f t="shared" si="36"/>
        <v>15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18</v>
      </c>
      <c r="N104" s="50">
        <v>0</v>
      </c>
      <c r="O104" s="15">
        <f t="shared" si="35"/>
        <v>0</v>
      </c>
      <c r="P104" s="15">
        <f t="shared" si="36"/>
        <v>18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1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19</v>
      </c>
      <c r="N105" s="50">
        <v>0</v>
      </c>
      <c r="O105" s="15">
        <f t="shared" si="35"/>
        <v>4</v>
      </c>
      <c r="P105" s="15">
        <f t="shared" si="36"/>
        <v>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26</v>
      </c>
      <c r="D106" s="16">
        <f t="shared" ref="D106:P106" si="37">SUM(D10:D105)</f>
        <v>16</v>
      </c>
      <c r="E106" s="16">
        <f t="shared" si="37"/>
        <v>3</v>
      </c>
      <c r="F106" s="16">
        <f t="shared" si="37"/>
        <v>7</v>
      </c>
      <c r="G106" s="16">
        <f t="shared" si="37"/>
        <v>0</v>
      </c>
      <c r="H106" s="16">
        <f t="shared" si="37"/>
        <v>0</v>
      </c>
      <c r="I106" s="16">
        <f t="shared" si="37"/>
        <v>2</v>
      </c>
      <c r="J106" s="16">
        <f t="shared" si="37"/>
        <v>3</v>
      </c>
      <c r="K106" s="16">
        <f t="shared" si="37"/>
        <v>0</v>
      </c>
      <c r="L106" s="16">
        <f t="shared" si="37"/>
        <v>0</v>
      </c>
      <c r="M106" s="16">
        <f t="shared" si="37"/>
        <v>1347</v>
      </c>
      <c r="N106" s="16">
        <f t="shared" si="37"/>
        <v>0</v>
      </c>
      <c r="O106" s="16">
        <f t="shared" si="37"/>
        <v>57</v>
      </c>
      <c r="P106" s="16">
        <f t="shared" si="37"/>
        <v>1404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1.8518518518518517E-2</v>
      </c>
      <c r="D107" s="43">
        <f t="shared" si="38"/>
        <v>1.1396011396011397E-2</v>
      </c>
      <c r="E107" s="43">
        <f t="shared" si="38"/>
        <v>2.136752136752137E-3</v>
      </c>
      <c r="F107" s="43">
        <f t="shared" si="38"/>
        <v>4.9857549857549857E-3</v>
      </c>
      <c r="G107" s="43">
        <f t="shared" si="38"/>
        <v>0</v>
      </c>
      <c r="H107" s="43">
        <f t="shared" si="38"/>
        <v>0</v>
      </c>
      <c r="I107" s="43">
        <f t="shared" si="38"/>
        <v>1.4245014245014246E-3</v>
      </c>
      <c r="J107" s="43">
        <f t="shared" si="38"/>
        <v>2.136752136752137E-3</v>
      </c>
      <c r="K107" s="43">
        <f t="shared" si="38"/>
        <v>0</v>
      </c>
      <c r="L107" s="43">
        <f t="shared" si="38"/>
        <v>0</v>
      </c>
      <c r="M107" s="43">
        <f t="shared" si="38"/>
        <v>0.95940170940170943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0.45614035087719296</v>
      </c>
      <c r="D108" s="44">
        <f t="shared" ref="D108:N108" si="39">D106/$O$106</f>
        <v>0.2807017543859649</v>
      </c>
      <c r="E108" s="44">
        <f t="shared" si="39"/>
        <v>5.2631578947368418E-2</v>
      </c>
      <c r="F108" s="44">
        <f t="shared" si="39"/>
        <v>0.12280701754385964</v>
      </c>
      <c r="G108" s="44">
        <f t="shared" si="39"/>
        <v>0</v>
      </c>
      <c r="H108" s="44">
        <f t="shared" si="39"/>
        <v>0</v>
      </c>
      <c r="I108" s="44">
        <f t="shared" si="39"/>
        <v>3.5087719298245612E-2</v>
      </c>
      <c r="J108" s="44">
        <f t="shared" si="39"/>
        <v>5.2631578947368418E-2</v>
      </c>
      <c r="K108" s="44">
        <f t="shared" si="39"/>
        <v>0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topLeftCell="A46" zoomScale="60" workbookViewId="0">
      <selection activeCell="I56" sqref="I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'23.09.19 -Munyonyo-Kigo'!C3:G3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180</v>
      </c>
      <c r="E5" s="3"/>
      <c r="F5" s="41" t="s">
        <v>1</v>
      </c>
      <c r="G5" s="70" t="str">
        <f>'25.09 Kigo-Munyonyo'!G5:H5</f>
        <v>LWEZA KAMUCHANGA</v>
      </c>
      <c r="H5" s="71"/>
      <c r="I5" s="14"/>
      <c r="J5" s="2" t="s">
        <v>5</v>
      </c>
      <c r="K5" s="70" t="s">
        <v>177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'23.09.19 -Munyonyo-Kigo'!D6:E6</f>
        <v>MUNYONYO</v>
      </c>
      <c r="E6" s="71"/>
      <c r="F6" s="2" t="s">
        <v>2</v>
      </c>
      <c r="G6" s="70" t="s">
        <v>170</v>
      </c>
      <c r="H6" s="71"/>
      <c r="J6" s="2" t="s">
        <v>21</v>
      </c>
      <c r="K6" s="70" t="str">
        <f>'25.09 Kigo-Munyonyo'!K6:L6</f>
        <v>Beatrice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1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25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32</v>
      </c>
      <c r="R10" s="1" t="s">
        <v>6</v>
      </c>
      <c r="S10" s="17">
        <f t="shared" ref="S10:AF10" si="2">SUM(C10:C13)</f>
        <v>9</v>
      </c>
      <c r="T10" s="17">
        <f t="shared" si="2"/>
        <v>7</v>
      </c>
      <c r="U10" s="17">
        <f t="shared" si="2"/>
        <v>3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102</v>
      </c>
      <c r="AD10" s="17">
        <f t="shared" si="2"/>
        <v>0</v>
      </c>
      <c r="AE10" s="31">
        <f t="shared" si="2"/>
        <v>24</v>
      </c>
      <c r="AF10" s="31">
        <f t="shared" si="2"/>
        <v>126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36</v>
      </c>
      <c r="N11" s="50">
        <v>0</v>
      </c>
      <c r="O11" s="15">
        <f t="shared" si="0"/>
        <v>5</v>
      </c>
      <c r="P11" s="15">
        <f t="shared" si="1"/>
        <v>41</v>
      </c>
      <c r="R11" s="1" t="s">
        <v>7</v>
      </c>
      <c r="S11" s="17">
        <f t="shared" ref="S11:AF11" si="3">SUM(C14:C17)</f>
        <v>5</v>
      </c>
      <c r="T11" s="17">
        <f t="shared" si="3"/>
        <v>1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90</v>
      </c>
      <c r="AD11" s="17">
        <f t="shared" si="3"/>
        <v>0</v>
      </c>
      <c r="AE11" s="31">
        <f t="shared" si="3"/>
        <v>12</v>
      </c>
      <c r="AF11" s="31">
        <f t="shared" si="3"/>
        <v>102</v>
      </c>
    </row>
    <row r="12" spans="2:32" ht="23.1" customHeight="1" x14ac:dyDescent="0.25">
      <c r="B12" s="23" t="s">
        <v>39</v>
      </c>
      <c r="C12" s="50">
        <v>2</v>
      </c>
      <c r="D12" s="50">
        <v>2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22</v>
      </c>
      <c r="N12" s="50">
        <v>0</v>
      </c>
      <c r="O12" s="15">
        <f t="shared" si="0"/>
        <v>5</v>
      </c>
      <c r="P12" s="15">
        <f t="shared" si="1"/>
        <v>27</v>
      </c>
      <c r="R12" s="1" t="s">
        <v>8</v>
      </c>
      <c r="S12" s="17">
        <f t="shared" ref="S12:AF12" si="4">SUM(C18:C21)</f>
        <v>7</v>
      </c>
      <c r="T12" s="17">
        <f t="shared" si="4"/>
        <v>2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88</v>
      </c>
      <c r="AD12" s="17">
        <f t="shared" si="4"/>
        <v>0</v>
      </c>
      <c r="AE12" s="31">
        <f t="shared" si="4"/>
        <v>13</v>
      </c>
      <c r="AF12" s="31">
        <f t="shared" si="4"/>
        <v>101</v>
      </c>
    </row>
    <row r="13" spans="2:32" ht="23.1" customHeight="1" x14ac:dyDescent="0.25">
      <c r="B13" s="23" t="s">
        <v>40</v>
      </c>
      <c r="C13" s="50">
        <v>3</v>
      </c>
      <c r="D13" s="50">
        <v>3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19</v>
      </c>
      <c r="N13" s="50">
        <v>0</v>
      </c>
      <c r="O13" s="15">
        <f t="shared" si="0"/>
        <v>7</v>
      </c>
      <c r="P13" s="15">
        <f t="shared" si="1"/>
        <v>26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74</v>
      </c>
      <c r="AD13" s="17">
        <f t="shared" si="5"/>
        <v>1</v>
      </c>
      <c r="AE13" s="31">
        <f t="shared" si="5"/>
        <v>12</v>
      </c>
      <c r="AF13" s="31">
        <f t="shared" si="5"/>
        <v>86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34</v>
      </c>
      <c r="N14" s="50">
        <v>0</v>
      </c>
      <c r="O14" s="15">
        <f t="shared" si="0"/>
        <v>5</v>
      </c>
      <c r="P14" s="15">
        <f t="shared" si="1"/>
        <v>39</v>
      </c>
      <c r="R14" s="1" t="s">
        <v>10</v>
      </c>
      <c r="S14" s="17">
        <f t="shared" ref="S14:AF14" si="6">SUM(C26:C29)</f>
        <v>12</v>
      </c>
      <c r="T14" s="17">
        <f t="shared" si="6"/>
        <v>0</v>
      </c>
      <c r="U14" s="17">
        <f t="shared" si="6"/>
        <v>2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100</v>
      </c>
      <c r="AD14" s="17">
        <f t="shared" si="6"/>
        <v>0</v>
      </c>
      <c r="AE14" s="31">
        <f t="shared" si="6"/>
        <v>18</v>
      </c>
      <c r="AF14" s="31">
        <f t="shared" si="6"/>
        <v>118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20</v>
      </c>
      <c r="N15" s="50">
        <v>0</v>
      </c>
      <c r="O15" s="15">
        <f t="shared" si="0"/>
        <v>3</v>
      </c>
      <c r="P15" s="15">
        <f t="shared" si="1"/>
        <v>23</v>
      </c>
      <c r="R15" s="1" t="s">
        <v>11</v>
      </c>
      <c r="S15" s="17">
        <f t="shared" ref="S15:AF15" si="7">SUM(C30:C33)</f>
        <v>5</v>
      </c>
      <c r="T15" s="17">
        <f t="shared" si="7"/>
        <v>1</v>
      </c>
      <c r="U15" s="17">
        <f t="shared" si="7"/>
        <v>0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94</v>
      </c>
      <c r="AD15" s="17">
        <f t="shared" si="7"/>
        <v>0</v>
      </c>
      <c r="AE15" s="31">
        <f t="shared" si="7"/>
        <v>9</v>
      </c>
      <c r="AF15" s="31">
        <f t="shared" si="7"/>
        <v>103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23</v>
      </c>
      <c r="N16" s="50">
        <v>0</v>
      </c>
      <c r="O16" s="15">
        <f t="shared" si="0"/>
        <v>3</v>
      </c>
      <c r="P16" s="15">
        <f t="shared" si="1"/>
        <v>26</v>
      </c>
      <c r="R16" s="1" t="s">
        <v>12</v>
      </c>
      <c r="S16" s="17">
        <f t="shared" ref="S16:AF16" si="8">SUM(C34:C37)</f>
        <v>8</v>
      </c>
      <c r="T16" s="17">
        <f t="shared" si="8"/>
        <v>0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91</v>
      </c>
      <c r="AD16" s="17">
        <f t="shared" si="8"/>
        <v>0</v>
      </c>
      <c r="AE16" s="31">
        <f t="shared" si="8"/>
        <v>18</v>
      </c>
      <c r="AF16" s="31">
        <f t="shared" si="8"/>
        <v>109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1</v>
      </c>
      <c r="P17" s="15">
        <f t="shared" si="1"/>
        <v>14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90</v>
      </c>
      <c r="AD17" s="17">
        <f t="shared" si="9"/>
        <v>0</v>
      </c>
      <c r="AE17" s="31">
        <f t="shared" si="9"/>
        <v>8</v>
      </c>
      <c r="AF17" s="31">
        <f t="shared" si="9"/>
        <v>98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25</v>
      </c>
      <c r="N18" s="50">
        <v>0</v>
      </c>
      <c r="O18" s="15">
        <f t="shared" si="0"/>
        <v>4</v>
      </c>
      <c r="P18" s="15">
        <f t="shared" si="1"/>
        <v>29</v>
      </c>
      <c r="R18" s="1" t="s">
        <v>14</v>
      </c>
      <c r="S18" s="17">
        <f t="shared" ref="S18:AF18" si="10">SUM(C42:C45)</f>
        <v>9</v>
      </c>
      <c r="T18" s="17">
        <f t="shared" si="10"/>
        <v>4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81</v>
      </c>
      <c r="AD18" s="17">
        <f t="shared" si="10"/>
        <v>0</v>
      </c>
      <c r="AE18" s="31">
        <f t="shared" si="10"/>
        <v>19</v>
      </c>
      <c r="AF18" s="31">
        <f t="shared" si="10"/>
        <v>100</v>
      </c>
    </row>
    <row r="19" spans="2:32" ht="23.1" customHeight="1" x14ac:dyDescent="0.25">
      <c r="B19" s="23" t="s">
        <v>46</v>
      </c>
      <c r="C19" s="50">
        <v>1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22</v>
      </c>
      <c r="N19" s="50">
        <v>0</v>
      </c>
      <c r="O19" s="15">
        <f t="shared" si="0"/>
        <v>3</v>
      </c>
      <c r="P19" s="15">
        <f t="shared" si="1"/>
        <v>25</v>
      </c>
      <c r="R19" s="1" t="s">
        <v>15</v>
      </c>
      <c r="S19" s="17">
        <f t="shared" ref="S19:AF19" si="11">SUM(C46:C49)</f>
        <v>13</v>
      </c>
      <c r="T19" s="17">
        <f t="shared" si="11"/>
        <v>3</v>
      </c>
      <c r="U19" s="17">
        <f t="shared" si="11"/>
        <v>4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72</v>
      </c>
      <c r="AD19" s="17">
        <f t="shared" si="11"/>
        <v>0</v>
      </c>
      <c r="AE19" s="31">
        <f t="shared" si="11"/>
        <v>27</v>
      </c>
      <c r="AF19" s="31">
        <f t="shared" si="11"/>
        <v>99</v>
      </c>
    </row>
    <row r="20" spans="2:32" ht="23.1" customHeight="1" x14ac:dyDescent="0.25">
      <c r="B20" s="23" t="s">
        <v>47</v>
      </c>
      <c r="C20" s="50">
        <v>1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23</v>
      </c>
      <c r="N20" s="50">
        <v>0</v>
      </c>
      <c r="O20" s="15">
        <f t="shared" si="0"/>
        <v>3</v>
      </c>
      <c r="P20" s="15">
        <f t="shared" si="1"/>
        <v>26</v>
      </c>
      <c r="R20" s="1" t="s">
        <v>16</v>
      </c>
      <c r="S20" s="17">
        <f t="shared" ref="S20:AF20" si="12">SUM(C50:C53)</f>
        <v>20</v>
      </c>
      <c r="T20" s="17">
        <f t="shared" si="12"/>
        <v>7</v>
      </c>
      <c r="U20" s="17">
        <f t="shared" si="12"/>
        <v>4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87</v>
      </c>
      <c r="AD20" s="17">
        <f t="shared" si="12"/>
        <v>0</v>
      </c>
      <c r="AE20" s="31">
        <f t="shared" si="12"/>
        <v>35</v>
      </c>
      <c r="AF20" s="31">
        <f t="shared" si="12"/>
        <v>122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18</v>
      </c>
      <c r="N21" s="50">
        <v>0</v>
      </c>
      <c r="O21" s="15">
        <f t="shared" si="0"/>
        <v>3</v>
      </c>
      <c r="P21" s="15">
        <f t="shared" si="1"/>
        <v>21</v>
      </c>
      <c r="R21" s="36" t="s">
        <v>20</v>
      </c>
      <c r="S21" s="34">
        <f t="shared" ref="S21:AF21" si="13">SUM(C54:C57)</f>
        <v>9</v>
      </c>
      <c r="T21" s="17">
        <f t="shared" si="13"/>
        <v>1</v>
      </c>
      <c r="U21" s="17">
        <f t="shared" si="13"/>
        <v>3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98</v>
      </c>
      <c r="AD21" s="17">
        <f t="shared" si="13"/>
        <v>0</v>
      </c>
      <c r="AE21" s="31">
        <f t="shared" si="13"/>
        <v>20</v>
      </c>
      <c r="AF21" s="31">
        <f t="shared" si="13"/>
        <v>118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7</v>
      </c>
      <c r="P22" s="15">
        <f t="shared" si="1"/>
        <v>25</v>
      </c>
      <c r="R22" s="38" t="s">
        <v>90</v>
      </c>
      <c r="S22" s="39">
        <f>MAX(S10:S12)</f>
        <v>9</v>
      </c>
      <c r="T22" s="39">
        <f t="shared" ref="T22:AF22" si="14">MAX(T10:T12)</f>
        <v>7</v>
      </c>
      <c r="U22" s="39">
        <f t="shared" si="14"/>
        <v>3</v>
      </c>
      <c r="V22" s="39">
        <f t="shared" si="14"/>
        <v>3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102</v>
      </c>
      <c r="AD22" s="39">
        <f t="shared" si="14"/>
        <v>0</v>
      </c>
      <c r="AE22" s="40">
        <f t="shared" si="14"/>
        <v>24</v>
      </c>
      <c r="AF22" s="40">
        <f t="shared" si="14"/>
        <v>126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17</v>
      </c>
      <c r="N23" s="50">
        <v>0</v>
      </c>
      <c r="O23" s="15">
        <f t="shared" si="0"/>
        <v>1</v>
      </c>
      <c r="P23" s="15">
        <f t="shared" si="1"/>
        <v>18</v>
      </c>
      <c r="R23" s="38" t="s">
        <v>91</v>
      </c>
      <c r="S23" s="39">
        <f>MAX(S13:S18)</f>
        <v>12</v>
      </c>
      <c r="T23" s="39">
        <f t="shared" ref="T23:AF23" si="15">MAX(T13:T18)</f>
        <v>4</v>
      </c>
      <c r="U23" s="39">
        <f t="shared" si="15"/>
        <v>4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100</v>
      </c>
      <c r="AD23" s="39">
        <f t="shared" si="15"/>
        <v>1</v>
      </c>
      <c r="AE23" s="40">
        <f t="shared" si="15"/>
        <v>19</v>
      </c>
      <c r="AF23" s="40">
        <f t="shared" si="15"/>
        <v>118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22</v>
      </c>
      <c r="N24" s="50">
        <v>1</v>
      </c>
      <c r="O24" s="15">
        <f t="shared" si="0"/>
        <v>2</v>
      </c>
      <c r="P24" s="15">
        <f t="shared" si="1"/>
        <v>24</v>
      </c>
      <c r="R24" s="38" t="s">
        <v>92</v>
      </c>
      <c r="S24" s="39">
        <f>MAX(S19:S21)</f>
        <v>20</v>
      </c>
      <c r="T24" s="39">
        <f t="shared" ref="T24:AF24" si="16">MAX(T19:T21)</f>
        <v>7</v>
      </c>
      <c r="U24" s="39">
        <f t="shared" si="16"/>
        <v>4</v>
      </c>
      <c r="V24" s="39">
        <f t="shared" si="16"/>
        <v>4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98</v>
      </c>
      <c r="AD24" s="39">
        <f t="shared" si="16"/>
        <v>0</v>
      </c>
      <c r="AE24" s="40">
        <f t="shared" si="16"/>
        <v>35</v>
      </c>
      <c r="AF24" s="40">
        <f t="shared" si="16"/>
        <v>122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17</v>
      </c>
      <c r="N25" s="50">
        <v>0</v>
      </c>
      <c r="O25" s="15">
        <f t="shared" si="0"/>
        <v>2</v>
      </c>
      <c r="P25" s="15">
        <f t="shared" si="1"/>
        <v>19</v>
      </c>
      <c r="R25" s="37" t="s">
        <v>85</v>
      </c>
      <c r="S25" s="35">
        <f t="shared" ref="S25:AF25" si="17">SUM(S10:S12)</f>
        <v>21</v>
      </c>
      <c r="T25" s="16">
        <f t="shared" si="17"/>
        <v>10</v>
      </c>
      <c r="U25" s="16">
        <f t="shared" si="17"/>
        <v>6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280</v>
      </c>
      <c r="AD25" s="16">
        <f t="shared" si="17"/>
        <v>0</v>
      </c>
      <c r="AE25" s="32">
        <f t="shared" si="17"/>
        <v>49</v>
      </c>
      <c r="AF25" s="32">
        <f t="shared" si="17"/>
        <v>329</v>
      </c>
    </row>
    <row r="26" spans="2:32" ht="23.1" customHeight="1" x14ac:dyDescent="0.25">
      <c r="B26" s="23" t="s">
        <v>53</v>
      </c>
      <c r="C26" s="50">
        <v>9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23</v>
      </c>
      <c r="N26" s="50">
        <v>0</v>
      </c>
      <c r="O26" s="15">
        <f t="shared" si="0"/>
        <v>11</v>
      </c>
      <c r="P26" s="15">
        <f t="shared" si="1"/>
        <v>34</v>
      </c>
      <c r="R26" s="28" t="s">
        <v>86</v>
      </c>
      <c r="S26" s="16">
        <f t="shared" ref="S26:AF26" si="18">SUM(S13:S18)</f>
        <v>46</v>
      </c>
      <c r="T26" s="16">
        <f t="shared" si="18"/>
        <v>5</v>
      </c>
      <c r="U26" s="16">
        <f t="shared" si="18"/>
        <v>10</v>
      </c>
      <c r="V26" s="16">
        <f t="shared" si="18"/>
        <v>6</v>
      </c>
      <c r="W26" s="16">
        <f t="shared" si="18"/>
        <v>0</v>
      </c>
      <c r="X26" s="16">
        <f t="shared" si="18"/>
        <v>0</v>
      </c>
      <c r="Y26" s="16">
        <f t="shared" si="18"/>
        <v>13</v>
      </c>
      <c r="Z26" s="16">
        <f t="shared" si="18"/>
        <v>3</v>
      </c>
      <c r="AA26" s="16">
        <f t="shared" si="18"/>
        <v>0</v>
      </c>
      <c r="AB26" s="16">
        <f t="shared" si="18"/>
        <v>0</v>
      </c>
      <c r="AC26" s="16">
        <f t="shared" si="18"/>
        <v>530</v>
      </c>
      <c r="AD26" s="16">
        <f t="shared" si="18"/>
        <v>1</v>
      </c>
      <c r="AE26" s="32">
        <f t="shared" si="18"/>
        <v>84</v>
      </c>
      <c r="AF26" s="32">
        <f t="shared" si="18"/>
        <v>614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26</v>
      </c>
      <c r="N27" s="50">
        <v>0</v>
      </c>
      <c r="O27" s="15">
        <f t="shared" si="0"/>
        <v>2</v>
      </c>
      <c r="P27" s="15">
        <f t="shared" si="1"/>
        <v>28</v>
      </c>
      <c r="R27" s="29" t="s">
        <v>87</v>
      </c>
      <c r="S27" s="16">
        <f t="shared" ref="S27:AF27" si="19">SUM(S19:S21)</f>
        <v>42</v>
      </c>
      <c r="T27" s="16">
        <f t="shared" si="19"/>
        <v>11</v>
      </c>
      <c r="U27" s="16">
        <f t="shared" si="19"/>
        <v>11</v>
      </c>
      <c r="V27" s="16">
        <f t="shared" si="19"/>
        <v>10</v>
      </c>
      <c r="W27" s="16">
        <f t="shared" si="19"/>
        <v>0</v>
      </c>
      <c r="X27" s="16">
        <f t="shared" si="19"/>
        <v>0</v>
      </c>
      <c r="Y27" s="16">
        <f t="shared" si="19"/>
        <v>6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257</v>
      </c>
      <c r="AD27" s="16">
        <f t="shared" si="19"/>
        <v>0</v>
      </c>
      <c r="AE27" s="32">
        <f t="shared" si="19"/>
        <v>82</v>
      </c>
      <c r="AF27" s="32">
        <f t="shared" si="19"/>
        <v>339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22</v>
      </c>
      <c r="N28" s="50">
        <v>0</v>
      </c>
      <c r="O28" s="15">
        <f t="shared" si="0"/>
        <v>1</v>
      </c>
      <c r="P28" s="15">
        <f t="shared" si="1"/>
        <v>23</v>
      </c>
      <c r="R28" s="5" t="s">
        <v>17</v>
      </c>
      <c r="S28" s="16">
        <f t="shared" ref="S28:AF28" si="20">SUM(S10:S21)</f>
        <v>109</v>
      </c>
      <c r="T28" s="16">
        <f t="shared" si="20"/>
        <v>26</v>
      </c>
      <c r="U28" s="16">
        <f t="shared" si="20"/>
        <v>27</v>
      </c>
      <c r="V28" s="16">
        <f t="shared" si="20"/>
        <v>20</v>
      </c>
      <c r="W28" s="16">
        <f t="shared" si="20"/>
        <v>0</v>
      </c>
      <c r="X28" s="16">
        <f t="shared" si="20"/>
        <v>0</v>
      </c>
      <c r="Y28" s="16">
        <f t="shared" si="20"/>
        <v>26</v>
      </c>
      <c r="Z28" s="16">
        <f t="shared" si="20"/>
        <v>6</v>
      </c>
      <c r="AA28" s="16">
        <f t="shared" si="20"/>
        <v>0</v>
      </c>
      <c r="AB28" s="16">
        <f t="shared" si="20"/>
        <v>0</v>
      </c>
      <c r="AC28" s="16">
        <f t="shared" si="20"/>
        <v>1067</v>
      </c>
      <c r="AD28" s="16">
        <f t="shared" si="20"/>
        <v>1</v>
      </c>
      <c r="AE28" s="32">
        <f t="shared" si="20"/>
        <v>215</v>
      </c>
      <c r="AF28" s="32">
        <f t="shared" si="20"/>
        <v>1282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29</v>
      </c>
      <c r="N29" s="50">
        <v>0</v>
      </c>
      <c r="O29" s="15">
        <f t="shared" si="0"/>
        <v>4</v>
      </c>
      <c r="P29" s="15">
        <f t="shared" si="1"/>
        <v>33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17</v>
      </c>
      <c r="N30" s="50">
        <v>0</v>
      </c>
      <c r="O30" s="15">
        <f t="shared" si="0"/>
        <v>1</v>
      </c>
      <c r="P30" s="15">
        <f t="shared" si="1"/>
        <v>18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2</v>
      </c>
      <c r="P31" s="15">
        <f t="shared" si="1"/>
        <v>18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30</v>
      </c>
      <c r="N32" s="50">
        <v>0</v>
      </c>
      <c r="O32" s="15">
        <f t="shared" si="0"/>
        <v>3</v>
      </c>
      <c r="P32" s="15">
        <f t="shared" si="1"/>
        <v>33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31</v>
      </c>
      <c r="N33" s="50">
        <v>0</v>
      </c>
      <c r="O33" s="15">
        <f t="shared" si="0"/>
        <v>3</v>
      </c>
      <c r="P33" s="15">
        <f t="shared" si="1"/>
        <v>34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5</v>
      </c>
      <c r="P34" s="15">
        <f t="shared" si="1"/>
        <v>24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30</v>
      </c>
      <c r="N35" s="50">
        <v>0</v>
      </c>
      <c r="O35" s="15">
        <f t="shared" si="0"/>
        <v>3</v>
      </c>
      <c r="P35" s="15">
        <f t="shared" si="1"/>
        <v>33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27</v>
      </c>
      <c r="N36" s="50">
        <v>0</v>
      </c>
      <c r="O36" s="15">
        <f t="shared" si="0"/>
        <v>4</v>
      </c>
      <c r="P36" s="15">
        <f t="shared" si="1"/>
        <v>31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15</v>
      </c>
      <c r="N37" s="50">
        <v>0</v>
      </c>
      <c r="O37" s="15">
        <f t="shared" si="0"/>
        <v>6</v>
      </c>
      <c r="P37" s="15">
        <f t="shared" si="1"/>
        <v>21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19</v>
      </c>
      <c r="N38" s="50">
        <v>0</v>
      </c>
      <c r="O38" s="15">
        <f t="shared" si="0"/>
        <v>3</v>
      </c>
      <c r="P38" s="15">
        <f t="shared" si="1"/>
        <v>22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27</v>
      </c>
      <c r="N39" s="50">
        <v>0</v>
      </c>
      <c r="O39" s="15">
        <f t="shared" si="0"/>
        <v>2</v>
      </c>
      <c r="P39" s="15">
        <f t="shared" si="1"/>
        <v>29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26</v>
      </c>
      <c r="N40" s="50">
        <v>0</v>
      </c>
      <c r="O40" s="15">
        <f t="shared" si="0"/>
        <v>1</v>
      </c>
      <c r="P40" s="15">
        <f t="shared" si="1"/>
        <v>27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18</v>
      </c>
      <c r="N41" s="50">
        <v>0</v>
      </c>
      <c r="O41" s="15">
        <f t="shared" si="0"/>
        <v>2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0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17</v>
      </c>
      <c r="N43" s="50">
        <v>0</v>
      </c>
      <c r="O43" s="15">
        <f t="shared" si="0"/>
        <v>5</v>
      </c>
      <c r="P43" s="15">
        <f t="shared" si="1"/>
        <v>22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26</v>
      </c>
      <c r="N44" s="50">
        <v>0</v>
      </c>
      <c r="O44" s="15">
        <f t="shared" si="0"/>
        <v>5</v>
      </c>
      <c r="P44" s="15">
        <f t="shared" si="1"/>
        <v>31</v>
      </c>
    </row>
    <row r="45" spans="2:20" ht="23.1" customHeight="1" x14ac:dyDescent="0.25">
      <c r="B45" s="23" t="s">
        <v>72</v>
      </c>
      <c r="C45" s="50">
        <v>2</v>
      </c>
      <c r="D45" s="50">
        <v>4</v>
      </c>
      <c r="E45" s="50">
        <v>2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9</v>
      </c>
      <c r="P45" s="15">
        <f t="shared" si="1"/>
        <v>34</v>
      </c>
    </row>
    <row r="46" spans="2:20" ht="23.1" customHeight="1" x14ac:dyDescent="0.25">
      <c r="B46" s="24" t="s">
        <v>73</v>
      </c>
      <c r="C46" s="50">
        <v>4</v>
      </c>
      <c r="D46" s="50">
        <v>2</v>
      </c>
      <c r="E46" s="50">
        <v>0</v>
      </c>
      <c r="F46" s="50">
        <v>1</v>
      </c>
      <c r="G46" s="50">
        <v>0</v>
      </c>
      <c r="H46" s="50">
        <v>0</v>
      </c>
      <c r="I46" s="50">
        <v>0</v>
      </c>
      <c r="J46" s="50">
        <v>2</v>
      </c>
      <c r="K46" s="50">
        <v>0</v>
      </c>
      <c r="L46" s="50">
        <v>0</v>
      </c>
      <c r="M46" s="50">
        <v>13</v>
      </c>
      <c r="N46" s="50">
        <v>0</v>
      </c>
      <c r="O46" s="15">
        <f t="shared" si="0"/>
        <v>9</v>
      </c>
      <c r="P46" s="15">
        <f t="shared" si="1"/>
        <v>22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3</v>
      </c>
      <c r="P47" s="15">
        <f t="shared" si="1"/>
        <v>15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3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23</v>
      </c>
      <c r="N48" s="50">
        <v>0</v>
      </c>
      <c r="O48" s="15">
        <f t="shared" si="0"/>
        <v>7</v>
      </c>
      <c r="P48" s="15">
        <f t="shared" si="1"/>
        <v>30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24</v>
      </c>
      <c r="N49" s="50">
        <v>0</v>
      </c>
      <c r="O49" s="15">
        <f t="shared" si="0"/>
        <v>8</v>
      </c>
      <c r="P49" s="15">
        <f t="shared" si="1"/>
        <v>32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4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24</v>
      </c>
      <c r="N50" s="50">
        <v>0</v>
      </c>
      <c r="O50" s="15">
        <f t="shared" si="0"/>
        <v>11</v>
      </c>
      <c r="P50" s="15">
        <f t="shared" si="1"/>
        <v>35</v>
      </c>
      <c r="R50" s="8"/>
      <c r="T50"/>
    </row>
    <row r="51" spans="2:20" ht="23.1" customHeight="1" x14ac:dyDescent="0.25">
      <c r="B51" s="24" t="s">
        <v>78</v>
      </c>
      <c r="C51" s="50">
        <v>9</v>
      </c>
      <c r="D51" s="50">
        <v>2</v>
      </c>
      <c r="E51" s="50">
        <v>2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26</v>
      </c>
      <c r="N51" s="50">
        <v>0</v>
      </c>
      <c r="O51" s="15">
        <f t="shared" si="0"/>
        <v>15</v>
      </c>
      <c r="P51" s="15">
        <f t="shared" si="1"/>
        <v>41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5</v>
      </c>
      <c r="P52" s="15">
        <f t="shared" si="1"/>
        <v>23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19</v>
      </c>
      <c r="N53" s="50">
        <v>0</v>
      </c>
      <c r="O53" s="15">
        <f t="shared" si="0"/>
        <v>4</v>
      </c>
      <c r="P53" s="15">
        <f t="shared" si="1"/>
        <v>23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29</v>
      </c>
      <c r="N54" s="50">
        <v>0</v>
      </c>
      <c r="O54" s="15">
        <f t="shared" si="0"/>
        <v>8</v>
      </c>
      <c r="P54" s="15">
        <f t="shared" si="1"/>
        <v>37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25</v>
      </c>
      <c r="N55" s="50">
        <v>0</v>
      </c>
      <c r="O55" s="15">
        <f t="shared" si="0"/>
        <v>6</v>
      </c>
      <c r="P55" s="15">
        <f t="shared" si="1"/>
        <v>31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1</v>
      </c>
      <c r="F56" s="50">
        <v>2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24</v>
      </c>
      <c r="N56" s="50">
        <v>0</v>
      </c>
      <c r="O56" s="15">
        <f t="shared" si="0"/>
        <v>6</v>
      </c>
      <c r="P56" s="15">
        <f t="shared" si="1"/>
        <v>30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0</v>
      </c>
      <c r="P57" s="15">
        <f t="shared" si="1"/>
        <v>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109</v>
      </c>
      <c r="D58" s="16">
        <f t="shared" si="21"/>
        <v>26</v>
      </c>
      <c r="E58" s="16">
        <f t="shared" si="21"/>
        <v>27</v>
      </c>
      <c r="F58" s="16">
        <f t="shared" si="21"/>
        <v>20</v>
      </c>
      <c r="G58" s="16">
        <f t="shared" si="21"/>
        <v>0</v>
      </c>
      <c r="H58" s="16">
        <f t="shared" si="21"/>
        <v>0</v>
      </c>
      <c r="I58" s="16">
        <f t="shared" si="21"/>
        <v>26</v>
      </c>
      <c r="J58" s="16">
        <f t="shared" si="21"/>
        <v>6</v>
      </c>
      <c r="K58" s="16">
        <f t="shared" si="21"/>
        <v>0</v>
      </c>
      <c r="L58" s="16">
        <f t="shared" si="21"/>
        <v>0</v>
      </c>
      <c r="M58" s="16">
        <f t="shared" si="21"/>
        <v>1067</v>
      </c>
      <c r="N58" s="16">
        <f t="shared" si="21"/>
        <v>1</v>
      </c>
      <c r="O58" s="16">
        <f t="shared" si="21"/>
        <v>215</v>
      </c>
      <c r="P58" s="16">
        <f t="shared" si="21"/>
        <v>1282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8.5023400936037441E-2</v>
      </c>
      <c r="D59" s="43">
        <f t="shared" si="22"/>
        <v>2.0280811232449299E-2</v>
      </c>
      <c r="E59" s="43">
        <f t="shared" si="22"/>
        <v>2.1060842433697349E-2</v>
      </c>
      <c r="F59" s="43">
        <f t="shared" si="22"/>
        <v>1.5600624024960999E-2</v>
      </c>
      <c r="G59" s="43">
        <f t="shared" si="22"/>
        <v>0</v>
      </c>
      <c r="H59" s="43">
        <f t="shared" si="22"/>
        <v>0</v>
      </c>
      <c r="I59" s="43">
        <f t="shared" si="22"/>
        <v>2.0280811232449299E-2</v>
      </c>
      <c r="J59" s="43">
        <f t="shared" si="22"/>
        <v>4.6801872074882997E-3</v>
      </c>
      <c r="K59" s="43">
        <f t="shared" si="22"/>
        <v>0</v>
      </c>
      <c r="L59" s="43">
        <f t="shared" si="22"/>
        <v>0</v>
      </c>
      <c r="M59" s="43">
        <f t="shared" si="22"/>
        <v>0.83229329173166922</v>
      </c>
      <c r="N59" s="43">
        <f t="shared" si="22"/>
        <v>7.8003120124804995E-4</v>
      </c>
      <c r="R59" s="8"/>
      <c r="T59"/>
    </row>
    <row r="60" spans="2:20" ht="23.1" customHeight="1" x14ac:dyDescent="0.25">
      <c r="B60" s="42" t="s">
        <v>94</v>
      </c>
      <c r="C60" s="44">
        <f>C58/$O$58</f>
        <v>0.50697674418604655</v>
      </c>
      <c r="D60" s="44">
        <f t="shared" ref="D60:N60" si="23">D58/$O$58</f>
        <v>0.12093023255813953</v>
      </c>
      <c r="E60" s="44">
        <f t="shared" si="23"/>
        <v>0.12558139534883722</v>
      </c>
      <c r="F60" s="44">
        <f t="shared" si="23"/>
        <v>9.3023255813953487E-2</v>
      </c>
      <c r="G60" s="44">
        <f t="shared" si="23"/>
        <v>0</v>
      </c>
      <c r="H60" s="44">
        <f t="shared" si="23"/>
        <v>0</v>
      </c>
      <c r="I60" s="44">
        <f t="shared" si="23"/>
        <v>0.12093023255813953</v>
      </c>
      <c r="J60" s="44">
        <f t="shared" si="23"/>
        <v>2.7906976744186046E-2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4.6511627906976744E-3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N65" sqref="N65:N6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'23.09.19 -Kigo-Munyonyo'!C3:G3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'27.09 Munyonyo-LWEZA'!D5</f>
        <v>27.09.19</v>
      </c>
      <c r="E5" s="3"/>
      <c r="F5" s="41" t="s">
        <v>1</v>
      </c>
      <c r="G5" s="70" t="str">
        <f>'27.09 Munyonyo-LWEZA'!G5:H5</f>
        <v>LWEZA KAMUCHANGA</v>
      </c>
      <c r="H5" s="71"/>
      <c r="I5" s="14"/>
      <c r="J5" s="2" t="s">
        <v>5</v>
      </c>
      <c r="K5" s="70" t="s">
        <v>181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175</v>
      </c>
      <c r="E6" s="71"/>
      <c r="F6" s="2" t="s">
        <v>2</v>
      </c>
      <c r="G6" s="70" t="str">
        <f>'23.09.19 -Kigo-Munyonyo'!G6:H6</f>
        <v>MUNYONYO</v>
      </c>
      <c r="H6" s="71"/>
      <c r="J6" s="2" t="s">
        <v>21</v>
      </c>
      <c r="K6" s="70" t="str">
        <f>'27.09 Munyonyo-LWEZA'!K6:L6</f>
        <v>Beatrice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21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23</v>
      </c>
      <c r="R10" s="1" t="s">
        <v>6</v>
      </c>
      <c r="S10" s="17">
        <f t="shared" ref="S10:AF10" si="2">SUM(C10:C13)</f>
        <v>0</v>
      </c>
      <c r="T10" s="17">
        <f t="shared" si="2"/>
        <v>2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109</v>
      </c>
      <c r="AD10" s="17">
        <f t="shared" si="2"/>
        <v>0</v>
      </c>
      <c r="AE10" s="31">
        <f t="shared" si="2"/>
        <v>4</v>
      </c>
      <c r="AF10" s="31">
        <f t="shared" si="2"/>
        <v>113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36</v>
      </c>
      <c r="N11" s="50">
        <v>0</v>
      </c>
      <c r="O11" s="15">
        <f t="shared" si="0"/>
        <v>0</v>
      </c>
      <c r="P11" s="15">
        <f t="shared" si="1"/>
        <v>36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85</v>
      </c>
      <c r="AD11" s="17">
        <f t="shared" si="3"/>
        <v>0</v>
      </c>
      <c r="AE11" s="31">
        <f t="shared" si="3"/>
        <v>5</v>
      </c>
      <c r="AF11" s="31">
        <f t="shared" si="3"/>
        <v>90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30</v>
      </c>
      <c r="N12" s="50">
        <v>0</v>
      </c>
      <c r="O12" s="15">
        <f t="shared" si="0"/>
        <v>0</v>
      </c>
      <c r="P12" s="15">
        <f t="shared" si="1"/>
        <v>30</v>
      </c>
      <c r="R12" s="1" t="s">
        <v>8</v>
      </c>
      <c r="S12" s="17">
        <f t="shared" ref="S12:AF12" si="4">SUM(C18:C21)</f>
        <v>0</v>
      </c>
      <c r="T12" s="17">
        <f t="shared" si="4"/>
        <v>2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94</v>
      </c>
      <c r="AD12" s="17">
        <f t="shared" si="4"/>
        <v>0</v>
      </c>
      <c r="AE12" s="31">
        <f t="shared" si="4"/>
        <v>2</v>
      </c>
      <c r="AF12" s="31">
        <f t="shared" si="4"/>
        <v>96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22</v>
      </c>
      <c r="N13" s="50">
        <v>0</v>
      </c>
      <c r="O13" s="15">
        <f t="shared" si="0"/>
        <v>2</v>
      </c>
      <c r="P13" s="15">
        <f t="shared" si="1"/>
        <v>24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74</v>
      </c>
      <c r="AD13" s="17">
        <f t="shared" si="5"/>
        <v>0</v>
      </c>
      <c r="AE13" s="31">
        <f t="shared" si="5"/>
        <v>2</v>
      </c>
      <c r="AF13" s="31">
        <f t="shared" si="5"/>
        <v>76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28</v>
      </c>
      <c r="N14" s="50">
        <v>0</v>
      </c>
      <c r="O14" s="15">
        <f t="shared" si="0"/>
        <v>1</v>
      </c>
      <c r="P14" s="15">
        <f t="shared" si="1"/>
        <v>29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80</v>
      </c>
      <c r="AD14" s="17">
        <f t="shared" si="6"/>
        <v>0</v>
      </c>
      <c r="AE14" s="31">
        <f t="shared" si="6"/>
        <v>3</v>
      </c>
      <c r="AF14" s="31">
        <f t="shared" si="6"/>
        <v>83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0</v>
      </c>
      <c r="P15" s="15">
        <f t="shared" si="1"/>
        <v>10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77</v>
      </c>
      <c r="AD15" s="17">
        <f t="shared" si="7"/>
        <v>0</v>
      </c>
      <c r="AE15" s="31">
        <f t="shared" si="7"/>
        <v>5</v>
      </c>
      <c r="AF15" s="31">
        <f t="shared" si="7"/>
        <v>82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3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22</v>
      </c>
      <c r="N16" s="50">
        <v>0</v>
      </c>
      <c r="O16" s="15">
        <f t="shared" si="0"/>
        <v>4</v>
      </c>
      <c r="P16" s="15">
        <f t="shared" si="1"/>
        <v>26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62</v>
      </c>
      <c r="AD16" s="17">
        <f t="shared" si="8"/>
        <v>0</v>
      </c>
      <c r="AE16" s="31">
        <f t="shared" si="8"/>
        <v>3</v>
      </c>
      <c r="AF16" s="31">
        <f t="shared" si="8"/>
        <v>65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25</v>
      </c>
      <c r="N17" s="50">
        <v>0</v>
      </c>
      <c r="O17" s="15">
        <f t="shared" si="0"/>
        <v>0</v>
      </c>
      <c r="P17" s="15">
        <f t="shared" si="1"/>
        <v>25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60</v>
      </c>
      <c r="AD17" s="17">
        <f t="shared" si="9"/>
        <v>0</v>
      </c>
      <c r="AE17" s="31">
        <f t="shared" si="9"/>
        <v>1</v>
      </c>
      <c r="AF17" s="31">
        <f t="shared" si="9"/>
        <v>61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24</v>
      </c>
      <c r="N18" s="50">
        <v>0</v>
      </c>
      <c r="O18" s="15">
        <f t="shared" si="0"/>
        <v>0</v>
      </c>
      <c r="P18" s="15">
        <f t="shared" si="1"/>
        <v>24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1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44</v>
      </c>
      <c r="AD18" s="17">
        <f t="shared" si="10"/>
        <v>0</v>
      </c>
      <c r="AE18" s="31">
        <f t="shared" si="10"/>
        <v>3</v>
      </c>
      <c r="AF18" s="31">
        <f t="shared" si="10"/>
        <v>47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30</v>
      </c>
      <c r="N19" s="50">
        <v>0</v>
      </c>
      <c r="O19" s="15">
        <f t="shared" si="0"/>
        <v>0</v>
      </c>
      <c r="P19" s="15">
        <f t="shared" si="1"/>
        <v>30</v>
      </c>
      <c r="R19" s="1" t="s">
        <v>15</v>
      </c>
      <c r="S19" s="17">
        <f t="shared" ref="S19:AF19" si="11">SUM(C46:C49)</f>
        <v>2</v>
      </c>
      <c r="T19" s="17">
        <f t="shared" si="11"/>
        <v>9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69</v>
      </c>
      <c r="AD19" s="17">
        <f t="shared" si="11"/>
        <v>0</v>
      </c>
      <c r="AE19" s="31">
        <f t="shared" si="11"/>
        <v>12</v>
      </c>
      <c r="AF19" s="31">
        <f t="shared" si="11"/>
        <v>81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25</v>
      </c>
      <c r="N20" s="50">
        <v>0</v>
      </c>
      <c r="O20" s="15">
        <f t="shared" si="0"/>
        <v>1</v>
      </c>
      <c r="P20" s="15">
        <f t="shared" si="1"/>
        <v>26</v>
      </c>
      <c r="R20" s="1" t="s">
        <v>16</v>
      </c>
      <c r="S20" s="17">
        <f t="shared" ref="S20:AF20" si="12">SUM(C50:C53)</f>
        <v>2</v>
      </c>
      <c r="T20" s="17">
        <f t="shared" si="12"/>
        <v>1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73</v>
      </c>
      <c r="AD20" s="17">
        <f t="shared" si="12"/>
        <v>0</v>
      </c>
      <c r="AE20" s="31">
        <f t="shared" si="12"/>
        <v>4</v>
      </c>
      <c r="AF20" s="31">
        <f t="shared" si="12"/>
        <v>77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1</v>
      </c>
      <c r="P21" s="15">
        <f t="shared" si="1"/>
        <v>16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90</v>
      </c>
      <c r="AD21" s="17">
        <f t="shared" si="13"/>
        <v>0</v>
      </c>
      <c r="AE21" s="31">
        <f t="shared" si="13"/>
        <v>6</v>
      </c>
      <c r="AF21" s="31">
        <f t="shared" si="13"/>
        <v>96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0</v>
      </c>
      <c r="P22" s="15">
        <f t="shared" si="1"/>
        <v>15</v>
      </c>
      <c r="R22" s="38" t="s">
        <v>90</v>
      </c>
      <c r="S22" s="39">
        <f>MAX(S10:S12)</f>
        <v>1</v>
      </c>
      <c r="T22" s="39">
        <f t="shared" ref="T22:AF22" si="14">MAX(T10:T12)</f>
        <v>2</v>
      </c>
      <c r="U22" s="39">
        <f t="shared" si="14"/>
        <v>3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1</v>
      </c>
      <c r="AA22" s="39">
        <f t="shared" si="14"/>
        <v>1</v>
      </c>
      <c r="AB22" s="39">
        <f t="shared" si="14"/>
        <v>0</v>
      </c>
      <c r="AC22" s="39">
        <f t="shared" si="14"/>
        <v>109</v>
      </c>
      <c r="AD22" s="39">
        <f t="shared" si="14"/>
        <v>0</v>
      </c>
      <c r="AE22" s="40">
        <f t="shared" si="14"/>
        <v>5</v>
      </c>
      <c r="AF22" s="40">
        <f t="shared" si="14"/>
        <v>113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26</v>
      </c>
      <c r="N23" s="50">
        <v>0</v>
      </c>
      <c r="O23" s="15">
        <f t="shared" si="0"/>
        <v>1</v>
      </c>
      <c r="P23" s="15">
        <f t="shared" si="1"/>
        <v>27</v>
      </c>
      <c r="R23" s="38" t="s">
        <v>91</v>
      </c>
      <c r="S23" s="39">
        <f>MAX(S13:S18)</f>
        <v>2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0</v>
      </c>
      <c r="AA23" s="39">
        <f t="shared" si="15"/>
        <v>1</v>
      </c>
      <c r="AB23" s="39">
        <f t="shared" si="15"/>
        <v>0</v>
      </c>
      <c r="AC23" s="39">
        <f t="shared" si="15"/>
        <v>80</v>
      </c>
      <c r="AD23" s="39">
        <f t="shared" si="15"/>
        <v>0</v>
      </c>
      <c r="AE23" s="40">
        <f t="shared" si="15"/>
        <v>5</v>
      </c>
      <c r="AF23" s="40">
        <f t="shared" si="15"/>
        <v>83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19</v>
      </c>
      <c r="N24" s="50">
        <v>0</v>
      </c>
      <c r="O24" s="15">
        <f t="shared" si="0"/>
        <v>0</v>
      </c>
      <c r="P24" s="15">
        <f t="shared" si="1"/>
        <v>19</v>
      </c>
      <c r="R24" s="38" t="s">
        <v>92</v>
      </c>
      <c r="S24" s="39">
        <f>MAX(S19:S21)</f>
        <v>2</v>
      </c>
      <c r="T24" s="39">
        <f t="shared" ref="T24:AF24" si="16">MAX(T19:T21)</f>
        <v>9</v>
      </c>
      <c r="U24" s="39">
        <f t="shared" si="16"/>
        <v>0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0</v>
      </c>
      <c r="AA24" s="39">
        <f t="shared" si="16"/>
        <v>1</v>
      </c>
      <c r="AB24" s="39">
        <f t="shared" si="16"/>
        <v>0</v>
      </c>
      <c r="AC24" s="39">
        <f t="shared" si="16"/>
        <v>90</v>
      </c>
      <c r="AD24" s="39">
        <f t="shared" si="16"/>
        <v>0</v>
      </c>
      <c r="AE24" s="40">
        <f t="shared" si="16"/>
        <v>12</v>
      </c>
      <c r="AF24" s="40">
        <f t="shared" si="16"/>
        <v>96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14</v>
      </c>
      <c r="N25" s="50">
        <v>0</v>
      </c>
      <c r="O25" s="15">
        <f t="shared" si="0"/>
        <v>1</v>
      </c>
      <c r="P25" s="15">
        <f t="shared" si="1"/>
        <v>15</v>
      </c>
      <c r="R25" s="37" t="s">
        <v>85</v>
      </c>
      <c r="S25" s="35">
        <f t="shared" ref="S25:AF25" si="17">SUM(S10:S12)</f>
        <v>1</v>
      </c>
      <c r="T25" s="16">
        <f t="shared" si="17"/>
        <v>4</v>
      </c>
      <c r="U25" s="16">
        <f t="shared" si="17"/>
        <v>3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1</v>
      </c>
      <c r="AA25" s="16">
        <f t="shared" si="17"/>
        <v>1</v>
      </c>
      <c r="AB25" s="16">
        <f t="shared" si="17"/>
        <v>0</v>
      </c>
      <c r="AC25" s="16">
        <f t="shared" si="17"/>
        <v>288</v>
      </c>
      <c r="AD25" s="16">
        <f t="shared" si="17"/>
        <v>0</v>
      </c>
      <c r="AE25" s="32">
        <f t="shared" si="17"/>
        <v>11</v>
      </c>
      <c r="AF25" s="32">
        <f t="shared" si="17"/>
        <v>299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20</v>
      </c>
      <c r="N26" s="50">
        <v>0</v>
      </c>
      <c r="O26" s="15">
        <f t="shared" si="0"/>
        <v>0</v>
      </c>
      <c r="P26" s="15">
        <f t="shared" si="1"/>
        <v>20</v>
      </c>
      <c r="R26" s="28" t="s">
        <v>86</v>
      </c>
      <c r="S26" s="16">
        <f t="shared" ref="S26:AF26" si="18">SUM(S13:S18)</f>
        <v>6</v>
      </c>
      <c r="T26" s="16">
        <f t="shared" si="18"/>
        <v>1</v>
      </c>
      <c r="U26" s="16">
        <f t="shared" si="18"/>
        <v>4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3</v>
      </c>
      <c r="Z26" s="16">
        <f t="shared" si="18"/>
        <v>0</v>
      </c>
      <c r="AA26" s="16">
        <f t="shared" si="18"/>
        <v>1</v>
      </c>
      <c r="AB26" s="16">
        <f t="shared" si="18"/>
        <v>0</v>
      </c>
      <c r="AC26" s="16">
        <f t="shared" si="18"/>
        <v>397</v>
      </c>
      <c r="AD26" s="16">
        <f t="shared" si="18"/>
        <v>0</v>
      </c>
      <c r="AE26" s="32">
        <f t="shared" si="18"/>
        <v>17</v>
      </c>
      <c r="AF26" s="32">
        <f t="shared" si="18"/>
        <v>414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21</v>
      </c>
      <c r="N27" s="50">
        <v>0</v>
      </c>
      <c r="O27" s="15">
        <f t="shared" si="0"/>
        <v>1</v>
      </c>
      <c r="P27" s="15">
        <f t="shared" si="1"/>
        <v>22</v>
      </c>
      <c r="R27" s="29" t="s">
        <v>87</v>
      </c>
      <c r="S27" s="16">
        <f t="shared" ref="S27:AF27" si="19">SUM(S19:S21)</f>
        <v>6</v>
      </c>
      <c r="T27" s="16">
        <f t="shared" si="19"/>
        <v>10</v>
      </c>
      <c r="U27" s="16">
        <f t="shared" si="19"/>
        <v>0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3</v>
      </c>
      <c r="Z27" s="16">
        <f t="shared" si="19"/>
        <v>0</v>
      </c>
      <c r="AA27" s="16">
        <f t="shared" si="19"/>
        <v>1</v>
      </c>
      <c r="AB27" s="16">
        <f t="shared" si="19"/>
        <v>0</v>
      </c>
      <c r="AC27" s="16">
        <f t="shared" si="19"/>
        <v>232</v>
      </c>
      <c r="AD27" s="16">
        <f t="shared" si="19"/>
        <v>0</v>
      </c>
      <c r="AE27" s="32">
        <f t="shared" si="19"/>
        <v>22</v>
      </c>
      <c r="AF27" s="32">
        <f t="shared" si="19"/>
        <v>254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21</v>
      </c>
      <c r="N28" s="50">
        <v>0</v>
      </c>
      <c r="O28" s="15">
        <f t="shared" si="0"/>
        <v>1</v>
      </c>
      <c r="P28" s="15">
        <f t="shared" si="1"/>
        <v>22</v>
      </c>
      <c r="R28" s="5" t="s">
        <v>17</v>
      </c>
      <c r="S28" s="16">
        <f t="shared" ref="S28:AF28" si="20">SUM(S10:S21)</f>
        <v>13</v>
      </c>
      <c r="T28" s="16">
        <f t="shared" si="20"/>
        <v>15</v>
      </c>
      <c r="U28" s="16">
        <f t="shared" si="20"/>
        <v>7</v>
      </c>
      <c r="V28" s="16">
        <f t="shared" si="20"/>
        <v>5</v>
      </c>
      <c r="W28" s="16">
        <f t="shared" si="20"/>
        <v>0</v>
      </c>
      <c r="X28" s="16">
        <f t="shared" si="20"/>
        <v>0</v>
      </c>
      <c r="Y28" s="16">
        <f t="shared" si="20"/>
        <v>6</v>
      </c>
      <c r="Z28" s="16">
        <f t="shared" si="20"/>
        <v>1</v>
      </c>
      <c r="AA28" s="16">
        <f t="shared" si="20"/>
        <v>3</v>
      </c>
      <c r="AB28" s="16">
        <f t="shared" si="20"/>
        <v>0</v>
      </c>
      <c r="AC28" s="16">
        <f t="shared" si="20"/>
        <v>917</v>
      </c>
      <c r="AD28" s="16">
        <f t="shared" si="20"/>
        <v>0</v>
      </c>
      <c r="AE28" s="32">
        <f t="shared" si="20"/>
        <v>50</v>
      </c>
      <c r="AF28" s="32">
        <f t="shared" si="20"/>
        <v>967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18</v>
      </c>
      <c r="N29" s="50">
        <v>0</v>
      </c>
      <c r="O29" s="15">
        <f t="shared" si="0"/>
        <v>1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18</v>
      </c>
      <c r="N30" s="50">
        <v>0</v>
      </c>
      <c r="O30" s="15">
        <f t="shared" si="0"/>
        <v>2</v>
      </c>
      <c r="P30" s="15">
        <f t="shared" si="1"/>
        <v>20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22</v>
      </c>
      <c r="N31" s="50">
        <v>0</v>
      </c>
      <c r="O31" s="15">
        <f t="shared" si="0"/>
        <v>0</v>
      </c>
      <c r="P31" s="15">
        <f t="shared" si="1"/>
        <v>22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22</v>
      </c>
      <c r="N32" s="50">
        <v>0</v>
      </c>
      <c r="O32" s="15">
        <f t="shared" si="0"/>
        <v>2</v>
      </c>
      <c r="P32" s="15">
        <f t="shared" si="1"/>
        <v>24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15</v>
      </c>
      <c r="N33" s="50">
        <v>0</v>
      </c>
      <c r="O33" s="15">
        <f t="shared" si="0"/>
        <v>1</v>
      </c>
      <c r="P33" s="15">
        <f t="shared" si="1"/>
        <v>16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20</v>
      </c>
      <c r="N34" s="50">
        <v>0</v>
      </c>
      <c r="O34" s="15">
        <f t="shared" si="0"/>
        <v>0</v>
      </c>
      <c r="P34" s="15">
        <f t="shared" si="1"/>
        <v>20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20</v>
      </c>
      <c r="N35" s="50">
        <v>0</v>
      </c>
      <c r="O35" s="15">
        <f t="shared" si="0"/>
        <v>1</v>
      </c>
      <c r="P35" s="15">
        <f t="shared" si="1"/>
        <v>21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0</v>
      </c>
      <c r="P36" s="15">
        <f t="shared" si="1"/>
        <v>14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2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10</v>
      </c>
      <c r="N38" s="50">
        <v>0</v>
      </c>
      <c r="O38" s="15">
        <f t="shared" si="0"/>
        <v>0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23</v>
      </c>
      <c r="N39" s="50">
        <v>0</v>
      </c>
      <c r="O39" s="15">
        <f t="shared" si="0"/>
        <v>0</v>
      </c>
      <c r="P39" s="15">
        <f t="shared" si="1"/>
        <v>23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17</v>
      </c>
      <c r="N40" s="50">
        <v>0</v>
      </c>
      <c r="O40" s="15">
        <f t="shared" si="0"/>
        <v>1</v>
      </c>
      <c r="P40" s="15">
        <f t="shared" si="1"/>
        <v>18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10</v>
      </c>
      <c r="N41" s="50">
        <v>0</v>
      </c>
      <c r="O41" s="15">
        <f t="shared" si="0"/>
        <v>0</v>
      </c>
      <c r="P41" s="15">
        <f t="shared" si="1"/>
        <v>10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0</v>
      </c>
      <c r="P42" s="15">
        <f t="shared" si="1"/>
        <v>10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12</v>
      </c>
      <c r="N43" s="50">
        <v>0</v>
      </c>
      <c r="O43" s="15">
        <f t="shared" si="0"/>
        <v>0</v>
      </c>
      <c r="P43" s="15">
        <f t="shared" si="1"/>
        <v>12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1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14</v>
      </c>
      <c r="N45" s="50">
        <v>0</v>
      </c>
      <c r="O45" s="15">
        <f t="shared" si="0"/>
        <v>2</v>
      </c>
      <c r="P45" s="15">
        <f t="shared" si="1"/>
        <v>16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16</v>
      </c>
      <c r="N46" s="50">
        <v>0</v>
      </c>
      <c r="O46" s="15">
        <f t="shared" si="0"/>
        <v>3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23</v>
      </c>
      <c r="N47" s="50">
        <v>0</v>
      </c>
      <c r="O47" s="15">
        <f t="shared" si="0"/>
        <v>0</v>
      </c>
      <c r="P47" s="15">
        <f t="shared" si="1"/>
        <v>23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7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8</v>
      </c>
      <c r="P48" s="15">
        <f t="shared" si="1"/>
        <v>20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18</v>
      </c>
      <c r="N49" s="50">
        <v>0</v>
      </c>
      <c r="O49" s="15">
        <f t="shared" si="0"/>
        <v>1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1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15</v>
      </c>
      <c r="N50" s="50">
        <v>0</v>
      </c>
      <c r="O50" s="15">
        <f t="shared" si="0"/>
        <v>2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18</v>
      </c>
      <c r="N51" s="50">
        <v>0</v>
      </c>
      <c r="O51" s="15">
        <f t="shared" si="0"/>
        <v>1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0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1</v>
      </c>
      <c r="P53" s="15">
        <f t="shared" si="1"/>
        <v>23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28</v>
      </c>
      <c r="N54" s="50">
        <v>0</v>
      </c>
      <c r="O54" s="15">
        <f t="shared" si="0"/>
        <v>3</v>
      </c>
      <c r="P54" s="15">
        <f t="shared" si="1"/>
        <v>31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19</v>
      </c>
      <c r="N55" s="50">
        <v>0</v>
      </c>
      <c r="O55" s="15">
        <f t="shared" si="0"/>
        <v>3</v>
      </c>
      <c r="P55" s="15">
        <f t="shared" si="1"/>
        <v>22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30</v>
      </c>
      <c r="N56" s="50">
        <v>0</v>
      </c>
      <c r="O56" s="15">
        <f t="shared" si="0"/>
        <v>0</v>
      </c>
      <c r="P56" s="15">
        <f t="shared" si="1"/>
        <v>30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13</v>
      </c>
      <c r="N57" s="50">
        <v>0</v>
      </c>
      <c r="O57" s="15">
        <f t="shared" si="0"/>
        <v>0</v>
      </c>
      <c r="P57" s="15">
        <f t="shared" si="1"/>
        <v>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</v>
      </c>
      <c r="D58" s="16">
        <f t="shared" si="21"/>
        <v>15</v>
      </c>
      <c r="E58" s="16">
        <f t="shared" si="21"/>
        <v>7</v>
      </c>
      <c r="F58" s="16">
        <f t="shared" si="21"/>
        <v>5</v>
      </c>
      <c r="G58" s="16">
        <f t="shared" si="21"/>
        <v>0</v>
      </c>
      <c r="H58" s="16">
        <f t="shared" si="21"/>
        <v>0</v>
      </c>
      <c r="I58" s="16">
        <f t="shared" si="21"/>
        <v>6</v>
      </c>
      <c r="J58" s="16">
        <f t="shared" si="21"/>
        <v>1</v>
      </c>
      <c r="K58" s="16">
        <f t="shared" si="21"/>
        <v>3</v>
      </c>
      <c r="L58" s="16">
        <f t="shared" si="21"/>
        <v>0</v>
      </c>
      <c r="M58" s="16">
        <f t="shared" si="21"/>
        <v>917</v>
      </c>
      <c r="N58" s="16">
        <f t="shared" si="21"/>
        <v>0</v>
      </c>
      <c r="O58" s="16">
        <f t="shared" si="21"/>
        <v>50</v>
      </c>
      <c r="P58" s="16">
        <f t="shared" si="21"/>
        <v>967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1.344364012409514E-2</v>
      </c>
      <c r="D59" s="43">
        <f t="shared" si="22"/>
        <v>1.5511892450879007E-2</v>
      </c>
      <c r="E59" s="43">
        <f t="shared" si="22"/>
        <v>7.2388831437435368E-3</v>
      </c>
      <c r="F59" s="43">
        <f t="shared" si="22"/>
        <v>5.170630816959669E-3</v>
      </c>
      <c r="G59" s="43">
        <f t="shared" si="22"/>
        <v>0</v>
      </c>
      <c r="H59" s="43">
        <f t="shared" si="22"/>
        <v>0</v>
      </c>
      <c r="I59" s="43">
        <f t="shared" si="22"/>
        <v>6.2047569803516025E-3</v>
      </c>
      <c r="J59" s="43">
        <f t="shared" si="22"/>
        <v>1.0341261633919339E-3</v>
      </c>
      <c r="K59" s="43">
        <f t="shared" si="22"/>
        <v>3.1023784901758012E-3</v>
      </c>
      <c r="L59" s="43">
        <f t="shared" si="22"/>
        <v>0</v>
      </c>
      <c r="M59" s="43">
        <f t="shared" si="22"/>
        <v>0.94829369183040335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0.26</v>
      </c>
      <c r="D60" s="44">
        <f t="shared" ref="D60:N60" si="23">D58/$O$58</f>
        <v>0.3</v>
      </c>
      <c r="E60" s="44">
        <f t="shared" si="23"/>
        <v>0.14000000000000001</v>
      </c>
      <c r="F60" s="44">
        <f t="shared" si="23"/>
        <v>0.1</v>
      </c>
      <c r="G60" s="44">
        <f t="shared" si="23"/>
        <v>0</v>
      </c>
      <c r="H60" s="44">
        <f t="shared" si="23"/>
        <v>0</v>
      </c>
      <c r="I60" s="44">
        <f t="shared" si="23"/>
        <v>0.12</v>
      </c>
      <c r="J60" s="44">
        <f t="shared" si="23"/>
        <v>0.02</v>
      </c>
      <c r="K60" s="44">
        <f t="shared" si="23"/>
        <v>0.06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A1:AF174"/>
  <sheetViews>
    <sheetView view="pageBreakPreview" zoomScale="60" workbookViewId="0">
      <selection activeCell="L102" sqref="L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'[2]23.09.19 -Munyonyo-Kigo'!C3:G3</f>
        <v>MCC-C2-STNO 57-KIGO RD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174</v>
      </c>
      <c r="F5" s="41" t="s">
        <v>1</v>
      </c>
      <c r="G5" s="70" t="str">
        <f>'[2]25.07 Makindye-Kibuye'!G5:H5</f>
        <v>LWEZA KAMUCHANGA</v>
      </c>
      <c r="H5" s="71"/>
      <c r="I5" s="14"/>
      <c r="J5" s="2" t="s">
        <v>5</v>
      </c>
      <c r="K5" s="70" t="str">
        <f>'[2]25.07 Makindye-Kibuye'!K5:L5</f>
        <v>Racheal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0" t="str">
        <f>'[2]23.09.19 -Munyonyo-Kigo'!D6:E6</f>
        <v>MUNYONYO</v>
      </c>
      <c r="E6" s="71"/>
      <c r="F6" s="2" t="s">
        <v>2</v>
      </c>
      <c r="G6" s="70" t="s">
        <v>170</v>
      </c>
      <c r="H6" s="71"/>
      <c r="J6" s="2" t="s">
        <v>21</v>
      </c>
      <c r="K6" s="70" t="str">
        <f>'[2]25.07 Makindye-Kibuye'!K6:L6</f>
        <v>Beatrice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23</v>
      </c>
      <c r="N10" s="50">
        <v>0</v>
      </c>
      <c r="O10" s="17">
        <f t="shared" ref="O10:O73" si="0">SUM(C10:L10,N10)</f>
        <v>0</v>
      </c>
      <c r="P10" s="17">
        <f t="shared" ref="P10:P73" si="1">SUM(C10:N10)</f>
        <v>23</v>
      </c>
      <c r="R10" s="1" t="s">
        <v>6</v>
      </c>
      <c r="S10" s="17">
        <f t="shared" ref="S10:AF10" si="2">SUM(C10:C13)</f>
        <v>3</v>
      </c>
      <c r="T10" s="17">
        <f t="shared" si="2"/>
        <v>1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104</v>
      </c>
      <c r="AD10" s="17">
        <f t="shared" si="2"/>
        <v>0</v>
      </c>
      <c r="AE10" s="31">
        <f t="shared" si="2"/>
        <v>5</v>
      </c>
      <c r="AF10" s="31">
        <f t="shared" si="2"/>
        <v>109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22</v>
      </c>
      <c r="N11" s="50">
        <v>0</v>
      </c>
      <c r="O11" s="17">
        <f t="shared" si="0"/>
        <v>1</v>
      </c>
      <c r="P11" s="17">
        <f t="shared" si="1"/>
        <v>23</v>
      </c>
      <c r="R11" s="1" t="s">
        <v>7</v>
      </c>
      <c r="S11" s="17">
        <f t="shared" ref="S11:AF11" si="3">SUM(C14:C17)</f>
        <v>4</v>
      </c>
      <c r="T11" s="17">
        <f t="shared" si="3"/>
        <v>4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110</v>
      </c>
      <c r="AD11" s="17">
        <f t="shared" si="3"/>
        <v>0</v>
      </c>
      <c r="AE11" s="31">
        <f t="shared" si="3"/>
        <v>9</v>
      </c>
      <c r="AF11" s="31">
        <f t="shared" si="3"/>
        <v>119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18</v>
      </c>
      <c r="N12" s="50">
        <v>0</v>
      </c>
      <c r="O12" s="17">
        <f t="shared" si="0"/>
        <v>1</v>
      </c>
      <c r="P12" s="17">
        <f t="shared" si="1"/>
        <v>19</v>
      </c>
      <c r="R12" s="1" t="s">
        <v>8</v>
      </c>
      <c r="S12" s="17">
        <f t="shared" ref="S12:AF12" si="4">SUM(C18:C21)</f>
        <v>3</v>
      </c>
      <c r="T12" s="17">
        <f t="shared" si="4"/>
        <v>1</v>
      </c>
      <c r="U12" s="17">
        <f t="shared" si="4"/>
        <v>1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97</v>
      </c>
      <c r="AD12" s="17">
        <f t="shared" si="4"/>
        <v>0</v>
      </c>
      <c r="AE12" s="31">
        <f t="shared" si="4"/>
        <v>10</v>
      </c>
      <c r="AF12" s="31">
        <f t="shared" si="4"/>
        <v>107</v>
      </c>
    </row>
    <row r="13" spans="2:32" ht="23.1" customHeight="1" x14ac:dyDescent="0.25">
      <c r="B13" s="45" t="s">
        <v>40</v>
      </c>
      <c r="C13" s="50">
        <v>1</v>
      </c>
      <c r="D13" s="50">
        <v>1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41</v>
      </c>
      <c r="N13" s="50">
        <v>0</v>
      </c>
      <c r="O13" s="17">
        <f t="shared" si="0"/>
        <v>3</v>
      </c>
      <c r="P13" s="17">
        <f t="shared" si="1"/>
        <v>44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1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88</v>
      </c>
      <c r="AD13" s="17">
        <f t="shared" si="5"/>
        <v>0</v>
      </c>
      <c r="AE13" s="31">
        <f t="shared" si="5"/>
        <v>11</v>
      </c>
      <c r="AF13" s="31">
        <f t="shared" si="5"/>
        <v>99</v>
      </c>
    </row>
    <row r="14" spans="2:32" ht="23.1" customHeight="1" x14ac:dyDescent="0.25">
      <c r="B14" s="45" t="s">
        <v>41</v>
      </c>
      <c r="C14" s="50">
        <v>1</v>
      </c>
      <c r="D14" s="50">
        <v>2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42</v>
      </c>
      <c r="N14" s="50">
        <v>0</v>
      </c>
      <c r="O14" s="17">
        <f t="shared" si="0"/>
        <v>3</v>
      </c>
      <c r="P14" s="17">
        <f t="shared" si="1"/>
        <v>45</v>
      </c>
      <c r="R14" s="1" t="s">
        <v>10</v>
      </c>
      <c r="S14" s="17">
        <f t="shared" ref="S14:AF14" si="6">SUM(C26:C29)</f>
        <v>6</v>
      </c>
      <c r="T14" s="17">
        <f t="shared" si="6"/>
        <v>4</v>
      </c>
      <c r="U14" s="17">
        <f t="shared" si="6"/>
        <v>3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108</v>
      </c>
      <c r="AD14" s="17">
        <f t="shared" si="6"/>
        <v>0</v>
      </c>
      <c r="AE14" s="31">
        <f t="shared" si="6"/>
        <v>15</v>
      </c>
      <c r="AF14" s="31">
        <f t="shared" si="6"/>
        <v>123</v>
      </c>
    </row>
    <row r="15" spans="2:32" ht="23.1" customHeight="1" x14ac:dyDescent="0.25">
      <c r="B15" s="45" t="s">
        <v>42</v>
      </c>
      <c r="C15" s="50">
        <v>1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23</v>
      </c>
      <c r="N15" s="50">
        <v>0</v>
      </c>
      <c r="O15" s="17">
        <f t="shared" si="0"/>
        <v>2</v>
      </c>
      <c r="P15" s="17">
        <f t="shared" si="1"/>
        <v>25</v>
      </c>
      <c r="R15" s="1" t="s">
        <v>11</v>
      </c>
      <c r="S15" s="17">
        <f t="shared" ref="S15:AF15" si="7">SUM(C30:C33)</f>
        <v>8</v>
      </c>
      <c r="T15" s="17">
        <f t="shared" si="7"/>
        <v>1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81</v>
      </c>
      <c r="AD15" s="17">
        <f t="shared" si="7"/>
        <v>0</v>
      </c>
      <c r="AE15" s="31">
        <f t="shared" si="7"/>
        <v>11</v>
      </c>
      <c r="AF15" s="31">
        <f t="shared" si="7"/>
        <v>92</v>
      </c>
    </row>
    <row r="16" spans="2:32" ht="23.1" customHeight="1" x14ac:dyDescent="0.25">
      <c r="B16" s="45" t="s">
        <v>43</v>
      </c>
      <c r="C16" s="50">
        <v>1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7">
        <f t="shared" si="0"/>
        <v>3</v>
      </c>
      <c r="P16" s="17">
        <f t="shared" si="1"/>
        <v>18</v>
      </c>
      <c r="R16" s="1" t="s">
        <v>12</v>
      </c>
      <c r="S16" s="17">
        <f t="shared" ref="S16:AF16" si="8">SUM(C34:C37)</f>
        <v>12</v>
      </c>
      <c r="T16" s="17">
        <f t="shared" si="8"/>
        <v>2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72</v>
      </c>
      <c r="AD16" s="17">
        <f t="shared" si="8"/>
        <v>0</v>
      </c>
      <c r="AE16" s="31">
        <f t="shared" si="8"/>
        <v>18</v>
      </c>
      <c r="AF16" s="31">
        <f t="shared" si="8"/>
        <v>90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30</v>
      </c>
      <c r="N17" s="50">
        <v>0</v>
      </c>
      <c r="O17" s="17">
        <f t="shared" si="0"/>
        <v>1</v>
      </c>
      <c r="P17" s="17">
        <f t="shared" si="1"/>
        <v>31</v>
      </c>
      <c r="R17" s="1" t="s">
        <v>13</v>
      </c>
      <c r="S17" s="17">
        <f t="shared" ref="S17:AF17" si="9">SUM(C38:C41)</f>
        <v>5</v>
      </c>
      <c r="T17" s="17">
        <f t="shared" si="9"/>
        <v>1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55</v>
      </c>
      <c r="AD17" s="17">
        <f t="shared" si="9"/>
        <v>0</v>
      </c>
      <c r="AE17" s="31">
        <f t="shared" si="9"/>
        <v>8</v>
      </c>
      <c r="AF17" s="31">
        <f t="shared" si="9"/>
        <v>63</v>
      </c>
    </row>
    <row r="18" spans="2:32" ht="23.1" customHeight="1" x14ac:dyDescent="0.25">
      <c r="B18" s="45" t="s">
        <v>45</v>
      </c>
      <c r="C18" s="50">
        <v>0</v>
      </c>
      <c r="D18" s="50">
        <v>1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20</v>
      </c>
      <c r="N18" s="50">
        <v>0</v>
      </c>
      <c r="O18" s="17">
        <f t="shared" si="0"/>
        <v>2</v>
      </c>
      <c r="P18" s="17">
        <f t="shared" si="1"/>
        <v>22</v>
      </c>
      <c r="R18" s="1" t="s">
        <v>14</v>
      </c>
      <c r="S18" s="17">
        <f t="shared" ref="S18:AF18" si="10">SUM(C42:C45)</f>
        <v>15</v>
      </c>
      <c r="T18" s="17">
        <f t="shared" si="10"/>
        <v>2</v>
      </c>
      <c r="U18" s="17">
        <f t="shared" si="10"/>
        <v>2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92</v>
      </c>
      <c r="AD18" s="17">
        <f t="shared" si="10"/>
        <v>0</v>
      </c>
      <c r="AE18" s="31">
        <f t="shared" si="10"/>
        <v>22</v>
      </c>
      <c r="AF18" s="31">
        <f t="shared" si="10"/>
        <v>114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36</v>
      </c>
      <c r="N19" s="50">
        <v>0</v>
      </c>
      <c r="O19" s="17">
        <f t="shared" si="0"/>
        <v>2</v>
      </c>
      <c r="P19" s="17">
        <f t="shared" si="1"/>
        <v>38</v>
      </c>
      <c r="R19" s="1" t="s">
        <v>15</v>
      </c>
      <c r="S19" s="17">
        <f t="shared" ref="S19:AF19" si="11">SUM(C46:C49)</f>
        <v>12</v>
      </c>
      <c r="T19" s="17">
        <f t="shared" si="11"/>
        <v>4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104</v>
      </c>
      <c r="AD19" s="17">
        <f t="shared" si="11"/>
        <v>0</v>
      </c>
      <c r="AE19" s="31">
        <f t="shared" si="11"/>
        <v>20</v>
      </c>
      <c r="AF19" s="31">
        <f t="shared" si="11"/>
        <v>124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1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22</v>
      </c>
      <c r="N20" s="50">
        <v>0</v>
      </c>
      <c r="O20" s="17">
        <f t="shared" si="0"/>
        <v>4</v>
      </c>
      <c r="P20" s="17">
        <f t="shared" si="1"/>
        <v>26</v>
      </c>
      <c r="R20" s="1" t="s">
        <v>16</v>
      </c>
      <c r="S20" s="17">
        <f t="shared" ref="S20:AF20" si="12">SUM(C50:C53)</f>
        <v>8</v>
      </c>
      <c r="T20" s="17">
        <f t="shared" si="12"/>
        <v>1</v>
      </c>
      <c r="U20" s="17">
        <f t="shared" si="12"/>
        <v>1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93</v>
      </c>
      <c r="AD20" s="17">
        <f t="shared" si="12"/>
        <v>0</v>
      </c>
      <c r="AE20" s="31">
        <f t="shared" si="12"/>
        <v>12</v>
      </c>
      <c r="AF20" s="31">
        <f t="shared" si="12"/>
        <v>105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19</v>
      </c>
      <c r="N21" s="50">
        <v>0</v>
      </c>
      <c r="O21" s="17">
        <f t="shared" si="0"/>
        <v>2</v>
      </c>
      <c r="P21" s="17">
        <f t="shared" si="1"/>
        <v>21</v>
      </c>
      <c r="R21" s="36" t="s">
        <v>20</v>
      </c>
      <c r="S21" s="34">
        <f t="shared" ref="S21:AF21" si="13">SUM(C54:C57)</f>
        <v>3</v>
      </c>
      <c r="T21" s="17">
        <f t="shared" si="13"/>
        <v>5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95</v>
      </c>
      <c r="AD21" s="17">
        <f t="shared" si="13"/>
        <v>0</v>
      </c>
      <c r="AE21" s="31">
        <f t="shared" si="13"/>
        <v>12</v>
      </c>
      <c r="AF21" s="31">
        <f t="shared" si="13"/>
        <v>107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16</v>
      </c>
      <c r="N22" s="50">
        <v>0</v>
      </c>
      <c r="O22" s="17">
        <f t="shared" si="0"/>
        <v>2</v>
      </c>
      <c r="P22" s="17">
        <f t="shared" si="1"/>
        <v>18</v>
      </c>
      <c r="R22" s="36" t="s">
        <v>146</v>
      </c>
      <c r="S22" s="34">
        <f>SUM(C58:C61)</f>
        <v>10</v>
      </c>
      <c r="T22" s="34">
        <f t="shared" ref="T22:AF22" si="14">SUM(D58:D61)</f>
        <v>3</v>
      </c>
      <c r="U22" s="34">
        <f t="shared" si="14"/>
        <v>3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118</v>
      </c>
      <c r="AD22" s="34">
        <f t="shared" si="14"/>
        <v>0</v>
      </c>
      <c r="AE22" s="31">
        <f t="shared" si="14"/>
        <v>19</v>
      </c>
      <c r="AF22" s="31">
        <f t="shared" si="14"/>
        <v>137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21</v>
      </c>
      <c r="N23" s="50">
        <v>0</v>
      </c>
      <c r="O23" s="17">
        <f t="shared" si="0"/>
        <v>1</v>
      </c>
      <c r="P23" s="17">
        <f t="shared" si="1"/>
        <v>22</v>
      </c>
      <c r="R23" s="36" t="s">
        <v>147</v>
      </c>
      <c r="S23" s="34">
        <f>SUM(C62:C65)</f>
        <v>17</v>
      </c>
      <c r="T23" s="34">
        <f t="shared" ref="T23:AF23" si="15">SUM(D62:D65)</f>
        <v>4</v>
      </c>
      <c r="U23" s="34">
        <f t="shared" si="15"/>
        <v>1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130</v>
      </c>
      <c r="AD23" s="34">
        <f t="shared" si="15"/>
        <v>0</v>
      </c>
      <c r="AE23" s="31">
        <f t="shared" si="15"/>
        <v>24</v>
      </c>
      <c r="AF23" s="31">
        <f t="shared" si="15"/>
        <v>154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26</v>
      </c>
      <c r="N24" s="50">
        <v>0</v>
      </c>
      <c r="O24" s="17">
        <f t="shared" si="0"/>
        <v>5</v>
      </c>
      <c r="P24" s="17">
        <f t="shared" si="1"/>
        <v>31</v>
      </c>
      <c r="R24" s="36" t="s">
        <v>148</v>
      </c>
      <c r="S24" s="34">
        <f>SUM(C66:C69)</f>
        <v>17</v>
      </c>
      <c r="T24" s="34">
        <f t="shared" ref="T24:AF24" si="16">SUM(D66:D69)</f>
        <v>5</v>
      </c>
      <c r="U24" s="34">
        <f t="shared" si="16"/>
        <v>3</v>
      </c>
      <c r="V24" s="34">
        <f t="shared" si="16"/>
        <v>2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105</v>
      </c>
      <c r="AD24" s="34">
        <f t="shared" si="16"/>
        <v>0</v>
      </c>
      <c r="AE24" s="31">
        <f t="shared" si="16"/>
        <v>29</v>
      </c>
      <c r="AF24" s="31">
        <f t="shared" si="16"/>
        <v>134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25</v>
      </c>
      <c r="N25" s="50">
        <v>0</v>
      </c>
      <c r="O25" s="17">
        <f t="shared" si="0"/>
        <v>3</v>
      </c>
      <c r="P25" s="17">
        <f t="shared" si="1"/>
        <v>28</v>
      </c>
      <c r="R25" s="36" t="s">
        <v>149</v>
      </c>
      <c r="S25" s="34">
        <f>SUM(C70:C73)</f>
        <v>29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104</v>
      </c>
      <c r="AD25" s="34">
        <f t="shared" si="17"/>
        <v>0</v>
      </c>
      <c r="AE25" s="31">
        <f t="shared" si="17"/>
        <v>31</v>
      </c>
      <c r="AF25" s="31">
        <f t="shared" si="17"/>
        <v>135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32</v>
      </c>
      <c r="N26" s="50">
        <v>0</v>
      </c>
      <c r="O26" s="17">
        <f t="shared" si="0"/>
        <v>2</v>
      </c>
      <c r="P26" s="17">
        <f t="shared" si="1"/>
        <v>34</v>
      </c>
      <c r="R26" s="36" t="s">
        <v>150</v>
      </c>
      <c r="S26" s="34">
        <f>SUM(C74:C77)</f>
        <v>12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63</v>
      </c>
      <c r="AD26" s="34">
        <f t="shared" si="18"/>
        <v>0</v>
      </c>
      <c r="AE26" s="31">
        <f t="shared" si="18"/>
        <v>16</v>
      </c>
      <c r="AF26" s="31">
        <f t="shared" si="18"/>
        <v>79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16</v>
      </c>
      <c r="N27" s="50">
        <v>0</v>
      </c>
      <c r="O27" s="17">
        <f t="shared" si="0"/>
        <v>1</v>
      </c>
      <c r="P27" s="17">
        <f t="shared" si="1"/>
        <v>17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37</v>
      </c>
      <c r="AD27" s="34">
        <f t="shared" si="19"/>
        <v>0</v>
      </c>
      <c r="AE27" s="31">
        <f t="shared" si="19"/>
        <v>2</v>
      </c>
      <c r="AF27" s="31">
        <f t="shared" si="19"/>
        <v>39</v>
      </c>
    </row>
    <row r="28" spans="2:32" ht="23.1" customHeight="1" x14ac:dyDescent="0.25">
      <c r="B28" s="45" t="s">
        <v>55</v>
      </c>
      <c r="C28" s="50">
        <v>2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25</v>
      </c>
      <c r="N28" s="50">
        <v>0</v>
      </c>
      <c r="O28" s="17">
        <f t="shared" si="0"/>
        <v>4</v>
      </c>
      <c r="P28" s="17">
        <f t="shared" si="1"/>
        <v>29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21</v>
      </c>
      <c r="AD28" s="34">
        <f t="shared" si="20"/>
        <v>0</v>
      </c>
      <c r="AE28" s="31">
        <f t="shared" si="20"/>
        <v>2</v>
      </c>
      <c r="AF28" s="31">
        <f t="shared" si="20"/>
        <v>23</v>
      </c>
    </row>
    <row r="29" spans="2:32" ht="23.1" customHeight="1" x14ac:dyDescent="0.25">
      <c r="B29" s="45" t="s">
        <v>56</v>
      </c>
      <c r="C29" s="50">
        <v>2</v>
      </c>
      <c r="D29" s="50">
        <v>3</v>
      </c>
      <c r="E29" s="50">
        <v>2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35</v>
      </c>
      <c r="N29" s="50">
        <v>0</v>
      </c>
      <c r="O29" s="17">
        <f t="shared" si="0"/>
        <v>8</v>
      </c>
      <c r="P29" s="17">
        <f t="shared" si="1"/>
        <v>43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7</v>
      </c>
      <c r="AD29" s="34">
        <f t="shared" si="21"/>
        <v>0</v>
      </c>
      <c r="AE29" s="31">
        <f t="shared" si="21"/>
        <v>0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23</v>
      </c>
      <c r="N30" s="50">
        <v>0</v>
      </c>
      <c r="O30" s="17">
        <f t="shared" si="0"/>
        <v>1</v>
      </c>
      <c r="P30" s="17">
        <f t="shared" si="1"/>
        <v>24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7</v>
      </c>
      <c r="AD30" s="34">
        <f t="shared" si="22"/>
        <v>0</v>
      </c>
      <c r="AE30" s="31">
        <f t="shared" si="22"/>
        <v>3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22</v>
      </c>
      <c r="N31" s="50">
        <v>0</v>
      </c>
      <c r="O31" s="17">
        <f t="shared" si="0"/>
        <v>3</v>
      </c>
      <c r="P31" s="17">
        <f t="shared" si="1"/>
        <v>25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14</v>
      </c>
      <c r="AD31" s="34">
        <f t="shared" si="23"/>
        <v>0</v>
      </c>
      <c r="AE31" s="31">
        <f t="shared" si="23"/>
        <v>3</v>
      </c>
      <c r="AF31" s="31">
        <f t="shared" si="23"/>
        <v>17</v>
      </c>
    </row>
    <row r="32" spans="2:32" ht="23.1" customHeight="1" x14ac:dyDescent="0.25">
      <c r="B32" s="46" t="s">
        <v>59</v>
      </c>
      <c r="C32" s="50">
        <v>2</v>
      </c>
      <c r="D32" s="50">
        <v>1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23</v>
      </c>
      <c r="N32" s="50">
        <v>0</v>
      </c>
      <c r="O32" s="17">
        <f t="shared" si="0"/>
        <v>4</v>
      </c>
      <c r="P32" s="17">
        <f t="shared" si="1"/>
        <v>27</v>
      </c>
      <c r="R32" s="55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9</v>
      </c>
      <c r="AD32" s="34">
        <f t="shared" si="24"/>
        <v>0</v>
      </c>
      <c r="AE32" s="31">
        <f t="shared" si="24"/>
        <v>1</v>
      </c>
      <c r="AF32" s="31">
        <f t="shared" si="24"/>
        <v>10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7">
        <f t="shared" si="0"/>
        <v>3</v>
      </c>
      <c r="P33" s="17">
        <f t="shared" si="1"/>
        <v>16</v>
      </c>
      <c r="R33" s="55" t="s">
        <v>157</v>
      </c>
      <c r="S33" s="34">
        <f>SUM(C102:C105)</f>
        <v>3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46</v>
      </c>
      <c r="AD33" s="34">
        <f t="shared" si="25"/>
        <v>0</v>
      </c>
      <c r="AE33" s="31">
        <f t="shared" si="25"/>
        <v>5</v>
      </c>
      <c r="AF33" s="31">
        <f t="shared" si="25"/>
        <v>51</v>
      </c>
    </row>
    <row r="34" spans="2:32" ht="23.1" customHeight="1" x14ac:dyDescent="0.25">
      <c r="B34" s="46" t="s">
        <v>61</v>
      </c>
      <c r="C34" s="50">
        <v>5</v>
      </c>
      <c r="D34" s="50">
        <v>2</v>
      </c>
      <c r="E34" s="50">
        <v>1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7">
        <f t="shared" si="0"/>
        <v>10</v>
      </c>
      <c r="P34" s="17">
        <f t="shared" si="1"/>
        <v>29</v>
      </c>
      <c r="R34" s="51" t="s">
        <v>90</v>
      </c>
      <c r="S34" s="52">
        <f t="shared" ref="S34:AF34" si="26">MAX(S10:S12)</f>
        <v>4</v>
      </c>
      <c r="T34" s="52">
        <f t="shared" si="26"/>
        <v>4</v>
      </c>
      <c r="U34" s="52">
        <f t="shared" si="26"/>
        <v>1</v>
      </c>
      <c r="V34" s="52">
        <f t="shared" si="26"/>
        <v>3</v>
      </c>
      <c r="W34" s="52">
        <f t="shared" si="26"/>
        <v>0</v>
      </c>
      <c r="X34" s="52">
        <f t="shared" si="26"/>
        <v>0</v>
      </c>
      <c r="Y34" s="52">
        <f t="shared" si="26"/>
        <v>1</v>
      </c>
      <c r="Z34" s="52">
        <f t="shared" si="26"/>
        <v>1</v>
      </c>
      <c r="AA34" s="52">
        <f t="shared" si="26"/>
        <v>0</v>
      </c>
      <c r="AB34" s="52">
        <f t="shared" si="26"/>
        <v>0</v>
      </c>
      <c r="AC34" s="52">
        <f t="shared" si="26"/>
        <v>110</v>
      </c>
      <c r="AD34" s="52">
        <f t="shared" si="26"/>
        <v>0</v>
      </c>
      <c r="AE34" s="40">
        <f t="shared" si="26"/>
        <v>10</v>
      </c>
      <c r="AF34" s="40">
        <f t="shared" si="26"/>
        <v>119</v>
      </c>
    </row>
    <row r="35" spans="2:32" ht="23.1" customHeight="1" x14ac:dyDescent="0.25">
      <c r="B35" s="46" t="s">
        <v>62</v>
      </c>
      <c r="C35" s="50">
        <v>3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24</v>
      </c>
      <c r="N35" s="50">
        <v>0</v>
      </c>
      <c r="O35" s="17">
        <f t="shared" si="0"/>
        <v>3</v>
      </c>
      <c r="P35" s="17">
        <f t="shared" si="1"/>
        <v>27</v>
      </c>
      <c r="R35" s="51" t="s">
        <v>91</v>
      </c>
      <c r="S35" s="52">
        <f t="shared" ref="S35:AF35" si="27">MAX(S13:S18)</f>
        <v>15</v>
      </c>
      <c r="T35" s="52">
        <f t="shared" si="27"/>
        <v>4</v>
      </c>
      <c r="U35" s="52">
        <f t="shared" si="27"/>
        <v>3</v>
      </c>
      <c r="V35" s="52">
        <f t="shared" si="27"/>
        <v>2</v>
      </c>
      <c r="W35" s="52">
        <f t="shared" si="27"/>
        <v>0</v>
      </c>
      <c r="X35" s="52">
        <f t="shared" si="27"/>
        <v>0</v>
      </c>
      <c r="Y35" s="52">
        <f t="shared" si="27"/>
        <v>1</v>
      </c>
      <c r="Z35" s="52">
        <f t="shared" si="27"/>
        <v>0</v>
      </c>
      <c r="AA35" s="52">
        <f t="shared" si="27"/>
        <v>1</v>
      </c>
      <c r="AB35" s="52">
        <f t="shared" si="27"/>
        <v>0</v>
      </c>
      <c r="AC35" s="52">
        <f t="shared" si="27"/>
        <v>108</v>
      </c>
      <c r="AD35" s="52">
        <f t="shared" si="27"/>
        <v>0</v>
      </c>
      <c r="AE35" s="40">
        <f t="shared" si="27"/>
        <v>22</v>
      </c>
      <c r="AF35" s="40">
        <f t="shared" si="27"/>
        <v>123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7">
        <f t="shared" si="0"/>
        <v>3</v>
      </c>
      <c r="P36" s="17">
        <f t="shared" si="1"/>
        <v>17</v>
      </c>
      <c r="R36" s="51" t="s">
        <v>92</v>
      </c>
      <c r="S36" s="52">
        <f t="shared" ref="S36:AF36" si="28">MAX(S19:S21)</f>
        <v>12</v>
      </c>
      <c r="T36" s="52">
        <f t="shared" si="28"/>
        <v>5</v>
      </c>
      <c r="U36" s="52">
        <f t="shared" si="28"/>
        <v>3</v>
      </c>
      <c r="V36" s="52">
        <f t="shared" si="28"/>
        <v>1</v>
      </c>
      <c r="W36" s="52">
        <f t="shared" si="28"/>
        <v>0</v>
      </c>
      <c r="X36" s="52">
        <f t="shared" si="28"/>
        <v>0</v>
      </c>
      <c r="Y36" s="52">
        <f t="shared" si="28"/>
        <v>3</v>
      </c>
      <c r="Z36" s="52">
        <f t="shared" si="28"/>
        <v>0</v>
      </c>
      <c r="AA36" s="52">
        <f t="shared" si="28"/>
        <v>0</v>
      </c>
      <c r="AB36" s="52">
        <f t="shared" si="28"/>
        <v>0</v>
      </c>
      <c r="AC36" s="52">
        <f t="shared" si="28"/>
        <v>104</v>
      </c>
      <c r="AD36" s="52">
        <f t="shared" si="28"/>
        <v>0</v>
      </c>
      <c r="AE36" s="40">
        <f t="shared" si="28"/>
        <v>20</v>
      </c>
      <c r="AF36" s="40">
        <f t="shared" si="28"/>
        <v>124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15</v>
      </c>
      <c r="N37" s="50">
        <v>0</v>
      </c>
      <c r="O37" s="17">
        <f t="shared" si="0"/>
        <v>2</v>
      </c>
      <c r="P37" s="17">
        <f t="shared" si="1"/>
        <v>17</v>
      </c>
      <c r="R37" s="37" t="s">
        <v>85</v>
      </c>
      <c r="S37" s="35">
        <f t="shared" ref="S37:AF37" si="29">SUM(S10:S12)</f>
        <v>10</v>
      </c>
      <c r="T37" s="16">
        <f t="shared" si="29"/>
        <v>6</v>
      </c>
      <c r="U37" s="16">
        <f t="shared" si="29"/>
        <v>2</v>
      </c>
      <c r="V37" s="16">
        <f t="shared" si="29"/>
        <v>3</v>
      </c>
      <c r="W37" s="16">
        <f t="shared" si="29"/>
        <v>0</v>
      </c>
      <c r="X37" s="16">
        <f t="shared" si="29"/>
        <v>0</v>
      </c>
      <c r="Y37" s="16">
        <f t="shared" si="29"/>
        <v>2</v>
      </c>
      <c r="Z37" s="16">
        <f t="shared" si="29"/>
        <v>1</v>
      </c>
      <c r="AA37" s="16">
        <f t="shared" si="29"/>
        <v>0</v>
      </c>
      <c r="AB37" s="16">
        <f t="shared" si="29"/>
        <v>0</v>
      </c>
      <c r="AC37" s="16">
        <f t="shared" si="29"/>
        <v>311</v>
      </c>
      <c r="AD37" s="16">
        <f t="shared" si="29"/>
        <v>0</v>
      </c>
      <c r="AE37" s="32">
        <f t="shared" si="29"/>
        <v>24</v>
      </c>
      <c r="AF37" s="32">
        <f t="shared" si="29"/>
        <v>335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17</v>
      </c>
      <c r="N38" s="50">
        <v>0</v>
      </c>
      <c r="O38" s="17">
        <f t="shared" si="0"/>
        <v>2</v>
      </c>
      <c r="P38" s="17">
        <f t="shared" si="1"/>
        <v>19</v>
      </c>
      <c r="R38" s="28" t="s">
        <v>86</v>
      </c>
      <c r="S38" s="16">
        <f t="shared" ref="S38:AF38" si="30">SUM(S13:S18)</f>
        <v>54</v>
      </c>
      <c r="T38" s="16">
        <f t="shared" si="30"/>
        <v>10</v>
      </c>
      <c r="U38" s="16">
        <f t="shared" si="30"/>
        <v>11</v>
      </c>
      <c r="V38" s="16">
        <f t="shared" si="30"/>
        <v>7</v>
      </c>
      <c r="W38" s="16">
        <f t="shared" si="30"/>
        <v>0</v>
      </c>
      <c r="X38" s="16">
        <f t="shared" si="30"/>
        <v>0</v>
      </c>
      <c r="Y38" s="16">
        <f t="shared" si="30"/>
        <v>2</v>
      </c>
      <c r="Z38" s="16">
        <f t="shared" si="30"/>
        <v>0</v>
      </c>
      <c r="AA38" s="16">
        <f t="shared" si="30"/>
        <v>1</v>
      </c>
      <c r="AB38" s="16">
        <f t="shared" si="30"/>
        <v>0</v>
      </c>
      <c r="AC38" s="16">
        <f t="shared" si="30"/>
        <v>496</v>
      </c>
      <c r="AD38" s="16">
        <f t="shared" si="30"/>
        <v>0</v>
      </c>
      <c r="AE38" s="32">
        <f t="shared" si="30"/>
        <v>85</v>
      </c>
      <c r="AF38" s="32">
        <f t="shared" si="30"/>
        <v>581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7">
        <f t="shared" si="0"/>
        <v>0</v>
      </c>
      <c r="P39" s="17">
        <f t="shared" si="1"/>
        <v>10</v>
      </c>
      <c r="R39" s="29" t="s">
        <v>87</v>
      </c>
      <c r="S39" s="16">
        <f t="shared" ref="S39:AF39" si="31">SUM(S19:S21)</f>
        <v>23</v>
      </c>
      <c r="T39" s="16">
        <f t="shared" si="31"/>
        <v>10</v>
      </c>
      <c r="U39" s="16">
        <f t="shared" si="31"/>
        <v>4</v>
      </c>
      <c r="V39" s="16">
        <f t="shared" si="31"/>
        <v>2</v>
      </c>
      <c r="W39" s="16">
        <f t="shared" si="31"/>
        <v>0</v>
      </c>
      <c r="X39" s="16">
        <f t="shared" si="31"/>
        <v>0</v>
      </c>
      <c r="Y39" s="16">
        <f t="shared" si="31"/>
        <v>5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292</v>
      </c>
      <c r="AD39" s="16">
        <f t="shared" si="31"/>
        <v>0</v>
      </c>
      <c r="AE39" s="32">
        <f t="shared" si="31"/>
        <v>44</v>
      </c>
      <c r="AF39" s="32">
        <f t="shared" si="31"/>
        <v>336</v>
      </c>
    </row>
    <row r="40" spans="2:32" ht="23.1" customHeight="1" x14ac:dyDescent="0.25">
      <c r="B40" s="46" t="s">
        <v>67</v>
      </c>
      <c r="C40" s="50">
        <v>3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10</v>
      </c>
      <c r="N40" s="50">
        <v>0</v>
      </c>
      <c r="O40" s="17">
        <f t="shared" si="0"/>
        <v>3</v>
      </c>
      <c r="P40" s="17">
        <f t="shared" si="1"/>
        <v>13</v>
      </c>
      <c r="R40" s="5" t="s">
        <v>17</v>
      </c>
      <c r="S40" s="16">
        <f t="shared" ref="S40:AF40" si="32">SUM(S10:S21)</f>
        <v>87</v>
      </c>
      <c r="T40" s="16">
        <f t="shared" si="32"/>
        <v>26</v>
      </c>
      <c r="U40" s="16">
        <f t="shared" si="32"/>
        <v>17</v>
      </c>
      <c r="V40" s="16">
        <f t="shared" si="32"/>
        <v>12</v>
      </c>
      <c r="W40" s="16">
        <f t="shared" si="32"/>
        <v>0</v>
      </c>
      <c r="X40" s="16">
        <f t="shared" si="32"/>
        <v>0</v>
      </c>
      <c r="Y40" s="16">
        <f t="shared" si="32"/>
        <v>9</v>
      </c>
      <c r="Z40" s="16">
        <f t="shared" si="32"/>
        <v>1</v>
      </c>
      <c r="AA40" s="16">
        <f t="shared" si="32"/>
        <v>1</v>
      </c>
      <c r="AB40" s="16">
        <f t="shared" si="32"/>
        <v>0</v>
      </c>
      <c r="AC40" s="16">
        <f t="shared" si="32"/>
        <v>1099</v>
      </c>
      <c r="AD40" s="16">
        <f t="shared" si="32"/>
        <v>0</v>
      </c>
      <c r="AE40" s="32">
        <f t="shared" si="32"/>
        <v>153</v>
      </c>
      <c r="AF40" s="32">
        <f t="shared" si="32"/>
        <v>1252</v>
      </c>
    </row>
    <row r="41" spans="2:32" ht="23.1" customHeight="1" x14ac:dyDescent="0.25">
      <c r="B41" s="45" t="s">
        <v>68</v>
      </c>
      <c r="C41" s="50">
        <v>1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18</v>
      </c>
      <c r="N41" s="50">
        <v>0</v>
      </c>
      <c r="O41" s="17">
        <f t="shared" si="0"/>
        <v>3</v>
      </c>
      <c r="P41" s="17">
        <f t="shared" si="1"/>
        <v>21</v>
      </c>
      <c r="R41" s="5" t="s">
        <v>159</v>
      </c>
      <c r="S41" s="16">
        <f>SUM(S10:S33)</f>
        <v>182</v>
      </c>
      <c r="T41" s="16">
        <f t="shared" ref="T41:AF41" si="33">SUM(T10:T33)</f>
        <v>39</v>
      </c>
      <c r="U41" s="16">
        <f t="shared" si="33"/>
        <v>27</v>
      </c>
      <c r="V41" s="16">
        <f t="shared" si="33"/>
        <v>24</v>
      </c>
      <c r="W41" s="16">
        <f t="shared" si="33"/>
        <v>0</v>
      </c>
      <c r="X41" s="16">
        <f t="shared" si="33"/>
        <v>0</v>
      </c>
      <c r="Y41" s="16">
        <f t="shared" si="33"/>
        <v>13</v>
      </c>
      <c r="Z41" s="16">
        <f t="shared" si="33"/>
        <v>2</v>
      </c>
      <c r="AA41" s="16">
        <f t="shared" si="33"/>
        <v>1</v>
      </c>
      <c r="AB41" s="16">
        <f t="shared" si="33"/>
        <v>0</v>
      </c>
      <c r="AC41" s="16">
        <f t="shared" si="33"/>
        <v>1760</v>
      </c>
      <c r="AD41" s="16">
        <f t="shared" si="33"/>
        <v>0</v>
      </c>
      <c r="AE41" s="32">
        <f t="shared" si="33"/>
        <v>288</v>
      </c>
      <c r="AF41" s="32">
        <f t="shared" si="33"/>
        <v>2048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24</v>
      </c>
      <c r="N42" s="50">
        <v>0</v>
      </c>
      <c r="O42" s="17">
        <f t="shared" si="0"/>
        <v>2</v>
      </c>
      <c r="P42" s="17">
        <f t="shared" si="1"/>
        <v>26</v>
      </c>
      <c r="R42" s="5" t="s">
        <v>160</v>
      </c>
      <c r="S42" s="48">
        <f>S41/S40</f>
        <v>2.0919540229885056</v>
      </c>
      <c r="T42" s="48">
        <f t="shared" ref="T42:AF42" si="34">T41/T40</f>
        <v>1.5</v>
      </c>
      <c r="U42" s="48">
        <f t="shared" si="34"/>
        <v>1.588235294117647</v>
      </c>
      <c r="V42" s="48">
        <f t="shared" si="34"/>
        <v>2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1.4444444444444444</v>
      </c>
      <c r="Z42" s="48">
        <f t="shared" si="34"/>
        <v>2</v>
      </c>
      <c r="AA42" s="48">
        <f t="shared" si="34"/>
        <v>1</v>
      </c>
      <c r="AB42" s="48" t="e">
        <f t="shared" si="34"/>
        <v>#DIV/0!</v>
      </c>
      <c r="AC42" s="48">
        <f t="shared" si="34"/>
        <v>1.6014558689717926</v>
      </c>
      <c r="AD42" s="48" t="e">
        <f t="shared" si="34"/>
        <v>#DIV/0!</v>
      </c>
      <c r="AE42" s="48">
        <f t="shared" si="34"/>
        <v>1.8823529411764706</v>
      </c>
      <c r="AF42" s="48">
        <f t="shared" si="34"/>
        <v>1.6357827476038338</v>
      </c>
    </row>
    <row r="43" spans="2:32" ht="23.1" customHeight="1" x14ac:dyDescent="0.25">
      <c r="B43" s="45" t="s">
        <v>70</v>
      </c>
      <c r="C43" s="50">
        <v>3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31</v>
      </c>
      <c r="N43" s="50">
        <v>0</v>
      </c>
      <c r="O43" s="17">
        <f t="shared" si="0"/>
        <v>5</v>
      </c>
      <c r="P43" s="17">
        <f t="shared" si="1"/>
        <v>36</v>
      </c>
      <c r="R43"/>
      <c r="S43" s="19"/>
      <c r="T43" s="19"/>
    </row>
    <row r="44" spans="2:32" ht="23.1" customHeight="1" x14ac:dyDescent="0.25">
      <c r="B44" s="47" t="s">
        <v>71</v>
      </c>
      <c r="C44" s="50">
        <v>4</v>
      </c>
      <c r="D44" s="50">
        <v>2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20</v>
      </c>
      <c r="N44" s="50">
        <v>0</v>
      </c>
      <c r="O44" s="17">
        <f t="shared" si="0"/>
        <v>8</v>
      </c>
      <c r="P44" s="17">
        <f t="shared" si="1"/>
        <v>28</v>
      </c>
      <c r="R44"/>
      <c r="S44" s="19"/>
      <c r="T44" s="19"/>
    </row>
    <row r="45" spans="2:32" ht="23.1" customHeight="1" x14ac:dyDescent="0.25">
      <c r="B45" s="45" t="s">
        <v>72</v>
      </c>
      <c r="C45" s="50">
        <v>6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17</v>
      </c>
      <c r="N45" s="50">
        <v>0</v>
      </c>
      <c r="O45" s="17">
        <f t="shared" si="0"/>
        <v>7</v>
      </c>
      <c r="P45" s="17">
        <f t="shared" si="1"/>
        <v>24</v>
      </c>
      <c r="R45"/>
      <c r="S45" s="19"/>
      <c r="T45" s="19"/>
    </row>
    <row r="46" spans="2:32" ht="23.1" customHeight="1" x14ac:dyDescent="0.25">
      <c r="B46" s="46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32</v>
      </c>
      <c r="N46" s="50">
        <v>0</v>
      </c>
      <c r="O46" s="17">
        <f t="shared" si="0"/>
        <v>3</v>
      </c>
      <c r="P46" s="17">
        <f t="shared" si="1"/>
        <v>35</v>
      </c>
      <c r="R46" s="19"/>
      <c r="S46" s="19"/>
      <c r="T46"/>
    </row>
    <row r="47" spans="2:32" ht="23.1" customHeight="1" x14ac:dyDescent="0.25">
      <c r="B47" s="46" t="s">
        <v>74</v>
      </c>
      <c r="C47" s="50">
        <v>2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20</v>
      </c>
      <c r="N47" s="50">
        <v>0</v>
      </c>
      <c r="O47" s="17">
        <f t="shared" si="0"/>
        <v>4</v>
      </c>
      <c r="P47" s="17">
        <f t="shared" si="1"/>
        <v>24</v>
      </c>
      <c r="R47" s="19"/>
      <c r="S47" s="19"/>
      <c r="T47"/>
    </row>
    <row r="48" spans="2:32" ht="23.1" customHeight="1" x14ac:dyDescent="0.25">
      <c r="B48" s="46" t="s">
        <v>75</v>
      </c>
      <c r="C48" s="50">
        <v>3</v>
      </c>
      <c r="D48" s="50">
        <v>2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26</v>
      </c>
      <c r="N48" s="50">
        <v>0</v>
      </c>
      <c r="O48" s="17">
        <f t="shared" si="0"/>
        <v>6</v>
      </c>
      <c r="P48" s="17">
        <f t="shared" si="1"/>
        <v>32</v>
      </c>
      <c r="R48" s="19"/>
      <c r="S48" s="19"/>
      <c r="T48"/>
    </row>
    <row r="49" spans="2:20" ht="23.1" customHeight="1" x14ac:dyDescent="0.25">
      <c r="B49" s="45" t="s">
        <v>76</v>
      </c>
      <c r="C49" s="50">
        <v>4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26</v>
      </c>
      <c r="N49" s="50">
        <v>0</v>
      </c>
      <c r="O49" s="17">
        <f t="shared" si="0"/>
        <v>7</v>
      </c>
      <c r="P49" s="17">
        <f t="shared" si="1"/>
        <v>33</v>
      </c>
      <c r="R49" s="19"/>
      <c r="S49" s="19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30</v>
      </c>
      <c r="N50" s="50">
        <v>0</v>
      </c>
      <c r="O50" s="17">
        <f t="shared" si="0"/>
        <v>1</v>
      </c>
      <c r="P50" s="17">
        <f t="shared" si="1"/>
        <v>31</v>
      </c>
      <c r="R50" s="19"/>
      <c r="S50" s="19"/>
      <c r="T50"/>
    </row>
    <row r="51" spans="2:20" ht="23.1" customHeight="1" x14ac:dyDescent="0.25">
      <c r="B51" s="46" t="s">
        <v>78</v>
      </c>
      <c r="C51" s="50">
        <v>2</v>
      </c>
      <c r="D51" s="50">
        <v>1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22</v>
      </c>
      <c r="N51" s="50">
        <v>0</v>
      </c>
      <c r="O51" s="17">
        <f t="shared" si="0"/>
        <v>4</v>
      </c>
      <c r="P51" s="17">
        <f t="shared" si="1"/>
        <v>26</v>
      </c>
      <c r="R51" s="19"/>
      <c r="S51" s="19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23</v>
      </c>
      <c r="N52" s="50">
        <v>0</v>
      </c>
      <c r="O52" s="17">
        <f t="shared" si="0"/>
        <v>4</v>
      </c>
      <c r="P52" s="17">
        <f t="shared" si="1"/>
        <v>27</v>
      </c>
      <c r="R52" s="19"/>
      <c r="S52" s="19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18</v>
      </c>
      <c r="N53" s="50">
        <v>0</v>
      </c>
      <c r="O53" s="17">
        <f t="shared" si="0"/>
        <v>3</v>
      </c>
      <c r="P53" s="17">
        <f t="shared" si="1"/>
        <v>21</v>
      </c>
      <c r="R53" s="19"/>
      <c r="S53" s="19"/>
      <c r="T53"/>
    </row>
    <row r="54" spans="2:20" ht="23.1" customHeight="1" x14ac:dyDescent="0.25">
      <c r="B54" s="45" t="s">
        <v>81</v>
      </c>
      <c r="C54" s="50">
        <v>0</v>
      </c>
      <c r="D54" s="50">
        <v>3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29</v>
      </c>
      <c r="N54" s="50">
        <v>0</v>
      </c>
      <c r="O54" s="17">
        <f t="shared" si="0"/>
        <v>5</v>
      </c>
      <c r="P54" s="17">
        <f t="shared" si="1"/>
        <v>34</v>
      </c>
      <c r="R54" s="19"/>
      <c r="S54" s="19"/>
      <c r="T54"/>
    </row>
    <row r="55" spans="2:20" ht="23.1" customHeight="1" x14ac:dyDescent="0.25">
      <c r="B55" s="45" t="s">
        <v>82</v>
      </c>
      <c r="C55" s="50">
        <v>1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20</v>
      </c>
      <c r="N55" s="50">
        <v>0</v>
      </c>
      <c r="O55" s="17">
        <f t="shared" si="0"/>
        <v>2</v>
      </c>
      <c r="P55" s="17">
        <f t="shared" si="1"/>
        <v>22</v>
      </c>
      <c r="R55" s="19"/>
      <c r="S55" s="19"/>
      <c r="T55"/>
    </row>
    <row r="56" spans="2:20" ht="23.1" customHeight="1" x14ac:dyDescent="0.25">
      <c r="B56" s="45" t="s">
        <v>83</v>
      </c>
      <c r="C56" s="50">
        <v>0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24</v>
      </c>
      <c r="N56" s="50">
        <v>0</v>
      </c>
      <c r="O56" s="17">
        <f t="shared" si="0"/>
        <v>2</v>
      </c>
      <c r="P56" s="17">
        <f t="shared" si="1"/>
        <v>26</v>
      </c>
      <c r="R56" s="19"/>
      <c r="S56" s="19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22</v>
      </c>
      <c r="N57" s="50">
        <v>0</v>
      </c>
      <c r="O57" s="17">
        <f t="shared" si="0"/>
        <v>3</v>
      </c>
      <c r="P57" s="17">
        <f t="shared" si="1"/>
        <v>25</v>
      </c>
      <c r="R57" s="19"/>
      <c r="S57" s="19"/>
      <c r="T57"/>
    </row>
    <row r="58" spans="2:20" ht="23.1" customHeight="1" x14ac:dyDescent="0.25">
      <c r="B58" s="45" t="s">
        <v>99</v>
      </c>
      <c r="C58" s="50">
        <v>4</v>
      </c>
      <c r="D58" s="50">
        <v>2</v>
      </c>
      <c r="E58" s="50">
        <v>1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23</v>
      </c>
      <c r="N58" s="50">
        <v>0</v>
      </c>
      <c r="O58" s="17">
        <f t="shared" si="0"/>
        <v>7</v>
      </c>
      <c r="P58" s="17">
        <f t="shared" si="1"/>
        <v>30</v>
      </c>
      <c r="R58" s="19"/>
      <c r="S58" s="19"/>
      <c r="T58"/>
    </row>
    <row r="59" spans="2:20" ht="23.1" customHeight="1" x14ac:dyDescent="0.25">
      <c r="B59" s="45" t="s">
        <v>100</v>
      </c>
      <c r="C59" s="50">
        <v>1</v>
      </c>
      <c r="D59" s="50">
        <v>1</v>
      </c>
      <c r="E59" s="50">
        <v>1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31</v>
      </c>
      <c r="N59" s="50">
        <v>0</v>
      </c>
      <c r="O59" s="17">
        <f t="shared" si="0"/>
        <v>4</v>
      </c>
      <c r="P59" s="17">
        <f t="shared" si="1"/>
        <v>35</v>
      </c>
      <c r="R59" s="19"/>
      <c r="S59" s="19"/>
      <c r="T59"/>
    </row>
    <row r="60" spans="2:20" ht="23.1" customHeight="1" x14ac:dyDescent="0.25">
      <c r="B60" s="45" t="s">
        <v>101</v>
      </c>
      <c r="C60" s="50">
        <v>3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38</v>
      </c>
      <c r="N60" s="50">
        <v>0</v>
      </c>
      <c r="O60" s="17">
        <f t="shared" si="0"/>
        <v>4</v>
      </c>
      <c r="P60" s="17">
        <f t="shared" si="1"/>
        <v>42</v>
      </c>
      <c r="R60" s="19"/>
      <c r="S60" s="19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1</v>
      </c>
      <c r="F61" s="50">
        <v>1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26</v>
      </c>
      <c r="N61" s="50">
        <v>0</v>
      </c>
      <c r="O61" s="17">
        <f t="shared" si="0"/>
        <v>4</v>
      </c>
      <c r="P61" s="17">
        <f t="shared" si="1"/>
        <v>30</v>
      </c>
      <c r="R61" s="19"/>
      <c r="S61" s="19"/>
      <c r="T61"/>
    </row>
    <row r="62" spans="2:20" ht="23.1" customHeight="1" x14ac:dyDescent="0.25">
      <c r="B62" s="45" t="s">
        <v>107</v>
      </c>
      <c r="C62" s="50">
        <v>4</v>
      </c>
      <c r="D62" s="50">
        <v>2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44</v>
      </c>
      <c r="N62" s="50">
        <v>0</v>
      </c>
      <c r="O62" s="17">
        <f t="shared" si="0"/>
        <v>6</v>
      </c>
      <c r="P62" s="17">
        <f t="shared" si="1"/>
        <v>50</v>
      </c>
      <c r="R62" s="19"/>
      <c r="S62" s="19"/>
      <c r="T62"/>
    </row>
    <row r="63" spans="2:20" ht="23.1" customHeight="1" x14ac:dyDescent="0.25">
      <c r="B63" s="45" t="s">
        <v>108</v>
      </c>
      <c r="C63" s="50">
        <v>4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33</v>
      </c>
      <c r="N63" s="50">
        <v>0</v>
      </c>
      <c r="O63" s="17">
        <f t="shared" si="0"/>
        <v>5</v>
      </c>
      <c r="P63" s="17">
        <f t="shared" si="1"/>
        <v>38</v>
      </c>
      <c r="R63" s="19"/>
      <c r="S63" s="19"/>
      <c r="T63"/>
    </row>
    <row r="64" spans="2:20" ht="23.1" customHeight="1" x14ac:dyDescent="0.25">
      <c r="B64" s="45" t="s">
        <v>109</v>
      </c>
      <c r="C64" s="50">
        <v>5</v>
      </c>
      <c r="D64" s="50">
        <v>1</v>
      </c>
      <c r="E64" s="50">
        <v>1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26</v>
      </c>
      <c r="N64" s="50">
        <v>0</v>
      </c>
      <c r="O64" s="17">
        <f t="shared" si="0"/>
        <v>8</v>
      </c>
      <c r="P64" s="17">
        <f t="shared" si="1"/>
        <v>34</v>
      </c>
      <c r="R64" s="19"/>
      <c r="S64" s="19"/>
      <c r="T64"/>
    </row>
    <row r="65" spans="2:20" ht="23.1" customHeight="1" x14ac:dyDescent="0.25">
      <c r="B65" s="45" t="s">
        <v>158</v>
      </c>
      <c r="C65" s="50">
        <v>4</v>
      </c>
      <c r="D65" s="50">
        <v>0</v>
      </c>
      <c r="E65" s="50">
        <v>0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27</v>
      </c>
      <c r="N65" s="50">
        <v>0</v>
      </c>
      <c r="O65" s="17">
        <f t="shared" si="0"/>
        <v>5</v>
      </c>
      <c r="P65" s="17">
        <f t="shared" si="1"/>
        <v>32</v>
      </c>
      <c r="R65" s="19"/>
      <c r="S65" s="19"/>
      <c r="T65"/>
    </row>
    <row r="66" spans="2:20" ht="23.1" customHeight="1" x14ac:dyDescent="0.25">
      <c r="B66" s="45" t="s">
        <v>103</v>
      </c>
      <c r="C66" s="50">
        <v>2</v>
      </c>
      <c r="D66" s="50">
        <v>1</v>
      </c>
      <c r="E66" s="50">
        <v>0</v>
      </c>
      <c r="F66" s="50">
        <v>0</v>
      </c>
      <c r="G66" s="50">
        <v>0</v>
      </c>
      <c r="H66" s="50">
        <v>0</v>
      </c>
      <c r="I66" s="50">
        <v>1</v>
      </c>
      <c r="J66" s="50">
        <v>1</v>
      </c>
      <c r="K66" s="50">
        <v>0</v>
      </c>
      <c r="L66" s="50">
        <v>0</v>
      </c>
      <c r="M66" s="50">
        <v>26</v>
      </c>
      <c r="N66" s="50">
        <v>0</v>
      </c>
      <c r="O66" s="17">
        <f t="shared" si="0"/>
        <v>5</v>
      </c>
      <c r="P66" s="17">
        <f t="shared" si="1"/>
        <v>31</v>
      </c>
      <c r="R66" s="19"/>
      <c r="S66" s="19"/>
      <c r="T66"/>
    </row>
    <row r="67" spans="2:20" ht="23.1" customHeight="1" x14ac:dyDescent="0.25">
      <c r="B67" s="45" t="s">
        <v>104</v>
      </c>
      <c r="C67" s="50">
        <v>3</v>
      </c>
      <c r="D67" s="50">
        <v>2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25</v>
      </c>
      <c r="N67" s="50">
        <v>0</v>
      </c>
      <c r="O67" s="17">
        <f t="shared" si="0"/>
        <v>5</v>
      </c>
      <c r="P67" s="17">
        <f t="shared" si="1"/>
        <v>30</v>
      </c>
      <c r="R67" s="19"/>
      <c r="S67" s="19"/>
      <c r="T67"/>
    </row>
    <row r="68" spans="2:20" ht="23.1" customHeight="1" x14ac:dyDescent="0.25">
      <c r="B68" s="45" t="s">
        <v>105</v>
      </c>
      <c r="C68" s="50">
        <v>7</v>
      </c>
      <c r="D68" s="50">
        <v>1</v>
      </c>
      <c r="E68" s="50">
        <v>3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35</v>
      </c>
      <c r="N68" s="50">
        <v>0</v>
      </c>
      <c r="O68" s="17">
        <f t="shared" si="0"/>
        <v>12</v>
      </c>
      <c r="P68" s="17">
        <f t="shared" si="1"/>
        <v>47</v>
      </c>
      <c r="R68" s="19"/>
      <c r="S68" s="19"/>
      <c r="T68"/>
    </row>
    <row r="69" spans="2:20" ht="23.1" customHeight="1" x14ac:dyDescent="0.25">
      <c r="B69" s="45" t="s">
        <v>106</v>
      </c>
      <c r="C69" s="50">
        <v>5</v>
      </c>
      <c r="D69" s="50">
        <v>1</v>
      </c>
      <c r="E69" s="50">
        <v>0</v>
      </c>
      <c r="F69" s="50">
        <v>1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19</v>
      </c>
      <c r="N69" s="50">
        <v>0</v>
      </c>
      <c r="O69" s="17">
        <f t="shared" si="0"/>
        <v>7</v>
      </c>
      <c r="P69" s="17">
        <f t="shared" si="1"/>
        <v>26</v>
      </c>
      <c r="R69" s="19"/>
      <c r="S69" s="19"/>
      <c r="T69"/>
    </row>
    <row r="70" spans="2:20" ht="23.1" customHeight="1" x14ac:dyDescent="0.25">
      <c r="B70" s="45" t="s">
        <v>110</v>
      </c>
      <c r="C70" s="50">
        <v>7</v>
      </c>
      <c r="D70" s="50">
        <v>0</v>
      </c>
      <c r="E70" s="50">
        <v>0</v>
      </c>
      <c r="F70" s="50">
        <v>2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31</v>
      </c>
      <c r="N70" s="50">
        <v>0</v>
      </c>
      <c r="O70" s="17">
        <f t="shared" si="0"/>
        <v>9</v>
      </c>
      <c r="P70" s="17">
        <f t="shared" si="1"/>
        <v>40</v>
      </c>
      <c r="R70" s="19"/>
      <c r="S70" s="19"/>
      <c r="T70"/>
    </row>
    <row r="71" spans="2:20" ht="23.1" customHeight="1" x14ac:dyDescent="0.25">
      <c r="B71" s="45" t="s">
        <v>111</v>
      </c>
      <c r="C71" s="50">
        <v>8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26</v>
      </c>
      <c r="N71" s="50">
        <v>0</v>
      </c>
      <c r="O71" s="17">
        <f t="shared" si="0"/>
        <v>8</v>
      </c>
      <c r="P71" s="17">
        <f t="shared" si="1"/>
        <v>34</v>
      </c>
      <c r="R71" s="19"/>
      <c r="S71" s="19"/>
      <c r="T71"/>
    </row>
    <row r="72" spans="2:20" ht="23.1" customHeight="1" x14ac:dyDescent="0.25">
      <c r="B72" s="45" t="s">
        <v>112</v>
      </c>
      <c r="C72" s="50">
        <v>7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30</v>
      </c>
      <c r="N72" s="50">
        <v>0</v>
      </c>
      <c r="O72" s="17">
        <f t="shared" si="0"/>
        <v>7</v>
      </c>
      <c r="P72" s="17">
        <f t="shared" si="1"/>
        <v>37</v>
      </c>
      <c r="R72" s="19"/>
      <c r="S72" s="19"/>
      <c r="T72"/>
    </row>
    <row r="73" spans="2:20" ht="23.1" customHeight="1" x14ac:dyDescent="0.25">
      <c r="B73" s="45" t="s">
        <v>113</v>
      </c>
      <c r="C73" s="50">
        <v>7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17</v>
      </c>
      <c r="N73" s="50">
        <v>0</v>
      </c>
      <c r="O73" s="17">
        <f t="shared" si="0"/>
        <v>7</v>
      </c>
      <c r="P73" s="17">
        <f t="shared" si="1"/>
        <v>24</v>
      </c>
      <c r="R73" s="19"/>
      <c r="S73" s="19"/>
      <c r="T73"/>
    </row>
    <row r="74" spans="2:20" ht="23.1" customHeight="1" x14ac:dyDescent="0.25">
      <c r="B74" s="45" t="s">
        <v>114</v>
      </c>
      <c r="C74" s="50">
        <v>3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29</v>
      </c>
      <c r="N74" s="50">
        <v>0</v>
      </c>
      <c r="O74" s="17">
        <f t="shared" ref="O74:O105" si="35">SUM(C74:L74,N74)</f>
        <v>3</v>
      </c>
      <c r="P74" s="17">
        <f t="shared" ref="P74:P105" si="36">SUM(C74:N74)</f>
        <v>32</v>
      </c>
      <c r="R74" s="19"/>
      <c r="S74" s="19"/>
      <c r="T74"/>
    </row>
    <row r="75" spans="2:20" ht="23.1" customHeight="1" x14ac:dyDescent="0.25">
      <c r="B75" s="45" t="s">
        <v>115</v>
      </c>
      <c r="C75" s="50">
        <v>1</v>
      </c>
      <c r="D75" s="50">
        <v>1</v>
      </c>
      <c r="E75" s="50">
        <v>1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13</v>
      </c>
      <c r="N75" s="50">
        <v>0</v>
      </c>
      <c r="O75" s="17">
        <f t="shared" si="35"/>
        <v>3</v>
      </c>
      <c r="P75" s="17">
        <f t="shared" si="36"/>
        <v>16</v>
      </c>
      <c r="R75" s="19"/>
      <c r="S75" s="19"/>
      <c r="T75"/>
    </row>
    <row r="76" spans="2:20" ht="23.1" customHeight="1" x14ac:dyDescent="0.25">
      <c r="B76" s="45" t="s">
        <v>116</v>
      </c>
      <c r="C76" s="50">
        <v>4</v>
      </c>
      <c r="D76" s="50">
        <v>0</v>
      </c>
      <c r="E76" s="50">
        <v>1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14</v>
      </c>
      <c r="N76" s="50">
        <v>0</v>
      </c>
      <c r="O76" s="17">
        <f t="shared" si="35"/>
        <v>6</v>
      </c>
      <c r="P76" s="17">
        <f t="shared" si="36"/>
        <v>20</v>
      </c>
      <c r="R76" s="19"/>
      <c r="S76" s="19"/>
      <c r="T76"/>
    </row>
    <row r="77" spans="2:20" ht="23.1" customHeight="1" x14ac:dyDescent="0.25">
      <c r="B77" s="45" t="s">
        <v>117</v>
      </c>
      <c r="C77" s="50">
        <v>4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7</v>
      </c>
      <c r="N77" s="50">
        <v>0</v>
      </c>
      <c r="O77" s="17">
        <f t="shared" si="35"/>
        <v>4</v>
      </c>
      <c r="P77" s="17">
        <f t="shared" si="36"/>
        <v>11</v>
      </c>
      <c r="R77" s="19"/>
      <c r="S77" s="19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1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16</v>
      </c>
      <c r="N78" s="50">
        <v>0</v>
      </c>
      <c r="O78" s="17">
        <f t="shared" si="35"/>
        <v>2</v>
      </c>
      <c r="P78" s="17">
        <f t="shared" si="36"/>
        <v>18</v>
      </c>
      <c r="R78" s="19"/>
      <c r="S78" s="19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9</v>
      </c>
      <c r="N79" s="50">
        <v>0</v>
      </c>
      <c r="O79" s="17">
        <f t="shared" si="35"/>
        <v>0</v>
      </c>
      <c r="P79" s="17">
        <f t="shared" si="36"/>
        <v>9</v>
      </c>
      <c r="R79" s="19"/>
      <c r="S79" s="19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6</v>
      </c>
      <c r="N80" s="50">
        <v>0</v>
      </c>
      <c r="O80" s="17">
        <f t="shared" si="35"/>
        <v>0</v>
      </c>
      <c r="P80" s="17">
        <f t="shared" si="36"/>
        <v>6</v>
      </c>
      <c r="R80" s="19"/>
      <c r="S80" s="19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6</v>
      </c>
      <c r="N81" s="50">
        <v>0</v>
      </c>
      <c r="O81" s="17">
        <f t="shared" si="35"/>
        <v>0</v>
      </c>
      <c r="P81" s="17">
        <f t="shared" si="36"/>
        <v>6</v>
      </c>
      <c r="R81" s="19"/>
      <c r="S81" s="19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4</v>
      </c>
      <c r="N82" s="50">
        <v>0</v>
      </c>
      <c r="O82" s="17">
        <f t="shared" si="35"/>
        <v>0</v>
      </c>
      <c r="P82" s="17">
        <f t="shared" si="36"/>
        <v>4</v>
      </c>
      <c r="R82" s="19"/>
      <c r="S82" s="19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8</v>
      </c>
      <c r="N83" s="50">
        <v>0</v>
      </c>
      <c r="O83" s="17">
        <f t="shared" si="35"/>
        <v>1</v>
      </c>
      <c r="P83" s="17">
        <f t="shared" si="36"/>
        <v>9</v>
      </c>
      <c r="R83" s="19"/>
      <c r="S83" s="19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6</v>
      </c>
      <c r="N84" s="50">
        <v>0</v>
      </c>
      <c r="O84" s="17">
        <f t="shared" si="35"/>
        <v>1</v>
      </c>
      <c r="P84" s="17">
        <f t="shared" si="36"/>
        <v>7</v>
      </c>
      <c r="R84" s="19"/>
      <c r="S84" s="19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3</v>
      </c>
      <c r="N85" s="50">
        <v>0</v>
      </c>
      <c r="O85" s="17">
        <f t="shared" si="35"/>
        <v>0</v>
      </c>
      <c r="P85" s="17">
        <f t="shared" si="36"/>
        <v>3</v>
      </c>
      <c r="R85" s="19"/>
      <c r="S85" s="19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7">
        <f t="shared" si="35"/>
        <v>0</v>
      </c>
      <c r="P86" s="17">
        <f t="shared" si="36"/>
        <v>3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7">
        <f t="shared" si="35"/>
        <v>0</v>
      </c>
      <c r="P87" s="17">
        <f t="shared" si="36"/>
        <v>0</v>
      </c>
      <c r="R87" s="19"/>
      <c r="S87" s="19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7">
        <f t="shared" si="35"/>
        <v>0</v>
      </c>
      <c r="P88" s="17">
        <f t="shared" si="36"/>
        <v>1</v>
      </c>
      <c r="R88" s="19"/>
      <c r="S88" s="19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3</v>
      </c>
      <c r="N89" s="50">
        <v>0</v>
      </c>
      <c r="O89" s="17">
        <f t="shared" si="35"/>
        <v>0</v>
      </c>
      <c r="P89" s="17">
        <f t="shared" si="36"/>
        <v>3</v>
      </c>
      <c r="R89" s="19"/>
      <c r="S89" s="19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2</v>
      </c>
      <c r="N90" s="50">
        <v>0</v>
      </c>
      <c r="O90" s="17">
        <f t="shared" si="35"/>
        <v>0</v>
      </c>
      <c r="P90" s="17">
        <f t="shared" si="36"/>
        <v>2</v>
      </c>
      <c r="R90" s="19"/>
      <c r="S90" s="19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7">
        <f t="shared" si="35"/>
        <v>1</v>
      </c>
      <c r="P91" s="17">
        <f t="shared" si="36"/>
        <v>3</v>
      </c>
      <c r="R91" s="19"/>
      <c r="S91" s="19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7">
        <f t="shared" si="35"/>
        <v>1</v>
      </c>
      <c r="P92" s="17">
        <f t="shared" si="36"/>
        <v>1</v>
      </c>
      <c r="R92" s="19"/>
      <c r="S92" s="19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3</v>
      </c>
      <c r="N93" s="50">
        <v>0</v>
      </c>
      <c r="O93" s="17">
        <f t="shared" si="35"/>
        <v>1</v>
      </c>
      <c r="P93" s="17">
        <f t="shared" si="36"/>
        <v>4</v>
      </c>
      <c r="R93" s="19"/>
      <c r="S93" s="19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7">
        <f t="shared" si="35"/>
        <v>0</v>
      </c>
      <c r="P94" s="17">
        <f t="shared" si="36"/>
        <v>4</v>
      </c>
      <c r="R94" s="19"/>
      <c r="S94" s="19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3</v>
      </c>
      <c r="N95" s="50">
        <v>0</v>
      </c>
      <c r="O95" s="17">
        <f t="shared" si="35"/>
        <v>0</v>
      </c>
      <c r="P95" s="17">
        <f t="shared" si="36"/>
        <v>3</v>
      </c>
      <c r="R95" s="19"/>
      <c r="S95" s="19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7">
        <f t="shared" si="35"/>
        <v>1</v>
      </c>
      <c r="P96" s="17">
        <f t="shared" si="36"/>
        <v>4</v>
      </c>
      <c r="R96" s="19"/>
      <c r="S96" s="19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7">
        <f t="shared" si="35"/>
        <v>2</v>
      </c>
      <c r="P97" s="17">
        <f t="shared" si="36"/>
        <v>6</v>
      </c>
      <c r="R97" s="19"/>
      <c r="S97" s="19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7">
        <f t="shared" si="35"/>
        <v>0</v>
      </c>
      <c r="P98" s="17">
        <f t="shared" si="36"/>
        <v>1</v>
      </c>
      <c r="R98" s="19"/>
      <c r="S98" s="19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3</v>
      </c>
      <c r="N99" s="50">
        <v>0</v>
      </c>
      <c r="O99" s="17">
        <f t="shared" si="35"/>
        <v>1</v>
      </c>
      <c r="P99" s="17">
        <f t="shared" si="36"/>
        <v>4</v>
      </c>
      <c r="R99" s="19"/>
      <c r="S99" s="19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7">
        <f t="shared" si="35"/>
        <v>0</v>
      </c>
      <c r="P100" s="17">
        <f t="shared" si="36"/>
        <v>3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7">
        <f t="shared" si="35"/>
        <v>0</v>
      </c>
      <c r="P101" s="17">
        <f t="shared" si="36"/>
        <v>2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7">
        <f t="shared" si="35"/>
        <v>1</v>
      </c>
      <c r="P102" s="17">
        <f t="shared" si="36"/>
        <v>4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1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9</v>
      </c>
      <c r="N103" s="50">
        <v>0</v>
      </c>
      <c r="O103" s="17">
        <f t="shared" si="35"/>
        <v>3</v>
      </c>
      <c r="P103" s="17">
        <f t="shared" si="36"/>
        <v>12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20</v>
      </c>
      <c r="N104" s="50">
        <v>0</v>
      </c>
      <c r="O104" s="17">
        <f t="shared" si="35"/>
        <v>1</v>
      </c>
      <c r="P104" s="17">
        <f t="shared" si="36"/>
        <v>21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14</v>
      </c>
      <c r="N105" s="50">
        <v>0</v>
      </c>
      <c r="O105" s="17">
        <f t="shared" si="35"/>
        <v>0</v>
      </c>
      <c r="P105" s="17">
        <f t="shared" si="36"/>
        <v>14</v>
      </c>
      <c r="R105" s="19"/>
      <c r="S105" s="19"/>
      <c r="T105"/>
    </row>
    <row r="106" spans="2:20" ht="23.1" customHeight="1" x14ac:dyDescent="0.25">
      <c r="B106" s="53" t="s">
        <v>18</v>
      </c>
      <c r="C106" s="16">
        <f>SUM(C10:C105)</f>
        <v>182</v>
      </c>
      <c r="D106" s="16">
        <f t="shared" ref="D106:P106" si="37">SUM(D10:D105)</f>
        <v>39</v>
      </c>
      <c r="E106" s="16">
        <f t="shared" si="37"/>
        <v>27</v>
      </c>
      <c r="F106" s="16">
        <f t="shared" si="37"/>
        <v>24</v>
      </c>
      <c r="G106" s="16">
        <f t="shared" si="37"/>
        <v>0</v>
      </c>
      <c r="H106" s="16">
        <f t="shared" si="37"/>
        <v>0</v>
      </c>
      <c r="I106" s="16">
        <f t="shared" si="37"/>
        <v>13</v>
      </c>
      <c r="J106" s="16">
        <f t="shared" si="37"/>
        <v>2</v>
      </c>
      <c r="K106" s="16">
        <f t="shared" si="37"/>
        <v>1</v>
      </c>
      <c r="L106" s="16">
        <f t="shared" si="37"/>
        <v>0</v>
      </c>
      <c r="M106" s="16">
        <f t="shared" si="37"/>
        <v>1760</v>
      </c>
      <c r="N106" s="16">
        <f t="shared" si="37"/>
        <v>0</v>
      </c>
      <c r="O106" s="16">
        <f t="shared" si="37"/>
        <v>288</v>
      </c>
      <c r="P106" s="16">
        <f t="shared" si="37"/>
        <v>2048</v>
      </c>
      <c r="R106" s="19"/>
      <c r="S106" s="19"/>
      <c r="T106"/>
    </row>
    <row r="107" spans="2:20" ht="23.1" customHeight="1" x14ac:dyDescent="0.25">
      <c r="B107" s="53" t="s">
        <v>93</v>
      </c>
      <c r="C107" s="43">
        <f t="shared" ref="C107:N107" si="38">C106/$P$106</f>
        <v>8.88671875E-2</v>
      </c>
      <c r="D107" s="43">
        <f t="shared" si="38"/>
        <v>1.904296875E-2</v>
      </c>
      <c r="E107" s="43">
        <f t="shared" si="38"/>
        <v>1.318359375E-2</v>
      </c>
      <c r="F107" s="43">
        <f t="shared" si="38"/>
        <v>1.171875E-2</v>
      </c>
      <c r="G107" s="43">
        <f t="shared" si="38"/>
        <v>0</v>
      </c>
      <c r="H107" s="43">
        <f t="shared" si="38"/>
        <v>0</v>
      </c>
      <c r="I107" s="43">
        <f t="shared" si="38"/>
        <v>6.34765625E-3</v>
      </c>
      <c r="J107" s="43">
        <f t="shared" si="38"/>
        <v>9.765625E-4</v>
      </c>
      <c r="K107" s="43">
        <f t="shared" si="38"/>
        <v>4.8828125E-4</v>
      </c>
      <c r="L107" s="43">
        <f t="shared" si="38"/>
        <v>0</v>
      </c>
      <c r="M107" s="43">
        <f t="shared" si="38"/>
        <v>0.859375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54" t="s">
        <v>94</v>
      </c>
      <c r="C108" s="44">
        <f>C106/$O$106</f>
        <v>0.63194444444444442</v>
      </c>
      <c r="D108" s="44">
        <f t="shared" ref="D108:N108" si="39">D106/$O$106</f>
        <v>0.13541666666666666</v>
      </c>
      <c r="E108" s="44">
        <f t="shared" si="39"/>
        <v>9.375E-2</v>
      </c>
      <c r="F108" s="44">
        <f t="shared" si="39"/>
        <v>8.3333333333333329E-2</v>
      </c>
      <c r="G108" s="44">
        <f t="shared" si="39"/>
        <v>0</v>
      </c>
      <c r="H108" s="44">
        <f t="shared" si="39"/>
        <v>0</v>
      </c>
      <c r="I108" s="44">
        <f t="shared" si="39"/>
        <v>4.5138888888888888E-2</v>
      </c>
      <c r="J108" s="44">
        <f t="shared" si="39"/>
        <v>6.9444444444444441E-3</v>
      </c>
      <c r="K108" s="44">
        <f t="shared" si="39"/>
        <v>3.472222222222222E-3</v>
      </c>
      <c r="L108" s="44">
        <f t="shared" si="39"/>
        <v>0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 s="19"/>
      <c r="T118" s="19"/>
      <c r="U118"/>
      <c r="V118"/>
      <c r="W118"/>
      <c r="X118"/>
      <c r="Y118"/>
      <c r="Z118"/>
      <c r="AA118"/>
      <c r="AB118"/>
      <c r="AC118"/>
      <c r="AD118"/>
      <c r="AE118"/>
      <c r="AF118"/>
    </row>
    <row r="119" spans="1:32" s="7" customFormat="1" ht="23.1" customHeight="1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 s="19"/>
      <c r="T119" s="19"/>
      <c r="U119"/>
      <c r="V119"/>
      <c r="W119"/>
      <c r="X119"/>
      <c r="Y119"/>
      <c r="Z119"/>
      <c r="AA119"/>
      <c r="AB119"/>
      <c r="AC119"/>
      <c r="AD119"/>
      <c r="AE119"/>
      <c r="AF119"/>
    </row>
    <row r="120" spans="1:32" s="7" customFormat="1" ht="23.1" customHeight="1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 s="19"/>
      <c r="T120" s="19"/>
      <c r="U120"/>
      <c r="V120"/>
      <c r="W120"/>
      <c r="X120"/>
      <c r="Y120"/>
      <c r="Z120"/>
      <c r="AA120"/>
      <c r="AB120"/>
      <c r="AC120"/>
      <c r="AD120"/>
      <c r="AE120"/>
      <c r="AF120"/>
    </row>
    <row r="121" spans="1:32" s="7" customFormat="1" ht="23.1" customHeight="1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 s="19"/>
      <c r="T121" s="19"/>
      <c r="U121"/>
      <c r="V121"/>
      <c r="W121"/>
      <c r="X121"/>
      <c r="Y121"/>
      <c r="Z121"/>
      <c r="AA121"/>
      <c r="AB121"/>
      <c r="AC121"/>
      <c r="AD121"/>
      <c r="AE121"/>
      <c r="AF121"/>
    </row>
    <row r="122" spans="1:32" s="7" customFormat="1" ht="23.1" customHeight="1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 s="19"/>
      <c r="T122" s="19"/>
      <c r="U122"/>
      <c r="V122"/>
      <c r="W122"/>
      <c r="X122"/>
      <c r="Y122"/>
      <c r="Z122"/>
      <c r="AA122"/>
      <c r="AB122"/>
      <c r="AC122"/>
      <c r="AD122"/>
      <c r="AE122"/>
      <c r="AF122"/>
    </row>
    <row r="123" spans="1:32" s="7" customFormat="1" ht="23.1" customHeight="1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 s="19"/>
      <c r="T123" s="19"/>
      <c r="U123"/>
      <c r="V123"/>
      <c r="W123"/>
      <c r="X123"/>
      <c r="Y123"/>
      <c r="Z123"/>
      <c r="AA123"/>
      <c r="AB123"/>
      <c r="AC123"/>
      <c r="AD123"/>
      <c r="AE123"/>
      <c r="AF123"/>
    </row>
    <row r="124" spans="1:32" s="7" customFormat="1" ht="23.1" customHeight="1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 s="19"/>
      <c r="T124" s="19"/>
      <c r="U124"/>
      <c r="V124"/>
      <c r="W124"/>
      <c r="X124"/>
      <c r="Y124"/>
      <c r="Z124"/>
      <c r="AA124"/>
      <c r="AB124"/>
      <c r="AC124"/>
      <c r="AD124"/>
      <c r="AE124"/>
      <c r="AF124"/>
    </row>
    <row r="125" spans="1:32" s="7" customFormat="1" ht="23.1" customHeight="1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 s="19"/>
      <c r="T125" s="19"/>
      <c r="U125"/>
      <c r="V125"/>
      <c r="W125"/>
      <c r="X125"/>
      <c r="Y125"/>
      <c r="Z125"/>
      <c r="AA125"/>
      <c r="AB125"/>
      <c r="AC125"/>
      <c r="AD125"/>
      <c r="AE125"/>
      <c r="AF125"/>
    </row>
    <row r="126" spans="1:32" s="7" customFormat="1" ht="23.1" customHeight="1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 s="19"/>
      <c r="T126" s="19"/>
      <c r="U126"/>
      <c r="V126"/>
      <c r="W126"/>
      <c r="X126"/>
      <c r="Y126"/>
      <c r="Z126"/>
      <c r="AA126"/>
      <c r="AB126"/>
      <c r="AC126"/>
      <c r="AD126"/>
      <c r="AE126"/>
      <c r="AF126"/>
    </row>
    <row r="127" spans="1:32" s="7" customFormat="1" ht="23.1" customHeight="1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 s="19"/>
      <c r="T127" s="19"/>
      <c r="U127"/>
      <c r="V127"/>
      <c r="W127"/>
      <c r="X127"/>
      <c r="Y127"/>
      <c r="Z127"/>
      <c r="AA127"/>
      <c r="AB127"/>
      <c r="AC127"/>
      <c r="AD127"/>
      <c r="AE127"/>
      <c r="AF127"/>
    </row>
    <row r="128" spans="1:32" s="7" customFormat="1" ht="23.1" customHeight="1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 s="19"/>
      <c r="T128" s="19"/>
      <c r="U128"/>
      <c r="V128"/>
      <c r="W128"/>
      <c r="X128"/>
      <c r="Y128"/>
      <c r="Z128"/>
      <c r="AA128"/>
      <c r="AB128"/>
      <c r="AC128"/>
      <c r="AD128"/>
      <c r="AE128"/>
      <c r="AF128"/>
    </row>
    <row r="129" spans="18:20" ht="23.1" customHeight="1" x14ac:dyDescent="0.25">
      <c r="R129"/>
      <c r="S129" s="19"/>
      <c r="T129" s="19"/>
    </row>
    <row r="130" spans="18:20" ht="23.1" customHeight="1" x14ac:dyDescent="0.25">
      <c r="R130"/>
      <c r="S130" s="19"/>
      <c r="T130" s="19"/>
    </row>
    <row r="131" spans="18:20" ht="23.1" customHeight="1" x14ac:dyDescent="0.25">
      <c r="R131"/>
      <c r="S131" s="19"/>
      <c r="T131" s="19"/>
    </row>
    <row r="132" spans="18:20" ht="23.1" customHeight="1" x14ac:dyDescent="0.25">
      <c r="R132"/>
      <c r="S132" s="19"/>
      <c r="T132" s="19"/>
    </row>
    <row r="133" spans="18:20" ht="23.1" customHeight="1" x14ac:dyDescent="0.25">
      <c r="R133"/>
      <c r="S133" s="19"/>
      <c r="T133" s="19"/>
    </row>
    <row r="134" spans="18:20" ht="23.1" customHeight="1" x14ac:dyDescent="0.25">
      <c r="R134"/>
      <c r="S134" s="19"/>
      <c r="T134" s="19"/>
    </row>
    <row r="135" spans="18:20" ht="23.1" customHeight="1" x14ac:dyDescent="0.25">
      <c r="R135"/>
      <c r="S135" s="19"/>
      <c r="T135" s="19"/>
    </row>
    <row r="136" spans="18:20" ht="23.1" customHeight="1" x14ac:dyDescent="0.25">
      <c r="R136"/>
      <c r="S136" s="19"/>
      <c r="T136" s="19"/>
    </row>
    <row r="137" spans="18:20" ht="23.1" customHeight="1" x14ac:dyDescent="0.25">
      <c r="R137"/>
      <c r="S137" s="19"/>
      <c r="T137" s="19"/>
    </row>
    <row r="138" spans="18:20" ht="23.1" customHeight="1" x14ac:dyDescent="0.25">
      <c r="R138"/>
      <c r="S138" s="19"/>
      <c r="T138" s="19"/>
    </row>
    <row r="139" spans="18:20" ht="23.1" customHeight="1" x14ac:dyDescent="0.25">
      <c r="R139"/>
      <c r="S139" s="19"/>
      <c r="T139" s="19"/>
    </row>
    <row r="140" spans="18:20" ht="23.1" customHeight="1" x14ac:dyDescent="0.25">
      <c r="R140"/>
      <c r="S140" s="19"/>
      <c r="T140" s="19"/>
    </row>
    <row r="141" spans="18:20" ht="23.1" customHeight="1" x14ac:dyDescent="0.25">
      <c r="R141"/>
      <c r="S141" s="19"/>
      <c r="T141" s="19"/>
    </row>
    <row r="142" spans="18:20" ht="23.1" customHeight="1" x14ac:dyDescent="0.25">
      <c r="R142"/>
      <c r="S142" s="19"/>
      <c r="T142" s="19"/>
    </row>
    <row r="143" spans="18:20" ht="23.1" customHeight="1" x14ac:dyDescent="0.25">
      <c r="R143"/>
      <c r="S143" s="19"/>
      <c r="T143" s="19"/>
    </row>
    <row r="144" spans="18:20" ht="23.1" customHeight="1" x14ac:dyDescent="0.25">
      <c r="R144"/>
      <c r="S144" s="19"/>
      <c r="T144" s="19"/>
    </row>
    <row r="145" spans="2:20" ht="23.1" customHeight="1" x14ac:dyDescent="0.25">
      <c r="R145"/>
      <c r="S145" s="19"/>
      <c r="T145" s="19"/>
    </row>
    <row r="146" spans="2:20" ht="23.1" customHeight="1" x14ac:dyDescent="0.25">
      <c r="R146"/>
      <c r="S146" s="19"/>
      <c r="T146" s="19"/>
    </row>
    <row r="147" spans="2:20" ht="23.1" customHeight="1" x14ac:dyDescent="0.25">
      <c r="R147"/>
      <c r="S147" s="19"/>
      <c r="T147" s="19"/>
    </row>
    <row r="148" spans="2:20" ht="23.1" customHeight="1" x14ac:dyDescent="0.25">
      <c r="R148"/>
      <c r="S148" s="19"/>
      <c r="T148" s="19"/>
    </row>
    <row r="149" spans="2:20" ht="23.1" customHeight="1" x14ac:dyDescent="0.25">
      <c r="R149"/>
      <c r="S149" s="19"/>
      <c r="T149" s="19"/>
    </row>
    <row r="150" spans="2:20" ht="23.1" customHeight="1" x14ac:dyDescent="0.25">
      <c r="R150"/>
      <c r="S150" s="19"/>
      <c r="T150" s="19"/>
    </row>
    <row r="151" spans="2:20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20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20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20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20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20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20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20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20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20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topLeftCell="A94" zoomScale="60" workbookViewId="0">
      <selection activeCell="O107" sqref="O10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'[2]23.09.19 -Munyonyo-Kigo'!C3:G3</f>
        <v>MCC-C2-STNO 57-KIGO RD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174</v>
      </c>
      <c r="F5" s="41" t="s">
        <v>1</v>
      </c>
      <c r="G5" s="70" t="str">
        <f>'[2]28.09 MUNYONYO-LWEZA-24h'!G5:H5</f>
        <v>LWEZA KAMUCHANGA</v>
      </c>
      <c r="H5" s="71"/>
      <c r="I5" s="14"/>
      <c r="J5" s="2" t="s">
        <v>5</v>
      </c>
      <c r="K5" s="70" t="str">
        <f>'[2]28.09 MUNYONYO-LWEZA-24h'!K5:L5</f>
        <v>Racheal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0" t="s">
        <v>175</v>
      </c>
      <c r="E6" s="71"/>
      <c r="F6" s="2" t="s">
        <v>2</v>
      </c>
      <c r="G6" s="70" t="str">
        <f>'[2]24.09 Kigo-Munyonyo'!G6:H6</f>
        <v>MUNYONYO</v>
      </c>
      <c r="H6" s="71"/>
      <c r="J6" s="2" t="s">
        <v>21</v>
      </c>
      <c r="K6" s="70" t="str">
        <f>'[2]28.09 MUNYONYO-LWEZA-24h'!K6:L6</f>
        <v>Beatrice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26</v>
      </c>
      <c r="N10" s="50">
        <v>0</v>
      </c>
      <c r="O10" s="17">
        <f t="shared" ref="O10:O73" si="0">SUM(C10:L10,N10)</f>
        <v>0</v>
      </c>
      <c r="P10" s="17">
        <f t="shared" ref="P10:P73" si="1">SUM(C10:N10)</f>
        <v>26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129</v>
      </c>
      <c r="AD10" s="17">
        <f t="shared" si="2"/>
        <v>0</v>
      </c>
      <c r="AE10" s="31">
        <f t="shared" si="2"/>
        <v>0</v>
      </c>
      <c r="AF10" s="31">
        <f t="shared" si="2"/>
        <v>129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31</v>
      </c>
      <c r="N11" s="50">
        <v>0</v>
      </c>
      <c r="O11" s="17">
        <f t="shared" si="0"/>
        <v>0</v>
      </c>
      <c r="P11" s="17">
        <f t="shared" si="1"/>
        <v>31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81</v>
      </c>
      <c r="AD11" s="17">
        <f t="shared" si="3"/>
        <v>0</v>
      </c>
      <c r="AE11" s="31">
        <f t="shared" si="3"/>
        <v>0</v>
      </c>
      <c r="AF11" s="31">
        <f t="shared" si="3"/>
        <v>81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36</v>
      </c>
      <c r="N12" s="50">
        <v>0</v>
      </c>
      <c r="O12" s="17">
        <f t="shared" si="0"/>
        <v>0</v>
      </c>
      <c r="P12" s="17">
        <f t="shared" si="1"/>
        <v>36</v>
      </c>
      <c r="R12" s="1" t="s">
        <v>8</v>
      </c>
      <c r="S12" s="17">
        <f t="shared" ref="S12:AF12" si="4">SUM(C18:C21)</f>
        <v>1</v>
      </c>
      <c r="T12" s="17">
        <f t="shared" si="4"/>
        <v>1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83</v>
      </c>
      <c r="AD12" s="17">
        <f t="shared" si="4"/>
        <v>0</v>
      </c>
      <c r="AE12" s="31">
        <f t="shared" si="4"/>
        <v>5</v>
      </c>
      <c r="AF12" s="31">
        <f t="shared" si="4"/>
        <v>88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36</v>
      </c>
      <c r="N13" s="50">
        <v>0</v>
      </c>
      <c r="O13" s="17">
        <f t="shared" si="0"/>
        <v>0</v>
      </c>
      <c r="P13" s="17">
        <f t="shared" si="1"/>
        <v>36</v>
      </c>
      <c r="R13" s="1" t="s">
        <v>9</v>
      </c>
      <c r="S13" s="17">
        <f t="shared" ref="S13:AF13" si="5">SUM(C22:C25)</f>
        <v>0</v>
      </c>
      <c r="T13" s="17">
        <f t="shared" si="5"/>
        <v>1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72</v>
      </c>
      <c r="AD13" s="17">
        <f t="shared" si="5"/>
        <v>0</v>
      </c>
      <c r="AE13" s="31">
        <f t="shared" si="5"/>
        <v>1</v>
      </c>
      <c r="AF13" s="31">
        <f t="shared" si="5"/>
        <v>73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24</v>
      </c>
      <c r="N14" s="50">
        <v>0</v>
      </c>
      <c r="O14" s="17">
        <f t="shared" si="0"/>
        <v>0</v>
      </c>
      <c r="P14" s="17">
        <f t="shared" si="1"/>
        <v>24</v>
      </c>
      <c r="R14" s="1" t="s">
        <v>10</v>
      </c>
      <c r="S14" s="17">
        <f t="shared" ref="S14:AF14" si="6">SUM(C26:C29)</f>
        <v>1</v>
      </c>
      <c r="T14" s="17">
        <f t="shared" si="6"/>
        <v>1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95</v>
      </c>
      <c r="AD14" s="17">
        <f t="shared" si="6"/>
        <v>0</v>
      </c>
      <c r="AE14" s="31">
        <f t="shared" si="6"/>
        <v>4</v>
      </c>
      <c r="AF14" s="31">
        <f t="shared" si="6"/>
        <v>99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23</v>
      </c>
      <c r="N15" s="50">
        <v>0</v>
      </c>
      <c r="O15" s="17">
        <f t="shared" si="0"/>
        <v>0</v>
      </c>
      <c r="P15" s="17">
        <f t="shared" si="1"/>
        <v>23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50</v>
      </c>
      <c r="AD15" s="17">
        <f t="shared" si="7"/>
        <v>0</v>
      </c>
      <c r="AE15" s="31">
        <f t="shared" si="7"/>
        <v>1</v>
      </c>
      <c r="AF15" s="31">
        <f t="shared" si="7"/>
        <v>51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16</v>
      </c>
      <c r="N16" s="50">
        <v>0</v>
      </c>
      <c r="O16" s="17">
        <f t="shared" si="0"/>
        <v>0</v>
      </c>
      <c r="P16" s="17">
        <f t="shared" si="1"/>
        <v>16</v>
      </c>
      <c r="R16" s="1" t="s">
        <v>12</v>
      </c>
      <c r="S16" s="17">
        <f t="shared" ref="S16:AF16" si="8">SUM(C34:C37)</f>
        <v>5</v>
      </c>
      <c r="T16" s="17">
        <f t="shared" si="8"/>
        <v>1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65</v>
      </c>
      <c r="AD16" s="17">
        <f t="shared" si="8"/>
        <v>0</v>
      </c>
      <c r="AE16" s="31">
        <f t="shared" si="8"/>
        <v>6</v>
      </c>
      <c r="AF16" s="31">
        <f t="shared" si="8"/>
        <v>71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18</v>
      </c>
      <c r="N17" s="50">
        <v>0</v>
      </c>
      <c r="O17" s="17">
        <f t="shared" si="0"/>
        <v>0</v>
      </c>
      <c r="P17" s="17">
        <f t="shared" si="1"/>
        <v>18</v>
      </c>
      <c r="R17" s="1" t="s">
        <v>13</v>
      </c>
      <c r="S17" s="17">
        <f t="shared" ref="S17:AF17" si="9">SUM(C38:C41)</f>
        <v>3</v>
      </c>
      <c r="T17" s="17">
        <f t="shared" si="9"/>
        <v>2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40</v>
      </c>
      <c r="AD17" s="17">
        <f t="shared" si="9"/>
        <v>0</v>
      </c>
      <c r="AE17" s="31">
        <f t="shared" si="9"/>
        <v>6</v>
      </c>
      <c r="AF17" s="31">
        <f t="shared" si="9"/>
        <v>46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25</v>
      </c>
      <c r="N18" s="50">
        <v>0</v>
      </c>
      <c r="O18" s="17">
        <f t="shared" si="0"/>
        <v>1</v>
      </c>
      <c r="P18" s="17">
        <f t="shared" si="1"/>
        <v>26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41</v>
      </c>
      <c r="AD18" s="17">
        <f t="shared" si="10"/>
        <v>0</v>
      </c>
      <c r="AE18" s="31">
        <f t="shared" si="10"/>
        <v>3</v>
      </c>
      <c r="AF18" s="31">
        <f t="shared" si="10"/>
        <v>44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20</v>
      </c>
      <c r="N19" s="50">
        <v>0</v>
      </c>
      <c r="O19" s="17">
        <f t="shared" si="0"/>
        <v>1</v>
      </c>
      <c r="P19" s="17">
        <f t="shared" si="1"/>
        <v>21</v>
      </c>
      <c r="R19" s="1" t="s">
        <v>15</v>
      </c>
      <c r="S19" s="17">
        <f t="shared" ref="S19:AF19" si="11">SUM(C46:C49)</f>
        <v>4</v>
      </c>
      <c r="T19" s="17">
        <f t="shared" si="11"/>
        <v>1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72</v>
      </c>
      <c r="AD19" s="17">
        <f t="shared" si="11"/>
        <v>0</v>
      </c>
      <c r="AE19" s="31">
        <f t="shared" si="11"/>
        <v>5</v>
      </c>
      <c r="AF19" s="31">
        <f t="shared" si="11"/>
        <v>77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23</v>
      </c>
      <c r="N20" s="50">
        <v>0</v>
      </c>
      <c r="O20" s="17">
        <f t="shared" si="0"/>
        <v>1</v>
      </c>
      <c r="P20" s="17">
        <f t="shared" si="1"/>
        <v>24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83</v>
      </c>
      <c r="AD20" s="17">
        <f t="shared" si="12"/>
        <v>0</v>
      </c>
      <c r="AE20" s="31">
        <f t="shared" si="12"/>
        <v>1</v>
      </c>
      <c r="AF20" s="31">
        <f t="shared" si="12"/>
        <v>84</v>
      </c>
    </row>
    <row r="21" spans="2:32" ht="23.1" customHeight="1" x14ac:dyDescent="0.25">
      <c r="B21" s="45" t="s">
        <v>48</v>
      </c>
      <c r="C21" s="50">
        <v>1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7">
        <f t="shared" si="0"/>
        <v>2</v>
      </c>
      <c r="P21" s="17">
        <f t="shared" si="1"/>
        <v>17</v>
      </c>
      <c r="R21" s="36" t="s">
        <v>20</v>
      </c>
      <c r="S21" s="34">
        <f t="shared" ref="S21:AF21" si="13">SUM(C54:C57)</f>
        <v>1</v>
      </c>
      <c r="T21" s="17">
        <f t="shared" si="13"/>
        <v>2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80</v>
      </c>
      <c r="AD21" s="17">
        <f t="shared" si="13"/>
        <v>0</v>
      </c>
      <c r="AE21" s="31">
        <f t="shared" si="13"/>
        <v>5</v>
      </c>
      <c r="AF21" s="31">
        <f t="shared" si="13"/>
        <v>85</v>
      </c>
    </row>
    <row r="22" spans="2:32" ht="23.1" customHeight="1" x14ac:dyDescent="0.25">
      <c r="B22" s="45" t="s">
        <v>49</v>
      </c>
      <c r="C22" s="50">
        <v>0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16</v>
      </c>
      <c r="N22" s="50">
        <v>0</v>
      </c>
      <c r="O22" s="17">
        <f t="shared" si="0"/>
        <v>1</v>
      </c>
      <c r="P22" s="17">
        <f t="shared" si="1"/>
        <v>17</v>
      </c>
      <c r="R22" s="36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93</v>
      </c>
      <c r="AD22" s="34">
        <f t="shared" si="14"/>
        <v>0</v>
      </c>
      <c r="AE22" s="31">
        <f t="shared" si="14"/>
        <v>0</v>
      </c>
      <c r="AF22" s="31">
        <f t="shared" si="14"/>
        <v>93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18</v>
      </c>
      <c r="N23" s="50">
        <v>0</v>
      </c>
      <c r="O23" s="17">
        <f t="shared" si="0"/>
        <v>0</v>
      </c>
      <c r="P23" s="17">
        <f t="shared" si="1"/>
        <v>18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85</v>
      </c>
      <c r="AD23" s="34">
        <f t="shared" si="15"/>
        <v>0</v>
      </c>
      <c r="AE23" s="31">
        <f t="shared" si="15"/>
        <v>1</v>
      </c>
      <c r="AF23" s="31">
        <f t="shared" si="15"/>
        <v>86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23</v>
      </c>
      <c r="N24" s="50">
        <v>0</v>
      </c>
      <c r="O24" s="17">
        <f t="shared" si="0"/>
        <v>0</v>
      </c>
      <c r="P24" s="17">
        <f t="shared" si="1"/>
        <v>23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92</v>
      </c>
      <c r="AD24" s="34">
        <f t="shared" si="16"/>
        <v>0</v>
      </c>
      <c r="AE24" s="31">
        <f t="shared" si="16"/>
        <v>2</v>
      </c>
      <c r="AF24" s="31">
        <f t="shared" si="16"/>
        <v>94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15</v>
      </c>
      <c r="N25" s="50">
        <v>0</v>
      </c>
      <c r="O25" s="17">
        <f t="shared" si="0"/>
        <v>0</v>
      </c>
      <c r="P25" s="17">
        <f t="shared" si="1"/>
        <v>15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78</v>
      </c>
      <c r="AD25" s="34">
        <f t="shared" si="17"/>
        <v>0</v>
      </c>
      <c r="AE25" s="31">
        <f t="shared" si="17"/>
        <v>2</v>
      </c>
      <c r="AF25" s="31">
        <f t="shared" si="17"/>
        <v>80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35</v>
      </c>
      <c r="N26" s="50">
        <v>0</v>
      </c>
      <c r="O26" s="17">
        <f t="shared" si="0"/>
        <v>0</v>
      </c>
      <c r="P26" s="17">
        <f t="shared" si="1"/>
        <v>35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52</v>
      </c>
      <c r="AD26" s="34">
        <f t="shared" si="18"/>
        <v>0</v>
      </c>
      <c r="AE26" s="31">
        <f t="shared" si="18"/>
        <v>2</v>
      </c>
      <c r="AF26" s="31">
        <f t="shared" si="18"/>
        <v>54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16</v>
      </c>
      <c r="N27" s="50">
        <v>0</v>
      </c>
      <c r="O27" s="17">
        <f t="shared" si="0"/>
        <v>1</v>
      </c>
      <c r="P27" s="17">
        <f t="shared" si="1"/>
        <v>17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27</v>
      </c>
      <c r="AD27" s="34">
        <f t="shared" si="19"/>
        <v>0</v>
      </c>
      <c r="AE27" s="31">
        <f t="shared" si="19"/>
        <v>2</v>
      </c>
      <c r="AF27" s="31">
        <f t="shared" si="19"/>
        <v>29</v>
      </c>
    </row>
    <row r="28" spans="2:32" ht="23.1" customHeight="1" x14ac:dyDescent="0.25">
      <c r="B28" s="45" t="s">
        <v>55</v>
      </c>
      <c r="C28" s="50">
        <v>1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28</v>
      </c>
      <c r="N28" s="50">
        <v>0</v>
      </c>
      <c r="O28" s="17">
        <f t="shared" si="0"/>
        <v>2</v>
      </c>
      <c r="P28" s="17">
        <f t="shared" si="1"/>
        <v>30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20</v>
      </c>
      <c r="AD28" s="34">
        <f t="shared" si="20"/>
        <v>0</v>
      </c>
      <c r="AE28" s="31">
        <f t="shared" si="20"/>
        <v>0</v>
      </c>
      <c r="AF28" s="31">
        <f t="shared" si="20"/>
        <v>20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16</v>
      </c>
      <c r="N29" s="50">
        <v>0</v>
      </c>
      <c r="O29" s="17">
        <f t="shared" si="0"/>
        <v>1</v>
      </c>
      <c r="P29" s="17">
        <f t="shared" si="1"/>
        <v>17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6</v>
      </c>
      <c r="AD29" s="34">
        <f t="shared" si="21"/>
        <v>0</v>
      </c>
      <c r="AE29" s="31">
        <f t="shared" si="21"/>
        <v>1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16</v>
      </c>
      <c r="N30" s="50">
        <v>0</v>
      </c>
      <c r="O30" s="17">
        <f t="shared" si="0"/>
        <v>0</v>
      </c>
      <c r="P30" s="17">
        <f t="shared" si="1"/>
        <v>16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8</v>
      </c>
      <c r="AD30" s="34">
        <f t="shared" si="22"/>
        <v>0</v>
      </c>
      <c r="AE30" s="31">
        <f t="shared" si="22"/>
        <v>1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20</v>
      </c>
      <c r="N31" s="50">
        <v>0</v>
      </c>
      <c r="O31" s="17">
        <f t="shared" si="0"/>
        <v>1</v>
      </c>
      <c r="P31" s="17">
        <f t="shared" si="1"/>
        <v>21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8</v>
      </c>
      <c r="AD31" s="34">
        <f t="shared" si="23"/>
        <v>0</v>
      </c>
      <c r="AE31" s="31">
        <f t="shared" si="23"/>
        <v>1</v>
      </c>
      <c r="AF31" s="31">
        <f t="shared" si="23"/>
        <v>9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7">
        <f t="shared" si="0"/>
        <v>0</v>
      </c>
      <c r="P32" s="17">
        <f t="shared" si="1"/>
        <v>5</v>
      </c>
      <c r="R32" s="55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11</v>
      </c>
      <c r="AD32" s="34">
        <f t="shared" si="24"/>
        <v>0</v>
      </c>
      <c r="AE32" s="31">
        <f t="shared" si="24"/>
        <v>1</v>
      </c>
      <c r="AF32" s="31">
        <f t="shared" si="24"/>
        <v>12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9</v>
      </c>
      <c r="N33" s="50">
        <v>0</v>
      </c>
      <c r="O33" s="17">
        <f t="shared" si="0"/>
        <v>0</v>
      </c>
      <c r="P33" s="17">
        <f t="shared" si="1"/>
        <v>9</v>
      </c>
      <c r="R33" s="55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43</v>
      </c>
      <c r="AD33" s="34">
        <f t="shared" si="25"/>
        <v>0</v>
      </c>
      <c r="AE33" s="31">
        <f t="shared" si="25"/>
        <v>0</v>
      </c>
      <c r="AF33" s="31">
        <f t="shared" si="25"/>
        <v>43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16</v>
      </c>
      <c r="N34" s="50">
        <v>0</v>
      </c>
      <c r="O34" s="17">
        <f t="shared" si="0"/>
        <v>2</v>
      </c>
      <c r="P34" s="17">
        <f t="shared" si="1"/>
        <v>18</v>
      </c>
      <c r="R34" s="51" t="s">
        <v>90</v>
      </c>
      <c r="S34" s="52">
        <f t="shared" ref="S34:AF34" si="26">MAX(S10:S12)</f>
        <v>1</v>
      </c>
      <c r="T34" s="52">
        <f t="shared" si="26"/>
        <v>1</v>
      </c>
      <c r="U34" s="52">
        <f t="shared" si="26"/>
        <v>2</v>
      </c>
      <c r="V34" s="52">
        <f t="shared" si="26"/>
        <v>0</v>
      </c>
      <c r="W34" s="52">
        <f t="shared" si="26"/>
        <v>0</v>
      </c>
      <c r="X34" s="52">
        <f t="shared" si="26"/>
        <v>1</v>
      </c>
      <c r="Y34" s="52">
        <f t="shared" si="26"/>
        <v>0</v>
      </c>
      <c r="Z34" s="52">
        <f t="shared" si="26"/>
        <v>0</v>
      </c>
      <c r="AA34" s="52">
        <f t="shared" si="26"/>
        <v>0</v>
      </c>
      <c r="AB34" s="52">
        <f t="shared" si="26"/>
        <v>0</v>
      </c>
      <c r="AC34" s="52">
        <f t="shared" si="26"/>
        <v>129</v>
      </c>
      <c r="AD34" s="52">
        <f t="shared" si="26"/>
        <v>0</v>
      </c>
      <c r="AE34" s="40">
        <f t="shared" si="26"/>
        <v>5</v>
      </c>
      <c r="AF34" s="40">
        <f t="shared" si="26"/>
        <v>129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25</v>
      </c>
      <c r="N35" s="50">
        <v>0</v>
      </c>
      <c r="O35" s="17">
        <f t="shared" si="0"/>
        <v>1</v>
      </c>
      <c r="P35" s="17">
        <f t="shared" si="1"/>
        <v>26</v>
      </c>
      <c r="R35" s="51" t="s">
        <v>91</v>
      </c>
      <c r="S35" s="52">
        <f t="shared" ref="S35:AF35" si="27">MAX(S13:S18)</f>
        <v>5</v>
      </c>
      <c r="T35" s="52">
        <f t="shared" si="27"/>
        <v>2</v>
      </c>
      <c r="U35" s="52">
        <f t="shared" si="27"/>
        <v>1</v>
      </c>
      <c r="V35" s="52">
        <f t="shared" si="27"/>
        <v>1</v>
      </c>
      <c r="W35" s="52">
        <f t="shared" si="27"/>
        <v>0</v>
      </c>
      <c r="X35" s="52">
        <f t="shared" si="27"/>
        <v>0</v>
      </c>
      <c r="Y35" s="52">
        <f t="shared" si="27"/>
        <v>1</v>
      </c>
      <c r="Z35" s="52">
        <f t="shared" si="27"/>
        <v>0</v>
      </c>
      <c r="AA35" s="52">
        <f t="shared" si="27"/>
        <v>0</v>
      </c>
      <c r="AB35" s="52">
        <f t="shared" si="27"/>
        <v>0</v>
      </c>
      <c r="AC35" s="52">
        <f t="shared" si="27"/>
        <v>95</v>
      </c>
      <c r="AD35" s="52">
        <f t="shared" si="27"/>
        <v>0</v>
      </c>
      <c r="AE35" s="40">
        <f t="shared" si="27"/>
        <v>6</v>
      </c>
      <c r="AF35" s="40">
        <f t="shared" si="27"/>
        <v>99</v>
      </c>
    </row>
    <row r="36" spans="2:32" ht="23.1" customHeight="1" x14ac:dyDescent="0.25">
      <c r="B36" s="46" t="s">
        <v>63</v>
      </c>
      <c r="C36" s="50">
        <v>0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16</v>
      </c>
      <c r="N36" s="50">
        <v>0</v>
      </c>
      <c r="O36" s="17">
        <f t="shared" si="0"/>
        <v>1</v>
      </c>
      <c r="P36" s="17">
        <f t="shared" si="1"/>
        <v>17</v>
      </c>
      <c r="R36" s="51" t="s">
        <v>92</v>
      </c>
      <c r="S36" s="52">
        <f t="shared" ref="S36:AF36" si="28">MAX(S19:S21)</f>
        <v>4</v>
      </c>
      <c r="T36" s="52">
        <f t="shared" si="28"/>
        <v>2</v>
      </c>
      <c r="U36" s="52">
        <f t="shared" si="28"/>
        <v>1</v>
      </c>
      <c r="V36" s="52">
        <f t="shared" si="28"/>
        <v>0</v>
      </c>
      <c r="W36" s="52">
        <f t="shared" si="28"/>
        <v>0</v>
      </c>
      <c r="X36" s="52">
        <f t="shared" si="28"/>
        <v>0</v>
      </c>
      <c r="Y36" s="52">
        <f t="shared" si="28"/>
        <v>1</v>
      </c>
      <c r="Z36" s="52">
        <f t="shared" si="28"/>
        <v>0</v>
      </c>
      <c r="AA36" s="52">
        <f t="shared" si="28"/>
        <v>0</v>
      </c>
      <c r="AB36" s="52">
        <f t="shared" si="28"/>
        <v>0</v>
      </c>
      <c r="AC36" s="52">
        <f t="shared" si="28"/>
        <v>83</v>
      </c>
      <c r="AD36" s="52">
        <f t="shared" si="28"/>
        <v>0</v>
      </c>
      <c r="AE36" s="40">
        <f t="shared" si="28"/>
        <v>5</v>
      </c>
      <c r="AF36" s="40">
        <f t="shared" si="28"/>
        <v>85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7">
        <f t="shared" si="0"/>
        <v>2</v>
      </c>
      <c r="P37" s="17">
        <f t="shared" si="1"/>
        <v>10</v>
      </c>
      <c r="R37" s="37" t="s">
        <v>85</v>
      </c>
      <c r="S37" s="35">
        <f t="shared" ref="S37:AF37" si="29">SUM(S10:S12)</f>
        <v>1</v>
      </c>
      <c r="T37" s="16">
        <f t="shared" si="29"/>
        <v>1</v>
      </c>
      <c r="U37" s="16">
        <f t="shared" si="29"/>
        <v>2</v>
      </c>
      <c r="V37" s="16">
        <f t="shared" si="29"/>
        <v>0</v>
      </c>
      <c r="W37" s="16">
        <f t="shared" si="29"/>
        <v>0</v>
      </c>
      <c r="X37" s="16">
        <f t="shared" si="29"/>
        <v>1</v>
      </c>
      <c r="Y37" s="16">
        <f t="shared" si="29"/>
        <v>0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293</v>
      </c>
      <c r="AD37" s="16">
        <f t="shared" si="29"/>
        <v>0</v>
      </c>
      <c r="AE37" s="32">
        <f t="shared" si="29"/>
        <v>5</v>
      </c>
      <c r="AF37" s="32">
        <f t="shared" si="29"/>
        <v>298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16</v>
      </c>
      <c r="N38" s="50">
        <v>0</v>
      </c>
      <c r="O38" s="17">
        <f t="shared" si="0"/>
        <v>2</v>
      </c>
      <c r="P38" s="17">
        <f t="shared" si="1"/>
        <v>18</v>
      </c>
      <c r="R38" s="28" t="s">
        <v>86</v>
      </c>
      <c r="S38" s="16">
        <f t="shared" ref="S38:AF38" si="30">SUM(S13:S18)</f>
        <v>11</v>
      </c>
      <c r="T38" s="16">
        <f t="shared" si="30"/>
        <v>5</v>
      </c>
      <c r="U38" s="16">
        <f t="shared" si="30"/>
        <v>3</v>
      </c>
      <c r="V38" s="16">
        <f t="shared" si="30"/>
        <v>1</v>
      </c>
      <c r="W38" s="16">
        <f t="shared" si="30"/>
        <v>0</v>
      </c>
      <c r="X38" s="16">
        <f t="shared" si="30"/>
        <v>0</v>
      </c>
      <c r="Y38" s="16">
        <f t="shared" si="30"/>
        <v>1</v>
      </c>
      <c r="Z38" s="16">
        <f t="shared" si="30"/>
        <v>0</v>
      </c>
      <c r="AA38" s="16">
        <f t="shared" si="30"/>
        <v>0</v>
      </c>
      <c r="AB38" s="16">
        <f t="shared" si="30"/>
        <v>0</v>
      </c>
      <c r="AC38" s="16">
        <f t="shared" si="30"/>
        <v>363</v>
      </c>
      <c r="AD38" s="16">
        <f t="shared" si="30"/>
        <v>0</v>
      </c>
      <c r="AE38" s="32">
        <f t="shared" si="30"/>
        <v>21</v>
      </c>
      <c r="AF38" s="32">
        <f t="shared" si="30"/>
        <v>384</v>
      </c>
    </row>
    <row r="39" spans="2:32" ht="23.1" customHeight="1" x14ac:dyDescent="0.25">
      <c r="B39" s="46" t="s">
        <v>66</v>
      </c>
      <c r="C39" s="50">
        <v>0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7">
        <f t="shared" si="0"/>
        <v>1</v>
      </c>
      <c r="P39" s="17">
        <f t="shared" si="1"/>
        <v>14</v>
      </c>
      <c r="R39" s="29" t="s">
        <v>87</v>
      </c>
      <c r="S39" s="16">
        <f t="shared" ref="S39:AF39" si="31">SUM(S19:S21)</f>
        <v>6</v>
      </c>
      <c r="T39" s="16">
        <f t="shared" si="31"/>
        <v>3</v>
      </c>
      <c r="U39" s="16">
        <f t="shared" si="31"/>
        <v>1</v>
      </c>
      <c r="V39" s="16">
        <f t="shared" si="31"/>
        <v>0</v>
      </c>
      <c r="W39" s="16">
        <f t="shared" si="31"/>
        <v>0</v>
      </c>
      <c r="X39" s="16">
        <f t="shared" si="31"/>
        <v>0</v>
      </c>
      <c r="Y39" s="16">
        <f t="shared" si="31"/>
        <v>1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235</v>
      </c>
      <c r="AD39" s="16">
        <f t="shared" si="31"/>
        <v>0</v>
      </c>
      <c r="AE39" s="32">
        <f t="shared" si="31"/>
        <v>11</v>
      </c>
      <c r="AF39" s="32">
        <f t="shared" si="31"/>
        <v>246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7</v>
      </c>
      <c r="N40" s="50">
        <v>0</v>
      </c>
      <c r="O40" s="17">
        <f t="shared" si="0"/>
        <v>0</v>
      </c>
      <c r="P40" s="17">
        <f t="shared" si="1"/>
        <v>7</v>
      </c>
      <c r="R40" s="5" t="s">
        <v>17</v>
      </c>
      <c r="S40" s="16">
        <f t="shared" ref="S40:AF40" si="32">SUM(S10:S21)</f>
        <v>18</v>
      </c>
      <c r="T40" s="16">
        <f t="shared" si="32"/>
        <v>9</v>
      </c>
      <c r="U40" s="16">
        <f t="shared" si="32"/>
        <v>6</v>
      </c>
      <c r="V40" s="16">
        <f t="shared" si="32"/>
        <v>1</v>
      </c>
      <c r="W40" s="16">
        <f t="shared" si="32"/>
        <v>0</v>
      </c>
      <c r="X40" s="16">
        <f t="shared" si="32"/>
        <v>1</v>
      </c>
      <c r="Y40" s="16">
        <f t="shared" si="32"/>
        <v>2</v>
      </c>
      <c r="Z40" s="16">
        <f t="shared" si="32"/>
        <v>0</v>
      </c>
      <c r="AA40" s="16">
        <f t="shared" si="32"/>
        <v>0</v>
      </c>
      <c r="AB40" s="16">
        <f t="shared" si="32"/>
        <v>0</v>
      </c>
      <c r="AC40" s="16">
        <f t="shared" si="32"/>
        <v>891</v>
      </c>
      <c r="AD40" s="16">
        <f t="shared" si="32"/>
        <v>0</v>
      </c>
      <c r="AE40" s="32">
        <f t="shared" si="32"/>
        <v>37</v>
      </c>
      <c r="AF40" s="32">
        <f t="shared" si="32"/>
        <v>928</v>
      </c>
    </row>
    <row r="41" spans="2:32" ht="23.1" customHeight="1" x14ac:dyDescent="0.25">
      <c r="B41" s="45" t="s">
        <v>68</v>
      </c>
      <c r="C41" s="50">
        <v>2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4</v>
      </c>
      <c r="N41" s="50">
        <v>0</v>
      </c>
      <c r="O41" s="17">
        <f t="shared" si="0"/>
        <v>3</v>
      </c>
      <c r="P41" s="17">
        <f t="shared" si="1"/>
        <v>7</v>
      </c>
      <c r="R41" s="5" t="s">
        <v>159</v>
      </c>
      <c r="S41" s="16">
        <f>SUM(S10:S33)</f>
        <v>30</v>
      </c>
      <c r="T41" s="16">
        <f t="shared" ref="T41:AF41" si="33">SUM(T10:T33)</f>
        <v>9</v>
      </c>
      <c r="U41" s="16">
        <f t="shared" si="33"/>
        <v>6</v>
      </c>
      <c r="V41" s="16">
        <f t="shared" si="33"/>
        <v>2</v>
      </c>
      <c r="W41" s="16">
        <f t="shared" si="33"/>
        <v>0</v>
      </c>
      <c r="X41" s="16">
        <f t="shared" si="33"/>
        <v>1</v>
      </c>
      <c r="Y41" s="16">
        <f t="shared" si="33"/>
        <v>2</v>
      </c>
      <c r="Z41" s="16">
        <f t="shared" si="33"/>
        <v>0</v>
      </c>
      <c r="AA41" s="16">
        <f t="shared" si="33"/>
        <v>0</v>
      </c>
      <c r="AB41" s="16">
        <f t="shared" si="33"/>
        <v>0</v>
      </c>
      <c r="AC41" s="16">
        <f t="shared" si="33"/>
        <v>1414</v>
      </c>
      <c r="AD41" s="16">
        <f t="shared" si="33"/>
        <v>0</v>
      </c>
      <c r="AE41" s="32">
        <f t="shared" si="33"/>
        <v>50</v>
      </c>
      <c r="AF41" s="32">
        <f t="shared" si="33"/>
        <v>1464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18</v>
      </c>
      <c r="N42" s="50">
        <v>0</v>
      </c>
      <c r="O42" s="17">
        <f t="shared" si="0"/>
        <v>1</v>
      </c>
      <c r="P42" s="17">
        <f t="shared" si="1"/>
        <v>19</v>
      </c>
      <c r="R42" s="5" t="s">
        <v>160</v>
      </c>
      <c r="S42" s="48">
        <f>S41/S40</f>
        <v>1.6666666666666667</v>
      </c>
      <c r="T42" s="48">
        <f t="shared" ref="T42:AF42" si="34">T41/T40</f>
        <v>1</v>
      </c>
      <c r="U42" s="48">
        <f t="shared" si="34"/>
        <v>1</v>
      </c>
      <c r="V42" s="48">
        <f t="shared" si="34"/>
        <v>2</v>
      </c>
      <c r="W42" s="48" t="e">
        <f t="shared" si="34"/>
        <v>#DIV/0!</v>
      </c>
      <c r="X42" s="48">
        <f t="shared" si="34"/>
        <v>1</v>
      </c>
      <c r="Y42" s="48">
        <f t="shared" si="34"/>
        <v>1</v>
      </c>
      <c r="Z42" s="48" t="e">
        <f t="shared" si="34"/>
        <v>#DIV/0!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1.5869809203142538</v>
      </c>
      <c r="AD42" s="48" t="e">
        <f t="shared" si="34"/>
        <v>#DIV/0!</v>
      </c>
      <c r="AE42" s="48">
        <f t="shared" si="34"/>
        <v>1.3513513513513513</v>
      </c>
      <c r="AF42" s="48">
        <f t="shared" si="34"/>
        <v>1.5775862068965518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7">
        <f t="shared" si="0"/>
        <v>1</v>
      </c>
      <c r="P43" s="17">
        <f t="shared" si="1"/>
        <v>1</v>
      </c>
      <c r="R43"/>
      <c r="S43" s="19"/>
      <c r="T43" s="19"/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6</v>
      </c>
      <c r="N44" s="50">
        <v>0</v>
      </c>
      <c r="O44" s="17">
        <f t="shared" si="0"/>
        <v>0</v>
      </c>
      <c r="P44" s="17">
        <f t="shared" si="1"/>
        <v>6</v>
      </c>
      <c r="R44"/>
      <c r="S44" s="19"/>
      <c r="T44" s="19"/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17</v>
      </c>
      <c r="N45" s="50">
        <v>0</v>
      </c>
      <c r="O45" s="17">
        <f t="shared" si="0"/>
        <v>1</v>
      </c>
      <c r="P45" s="17">
        <f t="shared" si="1"/>
        <v>18</v>
      </c>
      <c r="R45"/>
      <c r="S45" s="19"/>
      <c r="T45" s="19"/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13</v>
      </c>
      <c r="N46" s="50">
        <v>0</v>
      </c>
      <c r="O46" s="17">
        <f t="shared" si="0"/>
        <v>2</v>
      </c>
      <c r="P46" s="17">
        <f t="shared" si="1"/>
        <v>15</v>
      </c>
      <c r="R46" s="19"/>
      <c r="S46" s="19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25</v>
      </c>
      <c r="N47" s="50">
        <v>0</v>
      </c>
      <c r="O47" s="17">
        <f t="shared" si="0"/>
        <v>1</v>
      </c>
      <c r="P47" s="17">
        <f t="shared" si="1"/>
        <v>26</v>
      </c>
      <c r="R47" s="19"/>
      <c r="S47" s="19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15</v>
      </c>
      <c r="N48" s="50">
        <v>0</v>
      </c>
      <c r="O48" s="17">
        <f t="shared" si="0"/>
        <v>0</v>
      </c>
      <c r="P48" s="17">
        <f t="shared" si="1"/>
        <v>15</v>
      </c>
      <c r="R48" s="19"/>
      <c r="S48" s="19"/>
      <c r="T48"/>
    </row>
    <row r="49" spans="2:20" ht="23.1" customHeight="1" x14ac:dyDescent="0.25">
      <c r="B49" s="45" t="s">
        <v>76</v>
      </c>
      <c r="C49" s="50">
        <v>1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19</v>
      </c>
      <c r="N49" s="50">
        <v>0</v>
      </c>
      <c r="O49" s="17">
        <f t="shared" si="0"/>
        <v>2</v>
      </c>
      <c r="P49" s="17">
        <f t="shared" si="1"/>
        <v>21</v>
      </c>
      <c r="R49" s="19"/>
      <c r="S49" s="19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15</v>
      </c>
      <c r="N50" s="50">
        <v>0</v>
      </c>
      <c r="O50" s="17">
        <f t="shared" si="0"/>
        <v>0</v>
      </c>
      <c r="P50" s="17">
        <f t="shared" si="1"/>
        <v>15</v>
      </c>
      <c r="R50" s="19"/>
      <c r="S50" s="19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22</v>
      </c>
      <c r="N51" s="50">
        <v>0</v>
      </c>
      <c r="O51" s="17">
        <f t="shared" si="0"/>
        <v>0</v>
      </c>
      <c r="P51" s="17">
        <f t="shared" si="1"/>
        <v>22</v>
      </c>
      <c r="R51" s="19"/>
      <c r="S51" s="19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7">
        <f t="shared" si="0"/>
        <v>0</v>
      </c>
      <c r="P52" s="17">
        <f t="shared" si="1"/>
        <v>18</v>
      </c>
      <c r="R52" s="19"/>
      <c r="S52" s="19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28</v>
      </c>
      <c r="N53" s="50">
        <v>0</v>
      </c>
      <c r="O53" s="17">
        <f t="shared" si="0"/>
        <v>1</v>
      </c>
      <c r="P53" s="17">
        <f t="shared" si="1"/>
        <v>29</v>
      </c>
      <c r="R53" s="19"/>
      <c r="S53" s="19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22</v>
      </c>
      <c r="N54" s="50">
        <v>0</v>
      </c>
      <c r="O54" s="17">
        <f t="shared" si="0"/>
        <v>2</v>
      </c>
      <c r="P54" s="17">
        <f t="shared" si="1"/>
        <v>24</v>
      </c>
      <c r="R54" s="19"/>
      <c r="S54" s="19"/>
      <c r="T54"/>
    </row>
    <row r="55" spans="2:20" ht="23.1" customHeight="1" x14ac:dyDescent="0.25">
      <c r="B55" s="45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20</v>
      </c>
      <c r="N55" s="50">
        <v>0</v>
      </c>
      <c r="O55" s="17">
        <f t="shared" si="0"/>
        <v>1</v>
      </c>
      <c r="P55" s="17">
        <f t="shared" si="1"/>
        <v>21</v>
      </c>
      <c r="R55" s="19"/>
      <c r="S55" s="19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18</v>
      </c>
      <c r="N56" s="50">
        <v>0</v>
      </c>
      <c r="O56" s="17">
        <f t="shared" si="0"/>
        <v>1</v>
      </c>
      <c r="P56" s="17">
        <f t="shared" si="1"/>
        <v>19</v>
      </c>
      <c r="R56" s="19"/>
      <c r="S56" s="19"/>
      <c r="T56"/>
    </row>
    <row r="57" spans="2:20" ht="23.1" customHeight="1" x14ac:dyDescent="0.25">
      <c r="B57" s="45" t="s">
        <v>84</v>
      </c>
      <c r="C57" s="50">
        <v>0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7">
        <f t="shared" si="0"/>
        <v>1</v>
      </c>
      <c r="P57" s="17">
        <f t="shared" si="1"/>
        <v>21</v>
      </c>
      <c r="R57" s="19"/>
      <c r="S57" s="19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21</v>
      </c>
      <c r="N58" s="50">
        <v>0</v>
      </c>
      <c r="O58" s="17">
        <f t="shared" si="0"/>
        <v>0</v>
      </c>
      <c r="P58" s="17">
        <f t="shared" si="1"/>
        <v>21</v>
      </c>
      <c r="R58" s="19"/>
      <c r="S58" s="19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18</v>
      </c>
      <c r="N59" s="50">
        <v>0</v>
      </c>
      <c r="O59" s="17">
        <f t="shared" si="0"/>
        <v>0</v>
      </c>
      <c r="P59" s="17">
        <f t="shared" si="1"/>
        <v>18</v>
      </c>
      <c r="R59" s="19"/>
      <c r="S59" s="19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23</v>
      </c>
      <c r="N60" s="50">
        <v>0</v>
      </c>
      <c r="O60" s="17">
        <f t="shared" si="0"/>
        <v>0</v>
      </c>
      <c r="P60" s="17">
        <f t="shared" si="1"/>
        <v>23</v>
      </c>
      <c r="R60" s="19"/>
      <c r="S60" s="19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31</v>
      </c>
      <c r="N61" s="50">
        <v>0</v>
      </c>
      <c r="O61" s="17">
        <f t="shared" si="0"/>
        <v>0</v>
      </c>
      <c r="P61" s="17">
        <f t="shared" si="1"/>
        <v>31</v>
      </c>
      <c r="R61" s="19"/>
      <c r="S61" s="19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25</v>
      </c>
      <c r="N62" s="50">
        <v>0</v>
      </c>
      <c r="O62" s="17">
        <f t="shared" si="0"/>
        <v>0</v>
      </c>
      <c r="P62" s="17">
        <f t="shared" si="1"/>
        <v>25</v>
      </c>
      <c r="R62" s="19"/>
      <c r="S62" s="19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27</v>
      </c>
      <c r="N63" s="50">
        <v>0</v>
      </c>
      <c r="O63" s="17">
        <f t="shared" si="0"/>
        <v>1</v>
      </c>
      <c r="P63" s="17">
        <f t="shared" si="1"/>
        <v>28</v>
      </c>
      <c r="R63" s="19"/>
      <c r="S63" s="19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16</v>
      </c>
      <c r="N64" s="50">
        <v>0</v>
      </c>
      <c r="O64" s="17">
        <f t="shared" si="0"/>
        <v>0</v>
      </c>
      <c r="P64" s="17">
        <f t="shared" si="1"/>
        <v>16</v>
      </c>
      <c r="R64" s="19"/>
      <c r="S64" s="19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17</v>
      </c>
      <c r="N65" s="50">
        <v>0</v>
      </c>
      <c r="O65" s="17">
        <f t="shared" si="0"/>
        <v>0</v>
      </c>
      <c r="P65" s="17">
        <f t="shared" si="1"/>
        <v>17</v>
      </c>
      <c r="R65" s="19"/>
      <c r="S65" s="19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24</v>
      </c>
      <c r="N66" s="50">
        <v>0</v>
      </c>
      <c r="O66" s="17">
        <f t="shared" si="0"/>
        <v>0</v>
      </c>
      <c r="P66" s="17">
        <f t="shared" si="1"/>
        <v>24</v>
      </c>
      <c r="R66" s="19"/>
      <c r="S66" s="19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24</v>
      </c>
      <c r="N67" s="50">
        <v>0</v>
      </c>
      <c r="O67" s="17">
        <f t="shared" si="0"/>
        <v>2</v>
      </c>
      <c r="P67" s="17">
        <f t="shared" si="1"/>
        <v>26</v>
      </c>
      <c r="R67" s="19"/>
      <c r="S67" s="19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19</v>
      </c>
      <c r="N68" s="50">
        <v>0</v>
      </c>
      <c r="O68" s="17">
        <f t="shared" si="0"/>
        <v>0</v>
      </c>
      <c r="P68" s="17">
        <f t="shared" si="1"/>
        <v>19</v>
      </c>
      <c r="R68" s="19"/>
      <c r="S68" s="19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25</v>
      </c>
      <c r="N69" s="50">
        <v>0</v>
      </c>
      <c r="O69" s="17">
        <f t="shared" si="0"/>
        <v>0</v>
      </c>
      <c r="P69" s="17">
        <f t="shared" si="1"/>
        <v>25</v>
      </c>
      <c r="R69" s="19"/>
      <c r="S69" s="19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24</v>
      </c>
      <c r="N70" s="50">
        <v>0</v>
      </c>
      <c r="O70" s="17">
        <f t="shared" si="0"/>
        <v>1</v>
      </c>
      <c r="P70" s="17">
        <f t="shared" si="1"/>
        <v>25</v>
      </c>
      <c r="R70" s="19"/>
      <c r="S70" s="19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18</v>
      </c>
      <c r="N71" s="50">
        <v>0</v>
      </c>
      <c r="O71" s="17">
        <f t="shared" si="0"/>
        <v>0</v>
      </c>
      <c r="P71" s="17">
        <f t="shared" si="1"/>
        <v>18</v>
      </c>
      <c r="R71" s="19"/>
      <c r="S71" s="19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25</v>
      </c>
      <c r="N72" s="50">
        <v>0</v>
      </c>
      <c r="O72" s="17">
        <f t="shared" si="0"/>
        <v>1</v>
      </c>
      <c r="P72" s="17">
        <f t="shared" si="1"/>
        <v>26</v>
      </c>
      <c r="R72" s="19"/>
      <c r="S72" s="19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11</v>
      </c>
      <c r="N73" s="50">
        <v>0</v>
      </c>
      <c r="O73" s="17">
        <f t="shared" si="0"/>
        <v>0</v>
      </c>
      <c r="P73" s="17">
        <f t="shared" si="1"/>
        <v>11</v>
      </c>
      <c r="R73" s="19"/>
      <c r="S73" s="19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18</v>
      </c>
      <c r="N74" s="50">
        <v>0</v>
      </c>
      <c r="O74" s="17">
        <f t="shared" ref="O74:O105" si="35">SUM(C74:L74,N74)</f>
        <v>0</v>
      </c>
      <c r="P74" s="17">
        <f t="shared" ref="P74:P105" si="36">SUM(C74:N74)</f>
        <v>18</v>
      </c>
      <c r="R74" s="19"/>
      <c r="S74" s="19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13</v>
      </c>
      <c r="N75" s="50">
        <v>0</v>
      </c>
      <c r="O75" s="17">
        <f t="shared" si="35"/>
        <v>0</v>
      </c>
      <c r="P75" s="17">
        <f t="shared" si="36"/>
        <v>13</v>
      </c>
      <c r="R75" s="19"/>
      <c r="S75" s="19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12</v>
      </c>
      <c r="N76" s="50">
        <v>0</v>
      </c>
      <c r="O76" s="17">
        <f t="shared" si="35"/>
        <v>0</v>
      </c>
      <c r="P76" s="17">
        <f t="shared" si="36"/>
        <v>12</v>
      </c>
      <c r="R76" s="19"/>
      <c r="S76" s="19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9</v>
      </c>
      <c r="N77" s="50">
        <v>0</v>
      </c>
      <c r="O77" s="17">
        <f t="shared" si="35"/>
        <v>2</v>
      </c>
      <c r="P77" s="17">
        <f t="shared" si="36"/>
        <v>11</v>
      </c>
      <c r="R77" s="19"/>
      <c r="S77" s="19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6</v>
      </c>
      <c r="N78" s="50">
        <v>0</v>
      </c>
      <c r="O78" s="17">
        <f t="shared" si="35"/>
        <v>0</v>
      </c>
      <c r="P78" s="17">
        <f t="shared" si="36"/>
        <v>6</v>
      </c>
      <c r="R78" s="19"/>
      <c r="S78" s="19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12</v>
      </c>
      <c r="N79" s="50">
        <v>0</v>
      </c>
      <c r="O79" s="17">
        <f t="shared" si="35"/>
        <v>2</v>
      </c>
      <c r="P79" s="17">
        <f t="shared" si="36"/>
        <v>14</v>
      </c>
      <c r="R79" s="19"/>
      <c r="S79" s="19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3</v>
      </c>
      <c r="N80" s="50">
        <v>0</v>
      </c>
      <c r="O80" s="17">
        <f t="shared" si="35"/>
        <v>0</v>
      </c>
      <c r="P80" s="17">
        <f t="shared" si="36"/>
        <v>3</v>
      </c>
      <c r="R80" s="19"/>
      <c r="S80" s="19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6</v>
      </c>
      <c r="N81" s="50">
        <v>0</v>
      </c>
      <c r="O81" s="17">
        <f t="shared" si="35"/>
        <v>0</v>
      </c>
      <c r="P81" s="17">
        <f t="shared" si="36"/>
        <v>6</v>
      </c>
      <c r="R81" s="19"/>
      <c r="S81" s="19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7</v>
      </c>
      <c r="N82" s="50">
        <v>0</v>
      </c>
      <c r="O82" s="17">
        <f t="shared" si="35"/>
        <v>0</v>
      </c>
      <c r="P82" s="17">
        <f t="shared" si="36"/>
        <v>7</v>
      </c>
      <c r="R82" s="19"/>
      <c r="S82" s="19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7">
        <f t="shared" si="35"/>
        <v>0</v>
      </c>
      <c r="P83" s="17">
        <f t="shared" si="36"/>
        <v>4</v>
      </c>
      <c r="R83" s="19"/>
      <c r="S83" s="19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5</v>
      </c>
      <c r="N84" s="50">
        <v>0</v>
      </c>
      <c r="O84" s="17">
        <f t="shared" si="35"/>
        <v>0</v>
      </c>
      <c r="P84" s="17">
        <f t="shared" si="36"/>
        <v>5</v>
      </c>
      <c r="R84" s="19"/>
      <c r="S84" s="19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4</v>
      </c>
      <c r="N85" s="50">
        <v>0</v>
      </c>
      <c r="O85" s="17">
        <f t="shared" si="35"/>
        <v>0</v>
      </c>
      <c r="P85" s="17">
        <f t="shared" si="36"/>
        <v>4</v>
      </c>
      <c r="R85" s="19"/>
      <c r="S85" s="19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7">
        <f t="shared" si="35"/>
        <v>1</v>
      </c>
      <c r="P86" s="17">
        <f t="shared" si="36"/>
        <v>2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7">
        <f t="shared" si="35"/>
        <v>0</v>
      </c>
      <c r="P87" s="17">
        <f t="shared" si="36"/>
        <v>1</v>
      </c>
      <c r="R87" s="19"/>
      <c r="S87" s="19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7">
        <f t="shared" si="35"/>
        <v>0</v>
      </c>
      <c r="P88" s="17">
        <f t="shared" si="36"/>
        <v>0</v>
      </c>
      <c r="R88" s="19"/>
      <c r="S88" s="19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7">
        <f t="shared" si="35"/>
        <v>0</v>
      </c>
      <c r="P89" s="17">
        <f t="shared" si="36"/>
        <v>4</v>
      </c>
      <c r="R89" s="19"/>
      <c r="S89" s="19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2</v>
      </c>
      <c r="N90" s="50">
        <v>0</v>
      </c>
      <c r="O90" s="17">
        <f t="shared" si="35"/>
        <v>0</v>
      </c>
      <c r="P90" s="17">
        <f t="shared" si="36"/>
        <v>2</v>
      </c>
      <c r="R90" s="19"/>
      <c r="S90" s="19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4</v>
      </c>
      <c r="N91" s="50">
        <v>0</v>
      </c>
      <c r="O91" s="17">
        <f t="shared" si="35"/>
        <v>1</v>
      </c>
      <c r="P91" s="17">
        <f t="shared" si="36"/>
        <v>5</v>
      </c>
      <c r="R91" s="19"/>
      <c r="S91" s="19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7">
        <f t="shared" si="35"/>
        <v>0</v>
      </c>
      <c r="P92" s="17">
        <f t="shared" si="36"/>
        <v>0</v>
      </c>
      <c r="R92" s="19"/>
      <c r="S92" s="19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7">
        <f t="shared" si="35"/>
        <v>0</v>
      </c>
      <c r="P93" s="17">
        <f t="shared" si="36"/>
        <v>2</v>
      </c>
      <c r="R93" s="19"/>
      <c r="S93" s="19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3</v>
      </c>
      <c r="N94" s="50">
        <v>0</v>
      </c>
      <c r="O94" s="17">
        <f t="shared" si="35"/>
        <v>0</v>
      </c>
      <c r="P94" s="17">
        <f t="shared" si="36"/>
        <v>3</v>
      </c>
      <c r="R94" s="19"/>
      <c r="S94" s="19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3</v>
      </c>
      <c r="N95" s="50">
        <v>0</v>
      </c>
      <c r="O95" s="17">
        <f t="shared" si="35"/>
        <v>0</v>
      </c>
      <c r="P95" s="17">
        <f t="shared" si="36"/>
        <v>3</v>
      </c>
      <c r="R95" s="19"/>
      <c r="S95" s="19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7">
        <f t="shared" si="35"/>
        <v>1</v>
      </c>
      <c r="P96" s="17">
        <f t="shared" si="36"/>
        <v>1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7">
        <f t="shared" si="35"/>
        <v>0</v>
      </c>
      <c r="P97" s="17">
        <f t="shared" si="36"/>
        <v>2</v>
      </c>
      <c r="R97" s="19"/>
      <c r="S97" s="19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5</v>
      </c>
      <c r="N98" s="50">
        <v>0</v>
      </c>
      <c r="O98" s="17">
        <f t="shared" si="35"/>
        <v>0</v>
      </c>
      <c r="P98" s="17">
        <f t="shared" si="36"/>
        <v>5</v>
      </c>
      <c r="R98" s="19"/>
      <c r="S98" s="19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7">
        <f t="shared" si="35"/>
        <v>0</v>
      </c>
      <c r="P99" s="17">
        <f t="shared" si="36"/>
        <v>0</v>
      </c>
      <c r="R99" s="19"/>
      <c r="S99" s="19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7">
        <f t="shared" si="35"/>
        <v>0</v>
      </c>
      <c r="P100" s="17">
        <f t="shared" si="36"/>
        <v>3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3</v>
      </c>
      <c r="N101" s="50">
        <v>0</v>
      </c>
      <c r="O101" s="17">
        <f t="shared" si="35"/>
        <v>1</v>
      </c>
      <c r="P101" s="17">
        <f t="shared" si="36"/>
        <v>4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5</v>
      </c>
      <c r="N102" s="50">
        <v>0</v>
      </c>
      <c r="O102" s="17">
        <f t="shared" si="35"/>
        <v>0</v>
      </c>
      <c r="P102" s="17">
        <f t="shared" si="36"/>
        <v>5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9</v>
      </c>
      <c r="N103" s="50">
        <v>0</v>
      </c>
      <c r="O103" s="17">
        <f t="shared" si="35"/>
        <v>0</v>
      </c>
      <c r="P103" s="17">
        <f t="shared" si="36"/>
        <v>9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15</v>
      </c>
      <c r="N104" s="50">
        <v>0</v>
      </c>
      <c r="O104" s="17">
        <f t="shared" si="35"/>
        <v>0</v>
      </c>
      <c r="P104" s="17">
        <f t="shared" si="36"/>
        <v>15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14</v>
      </c>
      <c r="N105" s="50">
        <v>0</v>
      </c>
      <c r="O105" s="17">
        <f t="shared" si="35"/>
        <v>0</v>
      </c>
      <c r="P105" s="17">
        <f t="shared" si="36"/>
        <v>14</v>
      </c>
      <c r="R105" s="19"/>
      <c r="S105" s="19"/>
      <c r="T105"/>
    </row>
    <row r="106" spans="2:20" ht="23.1" customHeight="1" x14ac:dyDescent="0.25">
      <c r="B106" s="53" t="s">
        <v>18</v>
      </c>
      <c r="C106" s="16">
        <f>SUM(C10:C105)</f>
        <v>30</v>
      </c>
      <c r="D106" s="16">
        <f t="shared" ref="D106:P106" si="37">SUM(D10:D105)</f>
        <v>9</v>
      </c>
      <c r="E106" s="16">
        <f t="shared" si="37"/>
        <v>6</v>
      </c>
      <c r="F106" s="16">
        <f t="shared" si="37"/>
        <v>2</v>
      </c>
      <c r="G106" s="16">
        <f t="shared" si="37"/>
        <v>0</v>
      </c>
      <c r="H106" s="16">
        <f t="shared" si="37"/>
        <v>1</v>
      </c>
      <c r="I106" s="16">
        <f t="shared" si="37"/>
        <v>2</v>
      </c>
      <c r="J106" s="16">
        <f t="shared" si="37"/>
        <v>0</v>
      </c>
      <c r="K106" s="16">
        <f t="shared" si="37"/>
        <v>0</v>
      </c>
      <c r="L106" s="16">
        <f t="shared" si="37"/>
        <v>0</v>
      </c>
      <c r="M106" s="16">
        <f t="shared" si="37"/>
        <v>1414</v>
      </c>
      <c r="N106" s="16">
        <f t="shared" si="37"/>
        <v>0</v>
      </c>
      <c r="O106" s="16">
        <f t="shared" si="37"/>
        <v>50</v>
      </c>
      <c r="P106" s="16">
        <f t="shared" si="37"/>
        <v>1464</v>
      </c>
      <c r="R106" s="19"/>
      <c r="S106" s="19"/>
      <c r="T106"/>
    </row>
    <row r="107" spans="2:20" ht="23.1" customHeight="1" x14ac:dyDescent="0.25">
      <c r="B107" s="53" t="s">
        <v>93</v>
      </c>
      <c r="C107" s="43">
        <f t="shared" ref="C107:N107" si="38">C106/$P$106</f>
        <v>2.0491803278688523E-2</v>
      </c>
      <c r="D107" s="43">
        <f t="shared" si="38"/>
        <v>6.1475409836065573E-3</v>
      </c>
      <c r="E107" s="43">
        <f t="shared" si="38"/>
        <v>4.0983606557377051E-3</v>
      </c>
      <c r="F107" s="43">
        <f t="shared" si="38"/>
        <v>1.366120218579235E-3</v>
      </c>
      <c r="G107" s="43">
        <f t="shared" si="38"/>
        <v>0</v>
      </c>
      <c r="H107" s="43">
        <f t="shared" si="38"/>
        <v>6.8306010928961749E-4</v>
      </c>
      <c r="I107" s="43">
        <f t="shared" si="38"/>
        <v>1.366120218579235E-3</v>
      </c>
      <c r="J107" s="43">
        <f t="shared" si="38"/>
        <v>0</v>
      </c>
      <c r="K107" s="43">
        <f t="shared" si="38"/>
        <v>0</v>
      </c>
      <c r="L107" s="43">
        <f t="shared" si="38"/>
        <v>0</v>
      </c>
      <c r="M107" s="43">
        <f t="shared" si="38"/>
        <v>0.96584699453551914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54" t="s">
        <v>94</v>
      </c>
      <c r="C108" s="44">
        <f>C106/$O$106</f>
        <v>0.6</v>
      </c>
      <c r="D108" s="44">
        <f t="shared" ref="D108:N108" si="39">D106/$O$106</f>
        <v>0.18</v>
      </c>
      <c r="E108" s="44">
        <f t="shared" si="39"/>
        <v>0.12</v>
      </c>
      <c r="F108" s="44">
        <f t="shared" si="39"/>
        <v>0.04</v>
      </c>
      <c r="G108" s="44">
        <f t="shared" si="39"/>
        <v>0</v>
      </c>
      <c r="H108" s="44">
        <f t="shared" si="39"/>
        <v>0.02</v>
      </c>
      <c r="I108" s="44">
        <f t="shared" si="39"/>
        <v>0.04</v>
      </c>
      <c r="J108" s="44">
        <f t="shared" si="39"/>
        <v>0</v>
      </c>
      <c r="K108" s="44">
        <f t="shared" si="39"/>
        <v>0</v>
      </c>
      <c r="L108" s="44">
        <f t="shared" si="39"/>
        <v>0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1:32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1:32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26"/>
  <sheetViews>
    <sheetView view="pageBreakPreview" zoomScale="60" workbookViewId="0">
      <selection activeCell="G19" sqref="G1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'[2]23.09.19 -Munyonyo-Kigo'!C3:G3</f>
        <v>MCC-C2-STNO 57-KIGO RD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176</v>
      </c>
      <c r="F5" s="41" t="s">
        <v>1</v>
      </c>
      <c r="G5" s="70" t="str">
        <f>'[2]27.07 Makindye-Kibuye-24h'!G5:H5</f>
        <v>LWEZA KAMUCHANGA</v>
      </c>
      <c r="H5" s="71"/>
      <c r="I5" s="14"/>
      <c r="J5" s="2" t="s">
        <v>5</v>
      </c>
      <c r="K5" s="70" t="str">
        <f>'[2]27.07 Makindye-Kibuye-24h'!K5:L5</f>
        <v>Racheal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0" t="str">
        <f>'[2]23.09.19 -Munyonyo-Kigo'!D6:E6</f>
        <v>MUNYONYO</v>
      </c>
      <c r="E6" s="71"/>
      <c r="F6" s="2" t="s">
        <v>2</v>
      </c>
      <c r="G6" s="70" t="s">
        <v>170</v>
      </c>
      <c r="H6" s="71"/>
      <c r="J6" s="2" t="s">
        <v>21</v>
      </c>
      <c r="K6" s="70" t="str">
        <f>'[2]27.07 Makindye-Kibuye-24h'!K6:L6</f>
        <v>Beatrice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19</v>
      </c>
      <c r="N10" s="50">
        <v>0</v>
      </c>
      <c r="O10" s="17">
        <f t="shared" ref="O10:O57" si="0">SUM(C10:L10,N10)</f>
        <v>2</v>
      </c>
      <c r="P10" s="17">
        <f t="shared" ref="P10:P57" si="1">SUM(C10:N10)</f>
        <v>21</v>
      </c>
      <c r="R10" s="1" t="s">
        <v>6</v>
      </c>
      <c r="S10" s="17">
        <f t="shared" ref="S10:AF10" si="2">SUM(C10:C13)</f>
        <v>4</v>
      </c>
      <c r="T10" s="17">
        <f t="shared" si="2"/>
        <v>3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71</v>
      </c>
      <c r="AD10" s="17">
        <f t="shared" si="2"/>
        <v>0</v>
      </c>
      <c r="AE10" s="31">
        <f t="shared" si="2"/>
        <v>10</v>
      </c>
      <c r="AF10" s="31">
        <f t="shared" si="2"/>
        <v>81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13</v>
      </c>
      <c r="N11" s="50">
        <v>0</v>
      </c>
      <c r="O11" s="17">
        <f t="shared" si="0"/>
        <v>1</v>
      </c>
      <c r="P11" s="17">
        <f t="shared" si="1"/>
        <v>14</v>
      </c>
      <c r="R11" s="1" t="s">
        <v>7</v>
      </c>
      <c r="S11" s="17">
        <f t="shared" ref="S11:AF11" si="3">SUM(C14:C17)</f>
        <v>5</v>
      </c>
      <c r="T11" s="17">
        <f t="shared" si="3"/>
        <v>2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2</v>
      </c>
      <c r="AA11" s="17">
        <f t="shared" si="3"/>
        <v>1</v>
      </c>
      <c r="AB11" s="17">
        <f t="shared" si="3"/>
        <v>1</v>
      </c>
      <c r="AC11" s="17">
        <f t="shared" si="3"/>
        <v>82</v>
      </c>
      <c r="AD11" s="17">
        <f t="shared" si="3"/>
        <v>0</v>
      </c>
      <c r="AE11" s="31">
        <f t="shared" si="3"/>
        <v>11</v>
      </c>
      <c r="AF11" s="31">
        <f t="shared" si="3"/>
        <v>93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1</v>
      </c>
      <c r="L12" s="50">
        <v>0</v>
      </c>
      <c r="M12" s="50">
        <v>25</v>
      </c>
      <c r="N12" s="50">
        <v>0</v>
      </c>
      <c r="O12" s="17">
        <f t="shared" si="0"/>
        <v>2</v>
      </c>
      <c r="P12" s="17">
        <f t="shared" si="1"/>
        <v>27</v>
      </c>
      <c r="R12" s="1" t="s">
        <v>8</v>
      </c>
      <c r="S12" s="17">
        <f t="shared" ref="S12:AF12" si="4">SUM(C18:C21)</f>
        <v>8</v>
      </c>
      <c r="T12" s="17">
        <f t="shared" si="4"/>
        <v>3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99</v>
      </c>
      <c r="AD12" s="17">
        <f t="shared" si="4"/>
        <v>0</v>
      </c>
      <c r="AE12" s="31">
        <f t="shared" si="4"/>
        <v>16</v>
      </c>
      <c r="AF12" s="31">
        <f t="shared" si="4"/>
        <v>115</v>
      </c>
    </row>
    <row r="13" spans="2:32" ht="23.1" customHeight="1" x14ac:dyDescent="0.25">
      <c r="B13" s="23" t="s">
        <v>40</v>
      </c>
      <c r="C13" s="50">
        <v>1</v>
      </c>
      <c r="D13" s="50">
        <v>3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7">
        <f t="shared" si="0"/>
        <v>5</v>
      </c>
      <c r="P13" s="17">
        <f t="shared" si="1"/>
        <v>19</v>
      </c>
      <c r="R13" s="1" t="s">
        <v>9</v>
      </c>
      <c r="S13" s="17">
        <f t="shared" ref="S13:AF13" si="5">SUM(C22:C25)</f>
        <v>9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0</v>
      </c>
      <c r="AB13" s="17">
        <f t="shared" si="5"/>
        <v>1</v>
      </c>
      <c r="AC13" s="17">
        <f t="shared" si="5"/>
        <v>103</v>
      </c>
      <c r="AD13" s="17">
        <f t="shared" si="5"/>
        <v>0</v>
      </c>
      <c r="AE13" s="31">
        <f t="shared" si="5"/>
        <v>13</v>
      </c>
      <c r="AF13" s="31">
        <f t="shared" si="5"/>
        <v>116</v>
      </c>
    </row>
    <row r="14" spans="2:32" ht="23.1" customHeight="1" x14ac:dyDescent="0.25">
      <c r="B14" s="23" t="s">
        <v>41</v>
      </c>
      <c r="C14" s="50">
        <v>3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18</v>
      </c>
      <c r="N14" s="50">
        <v>0</v>
      </c>
      <c r="O14" s="17">
        <f t="shared" si="0"/>
        <v>5</v>
      </c>
      <c r="P14" s="17">
        <f t="shared" si="1"/>
        <v>23</v>
      </c>
      <c r="R14" s="1" t="s">
        <v>10</v>
      </c>
      <c r="S14" s="17">
        <f t="shared" ref="S14:AF14" si="6">SUM(C26:C29)</f>
        <v>3</v>
      </c>
      <c r="T14" s="17">
        <f t="shared" si="6"/>
        <v>3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93</v>
      </c>
      <c r="AD14" s="17">
        <f t="shared" si="6"/>
        <v>0</v>
      </c>
      <c r="AE14" s="31">
        <f t="shared" si="6"/>
        <v>10</v>
      </c>
      <c r="AF14" s="31">
        <f t="shared" si="6"/>
        <v>103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1</v>
      </c>
      <c r="L15" s="50">
        <v>0</v>
      </c>
      <c r="M15" s="50">
        <v>12</v>
      </c>
      <c r="N15" s="50">
        <v>0</v>
      </c>
      <c r="O15" s="17">
        <f t="shared" si="0"/>
        <v>2</v>
      </c>
      <c r="P15" s="17">
        <f t="shared" si="1"/>
        <v>14</v>
      </c>
      <c r="R15" s="1" t="s">
        <v>11</v>
      </c>
      <c r="S15" s="17">
        <f t="shared" ref="S15:AF15" si="7">SUM(C30:C33)</f>
        <v>4</v>
      </c>
      <c r="T15" s="17">
        <f t="shared" si="7"/>
        <v>5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2</v>
      </c>
      <c r="AC15" s="17">
        <f t="shared" si="7"/>
        <v>65</v>
      </c>
      <c r="AD15" s="17">
        <f t="shared" si="7"/>
        <v>0</v>
      </c>
      <c r="AE15" s="31">
        <f t="shared" si="7"/>
        <v>13</v>
      </c>
      <c r="AF15" s="31">
        <f t="shared" si="7"/>
        <v>78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26</v>
      </c>
      <c r="N16" s="50">
        <v>0</v>
      </c>
      <c r="O16" s="17">
        <f t="shared" si="0"/>
        <v>1</v>
      </c>
      <c r="P16" s="17">
        <f t="shared" si="1"/>
        <v>27</v>
      </c>
      <c r="R16" s="1" t="s">
        <v>12</v>
      </c>
      <c r="S16" s="17">
        <f t="shared" ref="S16:AF16" si="8">SUM(C34:C37)</f>
        <v>12</v>
      </c>
      <c r="T16" s="17">
        <f t="shared" si="8"/>
        <v>0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59</v>
      </c>
      <c r="AD16" s="17">
        <f t="shared" si="8"/>
        <v>0</v>
      </c>
      <c r="AE16" s="31">
        <f t="shared" si="8"/>
        <v>17</v>
      </c>
      <c r="AF16" s="31">
        <f t="shared" si="8"/>
        <v>76</v>
      </c>
    </row>
    <row r="17" spans="2:32" ht="23.1" customHeight="1" x14ac:dyDescent="0.25">
      <c r="B17" s="23" t="s">
        <v>44</v>
      </c>
      <c r="C17" s="50">
        <v>1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26</v>
      </c>
      <c r="N17" s="50">
        <v>0</v>
      </c>
      <c r="O17" s="17">
        <f t="shared" si="0"/>
        <v>3</v>
      </c>
      <c r="P17" s="17">
        <f t="shared" si="1"/>
        <v>29</v>
      </c>
      <c r="R17" s="1" t="s">
        <v>13</v>
      </c>
      <c r="S17" s="17">
        <f t="shared" ref="S17:AF17" si="9">SUM(C38:C41)</f>
        <v>6</v>
      </c>
      <c r="T17" s="17">
        <f t="shared" si="9"/>
        <v>2</v>
      </c>
      <c r="U17" s="17">
        <f t="shared" si="9"/>
        <v>5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75</v>
      </c>
      <c r="AD17" s="17">
        <f t="shared" si="9"/>
        <v>0</v>
      </c>
      <c r="AE17" s="31">
        <f t="shared" si="9"/>
        <v>15</v>
      </c>
      <c r="AF17" s="31">
        <f t="shared" si="9"/>
        <v>90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20</v>
      </c>
      <c r="N18" s="50">
        <v>0</v>
      </c>
      <c r="O18" s="17">
        <f t="shared" si="0"/>
        <v>2</v>
      </c>
      <c r="P18" s="17">
        <f t="shared" si="1"/>
        <v>22</v>
      </c>
      <c r="R18" s="1" t="s">
        <v>14</v>
      </c>
      <c r="S18" s="17">
        <f t="shared" ref="S18:AF18" si="10">SUM(C42:C45)</f>
        <v>10</v>
      </c>
      <c r="T18" s="17">
        <f t="shared" si="10"/>
        <v>6</v>
      </c>
      <c r="U18" s="17">
        <f t="shared" si="10"/>
        <v>0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96</v>
      </c>
      <c r="AD18" s="17">
        <f t="shared" si="10"/>
        <v>0</v>
      </c>
      <c r="AE18" s="31">
        <f t="shared" si="10"/>
        <v>22</v>
      </c>
      <c r="AF18" s="31">
        <f t="shared" si="10"/>
        <v>118</v>
      </c>
    </row>
    <row r="19" spans="2:32" ht="23.1" customHeight="1" x14ac:dyDescent="0.25">
      <c r="B19" s="23" t="s">
        <v>46</v>
      </c>
      <c r="C19" s="50">
        <v>5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25</v>
      </c>
      <c r="N19" s="50">
        <v>0</v>
      </c>
      <c r="O19" s="17">
        <f t="shared" si="0"/>
        <v>7</v>
      </c>
      <c r="P19" s="17">
        <f t="shared" si="1"/>
        <v>32</v>
      </c>
      <c r="R19" s="1" t="s">
        <v>15</v>
      </c>
      <c r="S19" s="17">
        <f t="shared" ref="S19:AF19" si="11">SUM(C46:C49)</f>
        <v>6</v>
      </c>
      <c r="T19" s="17">
        <f t="shared" si="11"/>
        <v>5</v>
      </c>
      <c r="U19" s="17">
        <f t="shared" si="11"/>
        <v>3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110</v>
      </c>
      <c r="AD19" s="17">
        <f t="shared" si="11"/>
        <v>0</v>
      </c>
      <c r="AE19" s="31">
        <f t="shared" si="11"/>
        <v>16</v>
      </c>
      <c r="AF19" s="31">
        <f t="shared" si="11"/>
        <v>126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25</v>
      </c>
      <c r="N20" s="50">
        <v>0</v>
      </c>
      <c r="O20" s="17">
        <f t="shared" si="0"/>
        <v>5</v>
      </c>
      <c r="P20" s="17">
        <f t="shared" si="1"/>
        <v>30</v>
      </c>
      <c r="R20" s="1" t="s">
        <v>16</v>
      </c>
      <c r="S20" s="17">
        <f t="shared" ref="S20:AF20" si="12">SUM(C50:C53)</f>
        <v>9</v>
      </c>
      <c r="T20" s="17">
        <f t="shared" si="12"/>
        <v>5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83</v>
      </c>
      <c r="AD20" s="17">
        <f t="shared" si="12"/>
        <v>0</v>
      </c>
      <c r="AE20" s="31">
        <f t="shared" si="12"/>
        <v>16</v>
      </c>
      <c r="AF20" s="31">
        <f t="shared" si="12"/>
        <v>99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29</v>
      </c>
      <c r="N21" s="50">
        <v>0</v>
      </c>
      <c r="O21" s="17">
        <f t="shared" si="0"/>
        <v>2</v>
      </c>
      <c r="P21" s="17">
        <f t="shared" si="1"/>
        <v>31</v>
      </c>
      <c r="R21" s="36" t="s">
        <v>20</v>
      </c>
      <c r="S21" s="34">
        <f t="shared" ref="S21:AF21" si="13">SUM(C54:C57)</f>
        <v>18</v>
      </c>
      <c r="T21" s="17">
        <f t="shared" si="13"/>
        <v>1</v>
      </c>
      <c r="U21" s="17">
        <f t="shared" si="13"/>
        <v>3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96</v>
      </c>
      <c r="AD21" s="17">
        <f t="shared" si="13"/>
        <v>0</v>
      </c>
      <c r="AE21" s="31">
        <f t="shared" si="13"/>
        <v>30</v>
      </c>
      <c r="AF21" s="31">
        <f t="shared" si="13"/>
        <v>126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25</v>
      </c>
      <c r="N22" s="50">
        <v>0</v>
      </c>
      <c r="O22" s="17">
        <f t="shared" si="0"/>
        <v>3</v>
      </c>
      <c r="P22" s="17">
        <f t="shared" si="1"/>
        <v>28</v>
      </c>
      <c r="R22" s="51" t="s">
        <v>90</v>
      </c>
      <c r="S22" s="52">
        <f>MAX(S10:S12)</f>
        <v>8</v>
      </c>
      <c r="T22" s="52">
        <f t="shared" ref="T22:AF22" si="14">MAX(T10:T12)</f>
        <v>3</v>
      </c>
      <c r="U22" s="52">
        <f t="shared" si="14"/>
        <v>2</v>
      </c>
      <c r="V22" s="52">
        <f t="shared" si="14"/>
        <v>0</v>
      </c>
      <c r="W22" s="52">
        <f t="shared" si="14"/>
        <v>0</v>
      </c>
      <c r="X22" s="52">
        <f t="shared" si="14"/>
        <v>0</v>
      </c>
      <c r="Y22" s="52">
        <f t="shared" si="14"/>
        <v>1</v>
      </c>
      <c r="Z22" s="52">
        <f t="shared" si="14"/>
        <v>2</v>
      </c>
      <c r="AA22" s="52">
        <f t="shared" si="14"/>
        <v>1</v>
      </c>
      <c r="AB22" s="52">
        <f t="shared" si="14"/>
        <v>2</v>
      </c>
      <c r="AC22" s="52">
        <f t="shared" si="14"/>
        <v>99</v>
      </c>
      <c r="AD22" s="52">
        <f t="shared" si="14"/>
        <v>0</v>
      </c>
      <c r="AE22" s="40">
        <f t="shared" si="14"/>
        <v>16</v>
      </c>
      <c r="AF22" s="40">
        <f t="shared" si="14"/>
        <v>115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18</v>
      </c>
      <c r="N23" s="50">
        <v>0</v>
      </c>
      <c r="O23" s="17">
        <f t="shared" si="0"/>
        <v>5</v>
      </c>
      <c r="P23" s="17">
        <f t="shared" si="1"/>
        <v>23</v>
      </c>
      <c r="R23" s="51" t="s">
        <v>91</v>
      </c>
      <c r="S23" s="52">
        <f>MAX(S13:S18)</f>
        <v>12</v>
      </c>
      <c r="T23" s="52">
        <f t="shared" ref="T23:AF23" si="15">MAX(T13:T18)</f>
        <v>6</v>
      </c>
      <c r="U23" s="52">
        <f t="shared" si="15"/>
        <v>5</v>
      </c>
      <c r="V23" s="52">
        <f t="shared" si="15"/>
        <v>3</v>
      </c>
      <c r="W23" s="52">
        <f t="shared" si="15"/>
        <v>0</v>
      </c>
      <c r="X23" s="52">
        <f t="shared" si="15"/>
        <v>1</v>
      </c>
      <c r="Y23" s="52">
        <f t="shared" si="15"/>
        <v>2</v>
      </c>
      <c r="Z23" s="52">
        <f t="shared" si="15"/>
        <v>2</v>
      </c>
      <c r="AA23" s="52">
        <f t="shared" si="15"/>
        <v>1</v>
      </c>
      <c r="AB23" s="52">
        <f t="shared" si="15"/>
        <v>2</v>
      </c>
      <c r="AC23" s="52">
        <f t="shared" si="15"/>
        <v>103</v>
      </c>
      <c r="AD23" s="52">
        <f t="shared" si="15"/>
        <v>0</v>
      </c>
      <c r="AE23" s="40">
        <f t="shared" si="15"/>
        <v>22</v>
      </c>
      <c r="AF23" s="40">
        <f t="shared" si="15"/>
        <v>118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24</v>
      </c>
      <c r="N24" s="50">
        <v>0</v>
      </c>
      <c r="O24" s="17">
        <f t="shared" si="0"/>
        <v>2</v>
      </c>
      <c r="P24" s="17">
        <f t="shared" si="1"/>
        <v>26</v>
      </c>
      <c r="R24" s="51" t="s">
        <v>92</v>
      </c>
      <c r="S24" s="52">
        <f>MAX(S19:S21)</f>
        <v>18</v>
      </c>
      <c r="T24" s="52">
        <f t="shared" ref="T24:AF24" si="16">MAX(T19:T21)</f>
        <v>5</v>
      </c>
      <c r="U24" s="52">
        <f t="shared" si="16"/>
        <v>3</v>
      </c>
      <c r="V24" s="52">
        <f t="shared" si="16"/>
        <v>3</v>
      </c>
      <c r="W24" s="52">
        <f t="shared" si="16"/>
        <v>0</v>
      </c>
      <c r="X24" s="52">
        <f t="shared" si="16"/>
        <v>0</v>
      </c>
      <c r="Y24" s="52">
        <f t="shared" si="16"/>
        <v>5</v>
      </c>
      <c r="Z24" s="52">
        <f t="shared" si="16"/>
        <v>1</v>
      </c>
      <c r="AA24" s="52">
        <f t="shared" si="16"/>
        <v>0</v>
      </c>
      <c r="AB24" s="52">
        <f t="shared" si="16"/>
        <v>0</v>
      </c>
      <c r="AC24" s="52">
        <f t="shared" si="16"/>
        <v>110</v>
      </c>
      <c r="AD24" s="52">
        <f t="shared" si="16"/>
        <v>0</v>
      </c>
      <c r="AE24" s="40">
        <f t="shared" si="16"/>
        <v>30</v>
      </c>
      <c r="AF24" s="40">
        <f t="shared" si="16"/>
        <v>126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36</v>
      </c>
      <c r="N25" s="50">
        <v>0</v>
      </c>
      <c r="O25" s="17">
        <f t="shared" si="0"/>
        <v>3</v>
      </c>
      <c r="P25" s="17">
        <f t="shared" si="1"/>
        <v>39</v>
      </c>
      <c r="R25" s="37" t="s">
        <v>85</v>
      </c>
      <c r="S25" s="35">
        <f t="shared" ref="S25:AF25" si="17">SUM(S10:S12)</f>
        <v>17</v>
      </c>
      <c r="T25" s="16">
        <f t="shared" si="17"/>
        <v>8</v>
      </c>
      <c r="U25" s="16">
        <f t="shared" si="17"/>
        <v>3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3</v>
      </c>
      <c r="AA25" s="16">
        <f t="shared" si="17"/>
        <v>2</v>
      </c>
      <c r="AB25" s="16">
        <f t="shared" si="17"/>
        <v>3</v>
      </c>
      <c r="AC25" s="16">
        <f t="shared" si="17"/>
        <v>252</v>
      </c>
      <c r="AD25" s="16">
        <f t="shared" si="17"/>
        <v>0</v>
      </c>
      <c r="AE25" s="32">
        <f t="shared" si="17"/>
        <v>37</v>
      </c>
      <c r="AF25" s="32">
        <f t="shared" si="17"/>
        <v>289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21</v>
      </c>
      <c r="N26" s="50">
        <v>0</v>
      </c>
      <c r="O26" s="17">
        <f t="shared" si="0"/>
        <v>1</v>
      </c>
      <c r="P26" s="17">
        <f t="shared" si="1"/>
        <v>22</v>
      </c>
      <c r="R26" s="28" t="s">
        <v>86</v>
      </c>
      <c r="S26" s="16">
        <f t="shared" ref="S26:AF26" si="18">SUM(S13:S18)</f>
        <v>44</v>
      </c>
      <c r="T26" s="16">
        <f t="shared" si="18"/>
        <v>16</v>
      </c>
      <c r="U26" s="16">
        <f t="shared" si="18"/>
        <v>11</v>
      </c>
      <c r="V26" s="16">
        <f t="shared" si="18"/>
        <v>6</v>
      </c>
      <c r="W26" s="16">
        <f t="shared" si="18"/>
        <v>0</v>
      </c>
      <c r="X26" s="16">
        <f t="shared" si="18"/>
        <v>1</v>
      </c>
      <c r="Y26" s="16">
        <f t="shared" si="18"/>
        <v>3</v>
      </c>
      <c r="Z26" s="16">
        <f t="shared" si="18"/>
        <v>5</v>
      </c>
      <c r="AA26" s="16">
        <f t="shared" si="18"/>
        <v>1</v>
      </c>
      <c r="AB26" s="16">
        <f t="shared" si="18"/>
        <v>3</v>
      </c>
      <c r="AC26" s="16">
        <f t="shared" si="18"/>
        <v>491</v>
      </c>
      <c r="AD26" s="16">
        <f t="shared" si="18"/>
        <v>0</v>
      </c>
      <c r="AE26" s="32">
        <f t="shared" si="18"/>
        <v>90</v>
      </c>
      <c r="AF26" s="32">
        <f t="shared" si="18"/>
        <v>581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1</v>
      </c>
      <c r="I27" s="50">
        <v>0</v>
      </c>
      <c r="J27" s="50">
        <v>2</v>
      </c>
      <c r="K27" s="50">
        <v>0</v>
      </c>
      <c r="L27" s="50">
        <v>0</v>
      </c>
      <c r="M27" s="50">
        <v>20</v>
      </c>
      <c r="N27" s="50">
        <v>0</v>
      </c>
      <c r="O27" s="17">
        <f t="shared" si="0"/>
        <v>4</v>
      </c>
      <c r="P27" s="17">
        <f t="shared" si="1"/>
        <v>24</v>
      </c>
      <c r="R27" s="29" t="s">
        <v>87</v>
      </c>
      <c r="S27" s="16">
        <f t="shared" ref="S27:AF27" si="19">SUM(S19:S21)</f>
        <v>33</v>
      </c>
      <c r="T27" s="16">
        <f t="shared" si="19"/>
        <v>11</v>
      </c>
      <c r="U27" s="16">
        <f t="shared" si="19"/>
        <v>7</v>
      </c>
      <c r="V27" s="16">
        <f t="shared" si="19"/>
        <v>4</v>
      </c>
      <c r="W27" s="16">
        <f t="shared" si="19"/>
        <v>0</v>
      </c>
      <c r="X27" s="16">
        <f t="shared" si="19"/>
        <v>0</v>
      </c>
      <c r="Y27" s="16">
        <f t="shared" si="19"/>
        <v>6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289</v>
      </c>
      <c r="AD27" s="16">
        <f t="shared" si="19"/>
        <v>0</v>
      </c>
      <c r="AE27" s="32">
        <f t="shared" si="19"/>
        <v>62</v>
      </c>
      <c r="AF27" s="32">
        <f t="shared" si="19"/>
        <v>351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27</v>
      </c>
      <c r="N28" s="50">
        <v>0</v>
      </c>
      <c r="O28" s="17">
        <f t="shared" si="0"/>
        <v>1</v>
      </c>
      <c r="P28" s="17">
        <f t="shared" si="1"/>
        <v>28</v>
      </c>
      <c r="R28" s="5" t="s">
        <v>17</v>
      </c>
      <c r="S28" s="16">
        <f t="shared" ref="S28:AF28" si="20">SUM(S10:S21)</f>
        <v>94</v>
      </c>
      <c r="T28" s="16">
        <f t="shared" si="20"/>
        <v>35</v>
      </c>
      <c r="U28" s="16">
        <f t="shared" si="20"/>
        <v>21</v>
      </c>
      <c r="V28" s="16">
        <f t="shared" si="20"/>
        <v>10</v>
      </c>
      <c r="W28" s="16">
        <f t="shared" si="20"/>
        <v>0</v>
      </c>
      <c r="X28" s="16">
        <f t="shared" si="20"/>
        <v>1</v>
      </c>
      <c r="Y28" s="16">
        <f t="shared" si="20"/>
        <v>10</v>
      </c>
      <c r="Z28" s="16">
        <f t="shared" si="20"/>
        <v>9</v>
      </c>
      <c r="AA28" s="16">
        <f t="shared" si="20"/>
        <v>3</v>
      </c>
      <c r="AB28" s="16">
        <f t="shared" si="20"/>
        <v>6</v>
      </c>
      <c r="AC28" s="16">
        <f t="shared" si="20"/>
        <v>1032</v>
      </c>
      <c r="AD28" s="16">
        <f t="shared" si="20"/>
        <v>0</v>
      </c>
      <c r="AE28" s="32">
        <f t="shared" si="20"/>
        <v>189</v>
      </c>
      <c r="AF28" s="32">
        <f t="shared" si="20"/>
        <v>1221</v>
      </c>
    </row>
    <row r="29" spans="2:32" ht="23.1" customHeight="1" x14ac:dyDescent="0.25">
      <c r="B29" s="23" t="s">
        <v>56</v>
      </c>
      <c r="C29" s="50">
        <v>0</v>
      </c>
      <c r="D29" s="50">
        <v>3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25</v>
      </c>
      <c r="N29" s="50">
        <v>0</v>
      </c>
      <c r="O29" s="17">
        <f t="shared" si="0"/>
        <v>4</v>
      </c>
      <c r="P29" s="17">
        <f t="shared" si="1"/>
        <v>29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28</v>
      </c>
      <c r="N30" s="50">
        <v>0</v>
      </c>
      <c r="O30" s="17">
        <f t="shared" si="0"/>
        <v>3</v>
      </c>
      <c r="P30" s="17">
        <f t="shared" si="1"/>
        <v>31</v>
      </c>
      <c r="R30"/>
      <c r="S30" s="19"/>
      <c r="T30" s="19"/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17</v>
      </c>
      <c r="N31" s="50">
        <v>0</v>
      </c>
      <c r="O31" s="17">
        <f t="shared" si="0"/>
        <v>2</v>
      </c>
      <c r="P31" s="17">
        <f t="shared" si="1"/>
        <v>19</v>
      </c>
      <c r="R31"/>
      <c r="S31" s="19"/>
      <c r="T31" s="19"/>
    </row>
    <row r="32" spans="2:32" ht="23.1" customHeight="1" x14ac:dyDescent="0.25">
      <c r="B32" s="24" t="s">
        <v>59</v>
      </c>
      <c r="C32" s="50">
        <v>1</v>
      </c>
      <c r="D32" s="50">
        <v>3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10</v>
      </c>
      <c r="N32" s="50">
        <v>0</v>
      </c>
      <c r="O32" s="17">
        <f t="shared" si="0"/>
        <v>6</v>
      </c>
      <c r="P32" s="17">
        <f t="shared" si="1"/>
        <v>16</v>
      </c>
      <c r="R32"/>
      <c r="S32" s="19"/>
      <c r="T32" s="19"/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10</v>
      </c>
      <c r="N33" s="50">
        <v>0</v>
      </c>
      <c r="O33" s="17">
        <f t="shared" si="0"/>
        <v>2</v>
      </c>
      <c r="P33" s="17">
        <f t="shared" si="1"/>
        <v>12</v>
      </c>
      <c r="R33"/>
      <c r="S33" s="19"/>
      <c r="T33" s="19"/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7">
        <f t="shared" si="0"/>
        <v>2</v>
      </c>
      <c r="P34" s="17">
        <f t="shared" si="1"/>
        <v>14</v>
      </c>
      <c r="R34"/>
      <c r="S34" s="19"/>
      <c r="T34" s="19"/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9</v>
      </c>
      <c r="N35" s="50">
        <v>0</v>
      </c>
      <c r="O35" s="17">
        <f t="shared" si="0"/>
        <v>4</v>
      </c>
      <c r="P35" s="17">
        <f t="shared" si="1"/>
        <v>13</v>
      </c>
      <c r="R35"/>
      <c r="S35" s="19"/>
      <c r="T35" s="19"/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18</v>
      </c>
      <c r="N36" s="50">
        <v>0</v>
      </c>
      <c r="O36" s="17">
        <f t="shared" si="0"/>
        <v>4</v>
      </c>
      <c r="P36" s="17">
        <f t="shared" si="1"/>
        <v>22</v>
      </c>
      <c r="R36"/>
      <c r="S36" s="19"/>
      <c r="T36" s="19"/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20</v>
      </c>
      <c r="N37" s="50">
        <v>0</v>
      </c>
      <c r="O37" s="17">
        <f t="shared" si="0"/>
        <v>7</v>
      </c>
      <c r="P37" s="17">
        <f t="shared" si="1"/>
        <v>27</v>
      </c>
      <c r="R37"/>
      <c r="S37" s="19"/>
      <c r="T37" s="19"/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32</v>
      </c>
      <c r="N38" s="50">
        <v>0</v>
      </c>
      <c r="O38" s="17">
        <f t="shared" si="0"/>
        <v>6</v>
      </c>
      <c r="P38" s="17">
        <f t="shared" si="1"/>
        <v>38</v>
      </c>
      <c r="R38"/>
      <c r="S38" s="19"/>
      <c r="T38" s="19"/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20</v>
      </c>
      <c r="N39" s="50">
        <v>0</v>
      </c>
      <c r="O39" s="17">
        <f t="shared" si="0"/>
        <v>3</v>
      </c>
      <c r="P39" s="17">
        <f t="shared" si="1"/>
        <v>23</v>
      </c>
      <c r="R39"/>
      <c r="S39" s="19"/>
      <c r="T39" s="19"/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17</v>
      </c>
      <c r="N40" s="50">
        <v>0</v>
      </c>
      <c r="O40" s="17">
        <f t="shared" si="0"/>
        <v>4</v>
      </c>
      <c r="P40" s="17">
        <f t="shared" si="1"/>
        <v>21</v>
      </c>
      <c r="R40"/>
      <c r="S40" s="19"/>
      <c r="T40" s="19"/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7">
        <f t="shared" si="0"/>
        <v>2</v>
      </c>
      <c r="P41" s="17">
        <f t="shared" si="1"/>
        <v>8</v>
      </c>
      <c r="R41"/>
      <c r="S41" s="19"/>
      <c r="T41" s="19"/>
    </row>
    <row r="42" spans="2:20" ht="23.1" customHeight="1" x14ac:dyDescent="0.25">
      <c r="B42" s="24" t="s">
        <v>69</v>
      </c>
      <c r="C42" s="50">
        <v>6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19</v>
      </c>
      <c r="N42" s="50">
        <v>0</v>
      </c>
      <c r="O42" s="17">
        <f t="shared" si="0"/>
        <v>7</v>
      </c>
      <c r="P42" s="17">
        <f t="shared" si="1"/>
        <v>26</v>
      </c>
      <c r="R42"/>
      <c r="S42" s="19"/>
      <c r="T42" s="19"/>
    </row>
    <row r="43" spans="2:20" ht="23.1" customHeight="1" x14ac:dyDescent="0.25">
      <c r="B43" s="23" t="s">
        <v>70</v>
      </c>
      <c r="C43" s="50">
        <v>0</v>
      </c>
      <c r="D43" s="50">
        <v>2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26</v>
      </c>
      <c r="N43" s="50">
        <v>0</v>
      </c>
      <c r="O43" s="17">
        <f t="shared" si="0"/>
        <v>4</v>
      </c>
      <c r="P43" s="17">
        <f t="shared" si="1"/>
        <v>30</v>
      </c>
      <c r="R43"/>
      <c r="S43" s="19"/>
      <c r="T43" s="19"/>
    </row>
    <row r="44" spans="2:20" ht="23.1" customHeight="1" x14ac:dyDescent="0.25">
      <c r="B44" s="25" t="s">
        <v>71</v>
      </c>
      <c r="C44" s="50">
        <v>2</v>
      </c>
      <c r="D44" s="50">
        <v>1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25</v>
      </c>
      <c r="N44" s="50">
        <v>0</v>
      </c>
      <c r="O44" s="17">
        <f t="shared" si="0"/>
        <v>4</v>
      </c>
      <c r="P44" s="17">
        <f t="shared" si="1"/>
        <v>29</v>
      </c>
      <c r="R44"/>
      <c r="S44" s="19"/>
      <c r="T44" s="19"/>
    </row>
    <row r="45" spans="2:20" ht="23.1" customHeight="1" x14ac:dyDescent="0.25">
      <c r="B45" s="23" t="s">
        <v>72</v>
      </c>
      <c r="C45" s="50">
        <v>2</v>
      </c>
      <c r="D45" s="50">
        <v>2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26</v>
      </c>
      <c r="N45" s="50">
        <v>0</v>
      </c>
      <c r="O45" s="17">
        <f t="shared" si="0"/>
        <v>7</v>
      </c>
      <c r="P45" s="17">
        <f t="shared" si="1"/>
        <v>33</v>
      </c>
      <c r="R45"/>
      <c r="S45" s="19"/>
      <c r="T45" s="19"/>
    </row>
    <row r="46" spans="2:20" ht="23.1" customHeight="1" x14ac:dyDescent="0.25">
      <c r="B46" s="24" t="s">
        <v>73</v>
      </c>
      <c r="C46" s="50">
        <v>2</v>
      </c>
      <c r="D46" s="50">
        <v>1</v>
      </c>
      <c r="E46" s="50">
        <v>0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27</v>
      </c>
      <c r="N46" s="50">
        <v>0</v>
      </c>
      <c r="O46" s="17">
        <f t="shared" si="0"/>
        <v>5</v>
      </c>
      <c r="P46" s="17">
        <f t="shared" si="1"/>
        <v>32</v>
      </c>
      <c r="R46" s="19"/>
      <c r="S46" s="19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20</v>
      </c>
      <c r="N47" s="50">
        <v>0</v>
      </c>
      <c r="O47" s="17">
        <f t="shared" si="0"/>
        <v>1</v>
      </c>
      <c r="P47" s="17">
        <f t="shared" si="1"/>
        <v>21</v>
      </c>
      <c r="R47" s="19"/>
      <c r="S47" s="19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31</v>
      </c>
      <c r="N48" s="50">
        <v>0</v>
      </c>
      <c r="O48" s="17">
        <f t="shared" si="0"/>
        <v>2</v>
      </c>
      <c r="P48" s="17">
        <f t="shared" si="1"/>
        <v>33</v>
      </c>
      <c r="R48" s="19"/>
      <c r="S48" s="19"/>
      <c r="T48"/>
    </row>
    <row r="49" spans="2:20" ht="23.1" customHeight="1" x14ac:dyDescent="0.25">
      <c r="B49" s="23" t="s">
        <v>76</v>
      </c>
      <c r="C49" s="50">
        <v>4</v>
      </c>
      <c r="D49" s="50">
        <v>2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32</v>
      </c>
      <c r="N49" s="50">
        <v>0</v>
      </c>
      <c r="O49" s="17">
        <f t="shared" si="0"/>
        <v>8</v>
      </c>
      <c r="P49" s="17">
        <f t="shared" si="1"/>
        <v>40</v>
      </c>
      <c r="R49" s="19"/>
      <c r="S49" s="19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29</v>
      </c>
      <c r="N50" s="50">
        <v>0</v>
      </c>
      <c r="O50" s="17">
        <f t="shared" si="0"/>
        <v>2</v>
      </c>
      <c r="P50" s="17">
        <f t="shared" si="1"/>
        <v>31</v>
      </c>
      <c r="R50" s="19"/>
      <c r="S50" s="19"/>
      <c r="T50"/>
    </row>
    <row r="51" spans="2:20" ht="23.1" customHeight="1" x14ac:dyDescent="0.25">
      <c r="B51" s="24" t="s">
        <v>78</v>
      </c>
      <c r="C51" s="50">
        <v>4</v>
      </c>
      <c r="D51" s="50">
        <v>3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21</v>
      </c>
      <c r="N51" s="50">
        <v>0</v>
      </c>
      <c r="O51" s="17">
        <f t="shared" si="0"/>
        <v>7</v>
      </c>
      <c r="P51" s="17">
        <f t="shared" si="1"/>
        <v>28</v>
      </c>
      <c r="R51" s="19"/>
      <c r="S51" s="19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16</v>
      </c>
      <c r="N52" s="50">
        <v>0</v>
      </c>
      <c r="O52" s="17">
        <f t="shared" si="0"/>
        <v>4</v>
      </c>
      <c r="P52" s="17">
        <f t="shared" si="1"/>
        <v>20</v>
      </c>
      <c r="R52" s="19"/>
      <c r="S52" s="19"/>
      <c r="T52"/>
    </row>
    <row r="53" spans="2:20" ht="23.1" customHeight="1" x14ac:dyDescent="0.25">
      <c r="B53" s="23" t="s">
        <v>80</v>
      </c>
      <c r="C53" s="50">
        <v>0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17</v>
      </c>
      <c r="N53" s="50">
        <v>0</v>
      </c>
      <c r="O53" s="17">
        <f t="shared" si="0"/>
        <v>3</v>
      </c>
      <c r="P53" s="17">
        <f t="shared" si="1"/>
        <v>20</v>
      </c>
      <c r="R53" s="19"/>
      <c r="S53" s="19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25</v>
      </c>
      <c r="N54" s="50">
        <v>0</v>
      </c>
      <c r="O54" s="17">
        <f t="shared" si="0"/>
        <v>5</v>
      </c>
      <c r="P54" s="17">
        <f t="shared" si="1"/>
        <v>30</v>
      </c>
      <c r="R54" s="19"/>
      <c r="S54" s="19"/>
      <c r="T54"/>
    </row>
    <row r="55" spans="2:20" ht="23.1" customHeight="1" x14ac:dyDescent="0.25">
      <c r="B55" s="23" t="s">
        <v>82</v>
      </c>
      <c r="C55" s="50">
        <v>4</v>
      </c>
      <c r="D55" s="50">
        <v>1</v>
      </c>
      <c r="E55" s="50">
        <v>0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30</v>
      </c>
      <c r="N55" s="50">
        <v>0</v>
      </c>
      <c r="O55" s="17">
        <f t="shared" si="0"/>
        <v>7</v>
      </c>
      <c r="P55" s="17">
        <f t="shared" si="1"/>
        <v>37</v>
      </c>
      <c r="R55" s="19"/>
      <c r="S55" s="19"/>
      <c r="T55"/>
    </row>
    <row r="56" spans="2:20" ht="23.1" customHeight="1" x14ac:dyDescent="0.25">
      <c r="B56" s="23" t="s">
        <v>83</v>
      </c>
      <c r="C56" s="50">
        <v>7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22</v>
      </c>
      <c r="N56" s="50">
        <v>0</v>
      </c>
      <c r="O56" s="17">
        <f t="shared" si="0"/>
        <v>9</v>
      </c>
      <c r="P56" s="17">
        <f t="shared" si="1"/>
        <v>31</v>
      </c>
      <c r="R56" s="19"/>
      <c r="S56" s="19"/>
      <c r="T56"/>
    </row>
    <row r="57" spans="2:20" ht="23.1" customHeight="1" x14ac:dyDescent="0.25">
      <c r="B57" s="23" t="s">
        <v>84</v>
      </c>
      <c r="C57" s="50">
        <v>5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19</v>
      </c>
      <c r="N57" s="50">
        <v>0</v>
      </c>
      <c r="O57" s="17">
        <f t="shared" si="0"/>
        <v>9</v>
      </c>
      <c r="P57" s="17">
        <f t="shared" si="1"/>
        <v>28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94</v>
      </c>
      <c r="D58" s="16">
        <f t="shared" si="21"/>
        <v>35</v>
      </c>
      <c r="E58" s="16">
        <f t="shared" si="21"/>
        <v>21</v>
      </c>
      <c r="F58" s="16">
        <f t="shared" si="21"/>
        <v>10</v>
      </c>
      <c r="G58" s="16">
        <f t="shared" si="21"/>
        <v>0</v>
      </c>
      <c r="H58" s="16">
        <f t="shared" si="21"/>
        <v>1</v>
      </c>
      <c r="I58" s="16">
        <f t="shared" si="21"/>
        <v>10</v>
      </c>
      <c r="J58" s="16">
        <f t="shared" si="21"/>
        <v>9</v>
      </c>
      <c r="K58" s="16">
        <f t="shared" si="21"/>
        <v>3</v>
      </c>
      <c r="L58" s="16">
        <f t="shared" si="21"/>
        <v>6</v>
      </c>
      <c r="M58" s="16">
        <f t="shared" si="21"/>
        <v>1032</v>
      </c>
      <c r="N58" s="16">
        <f t="shared" si="21"/>
        <v>0</v>
      </c>
      <c r="O58" s="16">
        <f t="shared" si="21"/>
        <v>189</v>
      </c>
      <c r="P58" s="16">
        <f t="shared" si="21"/>
        <v>1221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7.6986076986076984E-2</v>
      </c>
      <c r="D59" s="43">
        <f t="shared" si="22"/>
        <v>2.8665028665028666E-2</v>
      </c>
      <c r="E59" s="43">
        <f t="shared" si="22"/>
        <v>1.7199017199017199E-2</v>
      </c>
      <c r="F59" s="43">
        <f t="shared" si="22"/>
        <v>8.1900081900081901E-3</v>
      </c>
      <c r="G59" s="43">
        <f t="shared" si="22"/>
        <v>0</v>
      </c>
      <c r="H59" s="43">
        <f t="shared" si="22"/>
        <v>8.1900081900081905E-4</v>
      </c>
      <c r="I59" s="43">
        <f t="shared" si="22"/>
        <v>8.1900081900081901E-3</v>
      </c>
      <c r="J59" s="43">
        <f t="shared" si="22"/>
        <v>7.3710073710073713E-3</v>
      </c>
      <c r="K59" s="43">
        <f t="shared" si="22"/>
        <v>2.4570024570024569E-3</v>
      </c>
      <c r="L59" s="43">
        <f t="shared" si="22"/>
        <v>4.9140049140049139E-3</v>
      </c>
      <c r="M59" s="43">
        <f t="shared" si="22"/>
        <v>0.84520884520884521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0.49735449735449733</v>
      </c>
      <c r="D60" s="44">
        <f t="shared" ref="D60:N60" si="23">D58/$O$58</f>
        <v>0.18518518518518517</v>
      </c>
      <c r="E60" s="44">
        <f t="shared" si="23"/>
        <v>0.1111111111111111</v>
      </c>
      <c r="F60" s="44">
        <f t="shared" si="23"/>
        <v>5.2910052910052907E-2</v>
      </c>
      <c r="G60" s="44">
        <f t="shared" si="23"/>
        <v>0</v>
      </c>
      <c r="H60" s="44">
        <f t="shared" si="23"/>
        <v>5.2910052910052907E-3</v>
      </c>
      <c r="I60" s="44">
        <f t="shared" si="23"/>
        <v>5.2910052910052907E-2</v>
      </c>
      <c r="J60" s="44">
        <f t="shared" si="23"/>
        <v>4.7619047619047616E-2</v>
      </c>
      <c r="K60" s="44">
        <f t="shared" si="23"/>
        <v>1.5873015873015872E-2</v>
      </c>
      <c r="L60" s="44">
        <f t="shared" si="23"/>
        <v>3.1746031746031744E-2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18:20" ht="20.100000000000001" customHeight="1" x14ac:dyDescent="0.25">
      <c r="R81"/>
      <c r="S81" s="19"/>
      <c r="T81" s="19"/>
    </row>
    <row r="82" spans="18:20" ht="20.100000000000001" customHeight="1" x14ac:dyDescent="0.25">
      <c r="R82"/>
      <c r="S82" s="19"/>
      <c r="T82" s="19"/>
    </row>
    <row r="83" spans="18:20" ht="20.100000000000001" customHeight="1" x14ac:dyDescent="0.25">
      <c r="R83"/>
      <c r="S83" s="19"/>
      <c r="T83" s="19"/>
    </row>
    <row r="84" spans="18:20" ht="20.100000000000001" customHeight="1" x14ac:dyDescent="0.25">
      <c r="R84"/>
      <c r="S84" s="19"/>
      <c r="T84" s="19"/>
    </row>
    <row r="85" spans="18:20" ht="20.100000000000001" customHeight="1" x14ac:dyDescent="0.25">
      <c r="R85"/>
      <c r="S85" s="19"/>
      <c r="T85" s="19"/>
    </row>
    <row r="86" spans="18:20" ht="20.100000000000001" customHeight="1" x14ac:dyDescent="0.25">
      <c r="R86"/>
      <c r="S86" s="19"/>
      <c r="T86" s="19"/>
    </row>
    <row r="87" spans="18:20" ht="20.100000000000001" customHeight="1" x14ac:dyDescent="0.25">
      <c r="R87"/>
      <c r="S87" s="19"/>
      <c r="T87" s="19"/>
    </row>
    <row r="88" spans="18:20" ht="20.100000000000001" customHeight="1" x14ac:dyDescent="0.25">
      <c r="R88"/>
      <c r="S88" s="19"/>
      <c r="T88" s="19"/>
    </row>
    <row r="89" spans="18:20" ht="20.100000000000001" customHeight="1" x14ac:dyDescent="0.25">
      <c r="R89"/>
      <c r="S89" s="19"/>
      <c r="T89" s="19"/>
    </row>
    <row r="90" spans="18:20" ht="20.100000000000001" customHeight="1" x14ac:dyDescent="0.25">
      <c r="R90"/>
      <c r="S90" s="19"/>
      <c r="T90" s="19"/>
    </row>
    <row r="91" spans="18:20" ht="20.100000000000001" customHeight="1" x14ac:dyDescent="0.25">
      <c r="R91"/>
      <c r="S91" s="19"/>
      <c r="T91" s="19"/>
    </row>
    <row r="92" spans="18:20" ht="20.100000000000001" customHeight="1" x14ac:dyDescent="0.25">
      <c r="R92"/>
      <c r="S92" s="19"/>
      <c r="T92" s="19"/>
    </row>
    <row r="93" spans="18:20" ht="20.100000000000001" customHeight="1" x14ac:dyDescent="0.25">
      <c r="R93"/>
      <c r="S93" s="19"/>
      <c r="T93" s="19"/>
    </row>
    <row r="94" spans="18:20" ht="20.100000000000001" customHeight="1" x14ac:dyDescent="0.25">
      <c r="R94"/>
      <c r="S94" s="19"/>
      <c r="T94" s="19"/>
    </row>
    <row r="95" spans="18:20" ht="20.100000000000001" customHeight="1" x14ac:dyDescent="0.25">
      <c r="R95"/>
      <c r="S95" s="19"/>
      <c r="T95" s="19"/>
    </row>
    <row r="96" spans="18:20" ht="20.100000000000001" customHeight="1" x14ac:dyDescent="0.25">
      <c r="R96"/>
      <c r="S96" s="19"/>
      <c r="T96" s="19"/>
    </row>
    <row r="97" spans="2:20" ht="20.100000000000001" customHeight="1" x14ac:dyDescent="0.25">
      <c r="R97"/>
      <c r="S97" s="19"/>
      <c r="T97" s="19"/>
    </row>
    <row r="98" spans="2:20" ht="20.100000000000001" customHeight="1" x14ac:dyDescent="0.25">
      <c r="R98"/>
      <c r="S98" s="19"/>
      <c r="T98" s="19"/>
    </row>
    <row r="99" spans="2:20" ht="20.100000000000001" customHeight="1" x14ac:dyDescent="0.25">
      <c r="R99"/>
      <c r="S99" s="19"/>
      <c r="T99" s="19"/>
    </row>
    <row r="100" spans="2:20" ht="20.100000000000001" customHeight="1" x14ac:dyDescent="0.25">
      <c r="R100"/>
      <c r="S100" s="19"/>
      <c r="T100" s="19"/>
    </row>
    <row r="101" spans="2:20" ht="20.100000000000001" customHeight="1" x14ac:dyDescent="0.25">
      <c r="R101"/>
      <c r="S101" s="19"/>
      <c r="T101" s="19"/>
    </row>
    <row r="102" spans="2:20" ht="20.100000000000001" customHeight="1" x14ac:dyDescent="0.25">
      <c r="R102"/>
      <c r="S102" s="19"/>
      <c r="T102" s="19"/>
    </row>
    <row r="103" spans="2:20" ht="20.100000000000001" customHeight="1" x14ac:dyDescent="0.25">
      <c r="R103"/>
      <c r="S103" s="19"/>
      <c r="T103" s="19"/>
    </row>
    <row r="104" spans="2:20" ht="22.5" customHeight="1" x14ac:dyDescent="0.25">
      <c r="R104"/>
      <c r="S104" s="19"/>
      <c r="T104" s="19"/>
    </row>
    <row r="105" spans="2:20" ht="20.100000000000001" customHeight="1" x14ac:dyDescent="0.25">
      <c r="R105"/>
      <c r="S105" s="19"/>
      <c r="T105" s="19"/>
    </row>
    <row r="106" spans="2:20" ht="20.100000000000001" customHeight="1" x14ac:dyDescent="0.25">
      <c r="R106"/>
      <c r="S106" s="19"/>
      <c r="T106" s="19"/>
    </row>
    <row r="107" spans="2:20" ht="20.100000000000001" customHeight="1" x14ac:dyDescent="0.25">
      <c r="R107"/>
      <c r="S107" s="19"/>
      <c r="T107" s="19"/>
    </row>
    <row r="108" spans="2:20" ht="20.100000000000001" customHeight="1" x14ac:dyDescent="0.25">
      <c r="R108"/>
      <c r="S108" s="19"/>
      <c r="T108" s="19"/>
    </row>
    <row r="109" spans="2:20" ht="20.100000000000001" customHeight="1" x14ac:dyDescent="0.25">
      <c r="R109"/>
      <c r="S109" s="19"/>
      <c r="T109" s="19"/>
    </row>
    <row r="110" spans="2:20" ht="20.100000000000001" customHeight="1" x14ac:dyDescent="0.25">
      <c r="R110"/>
      <c r="S110" s="19"/>
      <c r="T110" s="19"/>
    </row>
    <row r="111" spans="2:20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20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26"/>
  <sheetViews>
    <sheetView view="pageBreakPreview" topLeftCell="F18" zoomScale="60" workbookViewId="0">
      <selection activeCell="Z30" sqref="Z3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'[2]23.09.19 -Kigo-Munyonyo'!C3:G3</f>
        <v>MCC-C2-STNO 57-KIGO RD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176</v>
      </c>
      <c r="F5" s="41" t="s">
        <v>1</v>
      </c>
      <c r="G5" s="70" t="str">
        <f>'[2]29.09 MUNYONYO-LWEZA'!G5:H5</f>
        <v>LWEZA KAMUCHANGA</v>
      </c>
      <c r="H5" s="71"/>
      <c r="I5" s="14"/>
      <c r="J5" s="2" t="s">
        <v>5</v>
      </c>
      <c r="K5" s="70" t="str">
        <f>'[2]29.09 MUNYONYO-LWEZA'!K5:L5</f>
        <v>Racheal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0" t="s">
        <v>175</v>
      </c>
      <c r="E6" s="71"/>
      <c r="F6" s="2" t="s">
        <v>2</v>
      </c>
      <c r="G6" s="70" t="str">
        <f>'[2]23.09.19 -Kigo-Munyonyo'!G6:H6</f>
        <v>MUNYONYO</v>
      </c>
      <c r="H6" s="71"/>
      <c r="J6" s="2" t="s">
        <v>21</v>
      </c>
      <c r="K6" s="70" t="str">
        <f>'[2]29.09 MUNYONYO-LWEZA'!K6:L6</f>
        <v>Beatrice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14</v>
      </c>
      <c r="N10" s="50">
        <v>0</v>
      </c>
      <c r="O10" s="17">
        <f t="shared" ref="O10:O57" si="0">SUM(C10:L10,N10)</f>
        <v>0</v>
      </c>
      <c r="P10" s="17">
        <f t="shared" ref="P10:P57" si="1">SUM(C10:N10)</f>
        <v>14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65</v>
      </c>
      <c r="AD10" s="17">
        <f t="shared" si="2"/>
        <v>0</v>
      </c>
      <c r="AE10" s="31">
        <f t="shared" si="2"/>
        <v>0</v>
      </c>
      <c r="AF10" s="31">
        <f t="shared" si="2"/>
        <v>65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13</v>
      </c>
      <c r="N11" s="50">
        <v>0</v>
      </c>
      <c r="O11" s="17">
        <f t="shared" si="0"/>
        <v>0</v>
      </c>
      <c r="P11" s="17">
        <f t="shared" si="1"/>
        <v>13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88</v>
      </c>
      <c r="AD11" s="17">
        <f t="shared" si="3"/>
        <v>0</v>
      </c>
      <c r="AE11" s="31">
        <f t="shared" si="3"/>
        <v>2</v>
      </c>
      <c r="AF11" s="31">
        <f t="shared" si="3"/>
        <v>90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21</v>
      </c>
      <c r="N12" s="50">
        <v>0</v>
      </c>
      <c r="O12" s="17">
        <f t="shared" si="0"/>
        <v>0</v>
      </c>
      <c r="P12" s="17">
        <f t="shared" si="1"/>
        <v>21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57</v>
      </c>
      <c r="AD12" s="17">
        <f t="shared" si="4"/>
        <v>0</v>
      </c>
      <c r="AE12" s="31">
        <f t="shared" si="4"/>
        <v>4</v>
      </c>
      <c r="AF12" s="31">
        <f t="shared" si="4"/>
        <v>61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17</v>
      </c>
      <c r="N13" s="50">
        <v>0</v>
      </c>
      <c r="O13" s="17">
        <f t="shared" si="0"/>
        <v>0</v>
      </c>
      <c r="P13" s="17">
        <f t="shared" si="1"/>
        <v>17</v>
      </c>
      <c r="R13" s="1" t="s">
        <v>9</v>
      </c>
      <c r="S13" s="17">
        <f t="shared" ref="S13:AF13" si="5">SUM(C22:C25)</f>
        <v>2</v>
      </c>
      <c r="T13" s="17">
        <f t="shared" si="5"/>
        <v>2</v>
      </c>
      <c r="U13" s="17">
        <f t="shared" si="5"/>
        <v>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103</v>
      </c>
      <c r="AD13" s="17">
        <f t="shared" si="5"/>
        <v>0</v>
      </c>
      <c r="AE13" s="31">
        <f t="shared" si="5"/>
        <v>7</v>
      </c>
      <c r="AF13" s="31">
        <f t="shared" si="5"/>
        <v>110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21</v>
      </c>
      <c r="N14" s="50">
        <v>0</v>
      </c>
      <c r="O14" s="17">
        <f t="shared" si="0"/>
        <v>0</v>
      </c>
      <c r="P14" s="17">
        <f t="shared" si="1"/>
        <v>21</v>
      </c>
      <c r="R14" s="1" t="s">
        <v>10</v>
      </c>
      <c r="S14" s="17">
        <f t="shared" ref="S14:AF14" si="6">SUM(C26:C29)</f>
        <v>0</v>
      </c>
      <c r="T14" s="17">
        <f t="shared" si="6"/>
        <v>4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111</v>
      </c>
      <c r="AD14" s="17">
        <f t="shared" si="6"/>
        <v>0</v>
      </c>
      <c r="AE14" s="31">
        <f t="shared" si="6"/>
        <v>4</v>
      </c>
      <c r="AF14" s="31">
        <f t="shared" si="6"/>
        <v>115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25</v>
      </c>
      <c r="N15" s="50">
        <v>0</v>
      </c>
      <c r="O15" s="17">
        <f t="shared" si="0"/>
        <v>0</v>
      </c>
      <c r="P15" s="17">
        <f t="shared" si="1"/>
        <v>25</v>
      </c>
      <c r="R15" s="1" t="s">
        <v>11</v>
      </c>
      <c r="S15" s="17">
        <f t="shared" ref="S15:T15" si="7">SUM(C30:C33)</f>
        <v>1</v>
      </c>
      <c r="T15" s="17">
        <f t="shared" si="7"/>
        <v>4</v>
      </c>
      <c r="U15" s="17">
        <f t="shared" ref="U15:AF15" si="8">SUM(E30:E33)</f>
        <v>0</v>
      </c>
      <c r="V15" s="17">
        <f t="shared" si="8"/>
        <v>0</v>
      </c>
      <c r="W15" s="17">
        <f t="shared" si="8"/>
        <v>0</v>
      </c>
      <c r="X15" s="17">
        <f t="shared" si="8"/>
        <v>0</v>
      </c>
      <c r="Y15" s="17">
        <f t="shared" si="8"/>
        <v>1</v>
      </c>
      <c r="Z15" s="17">
        <f t="shared" si="8"/>
        <v>0</v>
      </c>
      <c r="AA15" s="17">
        <f t="shared" si="8"/>
        <v>1</v>
      </c>
      <c r="AB15" s="17">
        <f t="shared" si="8"/>
        <v>0</v>
      </c>
      <c r="AC15" s="17">
        <f t="shared" si="8"/>
        <v>61</v>
      </c>
      <c r="AD15" s="17">
        <f t="shared" si="8"/>
        <v>0</v>
      </c>
      <c r="AE15" s="31">
        <f t="shared" si="8"/>
        <v>7</v>
      </c>
      <c r="AF15" s="31">
        <f t="shared" si="8"/>
        <v>68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25</v>
      </c>
      <c r="N16" s="50">
        <v>0</v>
      </c>
      <c r="O16" s="17">
        <f t="shared" si="0"/>
        <v>1</v>
      </c>
      <c r="P16" s="17">
        <f t="shared" si="1"/>
        <v>26</v>
      </c>
      <c r="R16" s="1" t="s">
        <v>12</v>
      </c>
      <c r="S16" s="17">
        <f t="shared" ref="S16:T16" si="9">SUM(C34:C37)</f>
        <v>1</v>
      </c>
      <c r="T16" s="17">
        <f t="shared" si="9"/>
        <v>1</v>
      </c>
      <c r="U16" s="17">
        <f t="shared" ref="U16:AF16" si="10">SUM(E34:E37)</f>
        <v>0</v>
      </c>
      <c r="V16" s="17">
        <f t="shared" si="10"/>
        <v>0</v>
      </c>
      <c r="W16" s="17">
        <f t="shared" si="10"/>
        <v>0</v>
      </c>
      <c r="X16" s="17">
        <f t="shared" si="10"/>
        <v>0</v>
      </c>
      <c r="Y16" s="17">
        <f t="shared" si="10"/>
        <v>0</v>
      </c>
      <c r="Z16" s="17">
        <f t="shared" si="10"/>
        <v>0</v>
      </c>
      <c r="AA16" s="17">
        <f t="shared" si="10"/>
        <v>0</v>
      </c>
      <c r="AB16" s="17">
        <f t="shared" si="10"/>
        <v>0</v>
      </c>
      <c r="AC16" s="17">
        <f t="shared" si="10"/>
        <v>54</v>
      </c>
      <c r="AD16" s="17">
        <f t="shared" si="10"/>
        <v>0</v>
      </c>
      <c r="AE16" s="31">
        <f t="shared" si="10"/>
        <v>2</v>
      </c>
      <c r="AF16" s="31">
        <f t="shared" si="10"/>
        <v>56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7">
        <f t="shared" si="0"/>
        <v>1</v>
      </c>
      <c r="P17" s="17">
        <f t="shared" si="1"/>
        <v>18</v>
      </c>
      <c r="R17" s="1" t="s">
        <v>13</v>
      </c>
      <c r="S17" s="17">
        <f t="shared" ref="S17:AF17" si="11">SUM(C38:C41)</f>
        <v>0</v>
      </c>
      <c r="T17" s="17">
        <f t="shared" si="11"/>
        <v>2</v>
      </c>
      <c r="U17" s="17">
        <f t="shared" si="11"/>
        <v>2</v>
      </c>
      <c r="V17" s="17">
        <f t="shared" si="11"/>
        <v>0</v>
      </c>
      <c r="W17" s="17">
        <f t="shared" si="11"/>
        <v>0</v>
      </c>
      <c r="X17" s="17">
        <f t="shared" si="11"/>
        <v>0</v>
      </c>
      <c r="Y17" s="17">
        <f t="shared" si="11"/>
        <v>0</v>
      </c>
      <c r="Z17" s="17">
        <f t="shared" si="11"/>
        <v>1</v>
      </c>
      <c r="AA17" s="17">
        <f t="shared" si="11"/>
        <v>0</v>
      </c>
      <c r="AB17" s="17">
        <f t="shared" si="11"/>
        <v>0</v>
      </c>
      <c r="AC17" s="17">
        <f t="shared" si="11"/>
        <v>81</v>
      </c>
      <c r="AD17" s="17">
        <f t="shared" si="11"/>
        <v>0</v>
      </c>
      <c r="AE17" s="31">
        <f t="shared" si="11"/>
        <v>5</v>
      </c>
      <c r="AF17" s="31">
        <f t="shared" si="11"/>
        <v>86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16</v>
      </c>
      <c r="N18" s="50">
        <v>0</v>
      </c>
      <c r="O18" s="17">
        <f t="shared" si="0"/>
        <v>0</v>
      </c>
      <c r="P18" s="17">
        <f t="shared" si="1"/>
        <v>16</v>
      </c>
      <c r="R18" s="1" t="s">
        <v>14</v>
      </c>
      <c r="S18" s="17">
        <f t="shared" ref="S18:AF18" si="12">SUM(C42:C45)</f>
        <v>0</v>
      </c>
      <c r="T18" s="17">
        <f t="shared" si="12"/>
        <v>2</v>
      </c>
      <c r="U18" s="17">
        <f t="shared" si="12"/>
        <v>0</v>
      </c>
      <c r="V18" s="17">
        <f t="shared" si="12"/>
        <v>0</v>
      </c>
      <c r="W18" s="17">
        <f t="shared" si="12"/>
        <v>0</v>
      </c>
      <c r="X18" s="17">
        <f t="shared" si="12"/>
        <v>0</v>
      </c>
      <c r="Y18" s="17">
        <f t="shared" si="12"/>
        <v>2</v>
      </c>
      <c r="Z18" s="17">
        <f t="shared" si="12"/>
        <v>0</v>
      </c>
      <c r="AA18" s="17">
        <f t="shared" si="12"/>
        <v>1</v>
      </c>
      <c r="AB18" s="17">
        <f t="shared" si="12"/>
        <v>0</v>
      </c>
      <c r="AC18" s="17">
        <f t="shared" si="12"/>
        <v>62</v>
      </c>
      <c r="AD18" s="17">
        <f t="shared" si="12"/>
        <v>0</v>
      </c>
      <c r="AE18" s="31">
        <f t="shared" si="12"/>
        <v>5</v>
      </c>
      <c r="AF18" s="31">
        <f t="shared" si="12"/>
        <v>67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9</v>
      </c>
      <c r="N19" s="50">
        <v>0</v>
      </c>
      <c r="O19" s="17">
        <f t="shared" si="0"/>
        <v>2</v>
      </c>
      <c r="P19" s="17">
        <f t="shared" si="1"/>
        <v>11</v>
      </c>
      <c r="R19" s="1" t="s">
        <v>15</v>
      </c>
      <c r="S19" s="17">
        <f t="shared" ref="S19:AF19" si="13">SUM(C46:C49)</f>
        <v>2</v>
      </c>
      <c r="T19" s="17">
        <f t="shared" si="13"/>
        <v>3</v>
      </c>
      <c r="U19" s="17">
        <f t="shared" si="13"/>
        <v>1</v>
      </c>
      <c r="V19" s="17">
        <f t="shared" si="13"/>
        <v>0</v>
      </c>
      <c r="W19" s="17">
        <f t="shared" si="13"/>
        <v>0</v>
      </c>
      <c r="X19" s="17">
        <f t="shared" si="13"/>
        <v>0</v>
      </c>
      <c r="Y19" s="17">
        <f t="shared" si="13"/>
        <v>1</v>
      </c>
      <c r="Z19" s="17">
        <f t="shared" si="13"/>
        <v>0</v>
      </c>
      <c r="AA19" s="17">
        <f t="shared" si="13"/>
        <v>0</v>
      </c>
      <c r="AB19" s="17">
        <f t="shared" si="13"/>
        <v>0</v>
      </c>
      <c r="AC19" s="17">
        <f t="shared" si="13"/>
        <v>94</v>
      </c>
      <c r="AD19" s="17">
        <f t="shared" si="13"/>
        <v>0</v>
      </c>
      <c r="AE19" s="31">
        <f t="shared" si="13"/>
        <v>7</v>
      </c>
      <c r="AF19" s="31">
        <f t="shared" si="13"/>
        <v>101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17</v>
      </c>
      <c r="N20" s="50">
        <v>0</v>
      </c>
      <c r="O20" s="17">
        <f t="shared" si="0"/>
        <v>2</v>
      </c>
      <c r="P20" s="17">
        <f t="shared" si="1"/>
        <v>19</v>
      </c>
      <c r="R20" s="1" t="s">
        <v>16</v>
      </c>
      <c r="S20" s="17">
        <f t="shared" ref="S20:AF20" si="14">SUM(C50:C53)</f>
        <v>0</v>
      </c>
      <c r="T20" s="17">
        <f t="shared" si="14"/>
        <v>3</v>
      </c>
      <c r="U20" s="17">
        <f t="shared" si="14"/>
        <v>0</v>
      </c>
      <c r="V20" s="17">
        <f t="shared" si="14"/>
        <v>0</v>
      </c>
      <c r="W20" s="17">
        <f t="shared" si="14"/>
        <v>0</v>
      </c>
      <c r="X20" s="17">
        <f t="shared" si="14"/>
        <v>0</v>
      </c>
      <c r="Y20" s="17">
        <f t="shared" si="14"/>
        <v>0</v>
      </c>
      <c r="Z20" s="17">
        <f t="shared" si="14"/>
        <v>0</v>
      </c>
      <c r="AA20" s="17">
        <f t="shared" si="14"/>
        <v>0</v>
      </c>
      <c r="AB20" s="17">
        <f t="shared" si="14"/>
        <v>0</v>
      </c>
      <c r="AC20" s="17">
        <f t="shared" si="14"/>
        <v>78</v>
      </c>
      <c r="AD20" s="17">
        <f t="shared" si="14"/>
        <v>0</v>
      </c>
      <c r="AE20" s="31">
        <f t="shared" si="14"/>
        <v>3</v>
      </c>
      <c r="AF20" s="31">
        <f t="shared" si="14"/>
        <v>81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7">
        <f t="shared" si="0"/>
        <v>0</v>
      </c>
      <c r="P21" s="17">
        <f t="shared" si="1"/>
        <v>15</v>
      </c>
      <c r="R21" s="36" t="s">
        <v>20</v>
      </c>
      <c r="S21" s="34">
        <f t="shared" ref="S21:AF21" si="15">SUM(C54:C57)</f>
        <v>7</v>
      </c>
      <c r="T21" s="17">
        <f t="shared" si="15"/>
        <v>1</v>
      </c>
      <c r="U21" s="17">
        <f t="shared" si="15"/>
        <v>0</v>
      </c>
      <c r="V21" s="17">
        <f t="shared" si="15"/>
        <v>2</v>
      </c>
      <c r="W21" s="17">
        <f t="shared" si="15"/>
        <v>0</v>
      </c>
      <c r="X21" s="17">
        <f t="shared" si="15"/>
        <v>0</v>
      </c>
      <c r="Y21" s="17">
        <f t="shared" si="15"/>
        <v>1</v>
      </c>
      <c r="Z21" s="17">
        <f t="shared" si="15"/>
        <v>0</v>
      </c>
      <c r="AA21" s="17">
        <f t="shared" si="15"/>
        <v>0</v>
      </c>
      <c r="AB21" s="17">
        <f t="shared" si="15"/>
        <v>0</v>
      </c>
      <c r="AC21" s="17">
        <f t="shared" si="15"/>
        <v>92</v>
      </c>
      <c r="AD21" s="17">
        <f t="shared" si="15"/>
        <v>0</v>
      </c>
      <c r="AE21" s="31">
        <f t="shared" si="15"/>
        <v>11</v>
      </c>
      <c r="AF21" s="31">
        <f t="shared" si="15"/>
        <v>103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25</v>
      </c>
      <c r="N22" s="50">
        <v>0</v>
      </c>
      <c r="O22" s="17">
        <f t="shared" si="0"/>
        <v>2</v>
      </c>
      <c r="P22" s="17">
        <f t="shared" si="1"/>
        <v>27</v>
      </c>
      <c r="R22" s="51" t="s">
        <v>90</v>
      </c>
      <c r="S22" s="52">
        <f t="shared" ref="S22:AF22" si="16">MAX(S10:S12)</f>
        <v>3</v>
      </c>
      <c r="T22" s="52">
        <f t="shared" si="16"/>
        <v>0</v>
      </c>
      <c r="U22" s="52">
        <f t="shared" si="16"/>
        <v>1</v>
      </c>
      <c r="V22" s="52">
        <f t="shared" si="16"/>
        <v>0</v>
      </c>
      <c r="W22" s="52">
        <f t="shared" si="16"/>
        <v>0</v>
      </c>
      <c r="X22" s="52">
        <f t="shared" si="16"/>
        <v>0</v>
      </c>
      <c r="Y22" s="52">
        <f t="shared" si="16"/>
        <v>0</v>
      </c>
      <c r="Z22" s="52">
        <f t="shared" si="16"/>
        <v>0</v>
      </c>
      <c r="AA22" s="52">
        <f t="shared" si="16"/>
        <v>0</v>
      </c>
      <c r="AB22" s="52">
        <f t="shared" si="16"/>
        <v>0</v>
      </c>
      <c r="AC22" s="52">
        <f t="shared" si="16"/>
        <v>88</v>
      </c>
      <c r="AD22" s="52">
        <f t="shared" si="16"/>
        <v>0</v>
      </c>
      <c r="AE22" s="40">
        <f t="shared" si="16"/>
        <v>4</v>
      </c>
      <c r="AF22" s="40">
        <f t="shared" si="16"/>
        <v>90</v>
      </c>
    </row>
    <row r="23" spans="2:32" ht="23.1" customHeight="1" x14ac:dyDescent="0.25">
      <c r="B23" s="23" t="s">
        <v>50</v>
      </c>
      <c r="C23" s="50">
        <v>1</v>
      </c>
      <c r="D23" s="50">
        <v>2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23</v>
      </c>
      <c r="N23" s="50">
        <v>0</v>
      </c>
      <c r="O23" s="17">
        <f t="shared" si="0"/>
        <v>4</v>
      </c>
      <c r="P23" s="17">
        <f t="shared" si="1"/>
        <v>27</v>
      </c>
      <c r="R23" s="51" t="s">
        <v>91</v>
      </c>
      <c r="S23" s="52">
        <f t="shared" ref="S23:AF23" si="17">MAX(S13:S18)</f>
        <v>2</v>
      </c>
      <c r="T23" s="52">
        <f t="shared" si="17"/>
        <v>4</v>
      </c>
      <c r="U23" s="52">
        <f t="shared" si="17"/>
        <v>2</v>
      </c>
      <c r="V23" s="52">
        <f t="shared" si="17"/>
        <v>1</v>
      </c>
      <c r="W23" s="52">
        <f t="shared" si="17"/>
        <v>0</v>
      </c>
      <c r="X23" s="52">
        <f t="shared" si="17"/>
        <v>0</v>
      </c>
      <c r="Y23" s="52">
        <f t="shared" si="17"/>
        <v>2</v>
      </c>
      <c r="Z23" s="52">
        <f t="shared" si="17"/>
        <v>1</v>
      </c>
      <c r="AA23" s="52">
        <f t="shared" si="17"/>
        <v>1</v>
      </c>
      <c r="AB23" s="52">
        <f t="shared" si="17"/>
        <v>0</v>
      </c>
      <c r="AC23" s="52">
        <f t="shared" si="17"/>
        <v>111</v>
      </c>
      <c r="AD23" s="52">
        <f t="shared" si="17"/>
        <v>0</v>
      </c>
      <c r="AE23" s="40">
        <f t="shared" si="17"/>
        <v>7</v>
      </c>
      <c r="AF23" s="40">
        <f t="shared" si="17"/>
        <v>115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34</v>
      </c>
      <c r="N24" s="50">
        <v>0</v>
      </c>
      <c r="O24" s="17">
        <f t="shared" si="0"/>
        <v>0</v>
      </c>
      <c r="P24" s="17">
        <f t="shared" si="1"/>
        <v>34</v>
      </c>
      <c r="R24" s="51" t="s">
        <v>92</v>
      </c>
      <c r="S24" s="52">
        <f t="shared" ref="S24:AF24" si="18">MAX(S19:S21)</f>
        <v>7</v>
      </c>
      <c r="T24" s="52">
        <f t="shared" si="18"/>
        <v>3</v>
      </c>
      <c r="U24" s="52">
        <f t="shared" si="18"/>
        <v>1</v>
      </c>
      <c r="V24" s="52">
        <f t="shared" si="18"/>
        <v>2</v>
      </c>
      <c r="W24" s="52">
        <f t="shared" si="18"/>
        <v>0</v>
      </c>
      <c r="X24" s="52">
        <f t="shared" si="18"/>
        <v>0</v>
      </c>
      <c r="Y24" s="52">
        <f t="shared" si="18"/>
        <v>1</v>
      </c>
      <c r="Z24" s="52">
        <f t="shared" si="18"/>
        <v>0</v>
      </c>
      <c r="AA24" s="52">
        <f t="shared" si="18"/>
        <v>0</v>
      </c>
      <c r="AB24" s="52">
        <f t="shared" si="18"/>
        <v>0</v>
      </c>
      <c r="AC24" s="52">
        <f t="shared" si="18"/>
        <v>94</v>
      </c>
      <c r="AD24" s="52">
        <f t="shared" si="18"/>
        <v>0</v>
      </c>
      <c r="AE24" s="40">
        <f t="shared" si="18"/>
        <v>11</v>
      </c>
      <c r="AF24" s="40">
        <f t="shared" si="18"/>
        <v>103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21</v>
      </c>
      <c r="N25" s="50">
        <v>0</v>
      </c>
      <c r="O25" s="17">
        <f t="shared" si="0"/>
        <v>1</v>
      </c>
      <c r="P25" s="17">
        <f t="shared" si="1"/>
        <v>22</v>
      </c>
      <c r="R25" s="37" t="s">
        <v>85</v>
      </c>
      <c r="S25" s="35">
        <f t="shared" ref="S25:AF25" si="19">SUM(S10:S12)</f>
        <v>5</v>
      </c>
      <c r="T25" s="16">
        <f t="shared" si="19"/>
        <v>0</v>
      </c>
      <c r="U25" s="16">
        <f t="shared" si="19"/>
        <v>1</v>
      </c>
      <c r="V25" s="16">
        <f t="shared" si="19"/>
        <v>0</v>
      </c>
      <c r="W25" s="16">
        <f t="shared" si="19"/>
        <v>0</v>
      </c>
      <c r="X25" s="16">
        <f t="shared" si="19"/>
        <v>0</v>
      </c>
      <c r="Y25" s="16">
        <f t="shared" si="19"/>
        <v>0</v>
      </c>
      <c r="Z25" s="16">
        <f t="shared" si="19"/>
        <v>0</v>
      </c>
      <c r="AA25" s="16">
        <f t="shared" si="19"/>
        <v>0</v>
      </c>
      <c r="AB25" s="16">
        <f t="shared" si="19"/>
        <v>0</v>
      </c>
      <c r="AC25" s="16">
        <f t="shared" si="19"/>
        <v>210</v>
      </c>
      <c r="AD25" s="16">
        <f t="shared" si="19"/>
        <v>0</v>
      </c>
      <c r="AE25" s="32">
        <f t="shared" si="19"/>
        <v>6</v>
      </c>
      <c r="AF25" s="32">
        <f t="shared" si="19"/>
        <v>216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33</v>
      </c>
      <c r="N26" s="50">
        <v>0</v>
      </c>
      <c r="O26" s="17">
        <f t="shared" si="0"/>
        <v>0</v>
      </c>
      <c r="P26" s="17">
        <f t="shared" si="1"/>
        <v>33</v>
      </c>
      <c r="R26" s="28" t="s">
        <v>86</v>
      </c>
      <c r="S26" s="16">
        <f t="shared" ref="S26:AF26" si="20">SUM(S13:S18)</f>
        <v>4</v>
      </c>
      <c r="T26" s="16">
        <f t="shared" si="20"/>
        <v>15</v>
      </c>
      <c r="U26" s="16">
        <f t="shared" si="20"/>
        <v>4</v>
      </c>
      <c r="V26" s="16">
        <f t="shared" si="20"/>
        <v>1</v>
      </c>
      <c r="W26" s="16">
        <f t="shared" si="20"/>
        <v>0</v>
      </c>
      <c r="X26" s="16">
        <f t="shared" si="20"/>
        <v>0</v>
      </c>
      <c r="Y26" s="16">
        <f t="shared" si="20"/>
        <v>3</v>
      </c>
      <c r="Z26" s="16">
        <f t="shared" si="20"/>
        <v>1</v>
      </c>
      <c r="AA26" s="16">
        <f t="shared" si="20"/>
        <v>2</v>
      </c>
      <c r="AB26" s="16">
        <f t="shared" si="20"/>
        <v>0</v>
      </c>
      <c r="AC26" s="16">
        <f t="shared" si="20"/>
        <v>472</v>
      </c>
      <c r="AD26" s="16">
        <f t="shared" si="20"/>
        <v>0</v>
      </c>
      <c r="AE26" s="32">
        <f t="shared" si="20"/>
        <v>30</v>
      </c>
      <c r="AF26" s="32">
        <f t="shared" si="20"/>
        <v>502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21</v>
      </c>
      <c r="N27" s="50">
        <v>0</v>
      </c>
      <c r="O27" s="17">
        <f t="shared" si="0"/>
        <v>0</v>
      </c>
      <c r="P27" s="17">
        <f t="shared" si="1"/>
        <v>21</v>
      </c>
      <c r="R27" s="29" t="s">
        <v>87</v>
      </c>
      <c r="S27" s="16">
        <f t="shared" ref="S27:AF27" si="21">SUM(S19:S21)</f>
        <v>9</v>
      </c>
      <c r="T27" s="16">
        <f t="shared" si="21"/>
        <v>7</v>
      </c>
      <c r="U27" s="16">
        <f t="shared" si="21"/>
        <v>1</v>
      </c>
      <c r="V27" s="16">
        <f t="shared" si="21"/>
        <v>2</v>
      </c>
      <c r="W27" s="16">
        <f t="shared" si="21"/>
        <v>0</v>
      </c>
      <c r="X27" s="16">
        <f t="shared" si="21"/>
        <v>0</v>
      </c>
      <c r="Y27" s="16">
        <f t="shared" si="21"/>
        <v>2</v>
      </c>
      <c r="Z27" s="16">
        <f t="shared" si="21"/>
        <v>0</v>
      </c>
      <c r="AA27" s="16">
        <f t="shared" si="21"/>
        <v>0</v>
      </c>
      <c r="AB27" s="16">
        <f t="shared" si="21"/>
        <v>0</v>
      </c>
      <c r="AC27" s="16">
        <f t="shared" si="21"/>
        <v>264</v>
      </c>
      <c r="AD27" s="16">
        <f t="shared" si="21"/>
        <v>0</v>
      </c>
      <c r="AE27" s="32">
        <f t="shared" si="21"/>
        <v>21</v>
      </c>
      <c r="AF27" s="32">
        <f t="shared" si="21"/>
        <v>285</v>
      </c>
    </row>
    <row r="28" spans="2:32" ht="23.1" customHeight="1" x14ac:dyDescent="0.25">
      <c r="B28" s="23" t="s">
        <v>55</v>
      </c>
      <c r="C28" s="50">
        <v>0</v>
      </c>
      <c r="D28" s="50">
        <v>3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22</v>
      </c>
      <c r="N28" s="50">
        <v>0</v>
      </c>
      <c r="O28" s="17">
        <f t="shared" si="0"/>
        <v>3</v>
      </c>
      <c r="P28" s="17">
        <f t="shared" si="1"/>
        <v>25</v>
      </c>
      <c r="R28" s="5" t="s">
        <v>17</v>
      </c>
      <c r="S28" s="16">
        <f t="shared" ref="S28:AF28" si="22">SUM(S10:S21)</f>
        <v>18</v>
      </c>
      <c r="T28" s="16">
        <f t="shared" si="22"/>
        <v>22</v>
      </c>
      <c r="U28" s="16">
        <f t="shared" si="22"/>
        <v>6</v>
      </c>
      <c r="V28" s="16">
        <f t="shared" si="22"/>
        <v>3</v>
      </c>
      <c r="W28" s="16">
        <f t="shared" si="22"/>
        <v>0</v>
      </c>
      <c r="X28" s="16">
        <f t="shared" si="22"/>
        <v>0</v>
      </c>
      <c r="Y28" s="16">
        <f t="shared" si="22"/>
        <v>5</v>
      </c>
      <c r="Z28" s="16">
        <f t="shared" si="22"/>
        <v>1</v>
      </c>
      <c r="AA28" s="16">
        <f t="shared" si="22"/>
        <v>2</v>
      </c>
      <c r="AB28" s="16">
        <f t="shared" si="22"/>
        <v>0</v>
      </c>
      <c r="AC28" s="16">
        <f t="shared" si="22"/>
        <v>946</v>
      </c>
      <c r="AD28" s="16">
        <f t="shared" si="22"/>
        <v>0</v>
      </c>
      <c r="AE28" s="32">
        <f t="shared" si="22"/>
        <v>57</v>
      </c>
      <c r="AF28" s="32">
        <f t="shared" si="22"/>
        <v>1003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35</v>
      </c>
      <c r="N29" s="50">
        <v>0</v>
      </c>
      <c r="O29" s="17">
        <f t="shared" si="0"/>
        <v>1</v>
      </c>
      <c r="P29" s="17">
        <f t="shared" si="1"/>
        <v>36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21</v>
      </c>
      <c r="N30" s="50">
        <v>0</v>
      </c>
      <c r="O30" s="17">
        <f t="shared" si="0"/>
        <v>2</v>
      </c>
      <c r="P30" s="17">
        <f t="shared" si="1"/>
        <v>23</v>
      </c>
      <c r="R30"/>
      <c r="S30" s="19"/>
      <c r="T30" s="19"/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15</v>
      </c>
      <c r="N31" s="50">
        <v>0</v>
      </c>
      <c r="O31" s="17">
        <f t="shared" si="0"/>
        <v>2</v>
      </c>
      <c r="P31" s="17">
        <f t="shared" si="1"/>
        <v>17</v>
      </c>
      <c r="R31"/>
      <c r="S31" s="19"/>
      <c r="T31" s="19"/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6</v>
      </c>
      <c r="N32" s="50">
        <v>0</v>
      </c>
      <c r="O32" s="17">
        <f t="shared" si="0"/>
        <v>2</v>
      </c>
      <c r="P32" s="17">
        <f t="shared" si="1"/>
        <v>8</v>
      </c>
      <c r="R32"/>
      <c r="S32" s="19"/>
      <c r="T32" s="19"/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19</v>
      </c>
      <c r="N33" s="50">
        <v>0</v>
      </c>
      <c r="O33" s="17">
        <f t="shared" si="0"/>
        <v>1</v>
      </c>
      <c r="P33" s="17">
        <f t="shared" si="1"/>
        <v>20</v>
      </c>
      <c r="R33"/>
      <c r="S33" s="19"/>
      <c r="T33" s="19"/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14</v>
      </c>
      <c r="N34" s="50">
        <v>0</v>
      </c>
      <c r="O34" s="17">
        <f t="shared" si="0"/>
        <v>2</v>
      </c>
      <c r="P34" s="17">
        <f t="shared" si="1"/>
        <v>16</v>
      </c>
      <c r="R34"/>
      <c r="S34" s="19"/>
      <c r="T34" s="19"/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5</v>
      </c>
      <c r="N35" s="50">
        <v>0</v>
      </c>
      <c r="O35" s="17">
        <f t="shared" si="0"/>
        <v>0</v>
      </c>
      <c r="P35" s="17">
        <f t="shared" si="1"/>
        <v>5</v>
      </c>
      <c r="R35"/>
      <c r="S35" s="19"/>
      <c r="T35" s="19"/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20</v>
      </c>
      <c r="N36" s="50">
        <v>0</v>
      </c>
      <c r="O36" s="17">
        <f t="shared" si="0"/>
        <v>0</v>
      </c>
      <c r="P36" s="17">
        <f t="shared" si="1"/>
        <v>20</v>
      </c>
      <c r="R36"/>
      <c r="S36" s="19"/>
      <c r="T36" s="19"/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15</v>
      </c>
      <c r="N37" s="50">
        <v>0</v>
      </c>
      <c r="O37" s="17">
        <f t="shared" si="0"/>
        <v>0</v>
      </c>
      <c r="P37" s="17">
        <f t="shared" si="1"/>
        <v>15</v>
      </c>
      <c r="R37"/>
      <c r="S37" s="19"/>
      <c r="T37" s="19"/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30</v>
      </c>
      <c r="N38" s="50">
        <v>0</v>
      </c>
      <c r="O38" s="17">
        <f t="shared" si="0"/>
        <v>0</v>
      </c>
      <c r="P38" s="17">
        <f t="shared" si="1"/>
        <v>30</v>
      </c>
      <c r="R38"/>
      <c r="S38" s="19"/>
      <c r="T38" s="19"/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28</v>
      </c>
      <c r="N39" s="50">
        <v>0</v>
      </c>
      <c r="O39" s="17">
        <f t="shared" si="0"/>
        <v>1</v>
      </c>
      <c r="P39" s="17">
        <f t="shared" si="1"/>
        <v>29</v>
      </c>
      <c r="R39"/>
      <c r="S39" s="19"/>
      <c r="T39" s="19"/>
    </row>
    <row r="40" spans="2:20" ht="23.1" customHeight="1" x14ac:dyDescent="0.25">
      <c r="B40" s="24" t="s">
        <v>67</v>
      </c>
      <c r="C40" s="50">
        <v>0</v>
      </c>
      <c r="D40" s="50">
        <v>2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12</v>
      </c>
      <c r="N40" s="50">
        <v>0</v>
      </c>
      <c r="O40" s="17">
        <f t="shared" si="0"/>
        <v>3</v>
      </c>
      <c r="P40" s="17">
        <f t="shared" si="1"/>
        <v>15</v>
      </c>
      <c r="R40"/>
      <c r="S40" s="19"/>
      <c r="T40" s="19"/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7">
        <f t="shared" si="0"/>
        <v>1</v>
      </c>
      <c r="P41" s="17">
        <f t="shared" si="1"/>
        <v>12</v>
      </c>
      <c r="R41"/>
      <c r="S41" s="19"/>
      <c r="T41" s="19"/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11</v>
      </c>
      <c r="N42" s="50">
        <v>0</v>
      </c>
      <c r="O42" s="17">
        <f t="shared" si="0"/>
        <v>2</v>
      </c>
      <c r="P42" s="17">
        <f t="shared" si="1"/>
        <v>13</v>
      </c>
      <c r="R42"/>
      <c r="S42" s="19"/>
      <c r="T42" s="19"/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12</v>
      </c>
      <c r="N43" s="50">
        <v>0</v>
      </c>
      <c r="O43" s="17">
        <f t="shared" si="0"/>
        <v>0</v>
      </c>
      <c r="P43" s="17">
        <f t="shared" si="1"/>
        <v>12</v>
      </c>
      <c r="R43"/>
      <c r="S43" s="19"/>
      <c r="T43" s="19"/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20</v>
      </c>
      <c r="N44" s="50">
        <v>0</v>
      </c>
      <c r="O44" s="17">
        <f t="shared" si="0"/>
        <v>0</v>
      </c>
      <c r="P44" s="17">
        <f t="shared" si="1"/>
        <v>20</v>
      </c>
      <c r="R44"/>
      <c r="S44" s="19"/>
      <c r="T44" s="19"/>
    </row>
    <row r="45" spans="2:20" ht="23.1" customHeight="1" x14ac:dyDescent="0.25">
      <c r="B45" s="23" t="s">
        <v>72</v>
      </c>
      <c r="C45" s="50">
        <v>0</v>
      </c>
      <c r="D45" s="50">
        <v>2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0</v>
      </c>
      <c r="M45" s="50">
        <v>19</v>
      </c>
      <c r="N45" s="50">
        <v>0</v>
      </c>
      <c r="O45" s="17">
        <f t="shared" si="0"/>
        <v>3</v>
      </c>
      <c r="P45" s="17">
        <f t="shared" si="1"/>
        <v>22</v>
      </c>
      <c r="R45"/>
      <c r="S45" s="19"/>
      <c r="T45" s="19"/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19</v>
      </c>
      <c r="N46" s="50">
        <v>0</v>
      </c>
      <c r="O46" s="17">
        <f t="shared" si="0"/>
        <v>2</v>
      </c>
      <c r="P46" s="17">
        <f t="shared" si="1"/>
        <v>21</v>
      </c>
      <c r="R46" s="19"/>
      <c r="S46" s="19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19</v>
      </c>
      <c r="N47" s="50">
        <v>0</v>
      </c>
      <c r="O47" s="17">
        <f t="shared" si="0"/>
        <v>2</v>
      </c>
      <c r="P47" s="17">
        <f t="shared" si="1"/>
        <v>21</v>
      </c>
      <c r="R47" s="19"/>
      <c r="S47" s="19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27</v>
      </c>
      <c r="N48" s="50">
        <v>0</v>
      </c>
      <c r="O48" s="17">
        <f t="shared" si="0"/>
        <v>2</v>
      </c>
      <c r="P48" s="17">
        <f t="shared" si="1"/>
        <v>29</v>
      </c>
      <c r="R48" s="19"/>
      <c r="S48" s="19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29</v>
      </c>
      <c r="N49" s="50">
        <v>0</v>
      </c>
      <c r="O49" s="17">
        <f t="shared" si="0"/>
        <v>1</v>
      </c>
      <c r="P49" s="17">
        <f t="shared" si="1"/>
        <v>30</v>
      </c>
      <c r="R49" s="19"/>
      <c r="S49" s="19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22</v>
      </c>
      <c r="N50" s="50">
        <v>0</v>
      </c>
      <c r="O50" s="17">
        <f t="shared" si="0"/>
        <v>1</v>
      </c>
      <c r="P50" s="17">
        <f t="shared" si="1"/>
        <v>23</v>
      </c>
      <c r="R50" s="19"/>
      <c r="S50" s="19"/>
      <c r="T50"/>
    </row>
    <row r="51" spans="2:20" ht="23.1" customHeight="1" x14ac:dyDescent="0.25">
      <c r="B51" s="24" t="s">
        <v>78</v>
      </c>
      <c r="C51" s="50">
        <v>0</v>
      </c>
      <c r="D51" s="50">
        <v>2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18</v>
      </c>
      <c r="N51" s="50">
        <v>0</v>
      </c>
      <c r="O51" s="17">
        <f t="shared" si="0"/>
        <v>2</v>
      </c>
      <c r="P51" s="17">
        <f t="shared" si="1"/>
        <v>20</v>
      </c>
      <c r="R51" s="19"/>
      <c r="S51" s="19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21</v>
      </c>
      <c r="N52" s="50">
        <v>0</v>
      </c>
      <c r="O52" s="17">
        <f t="shared" si="0"/>
        <v>0</v>
      </c>
      <c r="P52" s="17">
        <f t="shared" si="1"/>
        <v>21</v>
      </c>
      <c r="R52" s="19"/>
      <c r="S52" s="19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17</v>
      </c>
      <c r="N53" s="50">
        <v>0</v>
      </c>
      <c r="O53" s="17">
        <f t="shared" si="0"/>
        <v>0</v>
      </c>
      <c r="P53" s="17">
        <f t="shared" si="1"/>
        <v>17</v>
      </c>
      <c r="R53" s="19"/>
      <c r="S53" s="19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26</v>
      </c>
      <c r="N54" s="50">
        <v>0</v>
      </c>
      <c r="O54" s="17">
        <f t="shared" si="0"/>
        <v>2</v>
      </c>
      <c r="P54" s="17">
        <f t="shared" si="1"/>
        <v>28</v>
      </c>
      <c r="R54" s="19"/>
      <c r="S54" s="19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25</v>
      </c>
      <c r="N55" s="50">
        <v>0</v>
      </c>
      <c r="O55" s="17">
        <f t="shared" si="0"/>
        <v>5</v>
      </c>
      <c r="P55" s="17">
        <f t="shared" si="1"/>
        <v>30</v>
      </c>
      <c r="R55" s="19"/>
      <c r="S55" s="19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21</v>
      </c>
      <c r="N56" s="50">
        <v>0</v>
      </c>
      <c r="O56" s="17">
        <f t="shared" si="0"/>
        <v>2</v>
      </c>
      <c r="P56" s="17">
        <f t="shared" si="1"/>
        <v>23</v>
      </c>
      <c r="R56" s="19"/>
      <c r="S56" s="19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7">
        <f t="shared" si="0"/>
        <v>2</v>
      </c>
      <c r="P57" s="17">
        <f t="shared" si="1"/>
        <v>22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3">SUM(C10:C57)</f>
        <v>18</v>
      </c>
      <c r="D58" s="16">
        <f t="shared" si="23"/>
        <v>22</v>
      </c>
      <c r="E58" s="16">
        <f t="shared" si="23"/>
        <v>6</v>
      </c>
      <c r="F58" s="16">
        <f t="shared" si="23"/>
        <v>3</v>
      </c>
      <c r="G58" s="16">
        <f t="shared" si="23"/>
        <v>0</v>
      </c>
      <c r="H58" s="16">
        <f t="shared" si="23"/>
        <v>0</v>
      </c>
      <c r="I58" s="16">
        <f t="shared" si="23"/>
        <v>5</v>
      </c>
      <c r="J58" s="16">
        <f t="shared" si="23"/>
        <v>1</v>
      </c>
      <c r="K58" s="16">
        <f t="shared" si="23"/>
        <v>2</v>
      </c>
      <c r="L58" s="16">
        <f t="shared" si="23"/>
        <v>0</v>
      </c>
      <c r="M58" s="16">
        <f t="shared" si="23"/>
        <v>946</v>
      </c>
      <c r="N58" s="16">
        <f t="shared" si="23"/>
        <v>0</v>
      </c>
      <c r="O58" s="16">
        <f t="shared" si="23"/>
        <v>57</v>
      </c>
      <c r="P58" s="16">
        <f t="shared" si="23"/>
        <v>1003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4">C58/$P$58</f>
        <v>1.794616151545364E-2</v>
      </c>
      <c r="D59" s="43">
        <f t="shared" si="24"/>
        <v>2.1934197407776669E-2</v>
      </c>
      <c r="E59" s="43">
        <f t="shared" si="24"/>
        <v>5.9820538384845467E-3</v>
      </c>
      <c r="F59" s="43">
        <f t="shared" si="24"/>
        <v>2.9910269192422734E-3</v>
      </c>
      <c r="G59" s="43">
        <f t="shared" si="24"/>
        <v>0</v>
      </c>
      <c r="H59" s="43">
        <f t="shared" si="24"/>
        <v>0</v>
      </c>
      <c r="I59" s="43">
        <f t="shared" si="24"/>
        <v>4.9850448654037887E-3</v>
      </c>
      <c r="J59" s="43">
        <f t="shared" si="24"/>
        <v>9.9700897308075765E-4</v>
      </c>
      <c r="K59" s="43">
        <f t="shared" si="24"/>
        <v>1.9940179461615153E-3</v>
      </c>
      <c r="L59" s="43">
        <f t="shared" si="24"/>
        <v>0</v>
      </c>
      <c r="M59" s="43">
        <f t="shared" si="24"/>
        <v>0.94317048853439678</v>
      </c>
      <c r="N59" s="43">
        <f t="shared" si="24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0.31578947368421051</v>
      </c>
      <c r="D60" s="44">
        <f t="shared" ref="D60:N60" si="25">D58/$O$58</f>
        <v>0.38596491228070173</v>
      </c>
      <c r="E60" s="44">
        <f t="shared" si="25"/>
        <v>0.10526315789473684</v>
      </c>
      <c r="F60" s="44">
        <f t="shared" si="25"/>
        <v>5.2631578947368418E-2</v>
      </c>
      <c r="G60" s="44">
        <f t="shared" si="25"/>
        <v>0</v>
      </c>
      <c r="H60" s="44">
        <f t="shared" si="25"/>
        <v>0</v>
      </c>
      <c r="I60" s="44">
        <f t="shared" si="25"/>
        <v>8.771929824561403E-2</v>
      </c>
      <c r="J60" s="44">
        <f t="shared" si="25"/>
        <v>1.7543859649122806E-2</v>
      </c>
      <c r="K60" s="44">
        <f t="shared" si="25"/>
        <v>3.5087719298245612E-2</v>
      </c>
      <c r="L60" s="44">
        <f t="shared" si="25"/>
        <v>0</v>
      </c>
      <c r="M60" s="44"/>
      <c r="N60" s="44">
        <f t="shared" si="25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zoomScale="60" workbookViewId="0">
      <selection activeCell="N33" sqref="N3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'29.09 Kigo-Munyonyo'!C3:G3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162</v>
      </c>
      <c r="E5" s="74"/>
      <c r="F5" s="41" t="s">
        <v>1</v>
      </c>
      <c r="G5" s="70" t="str">
        <f>'29.09 Munyonyo-Kigo'!G5:H5</f>
        <v>LWEZA KAMUCHANGA</v>
      </c>
      <c r="H5" s="71"/>
      <c r="I5" s="14"/>
      <c r="J5" s="2" t="s">
        <v>5</v>
      </c>
      <c r="K5" s="70" t="str">
        <f>'29.09 Munyonyo-Kigo'!K5:L5</f>
        <v>Racheal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'29.09 Munyonyo-Kigo'!D6:E6</f>
        <v>MUNYONYO</v>
      </c>
      <c r="E6" s="71"/>
      <c r="F6" s="2" t="s">
        <v>2</v>
      </c>
      <c r="G6" s="70" t="str">
        <f>'29.09 Munyonyo-Kigo'!G6:H6</f>
        <v>LWEZA KAMUCHANGA</v>
      </c>
      <c r="H6" s="71"/>
      <c r="J6" s="2" t="s">
        <v>21</v>
      </c>
      <c r="K6" s="70" t="str">
        <f>'29.09 Munyonyo-Kigo'!K6:L6</f>
        <v>Beatrice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AVERAGE('23.09.19 -Munyonyo-Kigo'!C10,'24.09 Munyonyo-Kigo'!C10,'25.09 Munyonyo-Kigo'!C10,'27.09 Munyonyo-LWEZA'!C10,'26.09 Munyonyo-Kigo-24h'!C10,'28.09 Munyonyo-Kigo-24h'!C10,'29.09 Munyonyo-Kigo'!C10)</f>
        <v>2.5714285714285716</v>
      </c>
      <c r="D10" s="49">
        <f>AVERAGE('23.09.19 -Munyonyo-Kigo'!D10,'24.09 Munyonyo-Kigo'!D10,'25.09 Munyonyo-Kigo'!D10,'27.09 Munyonyo-LWEZA'!D10,'26.09 Munyonyo-Kigo-24h'!D10,'28.09 Munyonyo-Kigo-24h'!D10,'29.09 Munyonyo-Kigo'!D10)</f>
        <v>0.5714285714285714</v>
      </c>
      <c r="E10" s="49">
        <f>AVERAGE('23.09.19 -Munyonyo-Kigo'!E10,'24.09 Munyonyo-Kigo'!E10,'25.09 Munyonyo-Kigo'!E10,'27.09 Munyonyo-LWEZA'!E10,'26.09 Munyonyo-Kigo-24h'!E10,'28.09 Munyonyo-Kigo-24h'!E10,'29.09 Munyonyo-Kigo'!E10)</f>
        <v>0.14285714285714285</v>
      </c>
      <c r="F10" s="49">
        <f>AVERAGE('23.09.19 -Munyonyo-Kigo'!F10,'24.09 Munyonyo-Kigo'!F10,'25.09 Munyonyo-Kigo'!F10,'27.09 Munyonyo-LWEZA'!F10,'26.09 Munyonyo-Kigo-24h'!F10,'28.09 Munyonyo-Kigo-24h'!F10,'29.09 Munyonyo-Kigo'!F10)</f>
        <v>1.7142857142857142</v>
      </c>
      <c r="G10" s="49">
        <f>AVERAGE('23.09.19 -Munyonyo-Kigo'!G10,'24.09 Munyonyo-Kigo'!G10,'25.09 Munyonyo-Kigo'!G10,'27.09 Munyonyo-LWEZA'!G10,'26.09 Munyonyo-Kigo-24h'!G10,'28.09 Munyonyo-Kigo-24h'!G10,'29.09 Munyonyo-Kigo'!G10)</f>
        <v>0</v>
      </c>
      <c r="H10" s="49">
        <f>AVERAGE('23.09.19 -Munyonyo-Kigo'!H10,'24.09 Munyonyo-Kigo'!H10,'25.09 Munyonyo-Kigo'!H10,'27.09 Munyonyo-LWEZA'!H10,'26.09 Munyonyo-Kigo-24h'!H10,'28.09 Munyonyo-Kigo-24h'!H10,'29.09 Munyonyo-Kigo'!H10)</f>
        <v>0</v>
      </c>
      <c r="I10" s="49">
        <f>AVERAGE('23.09.19 -Munyonyo-Kigo'!I10,'24.09 Munyonyo-Kigo'!I10,'25.09 Munyonyo-Kigo'!I10,'27.09 Munyonyo-LWEZA'!I10,'26.09 Munyonyo-Kigo-24h'!I10,'28.09 Munyonyo-Kigo-24h'!I10,'29.09 Munyonyo-Kigo'!I10)</f>
        <v>0</v>
      </c>
      <c r="J10" s="49">
        <f>AVERAGE('23.09.19 -Munyonyo-Kigo'!J10,'24.09 Munyonyo-Kigo'!J10,'25.09 Munyonyo-Kigo'!J10,'27.09 Munyonyo-LWEZA'!J10,'26.09 Munyonyo-Kigo-24h'!J10,'28.09 Munyonyo-Kigo-24h'!J10,'29.09 Munyonyo-Kigo'!J10)</f>
        <v>0.14285714285714285</v>
      </c>
      <c r="K10" s="49">
        <f>AVERAGE('23.09.19 -Munyonyo-Kigo'!K10,'24.09 Munyonyo-Kigo'!K10,'25.09 Munyonyo-Kigo'!K10,'27.09 Munyonyo-LWEZA'!K10,'26.09 Munyonyo-Kigo-24h'!K10,'28.09 Munyonyo-Kigo-24h'!K10,'29.09 Munyonyo-Kigo'!K10)</f>
        <v>0</v>
      </c>
      <c r="L10" s="49">
        <f>AVERAGE('23.09.19 -Munyonyo-Kigo'!L10,'24.09 Munyonyo-Kigo'!L10,'25.09 Munyonyo-Kigo'!L10,'27.09 Munyonyo-LWEZA'!L10,'26.09 Munyonyo-Kigo-24h'!L10,'28.09 Munyonyo-Kigo-24h'!L10,'29.09 Munyonyo-Kigo'!L10)</f>
        <v>0</v>
      </c>
      <c r="M10" s="49">
        <f>AVERAGE('23.09.19 -Munyonyo-Kigo'!M10,'24.09 Munyonyo-Kigo'!M10,'25.09 Munyonyo-Kigo'!M10,'27.09 Munyonyo-LWEZA'!M10,'26.09 Munyonyo-Kigo-24h'!M10,'28.09 Munyonyo-Kigo-24h'!M10,'29.09 Munyonyo-Kigo'!M10)</f>
        <v>26.142857142857142</v>
      </c>
      <c r="N10" s="49">
        <f>AVERAGE('23.09.19 -Munyonyo-Kigo'!N10,'24.09 Munyonyo-Kigo'!N10,'25.09 Munyonyo-Kigo'!N10,'27.09 Munyonyo-LWEZA'!N10,'26.09 Munyonyo-Kigo-24h'!N10,'28.09 Munyonyo-Kigo-24h'!N10,'29.09 Munyonyo-Kigo'!N10)</f>
        <v>0</v>
      </c>
      <c r="O10" s="15">
        <f t="shared" ref="O10:O73" si="0">SUM(C10:L10,N10)</f>
        <v>5.1428571428571432</v>
      </c>
      <c r="P10" s="15">
        <f t="shared" ref="P10:P73" si="1">SUM(C10:N10)</f>
        <v>31.285714285714285</v>
      </c>
      <c r="R10" s="1" t="s">
        <v>6</v>
      </c>
      <c r="S10" s="17">
        <f t="shared" ref="S10:AF10" si="2">SUM(C10:C13)</f>
        <v>7.7142857142857144</v>
      </c>
      <c r="T10" s="17">
        <f t="shared" si="2"/>
        <v>3.5714285714285712</v>
      </c>
      <c r="U10" s="17">
        <f t="shared" si="2"/>
        <v>1</v>
      </c>
      <c r="V10" s="17">
        <f t="shared" si="2"/>
        <v>3.1428571428571423</v>
      </c>
      <c r="W10" s="17">
        <f t="shared" si="2"/>
        <v>0</v>
      </c>
      <c r="X10" s="17">
        <f t="shared" si="2"/>
        <v>0</v>
      </c>
      <c r="Y10" s="17">
        <f t="shared" si="2"/>
        <v>0.42857142857142855</v>
      </c>
      <c r="Z10" s="17">
        <f t="shared" si="2"/>
        <v>0.2857142857142857</v>
      </c>
      <c r="AA10" s="17">
        <f t="shared" si="2"/>
        <v>0.14285714285714285</v>
      </c>
      <c r="AB10" s="17">
        <f t="shared" si="2"/>
        <v>0</v>
      </c>
      <c r="AC10" s="17">
        <f t="shared" si="2"/>
        <v>109.57142857142856</v>
      </c>
      <c r="AD10" s="17">
        <f t="shared" si="2"/>
        <v>0</v>
      </c>
      <c r="AE10" s="31">
        <f t="shared" si="2"/>
        <v>16.285714285714285</v>
      </c>
      <c r="AF10" s="31">
        <f t="shared" si="2"/>
        <v>125.85714285714285</v>
      </c>
    </row>
    <row r="11" spans="2:32" s="6" customFormat="1" ht="23.1" customHeight="1" x14ac:dyDescent="0.25">
      <c r="B11" s="23" t="s">
        <v>38</v>
      </c>
      <c r="C11" s="49">
        <f>AVERAGE('23.09.19 -Munyonyo-Kigo'!C11,'24.09 Munyonyo-Kigo'!C11,'25.09 Munyonyo-Kigo'!C11,'27.09 Munyonyo-LWEZA'!C11,'26.09 Munyonyo-Kigo-24h'!C11,'28.09 Munyonyo-Kigo-24h'!C11,'29.09 Munyonyo-Kigo'!C11)</f>
        <v>1.4285714285714286</v>
      </c>
      <c r="D11" s="49">
        <f>AVERAGE('23.09.19 -Munyonyo-Kigo'!D11,'24.09 Munyonyo-Kigo'!D11,'25.09 Munyonyo-Kigo'!D11,'27.09 Munyonyo-LWEZA'!D11,'26.09 Munyonyo-Kigo-24h'!D11,'28.09 Munyonyo-Kigo-24h'!D11,'29.09 Munyonyo-Kigo'!D11)</f>
        <v>0.7142857142857143</v>
      </c>
      <c r="E11" s="49">
        <f>AVERAGE('23.09.19 -Munyonyo-Kigo'!E11,'24.09 Munyonyo-Kigo'!E11,'25.09 Munyonyo-Kigo'!E11,'27.09 Munyonyo-LWEZA'!E11,'26.09 Munyonyo-Kigo-24h'!E11,'28.09 Munyonyo-Kigo-24h'!E11,'29.09 Munyonyo-Kigo'!E11)</f>
        <v>0.2857142857142857</v>
      </c>
      <c r="F11" s="49">
        <f>AVERAGE('23.09.19 -Munyonyo-Kigo'!F11,'24.09 Munyonyo-Kigo'!F11,'25.09 Munyonyo-Kigo'!F11,'27.09 Munyonyo-LWEZA'!F11,'26.09 Munyonyo-Kigo-24h'!F11,'28.09 Munyonyo-Kigo-24h'!F11,'29.09 Munyonyo-Kigo'!F11)</f>
        <v>0.7142857142857143</v>
      </c>
      <c r="G11" s="49">
        <f>AVERAGE('23.09.19 -Munyonyo-Kigo'!G11,'24.09 Munyonyo-Kigo'!G11,'25.09 Munyonyo-Kigo'!G11,'27.09 Munyonyo-LWEZA'!G11,'26.09 Munyonyo-Kigo-24h'!G11,'28.09 Munyonyo-Kigo-24h'!G11,'29.09 Munyonyo-Kigo'!G11)</f>
        <v>0</v>
      </c>
      <c r="H11" s="49">
        <f>AVERAGE('23.09.19 -Munyonyo-Kigo'!H11,'24.09 Munyonyo-Kigo'!H11,'25.09 Munyonyo-Kigo'!H11,'27.09 Munyonyo-LWEZA'!H11,'26.09 Munyonyo-Kigo-24h'!H11,'28.09 Munyonyo-Kigo-24h'!H11,'29.09 Munyonyo-Kigo'!H11)</f>
        <v>0</v>
      </c>
      <c r="I11" s="49">
        <f>AVERAGE('23.09.19 -Munyonyo-Kigo'!I11,'24.09 Munyonyo-Kigo'!I11,'25.09 Munyonyo-Kigo'!I11,'27.09 Munyonyo-LWEZA'!I11,'26.09 Munyonyo-Kigo-24h'!I11,'28.09 Munyonyo-Kigo-24h'!I11,'29.09 Munyonyo-Kigo'!I11)</f>
        <v>0.42857142857142855</v>
      </c>
      <c r="J11" s="49">
        <f>AVERAGE('23.09.19 -Munyonyo-Kigo'!J11,'24.09 Munyonyo-Kigo'!J11,'25.09 Munyonyo-Kigo'!J11,'27.09 Munyonyo-LWEZA'!J11,'26.09 Munyonyo-Kigo-24h'!J11,'28.09 Munyonyo-Kigo-24h'!J11,'29.09 Munyonyo-Kigo'!J11)</f>
        <v>0</v>
      </c>
      <c r="K11" s="49">
        <f>AVERAGE('23.09.19 -Munyonyo-Kigo'!K11,'24.09 Munyonyo-Kigo'!K11,'25.09 Munyonyo-Kigo'!K11,'27.09 Munyonyo-LWEZA'!K11,'26.09 Munyonyo-Kigo-24h'!K11,'28.09 Munyonyo-Kigo-24h'!K11,'29.09 Munyonyo-Kigo'!K11)</f>
        <v>0</v>
      </c>
      <c r="L11" s="49">
        <f>AVERAGE('23.09.19 -Munyonyo-Kigo'!L11,'24.09 Munyonyo-Kigo'!L11,'25.09 Munyonyo-Kigo'!L11,'27.09 Munyonyo-LWEZA'!L11,'26.09 Munyonyo-Kigo-24h'!L11,'28.09 Munyonyo-Kigo-24h'!L11,'29.09 Munyonyo-Kigo'!L11)</f>
        <v>0</v>
      </c>
      <c r="M11" s="49">
        <f>AVERAGE('23.09.19 -Munyonyo-Kigo'!M11,'24.09 Munyonyo-Kigo'!M11,'25.09 Munyonyo-Kigo'!M11,'27.09 Munyonyo-LWEZA'!M11,'26.09 Munyonyo-Kigo-24h'!M11,'28.09 Munyonyo-Kigo-24h'!M11,'29.09 Munyonyo-Kigo'!M11)</f>
        <v>28.428571428571427</v>
      </c>
      <c r="N11" s="49">
        <f>AVERAGE('23.09.19 -Munyonyo-Kigo'!N11,'24.09 Munyonyo-Kigo'!N11,'25.09 Munyonyo-Kigo'!N11,'27.09 Munyonyo-LWEZA'!N11,'26.09 Munyonyo-Kigo-24h'!N11,'28.09 Munyonyo-Kigo-24h'!N11,'29.09 Munyonyo-Kigo'!N11)</f>
        <v>0</v>
      </c>
      <c r="O11" s="15">
        <f t="shared" si="0"/>
        <v>3.5714285714285712</v>
      </c>
      <c r="P11" s="15">
        <f t="shared" si="1"/>
        <v>32</v>
      </c>
      <c r="R11" s="1" t="s">
        <v>7</v>
      </c>
      <c r="S11" s="17">
        <f t="shared" ref="S11:AF11" si="3">SUM(C14:C17)</f>
        <v>5.4285714285714288</v>
      </c>
      <c r="T11" s="17">
        <f t="shared" si="3"/>
        <v>4.1428571428571432</v>
      </c>
      <c r="U11" s="17">
        <f t="shared" si="3"/>
        <v>0.8571428571428571</v>
      </c>
      <c r="V11" s="17">
        <f t="shared" si="3"/>
        <v>0.5714285714285714</v>
      </c>
      <c r="W11" s="17">
        <f t="shared" si="3"/>
        <v>0</v>
      </c>
      <c r="X11" s="17">
        <f t="shared" si="3"/>
        <v>0</v>
      </c>
      <c r="Y11" s="17">
        <f t="shared" si="3"/>
        <v>1.5714285714285714</v>
      </c>
      <c r="Z11" s="17">
        <f t="shared" si="3"/>
        <v>0.42857142857142855</v>
      </c>
      <c r="AA11" s="17">
        <f t="shared" si="3"/>
        <v>0.14285714285714285</v>
      </c>
      <c r="AB11" s="17">
        <f t="shared" si="3"/>
        <v>0.14285714285714285</v>
      </c>
      <c r="AC11" s="17">
        <f t="shared" si="3"/>
        <v>91.571428571428555</v>
      </c>
      <c r="AD11" s="17">
        <f t="shared" si="3"/>
        <v>0</v>
      </c>
      <c r="AE11" s="31">
        <f t="shared" si="3"/>
        <v>13.285714285714285</v>
      </c>
      <c r="AF11" s="31">
        <f t="shared" si="3"/>
        <v>104.85714285714286</v>
      </c>
    </row>
    <row r="12" spans="2:32" ht="23.1" customHeight="1" x14ac:dyDescent="0.25">
      <c r="B12" s="23" t="s">
        <v>39</v>
      </c>
      <c r="C12" s="49">
        <f>AVERAGE('23.09.19 -Munyonyo-Kigo'!C12,'24.09 Munyonyo-Kigo'!C12,'25.09 Munyonyo-Kigo'!C12,'27.09 Munyonyo-LWEZA'!C12,'26.09 Munyonyo-Kigo-24h'!C12,'28.09 Munyonyo-Kigo-24h'!C12,'29.09 Munyonyo-Kigo'!C12)</f>
        <v>2</v>
      </c>
      <c r="D12" s="49">
        <f>AVERAGE('23.09.19 -Munyonyo-Kigo'!D12,'24.09 Munyonyo-Kigo'!D12,'25.09 Munyonyo-Kigo'!D12,'27.09 Munyonyo-LWEZA'!D12,'26.09 Munyonyo-Kigo-24h'!D12,'28.09 Munyonyo-Kigo-24h'!D12,'29.09 Munyonyo-Kigo'!D12)</f>
        <v>0.42857142857142855</v>
      </c>
      <c r="E12" s="49">
        <f>AVERAGE('23.09.19 -Munyonyo-Kigo'!E12,'24.09 Munyonyo-Kigo'!E12,'25.09 Munyonyo-Kigo'!E12,'27.09 Munyonyo-LWEZA'!E12,'26.09 Munyonyo-Kigo-24h'!E12,'28.09 Munyonyo-Kigo-24h'!E12,'29.09 Munyonyo-Kigo'!E12)</f>
        <v>0.14285714285714285</v>
      </c>
      <c r="F12" s="49">
        <f>AVERAGE('23.09.19 -Munyonyo-Kigo'!F12,'24.09 Munyonyo-Kigo'!F12,'25.09 Munyonyo-Kigo'!F12,'27.09 Munyonyo-LWEZA'!F12,'26.09 Munyonyo-Kigo-24h'!F12,'28.09 Munyonyo-Kigo-24h'!F12,'29.09 Munyonyo-Kigo'!F12)</f>
        <v>0.2857142857142857</v>
      </c>
      <c r="G12" s="49">
        <f>AVERAGE('23.09.19 -Munyonyo-Kigo'!G12,'24.09 Munyonyo-Kigo'!G12,'25.09 Munyonyo-Kigo'!G12,'27.09 Munyonyo-LWEZA'!G12,'26.09 Munyonyo-Kigo-24h'!G12,'28.09 Munyonyo-Kigo-24h'!G12,'29.09 Munyonyo-Kigo'!G12)</f>
        <v>0</v>
      </c>
      <c r="H12" s="49">
        <f>AVERAGE('23.09.19 -Munyonyo-Kigo'!H12,'24.09 Munyonyo-Kigo'!H12,'25.09 Munyonyo-Kigo'!H12,'27.09 Munyonyo-LWEZA'!H12,'26.09 Munyonyo-Kigo-24h'!H12,'28.09 Munyonyo-Kigo-24h'!H12,'29.09 Munyonyo-Kigo'!H12)</f>
        <v>0</v>
      </c>
      <c r="I12" s="49">
        <f>AVERAGE('23.09.19 -Munyonyo-Kigo'!I12,'24.09 Munyonyo-Kigo'!I12,'25.09 Munyonyo-Kigo'!I12,'27.09 Munyonyo-LWEZA'!I12,'26.09 Munyonyo-Kigo-24h'!I12,'28.09 Munyonyo-Kigo-24h'!I12,'29.09 Munyonyo-Kigo'!I12)</f>
        <v>0</v>
      </c>
      <c r="J12" s="49">
        <f>AVERAGE('23.09.19 -Munyonyo-Kigo'!J12,'24.09 Munyonyo-Kigo'!J12,'25.09 Munyonyo-Kigo'!J12,'27.09 Munyonyo-LWEZA'!J12,'26.09 Munyonyo-Kigo-24h'!J12,'28.09 Munyonyo-Kigo-24h'!J12,'29.09 Munyonyo-Kigo'!J12)</f>
        <v>0.14285714285714285</v>
      </c>
      <c r="K12" s="49">
        <f>AVERAGE('23.09.19 -Munyonyo-Kigo'!K12,'24.09 Munyonyo-Kigo'!K12,'25.09 Munyonyo-Kigo'!K12,'27.09 Munyonyo-LWEZA'!K12,'26.09 Munyonyo-Kigo-24h'!K12,'28.09 Munyonyo-Kigo-24h'!K12,'29.09 Munyonyo-Kigo'!K12)</f>
        <v>0.14285714285714285</v>
      </c>
      <c r="L12" s="49">
        <f>AVERAGE('23.09.19 -Munyonyo-Kigo'!L12,'24.09 Munyonyo-Kigo'!L12,'25.09 Munyonyo-Kigo'!L12,'27.09 Munyonyo-LWEZA'!L12,'26.09 Munyonyo-Kigo-24h'!L12,'28.09 Munyonyo-Kigo-24h'!L12,'29.09 Munyonyo-Kigo'!L12)</f>
        <v>0</v>
      </c>
      <c r="M12" s="49">
        <f>AVERAGE('23.09.19 -Munyonyo-Kigo'!M12,'24.09 Munyonyo-Kigo'!M12,'25.09 Munyonyo-Kigo'!M12,'27.09 Munyonyo-LWEZA'!M12,'26.09 Munyonyo-Kigo-24h'!M12,'28.09 Munyonyo-Kigo-24h'!M12,'29.09 Munyonyo-Kigo'!M12)</f>
        <v>27.714285714285715</v>
      </c>
      <c r="N12" s="49">
        <f>AVERAGE('23.09.19 -Munyonyo-Kigo'!N12,'24.09 Munyonyo-Kigo'!N12,'25.09 Munyonyo-Kigo'!N12,'27.09 Munyonyo-LWEZA'!N12,'26.09 Munyonyo-Kigo-24h'!N12,'28.09 Munyonyo-Kigo-24h'!N12,'29.09 Munyonyo-Kigo'!N12)</f>
        <v>0</v>
      </c>
      <c r="O12" s="15">
        <f t="shared" si="0"/>
        <v>3.1428571428571423</v>
      </c>
      <c r="P12" s="15">
        <f t="shared" si="1"/>
        <v>30.857142857142858</v>
      </c>
      <c r="R12" s="1" t="s">
        <v>8</v>
      </c>
      <c r="S12" s="17">
        <f t="shared" ref="S12:AF12" si="4">SUM(C18:C21)</f>
        <v>4.1428571428571423</v>
      </c>
      <c r="T12" s="17">
        <f t="shared" si="4"/>
        <v>1.857142857142857</v>
      </c>
      <c r="U12" s="17">
        <f t="shared" si="4"/>
        <v>1</v>
      </c>
      <c r="V12" s="17">
        <f t="shared" si="4"/>
        <v>0.42857142857142855</v>
      </c>
      <c r="W12" s="17">
        <f t="shared" si="4"/>
        <v>0</v>
      </c>
      <c r="X12" s="17">
        <f t="shared" si="4"/>
        <v>0</v>
      </c>
      <c r="Y12" s="17">
        <f t="shared" si="4"/>
        <v>1.4285714285714284</v>
      </c>
      <c r="Z12" s="17">
        <f t="shared" si="4"/>
        <v>0.14285714285714285</v>
      </c>
      <c r="AA12" s="17">
        <f t="shared" si="4"/>
        <v>0</v>
      </c>
      <c r="AB12" s="17">
        <f t="shared" si="4"/>
        <v>0.2857142857142857</v>
      </c>
      <c r="AC12" s="17">
        <f t="shared" si="4"/>
        <v>84.714285714285708</v>
      </c>
      <c r="AD12" s="17">
        <f t="shared" si="4"/>
        <v>0</v>
      </c>
      <c r="AE12" s="31">
        <f t="shared" si="4"/>
        <v>9.2857142857142847</v>
      </c>
      <c r="AF12" s="31">
        <f t="shared" si="4"/>
        <v>94</v>
      </c>
    </row>
    <row r="13" spans="2:32" ht="23.1" customHeight="1" x14ac:dyDescent="0.25">
      <c r="B13" s="23" t="s">
        <v>40</v>
      </c>
      <c r="C13" s="49">
        <f>AVERAGE('23.09.19 -Munyonyo-Kigo'!C13,'24.09 Munyonyo-Kigo'!C13,'25.09 Munyonyo-Kigo'!C13,'27.09 Munyonyo-LWEZA'!C13,'26.09 Munyonyo-Kigo-24h'!C13,'28.09 Munyonyo-Kigo-24h'!C13,'29.09 Munyonyo-Kigo'!C13)</f>
        <v>1.7142857142857142</v>
      </c>
      <c r="D13" s="49">
        <f>AVERAGE('23.09.19 -Munyonyo-Kigo'!D13,'24.09 Munyonyo-Kigo'!D13,'25.09 Munyonyo-Kigo'!D13,'27.09 Munyonyo-LWEZA'!D13,'26.09 Munyonyo-Kigo-24h'!D13,'28.09 Munyonyo-Kigo-24h'!D13,'29.09 Munyonyo-Kigo'!D13)</f>
        <v>1.8571428571428572</v>
      </c>
      <c r="E13" s="49">
        <f>AVERAGE('23.09.19 -Munyonyo-Kigo'!E13,'24.09 Munyonyo-Kigo'!E13,'25.09 Munyonyo-Kigo'!E13,'27.09 Munyonyo-LWEZA'!E13,'26.09 Munyonyo-Kigo-24h'!E13,'28.09 Munyonyo-Kigo-24h'!E13,'29.09 Munyonyo-Kigo'!E13)</f>
        <v>0.42857142857142855</v>
      </c>
      <c r="F13" s="49">
        <f>AVERAGE('23.09.19 -Munyonyo-Kigo'!F13,'24.09 Munyonyo-Kigo'!F13,'25.09 Munyonyo-Kigo'!F13,'27.09 Munyonyo-LWEZA'!F13,'26.09 Munyonyo-Kigo-24h'!F13,'28.09 Munyonyo-Kigo-24h'!F13,'29.09 Munyonyo-Kigo'!F13)</f>
        <v>0.42857142857142855</v>
      </c>
      <c r="G13" s="49">
        <f>AVERAGE('23.09.19 -Munyonyo-Kigo'!G13,'24.09 Munyonyo-Kigo'!G13,'25.09 Munyonyo-Kigo'!G13,'27.09 Munyonyo-LWEZA'!G13,'26.09 Munyonyo-Kigo-24h'!G13,'28.09 Munyonyo-Kigo-24h'!G13,'29.09 Munyonyo-Kigo'!G13)</f>
        <v>0</v>
      </c>
      <c r="H13" s="49">
        <f>AVERAGE('23.09.19 -Munyonyo-Kigo'!H13,'24.09 Munyonyo-Kigo'!H13,'25.09 Munyonyo-Kigo'!H13,'27.09 Munyonyo-LWEZA'!H13,'26.09 Munyonyo-Kigo-24h'!H13,'28.09 Munyonyo-Kigo-24h'!H13,'29.09 Munyonyo-Kigo'!H13)</f>
        <v>0</v>
      </c>
      <c r="I13" s="49">
        <f>AVERAGE('23.09.19 -Munyonyo-Kigo'!I13,'24.09 Munyonyo-Kigo'!I13,'25.09 Munyonyo-Kigo'!I13,'27.09 Munyonyo-LWEZA'!I13,'26.09 Munyonyo-Kigo-24h'!I13,'28.09 Munyonyo-Kigo-24h'!I13,'29.09 Munyonyo-Kigo'!I13)</f>
        <v>0</v>
      </c>
      <c r="J13" s="49">
        <f>AVERAGE('23.09.19 -Munyonyo-Kigo'!J13,'24.09 Munyonyo-Kigo'!J13,'25.09 Munyonyo-Kigo'!J13,'27.09 Munyonyo-LWEZA'!J13,'26.09 Munyonyo-Kigo-24h'!J13,'28.09 Munyonyo-Kigo-24h'!J13,'29.09 Munyonyo-Kigo'!J13)</f>
        <v>0</v>
      </c>
      <c r="K13" s="49">
        <f>AVERAGE('23.09.19 -Munyonyo-Kigo'!K13,'24.09 Munyonyo-Kigo'!K13,'25.09 Munyonyo-Kigo'!K13,'27.09 Munyonyo-LWEZA'!K13,'26.09 Munyonyo-Kigo-24h'!K13,'28.09 Munyonyo-Kigo-24h'!K13,'29.09 Munyonyo-Kigo'!K13)</f>
        <v>0</v>
      </c>
      <c r="L13" s="49">
        <f>AVERAGE('23.09.19 -Munyonyo-Kigo'!L13,'24.09 Munyonyo-Kigo'!L13,'25.09 Munyonyo-Kigo'!L13,'27.09 Munyonyo-LWEZA'!L13,'26.09 Munyonyo-Kigo-24h'!L13,'28.09 Munyonyo-Kigo-24h'!L13,'29.09 Munyonyo-Kigo'!L13)</f>
        <v>0</v>
      </c>
      <c r="M13" s="49">
        <f>AVERAGE('23.09.19 -Munyonyo-Kigo'!M13,'24.09 Munyonyo-Kigo'!M13,'25.09 Munyonyo-Kigo'!M13,'27.09 Munyonyo-LWEZA'!M13,'26.09 Munyonyo-Kigo-24h'!M13,'28.09 Munyonyo-Kigo-24h'!M13,'29.09 Munyonyo-Kigo'!M13)</f>
        <v>27.285714285714285</v>
      </c>
      <c r="N13" s="49">
        <f>AVERAGE('23.09.19 -Munyonyo-Kigo'!N13,'24.09 Munyonyo-Kigo'!N13,'25.09 Munyonyo-Kigo'!N13,'27.09 Munyonyo-LWEZA'!N13,'26.09 Munyonyo-Kigo-24h'!N13,'28.09 Munyonyo-Kigo-24h'!N13,'29.09 Munyonyo-Kigo'!N13)</f>
        <v>0</v>
      </c>
      <c r="O13" s="15">
        <f t="shared" si="0"/>
        <v>4.4285714285714279</v>
      </c>
      <c r="P13" s="15">
        <f t="shared" si="1"/>
        <v>31.714285714285712</v>
      </c>
      <c r="R13" s="1" t="s">
        <v>9</v>
      </c>
      <c r="S13" s="17">
        <f t="shared" ref="S13:AF13" si="5">SUM(C22:C25)</f>
        <v>7.7142857142857135</v>
      </c>
      <c r="T13" s="17">
        <f t="shared" si="5"/>
        <v>1.1428571428571428</v>
      </c>
      <c r="U13" s="17">
        <f t="shared" si="5"/>
        <v>0.85714285714285698</v>
      </c>
      <c r="V13" s="17">
        <f t="shared" si="5"/>
        <v>0.2857142857142857</v>
      </c>
      <c r="W13" s="17">
        <f t="shared" si="5"/>
        <v>0</v>
      </c>
      <c r="X13" s="17">
        <f t="shared" si="5"/>
        <v>0</v>
      </c>
      <c r="Y13" s="17">
        <f t="shared" si="5"/>
        <v>0.85714285714285698</v>
      </c>
      <c r="Z13" s="17">
        <f t="shared" si="5"/>
        <v>0.14285714285714285</v>
      </c>
      <c r="AA13" s="17">
        <f t="shared" si="5"/>
        <v>0.14285714285714285</v>
      </c>
      <c r="AB13" s="17">
        <f t="shared" si="5"/>
        <v>0.14285714285714285</v>
      </c>
      <c r="AC13" s="17">
        <f t="shared" si="5"/>
        <v>81.714285714285722</v>
      </c>
      <c r="AD13" s="17">
        <f t="shared" si="5"/>
        <v>0.14285714285714285</v>
      </c>
      <c r="AE13" s="31">
        <f t="shared" si="5"/>
        <v>11.428571428571429</v>
      </c>
      <c r="AF13" s="31">
        <f t="shared" si="5"/>
        <v>93.142857142857139</v>
      </c>
    </row>
    <row r="14" spans="2:32" ht="23.1" customHeight="1" x14ac:dyDescent="0.25">
      <c r="B14" s="23" t="s">
        <v>41</v>
      </c>
      <c r="C14" s="49">
        <f>AVERAGE('23.09.19 -Munyonyo-Kigo'!C14,'24.09 Munyonyo-Kigo'!C14,'25.09 Munyonyo-Kigo'!C14,'27.09 Munyonyo-LWEZA'!C14,'26.09 Munyonyo-Kigo-24h'!C14,'28.09 Munyonyo-Kigo-24h'!C14,'29.09 Munyonyo-Kigo'!C14)</f>
        <v>1</v>
      </c>
      <c r="D14" s="49">
        <f>AVERAGE('23.09.19 -Munyonyo-Kigo'!D14,'24.09 Munyonyo-Kigo'!D14,'25.09 Munyonyo-Kigo'!D14,'27.09 Munyonyo-LWEZA'!D14,'26.09 Munyonyo-Kigo-24h'!D14,'28.09 Munyonyo-Kigo-24h'!D14,'29.09 Munyonyo-Kigo'!D14)</f>
        <v>0.5714285714285714</v>
      </c>
      <c r="E14" s="49">
        <f>AVERAGE('23.09.19 -Munyonyo-Kigo'!E14,'24.09 Munyonyo-Kigo'!E14,'25.09 Munyonyo-Kigo'!E14,'27.09 Munyonyo-LWEZA'!E14,'26.09 Munyonyo-Kigo-24h'!E14,'28.09 Munyonyo-Kigo-24h'!E14,'29.09 Munyonyo-Kigo'!E14)</f>
        <v>0.14285714285714285</v>
      </c>
      <c r="F14" s="49">
        <f>AVERAGE('23.09.19 -Munyonyo-Kigo'!F14,'24.09 Munyonyo-Kigo'!F14,'25.09 Munyonyo-Kigo'!F14,'27.09 Munyonyo-LWEZA'!F14,'26.09 Munyonyo-Kigo-24h'!F14,'28.09 Munyonyo-Kigo-24h'!F14,'29.09 Munyonyo-Kigo'!F14)</f>
        <v>0.2857142857142857</v>
      </c>
      <c r="G14" s="49">
        <f>AVERAGE('23.09.19 -Munyonyo-Kigo'!G14,'24.09 Munyonyo-Kigo'!G14,'25.09 Munyonyo-Kigo'!G14,'27.09 Munyonyo-LWEZA'!G14,'26.09 Munyonyo-Kigo-24h'!G14,'28.09 Munyonyo-Kigo-24h'!G14,'29.09 Munyonyo-Kigo'!G14)</f>
        <v>0</v>
      </c>
      <c r="H14" s="49">
        <f>AVERAGE('23.09.19 -Munyonyo-Kigo'!H14,'24.09 Munyonyo-Kigo'!H14,'25.09 Munyonyo-Kigo'!H14,'27.09 Munyonyo-LWEZA'!H14,'26.09 Munyonyo-Kigo-24h'!H14,'28.09 Munyonyo-Kigo-24h'!H14,'29.09 Munyonyo-Kigo'!H14)</f>
        <v>0</v>
      </c>
      <c r="I14" s="49">
        <f>AVERAGE('23.09.19 -Munyonyo-Kigo'!I14,'24.09 Munyonyo-Kigo'!I14,'25.09 Munyonyo-Kigo'!I14,'27.09 Munyonyo-LWEZA'!I14,'26.09 Munyonyo-Kigo-24h'!I14,'28.09 Munyonyo-Kigo-24h'!I14,'29.09 Munyonyo-Kigo'!I14)</f>
        <v>0.7142857142857143</v>
      </c>
      <c r="J14" s="49">
        <f>AVERAGE('23.09.19 -Munyonyo-Kigo'!J14,'24.09 Munyonyo-Kigo'!J14,'25.09 Munyonyo-Kigo'!J14,'27.09 Munyonyo-LWEZA'!J14,'26.09 Munyonyo-Kigo-24h'!J14,'28.09 Munyonyo-Kigo-24h'!J14,'29.09 Munyonyo-Kigo'!J14)</f>
        <v>0.2857142857142857</v>
      </c>
      <c r="K14" s="49">
        <f>AVERAGE('23.09.19 -Munyonyo-Kigo'!K14,'24.09 Munyonyo-Kigo'!K14,'25.09 Munyonyo-Kigo'!K14,'27.09 Munyonyo-LWEZA'!K14,'26.09 Munyonyo-Kigo-24h'!K14,'28.09 Munyonyo-Kigo-24h'!K14,'29.09 Munyonyo-Kigo'!K14)</f>
        <v>0</v>
      </c>
      <c r="L14" s="49">
        <f>AVERAGE('23.09.19 -Munyonyo-Kigo'!L14,'24.09 Munyonyo-Kigo'!L14,'25.09 Munyonyo-Kigo'!L14,'27.09 Munyonyo-LWEZA'!L14,'26.09 Munyonyo-Kigo-24h'!L14,'28.09 Munyonyo-Kigo-24h'!L14,'29.09 Munyonyo-Kigo'!L14)</f>
        <v>0</v>
      </c>
      <c r="M14" s="49">
        <f>AVERAGE('23.09.19 -Munyonyo-Kigo'!M14,'24.09 Munyonyo-Kigo'!M14,'25.09 Munyonyo-Kigo'!M14,'27.09 Munyonyo-LWEZA'!M14,'26.09 Munyonyo-Kigo-24h'!M14,'28.09 Munyonyo-Kigo-24h'!M14,'29.09 Munyonyo-Kigo'!M14)</f>
        <v>30</v>
      </c>
      <c r="N14" s="49">
        <f>AVERAGE('23.09.19 -Munyonyo-Kigo'!N14,'24.09 Munyonyo-Kigo'!N14,'25.09 Munyonyo-Kigo'!N14,'27.09 Munyonyo-LWEZA'!N14,'26.09 Munyonyo-Kigo-24h'!N14,'28.09 Munyonyo-Kigo-24h'!N14,'29.09 Munyonyo-Kigo'!N14)</f>
        <v>0</v>
      </c>
      <c r="O14" s="15">
        <f t="shared" si="0"/>
        <v>3</v>
      </c>
      <c r="P14" s="15">
        <f t="shared" si="1"/>
        <v>33</v>
      </c>
      <c r="R14" s="1" t="s">
        <v>10</v>
      </c>
      <c r="S14" s="17">
        <f t="shared" ref="S14:AF14" si="6">SUM(C26:C29)</f>
        <v>5.4285714285714288</v>
      </c>
      <c r="T14" s="17">
        <f t="shared" si="6"/>
        <v>1.5714285714285714</v>
      </c>
      <c r="U14" s="17">
        <f t="shared" si="6"/>
        <v>1.1428571428571428</v>
      </c>
      <c r="V14" s="17">
        <f t="shared" si="6"/>
        <v>0.71428571428571419</v>
      </c>
      <c r="W14" s="17">
        <f t="shared" si="6"/>
        <v>0</v>
      </c>
      <c r="X14" s="17">
        <f t="shared" si="6"/>
        <v>0.14285714285714285</v>
      </c>
      <c r="Y14" s="17">
        <f t="shared" si="6"/>
        <v>1.1428571428571428</v>
      </c>
      <c r="Z14" s="17">
        <f t="shared" si="6"/>
        <v>0.71428571428571419</v>
      </c>
      <c r="AA14" s="17">
        <f t="shared" si="6"/>
        <v>0.2857142857142857</v>
      </c>
      <c r="AB14" s="17">
        <f t="shared" si="6"/>
        <v>0</v>
      </c>
      <c r="AC14" s="17">
        <f t="shared" si="6"/>
        <v>87.428571428571431</v>
      </c>
      <c r="AD14" s="17">
        <f t="shared" si="6"/>
        <v>0</v>
      </c>
      <c r="AE14" s="31">
        <f t="shared" si="6"/>
        <v>11.142857142857142</v>
      </c>
      <c r="AF14" s="31">
        <f t="shared" si="6"/>
        <v>98.571428571428555</v>
      </c>
    </row>
    <row r="15" spans="2:32" ht="23.1" customHeight="1" x14ac:dyDescent="0.25">
      <c r="B15" s="23" t="s">
        <v>42</v>
      </c>
      <c r="C15" s="49">
        <f>AVERAGE('23.09.19 -Munyonyo-Kigo'!C15,'24.09 Munyonyo-Kigo'!C15,'25.09 Munyonyo-Kigo'!C15,'27.09 Munyonyo-LWEZA'!C15,'26.09 Munyonyo-Kigo-24h'!C15,'28.09 Munyonyo-Kigo-24h'!C15,'29.09 Munyonyo-Kigo'!C15)</f>
        <v>2.1428571428571428</v>
      </c>
      <c r="D15" s="49">
        <f>AVERAGE('23.09.19 -Munyonyo-Kigo'!D15,'24.09 Munyonyo-Kigo'!D15,'25.09 Munyonyo-Kigo'!D15,'27.09 Munyonyo-LWEZA'!D15,'26.09 Munyonyo-Kigo-24h'!D15,'28.09 Munyonyo-Kigo-24h'!D15,'29.09 Munyonyo-Kigo'!D15)</f>
        <v>0.42857142857142855</v>
      </c>
      <c r="E15" s="49">
        <f>AVERAGE('23.09.19 -Munyonyo-Kigo'!E15,'24.09 Munyonyo-Kigo'!E15,'25.09 Munyonyo-Kigo'!E15,'27.09 Munyonyo-LWEZA'!E15,'26.09 Munyonyo-Kigo-24h'!E15,'28.09 Munyonyo-Kigo-24h'!E15,'29.09 Munyonyo-Kigo'!E15)</f>
        <v>0.2857142857142857</v>
      </c>
      <c r="F15" s="49">
        <f>AVERAGE('23.09.19 -Munyonyo-Kigo'!F15,'24.09 Munyonyo-Kigo'!F15,'25.09 Munyonyo-Kigo'!F15,'27.09 Munyonyo-LWEZA'!F15,'26.09 Munyonyo-Kigo-24h'!F15,'28.09 Munyonyo-Kigo-24h'!F15,'29.09 Munyonyo-Kigo'!F15)</f>
        <v>0.14285714285714285</v>
      </c>
      <c r="G15" s="49">
        <f>AVERAGE('23.09.19 -Munyonyo-Kigo'!G15,'24.09 Munyonyo-Kigo'!G15,'25.09 Munyonyo-Kigo'!G15,'27.09 Munyonyo-LWEZA'!G15,'26.09 Munyonyo-Kigo-24h'!G15,'28.09 Munyonyo-Kigo-24h'!G15,'29.09 Munyonyo-Kigo'!G15)</f>
        <v>0</v>
      </c>
      <c r="H15" s="49">
        <f>AVERAGE('23.09.19 -Munyonyo-Kigo'!H15,'24.09 Munyonyo-Kigo'!H15,'25.09 Munyonyo-Kigo'!H15,'27.09 Munyonyo-LWEZA'!H15,'26.09 Munyonyo-Kigo-24h'!H15,'28.09 Munyonyo-Kigo-24h'!H15,'29.09 Munyonyo-Kigo'!H15)</f>
        <v>0</v>
      </c>
      <c r="I15" s="49">
        <f>AVERAGE('23.09.19 -Munyonyo-Kigo'!I15,'24.09 Munyonyo-Kigo'!I15,'25.09 Munyonyo-Kigo'!I15,'27.09 Munyonyo-LWEZA'!I15,'26.09 Munyonyo-Kigo-24h'!I15,'28.09 Munyonyo-Kigo-24h'!I15,'29.09 Munyonyo-Kigo'!I15)</f>
        <v>0.2857142857142857</v>
      </c>
      <c r="J15" s="49">
        <f>AVERAGE('23.09.19 -Munyonyo-Kigo'!J15,'24.09 Munyonyo-Kigo'!J15,'25.09 Munyonyo-Kigo'!J15,'27.09 Munyonyo-LWEZA'!J15,'26.09 Munyonyo-Kigo-24h'!J15,'28.09 Munyonyo-Kigo-24h'!J15,'29.09 Munyonyo-Kigo'!J15)</f>
        <v>0.14285714285714285</v>
      </c>
      <c r="K15" s="49">
        <f>AVERAGE('23.09.19 -Munyonyo-Kigo'!K15,'24.09 Munyonyo-Kigo'!K15,'25.09 Munyonyo-Kigo'!K15,'27.09 Munyonyo-LWEZA'!K15,'26.09 Munyonyo-Kigo-24h'!K15,'28.09 Munyonyo-Kigo-24h'!K15,'29.09 Munyonyo-Kigo'!K15)</f>
        <v>0.14285714285714285</v>
      </c>
      <c r="L15" s="49">
        <f>AVERAGE('23.09.19 -Munyonyo-Kigo'!L15,'24.09 Munyonyo-Kigo'!L15,'25.09 Munyonyo-Kigo'!L15,'27.09 Munyonyo-LWEZA'!L15,'26.09 Munyonyo-Kigo-24h'!L15,'28.09 Munyonyo-Kigo-24h'!L15,'29.09 Munyonyo-Kigo'!L15)</f>
        <v>0</v>
      </c>
      <c r="M15" s="49">
        <f>AVERAGE('23.09.19 -Munyonyo-Kigo'!M15,'24.09 Munyonyo-Kigo'!M15,'25.09 Munyonyo-Kigo'!M15,'27.09 Munyonyo-LWEZA'!M15,'26.09 Munyonyo-Kigo-24h'!M15,'28.09 Munyonyo-Kigo-24h'!M15,'29.09 Munyonyo-Kigo'!M15)</f>
        <v>23.142857142857142</v>
      </c>
      <c r="N15" s="49">
        <f>AVERAGE('23.09.19 -Munyonyo-Kigo'!N15,'24.09 Munyonyo-Kigo'!N15,'25.09 Munyonyo-Kigo'!N15,'27.09 Munyonyo-LWEZA'!N15,'26.09 Munyonyo-Kigo-24h'!N15,'28.09 Munyonyo-Kigo-24h'!N15,'29.09 Munyonyo-Kigo'!N15)</f>
        <v>0</v>
      </c>
      <c r="O15" s="15">
        <f t="shared" si="0"/>
        <v>3.5714285714285707</v>
      </c>
      <c r="P15" s="15">
        <f t="shared" si="1"/>
        <v>26.714285714285712</v>
      </c>
      <c r="R15" s="1" t="s">
        <v>11</v>
      </c>
      <c r="S15" s="17">
        <f t="shared" ref="S15:AF15" si="7">SUM(C30:C33)</f>
        <v>5.8571428571428568</v>
      </c>
      <c r="T15" s="17">
        <f t="shared" si="7"/>
        <v>2.8571428571428568</v>
      </c>
      <c r="U15" s="17">
        <f t="shared" si="7"/>
        <v>1</v>
      </c>
      <c r="V15" s="17">
        <f t="shared" si="7"/>
        <v>1.5714285714285714</v>
      </c>
      <c r="W15" s="17">
        <f t="shared" si="7"/>
        <v>0</v>
      </c>
      <c r="X15" s="17">
        <f t="shared" si="7"/>
        <v>0</v>
      </c>
      <c r="Y15" s="17">
        <f t="shared" si="7"/>
        <v>0.42857142857142855</v>
      </c>
      <c r="Z15" s="17">
        <f t="shared" si="7"/>
        <v>0.14285714285714285</v>
      </c>
      <c r="AA15" s="17">
        <f t="shared" si="7"/>
        <v>0</v>
      </c>
      <c r="AB15" s="17">
        <f t="shared" si="7"/>
        <v>0.2857142857142857</v>
      </c>
      <c r="AC15" s="17">
        <f t="shared" si="7"/>
        <v>82.428571428571445</v>
      </c>
      <c r="AD15" s="17">
        <f t="shared" si="7"/>
        <v>0</v>
      </c>
      <c r="AE15" s="31">
        <f t="shared" si="7"/>
        <v>12.142857142857141</v>
      </c>
      <c r="AF15" s="31">
        <f t="shared" si="7"/>
        <v>94.571428571428555</v>
      </c>
    </row>
    <row r="16" spans="2:32" ht="23.1" customHeight="1" x14ac:dyDescent="0.25">
      <c r="B16" s="23" t="s">
        <v>43</v>
      </c>
      <c r="C16" s="49">
        <f>AVERAGE('23.09.19 -Munyonyo-Kigo'!C16,'24.09 Munyonyo-Kigo'!C16,'25.09 Munyonyo-Kigo'!C16,'27.09 Munyonyo-LWEZA'!C16,'26.09 Munyonyo-Kigo-24h'!C16,'28.09 Munyonyo-Kigo-24h'!C16,'29.09 Munyonyo-Kigo'!C16)</f>
        <v>0.8571428571428571</v>
      </c>
      <c r="D16" s="49">
        <f>AVERAGE('23.09.19 -Munyonyo-Kigo'!D16,'24.09 Munyonyo-Kigo'!D16,'25.09 Munyonyo-Kigo'!D16,'27.09 Munyonyo-LWEZA'!D16,'26.09 Munyonyo-Kigo-24h'!D16,'28.09 Munyonyo-Kigo-24h'!D16,'29.09 Munyonyo-Kigo'!D16)</f>
        <v>3</v>
      </c>
      <c r="E16" s="49">
        <f>AVERAGE('23.09.19 -Munyonyo-Kigo'!E16,'24.09 Munyonyo-Kigo'!E16,'25.09 Munyonyo-Kigo'!E16,'27.09 Munyonyo-LWEZA'!E16,'26.09 Munyonyo-Kigo-24h'!E16,'28.09 Munyonyo-Kigo-24h'!E16,'29.09 Munyonyo-Kigo'!E16)</f>
        <v>0.42857142857142855</v>
      </c>
      <c r="F16" s="49">
        <f>AVERAGE('23.09.19 -Munyonyo-Kigo'!F16,'24.09 Munyonyo-Kigo'!F16,'25.09 Munyonyo-Kigo'!F16,'27.09 Munyonyo-LWEZA'!F16,'26.09 Munyonyo-Kigo-24h'!F16,'28.09 Munyonyo-Kigo-24h'!F16,'29.09 Munyonyo-Kigo'!F16)</f>
        <v>0.14285714285714285</v>
      </c>
      <c r="G16" s="49">
        <f>AVERAGE('23.09.19 -Munyonyo-Kigo'!G16,'24.09 Munyonyo-Kigo'!G16,'25.09 Munyonyo-Kigo'!G16,'27.09 Munyonyo-LWEZA'!G16,'26.09 Munyonyo-Kigo-24h'!G16,'28.09 Munyonyo-Kigo-24h'!G16,'29.09 Munyonyo-Kigo'!G16)</f>
        <v>0</v>
      </c>
      <c r="H16" s="49">
        <f>AVERAGE('23.09.19 -Munyonyo-Kigo'!H16,'24.09 Munyonyo-Kigo'!H16,'25.09 Munyonyo-Kigo'!H16,'27.09 Munyonyo-LWEZA'!H16,'26.09 Munyonyo-Kigo-24h'!H16,'28.09 Munyonyo-Kigo-24h'!H16,'29.09 Munyonyo-Kigo'!H16)</f>
        <v>0</v>
      </c>
      <c r="I16" s="49">
        <f>AVERAGE('23.09.19 -Munyonyo-Kigo'!I16,'24.09 Munyonyo-Kigo'!I16,'25.09 Munyonyo-Kigo'!I16,'27.09 Munyonyo-LWEZA'!I16,'26.09 Munyonyo-Kigo-24h'!I16,'28.09 Munyonyo-Kigo-24h'!I16,'29.09 Munyonyo-Kigo'!I16)</f>
        <v>0.5714285714285714</v>
      </c>
      <c r="J16" s="49">
        <f>AVERAGE('23.09.19 -Munyonyo-Kigo'!J16,'24.09 Munyonyo-Kigo'!J16,'25.09 Munyonyo-Kigo'!J16,'27.09 Munyonyo-LWEZA'!J16,'26.09 Munyonyo-Kigo-24h'!J16,'28.09 Munyonyo-Kigo-24h'!J16,'29.09 Munyonyo-Kigo'!J16)</f>
        <v>0</v>
      </c>
      <c r="K16" s="49">
        <f>AVERAGE('23.09.19 -Munyonyo-Kigo'!K16,'24.09 Munyonyo-Kigo'!K16,'25.09 Munyonyo-Kigo'!K16,'27.09 Munyonyo-LWEZA'!K16,'26.09 Munyonyo-Kigo-24h'!K16,'28.09 Munyonyo-Kigo-24h'!K16,'29.09 Munyonyo-Kigo'!K16)</f>
        <v>0</v>
      </c>
      <c r="L16" s="49">
        <f>AVERAGE('23.09.19 -Munyonyo-Kigo'!L16,'24.09 Munyonyo-Kigo'!L16,'25.09 Munyonyo-Kigo'!L16,'27.09 Munyonyo-LWEZA'!L16,'26.09 Munyonyo-Kigo-24h'!L16,'28.09 Munyonyo-Kigo-24h'!L16,'29.09 Munyonyo-Kigo'!L16)</f>
        <v>0</v>
      </c>
      <c r="M16" s="49">
        <f>AVERAGE('23.09.19 -Munyonyo-Kigo'!M16,'24.09 Munyonyo-Kigo'!M16,'25.09 Munyonyo-Kigo'!M16,'27.09 Munyonyo-LWEZA'!M16,'26.09 Munyonyo-Kigo-24h'!M16,'28.09 Munyonyo-Kigo-24h'!M16,'29.09 Munyonyo-Kigo'!M16)</f>
        <v>18.285714285714285</v>
      </c>
      <c r="N16" s="49">
        <f>AVERAGE('23.09.19 -Munyonyo-Kigo'!N16,'24.09 Munyonyo-Kigo'!N16,'25.09 Munyonyo-Kigo'!N16,'27.09 Munyonyo-LWEZA'!N16,'26.09 Munyonyo-Kigo-24h'!N16,'28.09 Munyonyo-Kigo-24h'!N16,'29.09 Munyonyo-Kigo'!N16)</f>
        <v>0</v>
      </c>
      <c r="O16" s="15">
        <f t="shared" si="0"/>
        <v>5</v>
      </c>
      <c r="P16" s="15">
        <f t="shared" si="1"/>
        <v>23.285714285714285</v>
      </c>
      <c r="R16" s="1" t="s">
        <v>12</v>
      </c>
      <c r="S16" s="17">
        <f t="shared" ref="S16:AF16" si="8">SUM(C34:C37)</f>
        <v>6.8571428571428577</v>
      </c>
      <c r="T16" s="17">
        <f t="shared" si="8"/>
        <v>1.1428571428571428</v>
      </c>
      <c r="U16" s="17">
        <f t="shared" si="8"/>
        <v>1.857142857142857</v>
      </c>
      <c r="V16" s="17">
        <f t="shared" si="8"/>
        <v>1.1428571428571428</v>
      </c>
      <c r="W16" s="17">
        <f t="shared" si="8"/>
        <v>0</v>
      </c>
      <c r="X16" s="17">
        <f t="shared" si="8"/>
        <v>0</v>
      </c>
      <c r="Y16" s="17">
        <f t="shared" si="8"/>
        <v>1.1428571428571428</v>
      </c>
      <c r="Z16" s="17">
        <f t="shared" si="8"/>
        <v>0.2857142857142857</v>
      </c>
      <c r="AA16" s="17">
        <f t="shared" si="8"/>
        <v>0.42857142857142855</v>
      </c>
      <c r="AB16" s="17">
        <f t="shared" si="8"/>
        <v>0</v>
      </c>
      <c r="AC16" s="17">
        <f t="shared" si="8"/>
        <v>60.571428571428569</v>
      </c>
      <c r="AD16" s="17">
        <f t="shared" si="8"/>
        <v>0</v>
      </c>
      <c r="AE16" s="31">
        <f t="shared" si="8"/>
        <v>12.857142857142856</v>
      </c>
      <c r="AF16" s="31">
        <f t="shared" si="8"/>
        <v>73.428571428571431</v>
      </c>
    </row>
    <row r="17" spans="2:32" ht="23.1" customHeight="1" x14ac:dyDescent="0.25">
      <c r="B17" s="23" t="s">
        <v>44</v>
      </c>
      <c r="C17" s="49">
        <f>AVERAGE('23.09.19 -Munyonyo-Kigo'!C17,'24.09 Munyonyo-Kigo'!C17,'25.09 Munyonyo-Kigo'!C17,'27.09 Munyonyo-LWEZA'!C17,'26.09 Munyonyo-Kigo-24h'!C17,'28.09 Munyonyo-Kigo-24h'!C17,'29.09 Munyonyo-Kigo'!C17)</f>
        <v>1.4285714285714286</v>
      </c>
      <c r="D17" s="49">
        <f>AVERAGE('23.09.19 -Munyonyo-Kigo'!D17,'24.09 Munyonyo-Kigo'!D17,'25.09 Munyonyo-Kigo'!D17,'27.09 Munyonyo-LWEZA'!D17,'26.09 Munyonyo-Kigo-24h'!D17,'28.09 Munyonyo-Kigo-24h'!D17,'29.09 Munyonyo-Kigo'!D17)</f>
        <v>0.14285714285714285</v>
      </c>
      <c r="E17" s="49">
        <f>AVERAGE('23.09.19 -Munyonyo-Kigo'!E17,'24.09 Munyonyo-Kigo'!E17,'25.09 Munyonyo-Kigo'!E17,'27.09 Munyonyo-LWEZA'!E17,'26.09 Munyonyo-Kigo-24h'!E17,'28.09 Munyonyo-Kigo-24h'!E17,'29.09 Munyonyo-Kigo'!E17)</f>
        <v>0</v>
      </c>
      <c r="F17" s="49">
        <f>AVERAGE('23.09.19 -Munyonyo-Kigo'!F17,'24.09 Munyonyo-Kigo'!F17,'25.09 Munyonyo-Kigo'!F17,'27.09 Munyonyo-LWEZA'!F17,'26.09 Munyonyo-Kigo-24h'!F17,'28.09 Munyonyo-Kigo-24h'!F17,'29.09 Munyonyo-Kigo'!F17)</f>
        <v>0</v>
      </c>
      <c r="G17" s="49">
        <f>AVERAGE('23.09.19 -Munyonyo-Kigo'!G17,'24.09 Munyonyo-Kigo'!G17,'25.09 Munyonyo-Kigo'!G17,'27.09 Munyonyo-LWEZA'!G17,'26.09 Munyonyo-Kigo-24h'!G17,'28.09 Munyonyo-Kigo-24h'!G17,'29.09 Munyonyo-Kigo'!G17)</f>
        <v>0</v>
      </c>
      <c r="H17" s="49">
        <f>AVERAGE('23.09.19 -Munyonyo-Kigo'!H17,'24.09 Munyonyo-Kigo'!H17,'25.09 Munyonyo-Kigo'!H17,'27.09 Munyonyo-LWEZA'!H17,'26.09 Munyonyo-Kigo-24h'!H17,'28.09 Munyonyo-Kigo-24h'!H17,'29.09 Munyonyo-Kigo'!H17)</f>
        <v>0</v>
      </c>
      <c r="I17" s="49">
        <f>AVERAGE('23.09.19 -Munyonyo-Kigo'!I17,'24.09 Munyonyo-Kigo'!I17,'25.09 Munyonyo-Kigo'!I17,'27.09 Munyonyo-LWEZA'!I17,'26.09 Munyonyo-Kigo-24h'!I17,'28.09 Munyonyo-Kigo-24h'!I17,'29.09 Munyonyo-Kigo'!I17)</f>
        <v>0</v>
      </c>
      <c r="J17" s="49">
        <f>AVERAGE('23.09.19 -Munyonyo-Kigo'!J17,'24.09 Munyonyo-Kigo'!J17,'25.09 Munyonyo-Kigo'!J17,'27.09 Munyonyo-LWEZA'!J17,'26.09 Munyonyo-Kigo-24h'!J17,'28.09 Munyonyo-Kigo-24h'!J17,'29.09 Munyonyo-Kigo'!J17)</f>
        <v>0</v>
      </c>
      <c r="K17" s="49">
        <f>AVERAGE('23.09.19 -Munyonyo-Kigo'!K17,'24.09 Munyonyo-Kigo'!K17,'25.09 Munyonyo-Kigo'!K17,'27.09 Munyonyo-LWEZA'!K17,'26.09 Munyonyo-Kigo-24h'!K17,'28.09 Munyonyo-Kigo-24h'!K17,'29.09 Munyonyo-Kigo'!K17)</f>
        <v>0</v>
      </c>
      <c r="L17" s="49">
        <f>AVERAGE('23.09.19 -Munyonyo-Kigo'!L17,'24.09 Munyonyo-Kigo'!L17,'25.09 Munyonyo-Kigo'!L17,'27.09 Munyonyo-LWEZA'!L17,'26.09 Munyonyo-Kigo-24h'!L17,'28.09 Munyonyo-Kigo-24h'!L17,'29.09 Munyonyo-Kigo'!L17)</f>
        <v>0.14285714285714285</v>
      </c>
      <c r="M17" s="49">
        <f>AVERAGE('23.09.19 -Munyonyo-Kigo'!M17,'24.09 Munyonyo-Kigo'!M17,'25.09 Munyonyo-Kigo'!M17,'27.09 Munyonyo-LWEZA'!M17,'26.09 Munyonyo-Kigo-24h'!M17,'28.09 Munyonyo-Kigo-24h'!M17,'29.09 Munyonyo-Kigo'!M17)</f>
        <v>20.142857142857142</v>
      </c>
      <c r="N17" s="49">
        <f>AVERAGE('23.09.19 -Munyonyo-Kigo'!N17,'24.09 Munyonyo-Kigo'!N17,'25.09 Munyonyo-Kigo'!N17,'27.09 Munyonyo-LWEZA'!N17,'26.09 Munyonyo-Kigo-24h'!N17,'28.09 Munyonyo-Kigo-24h'!N17,'29.09 Munyonyo-Kigo'!N17)</f>
        <v>0</v>
      </c>
      <c r="O17" s="15">
        <f t="shared" si="0"/>
        <v>1.7142857142857142</v>
      </c>
      <c r="P17" s="15">
        <f t="shared" si="1"/>
        <v>21.857142857142858</v>
      </c>
      <c r="R17" s="1" t="s">
        <v>13</v>
      </c>
      <c r="S17" s="17">
        <f t="shared" ref="S17:AF17" si="9">SUM(C38:C41)</f>
        <v>4.1428571428571423</v>
      </c>
      <c r="T17" s="17">
        <f t="shared" si="9"/>
        <v>1.1428571428571428</v>
      </c>
      <c r="U17" s="17">
        <f t="shared" si="9"/>
        <v>1.2857142857142856</v>
      </c>
      <c r="V17" s="17">
        <f t="shared" si="9"/>
        <v>0.71428571428571419</v>
      </c>
      <c r="W17" s="17">
        <f t="shared" si="9"/>
        <v>0</v>
      </c>
      <c r="X17" s="17">
        <f t="shared" si="9"/>
        <v>0</v>
      </c>
      <c r="Y17" s="17">
        <f t="shared" si="9"/>
        <v>1.1428571428571428</v>
      </c>
      <c r="Z17" s="17">
        <f t="shared" si="9"/>
        <v>0</v>
      </c>
      <c r="AA17" s="17">
        <f t="shared" si="9"/>
        <v>0.71428571428571419</v>
      </c>
      <c r="AB17" s="17">
        <f t="shared" si="9"/>
        <v>0</v>
      </c>
      <c r="AC17" s="17">
        <f t="shared" si="9"/>
        <v>69.428571428571431</v>
      </c>
      <c r="AD17" s="17">
        <f t="shared" si="9"/>
        <v>0</v>
      </c>
      <c r="AE17" s="31">
        <f t="shared" si="9"/>
        <v>9.1428571428571423</v>
      </c>
      <c r="AF17" s="31">
        <f t="shared" si="9"/>
        <v>78.571428571428555</v>
      </c>
    </row>
    <row r="18" spans="2:32" ht="23.1" customHeight="1" x14ac:dyDescent="0.25">
      <c r="B18" s="23" t="s">
        <v>45</v>
      </c>
      <c r="C18" s="49">
        <f>AVERAGE('23.09.19 -Munyonyo-Kigo'!C18,'24.09 Munyonyo-Kigo'!C18,'25.09 Munyonyo-Kigo'!C18,'27.09 Munyonyo-LWEZA'!C18,'26.09 Munyonyo-Kigo-24h'!C18,'28.09 Munyonyo-Kigo-24h'!C18,'29.09 Munyonyo-Kigo'!C18)</f>
        <v>1</v>
      </c>
      <c r="D18" s="49">
        <f>AVERAGE('23.09.19 -Munyonyo-Kigo'!D18,'24.09 Munyonyo-Kigo'!D18,'25.09 Munyonyo-Kigo'!D18,'27.09 Munyonyo-LWEZA'!D18,'26.09 Munyonyo-Kigo-24h'!D18,'28.09 Munyonyo-Kigo-24h'!D18,'29.09 Munyonyo-Kigo'!D18)</f>
        <v>0.2857142857142857</v>
      </c>
      <c r="E18" s="49">
        <f>AVERAGE('23.09.19 -Munyonyo-Kigo'!E18,'24.09 Munyonyo-Kigo'!E18,'25.09 Munyonyo-Kigo'!E18,'27.09 Munyonyo-LWEZA'!E18,'26.09 Munyonyo-Kigo-24h'!E18,'28.09 Munyonyo-Kigo-24h'!E18,'29.09 Munyonyo-Kigo'!E18)</f>
        <v>0.14285714285714285</v>
      </c>
      <c r="F18" s="49">
        <f>AVERAGE('23.09.19 -Munyonyo-Kigo'!F18,'24.09 Munyonyo-Kigo'!F18,'25.09 Munyonyo-Kigo'!F18,'27.09 Munyonyo-LWEZA'!F18,'26.09 Munyonyo-Kigo-24h'!F18,'28.09 Munyonyo-Kigo-24h'!F18,'29.09 Munyonyo-Kigo'!F18)</f>
        <v>0.14285714285714285</v>
      </c>
      <c r="G18" s="49">
        <f>AVERAGE('23.09.19 -Munyonyo-Kigo'!G18,'24.09 Munyonyo-Kigo'!G18,'25.09 Munyonyo-Kigo'!G18,'27.09 Munyonyo-LWEZA'!G18,'26.09 Munyonyo-Kigo-24h'!G18,'28.09 Munyonyo-Kigo-24h'!G18,'29.09 Munyonyo-Kigo'!G18)</f>
        <v>0</v>
      </c>
      <c r="H18" s="49">
        <f>AVERAGE('23.09.19 -Munyonyo-Kigo'!H18,'24.09 Munyonyo-Kigo'!H18,'25.09 Munyonyo-Kigo'!H18,'27.09 Munyonyo-LWEZA'!H18,'26.09 Munyonyo-Kigo-24h'!H18,'28.09 Munyonyo-Kigo-24h'!H18,'29.09 Munyonyo-Kigo'!H18)</f>
        <v>0</v>
      </c>
      <c r="I18" s="49">
        <f>AVERAGE('23.09.19 -Munyonyo-Kigo'!I18,'24.09 Munyonyo-Kigo'!I18,'25.09 Munyonyo-Kigo'!I18,'27.09 Munyonyo-LWEZA'!I18,'26.09 Munyonyo-Kigo-24h'!I18,'28.09 Munyonyo-Kigo-24h'!I18,'29.09 Munyonyo-Kigo'!I18)</f>
        <v>0.2857142857142857</v>
      </c>
      <c r="J18" s="49">
        <f>AVERAGE('23.09.19 -Munyonyo-Kigo'!J18,'24.09 Munyonyo-Kigo'!J18,'25.09 Munyonyo-Kigo'!J18,'27.09 Munyonyo-LWEZA'!J18,'26.09 Munyonyo-Kigo-24h'!J18,'28.09 Munyonyo-Kigo-24h'!J18,'29.09 Munyonyo-Kigo'!J18)</f>
        <v>0</v>
      </c>
      <c r="K18" s="49">
        <f>AVERAGE('23.09.19 -Munyonyo-Kigo'!K18,'24.09 Munyonyo-Kigo'!K18,'25.09 Munyonyo-Kigo'!K18,'27.09 Munyonyo-LWEZA'!K18,'26.09 Munyonyo-Kigo-24h'!K18,'28.09 Munyonyo-Kigo-24h'!K18,'29.09 Munyonyo-Kigo'!K18)</f>
        <v>0</v>
      </c>
      <c r="L18" s="49">
        <f>AVERAGE('23.09.19 -Munyonyo-Kigo'!L18,'24.09 Munyonyo-Kigo'!L18,'25.09 Munyonyo-Kigo'!L18,'27.09 Munyonyo-LWEZA'!L18,'26.09 Munyonyo-Kigo-24h'!L18,'28.09 Munyonyo-Kigo-24h'!L18,'29.09 Munyonyo-Kigo'!L18)</f>
        <v>0</v>
      </c>
      <c r="M18" s="49">
        <f>AVERAGE('23.09.19 -Munyonyo-Kigo'!M18,'24.09 Munyonyo-Kigo'!M18,'25.09 Munyonyo-Kigo'!M18,'27.09 Munyonyo-LWEZA'!M18,'26.09 Munyonyo-Kigo-24h'!M18,'28.09 Munyonyo-Kigo-24h'!M18,'29.09 Munyonyo-Kigo'!M18)</f>
        <v>21.428571428571427</v>
      </c>
      <c r="N18" s="49">
        <f>AVERAGE('23.09.19 -Munyonyo-Kigo'!N18,'24.09 Munyonyo-Kigo'!N18,'25.09 Munyonyo-Kigo'!N18,'27.09 Munyonyo-LWEZA'!N18,'26.09 Munyonyo-Kigo-24h'!N18,'28.09 Munyonyo-Kigo-24h'!N18,'29.09 Munyonyo-Kigo'!N18)</f>
        <v>0</v>
      </c>
      <c r="O18" s="15">
        <f t="shared" si="0"/>
        <v>1.8571428571428568</v>
      </c>
      <c r="P18" s="15">
        <f t="shared" si="1"/>
        <v>23.285714285714285</v>
      </c>
      <c r="R18" s="1" t="s">
        <v>14</v>
      </c>
      <c r="S18" s="17">
        <f t="shared" ref="S18:AF18" si="10">SUM(C42:C45)</f>
        <v>8.5714285714285712</v>
      </c>
      <c r="T18" s="17">
        <f t="shared" si="10"/>
        <v>2.7142857142857144</v>
      </c>
      <c r="U18" s="17">
        <f t="shared" si="10"/>
        <v>1.4285714285714284</v>
      </c>
      <c r="V18" s="17">
        <f t="shared" si="10"/>
        <v>1.5714285714285714</v>
      </c>
      <c r="W18" s="17">
        <f t="shared" si="10"/>
        <v>0</v>
      </c>
      <c r="X18" s="17">
        <f t="shared" si="10"/>
        <v>0</v>
      </c>
      <c r="Y18" s="17">
        <f t="shared" si="10"/>
        <v>1.7142857142857144</v>
      </c>
      <c r="Z18" s="17">
        <f t="shared" si="10"/>
        <v>0</v>
      </c>
      <c r="AA18" s="17">
        <f t="shared" si="10"/>
        <v>0.85714285714285698</v>
      </c>
      <c r="AB18" s="17">
        <f t="shared" si="10"/>
        <v>0</v>
      </c>
      <c r="AC18" s="17">
        <f t="shared" si="10"/>
        <v>73</v>
      </c>
      <c r="AD18" s="17">
        <f t="shared" si="10"/>
        <v>0</v>
      </c>
      <c r="AE18" s="31">
        <f t="shared" si="10"/>
        <v>16.857142857142858</v>
      </c>
      <c r="AF18" s="31">
        <f t="shared" si="10"/>
        <v>89.857142857142861</v>
      </c>
    </row>
    <row r="19" spans="2:32" ht="23.1" customHeight="1" x14ac:dyDescent="0.25">
      <c r="B19" s="23" t="s">
        <v>46</v>
      </c>
      <c r="C19" s="49">
        <f>AVERAGE('23.09.19 -Munyonyo-Kigo'!C19,'24.09 Munyonyo-Kigo'!C19,'25.09 Munyonyo-Kigo'!C19,'27.09 Munyonyo-LWEZA'!C19,'26.09 Munyonyo-Kigo-24h'!C19,'28.09 Munyonyo-Kigo-24h'!C19,'29.09 Munyonyo-Kigo'!C19)</f>
        <v>1.1428571428571428</v>
      </c>
      <c r="D19" s="49">
        <f>AVERAGE('23.09.19 -Munyonyo-Kigo'!D19,'24.09 Munyonyo-Kigo'!D19,'25.09 Munyonyo-Kigo'!D19,'27.09 Munyonyo-LWEZA'!D19,'26.09 Munyonyo-Kigo-24h'!D19,'28.09 Munyonyo-Kigo-24h'!D19,'29.09 Munyonyo-Kigo'!D19)</f>
        <v>0.42857142857142855</v>
      </c>
      <c r="E19" s="49">
        <f>AVERAGE('23.09.19 -Munyonyo-Kigo'!E19,'24.09 Munyonyo-Kigo'!E19,'25.09 Munyonyo-Kigo'!E19,'27.09 Munyonyo-LWEZA'!E19,'26.09 Munyonyo-Kigo-24h'!E19,'28.09 Munyonyo-Kigo-24h'!E19,'29.09 Munyonyo-Kigo'!E19)</f>
        <v>0.2857142857142857</v>
      </c>
      <c r="F19" s="49">
        <f>AVERAGE('23.09.19 -Munyonyo-Kigo'!F19,'24.09 Munyonyo-Kigo'!F19,'25.09 Munyonyo-Kigo'!F19,'27.09 Munyonyo-LWEZA'!F19,'26.09 Munyonyo-Kigo-24h'!F19,'28.09 Munyonyo-Kigo-24h'!F19,'29.09 Munyonyo-Kigo'!F19)</f>
        <v>0.14285714285714285</v>
      </c>
      <c r="G19" s="49">
        <f>AVERAGE('23.09.19 -Munyonyo-Kigo'!G19,'24.09 Munyonyo-Kigo'!G19,'25.09 Munyonyo-Kigo'!G19,'27.09 Munyonyo-LWEZA'!G19,'26.09 Munyonyo-Kigo-24h'!G19,'28.09 Munyonyo-Kigo-24h'!G19,'29.09 Munyonyo-Kigo'!G19)</f>
        <v>0</v>
      </c>
      <c r="H19" s="49">
        <f>AVERAGE('23.09.19 -Munyonyo-Kigo'!H19,'24.09 Munyonyo-Kigo'!H19,'25.09 Munyonyo-Kigo'!H19,'27.09 Munyonyo-LWEZA'!H19,'26.09 Munyonyo-Kigo-24h'!H19,'28.09 Munyonyo-Kigo-24h'!H19,'29.09 Munyonyo-Kigo'!H19)</f>
        <v>0</v>
      </c>
      <c r="I19" s="49">
        <f>AVERAGE('23.09.19 -Munyonyo-Kigo'!I19,'24.09 Munyonyo-Kigo'!I19,'25.09 Munyonyo-Kigo'!I19,'27.09 Munyonyo-LWEZA'!I19,'26.09 Munyonyo-Kigo-24h'!I19,'28.09 Munyonyo-Kigo-24h'!I19,'29.09 Munyonyo-Kigo'!I19)</f>
        <v>0.42857142857142855</v>
      </c>
      <c r="J19" s="49">
        <f>AVERAGE('23.09.19 -Munyonyo-Kigo'!J19,'24.09 Munyonyo-Kigo'!J19,'25.09 Munyonyo-Kigo'!J19,'27.09 Munyonyo-LWEZA'!J19,'26.09 Munyonyo-Kigo-24h'!J19,'28.09 Munyonyo-Kigo-24h'!J19,'29.09 Munyonyo-Kigo'!J19)</f>
        <v>0.14285714285714285</v>
      </c>
      <c r="K19" s="49">
        <f>AVERAGE('23.09.19 -Munyonyo-Kigo'!K19,'24.09 Munyonyo-Kigo'!K19,'25.09 Munyonyo-Kigo'!K19,'27.09 Munyonyo-LWEZA'!K19,'26.09 Munyonyo-Kigo-24h'!K19,'28.09 Munyonyo-Kigo-24h'!K19,'29.09 Munyonyo-Kigo'!K19)</f>
        <v>0</v>
      </c>
      <c r="L19" s="49">
        <f>AVERAGE('23.09.19 -Munyonyo-Kigo'!L19,'24.09 Munyonyo-Kigo'!L19,'25.09 Munyonyo-Kigo'!L19,'27.09 Munyonyo-LWEZA'!L19,'26.09 Munyonyo-Kigo-24h'!L19,'28.09 Munyonyo-Kigo-24h'!L19,'29.09 Munyonyo-Kigo'!L19)</f>
        <v>0</v>
      </c>
      <c r="M19" s="49">
        <f>AVERAGE('23.09.19 -Munyonyo-Kigo'!M19,'24.09 Munyonyo-Kigo'!M19,'25.09 Munyonyo-Kigo'!M19,'27.09 Munyonyo-LWEZA'!M19,'26.09 Munyonyo-Kigo-24h'!M19,'28.09 Munyonyo-Kigo-24h'!M19,'29.09 Munyonyo-Kigo'!M19)</f>
        <v>23.428571428571427</v>
      </c>
      <c r="N19" s="49">
        <f>AVERAGE('23.09.19 -Munyonyo-Kigo'!N19,'24.09 Munyonyo-Kigo'!N19,'25.09 Munyonyo-Kigo'!N19,'27.09 Munyonyo-LWEZA'!N19,'26.09 Munyonyo-Kigo-24h'!N19,'28.09 Munyonyo-Kigo-24h'!N19,'29.09 Munyonyo-Kigo'!N19)</f>
        <v>0</v>
      </c>
      <c r="O19" s="15">
        <f t="shared" si="0"/>
        <v>2.5714285714285712</v>
      </c>
      <c r="P19" s="15">
        <f t="shared" si="1"/>
        <v>26</v>
      </c>
      <c r="R19" s="1" t="s">
        <v>15</v>
      </c>
      <c r="S19" s="17">
        <f t="shared" ref="S19:AF19" si="11">SUM(C46:C49)</f>
        <v>8.8571428571428577</v>
      </c>
      <c r="T19" s="17">
        <f t="shared" si="11"/>
        <v>3.5714285714285712</v>
      </c>
      <c r="U19" s="17">
        <f t="shared" si="11"/>
        <v>2.5714285714285712</v>
      </c>
      <c r="V19" s="17">
        <f t="shared" si="11"/>
        <v>2.7142857142857144</v>
      </c>
      <c r="W19" s="17">
        <f t="shared" si="11"/>
        <v>0</v>
      </c>
      <c r="X19" s="17">
        <f t="shared" si="11"/>
        <v>0</v>
      </c>
      <c r="Y19" s="17">
        <f t="shared" si="11"/>
        <v>1.2857142857142856</v>
      </c>
      <c r="Z19" s="17">
        <f t="shared" si="11"/>
        <v>0.2857142857142857</v>
      </c>
      <c r="AA19" s="17">
        <f t="shared" si="11"/>
        <v>0.7142857142857143</v>
      </c>
      <c r="AB19" s="17">
        <f t="shared" si="11"/>
        <v>0</v>
      </c>
      <c r="AC19" s="17">
        <f t="shared" si="11"/>
        <v>81</v>
      </c>
      <c r="AD19" s="17">
        <f t="shared" si="11"/>
        <v>0</v>
      </c>
      <c r="AE19" s="31">
        <f t="shared" si="11"/>
        <v>20</v>
      </c>
      <c r="AF19" s="31">
        <f t="shared" si="11"/>
        <v>101</v>
      </c>
    </row>
    <row r="20" spans="2:32" ht="23.1" customHeight="1" x14ac:dyDescent="0.25">
      <c r="B20" s="23" t="s">
        <v>47</v>
      </c>
      <c r="C20" s="49">
        <f>AVERAGE('23.09.19 -Munyonyo-Kigo'!C20,'24.09 Munyonyo-Kigo'!C20,'25.09 Munyonyo-Kigo'!C20,'27.09 Munyonyo-LWEZA'!C20,'26.09 Munyonyo-Kigo-24h'!C20,'28.09 Munyonyo-Kigo-24h'!C20,'29.09 Munyonyo-Kigo'!C20)</f>
        <v>1.1428571428571428</v>
      </c>
      <c r="D20" s="49">
        <f>AVERAGE('23.09.19 -Munyonyo-Kigo'!D20,'24.09 Munyonyo-Kigo'!D20,'25.09 Munyonyo-Kigo'!D20,'27.09 Munyonyo-LWEZA'!D20,'26.09 Munyonyo-Kigo-24h'!D20,'28.09 Munyonyo-Kigo-24h'!D20,'29.09 Munyonyo-Kigo'!D20)</f>
        <v>0.5714285714285714</v>
      </c>
      <c r="E20" s="49">
        <f>AVERAGE('23.09.19 -Munyonyo-Kigo'!E20,'24.09 Munyonyo-Kigo'!E20,'25.09 Munyonyo-Kigo'!E20,'27.09 Munyonyo-LWEZA'!E20,'26.09 Munyonyo-Kigo-24h'!E20,'28.09 Munyonyo-Kigo-24h'!E20,'29.09 Munyonyo-Kigo'!E20)</f>
        <v>0.42857142857142855</v>
      </c>
      <c r="F20" s="49">
        <f>AVERAGE('23.09.19 -Munyonyo-Kigo'!F20,'24.09 Munyonyo-Kigo'!F20,'25.09 Munyonyo-Kigo'!F20,'27.09 Munyonyo-LWEZA'!F20,'26.09 Munyonyo-Kigo-24h'!F20,'28.09 Munyonyo-Kigo-24h'!F20,'29.09 Munyonyo-Kigo'!F20)</f>
        <v>0.14285714285714285</v>
      </c>
      <c r="G20" s="49">
        <f>AVERAGE('23.09.19 -Munyonyo-Kigo'!G20,'24.09 Munyonyo-Kigo'!G20,'25.09 Munyonyo-Kigo'!G20,'27.09 Munyonyo-LWEZA'!G20,'26.09 Munyonyo-Kigo-24h'!G20,'28.09 Munyonyo-Kigo-24h'!G20,'29.09 Munyonyo-Kigo'!G20)</f>
        <v>0</v>
      </c>
      <c r="H20" s="49">
        <f>AVERAGE('23.09.19 -Munyonyo-Kigo'!H20,'24.09 Munyonyo-Kigo'!H20,'25.09 Munyonyo-Kigo'!H20,'27.09 Munyonyo-LWEZA'!H20,'26.09 Munyonyo-Kigo-24h'!H20,'28.09 Munyonyo-Kigo-24h'!H20,'29.09 Munyonyo-Kigo'!H20)</f>
        <v>0</v>
      </c>
      <c r="I20" s="49">
        <f>AVERAGE('23.09.19 -Munyonyo-Kigo'!I20,'24.09 Munyonyo-Kigo'!I20,'25.09 Munyonyo-Kigo'!I20,'27.09 Munyonyo-LWEZA'!I20,'26.09 Munyonyo-Kigo-24h'!I20,'28.09 Munyonyo-Kigo-24h'!I20,'29.09 Munyonyo-Kigo'!I20)</f>
        <v>0.42857142857142855</v>
      </c>
      <c r="J20" s="49">
        <f>AVERAGE('23.09.19 -Munyonyo-Kigo'!J20,'24.09 Munyonyo-Kigo'!J20,'25.09 Munyonyo-Kigo'!J20,'27.09 Munyonyo-LWEZA'!J20,'26.09 Munyonyo-Kigo-24h'!J20,'28.09 Munyonyo-Kigo-24h'!J20,'29.09 Munyonyo-Kigo'!J20)</f>
        <v>0</v>
      </c>
      <c r="K20" s="49">
        <f>AVERAGE('23.09.19 -Munyonyo-Kigo'!K20,'24.09 Munyonyo-Kigo'!K20,'25.09 Munyonyo-Kigo'!K20,'27.09 Munyonyo-LWEZA'!K20,'26.09 Munyonyo-Kigo-24h'!K20,'28.09 Munyonyo-Kigo-24h'!K20,'29.09 Munyonyo-Kigo'!K20)</f>
        <v>0</v>
      </c>
      <c r="L20" s="49">
        <f>AVERAGE('23.09.19 -Munyonyo-Kigo'!L20,'24.09 Munyonyo-Kigo'!L20,'25.09 Munyonyo-Kigo'!L20,'27.09 Munyonyo-LWEZA'!L20,'26.09 Munyonyo-Kigo-24h'!L20,'28.09 Munyonyo-Kigo-24h'!L20,'29.09 Munyonyo-Kigo'!L20)</f>
        <v>0.14285714285714285</v>
      </c>
      <c r="M20" s="49">
        <f>AVERAGE('23.09.19 -Munyonyo-Kigo'!M20,'24.09 Munyonyo-Kigo'!M20,'25.09 Munyonyo-Kigo'!M20,'27.09 Munyonyo-LWEZA'!M20,'26.09 Munyonyo-Kigo-24h'!M20,'28.09 Munyonyo-Kigo-24h'!M20,'29.09 Munyonyo-Kigo'!M20)</f>
        <v>19.285714285714285</v>
      </c>
      <c r="N20" s="49">
        <f>AVERAGE('23.09.19 -Munyonyo-Kigo'!N20,'24.09 Munyonyo-Kigo'!N20,'25.09 Munyonyo-Kigo'!N20,'27.09 Munyonyo-LWEZA'!N20,'26.09 Munyonyo-Kigo-24h'!N20,'28.09 Munyonyo-Kigo-24h'!N20,'29.09 Munyonyo-Kigo'!N20)</f>
        <v>0</v>
      </c>
      <c r="O20" s="15">
        <f t="shared" si="0"/>
        <v>2.8571428571428568</v>
      </c>
      <c r="P20" s="15">
        <f t="shared" si="1"/>
        <v>22.142857142857142</v>
      </c>
      <c r="R20" s="1" t="s">
        <v>16</v>
      </c>
      <c r="S20" s="17">
        <f t="shared" ref="S20:AF20" si="12">SUM(C50:C53)</f>
        <v>13</v>
      </c>
      <c r="T20" s="17">
        <f t="shared" si="12"/>
        <v>2.2857142857142856</v>
      </c>
      <c r="U20" s="17">
        <f t="shared" si="12"/>
        <v>2</v>
      </c>
      <c r="V20" s="17">
        <f t="shared" si="12"/>
        <v>4.5714285714285712</v>
      </c>
      <c r="W20" s="17">
        <f t="shared" si="12"/>
        <v>0</v>
      </c>
      <c r="X20" s="17">
        <f t="shared" si="12"/>
        <v>0</v>
      </c>
      <c r="Y20" s="17">
        <f t="shared" si="12"/>
        <v>0.85714285714285698</v>
      </c>
      <c r="Z20" s="17">
        <f t="shared" si="12"/>
        <v>0.14285714285714285</v>
      </c>
      <c r="AA20" s="17">
        <f t="shared" si="12"/>
        <v>0</v>
      </c>
      <c r="AB20" s="17">
        <f t="shared" si="12"/>
        <v>0</v>
      </c>
      <c r="AC20" s="17">
        <f t="shared" si="12"/>
        <v>85.857142857142861</v>
      </c>
      <c r="AD20" s="17">
        <f t="shared" si="12"/>
        <v>0</v>
      </c>
      <c r="AE20" s="31">
        <f t="shared" si="12"/>
        <v>22.857142857142861</v>
      </c>
      <c r="AF20" s="31">
        <f t="shared" si="12"/>
        <v>108.71428571428572</v>
      </c>
    </row>
    <row r="21" spans="2:32" ht="23.1" customHeight="1" x14ac:dyDescent="0.25">
      <c r="B21" s="23" t="s">
        <v>48</v>
      </c>
      <c r="C21" s="49">
        <f>AVERAGE('23.09.19 -Munyonyo-Kigo'!C21,'24.09 Munyonyo-Kigo'!C21,'25.09 Munyonyo-Kigo'!C21,'27.09 Munyonyo-LWEZA'!C21,'26.09 Munyonyo-Kigo-24h'!C21,'28.09 Munyonyo-Kigo-24h'!C21,'29.09 Munyonyo-Kigo'!C21)</f>
        <v>0.8571428571428571</v>
      </c>
      <c r="D21" s="49">
        <f>AVERAGE('23.09.19 -Munyonyo-Kigo'!D21,'24.09 Munyonyo-Kigo'!D21,'25.09 Munyonyo-Kigo'!D21,'27.09 Munyonyo-LWEZA'!D21,'26.09 Munyonyo-Kigo-24h'!D21,'28.09 Munyonyo-Kigo-24h'!D21,'29.09 Munyonyo-Kigo'!D21)</f>
        <v>0.5714285714285714</v>
      </c>
      <c r="E21" s="49">
        <f>AVERAGE('23.09.19 -Munyonyo-Kigo'!E21,'24.09 Munyonyo-Kigo'!E21,'25.09 Munyonyo-Kigo'!E21,'27.09 Munyonyo-LWEZA'!E21,'26.09 Munyonyo-Kigo-24h'!E21,'28.09 Munyonyo-Kigo-24h'!E21,'29.09 Munyonyo-Kigo'!E21)</f>
        <v>0.14285714285714285</v>
      </c>
      <c r="F21" s="49">
        <f>AVERAGE('23.09.19 -Munyonyo-Kigo'!F21,'24.09 Munyonyo-Kigo'!F21,'25.09 Munyonyo-Kigo'!F21,'27.09 Munyonyo-LWEZA'!F21,'26.09 Munyonyo-Kigo-24h'!F21,'28.09 Munyonyo-Kigo-24h'!F21,'29.09 Munyonyo-Kigo'!F21)</f>
        <v>0</v>
      </c>
      <c r="G21" s="49">
        <f>AVERAGE('23.09.19 -Munyonyo-Kigo'!G21,'24.09 Munyonyo-Kigo'!G21,'25.09 Munyonyo-Kigo'!G21,'27.09 Munyonyo-LWEZA'!G21,'26.09 Munyonyo-Kigo-24h'!G21,'28.09 Munyonyo-Kigo-24h'!G21,'29.09 Munyonyo-Kigo'!G21)</f>
        <v>0</v>
      </c>
      <c r="H21" s="49">
        <f>AVERAGE('23.09.19 -Munyonyo-Kigo'!H21,'24.09 Munyonyo-Kigo'!H21,'25.09 Munyonyo-Kigo'!H21,'27.09 Munyonyo-LWEZA'!H21,'26.09 Munyonyo-Kigo-24h'!H21,'28.09 Munyonyo-Kigo-24h'!H21,'29.09 Munyonyo-Kigo'!H21)</f>
        <v>0</v>
      </c>
      <c r="I21" s="49">
        <f>AVERAGE('23.09.19 -Munyonyo-Kigo'!I21,'24.09 Munyonyo-Kigo'!I21,'25.09 Munyonyo-Kigo'!I21,'27.09 Munyonyo-LWEZA'!I21,'26.09 Munyonyo-Kigo-24h'!I21,'28.09 Munyonyo-Kigo-24h'!I21,'29.09 Munyonyo-Kigo'!I21)</f>
        <v>0.2857142857142857</v>
      </c>
      <c r="J21" s="49">
        <f>AVERAGE('23.09.19 -Munyonyo-Kigo'!J21,'24.09 Munyonyo-Kigo'!J21,'25.09 Munyonyo-Kigo'!J21,'27.09 Munyonyo-LWEZA'!J21,'26.09 Munyonyo-Kigo-24h'!J21,'28.09 Munyonyo-Kigo-24h'!J21,'29.09 Munyonyo-Kigo'!J21)</f>
        <v>0</v>
      </c>
      <c r="K21" s="49">
        <f>AVERAGE('23.09.19 -Munyonyo-Kigo'!K21,'24.09 Munyonyo-Kigo'!K21,'25.09 Munyonyo-Kigo'!K21,'27.09 Munyonyo-LWEZA'!K21,'26.09 Munyonyo-Kigo-24h'!K21,'28.09 Munyonyo-Kigo-24h'!K21,'29.09 Munyonyo-Kigo'!K21)</f>
        <v>0</v>
      </c>
      <c r="L21" s="49">
        <f>AVERAGE('23.09.19 -Munyonyo-Kigo'!L21,'24.09 Munyonyo-Kigo'!L21,'25.09 Munyonyo-Kigo'!L21,'27.09 Munyonyo-LWEZA'!L21,'26.09 Munyonyo-Kigo-24h'!L21,'28.09 Munyonyo-Kigo-24h'!L21,'29.09 Munyonyo-Kigo'!L21)</f>
        <v>0.14285714285714285</v>
      </c>
      <c r="M21" s="49">
        <f>AVERAGE('23.09.19 -Munyonyo-Kigo'!M21,'24.09 Munyonyo-Kigo'!M21,'25.09 Munyonyo-Kigo'!M21,'27.09 Munyonyo-LWEZA'!M21,'26.09 Munyonyo-Kigo-24h'!M21,'28.09 Munyonyo-Kigo-24h'!M21,'29.09 Munyonyo-Kigo'!M21)</f>
        <v>20.571428571428573</v>
      </c>
      <c r="N21" s="49">
        <f>AVERAGE('23.09.19 -Munyonyo-Kigo'!N21,'24.09 Munyonyo-Kigo'!N21,'25.09 Munyonyo-Kigo'!N21,'27.09 Munyonyo-LWEZA'!N21,'26.09 Munyonyo-Kigo-24h'!N21,'28.09 Munyonyo-Kigo-24h'!N21,'29.09 Munyonyo-Kigo'!N21)</f>
        <v>0</v>
      </c>
      <c r="O21" s="15">
        <f t="shared" si="0"/>
        <v>1.9999999999999996</v>
      </c>
      <c r="P21" s="15">
        <f t="shared" si="1"/>
        <v>22.571428571428573</v>
      </c>
      <c r="R21" s="36" t="s">
        <v>20</v>
      </c>
      <c r="S21" s="34">
        <f t="shared" ref="S21:AF21" si="13">SUM(C54:C57)</f>
        <v>10.857142857142858</v>
      </c>
      <c r="T21" s="17">
        <f t="shared" si="13"/>
        <v>2.2857142857142856</v>
      </c>
      <c r="U21" s="17">
        <f t="shared" si="13"/>
        <v>2.4285714285714284</v>
      </c>
      <c r="V21" s="17">
        <f t="shared" si="13"/>
        <v>2.2857142857142856</v>
      </c>
      <c r="W21" s="17">
        <f t="shared" si="13"/>
        <v>0</v>
      </c>
      <c r="X21" s="17">
        <f t="shared" si="13"/>
        <v>0</v>
      </c>
      <c r="Y21" s="17">
        <f t="shared" si="13"/>
        <v>2.4285714285714284</v>
      </c>
      <c r="Z21" s="17">
        <f t="shared" si="13"/>
        <v>0.14285714285714285</v>
      </c>
      <c r="AA21" s="17">
        <f t="shared" si="13"/>
        <v>0</v>
      </c>
      <c r="AB21" s="17">
        <f t="shared" si="13"/>
        <v>0</v>
      </c>
      <c r="AC21" s="17">
        <f t="shared" si="13"/>
        <v>98.285714285714278</v>
      </c>
      <c r="AD21" s="17">
        <f t="shared" si="13"/>
        <v>0</v>
      </c>
      <c r="AE21" s="31">
        <f t="shared" si="13"/>
        <v>20.428571428571431</v>
      </c>
      <c r="AF21" s="31">
        <f t="shared" si="13"/>
        <v>118.71428571428572</v>
      </c>
    </row>
    <row r="22" spans="2:32" ht="23.1" customHeight="1" x14ac:dyDescent="0.25">
      <c r="B22" s="23" t="s">
        <v>49</v>
      </c>
      <c r="C22" s="49">
        <f>AVERAGE('23.09.19 -Munyonyo-Kigo'!C22,'24.09 Munyonyo-Kigo'!C22,'25.09 Munyonyo-Kigo'!C22,'27.09 Munyonyo-LWEZA'!C22,'26.09 Munyonyo-Kigo-24h'!C22,'28.09 Munyonyo-Kigo-24h'!C22,'29.09 Munyonyo-Kigo'!C22)</f>
        <v>3</v>
      </c>
      <c r="D22" s="49">
        <f>AVERAGE('23.09.19 -Munyonyo-Kigo'!D22,'24.09 Munyonyo-Kigo'!D22,'25.09 Munyonyo-Kigo'!D22,'27.09 Munyonyo-LWEZA'!D22,'26.09 Munyonyo-Kigo-24h'!D22,'28.09 Munyonyo-Kigo-24h'!D22,'29.09 Munyonyo-Kigo'!D22)</f>
        <v>0.7142857142857143</v>
      </c>
      <c r="E22" s="49">
        <f>AVERAGE('23.09.19 -Munyonyo-Kigo'!E22,'24.09 Munyonyo-Kigo'!E22,'25.09 Munyonyo-Kigo'!E22,'27.09 Munyonyo-LWEZA'!E22,'26.09 Munyonyo-Kigo-24h'!E22,'28.09 Munyonyo-Kigo-24h'!E22,'29.09 Munyonyo-Kigo'!E22)</f>
        <v>0.2857142857142857</v>
      </c>
      <c r="F22" s="49">
        <f>AVERAGE('23.09.19 -Munyonyo-Kigo'!F22,'24.09 Munyonyo-Kigo'!F22,'25.09 Munyonyo-Kigo'!F22,'27.09 Munyonyo-LWEZA'!F22,'26.09 Munyonyo-Kigo-24h'!F22,'28.09 Munyonyo-Kigo-24h'!F22,'29.09 Munyonyo-Kigo'!F22)</f>
        <v>0</v>
      </c>
      <c r="G22" s="49">
        <f>AVERAGE('23.09.19 -Munyonyo-Kigo'!G22,'24.09 Munyonyo-Kigo'!G22,'25.09 Munyonyo-Kigo'!G22,'27.09 Munyonyo-LWEZA'!G22,'26.09 Munyonyo-Kigo-24h'!G22,'28.09 Munyonyo-Kigo-24h'!G22,'29.09 Munyonyo-Kigo'!G22)</f>
        <v>0</v>
      </c>
      <c r="H22" s="49">
        <f>AVERAGE('23.09.19 -Munyonyo-Kigo'!H22,'24.09 Munyonyo-Kigo'!H22,'25.09 Munyonyo-Kigo'!H22,'27.09 Munyonyo-LWEZA'!H22,'26.09 Munyonyo-Kigo-24h'!H22,'28.09 Munyonyo-Kigo-24h'!H22,'29.09 Munyonyo-Kigo'!H22)</f>
        <v>0</v>
      </c>
      <c r="I22" s="49">
        <f>AVERAGE('23.09.19 -Munyonyo-Kigo'!I22,'24.09 Munyonyo-Kigo'!I22,'25.09 Munyonyo-Kigo'!I22,'27.09 Munyonyo-LWEZA'!I22,'26.09 Munyonyo-Kigo-24h'!I22,'28.09 Munyonyo-Kigo-24h'!I22,'29.09 Munyonyo-Kigo'!I22)</f>
        <v>0.2857142857142857</v>
      </c>
      <c r="J22" s="49">
        <f>AVERAGE('23.09.19 -Munyonyo-Kigo'!J22,'24.09 Munyonyo-Kigo'!J22,'25.09 Munyonyo-Kigo'!J22,'27.09 Munyonyo-LWEZA'!J22,'26.09 Munyonyo-Kigo-24h'!J22,'28.09 Munyonyo-Kigo-24h'!J22,'29.09 Munyonyo-Kigo'!J22)</f>
        <v>0.14285714285714285</v>
      </c>
      <c r="K22" s="49">
        <f>AVERAGE('23.09.19 -Munyonyo-Kigo'!K22,'24.09 Munyonyo-Kigo'!K22,'25.09 Munyonyo-Kigo'!K22,'27.09 Munyonyo-LWEZA'!K22,'26.09 Munyonyo-Kigo-24h'!K22,'28.09 Munyonyo-Kigo-24h'!K22,'29.09 Munyonyo-Kigo'!K22)</f>
        <v>0</v>
      </c>
      <c r="L22" s="49">
        <f>AVERAGE('23.09.19 -Munyonyo-Kigo'!L22,'24.09 Munyonyo-Kigo'!L22,'25.09 Munyonyo-Kigo'!L22,'27.09 Munyonyo-LWEZA'!L22,'26.09 Munyonyo-Kigo-24h'!L22,'28.09 Munyonyo-Kigo-24h'!L22,'29.09 Munyonyo-Kigo'!L22)</f>
        <v>0</v>
      </c>
      <c r="M22" s="49">
        <f>AVERAGE('23.09.19 -Munyonyo-Kigo'!M22,'24.09 Munyonyo-Kigo'!M22,'25.09 Munyonyo-Kigo'!M22,'27.09 Munyonyo-LWEZA'!M22,'26.09 Munyonyo-Kigo-24h'!M22,'28.09 Munyonyo-Kigo-24h'!M22,'29.09 Munyonyo-Kigo'!M22)</f>
        <v>19.714285714285715</v>
      </c>
      <c r="N22" s="49">
        <f>AVERAGE('23.09.19 -Munyonyo-Kigo'!N22,'24.09 Munyonyo-Kigo'!N22,'25.09 Munyonyo-Kigo'!N22,'27.09 Munyonyo-LWEZA'!N22,'26.09 Munyonyo-Kigo-24h'!N22,'28.09 Munyonyo-Kigo-24h'!N22,'29.09 Munyonyo-Kigo'!N22)</f>
        <v>0</v>
      </c>
      <c r="O22" s="15">
        <f t="shared" si="0"/>
        <v>4.4285714285714288</v>
      </c>
      <c r="P22" s="15">
        <f t="shared" si="1"/>
        <v>24.142857142857146</v>
      </c>
      <c r="R22" s="1" t="s">
        <v>146</v>
      </c>
      <c r="S22" s="34">
        <f>SUM(C58:C61)</f>
        <v>11.5</v>
      </c>
      <c r="T22" s="34">
        <f t="shared" ref="T22:AF22" si="14">SUM(D58:D61)</f>
        <v>3.5</v>
      </c>
      <c r="U22" s="34">
        <f t="shared" si="14"/>
        <v>2.5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0.5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128.5</v>
      </c>
      <c r="AD22" s="34">
        <f t="shared" si="14"/>
        <v>0</v>
      </c>
      <c r="AE22" s="31">
        <f t="shared" si="14"/>
        <v>19</v>
      </c>
      <c r="AF22" s="31">
        <f t="shared" si="14"/>
        <v>147.5</v>
      </c>
    </row>
    <row r="23" spans="2:32" ht="23.1" customHeight="1" x14ac:dyDescent="0.25">
      <c r="B23" s="23" t="s">
        <v>50</v>
      </c>
      <c r="C23" s="49">
        <f>AVERAGE('23.09.19 -Munyonyo-Kigo'!C23,'24.09 Munyonyo-Kigo'!C23,'25.09 Munyonyo-Kigo'!C23,'27.09 Munyonyo-LWEZA'!C23,'26.09 Munyonyo-Kigo-24h'!C23,'28.09 Munyonyo-Kigo-24h'!C23,'29.09 Munyonyo-Kigo'!C23)</f>
        <v>0.8571428571428571</v>
      </c>
      <c r="D23" s="49">
        <f>AVERAGE('23.09.19 -Munyonyo-Kigo'!D23,'24.09 Munyonyo-Kigo'!D23,'25.09 Munyonyo-Kigo'!D23,'27.09 Munyonyo-LWEZA'!D23,'26.09 Munyonyo-Kigo-24h'!D23,'28.09 Munyonyo-Kigo-24h'!D23,'29.09 Munyonyo-Kigo'!D23)</f>
        <v>0</v>
      </c>
      <c r="E23" s="49">
        <f>AVERAGE('23.09.19 -Munyonyo-Kigo'!E23,'24.09 Munyonyo-Kigo'!E23,'25.09 Munyonyo-Kigo'!E23,'27.09 Munyonyo-LWEZA'!E23,'26.09 Munyonyo-Kigo-24h'!E23,'28.09 Munyonyo-Kigo-24h'!E23,'29.09 Munyonyo-Kigo'!E23)</f>
        <v>0.2857142857142857</v>
      </c>
      <c r="F23" s="49">
        <f>AVERAGE('23.09.19 -Munyonyo-Kigo'!F23,'24.09 Munyonyo-Kigo'!F23,'25.09 Munyonyo-Kigo'!F23,'27.09 Munyonyo-LWEZA'!F23,'26.09 Munyonyo-Kigo-24h'!F23,'28.09 Munyonyo-Kigo-24h'!F23,'29.09 Munyonyo-Kigo'!F23)</f>
        <v>0</v>
      </c>
      <c r="G23" s="49">
        <f>AVERAGE('23.09.19 -Munyonyo-Kigo'!G23,'24.09 Munyonyo-Kigo'!G23,'25.09 Munyonyo-Kigo'!G23,'27.09 Munyonyo-LWEZA'!G23,'26.09 Munyonyo-Kigo-24h'!G23,'28.09 Munyonyo-Kigo-24h'!G23,'29.09 Munyonyo-Kigo'!G23)</f>
        <v>0</v>
      </c>
      <c r="H23" s="49">
        <f>AVERAGE('23.09.19 -Munyonyo-Kigo'!H23,'24.09 Munyonyo-Kigo'!H23,'25.09 Munyonyo-Kigo'!H23,'27.09 Munyonyo-LWEZA'!H23,'26.09 Munyonyo-Kigo-24h'!H23,'28.09 Munyonyo-Kigo-24h'!H23,'29.09 Munyonyo-Kigo'!H23)</f>
        <v>0</v>
      </c>
      <c r="I23" s="49">
        <f>AVERAGE('23.09.19 -Munyonyo-Kigo'!I23,'24.09 Munyonyo-Kigo'!I23,'25.09 Munyonyo-Kigo'!I23,'27.09 Munyonyo-LWEZA'!I23,'26.09 Munyonyo-Kigo-24h'!I23,'28.09 Munyonyo-Kigo-24h'!I23,'29.09 Munyonyo-Kigo'!I23)</f>
        <v>0.2857142857142857</v>
      </c>
      <c r="J23" s="49">
        <f>AVERAGE('23.09.19 -Munyonyo-Kigo'!J23,'24.09 Munyonyo-Kigo'!J23,'25.09 Munyonyo-Kigo'!J23,'27.09 Munyonyo-LWEZA'!J23,'26.09 Munyonyo-Kigo-24h'!J23,'28.09 Munyonyo-Kigo-24h'!J23,'29.09 Munyonyo-Kigo'!J23)</f>
        <v>0</v>
      </c>
      <c r="K23" s="49">
        <f>AVERAGE('23.09.19 -Munyonyo-Kigo'!K23,'24.09 Munyonyo-Kigo'!K23,'25.09 Munyonyo-Kigo'!K23,'27.09 Munyonyo-LWEZA'!K23,'26.09 Munyonyo-Kigo-24h'!K23,'28.09 Munyonyo-Kigo-24h'!K23,'29.09 Munyonyo-Kigo'!K23)</f>
        <v>0</v>
      </c>
      <c r="L23" s="49">
        <f>AVERAGE('23.09.19 -Munyonyo-Kigo'!L23,'24.09 Munyonyo-Kigo'!L23,'25.09 Munyonyo-Kigo'!L23,'27.09 Munyonyo-LWEZA'!L23,'26.09 Munyonyo-Kigo-24h'!L23,'28.09 Munyonyo-Kigo-24h'!L23,'29.09 Munyonyo-Kigo'!L23)</f>
        <v>0.14285714285714285</v>
      </c>
      <c r="M23" s="49">
        <f>AVERAGE('23.09.19 -Munyonyo-Kigo'!M23,'24.09 Munyonyo-Kigo'!M23,'25.09 Munyonyo-Kigo'!M23,'27.09 Munyonyo-LWEZA'!M23,'26.09 Munyonyo-Kigo-24h'!M23,'28.09 Munyonyo-Kigo-24h'!M23,'29.09 Munyonyo-Kigo'!M23)</f>
        <v>17.714285714285715</v>
      </c>
      <c r="N23" s="49">
        <f>AVERAGE('23.09.19 -Munyonyo-Kigo'!N23,'24.09 Munyonyo-Kigo'!N23,'25.09 Munyonyo-Kigo'!N23,'27.09 Munyonyo-LWEZA'!N23,'26.09 Munyonyo-Kigo-24h'!N23,'28.09 Munyonyo-Kigo-24h'!N23,'29.09 Munyonyo-Kigo'!N23)</f>
        <v>0</v>
      </c>
      <c r="O23" s="15">
        <f t="shared" si="0"/>
        <v>1.5714285714285712</v>
      </c>
      <c r="P23" s="15">
        <f t="shared" si="1"/>
        <v>19.285714285714285</v>
      </c>
      <c r="R23" s="1" t="s">
        <v>147</v>
      </c>
      <c r="S23" s="34">
        <f>SUM(C62:C65)</f>
        <v>18</v>
      </c>
      <c r="T23" s="34">
        <f t="shared" ref="T23:AF23" si="15">SUM(D62:D65)</f>
        <v>2.5</v>
      </c>
      <c r="U23" s="34">
        <f t="shared" si="15"/>
        <v>3.5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1.5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119.5</v>
      </c>
      <c r="AD23" s="34">
        <f t="shared" si="15"/>
        <v>0</v>
      </c>
      <c r="AE23" s="31">
        <f t="shared" si="15"/>
        <v>28.5</v>
      </c>
      <c r="AF23" s="31">
        <f t="shared" si="15"/>
        <v>148</v>
      </c>
    </row>
    <row r="24" spans="2:32" ht="23.1" customHeight="1" x14ac:dyDescent="0.25">
      <c r="B24" s="23" t="s">
        <v>51</v>
      </c>
      <c r="C24" s="49">
        <f>AVERAGE('23.09.19 -Munyonyo-Kigo'!C24,'24.09 Munyonyo-Kigo'!C24,'25.09 Munyonyo-Kigo'!C24,'27.09 Munyonyo-LWEZA'!C24,'26.09 Munyonyo-Kigo-24h'!C24,'28.09 Munyonyo-Kigo-24h'!C24,'29.09 Munyonyo-Kigo'!C24)</f>
        <v>1.4285714285714286</v>
      </c>
      <c r="D24" s="49">
        <f>AVERAGE('23.09.19 -Munyonyo-Kigo'!D24,'24.09 Munyonyo-Kigo'!D24,'25.09 Munyonyo-Kigo'!D24,'27.09 Munyonyo-LWEZA'!D24,'26.09 Munyonyo-Kigo-24h'!D24,'28.09 Munyonyo-Kigo-24h'!D24,'29.09 Munyonyo-Kigo'!D24)</f>
        <v>0.42857142857142855</v>
      </c>
      <c r="E24" s="49">
        <f>AVERAGE('23.09.19 -Munyonyo-Kigo'!E24,'24.09 Munyonyo-Kigo'!E24,'25.09 Munyonyo-Kigo'!E24,'27.09 Munyonyo-LWEZA'!E24,'26.09 Munyonyo-Kigo-24h'!E24,'28.09 Munyonyo-Kigo-24h'!E24,'29.09 Munyonyo-Kigo'!E24)</f>
        <v>0.14285714285714285</v>
      </c>
      <c r="F24" s="49">
        <f>AVERAGE('23.09.19 -Munyonyo-Kigo'!F24,'24.09 Munyonyo-Kigo'!F24,'25.09 Munyonyo-Kigo'!F24,'27.09 Munyonyo-LWEZA'!F24,'26.09 Munyonyo-Kigo-24h'!F24,'28.09 Munyonyo-Kigo-24h'!F24,'29.09 Munyonyo-Kigo'!F24)</f>
        <v>0.14285714285714285</v>
      </c>
      <c r="G24" s="49">
        <f>AVERAGE('23.09.19 -Munyonyo-Kigo'!G24,'24.09 Munyonyo-Kigo'!G24,'25.09 Munyonyo-Kigo'!G24,'27.09 Munyonyo-LWEZA'!G24,'26.09 Munyonyo-Kigo-24h'!G24,'28.09 Munyonyo-Kigo-24h'!G24,'29.09 Munyonyo-Kigo'!G24)</f>
        <v>0</v>
      </c>
      <c r="H24" s="49">
        <f>AVERAGE('23.09.19 -Munyonyo-Kigo'!H24,'24.09 Munyonyo-Kigo'!H24,'25.09 Munyonyo-Kigo'!H24,'27.09 Munyonyo-LWEZA'!H24,'26.09 Munyonyo-Kigo-24h'!H24,'28.09 Munyonyo-Kigo-24h'!H24,'29.09 Munyonyo-Kigo'!H24)</f>
        <v>0</v>
      </c>
      <c r="I24" s="49">
        <f>AVERAGE('23.09.19 -Munyonyo-Kigo'!I24,'24.09 Munyonyo-Kigo'!I24,'25.09 Munyonyo-Kigo'!I24,'27.09 Munyonyo-LWEZA'!I24,'26.09 Munyonyo-Kigo-24h'!I24,'28.09 Munyonyo-Kigo-24h'!I24,'29.09 Munyonyo-Kigo'!I24)</f>
        <v>0.14285714285714285</v>
      </c>
      <c r="J24" s="49">
        <f>AVERAGE('23.09.19 -Munyonyo-Kigo'!J24,'24.09 Munyonyo-Kigo'!J24,'25.09 Munyonyo-Kigo'!J24,'27.09 Munyonyo-LWEZA'!J24,'26.09 Munyonyo-Kigo-24h'!J24,'28.09 Munyonyo-Kigo-24h'!J24,'29.09 Munyonyo-Kigo'!J24)</f>
        <v>0</v>
      </c>
      <c r="K24" s="49">
        <f>AVERAGE('23.09.19 -Munyonyo-Kigo'!K24,'24.09 Munyonyo-Kigo'!K24,'25.09 Munyonyo-Kigo'!K24,'27.09 Munyonyo-LWEZA'!K24,'26.09 Munyonyo-Kigo-24h'!K24,'28.09 Munyonyo-Kigo-24h'!K24,'29.09 Munyonyo-Kigo'!K24)</f>
        <v>0</v>
      </c>
      <c r="L24" s="49">
        <f>AVERAGE('23.09.19 -Munyonyo-Kigo'!L24,'24.09 Munyonyo-Kigo'!L24,'25.09 Munyonyo-Kigo'!L24,'27.09 Munyonyo-LWEZA'!L24,'26.09 Munyonyo-Kigo-24h'!L24,'28.09 Munyonyo-Kigo-24h'!L24,'29.09 Munyonyo-Kigo'!L24)</f>
        <v>0</v>
      </c>
      <c r="M24" s="49">
        <f>AVERAGE('23.09.19 -Munyonyo-Kigo'!M24,'24.09 Munyonyo-Kigo'!M24,'25.09 Munyonyo-Kigo'!M24,'27.09 Munyonyo-LWEZA'!M24,'26.09 Munyonyo-Kigo-24h'!M24,'28.09 Munyonyo-Kigo-24h'!M24,'29.09 Munyonyo-Kigo'!M24)</f>
        <v>22.571428571428573</v>
      </c>
      <c r="N24" s="49">
        <f>AVERAGE('23.09.19 -Munyonyo-Kigo'!N24,'24.09 Munyonyo-Kigo'!N24,'25.09 Munyonyo-Kigo'!N24,'27.09 Munyonyo-LWEZA'!N24,'26.09 Munyonyo-Kigo-24h'!N24,'28.09 Munyonyo-Kigo-24h'!N24,'29.09 Munyonyo-Kigo'!N24)</f>
        <v>0.14285714285714285</v>
      </c>
      <c r="O24" s="15">
        <f t="shared" si="0"/>
        <v>2.4285714285714284</v>
      </c>
      <c r="P24" s="15">
        <f t="shared" si="1"/>
        <v>25</v>
      </c>
      <c r="R24" s="1" t="s">
        <v>148</v>
      </c>
      <c r="S24" s="34">
        <f>SUM(C66:C69)</f>
        <v>11.5</v>
      </c>
      <c r="T24" s="34">
        <f t="shared" ref="T24:AF24" si="16">SUM(D66:D69)</f>
        <v>4.5</v>
      </c>
      <c r="U24" s="34">
        <f t="shared" si="16"/>
        <v>3.5</v>
      </c>
      <c r="V24" s="34">
        <f t="shared" si="16"/>
        <v>2</v>
      </c>
      <c r="W24" s="34">
        <f t="shared" si="16"/>
        <v>0</v>
      </c>
      <c r="X24" s="34">
        <f t="shared" si="16"/>
        <v>0.5</v>
      </c>
      <c r="Y24" s="34">
        <f t="shared" si="16"/>
        <v>1</v>
      </c>
      <c r="Z24" s="34">
        <f t="shared" si="16"/>
        <v>0.5</v>
      </c>
      <c r="AA24" s="34">
        <f t="shared" si="16"/>
        <v>0</v>
      </c>
      <c r="AB24" s="34">
        <f t="shared" si="16"/>
        <v>0</v>
      </c>
      <c r="AC24" s="34">
        <f t="shared" si="16"/>
        <v>103</v>
      </c>
      <c r="AD24" s="34">
        <f t="shared" si="16"/>
        <v>0</v>
      </c>
      <c r="AE24" s="31">
        <f t="shared" si="16"/>
        <v>23.5</v>
      </c>
      <c r="AF24" s="31">
        <f t="shared" si="16"/>
        <v>126.5</v>
      </c>
    </row>
    <row r="25" spans="2:32" ht="23.1" customHeight="1" x14ac:dyDescent="0.25">
      <c r="B25" s="23" t="s">
        <v>52</v>
      </c>
      <c r="C25" s="49">
        <f>AVERAGE('23.09.19 -Munyonyo-Kigo'!C25,'24.09 Munyonyo-Kigo'!C25,'25.09 Munyonyo-Kigo'!C25,'27.09 Munyonyo-LWEZA'!C25,'26.09 Munyonyo-Kigo-24h'!C25,'28.09 Munyonyo-Kigo-24h'!C25,'29.09 Munyonyo-Kigo'!C25)</f>
        <v>2.4285714285714284</v>
      </c>
      <c r="D25" s="49">
        <f>AVERAGE('23.09.19 -Munyonyo-Kigo'!D25,'24.09 Munyonyo-Kigo'!D25,'25.09 Munyonyo-Kigo'!D25,'27.09 Munyonyo-LWEZA'!D25,'26.09 Munyonyo-Kigo-24h'!D25,'28.09 Munyonyo-Kigo-24h'!D25,'29.09 Munyonyo-Kigo'!D25)</f>
        <v>0</v>
      </c>
      <c r="E25" s="49">
        <f>AVERAGE('23.09.19 -Munyonyo-Kigo'!E25,'24.09 Munyonyo-Kigo'!E25,'25.09 Munyonyo-Kigo'!E25,'27.09 Munyonyo-LWEZA'!E25,'26.09 Munyonyo-Kigo-24h'!E25,'28.09 Munyonyo-Kigo-24h'!E25,'29.09 Munyonyo-Kigo'!E25)</f>
        <v>0.14285714285714285</v>
      </c>
      <c r="F25" s="49">
        <f>AVERAGE('23.09.19 -Munyonyo-Kigo'!F25,'24.09 Munyonyo-Kigo'!F25,'25.09 Munyonyo-Kigo'!F25,'27.09 Munyonyo-LWEZA'!F25,'26.09 Munyonyo-Kigo-24h'!F25,'28.09 Munyonyo-Kigo-24h'!F25,'29.09 Munyonyo-Kigo'!F25)</f>
        <v>0.14285714285714285</v>
      </c>
      <c r="G25" s="49">
        <f>AVERAGE('23.09.19 -Munyonyo-Kigo'!G25,'24.09 Munyonyo-Kigo'!G25,'25.09 Munyonyo-Kigo'!G25,'27.09 Munyonyo-LWEZA'!G25,'26.09 Munyonyo-Kigo-24h'!G25,'28.09 Munyonyo-Kigo-24h'!G25,'29.09 Munyonyo-Kigo'!G25)</f>
        <v>0</v>
      </c>
      <c r="H25" s="49">
        <f>AVERAGE('23.09.19 -Munyonyo-Kigo'!H25,'24.09 Munyonyo-Kigo'!H25,'25.09 Munyonyo-Kigo'!H25,'27.09 Munyonyo-LWEZA'!H25,'26.09 Munyonyo-Kigo-24h'!H25,'28.09 Munyonyo-Kigo-24h'!H25,'29.09 Munyonyo-Kigo'!H25)</f>
        <v>0</v>
      </c>
      <c r="I25" s="49">
        <f>AVERAGE('23.09.19 -Munyonyo-Kigo'!I25,'24.09 Munyonyo-Kigo'!I25,'25.09 Munyonyo-Kigo'!I25,'27.09 Munyonyo-LWEZA'!I25,'26.09 Munyonyo-Kigo-24h'!I25,'28.09 Munyonyo-Kigo-24h'!I25,'29.09 Munyonyo-Kigo'!I25)</f>
        <v>0.14285714285714285</v>
      </c>
      <c r="J25" s="49">
        <f>AVERAGE('23.09.19 -Munyonyo-Kigo'!J25,'24.09 Munyonyo-Kigo'!J25,'25.09 Munyonyo-Kigo'!J25,'27.09 Munyonyo-LWEZA'!J25,'26.09 Munyonyo-Kigo-24h'!J25,'28.09 Munyonyo-Kigo-24h'!J25,'29.09 Munyonyo-Kigo'!J25)</f>
        <v>0</v>
      </c>
      <c r="K25" s="49">
        <f>AVERAGE('23.09.19 -Munyonyo-Kigo'!K25,'24.09 Munyonyo-Kigo'!K25,'25.09 Munyonyo-Kigo'!K25,'27.09 Munyonyo-LWEZA'!K25,'26.09 Munyonyo-Kigo-24h'!K25,'28.09 Munyonyo-Kigo-24h'!K25,'29.09 Munyonyo-Kigo'!K25)</f>
        <v>0.14285714285714285</v>
      </c>
      <c r="L25" s="49">
        <f>AVERAGE('23.09.19 -Munyonyo-Kigo'!L25,'24.09 Munyonyo-Kigo'!L25,'25.09 Munyonyo-Kigo'!L25,'27.09 Munyonyo-LWEZA'!L25,'26.09 Munyonyo-Kigo-24h'!L25,'28.09 Munyonyo-Kigo-24h'!L25,'29.09 Munyonyo-Kigo'!L25)</f>
        <v>0</v>
      </c>
      <c r="M25" s="49">
        <f>AVERAGE('23.09.19 -Munyonyo-Kigo'!M25,'24.09 Munyonyo-Kigo'!M25,'25.09 Munyonyo-Kigo'!M25,'27.09 Munyonyo-LWEZA'!M25,'26.09 Munyonyo-Kigo-24h'!M25,'28.09 Munyonyo-Kigo-24h'!M25,'29.09 Munyonyo-Kigo'!M25)</f>
        <v>21.714285714285715</v>
      </c>
      <c r="N25" s="49">
        <f>AVERAGE('23.09.19 -Munyonyo-Kigo'!N25,'24.09 Munyonyo-Kigo'!N25,'25.09 Munyonyo-Kigo'!N25,'27.09 Munyonyo-LWEZA'!N25,'26.09 Munyonyo-Kigo-24h'!N25,'28.09 Munyonyo-Kigo-24h'!N25,'29.09 Munyonyo-Kigo'!N25)</f>
        <v>0</v>
      </c>
      <c r="O25" s="15">
        <f t="shared" si="0"/>
        <v>2.9999999999999996</v>
      </c>
      <c r="P25" s="15">
        <f t="shared" si="1"/>
        <v>24.714285714285715</v>
      </c>
      <c r="R25" s="1" t="s">
        <v>149</v>
      </c>
      <c r="S25" s="34">
        <f>SUM(C70:C73)</f>
        <v>19.5</v>
      </c>
      <c r="T25" s="34">
        <f t="shared" ref="T25:AF25" si="17">SUM(D70:D73)</f>
        <v>2</v>
      </c>
      <c r="U25" s="34">
        <f t="shared" si="17"/>
        <v>1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0.5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98</v>
      </c>
      <c r="AD25" s="34">
        <f t="shared" si="17"/>
        <v>0</v>
      </c>
      <c r="AE25" s="31">
        <f t="shared" si="17"/>
        <v>25</v>
      </c>
      <c r="AF25" s="31">
        <f t="shared" si="17"/>
        <v>123</v>
      </c>
    </row>
    <row r="26" spans="2:32" ht="23.1" customHeight="1" x14ac:dyDescent="0.25">
      <c r="B26" s="23" t="s">
        <v>53</v>
      </c>
      <c r="C26" s="49">
        <f>AVERAGE('23.09.19 -Munyonyo-Kigo'!C26,'24.09 Munyonyo-Kigo'!C26,'25.09 Munyonyo-Kigo'!C26,'27.09 Munyonyo-LWEZA'!C26,'26.09 Munyonyo-Kigo-24h'!C26,'28.09 Munyonyo-Kigo-24h'!C26,'29.09 Munyonyo-Kigo'!C26)</f>
        <v>2.2857142857142856</v>
      </c>
      <c r="D26" s="49">
        <f>AVERAGE('23.09.19 -Munyonyo-Kigo'!D26,'24.09 Munyonyo-Kigo'!D26,'25.09 Munyonyo-Kigo'!D26,'27.09 Munyonyo-LWEZA'!D26,'26.09 Munyonyo-Kigo-24h'!D26,'28.09 Munyonyo-Kigo-24h'!D26,'29.09 Munyonyo-Kigo'!D26)</f>
        <v>0.14285714285714285</v>
      </c>
      <c r="E26" s="49">
        <f>AVERAGE('23.09.19 -Munyonyo-Kigo'!E26,'24.09 Munyonyo-Kigo'!E26,'25.09 Munyonyo-Kigo'!E26,'27.09 Munyonyo-LWEZA'!E26,'26.09 Munyonyo-Kigo-24h'!E26,'28.09 Munyonyo-Kigo-24h'!E26,'29.09 Munyonyo-Kigo'!E26)</f>
        <v>0.14285714285714285</v>
      </c>
      <c r="F26" s="49">
        <f>AVERAGE('23.09.19 -Munyonyo-Kigo'!F26,'24.09 Munyonyo-Kigo'!F26,'25.09 Munyonyo-Kigo'!F26,'27.09 Munyonyo-LWEZA'!F26,'26.09 Munyonyo-Kigo-24h'!F26,'28.09 Munyonyo-Kigo-24h'!F26,'29.09 Munyonyo-Kigo'!F26)</f>
        <v>0.14285714285714285</v>
      </c>
      <c r="G26" s="49">
        <f>AVERAGE('23.09.19 -Munyonyo-Kigo'!G26,'24.09 Munyonyo-Kigo'!G26,'25.09 Munyonyo-Kigo'!G26,'27.09 Munyonyo-LWEZA'!G26,'26.09 Munyonyo-Kigo-24h'!G26,'28.09 Munyonyo-Kigo-24h'!G26,'29.09 Munyonyo-Kigo'!G26)</f>
        <v>0</v>
      </c>
      <c r="H26" s="49">
        <f>AVERAGE('23.09.19 -Munyonyo-Kigo'!H26,'24.09 Munyonyo-Kigo'!H26,'25.09 Munyonyo-Kigo'!H26,'27.09 Munyonyo-LWEZA'!H26,'26.09 Munyonyo-Kigo-24h'!H26,'28.09 Munyonyo-Kigo-24h'!H26,'29.09 Munyonyo-Kigo'!H26)</f>
        <v>0</v>
      </c>
      <c r="I26" s="49">
        <f>AVERAGE('23.09.19 -Munyonyo-Kigo'!I26,'24.09 Munyonyo-Kigo'!I26,'25.09 Munyonyo-Kigo'!I26,'27.09 Munyonyo-LWEZA'!I26,'26.09 Munyonyo-Kigo-24h'!I26,'28.09 Munyonyo-Kigo-24h'!I26,'29.09 Munyonyo-Kigo'!I26)</f>
        <v>0.8571428571428571</v>
      </c>
      <c r="J26" s="49">
        <f>AVERAGE('23.09.19 -Munyonyo-Kigo'!J26,'24.09 Munyonyo-Kigo'!J26,'25.09 Munyonyo-Kigo'!J26,'27.09 Munyonyo-LWEZA'!J26,'26.09 Munyonyo-Kigo-24h'!J26,'28.09 Munyonyo-Kigo-24h'!J26,'29.09 Munyonyo-Kigo'!J26)</f>
        <v>0.14285714285714285</v>
      </c>
      <c r="K26" s="49">
        <f>AVERAGE('23.09.19 -Munyonyo-Kigo'!K26,'24.09 Munyonyo-Kigo'!K26,'25.09 Munyonyo-Kigo'!K26,'27.09 Munyonyo-LWEZA'!K26,'26.09 Munyonyo-Kigo-24h'!K26,'28.09 Munyonyo-Kigo-24h'!K26,'29.09 Munyonyo-Kigo'!K26)</f>
        <v>0</v>
      </c>
      <c r="L26" s="49">
        <f>AVERAGE('23.09.19 -Munyonyo-Kigo'!L26,'24.09 Munyonyo-Kigo'!L26,'25.09 Munyonyo-Kigo'!L26,'27.09 Munyonyo-LWEZA'!L26,'26.09 Munyonyo-Kigo-24h'!L26,'28.09 Munyonyo-Kigo-24h'!L26,'29.09 Munyonyo-Kigo'!L26)</f>
        <v>0</v>
      </c>
      <c r="M26" s="49">
        <f>AVERAGE('23.09.19 -Munyonyo-Kigo'!M26,'24.09 Munyonyo-Kigo'!M26,'25.09 Munyonyo-Kigo'!M26,'27.09 Munyonyo-LWEZA'!M26,'26.09 Munyonyo-Kigo-24h'!M26,'28.09 Munyonyo-Kigo-24h'!M26,'29.09 Munyonyo-Kigo'!M26)</f>
        <v>21.142857142857142</v>
      </c>
      <c r="N26" s="49">
        <f>AVERAGE('23.09.19 -Munyonyo-Kigo'!N26,'24.09 Munyonyo-Kigo'!N26,'25.09 Munyonyo-Kigo'!N26,'27.09 Munyonyo-LWEZA'!N26,'26.09 Munyonyo-Kigo-24h'!N26,'28.09 Munyonyo-Kigo-24h'!N26,'29.09 Munyonyo-Kigo'!N26)</f>
        <v>0</v>
      </c>
      <c r="O26" s="15">
        <f t="shared" si="0"/>
        <v>3.714285714285714</v>
      </c>
      <c r="P26" s="15">
        <f t="shared" si="1"/>
        <v>24.857142857142858</v>
      </c>
      <c r="R26" s="1" t="s">
        <v>150</v>
      </c>
      <c r="S26" s="34">
        <f>SUM(C74:C77)</f>
        <v>10.5</v>
      </c>
      <c r="T26" s="34">
        <f t="shared" ref="T26:AF26" si="18">SUM(D74:D77)</f>
        <v>2</v>
      </c>
      <c r="U26" s="34">
        <f t="shared" si="18"/>
        <v>1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64.5</v>
      </c>
      <c r="AD26" s="34">
        <f t="shared" si="18"/>
        <v>0</v>
      </c>
      <c r="AE26" s="31">
        <f t="shared" si="18"/>
        <v>14.5</v>
      </c>
      <c r="AF26" s="31">
        <f t="shared" si="18"/>
        <v>79</v>
      </c>
    </row>
    <row r="27" spans="2:32" ht="23.1" customHeight="1" x14ac:dyDescent="0.25">
      <c r="B27" s="23" t="s">
        <v>54</v>
      </c>
      <c r="C27" s="49">
        <f>AVERAGE('23.09.19 -Munyonyo-Kigo'!C27,'24.09 Munyonyo-Kigo'!C27,'25.09 Munyonyo-Kigo'!C27,'27.09 Munyonyo-LWEZA'!C27,'26.09 Munyonyo-Kigo-24h'!C27,'28.09 Munyonyo-Kigo-24h'!C27,'29.09 Munyonyo-Kigo'!C27)</f>
        <v>0.7142857142857143</v>
      </c>
      <c r="D27" s="49">
        <f>AVERAGE('23.09.19 -Munyonyo-Kigo'!D27,'24.09 Munyonyo-Kigo'!D27,'25.09 Munyonyo-Kigo'!D27,'27.09 Munyonyo-LWEZA'!D27,'26.09 Munyonyo-Kigo-24h'!D27,'28.09 Munyonyo-Kigo-24h'!D27,'29.09 Munyonyo-Kigo'!D27)</f>
        <v>0</v>
      </c>
      <c r="E27" s="49">
        <f>AVERAGE('23.09.19 -Munyonyo-Kigo'!E27,'24.09 Munyonyo-Kigo'!E27,'25.09 Munyonyo-Kigo'!E27,'27.09 Munyonyo-LWEZA'!E27,'26.09 Munyonyo-Kigo-24h'!E27,'28.09 Munyonyo-Kigo-24h'!E27,'29.09 Munyonyo-Kigo'!E27)</f>
        <v>0.2857142857142857</v>
      </c>
      <c r="F27" s="49">
        <f>AVERAGE('23.09.19 -Munyonyo-Kigo'!F27,'24.09 Munyonyo-Kigo'!F27,'25.09 Munyonyo-Kigo'!F27,'27.09 Munyonyo-LWEZA'!F27,'26.09 Munyonyo-Kigo-24h'!F27,'28.09 Munyonyo-Kigo-24h'!F27,'29.09 Munyonyo-Kigo'!F27)</f>
        <v>0.14285714285714285</v>
      </c>
      <c r="G27" s="49">
        <f>AVERAGE('23.09.19 -Munyonyo-Kigo'!G27,'24.09 Munyonyo-Kigo'!G27,'25.09 Munyonyo-Kigo'!G27,'27.09 Munyonyo-LWEZA'!G27,'26.09 Munyonyo-Kigo-24h'!G27,'28.09 Munyonyo-Kigo-24h'!G27,'29.09 Munyonyo-Kigo'!G27)</f>
        <v>0</v>
      </c>
      <c r="H27" s="49">
        <f>AVERAGE('23.09.19 -Munyonyo-Kigo'!H27,'24.09 Munyonyo-Kigo'!H27,'25.09 Munyonyo-Kigo'!H27,'27.09 Munyonyo-LWEZA'!H27,'26.09 Munyonyo-Kigo-24h'!H27,'28.09 Munyonyo-Kigo-24h'!H27,'29.09 Munyonyo-Kigo'!H27)</f>
        <v>0.14285714285714285</v>
      </c>
      <c r="I27" s="49">
        <f>AVERAGE('23.09.19 -Munyonyo-Kigo'!I27,'24.09 Munyonyo-Kigo'!I27,'25.09 Munyonyo-Kigo'!I27,'27.09 Munyonyo-LWEZA'!I27,'26.09 Munyonyo-Kigo-24h'!I27,'28.09 Munyonyo-Kigo-24h'!I27,'29.09 Munyonyo-Kigo'!I27)</f>
        <v>0</v>
      </c>
      <c r="J27" s="49">
        <f>AVERAGE('23.09.19 -Munyonyo-Kigo'!J27,'24.09 Munyonyo-Kigo'!J27,'25.09 Munyonyo-Kigo'!J27,'27.09 Munyonyo-LWEZA'!J27,'26.09 Munyonyo-Kigo-24h'!J27,'28.09 Munyonyo-Kigo-24h'!J27,'29.09 Munyonyo-Kigo'!J27)</f>
        <v>0.2857142857142857</v>
      </c>
      <c r="K27" s="49">
        <f>AVERAGE('23.09.19 -Munyonyo-Kigo'!K27,'24.09 Munyonyo-Kigo'!K27,'25.09 Munyonyo-Kigo'!K27,'27.09 Munyonyo-LWEZA'!K27,'26.09 Munyonyo-Kigo-24h'!K27,'28.09 Munyonyo-Kigo-24h'!K27,'29.09 Munyonyo-Kigo'!K27)</f>
        <v>0</v>
      </c>
      <c r="L27" s="49">
        <f>AVERAGE('23.09.19 -Munyonyo-Kigo'!L27,'24.09 Munyonyo-Kigo'!L27,'25.09 Munyonyo-Kigo'!L27,'27.09 Munyonyo-LWEZA'!L27,'26.09 Munyonyo-Kigo-24h'!L27,'28.09 Munyonyo-Kigo-24h'!L27,'29.09 Munyonyo-Kigo'!L27)</f>
        <v>0</v>
      </c>
      <c r="M27" s="49">
        <f>AVERAGE('23.09.19 -Munyonyo-Kigo'!M27,'24.09 Munyonyo-Kigo'!M27,'25.09 Munyonyo-Kigo'!M27,'27.09 Munyonyo-LWEZA'!M27,'26.09 Munyonyo-Kigo-24h'!M27,'28.09 Munyonyo-Kigo-24h'!M27,'29.09 Munyonyo-Kigo'!M27)</f>
        <v>19.714285714285715</v>
      </c>
      <c r="N27" s="49">
        <f>AVERAGE('23.09.19 -Munyonyo-Kigo'!N27,'24.09 Munyonyo-Kigo'!N27,'25.09 Munyonyo-Kigo'!N27,'27.09 Munyonyo-LWEZA'!N27,'26.09 Munyonyo-Kigo-24h'!N27,'28.09 Munyonyo-Kigo-24h'!N27,'29.09 Munyonyo-Kigo'!N27)</f>
        <v>0</v>
      </c>
      <c r="O27" s="15">
        <f t="shared" si="0"/>
        <v>1.5714285714285712</v>
      </c>
      <c r="P27" s="15">
        <f t="shared" si="1"/>
        <v>21.285714285714285</v>
      </c>
      <c r="R27" s="1" t="s">
        <v>151</v>
      </c>
      <c r="S27" s="34">
        <f>SUM(C78:C81)</f>
        <v>1.5</v>
      </c>
      <c r="T27" s="34">
        <f t="shared" ref="T27:AF27" si="19">SUM(D78:D81)</f>
        <v>0</v>
      </c>
      <c r="U27" s="34">
        <f t="shared" si="19"/>
        <v>0.5</v>
      </c>
      <c r="V27" s="34">
        <f t="shared" si="19"/>
        <v>0.5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30</v>
      </c>
      <c r="AD27" s="34">
        <f t="shared" si="19"/>
        <v>0</v>
      </c>
      <c r="AE27" s="31">
        <f t="shared" si="19"/>
        <v>3</v>
      </c>
      <c r="AF27" s="31">
        <f t="shared" si="19"/>
        <v>33</v>
      </c>
    </row>
    <row r="28" spans="2:32" ht="23.1" customHeight="1" x14ac:dyDescent="0.25">
      <c r="B28" s="23" t="s">
        <v>55</v>
      </c>
      <c r="C28" s="49">
        <f>AVERAGE('23.09.19 -Munyonyo-Kigo'!C28,'24.09 Munyonyo-Kigo'!C28,'25.09 Munyonyo-Kigo'!C28,'27.09 Munyonyo-LWEZA'!C28,'26.09 Munyonyo-Kigo-24h'!C28,'28.09 Munyonyo-Kigo-24h'!C28,'29.09 Munyonyo-Kigo'!C28)</f>
        <v>1.4285714285714286</v>
      </c>
      <c r="D28" s="49">
        <f>AVERAGE('23.09.19 -Munyonyo-Kigo'!D28,'24.09 Munyonyo-Kigo'!D28,'25.09 Munyonyo-Kigo'!D28,'27.09 Munyonyo-LWEZA'!D28,'26.09 Munyonyo-Kigo-24h'!D28,'28.09 Munyonyo-Kigo-24h'!D28,'29.09 Munyonyo-Kigo'!D28)</f>
        <v>0.2857142857142857</v>
      </c>
      <c r="E28" s="49">
        <f>AVERAGE('23.09.19 -Munyonyo-Kigo'!E28,'24.09 Munyonyo-Kigo'!E28,'25.09 Munyonyo-Kigo'!E28,'27.09 Munyonyo-LWEZA'!E28,'26.09 Munyonyo-Kigo-24h'!E28,'28.09 Munyonyo-Kigo-24h'!E28,'29.09 Munyonyo-Kigo'!E28)</f>
        <v>0</v>
      </c>
      <c r="F28" s="49">
        <f>AVERAGE('23.09.19 -Munyonyo-Kigo'!F28,'24.09 Munyonyo-Kigo'!F28,'25.09 Munyonyo-Kigo'!F28,'27.09 Munyonyo-LWEZA'!F28,'26.09 Munyonyo-Kigo-24h'!F28,'28.09 Munyonyo-Kigo-24h'!F28,'29.09 Munyonyo-Kigo'!F28)</f>
        <v>0</v>
      </c>
      <c r="G28" s="49">
        <f>AVERAGE('23.09.19 -Munyonyo-Kigo'!G28,'24.09 Munyonyo-Kigo'!G28,'25.09 Munyonyo-Kigo'!G28,'27.09 Munyonyo-LWEZA'!G28,'26.09 Munyonyo-Kigo-24h'!G28,'28.09 Munyonyo-Kigo-24h'!G28,'29.09 Munyonyo-Kigo'!G28)</f>
        <v>0</v>
      </c>
      <c r="H28" s="49">
        <f>AVERAGE('23.09.19 -Munyonyo-Kigo'!H28,'24.09 Munyonyo-Kigo'!H28,'25.09 Munyonyo-Kigo'!H28,'27.09 Munyonyo-LWEZA'!H28,'26.09 Munyonyo-Kigo-24h'!H28,'28.09 Munyonyo-Kigo-24h'!H28,'29.09 Munyonyo-Kigo'!H28)</f>
        <v>0</v>
      </c>
      <c r="I28" s="49">
        <f>AVERAGE('23.09.19 -Munyonyo-Kigo'!I28,'24.09 Munyonyo-Kigo'!I28,'25.09 Munyonyo-Kigo'!I28,'27.09 Munyonyo-LWEZA'!I28,'26.09 Munyonyo-Kigo-24h'!I28,'28.09 Munyonyo-Kigo-24h'!I28,'29.09 Munyonyo-Kigo'!I28)</f>
        <v>0.14285714285714285</v>
      </c>
      <c r="J28" s="49">
        <f>AVERAGE('23.09.19 -Munyonyo-Kigo'!J28,'24.09 Munyonyo-Kigo'!J28,'25.09 Munyonyo-Kigo'!J28,'27.09 Munyonyo-LWEZA'!J28,'26.09 Munyonyo-Kigo-24h'!J28,'28.09 Munyonyo-Kigo-24h'!J28,'29.09 Munyonyo-Kigo'!J28)</f>
        <v>0.14285714285714285</v>
      </c>
      <c r="K28" s="49">
        <f>AVERAGE('23.09.19 -Munyonyo-Kigo'!K28,'24.09 Munyonyo-Kigo'!K28,'25.09 Munyonyo-Kigo'!K28,'27.09 Munyonyo-LWEZA'!K28,'26.09 Munyonyo-Kigo-24h'!K28,'28.09 Munyonyo-Kigo-24h'!K28,'29.09 Munyonyo-Kigo'!K28)</f>
        <v>0.2857142857142857</v>
      </c>
      <c r="L28" s="49">
        <f>AVERAGE('23.09.19 -Munyonyo-Kigo'!L28,'24.09 Munyonyo-Kigo'!L28,'25.09 Munyonyo-Kigo'!L28,'27.09 Munyonyo-LWEZA'!L28,'26.09 Munyonyo-Kigo-24h'!L28,'28.09 Munyonyo-Kigo-24h'!L28,'29.09 Munyonyo-Kigo'!L28)</f>
        <v>0</v>
      </c>
      <c r="M28" s="49">
        <f>AVERAGE('23.09.19 -Munyonyo-Kigo'!M28,'24.09 Munyonyo-Kigo'!M28,'25.09 Munyonyo-Kigo'!M28,'27.09 Munyonyo-LWEZA'!M28,'26.09 Munyonyo-Kigo-24h'!M28,'28.09 Munyonyo-Kigo-24h'!M28,'29.09 Munyonyo-Kigo'!M28)</f>
        <v>23.428571428571427</v>
      </c>
      <c r="N28" s="49">
        <f>AVERAGE('23.09.19 -Munyonyo-Kigo'!N28,'24.09 Munyonyo-Kigo'!N28,'25.09 Munyonyo-Kigo'!N28,'27.09 Munyonyo-LWEZA'!N28,'26.09 Munyonyo-Kigo-24h'!N28,'28.09 Munyonyo-Kigo-24h'!N28,'29.09 Munyonyo-Kigo'!N28)</f>
        <v>0</v>
      </c>
      <c r="O28" s="15">
        <f t="shared" si="0"/>
        <v>2.2857142857142856</v>
      </c>
      <c r="P28" s="15">
        <f t="shared" si="1"/>
        <v>25.714285714285712</v>
      </c>
      <c r="R28" s="1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15.5</v>
      </c>
      <c r="AD28" s="34">
        <f t="shared" si="20"/>
        <v>0</v>
      </c>
      <c r="AE28" s="31">
        <f t="shared" si="20"/>
        <v>2.5</v>
      </c>
      <c r="AF28" s="31">
        <f t="shared" si="20"/>
        <v>18</v>
      </c>
    </row>
    <row r="29" spans="2:32" ht="23.1" customHeight="1" x14ac:dyDescent="0.25">
      <c r="B29" s="23" t="s">
        <v>56</v>
      </c>
      <c r="C29" s="49">
        <f>AVERAGE('23.09.19 -Munyonyo-Kigo'!C29,'24.09 Munyonyo-Kigo'!C29,'25.09 Munyonyo-Kigo'!C29,'27.09 Munyonyo-LWEZA'!C29,'26.09 Munyonyo-Kigo-24h'!C29,'28.09 Munyonyo-Kigo-24h'!C29,'29.09 Munyonyo-Kigo'!C29)</f>
        <v>1</v>
      </c>
      <c r="D29" s="49">
        <f>AVERAGE('23.09.19 -Munyonyo-Kigo'!D29,'24.09 Munyonyo-Kigo'!D29,'25.09 Munyonyo-Kigo'!D29,'27.09 Munyonyo-LWEZA'!D29,'26.09 Munyonyo-Kigo-24h'!D29,'28.09 Munyonyo-Kigo-24h'!D29,'29.09 Munyonyo-Kigo'!D29)</f>
        <v>1.1428571428571428</v>
      </c>
      <c r="E29" s="49">
        <f>AVERAGE('23.09.19 -Munyonyo-Kigo'!E29,'24.09 Munyonyo-Kigo'!E29,'25.09 Munyonyo-Kigo'!E29,'27.09 Munyonyo-LWEZA'!E29,'26.09 Munyonyo-Kigo-24h'!E29,'28.09 Munyonyo-Kigo-24h'!E29,'29.09 Munyonyo-Kigo'!E29)</f>
        <v>0.7142857142857143</v>
      </c>
      <c r="F29" s="49">
        <f>AVERAGE('23.09.19 -Munyonyo-Kigo'!F29,'24.09 Munyonyo-Kigo'!F29,'25.09 Munyonyo-Kigo'!F29,'27.09 Munyonyo-LWEZA'!F29,'26.09 Munyonyo-Kigo-24h'!F29,'28.09 Munyonyo-Kigo-24h'!F29,'29.09 Munyonyo-Kigo'!F29)</f>
        <v>0.42857142857142855</v>
      </c>
      <c r="G29" s="49">
        <f>AVERAGE('23.09.19 -Munyonyo-Kigo'!G29,'24.09 Munyonyo-Kigo'!G29,'25.09 Munyonyo-Kigo'!G29,'27.09 Munyonyo-LWEZA'!G29,'26.09 Munyonyo-Kigo-24h'!G29,'28.09 Munyonyo-Kigo-24h'!G29,'29.09 Munyonyo-Kigo'!G29)</f>
        <v>0</v>
      </c>
      <c r="H29" s="49">
        <f>AVERAGE('23.09.19 -Munyonyo-Kigo'!H29,'24.09 Munyonyo-Kigo'!H29,'25.09 Munyonyo-Kigo'!H29,'27.09 Munyonyo-LWEZA'!H29,'26.09 Munyonyo-Kigo-24h'!H29,'28.09 Munyonyo-Kigo-24h'!H29,'29.09 Munyonyo-Kigo'!H29)</f>
        <v>0</v>
      </c>
      <c r="I29" s="49">
        <f>AVERAGE('23.09.19 -Munyonyo-Kigo'!I29,'24.09 Munyonyo-Kigo'!I29,'25.09 Munyonyo-Kigo'!I29,'27.09 Munyonyo-LWEZA'!I29,'26.09 Munyonyo-Kigo-24h'!I29,'28.09 Munyonyo-Kigo-24h'!I29,'29.09 Munyonyo-Kigo'!I29)</f>
        <v>0.14285714285714285</v>
      </c>
      <c r="J29" s="49">
        <f>AVERAGE('23.09.19 -Munyonyo-Kigo'!J29,'24.09 Munyonyo-Kigo'!J29,'25.09 Munyonyo-Kigo'!J29,'27.09 Munyonyo-LWEZA'!J29,'26.09 Munyonyo-Kigo-24h'!J29,'28.09 Munyonyo-Kigo-24h'!J29,'29.09 Munyonyo-Kigo'!J29)</f>
        <v>0.14285714285714285</v>
      </c>
      <c r="K29" s="49">
        <f>AVERAGE('23.09.19 -Munyonyo-Kigo'!K29,'24.09 Munyonyo-Kigo'!K29,'25.09 Munyonyo-Kigo'!K29,'27.09 Munyonyo-LWEZA'!K29,'26.09 Munyonyo-Kigo-24h'!K29,'28.09 Munyonyo-Kigo-24h'!K29,'29.09 Munyonyo-Kigo'!K29)</f>
        <v>0</v>
      </c>
      <c r="L29" s="49">
        <f>AVERAGE('23.09.19 -Munyonyo-Kigo'!L29,'24.09 Munyonyo-Kigo'!L29,'25.09 Munyonyo-Kigo'!L29,'27.09 Munyonyo-LWEZA'!L29,'26.09 Munyonyo-Kigo-24h'!L29,'28.09 Munyonyo-Kigo-24h'!L29,'29.09 Munyonyo-Kigo'!L29)</f>
        <v>0</v>
      </c>
      <c r="M29" s="49">
        <f>AVERAGE('23.09.19 -Munyonyo-Kigo'!M29,'24.09 Munyonyo-Kigo'!M29,'25.09 Munyonyo-Kigo'!M29,'27.09 Munyonyo-LWEZA'!M29,'26.09 Munyonyo-Kigo-24h'!M29,'28.09 Munyonyo-Kigo-24h'!M29,'29.09 Munyonyo-Kigo'!M29)</f>
        <v>23.142857142857142</v>
      </c>
      <c r="N29" s="49">
        <f>AVERAGE('23.09.19 -Munyonyo-Kigo'!N29,'24.09 Munyonyo-Kigo'!N29,'25.09 Munyonyo-Kigo'!N29,'27.09 Munyonyo-LWEZA'!N29,'26.09 Munyonyo-Kigo-24h'!N29,'28.09 Munyonyo-Kigo-24h'!N29,'29.09 Munyonyo-Kigo'!N29)</f>
        <v>0</v>
      </c>
      <c r="O29" s="15">
        <f t="shared" si="0"/>
        <v>3.5714285714285712</v>
      </c>
      <c r="P29" s="15">
        <f t="shared" si="1"/>
        <v>26.714285714285715</v>
      </c>
      <c r="R29" s="1" t="s">
        <v>153</v>
      </c>
      <c r="S29" s="34">
        <f>SUM(C86:C89)</f>
        <v>0.5</v>
      </c>
      <c r="T29" s="34">
        <f t="shared" ref="T29:AF29" si="21">SUM(D86:D89)</f>
        <v>0.5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10</v>
      </c>
      <c r="AD29" s="34">
        <f t="shared" si="21"/>
        <v>0</v>
      </c>
      <c r="AE29" s="31">
        <f t="shared" si="21"/>
        <v>1</v>
      </c>
      <c r="AF29" s="31">
        <f t="shared" si="21"/>
        <v>11</v>
      </c>
    </row>
    <row r="30" spans="2:32" ht="23.1" customHeight="1" x14ac:dyDescent="0.25">
      <c r="B30" s="23" t="s">
        <v>57</v>
      </c>
      <c r="C30" s="49">
        <f>AVERAGE('23.09.19 -Munyonyo-Kigo'!C30,'24.09 Munyonyo-Kigo'!C30,'25.09 Munyonyo-Kigo'!C30,'27.09 Munyonyo-LWEZA'!C30,'26.09 Munyonyo-Kigo-24h'!C30,'28.09 Munyonyo-Kigo-24h'!C30,'29.09 Munyonyo-Kigo'!C30)</f>
        <v>1.5714285714285714</v>
      </c>
      <c r="D30" s="49">
        <f>AVERAGE('23.09.19 -Munyonyo-Kigo'!D30,'24.09 Munyonyo-Kigo'!D30,'25.09 Munyonyo-Kigo'!D30,'27.09 Munyonyo-LWEZA'!D30,'26.09 Munyonyo-Kigo-24h'!D30,'28.09 Munyonyo-Kigo-24h'!D30,'29.09 Munyonyo-Kigo'!D30)</f>
        <v>0.7142857142857143</v>
      </c>
      <c r="E30" s="49">
        <f>AVERAGE('23.09.19 -Munyonyo-Kigo'!E30,'24.09 Munyonyo-Kigo'!E30,'25.09 Munyonyo-Kigo'!E30,'27.09 Munyonyo-LWEZA'!E30,'26.09 Munyonyo-Kigo-24h'!E30,'28.09 Munyonyo-Kigo-24h'!E30,'29.09 Munyonyo-Kigo'!E30)</f>
        <v>0.14285714285714285</v>
      </c>
      <c r="F30" s="49">
        <f>AVERAGE('23.09.19 -Munyonyo-Kigo'!F30,'24.09 Munyonyo-Kigo'!F30,'25.09 Munyonyo-Kigo'!F30,'27.09 Munyonyo-LWEZA'!F30,'26.09 Munyonyo-Kigo-24h'!F30,'28.09 Munyonyo-Kigo-24h'!F30,'29.09 Munyonyo-Kigo'!F30)</f>
        <v>0</v>
      </c>
      <c r="G30" s="49">
        <f>AVERAGE('23.09.19 -Munyonyo-Kigo'!G30,'24.09 Munyonyo-Kigo'!G30,'25.09 Munyonyo-Kigo'!G30,'27.09 Munyonyo-LWEZA'!G30,'26.09 Munyonyo-Kigo-24h'!G30,'28.09 Munyonyo-Kigo-24h'!G30,'29.09 Munyonyo-Kigo'!G30)</f>
        <v>0</v>
      </c>
      <c r="H30" s="49">
        <f>AVERAGE('23.09.19 -Munyonyo-Kigo'!H30,'24.09 Munyonyo-Kigo'!H30,'25.09 Munyonyo-Kigo'!H30,'27.09 Munyonyo-LWEZA'!H30,'26.09 Munyonyo-Kigo-24h'!H30,'28.09 Munyonyo-Kigo-24h'!H30,'29.09 Munyonyo-Kigo'!H30)</f>
        <v>0</v>
      </c>
      <c r="I30" s="49">
        <f>AVERAGE('23.09.19 -Munyonyo-Kigo'!I30,'24.09 Munyonyo-Kigo'!I30,'25.09 Munyonyo-Kigo'!I30,'27.09 Munyonyo-LWEZA'!I30,'26.09 Munyonyo-Kigo-24h'!I30,'28.09 Munyonyo-Kigo-24h'!I30,'29.09 Munyonyo-Kigo'!I30)</f>
        <v>0.14285714285714285</v>
      </c>
      <c r="J30" s="49">
        <f>AVERAGE('23.09.19 -Munyonyo-Kigo'!J30,'24.09 Munyonyo-Kigo'!J30,'25.09 Munyonyo-Kigo'!J30,'27.09 Munyonyo-LWEZA'!J30,'26.09 Munyonyo-Kigo-24h'!J30,'28.09 Munyonyo-Kigo-24h'!J30,'29.09 Munyonyo-Kigo'!J30)</f>
        <v>0</v>
      </c>
      <c r="K30" s="49">
        <f>AVERAGE('23.09.19 -Munyonyo-Kigo'!K30,'24.09 Munyonyo-Kigo'!K30,'25.09 Munyonyo-Kigo'!K30,'27.09 Munyonyo-LWEZA'!K30,'26.09 Munyonyo-Kigo-24h'!K30,'28.09 Munyonyo-Kigo-24h'!K30,'29.09 Munyonyo-Kigo'!K30)</f>
        <v>0</v>
      </c>
      <c r="L30" s="49">
        <f>AVERAGE('23.09.19 -Munyonyo-Kigo'!L30,'24.09 Munyonyo-Kigo'!L30,'25.09 Munyonyo-Kigo'!L30,'27.09 Munyonyo-LWEZA'!L30,'26.09 Munyonyo-Kigo-24h'!L30,'28.09 Munyonyo-Kigo-24h'!L30,'29.09 Munyonyo-Kigo'!L30)</f>
        <v>0</v>
      </c>
      <c r="M30" s="49">
        <f>AVERAGE('23.09.19 -Munyonyo-Kigo'!M30,'24.09 Munyonyo-Kigo'!M30,'25.09 Munyonyo-Kigo'!M30,'27.09 Munyonyo-LWEZA'!M30,'26.09 Munyonyo-Kigo-24h'!M30,'28.09 Munyonyo-Kigo-24h'!M30,'29.09 Munyonyo-Kigo'!M30)</f>
        <v>21.285714285714285</v>
      </c>
      <c r="N30" s="49">
        <f>AVERAGE('23.09.19 -Munyonyo-Kigo'!N30,'24.09 Munyonyo-Kigo'!N30,'25.09 Munyonyo-Kigo'!N30,'27.09 Munyonyo-LWEZA'!N30,'26.09 Munyonyo-Kigo-24h'!N30,'28.09 Munyonyo-Kigo-24h'!N30,'29.09 Munyonyo-Kigo'!N30)</f>
        <v>0</v>
      </c>
      <c r="O30" s="15">
        <f t="shared" si="0"/>
        <v>2.5714285714285712</v>
      </c>
      <c r="P30" s="15">
        <f t="shared" si="1"/>
        <v>23.857142857142854</v>
      </c>
      <c r="R30" s="1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7.5</v>
      </c>
      <c r="AD30" s="34">
        <f t="shared" si="22"/>
        <v>0</v>
      </c>
      <c r="AE30" s="31">
        <f t="shared" si="22"/>
        <v>2</v>
      </c>
      <c r="AF30" s="31">
        <f t="shared" si="22"/>
        <v>9.5</v>
      </c>
    </row>
    <row r="31" spans="2:32" ht="23.1" customHeight="1" x14ac:dyDescent="0.25">
      <c r="B31" s="24" t="s">
        <v>58</v>
      </c>
      <c r="C31" s="49">
        <f>AVERAGE('23.09.19 -Munyonyo-Kigo'!C31,'24.09 Munyonyo-Kigo'!C31,'25.09 Munyonyo-Kigo'!C31,'27.09 Munyonyo-LWEZA'!C31,'26.09 Munyonyo-Kigo-24h'!C31,'28.09 Munyonyo-Kigo-24h'!C31,'29.09 Munyonyo-Kigo'!C31)</f>
        <v>1.5714285714285714</v>
      </c>
      <c r="D31" s="49">
        <f>AVERAGE('23.09.19 -Munyonyo-Kigo'!D31,'24.09 Munyonyo-Kigo'!D31,'25.09 Munyonyo-Kigo'!D31,'27.09 Munyonyo-LWEZA'!D31,'26.09 Munyonyo-Kigo-24h'!D31,'28.09 Munyonyo-Kigo-24h'!D31,'29.09 Munyonyo-Kigo'!D31)</f>
        <v>0.5714285714285714</v>
      </c>
      <c r="E31" s="49">
        <f>AVERAGE('23.09.19 -Munyonyo-Kigo'!E31,'24.09 Munyonyo-Kigo'!E31,'25.09 Munyonyo-Kigo'!E31,'27.09 Munyonyo-LWEZA'!E31,'26.09 Munyonyo-Kigo-24h'!E31,'28.09 Munyonyo-Kigo-24h'!E31,'29.09 Munyonyo-Kigo'!E31)</f>
        <v>0.42857142857142855</v>
      </c>
      <c r="F31" s="49">
        <f>AVERAGE('23.09.19 -Munyonyo-Kigo'!F31,'24.09 Munyonyo-Kigo'!F31,'25.09 Munyonyo-Kigo'!F31,'27.09 Munyonyo-LWEZA'!F31,'26.09 Munyonyo-Kigo-24h'!F31,'28.09 Munyonyo-Kigo-24h'!F31,'29.09 Munyonyo-Kigo'!F31)</f>
        <v>0.5714285714285714</v>
      </c>
      <c r="G31" s="49">
        <f>AVERAGE('23.09.19 -Munyonyo-Kigo'!G31,'24.09 Munyonyo-Kigo'!G31,'25.09 Munyonyo-Kigo'!G31,'27.09 Munyonyo-LWEZA'!G31,'26.09 Munyonyo-Kigo-24h'!G31,'28.09 Munyonyo-Kigo-24h'!G31,'29.09 Munyonyo-Kigo'!G31)</f>
        <v>0</v>
      </c>
      <c r="H31" s="49">
        <f>AVERAGE('23.09.19 -Munyonyo-Kigo'!H31,'24.09 Munyonyo-Kigo'!H31,'25.09 Munyonyo-Kigo'!H31,'27.09 Munyonyo-LWEZA'!H31,'26.09 Munyonyo-Kigo-24h'!H31,'28.09 Munyonyo-Kigo-24h'!H31,'29.09 Munyonyo-Kigo'!H31)</f>
        <v>0</v>
      </c>
      <c r="I31" s="49">
        <f>AVERAGE('23.09.19 -Munyonyo-Kigo'!I31,'24.09 Munyonyo-Kigo'!I31,'25.09 Munyonyo-Kigo'!I31,'27.09 Munyonyo-LWEZA'!I31,'26.09 Munyonyo-Kigo-24h'!I31,'28.09 Munyonyo-Kigo-24h'!I31,'29.09 Munyonyo-Kigo'!I31)</f>
        <v>0</v>
      </c>
      <c r="J31" s="49">
        <f>AVERAGE('23.09.19 -Munyonyo-Kigo'!J31,'24.09 Munyonyo-Kigo'!J31,'25.09 Munyonyo-Kigo'!J31,'27.09 Munyonyo-LWEZA'!J31,'26.09 Munyonyo-Kigo-24h'!J31,'28.09 Munyonyo-Kigo-24h'!J31,'29.09 Munyonyo-Kigo'!J31)</f>
        <v>0</v>
      </c>
      <c r="K31" s="49">
        <f>AVERAGE('23.09.19 -Munyonyo-Kigo'!K31,'24.09 Munyonyo-Kigo'!K31,'25.09 Munyonyo-Kigo'!K31,'27.09 Munyonyo-LWEZA'!K31,'26.09 Munyonyo-Kigo-24h'!K31,'28.09 Munyonyo-Kigo-24h'!K31,'29.09 Munyonyo-Kigo'!K31)</f>
        <v>0</v>
      </c>
      <c r="L31" s="49">
        <f>AVERAGE('23.09.19 -Munyonyo-Kigo'!L31,'24.09 Munyonyo-Kigo'!L31,'25.09 Munyonyo-Kigo'!L31,'27.09 Munyonyo-LWEZA'!L31,'26.09 Munyonyo-Kigo-24h'!L31,'28.09 Munyonyo-Kigo-24h'!L31,'29.09 Munyonyo-Kigo'!L31)</f>
        <v>0.14285714285714285</v>
      </c>
      <c r="M31" s="49">
        <f>AVERAGE('23.09.19 -Munyonyo-Kigo'!M31,'24.09 Munyonyo-Kigo'!M31,'25.09 Munyonyo-Kigo'!M31,'27.09 Munyonyo-LWEZA'!M31,'26.09 Munyonyo-Kigo-24h'!M31,'28.09 Munyonyo-Kigo-24h'!M31,'29.09 Munyonyo-Kigo'!M31)</f>
        <v>19.142857142857142</v>
      </c>
      <c r="N31" s="49">
        <f>AVERAGE('23.09.19 -Munyonyo-Kigo'!N31,'24.09 Munyonyo-Kigo'!N31,'25.09 Munyonyo-Kigo'!N31,'27.09 Munyonyo-LWEZA'!N31,'26.09 Munyonyo-Kigo-24h'!N31,'28.09 Munyonyo-Kigo-24h'!N31,'29.09 Munyonyo-Kigo'!N31)</f>
        <v>0</v>
      </c>
      <c r="O31" s="15">
        <f t="shared" si="0"/>
        <v>3.2857142857142851</v>
      </c>
      <c r="P31" s="15">
        <f t="shared" si="1"/>
        <v>22.428571428571427</v>
      </c>
      <c r="R31" s="1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12</v>
      </c>
      <c r="AD31" s="34">
        <f t="shared" si="23"/>
        <v>0</v>
      </c>
      <c r="AE31" s="31">
        <f t="shared" si="23"/>
        <v>1.5</v>
      </c>
      <c r="AF31" s="31">
        <f t="shared" si="23"/>
        <v>13.5</v>
      </c>
    </row>
    <row r="32" spans="2:32" ht="23.1" customHeight="1" x14ac:dyDescent="0.25">
      <c r="B32" s="24" t="s">
        <v>59</v>
      </c>
      <c r="C32" s="49">
        <f>AVERAGE('23.09.19 -Munyonyo-Kigo'!C32,'24.09 Munyonyo-Kigo'!C32,'25.09 Munyonyo-Kigo'!C32,'27.09 Munyonyo-LWEZA'!C32,'26.09 Munyonyo-Kigo-24h'!C32,'28.09 Munyonyo-Kigo-24h'!C32,'29.09 Munyonyo-Kigo'!C32)</f>
        <v>1.4285714285714286</v>
      </c>
      <c r="D32" s="49">
        <f>AVERAGE('23.09.19 -Munyonyo-Kigo'!D32,'24.09 Munyonyo-Kigo'!D32,'25.09 Munyonyo-Kigo'!D32,'27.09 Munyonyo-LWEZA'!D32,'26.09 Munyonyo-Kigo-24h'!D32,'28.09 Munyonyo-Kigo-24h'!D32,'29.09 Munyonyo-Kigo'!D32)</f>
        <v>1.1428571428571428</v>
      </c>
      <c r="E32" s="49">
        <f>AVERAGE('23.09.19 -Munyonyo-Kigo'!E32,'24.09 Munyonyo-Kigo'!E32,'25.09 Munyonyo-Kigo'!E32,'27.09 Munyonyo-LWEZA'!E32,'26.09 Munyonyo-Kigo-24h'!E32,'28.09 Munyonyo-Kigo-24h'!E32,'29.09 Munyonyo-Kigo'!E32)</f>
        <v>0.42857142857142855</v>
      </c>
      <c r="F32" s="49">
        <f>AVERAGE('23.09.19 -Munyonyo-Kigo'!F32,'24.09 Munyonyo-Kigo'!F32,'25.09 Munyonyo-Kigo'!F32,'27.09 Munyonyo-LWEZA'!F32,'26.09 Munyonyo-Kigo-24h'!F32,'28.09 Munyonyo-Kigo-24h'!F32,'29.09 Munyonyo-Kigo'!F32)</f>
        <v>0.42857142857142855</v>
      </c>
      <c r="G32" s="49">
        <f>AVERAGE('23.09.19 -Munyonyo-Kigo'!G32,'24.09 Munyonyo-Kigo'!G32,'25.09 Munyonyo-Kigo'!G32,'27.09 Munyonyo-LWEZA'!G32,'26.09 Munyonyo-Kigo-24h'!G32,'28.09 Munyonyo-Kigo-24h'!G32,'29.09 Munyonyo-Kigo'!G32)</f>
        <v>0</v>
      </c>
      <c r="H32" s="49">
        <f>AVERAGE('23.09.19 -Munyonyo-Kigo'!H32,'24.09 Munyonyo-Kigo'!H32,'25.09 Munyonyo-Kigo'!H32,'27.09 Munyonyo-LWEZA'!H32,'26.09 Munyonyo-Kigo-24h'!H32,'28.09 Munyonyo-Kigo-24h'!H32,'29.09 Munyonyo-Kigo'!H32)</f>
        <v>0</v>
      </c>
      <c r="I32" s="49">
        <f>AVERAGE('23.09.19 -Munyonyo-Kigo'!I32,'24.09 Munyonyo-Kigo'!I32,'25.09 Munyonyo-Kigo'!I32,'27.09 Munyonyo-LWEZA'!I32,'26.09 Munyonyo-Kigo-24h'!I32,'28.09 Munyonyo-Kigo-24h'!I32,'29.09 Munyonyo-Kigo'!I32)</f>
        <v>0.2857142857142857</v>
      </c>
      <c r="J32" s="49">
        <f>AVERAGE('23.09.19 -Munyonyo-Kigo'!J32,'24.09 Munyonyo-Kigo'!J32,'25.09 Munyonyo-Kigo'!J32,'27.09 Munyonyo-LWEZA'!J32,'26.09 Munyonyo-Kigo-24h'!J32,'28.09 Munyonyo-Kigo-24h'!J32,'29.09 Munyonyo-Kigo'!J32)</f>
        <v>0.14285714285714285</v>
      </c>
      <c r="K32" s="49">
        <f>AVERAGE('23.09.19 -Munyonyo-Kigo'!K32,'24.09 Munyonyo-Kigo'!K32,'25.09 Munyonyo-Kigo'!K32,'27.09 Munyonyo-LWEZA'!K32,'26.09 Munyonyo-Kigo-24h'!K32,'28.09 Munyonyo-Kigo-24h'!K32,'29.09 Munyonyo-Kigo'!K32)</f>
        <v>0</v>
      </c>
      <c r="L32" s="49">
        <f>AVERAGE('23.09.19 -Munyonyo-Kigo'!L32,'24.09 Munyonyo-Kigo'!L32,'25.09 Munyonyo-Kigo'!L32,'27.09 Munyonyo-LWEZA'!L32,'26.09 Munyonyo-Kigo-24h'!L32,'28.09 Munyonyo-Kigo-24h'!L32,'29.09 Munyonyo-Kigo'!L32)</f>
        <v>0</v>
      </c>
      <c r="M32" s="49">
        <f>AVERAGE('23.09.19 -Munyonyo-Kigo'!M32,'24.09 Munyonyo-Kigo'!M32,'25.09 Munyonyo-Kigo'!M32,'27.09 Munyonyo-LWEZA'!M32,'26.09 Munyonyo-Kigo-24h'!M32,'28.09 Munyonyo-Kigo-24h'!M32,'29.09 Munyonyo-Kigo'!M32)</f>
        <v>24.285714285714285</v>
      </c>
      <c r="N32" s="49">
        <f>AVERAGE('23.09.19 -Munyonyo-Kigo'!N32,'24.09 Munyonyo-Kigo'!N32,'25.09 Munyonyo-Kigo'!N32,'27.09 Munyonyo-LWEZA'!N32,'26.09 Munyonyo-Kigo-24h'!N32,'28.09 Munyonyo-Kigo-24h'!N32,'29.09 Munyonyo-Kigo'!N32)</f>
        <v>0</v>
      </c>
      <c r="O32" s="15">
        <f t="shared" si="0"/>
        <v>3.8571428571428563</v>
      </c>
      <c r="P32" s="15">
        <f t="shared" si="1"/>
        <v>28.142857142857142</v>
      </c>
      <c r="R32" s="1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1.5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8</v>
      </c>
      <c r="AD32" s="34">
        <f t="shared" si="24"/>
        <v>0</v>
      </c>
      <c r="AE32" s="31">
        <f t="shared" si="24"/>
        <v>4.5</v>
      </c>
      <c r="AF32" s="31">
        <f t="shared" si="24"/>
        <v>12.5</v>
      </c>
    </row>
    <row r="33" spans="2:32" ht="23.1" customHeight="1" x14ac:dyDescent="0.25">
      <c r="B33" s="23" t="s">
        <v>60</v>
      </c>
      <c r="C33" s="49">
        <f>AVERAGE('23.09.19 -Munyonyo-Kigo'!C33,'24.09 Munyonyo-Kigo'!C33,'25.09 Munyonyo-Kigo'!C33,'27.09 Munyonyo-LWEZA'!C33,'26.09 Munyonyo-Kigo-24h'!C33,'28.09 Munyonyo-Kigo-24h'!C33,'29.09 Munyonyo-Kigo'!C33)</f>
        <v>1.2857142857142858</v>
      </c>
      <c r="D33" s="49">
        <f>AVERAGE('23.09.19 -Munyonyo-Kigo'!D33,'24.09 Munyonyo-Kigo'!D33,'25.09 Munyonyo-Kigo'!D33,'27.09 Munyonyo-LWEZA'!D33,'26.09 Munyonyo-Kigo-24h'!D33,'28.09 Munyonyo-Kigo-24h'!D33,'29.09 Munyonyo-Kigo'!D33)</f>
        <v>0.42857142857142855</v>
      </c>
      <c r="E33" s="49">
        <f>AVERAGE('23.09.19 -Munyonyo-Kigo'!E33,'24.09 Munyonyo-Kigo'!E33,'25.09 Munyonyo-Kigo'!E33,'27.09 Munyonyo-LWEZA'!E33,'26.09 Munyonyo-Kigo-24h'!E33,'28.09 Munyonyo-Kigo-24h'!E33,'29.09 Munyonyo-Kigo'!E33)</f>
        <v>0</v>
      </c>
      <c r="F33" s="49">
        <f>AVERAGE('23.09.19 -Munyonyo-Kigo'!F33,'24.09 Munyonyo-Kigo'!F33,'25.09 Munyonyo-Kigo'!F33,'27.09 Munyonyo-LWEZA'!F33,'26.09 Munyonyo-Kigo-24h'!F33,'28.09 Munyonyo-Kigo-24h'!F33,'29.09 Munyonyo-Kigo'!F33)</f>
        <v>0.5714285714285714</v>
      </c>
      <c r="G33" s="49">
        <f>AVERAGE('23.09.19 -Munyonyo-Kigo'!G33,'24.09 Munyonyo-Kigo'!G33,'25.09 Munyonyo-Kigo'!G33,'27.09 Munyonyo-LWEZA'!G33,'26.09 Munyonyo-Kigo-24h'!G33,'28.09 Munyonyo-Kigo-24h'!G33,'29.09 Munyonyo-Kigo'!G33)</f>
        <v>0</v>
      </c>
      <c r="H33" s="49">
        <f>AVERAGE('23.09.19 -Munyonyo-Kigo'!H33,'24.09 Munyonyo-Kigo'!H33,'25.09 Munyonyo-Kigo'!H33,'27.09 Munyonyo-LWEZA'!H33,'26.09 Munyonyo-Kigo-24h'!H33,'28.09 Munyonyo-Kigo-24h'!H33,'29.09 Munyonyo-Kigo'!H33)</f>
        <v>0</v>
      </c>
      <c r="I33" s="49">
        <f>AVERAGE('23.09.19 -Munyonyo-Kigo'!I33,'24.09 Munyonyo-Kigo'!I33,'25.09 Munyonyo-Kigo'!I33,'27.09 Munyonyo-LWEZA'!I33,'26.09 Munyonyo-Kigo-24h'!I33,'28.09 Munyonyo-Kigo-24h'!I33,'29.09 Munyonyo-Kigo'!I33)</f>
        <v>0</v>
      </c>
      <c r="J33" s="49">
        <f>AVERAGE('23.09.19 -Munyonyo-Kigo'!J33,'24.09 Munyonyo-Kigo'!J33,'25.09 Munyonyo-Kigo'!J33,'27.09 Munyonyo-LWEZA'!J33,'26.09 Munyonyo-Kigo-24h'!J33,'28.09 Munyonyo-Kigo-24h'!J33,'29.09 Munyonyo-Kigo'!J33)</f>
        <v>0</v>
      </c>
      <c r="K33" s="49">
        <f>AVERAGE('23.09.19 -Munyonyo-Kigo'!K33,'24.09 Munyonyo-Kigo'!K33,'25.09 Munyonyo-Kigo'!K33,'27.09 Munyonyo-LWEZA'!K33,'26.09 Munyonyo-Kigo-24h'!K33,'28.09 Munyonyo-Kigo-24h'!K33,'29.09 Munyonyo-Kigo'!K33)</f>
        <v>0</v>
      </c>
      <c r="L33" s="49">
        <f>AVERAGE('23.09.19 -Munyonyo-Kigo'!L33,'24.09 Munyonyo-Kigo'!L33,'25.09 Munyonyo-Kigo'!L33,'27.09 Munyonyo-LWEZA'!L33,'26.09 Munyonyo-Kigo-24h'!L33,'28.09 Munyonyo-Kigo-24h'!L33,'29.09 Munyonyo-Kigo'!L33)</f>
        <v>0.14285714285714285</v>
      </c>
      <c r="M33" s="49">
        <f>AVERAGE('23.09.19 -Munyonyo-Kigo'!M33,'24.09 Munyonyo-Kigo'!M33,'25.09 Munyonyo-Kigo'!M33,'27.09 Munyonyo-LWEZA'!M33,'26.09 Munyonyo-Kigo-24h'!M33,'28.09 Munyonyo-Kigo-24h'!M33,'29.09 Munyonyo-Kigo'!M33)</f>
        <v>17.714285714285715</v>
      </c>
      <c r="N33" s="49">
        <f>AVERAGE('23.09.19 -Munyonyo-Kigo'!N33,'24.09 Munyonyo-Kigo'!N33,'25.09 Munyonyo-Kigo'!N33,'27.09 Munyonyo-LWEZA'!N33,'26.09 Munyonyo-Kigo-24h'!N33,'28.09 Munyonyo-Kigo-24h'!N33,'29.09 Munyonyo-Kigo'!N33)</f>
        <v>0</v>
      </c>
      <c r="O33" s="15">
        <f t="shared" si="0"/>
        <v>2.4285714285714284</v>
      </c>
      <c r="P33" s="15">
        <f t="shared" si="1"/>
        <v>20.142857142857142</v>
      </c>
      <c r="R33" s="1" t="s">
        <v>157</v>
      </c>
      <c r="S33" s="34">
        <f>SUM(C102:C105)</f>
        <v>6</v>
      </c>
      <c r="T33" s="34">
        <f t="shared" ref="T33:AF33" si="25">SUM(D102:D105)</f>
        <v>0.5</v>
      </c>
      <c r="U33" s="34">
        <f t="shared" si="25"/>
        <v>0.5</v>
      </c>
      <c r="V33" s="34">
        <f t="shared" si="25"/>
        <v>3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0.5</v>
      </c>
      <c r="AA33" s="34">
        <f t="shared" si="25"/>
        <v>0</v>
      </c>
      <c r="AB33" s="34">
        <f t="shared" si="25"/>
        <v>0</v>
      </c>
      <c r="AC33" s="34">
        <f t="shared" si="25"/>
        <v>52</v>
      </c>
      <c r="AD33" s="34">
        <f t="shared" si="25"/>
        <v>0</v>
      </c>
      <c r="AE33" s="31">
        <f t="shared" si="25"/>
        <v>10.5</v>
      </c>
      <c r="AF33" s="31">
        <f t="shared" si="25"/>
        <v>62.5</v>
      </c>
    </row>
    <row r="34" spans="2:32" ht="23.1" customHeight="1" x14ac:dyDescent="0.25">
      <c r="B34" s="24" t="s">
        <v>61</v>
      </c>
      <c r="C34" s="49">
        <f>AVERAGE('23.09.19 -Munyonyo-Kigo'!C34,'24.09 Munyonyo-Kigo'!C34,'25.09 Munyonyo-Kigo'!C34,'27.09 Munyonyo-LWEZA'!C34,'26.09 Munyonyo-Kigo-24h'!C34,'28.09 Munyonyo-Kigo-24h'!C34,'29.09 Munyonyo-Kigo'!C34)</f>
        <v>1.1428571428571428</v>
      </c>
      <c r="D34" s="49">
        <f>AVERAGE('23.09.19 -Munyonyo-Kigo'!D34,'24.09 Munyonyo-Kigo'!D34,'25.09 Munyonyo-Kigo'!D34,'27.09 Munyonyo-LWEZA'!D34,'26.09 Munyonyo-Kigo-24h'!D34,'28.09 Munyonyo-Kigo-24h'!D34,'29.09 Munyonyo-Kigo'!D34)</f>
        <v>0.5714285714285714</v>
      </c>
      <c r="E34" s="49">
        <f>AVERAGE('23.09.19 -Munyonyo-Kigo'!E34,'24.09 Munyonyo-Kigo'!E34,'25.09 Munyonyo-Kigo'!E34,'27.09 Munyonyo-LWEZA'!E34,'26.09 Munyonyo-Kigo-24h'!E34,'28.09 Munyonyo-Kigo-24h'!E34,'29.09 Munyonyo-Kigo'!E34)</f>
        <v>0.5714285714285714</v>
      </c>
      <c r="F34" s="49">
        <f>AVERAGE('23.09.19 -Munyonyo-Kigo'!F34,'24.09 Munyonyo-Kigo'!F34,'25.09 Munyonyo-Kigo'!F34,'27.09 Munyonyo-LWEZA'!F34,'26.09 Munyonyo-Kigo-24h'!F34,'28.09 Munyonyo-Kigo-24h'!F34,'29.09 Munyonyo-Kigo'!F34)</f>
        <v>0.5714285714285714</v>
      </c>
      <c r="G34" s="49">
        <f>AVERAGE('23.09.19 -Munyonyo-Kigo'!G34,'24.09 Munyonyo-Kigo'!G34,'25.09 Munyonyo-Kigo'!G34,'27.09 Munyonyo-LWEZA'!G34,'26.09 Munyonyo-Kigo-24h'!G34,'28.09 Munyonyo-Kigo-24h'!G34,'29.09 Munyonyo-Kigo'!G34)</f>
        <v>0</v>
      </c>
      <c r="H34" s="49">
        <f>AVERAGE('23.09.19 -Munyonyo-Kigo'!H34,'24.09 Munyonyo-Kigo'!H34,'25.09 Munyonyo-Kigo'!H34,'27.09 Munyonyo-LWEZA'!H34,'26.09 Munyonyo-Kigo-24h'!H34,'28.09 Munyonyo-Kigo-24h'!H34,'29.09 Munyonyo-Kigo'!H34)</f>
        <v>0</v>
      </c>
      <c r="I34" s="49">
        <f>AVERAGE('23.09.19 -Munyonyo-Kigo'!I34,'24.09 Munyonyo-Kigo'!I34,'25.09 Munyonyo-Kigo'!I34,'27.09 Munyonyo-LWEZA'!I34,'26.09 Munyonyo-Kigo-24h'!I34,'28.09 Munyonyo-Kigo-24h'!I34,'29.09 Munyonyo-Kigo'!I34)</f>
        <v>0.2857142857142857</v>
      </c>
      <c r="J34" s="49">
        <f>AVERAGE('23.09.19 -Munyonyo-Kigo'!J34,'24.09 Munyonyo-Kigo'!J34,'25.09 Munyonyo-Kigo'!J34,'27.09 Munyonyo-LWEZA'!J34,'26.09 Munyonyo-Kigo-24h'!J34,'28.09 Munyonyo-Kigo-24h'!J34,'29.09 Munyonyo-Kigo'!J34)</f>
        <v>0.14285714285714285</v>
      </c>
      <c r="K34" s="49">
        <f>AVERAGE('23.09.19 -Munyonyo-Kigo'!K34,'24.09 Munyonyo-Kigo'!K34,'25.09 Munyonyo-Kigo'!K34,'27.09 Munyonyo-LWEZA'!K34,'26.09 Munyonyo-Kigo-24h'!K34,'28.09 Munyonyo-Kigo-24h'!K34,'29.09 Munyonyo-Kigo'!K34)</f>
        <v>0.14285714285714285</v>
      </c>
      <c r="L34" s="49">
        <f>AVERAGE('23.09.19 -Munyonyo-Kigo'!L34,'24.09 Munyonyo-Kigo'!L34,'25.09 Munyonyo-Kigo'!L34,'27.09 Munyonyo-LWEZA'!L34,'26.09 Munyonyo-Kigo-24h'!L34,'28.09 Munyonyo-Kigo-24h'!L34,'29.09 Munyonyo-Kigo'!L34)</f>
        <v>0</v>
      </c>
      <c r="M34" s="49">
        <f>AVERAGE('23.09.19 -Munyonyo-Kigo'!M34,'24.09 Munyonyo-Kigo'!M34,'25.09 Munyonyo-Kigo'!M34,'27.09 Munyonyo-LWEZA'!M34,'26.09 Munyonyo-Kigo-24h'!M34,'28.09 Munyonyo-Kigo-24h'!M34,'29.09 Munyonyo-Kigo'!M34)</f>
        <v>17</v>
      </c>
      <c r="N34" s="49">
        <f>AVERAGE('23.09.19 -Munyonyo-Kigo'!N34,'24.09 Munyonyo-Kigo'!N34,'25.09 Munyonyo-Kigo'!N34,'27.09 Munyonyo-LWEZA'!N34,'26.09 Munyonyo-Kigo-24h'!N34,'28.09 Munyonyo-Kigo-24h'!N34,'29.09 Munyonyo-Kigo'!N34)</f>
        <v>0</v>
      </c>
      <c r="O34" s="15">
        <f t="shared" si="0"/>
        <v>3.4285714285714279</v>
      </c>
      <c r="P34" s="15">
        <f t="shared" si="1"/>
        <v>20.428571428571427</v>
      </c>
      <c r="R34" s="51" t="s">
        <v>90</v>
      </c>
      <c r="S34" s="52">
        <f t="shared" ref="S34:AF34" si="26">MAX(S10:S12)</f>
        <v>7.7142857142857144</v>
      </c>
      <c r="T34" s="52">
        <f t="shared" si="26"/>
        <v>4.1428571428571432</v>
      </c>
      <c r="U34" s="52">
        <f t="shared" si="26"/>
        <v>1</v>
      </c>
      <c r="V34" s="52">
        <f t="shared" si="26"/>
        <v>3.1428571428571423</v>
      </c>
      <c r="W34" s="52">
        <f t="shared" si="26"/>
        <v>0</v>
      </c>
      <c r="X34" s="52">
        <f t="shared" si="26"/>
        <v>0</v>
      </c>
      <c r="Y34" s="52">
        <f t="shared" si="26"/>
        <v>1.5714285714285714</v>
      </c>
      <c r="Z34" s="52">
        <f t="shared" si="26"/>
        <v>0.42857142857142855</v>
      </c>
      <c r="AA34" s="52">
        <f t="shared" si="26"/>
        <v>0.14285714285714285</v>
      </c>
      <c r="AB34" s="52">
        <f t="shared" si="26"/>
        <v>0.2857142857142857</v>
      </c>
      <c r="AC34" s="52">
        <f t="shared" si="26"/>
        <v>109.57142857142856</v>
      </c>
      <c r="AD34" s="52">
        <f t="shared" si="26"/>
        <v>0</v>
      </c>
      <c r="AE34" s="40">
        <f t="shared" si="26"/>
        <v>16.285714285714285</v>
      </c>
      <c r="AF34" s="40">
        <f t="shared" si="26"/>
        <v>125.85714285714285</v>
      </c>
    </row>
    <row r="35" spans="2:32" ht="23.1" customHeight="1" x14ac:dyDescent="0.25">
      <c r="B35" s="24" t="s">
        <v>62</v>
      </c>
      <c r="C35" s="49">
        <f>AVERAGE('23.09.19 -Munyonyo-Kigo'!C35,'24.09 Munyonyo-Kigo'!C35,'25.09 Munyonyo-Kigo'!C35,'27.09 Munyonyo-LWEZA'!C35,'26.09 Munyonyo-Kigo-24h'!C35,'28.09 Munyonyo-Kigo-24h'!C35,'29.09 Munyonyo-Kigo'!C35)</f>
        <v>1.5714285714285714</v>
      </c>
      <c r="D35" s="49">
        <f>AVERAGE('23.09.19 -Munyonyo-Kigo'!D35,'24.09 Munyonyo-Kigo'!D35,'25.09 Munyonyo-Kigo'!D35,'27.09 Munyonyo-LWEZA'!D35,'26.09 Munyonyo-Kigo-24h'!D35,'28.09 Munyonyo-Kigo-24h'!D35,'29.09 Munyonyo-Kigo'!D35)</f>
        <v>0.42857142857142855</v>
      </c>
      <c r="E35" s="49">
        <f>AVERAGE('23.09.19 -Munyonyo-Kigo'!E35,'24.09 Munyonyo-Kigo'!E35,'25.09 Munyonyo-Kigo'!E35,'27.09 Munyonyo-LWEZA'!E35,'26.09 Munyonyo-Kigo-24h'!E35,'28.09 Munyonyo-Kigo-24h'!E35,'29.09 Munyonyo-Kigo'!E35)</f>
        <v>0.14285714285714285</v>
      </c>
      <c r="F35" s="49">
        <f>AVERAGE('23.09.19 -Munyonyo-Kigo'!F35,'24.09 Munyonyo-Kigo'!F35,'25.09 Munyonyo-Kigo'!F35,'27.09 Munyonyo-LWEZA'!F35,'26.09 Munyonyo-Kigo-24h'!F35,'28.09 Munyonyo-Kigo-24h'!F35,'29.09 Munyonyo-Kigo'!F35)</f>
        <v>0</v>
      </c>
      <c r="G35" s="49">
        <f>AVERAGE('23.09.19 -Munyonyo-Kigo'!G35,'24.09 Munyonyo-Kigo'!G35,'25.09 Munyonyo-Kigo'!G35,'27.09 Munyonyo-LWEZA'!G35,'26.09 Munyonyo-Kigo-24h'!G35,'28.09 Munyonyo-Kigo-24h'!G35,'29.09 Munyonyo-Kigo'!G35)</f>
        <v>0</v>
      </c>
      <c r="H35" s="49">
        <f>AVERAGE('23.09.19 -Munyonyo-Kigo'!H35,'24.09 Munyonyo-Kigo'!H35,'25.09 Munyonyo-Kigo'!H35,'27.09 Munyonyo-LWEZA'!H35,'26.09 Munyonyo-Kigo-24h'!H35,'28.09 Munyonyo-Kigo-24h'!H35,'29.09 Munyonyo-Kigo'!H35)</f>
        <v>0</v>
      </c>
      <c r="I35" s="49">
        <f>AVERAGE('23.09.19 -Munyonyo-Kigo'!I35,'24.09 Munyonyo-Kigo'!I35,'25.09 Munyonyo-Kigo'!I35,'27.09 Munyonyo-LWEZA'!I35,'26.09 Munyonyo-Kigo-24h'!I35,'28.09 Munyonyo-Kigo-24h'!I35,'29.09 Munyonyo-Kigo'!I35)</f>
        <v>0.42857142857142855</v>
      </c>
      <c r="J35" s="49">
        <f>AVERAGE('23.09.19 -Munyonyo-Kigo'!J35,'24.09 Munyonyo-Kigo'!J35,'25.09 Munyonyo-Kigo'!J35,'27.09 Munyonyo-LWEZA'!J35,'26.09 Munyonyo-Kigo-24h'!J35,'28.09 Munyonyo-Kigo-24h'!J35,'29.09 Munyonyo-Kigo'!J35)</f>
        <v>0</v>
      </c>
      <c r="K35" s="49">
        <f>AVERAGE('23.09.19 -Munyonyo-Kigo'!K35,'24.09 Munyonyo-Kigo'!K35,'25.09 Munyonyo-Kigo'!K35,'27.09 Munyonyo-LWEZA'!K35,'26.09 Munyonyo-Kigo-24h'!K35,'28.09 Munyonyo-Kigo-24h'!K35,'29.09 Munyonyo-Kigo'!K35)</f>
        <v>0</v>
      </c>
      <c r="L35" s="49">
        <f>AVERAGE('23.09.19 -Munyonyo-Kigo'!L35,'24.09 Munyonyo-Kigo'!L35,'25.09 Munyonyo-Kigo'!L35,'27.09 Munyonyo-LWEZA'!L35,'26.09 Munyonyo-Kigo-24h'!L35,'28.09 Munyonyo-Kigo-24h'!L35,'29.09 Munyonyo-Kigo'!L35)</f>
        <v>0</v>
      </c>
      <c r="M35" s="49">
        <f>AVERAGE('23.09.19 -Munyonyo-Kigo'!M35,'24.09 Munyonyo-Kigo'!M35,'25.09 Munyonyo-Kigo'!M35,'27.09 Munyonyo-LWEZA'!M35,'26.09 Munyonyo-Kigo-24h'!M35,'28.09 Munyonyo-Kigo-24h'!M35,'29.09 Munyonyo-Kigo'!M35)</f>
        <v>14.285714285714286</v>
      </c>
      <c r="N35" s="49">
        <f>AVERAGE('23.09.19 -Munyonyo-Kigo'!N35,'24.09 Munyonyo-Kigo'!N35,'25.09 Munyonyo-Kigo'!N35,'27.09 Munyonyo-LWEZA'!N35,'26.09 Munyonyo-Kigo-24h'!N35,'28.09 Munyonyo-Kigo-24h'!N35,'29.09 Munyonyo-Kigo'!N35)</f>
        <v>0</v>
      </c>
      <c r="O35" s="15">
        <f t="shared" si="0"/>
        <v>2.5714285714285712</v>
      </c>
      <c r="P35" s="15">
        <f t="shared" si="1"/>
        <v>16.857142857142858</v>
      </c>
      <c r="R35" s="51" t="s">
        <v>91</v>
      </c>
      <c r="S35" s="52">
        <f t="shared" ref="S35:AF35" si="27">MAX(S13:S18)</f>
        <v>8.5714285714285712</v>
      </c>
      <c r="T35" s="52">
        <f t="shared" si="27"/>
        <v>2.8571428571428568</v>
      </c>
      <c r="U35" s="52">
        <f t="shared" si="27"/>
        <v>1.857142857142857</v>
      </c>
      <c r="V35" s="52">
        <f t="shared" si="27"/>
        <v>1.5714285714285714</v>
      </c>
      <c r="W35" s="52">
        <f t="shared" si="27"/>
        <v>0</v>
      </c>
      <c r="X35" s="52">
        <f t="shared" si="27"/>
        <v>0.14285714285714285</v>
      </c>
      <c r="Y35" s="52">
        <f t="shared" si="27"/>
        <v>1.7142857142857144</v>
      </c>
      <c r="Z35" s="52">
        <f t="shared" si="27"/>
        <v>0.71428571428571419</v>
      </c>
      <c r="AA35" s="52">
        <f t="shared" si="27"/>
        <v>0.85714285714285698</v>
      </c>
      <c r="AB35" s="52">
        <f t="shared" si="27"/>
        <v>0.2857142857142857</v>
      </c>
      <c r="AC35" s="52">
        <f t="shared" si="27"/>
        <v>87.428571428571431</v>
      </c>
      <c r="AD35" s="52">
        <f t="shared" si="27"/>
        <v>0.14285714285714285</v>
      </c>
      <c r="AE35" s="40">
        <f t="shared" si="27"/>
        <v>16.857142857142858</v>
      </c>
      <c r="AF35" s="40">
        <f t="shared" si="27"/>
        <v>98.571428571428555</v>
      </c>
    </row>
    <row r="36" spans="2:32" ht="23.1" customHeight="1" x14ac:dyDescent="0.25">
      <c r="B36" s="24" t="s">
        <v>63</v>
      </c>
      <c r="C36" s="49">
        <f>AVERAGE('23.09.19 -Munyonyo-Kigo'!C36,'24.09 Munyonyo-Kigo'!C36,'25.09 Munyonyo-Kigo'!C36,'27.09 Munyonyo-LWEZA'!C36,'26.09 Munyonyo-Kigo-24h'!C36,'28.09 Munyonyo-Kigo-24h'!C36,'29.09 Munyonyo-Kigo'!C36)</f>
        <v>1.7142857142857142</v>
      </c>
      <c r="D36" s="49">
        <f>AVERAGE('23.09.19 -Munyonyo-Kigo'!D36,'24.09 Munyonyo-Kigo'!D36,'25.09 Munyonyo-Kigo'!D36,'27.09 Munyonyo-LWEZA'!D36,'26.09 Munyonyo-Kigo-24h'!D36,'28.09 Munyonyo-Kigo-24h'!D36,'29.09 Munyonyo-Kigo'!D36)</f>
        <v>0</v>
      </c>
      <c r="E36" s="49">
        <f>AVERAGE('23.09.19 -Munyonyo-Kigo'!E36,'24.09 Munyonyo-Kigo'!E36,'25.09 Munyonyo-Kigo'!E36,'27.09 Munyonyo-LWEZA'!E36,'26.09 Munyonyo-Kigo-24h'!E36,'28.09 Munyonyo-Kigo-24h'!E36,'29.09 Munyonyo-Kigo'!E36)</f>
        <v>0.5714285714285714</v>
      </c>
      <c r="F36" s="49">
        <f>AVERAGE('23.09.19 -Munyonyo-Kigo'!F36,'24.09 Munyonyo-Kigo'!F36,'25.09 Munyonyo-Kigo'!F36,'27.09 Munyonyo-LWEZA'!F36,'26.09 Munyonyo-Kigo-24h'!F36,'28.09 Munyonyo-Kigo-24h'!F36,'29.09 Munyonyo-Kigo'!F36)</f>
        <v>0.14285714285714285</v>
      </c>
      <c r="G36" s="49">
        <f>AVERAGE('23.09.19 -Munyonyo-Kigo'!G36,'24.09 Munyonyo-Kigo'!G36,'25.09 Munyonyo-Kigo'!G36,'27.09 Munyonyo-LWEZA'!G36,'26.09 Munyonyo-Kigo-24h'!G36,'28.09 Munyonyo-Kigo-24h'!G36,'29.09 Munyonyo-Kigo'!G36)</f>
        <v>0</v>
      </c>
      <c r="H36" s="49">
        <f>AVERAGE('23.09.19 -Munyonyo-Kigo'!H36,'24.09 Munyonyo-Kigo'!H36,'25.09 Munyonyo-Kigo'!H36,'27.09 Munyonyo-LWEZA'!H36,'26.09 Munyonyo-Kigo-24h'!H36,'28.09 Munyonyo-Kigo-24h'!H36,'29.09 Munyonyo-Kigo'!H36)</f>
        <v>0</v>
      </c>
      <c r="I36" s="49">
        <f>AVERAGE('23.09.19 -Munyonyo-Kigo'!I36,'24.09 Munyonyo-Kigo'!I36,'25.09 Munyonyo-Kigo'!I36,'27.09 Munyonyo-LWEZA'!I36,'26.09 Munyonyo-Kigo-24h'!I36,'28.09 Munyonyo-Kigo-24h'!I36,'29.09 Munyonyo-Kigo'!I36)</f>
        <v>0.14285714285714285</v>
      </c>
      <c r="J36" s="49">
        <f>AVERAGE('23.09.19 -Munyonyo-Kigo'!J36,'24.09 Munyonyo-Kigo'!J36,'25.09 Munyonyo-Kigo'!J36,'27.09 Munyonyo-LWEZA'!J36,'26.09 Munyonyo-Kigo-24h'!J36,'28.09 Munyonyo-Kigo-24h'!J36,'29.09 Munyonyo-Kigo'!J36)</f>
        <v>0.14285714285714285</v>
      </c>
      <c r="K36" s="49">
        <f>AVERAGE('23.09.19 -Munyonyo-Kigo'!K36,'24.09 Munyonyo-Kigo'!K36,'25.09 Munyonyo-Kigo'!K36,'27.09 Munyonyo-LWEZA'!K36,'26.09 Munyonyo-Kigo-24h'!K36,'28.09 Munyonyo-Kigo-24h'!K36,'29.09 Munyonyo-Kigo'!K36)</f>
        <v>0</v>
      </c>
      <c r="L36" s="49">
        <f>AVERAGE('23.09.19 -Munyonyo-Kigo'!L36,'24.09 Munyonyo-Kigo'!L36,'25.09 Munyonyo-Kigo'!L36,'27.09 Munyonyo-LWEZA'!L36,'26.09 Munyonyo-Kigo-24h'!L36,'28.09 Munyonyo-Kigo-24h'!L36,'29.09 Munyonyo-Kigo'!L36)</f>
        <v>0</v>
      </c>
      <c r="M36" s="49">
        <f>AVERAGE('23.09.19 -Munyonyo-Kigo'!M36,'24.09 Munyonyo-Kigo'!M36,'25.09 Munyonyo-Kigo'!M36,'27.09 Munyonyo-LWEZA'!M36,'26.09 Munyonyo-Kigo-24h'!M36,'28.09 Munyonyo-Kigo-24h'!M36,'29.09 Munyonyo-Kigo'!M36)</f>
        <v>15.857142857142858</v>
      </c>
      <c r="N36" s="49">
        <f>AVERAGE('23.09.19 -Munyonyo-Kigo'!N36,'24.09 Munyonyo-Kigo'!N36,'25.09 Munyonyo-Kigo'!N36,'27.09 Munyonyo-LWEZA'!N36,'26.09 Munyonyo-Kigo-24h'!N36,'28.09 Munyonyo-Kigo-24h'!N36,'29.09 Munyonyo-Kigo'!N36)</f>
        <v>0</v>
      </c>
      <c r="O36" s="15">
        <f t="shared" si="0"/>
        <v>2.714285714285714</v>
      </c>
      <c r="P36" s="15">
        <f t="shared" si="1"/>
        <v>18.571428571428573</v>
      </c>
      <c r="R36" s="51" t="s">
        <v>92</v>
      </c>
      <c r="S36" s="52">
        <f t="shared" ref="S36:AF36" si="28">MAX(S19:S21)</f>
        <v>13</v>
      </c>
      <c r="T36" s="52">
        <f t="shared" si="28"/>
        <v>3.5714285714285712</v>
      </c>
      <c r="U36" s="52">
        <f t="shared" si="28"/>
        <v>2.5714285714285712</v>
      </c>
      <c r="V36" s="52">
        <f t="shared" si="28"/>
        <v>4.5714285714285712</v>
      </c>
      <c r="W36" s="52">
        <f t="shared" si="28"/>
        <v>0</v>
      </c>
      <c r="X36" s="52">
        <f t="shared" si="28"/>
        <v>0</v>
      </c>
      <c r="Y36" s="52">
        <f t="shared" si="28"/>
        <v>2.4285714285714284</v>
      </c>
      <c r="Z36" s="52">
        <f t="shared" si="28"/>
        <v>0.2857142857142857</v>
      </c>
      <c r="AA36" s="52">
        <f t="shared" si="28"/>
        <v>0.7142857142857143</v>
      </c>
      <c r="AB36" s="52">
        <f t="shared" si="28"/>
        <v>0</v>
      </c>
      <c r="AC36" s="52">
        <f t="shared" si="28"/>
        <v>98.285714285714278</v>
      </c>
      <c r="AD36" s="52">
        <f t="shared" si="28"/>
        <v>0</v>
      </c>
      <c r="AE36" s="40">
        <f t="shared" si="28"/>
        <v>22.857142857142861</v>
      </c>
      <c r="AF36" s="40">
        <f t="shared" si="28"/>
        <v>118.71428571428572</v>
      </c>
    </row>
    <row r="37" spans="2:32" ht="23.1" customHeight="1" x14ac:dyDescent="0.25">
      <c r="B37" s="23" t="s">
        <v>64</v>
      </c>
      <c r="C37" s="49">
        <f>AVERAGE('23.09.19 -Munyonyo-Kigo'!C37,'24.09 Munyonyo-Kigo'!C37,'25.09 Munyonyo-Kigo'!C37,'27.09 Munyonyo-LWEZA'!C37,'26.09 Munyonyo-Kigo-24h'!C37,'28.09 Munyonyo-Kigo-24h'!C37,'29.09 Munyonyo-Kigo'!C37)</f>
        <v>2.4285714285714284</v>
      </c>
      <c r="D37" s="49">
        <f>AVERAGE('23.09.19 -Munyonyo-Kigo'!D37,'24.09 Munyonyo-Kigo'!D37,'25.09 Munyonyo-Kigo'!D37,'27.09 Munyonyo-LWEZA'!D37,'26.09 Munyonyo-Kigo-24h'!D37,'28.09 Munyonyo-Kigo-24h'!D37,'29.09 Munyonyo-Kigo'!D37)</f>
        <v>0.14285714285714285</v>
      </c>
      <c r="E37" s="49">
        <f>AVERAGE('23.09.19 -Munyonyo-Kigo'!E37,'24.09 Munyonyo-Kigo'!E37,'25.09 Munyonyo-Kigo'!E37,'27.09 Munyonyo-LWEZA'!E37,'26.09 Munyonyo-Kigo-24h'!E37,'28.09 Munyonyo-Kigo-24h'!E37,'29.09 Munyonyo-Kigo'!E37)</f>
        <v>0.5714285714285714</v>
      </c>
      <c r="F37" s="49">
        <f>AVERAGE('23.09.19 -Munyonyo-Kigo'!F37,'24.09 Munyonyo-Kigo'!F37,'25.09 Munyonyo-Kigo'!F37,'27.09 Munyonyo-LWEZA'!F37,'26.09 Munyonyo-Kigo-24h'!F37,'28.09 Munyonyo-Kigo-24h'!F37,'29.09 Munyonyo-Kigo'!F37)</f>
        <v>0.42857142857142855</v>
      </c>
      <c r="G37" s="49">
        <f>AVERAGE('23.09.19 -Munyonyo-Kigo'!G37,'24.09 Munyonyo-Kigo'!G37,'25.09 Munyonyo-Kigo'!G37,'27.09 Munyonyo-LWEZA'!G37,'26.09 Munyonyo-Kigo-24h'!G37,'28.09 Munyonyo-Kigo-24h'!G37,'29.09 Munyonyo-Kigo'!G37)</f>
        <v>0</v>
      </c>
      <c r="H37" s="49">
        <f>AVERAGE('23.09.19 -Munyonyo-Kigo'!H37,'24.09 Munyonyo-Kigo'!H37,'25.09 Munyonyo-Kigo'!H37,'27.09 Munyonyo-LWEZA'!H37,'26.09 Munyonyo-Kigo-24h'!H37,'28.09 Munyonyo-Kigo-24h'!H37,'29.09 Munyonyo-Kigo'!H37)</f>
        <v>0</v>
      </c>
      <c r="I37" s="49">
        <f>AVERAGE('23.09.19 -Munyonyo-Kigo'!I37,'24.09 Munyonyo-Kigo'!I37,'25.09 Munyonyo-Kigo'!I37,'27.09 Munyonyo-LWEZA'!I37,'26.09 Munyonyo-Kigo-24h'!I37,'28.09 Munyonyo-Kigo-24h'!I37,'29.09 Munyonyo-Kigo'!I37)</f>
        <v>0.2857142857142857</v>
      </c>
      <c r="J37" s="49">
        <f>AVERAGE('23.09.19 -Munyonyo-Kigo'!J37,'24.09 Munyonyo-Kigo'!J37,'25.09 Munyonyo-Kigo'!J37,'27.09 Munyonyo-LWEZA'!J37,'26.09 Munyonyo-Kigo-24h'!J37,'28.09 Munyonyo-Kigo-24h'!J37,'29.09 Munyonyo-Kigo'!J37)</f>
        <v>0</v>
      </c>
      <c r="K37" s="49">
        <f>AVERAGE('23.09.19 -Munyonyo-Kigo'!K37,'24.09 Munyonyo-Kigo'!K37,'25.09 Munyonyo-Kigo'!K37,'27.09 Munyonyo-LWEZA'!K37,'26.09 Munyonyo-Kigo-24h'!K37,'28.09 Munyonyo-Kigo-24h'!K37,'29.09 Munyonyo-Kigo'!K37)</f>
        <v>0.2857142857142857</v>
      </c>
      <c r="L37" s="49">
        <f>AVERAGE('23.09.19 -Munyonyo-Kigo'!L37,'24.09 Munyonyo-Kigo'!L37,'25.09 Munyonyo-Kigo'!L37,'27.09 Munyonyo-LWEZA'!L37,'26.09 Munyonyo-Kigo-24h'!L37,'28.09 Munyonyo-Kigo-24h'!L37,'29.09 Munyonyo-Kigo'!L37)</f>
        <v>0</v>
      </c>
      <c r="M37" s="49">
        <f>AVERAGE('23.09.19 -Munyonyo-Kigo'!M37,'24.09 Munyonyo-Kigo'!M37,'25.09 Munyonyo-Kigo'!M37,'27.09 Munyonyo-LWEZA'!M37,'26.09 Munyonyo-Kigo-24h'!M37,'28.09 Munyonyo-Kigo-24h'!M37,'29.09 Munyonyo-Kigo'!M37)</f>
        <v>13.428571428571429</v>
      </c>
      <c r="N37" s="49">
        <f>AVERAGE('23.09.19 -Munyonyo-Kigo'!N37,'24.09 Munyonyo-Kigo'!N37,'25.09 Munyonyo-Kigo'!N37,'27.09 Munyonyo-LWEZA'!N37,'26.09 Munyonyo-Kigo-24h'!N37,'28.09 Munyonyo-Kigo-24h'!N37,'29.09 Munyonyo-Kigo'!N37)</f>
        <v>0</v>
      </c>
      <c r="O37" s="15">
        <f t="shared" si="0"/>
        <v>4.1428571428571423</v>
      </c>
      <c r="P37" s="15">
        <f t="shared" si="1"/>
        <v>17.571428571428569</v>
      </c>
      <c r="R37" s="37" t="s">
        <v>85</v>
      </c>
      <c r="S37" s="56">
        <f t="shared" ref="S37:AF37" si="29">SUM(S10:S12)</f>
        <v>17.285714285714285</v>
      </c>
      <c r="T37" s="57">
        <f t="shared" si="29"/>
        <v>9.5714285714285712</v>
      </c>
      <c r="U37" s="57">
        <f t="shared" si="29"/>
        <v>2.8571428571428572</v>
      </c>
      <c r="V37" s="57">
        <f t="shared" si="29"/>
        <v>4.1428571428571423</v>
      </c>
      <c r="W37" s="57">
        <f t="shared" si="29"/>
        <v>0</v>
      </c>
      <c r="X37" s="57">
        <f t="shared" si="29"/>
        <v>0</v>
      </c>
      <c r="Y37" s="57">
        <f t="shared" si="29"/>
        <v>3.4285714285714284</v>
      </c>
      <c r="Z37" s="57">
        <f t="shared" si="29"/>
        <v>0.85714285714285698</v>
      </c>
      <c r="AA37" s="57">
        <f t="shared" si="29"/>
        <v>0.2857142857142857</v>
      </c>
      <c r="AB37" s="57">
        <f t="shared" si="29"/>
        <v>0.42857142857142855</v>
      </c>
      <c r="AC37" s="57">
        <f t="shared" si="29"/>
        <v>285.85714285714283</v>
      </c>
      <c r="AD37" s="57">
        <f t="shared" si="29"/>
        <v>0</v>
      </c>
      <c r="AE37" s="58">
        <f t="shared" si="29"/>
        <v>38.857142857142854</v>
      </c>
      <c r="AF37" s="58">
        <f t="shared" si="29"/>
        <v>324.71428571428572</v>
      </c>
    </row>
    <row r="38" spans="2:32" ht="23.1" customHeight="1" x14ac:dyDescent="0.25">
      <c r="B38" s="24" t="s">
        <v>65</v>
      </c>
      <c r="C38" s="49">
        <f>AVERAGE('23.09.19 -Munyonyo-Kigo'!C38,'24.09 Munyonyo-Kigo'!C38,'25.09 Munyonyo-Kigo'!C38,'27.09 Munyonyo-LWEZA'!C38,'26.09 Munyonyo-Kigo-24h'!C38,'28.09 Munyonyo-Kigo-24h'!C38,'29.09 Munyonyo-Kigo'!C38)</f>
        <v>1.1428571428571428</v>
      </c>
      <c r="D38" s="49">
        <f>AVERAGE('23.09.19 -Munyonyo-Kigo'!D38,'24.09 Munyonyo-Kigo'!D38,'25.09 Munyonyo-Kigo'!D38,'27.09 Munyonyo-LWEZA'!D38,'26.09 Munyonyo-Kigo-24h'!D38,'28.09 Munyonyo-Kigo-24h'!D38,'29.09 Munyonyo-Kigo'!D38)</f>
        <v>0</v>
      </c>
      <c r="E38" s="49">
        <f>AVERAGE('23.09.19 -Munyonyo-Kigo'!E38,'24.09 Munyonyo-Kigo'!E38,'25.09 Munyonyo-Kigo'!E38,'27.09 Munyonyo-LWEZA'!E38,'26.09 Munyonyo-Kigo-24h'!E38,'28.09 Munyonyo-Kigo-24h'!E38,'29.09 Munyonyo-Kigo'!E38)</f>
        <v>0.5714285714285714</v>
      </c>
      <c r="F38" s="49">
        <f>AVERAGE('23.09.19 -Munyonyo-Kigo'!F38,'24.09 Munyonyo-Kigo'!F38,'25.09 Munyonyo-Kigo'!F38,'27.09 Munyonyo-LWEZA'!F38,'26.09 Munyonyo-Kigo-24h'!F38,'28.09 Munyonyo-Kigo-24h'!F38,'29.09 Munyonyo-Kigo'!F38)</f>
        <v>0.14285714285714285</v>
      </c>
      <c r="G38" s="49">
        <f>AVERAGE('23.09.19 -Munyonyo-Kigo'!G38,'24.09 Munyonyo-Kigo'!G38,'25.09 Munyonyo-Kigo'!G38,'27.09 Munyonyo-LWEZA'!G38,'26.09 Munyonyo-Kigo-24h'!G38,'28.09 Munyonyo-Kigo-24h'!G38,'29.09 Munyonyo-Kigo'!G38)</f>
        <v>0</v>
      </c>
      <c r="H38" s="49">
        <f>AVERAGE('23.09.19 -Munyonyo-Kigo'!H38,'24.09 Munyonyo-Kigo'!H38,'25.09 Munyonyo-Kigo'!H38,'27.09 Munyonyo-LWEZA'!H38,'26.09 Munyonyo-Kigo-24h'!H38,'28.09 Munyonyo-Kigo-24h'!H38,'29.09 Munyonyo-Kigo'!H38)</f>
        <v>0</v>
      </c>
      <c r="I38" s="49">
        <f>AVERAGE('23.09.19 -Munyonyo-Kigo'!I38,'24.09 Munyonyo-Kigo'!I38,'25.09 Munyonyo-Kigo'!I38,'27.09 Munyonyo-LWEZA'!I38,'26.09 Munyonyo-Kigo-24h'!I38,'28.09 Munyonyo-Kigo-24h'!I38,'29.09 Munyonyo-Kigo'!I38)</f>
        <v>0.2857142857142857</v>
      </c>
      <c r="J38" s="49">
        <f>AVERAGE('23.09.19 -Munyonyo-Kigo'!J38,'24.09 Munyonyo-Kigo'!J38,'25.09 Munyonyo-Kigo'!J38,'27.09 Munyonyo-LWEZA'!J38,'26.09 Munyonyo-Kigo-24h'!J38,'28.09 Munyonyo-Kigo-24h'!J38,'29.09 Munyonyo-Kigo'!J38)</f>
        <v>0</v>
      </c>
      <c r="K38" s="49">
        <f>AVERAGE('23.09.19 -Munyonyo-Kigo'!K38,'24.09 Munyonyo-Kigo'!K38,'25.09 Munyonyo-Kigo'!K38,'27.09 Munyonyo-LWEZA'!K38,'26.09 Munyonyo-Kigo-24h'!K38,'28.09 Munyonyo-Kigo-24h'!K38,'29.09 Munyonyo-Kigo'!K38)</f>
        <v>0.14285714285714285</v>
      </c>
      <c r="L38" s="49">
        <f>AVERAGE('23.09.19 -Munyonyo-Kigo'!L38,'24.09 Munyonyo-Kigo'!L38,'25.09 Munyonyo-Kigo'!L38,'27.09 Munyonyo-LWEZA'!L38,'26.09 Munyonyo-Kigo-24h'!L38,'28.09 Munyonyo-Kigo-24h'!L38,'29.09 Munyonyo-Kigo'!L38)</f>
        <v>0</v>
      </c>
      <c r="M38" s="49">
        <f>AVERAGE('23.09.19 -Munyonyo-Kigo'!M38,'24.09 Munyonyo-Kigo'!M38,'25.09 Munyonyo-Kigo'!M38,'27.09 Munyonyo-LWEZA'!M38,'26.09 Munyonyo-Kigo-24h'!M38,'28.09 Munyonyo-Kigo-24h'!M38,'29.09 Munyonyo-Kigo'!M38)</f>
        <v>18.285714285714285</v>
      </c>
      <c r="N38" s="49">
        <f>AVERAGE('23.09.19 -Munyonyo-Kigo'!N38,'24.09 Munyonyo-Kigo'!N38,'25.09 Munyonyo-Kigo'!N38,'27.09 Munyonyo-LWEZA'!N38,'26.09 Munyonyo-Kigo-24h'!N38,'28.09 Munyonyo-Kigo-24h'!N38,'29.09 Munyonyo-Kigo'!N38)</f>
        <v>0</v>
      </c>
      <c r="O38" s="15">
        <f t="shared" si="0"/>
        <v>2.2857142857142856</v>
      </c>
      <c r="P38" s="15">
        <f t="shared" si="1"/>
        <v>20.571428571428569</v>
      </c>
      <c r="R38" s="28" t="s">
        <v>86</v>
      </c>
      <c r="S38" s="57">
        <f t="shared" ref="S38:AF38" si="30">SUM(S13:S18)</f>
        <v>38.571428571428569</v>
      </c>
      <c r="T38" s="57">
        <f t="shared" si="30"/>
        <v>10.571428571428569</v>
      </c>
      <c r="U38" s="57">
        <f t="shared" si="30"/>
        <v>7.5714285714285712</v>
      </c>
      <c r="V38" s="57">
        <f t="shared" si="30"/>
        <v>5.9999999999999991</v>
      </c>
      <c r="W38" s="57">
        <f t="shared" si="30"/>
        <v>0</v>
      </c>
      <c r="X38" s="57">
        <f t="shared" si="30"/>
        <v>0.14285714285714285</v>
      </c>
      <c r="Y38" s="57">
        <f t="shared" si="30"/>
        <v>6.4285714285714279</v>
      </c>
      <c r="Z38" s="57">
        <f t="shared" si="30"/>
        <v>1.2857142857142856</v>
      </c>
      <c r="AA38" s="57">
        <f t="shared" si="30"/>
        <v>2.4285714285714279</v>
      </c>
      <c r="AB38" s="57">
        <f t="shared" si="30"/>
        <v>0.42857142857142855</v>
      </c>
      <c r="AC38" s="57">
        <f t="shared" si="30"/>
        <v>454.57142857142861</v>
      </c>
      <c r="AD38" s="57">
        <f t="shared" si="30"/>
        <v>0.14285714285714285</v>
      </c>
      <c r="AE38" s="58">
        <f t="shared" si="30"/>
        <v>73.571428571428569</v>
      </c>
      <c r="AF38" s="58">
        <f t="shared" si="30"/>
        <v>528.14285714285711</v>
      </c>
    </row>
    <row r="39" spans="2:32" ht="23.1" customHeight="1" x14ac:dyDescent="0.25">
      <c r="B39" s="24" t="s">
        <v>66</v>
      </c>
      <c r="C39" s="49">
        <f>AVERAGE('23.09.19 -Munyonyo-Kigo'!C39,'24.09 Munyonyo-Kigo'!C39,'25.09 Munyonyo-Kigo'!C39,'27.09 Munyonyo-LWEZA'!C39,'26.09 Munyonyo-Kigo-24h'!C39,'28.09 Munyonyo-Kigo-24h'!C39,'29.09 Munyonyo-Kigo'!C39)</f>
        <v>0.5714285714285714</v>
      </c>
      <c r="D39" s="49">
        <f>AVERAGE('23.09.19 -Munyonyo-Kigo'!D39,'24.09 Munyonyo-Kigo'!D39,'25.09 Munyonyo-Kigo'!D39,'27.09 Munyonyo-LWEZA'!D39,'26.09 Munyonyo-Kigo-24h'!D39,'28.09 Munyonyo-Kigo-24h'!D39,'29.09 Munyonyo-Kigo'!D39)</f>
        <v>0</v>
      </c>
      <c r="E39" s="49">
        <f>AVERAGE('23.09.19 -Munyonyo-Kigo'!E39,'24.09 Munyonyo-Kigo'!E39,'25.09 Munyonyo-Kigo'!E39,'27.09 Munyonyo-LWEZA'!E39,'26.09 Munyonyo-Kigo-24h'!E39,'28.09 Munyonyo-Kigo-24h'!E39,'29.09 Munyonyo-Kigo'!E39)</f>
        <v>0</v>
      </c>
      <c r="F39" s="49">
        <f>AVERAGE('23.09.19 -Munyonyo-Kigo'!F39,'24.09 Munyonyo-Kigo'!F39,'25.09 Munyonyo-Kigo'!F39,'27.09 Munyonyo-LWEZA'!F39,'26.09 Munyonyo-Kigo-24h'!F39,'28.09 Munyonyo-Kigo-24h'!F39,'29.09 Munyonyo-Kigo'!F39)</f>
        <v>0.14285714285714285</v>
      </c>
      <c r="G39" s="49">
        <f>AVERAGE('23.09.19 -Munyonyo-Kigo'!G39,'24.09 Munyonyo-Kigo'!G39,'25.09 Munyonyo-Kigo'!G39,'27.09 Munyonyo-LWEZA'!G39,'26.09 Munyonyo-Kigo-24h'!G39,'28.09 Munyonyo-Kigo-24h'!G39,'29.09 Munyonyo-Kigo'!G39)</f>
        <v>0</v>
      </c>
      <c r="H39" s="49">
        <f>AVERAGE('23.09.19 -Munyonyo-Kigo'!H39,'24.09 Munyonyo-Kigo'!H39,'25.09 Munyonyo-Kigo'!H39,'27.09 Munyonyo-LWEZA'!H39,'26.09 Munyonyo-Kigo-24h'!H39,'28.09 Munyonyo-Kigo-24h'!H39,'29.09 Munyonyo-Kigo'!H39)</f>
        <v>0</v>
      </c>
      <c r="I39" s="49">
        <f>AVERAGE('23.09.19 -Munyonyo-Kigo'!I39,'24.09 Munyonyo-Kigo'!I39,'25.09 Munyonyo-Kigo'!I39,'27.09 Munyonyo-LWEZA'!I39,'26.09 Munyonyo-Kigo-24h'!I39,'28.09 Munyonyo-Kigo-24h'!I39,'29.09 Munyonyo-Kigo'!I39)</f>
        <v>0.42857142857142855</v>
      </c>
      <c r="J39" s="49">
        <f>AVERAGE('23.09.19 -Munyonyo-Kigo'!J39,'24.09 Munyonyo-Kigo'!J39,'25.09 Munyonyo-Kigo'!J39,'27.09 Munyonyo-LWEZA'!J39,'26.09 Munyonyo-Kigo-24h'!J39,'28.09 Munyonyo-Kigo-24h'!J39,'29.09 Munyonyo-Kigo'!J39)</f>
        <v>0</v>
      </c>
      <c r="K39" s="49">
        <f>AVERAGE('23.09.19 -Munyonyo-Kigo'!K39,'24.09 Munyonyo-Kigo'!K39,'25.09 Munyonyo-Kigo'!K39,'27.09 Munyonyo-LWEZA'!K39,'26.09 Munyonyo-Kigo-24h'!K39,'28.09 Munyonyo-Kigo-24h'!K39,'29.09 Munyonyo-Kigo'!K39)</f>
        <v>0.2857142857142857</v>
      </c>
      <c r="L39" s="49">
        <f>AVERAGE('23.09.19 -Munyonyo-Kigo'!L39,'24.09 Munyonyo-Kigo'!L39,'25.09 Munyonyo-Kigo'!L39,'27.09 Munyonyo-LWEZA'!L39,'26.09 Munyonyo-Kigo-24h'!L39,'28.09 Munyonyo-Kigo-24h'!L39,'29.09 Munyonyo-Kigo'!L39)</f>
        <v>0</v>
      </c>
      <c r="M39" s="49">
        <f>AVERAGE('23.09.19 -Munyonyo-Kigo'!M39,'24.09 Munyonyo-Kigo'!M39,'25.09 Munyonyo-Kigo'!M39,'27.09 Munyonyo-LWEZA'!M39,'26.09 Munyonyo-Kigo-24h'!M39,'28.09 Munyonyo-Kigo-24h'!M39,'29.09 Munyonyo-Kigo'!M39)</f>
        <v>17.142857142857142</v>
      </c>
      <c r="N39" s="49">
        <f>AVERAGE('23.09.19 -Munyonyo-Kigo'!N39,'24.09 Munyonyo-Kigo'!N39,'25.09 Munyonyo-Kigo'!N39,'27.09 Munyonyo-LWEZA'!N39,'26.09 Munyonyo-Kigo-24h'!N39,'28.09 Munyonyo-Kigo-24h'!N39,'29.09 Munyonyo-Kigo'!N39)</f>
        <v>0</v>
      </c>
      <c r="O39" s="15">
        <f t="shared" si="0"/>
        <v>1.4285714285714284</v>
      </c>
      <c r="P39" s="15">
        <f t="shared" si="1"/>
        <v>18.571428571428569</v>
      </c>
      <c r="R39" s="29" t="s">
        <v>87</v>
      </c>
      <c r="S39" s="57">
        <f t="shared" ref="S39:AF39" si="31">SUM(S19:S21)</f>
        <v>32.714285714285715</v>
      </c>
      <c r="T39" s="57">
        <f t="shared" si="31"/>
        <v>8.1428571428571423</v>
      </c>
      <c r="U39" s="57">
        <f t="shared" si="31"/>
        <v>7</v>
      </c>
      <c r="V39" s="57">
        <f t="shared" si="31"/>
        <v>9.5714285714285712</v>
      </c>
      <c r="W39" s="57">
        <f t="shared" si="31"/>
        <v>0</v>
      </c>
      <c r="X39" s="57">
        <f t="shared" si="31"/>
        <v>0</v>
      </c>
      <c r="Y39" s="57">
        <f t="shared" si="31"/>
        <v>4.5714285714285712</v>
      </c>
      <c r="Z39" s="57">
        <f t="shared" si="31"/>
        <v>0.5714285714285714</v>
      </c>
      <c r="AA39" s="57">
        <f t="shared" si="31"/>
        <v>0.7142857142857143</v>
      </c>
      <c r="AB39" s="57">
        <f t="shared" si="31"/>
        <v>0</v>
      </c>
      <c r="AC39" s="57">
        <f t="shared" si="31"/>
        <v>265.14285714285711</v>
      </c>
      <c r="AD39" s="57">
        <f t="shared" si="31"/>
        <v>0</v>
      </c>
      <c r="AE39" s="58">
        <f t="shared" si="31"/>
        <v>63.285714285714292</v>
      </c>
      <c r="AF39" s="58">
        <f t="shared" si="31"/>
        <v>328.42857142857144</v>
      </c>
    </row>
    <row r="40" spans="2:32" ht="23.1" customHeight="1" x14ac:dyDescent="0.25">
      <c r="B40" s="24" t="s">
        <v>67</v>
      </c>
      <c r="C40" s="49">
        <f>AVERAGE('23.09.19 -Munyonyo-Kigo'!C40,'24.09 Munyonyo-Kigo'!C40,'25.09 Munyonyo-Kigo'!C40,'27.09 Munyonyo-LWEZA'!C40,'26.09 Munyonyo-Kigo-24h'!C40,'28.09 Munyonyo-Kigo-24h'!C40,'29.09 Munyonyo-Kigo'!C40)</f>
        <v>1.5714285714285714</v>
      </c>
      <c r="D40" s="49">
        <f>AVERAGE('23.09.19 -Munyonyo-Kigo'!D40,'24.09 Munyonyo-Kigo'!D40,'25.09 Munyonyo-Kigo'!D40,'27.09 Munyonyo-LWEZA'!D40,'26.09 Munyonyo-Kigo-24h'!D40,'28.09 Munyonyo-Kigo-24h'!D40,'29.09 Munyonyo-Kigo'!D40)</f>
        <v>0.8571428571428571</v>
      </c>
      <c r="E40" s="49">
        <f>AVERAGE('23.09.19 -Munyonyo-Kigo'!E40,'24.09 Munyonyo-Kigo'!E40,'25.09 Munyonyo-Kigo'!E40,'27.09 Munyonyo-LWEZA'!E40,'26.09 Munyonyo-Kigo-24h'!E40,'28.09 Munyonyo-Kigo-24h'!E40,'29.09 Munyonyo-Kigo'!E40)</f>
        <v>0.42857142857142855</v>
      </c>
      <c r="F40" s="49">
        <f>AVERAGE('23.09.19 -Munyonyo-Kigo'!F40,'24.09 Munyonyo-Kigo'!F40,'25.09 Munyonyo-Kigo'!F40,'27.09 Munyonyo-LWEZA'!F40,'26.09 Munyonyo-Kigo-24h'!F40,'28.09 Munyonyo-Kigo-24h'!F40,'29.09 Munyonyo-Kigo'!F40)</f>
        <v>0.2857142857142857</v>
      </c>
      <c r="G40" s="49">
        <f>AVERAGE('23.09.19 -Munyonyo-Kigo'!G40,'24.09 Munyonyo-Kigo'!G40,'25.09 Munyonyo-Kigo'!G40,'27.09 Munyonyo-LWEZA'!G40,'26.09 Munyonyo-Kigo-24h'!G40,'28.09 Munyonyo-Kigo-24h'!G40,'29.09 Munyonyo-Kigo'!G40)</f>
        <v>0</v>
      </c>
      <c r="H40" s="49">
        <f>AVERAGE('23.09.19 -Munyonyo-Kigo'!H40,'24.09 Munyonyo-Kigo'!H40,'25.09 Munyonyo-Kigo'!H40,'27.09 Munyonyo-LWEZA'!H40,'26.09 Munyonyo-Kigo-24h'!H40,'28.09 Munyonyo-Kigo-24h'!H40,'29.09 Munyonyo-Kigo'!H40)</f>
        <v>0</v>
      </c>
      <c r="I40" s="49">
        <f>AVERAGE('23.09.19 -Munyonyo-Kigo'!I40,'24.09 Munyonyo-Kigo'!I40,'25.09 Munyonyo-Kigo'!I40,'27.09 Munyonyo-LWEZA'!I40,'26.09 Munyonyo-Kigo-24h'!I40,'28.09 Munyonyo-Kigo-24h'!I40,'29.09 Munyonyo-Kigo'!I40)</f>
        <v>0</v>
      </c>
      <c r="J40" s="49">
        <f>AVERAGE('23.09.19 -Munyonyo-Kigo'!J40,'24.09 Munyonyo-Kigo'!J40,'25.09 Munyonyo-Kigo'!J40,'27.09 Munyonyo-LWEZA'!J40,'26.09 Munyonyo-Kigo-24h'!J40,'28.09 Munyonyo-Kigo-24h'!J40,'29.09 Munyonyo-Kigo'!J40)</f>
        <v>0</v>
      </c>
      <c r="K40" s="49">
        <f>AVERAGE('23.09.19 -Munyonyo-Kigo'!K40,'24.09 Munyonyo-Kigo'!K40,'25.09 Munyonyo-Kigo'!K40,'27.09 Munyonyo-LWEZA'!K40,'26.09 Munyonyo-Kigo-24h'!K40,'28.09 Munyonyo-Kigo-24h'!K40,'29.09 Munyonyo-Kigo'!K40)</f>
        <v>0.2857142857142857</v>
      </c>
      <c r="L40" s="49">
        <f>AVERAGE('23.09.19 -Munyonyo-Kigo'!L40,'24.09 Munyonyo-Kigo'!L40,'25.09 Munyonyo-Kigo'!L40,'27.09 Munyonyo-LWEZA'!L40,'26.09 Munyonyo-Kigo-24h'!L40,'28.09 Munyonyo-Kigo-24h'!L40,'29.09 Munyonyo-Kigo'!L40)</f>
        <v>0</v>
      </c>
      <c r="M40" s="49">
        <f>AVERAGE('23.09.19 -Munyonyo-Kigo'!M40,'24.09 Munyonyo-Kigo'!M40,'25.09 Munyonyo-Kigo'!M40,'27.09 Munyonyo-LWEZA'!M40,'26.09 Munyonyo-Kigo-24h'!M40,'28.09 Munyonyo-Kigo-24h'!M40,'29.09 Munyonyo-Kigo'!M40)</f>
        <v>18.285714285714285</v>
      </c>
      <c r="N40" s="49">
        <f>AVERAGE('23.09.19 -Munyonyo-Kigo'!N40,'24.09 Munyonyo-Kigo'!N40,'25.09 Munyonyo-Kigo'!N40,'27.09 Munyonyo-LWEZA'!N40,'26.09 Munyonyo-Kigo-24h'!N40,'28.09 Munyonyo-Kigo-24h'!N40,'29.09 Munyonyo-Kigo'!N40)</f>
        <v>0</v>
      </c>
      <c r="O40" s="15">
        <f t="shared" si="0"/>
        <v>3.4285714285714279</v>
      </c>
      <c r="P40" s="15">
        <f t="shared" si="1"/>
        <v>21.714285714285712</v>
      </c>
      <c r="R40" s="5" t="s">
        <v>17</v>
      </c>
      <c r="S40" s="57">
        <f t="shared" ref="S40:AF40" si="32">SUM(S10:S21)</f>
        <v>88.571428571428569</v>
      </c>
      <c r="T40" s="57">
        <f t="shared" si="32"/>
        <v>28.285714285714285</v>
      </c>
      <c r="U40" s="57">
        <f t="shared" si="32"/>
        <v>17.428571428571427</v>
      </c>
      <c r="V40" s="57">
        <f t="shared" si="32"/>
        <v>19.714285714285708</v>
      </c>
      <c r="W40" s="57">
        <f t="shared" si="32"/>
        <v>0</v>
      </c>
      <c r="X40" s="57">
        <f t="shared" si="32"/>
        <v>0.14285714285714285</v>
      </c>
      <c r="Y40" s="57">
        <f t="shared" si="32"/>
        <v>14.428571428571429</v>
      </c>
      <c r="Z40" s="57">
        <f t="shared" si="32"/>
        <v>2.7142857142857135</v>
      </c>
      <c r="AA40" s="57">
        <f t="shared" si="32"/>
        <v>3.4285714285714284</v>
      </c>
      <c r="AB40" s="57">
        <f t="shared" si="32"/>
        <v>0.8571428571428571</v>
      </c>
      <c r="AC40" s="57">
        <f t="shared" si="32"/>
        <v>1005.5714285714287</v>
      </c>
      <c r="AD40" s="57">
        <f t="shared" si="32"/>
        <v>0.14285714285714285</v>
      </c>
      <c r="AE40" s="58">
        <f t="shared" si="32"/>
        <v>175.71428571428572</v>
      </c>
      <c r="AF40" s="58">
        <f t="shared" si="32"/>
        <v>1181.2857142857144</v>
      </c>
    </row>
    <row r="41" spans="2:32" ht="23.1" customHeight="1" x14ac:dyDescent="0.25">
      <c r="B41" s="23" t="s">
        <v>68</v>
      </c>
      <c r="C41" s="49">
        <f>AVERAGE('23.09.19 -Munyonyo-Kigo'!C41,'24.09 Munyonyo-Kigo'!C41,'25.09 Munyonyo-Kigo'!C41,'27.09 Munyonyo-LWEZA'!C41,'26.09 Munyonyo-Kigo-24h'!C41,'28.09 Munyonyo-Kigo-24h'!C41,'29.09 Munyonyo-Kigo'!C41)</f>
        <v>0.8571428571428571</v>
      </c>
      <c r="D41" s="49">
        <f>AVERAGE('23.09.19 -Munyonyo-Kigo'!D41,'24.09 Munyonyo-Kigo'!D41,'25.09 Munyonyo-Kigo'!D41,'27.09 Munyonyo-LWEZA'!D41,'26.09 Munyonyo-Kigo-24h'!D41,'28.09 Munyonyo-Kigo-24h'!D41,'29.09 Munyonyo-Kigo'!D41)</f>
        <v>0.2857142857142857</v>
      </c>
      <c r="E41" s="49">
        <f>AVERAGE('23.09.19 -Munyonyo-Kigo'!E41,'24.09 Munyonyo-Kigo'!E41,'25.09 Munyonyo-Kigo'!E41,'27.09 Munyonyo-LWEZA'!E41,'26.09 Munyonyo-Kigo-24h'!E41,'28.09 Munyonyo-Kigo-24h'!E41,'29.09 Munyonyo-Kigo'!E41)</f>
        <v>0.2857142857142857</v>
      </c>
      <c r="F41" s="49">
        <f>AVERAGE('23.09.19 -Munyonyo-Kigo'!F41,'24.09 Munyonyo-Kigo'!F41,'25.09 Munyonyo-Kigo'!F41,'27.09 Munyonyo-LWEZA'!F41,'26.09 Munyonyo-Kigo-24h'!F41,'28.09 Munyonyo-Kigo-24h'!F41,'29.09 Munyonyo-Kigo'!F41)</f>
        <v>0.14285714285714285</v>
      </c>
      <c r="G41" s="49">
        <f>AVERAGE('23.09.19 -Munyonyo-Kigo'!G41,'24.09 Munyonyo-Kigo'!G41,'25.09 Munyonyo-Kigo'!G41,'27.09 Munyonyo-LWEZA'!G41,'26.09 Munyonyo-Kigo-24h'!G41,'28.09 Munyonyo-Kigo-24h'!G41,'29.09 Munyonyo-Kigo'!G41)</f>
        <v>0</v>
      </c>
      <c r="H41" s="49">
        <f>AVERAGE('23.09.19 -Munyonyo-Kigo'!H41,'24.09 Munyonyo-Kigo'!H41,'25.09 Munyonyo-Kigo'!H41,'27.09 Munyonyo-LWEZA'!H41,'26.09 Munyonyo-Kigo-24h'!H41,'28.09 Munyonyo-Kigo-24h'!H41,'29.09 Munyonyo-Kigo'!H41)</f>
        <v>0</v>
      </c>
      <c r="I41" s="49">
        <f>AVERAGE('23.09.19 -Munyonyo-Kigo'!I41,'24.09 Munyonyo-Kigo'!I41,'25.09 Munyonyo-Kigo'!I41,'27.09 Munyonyo-LWEZA'!I41,'26.09 Munyonyo-Kigo-24h'!I41,'28.09 Munyonyo-Kigo-24h'!I41,'29.09 Munyonyo-Kigo'!I41)</f>
        <v>0.42857142857142855</v>
      </c>
      <c r="J41" s="49">
        <f>AVERAGE('23.09.19 -Munyonyo-Kigo'!J41,'24.09 Munyonyo-Kigo'!J41,'25.09 Munyonyo-Kigo'!J41,'27.09 Munyonyo-LWEZA'!J41,'26.09 Munyonyo-Kigo-24h'!J41,'28.09 Munyonyo-Kigo-24h'!J41,'29.09 Munyonyo-Kigo'!J41)</f>
        <v>0</v>
      </c>
      <c r="K41" s="49">
        <f>AVERAGE('23.09.19 -Munyonyo-Kigo'!K41,'24.09 Munyonyo-Kigo'!K41,'25.09 Munyonyo-Kigo'!K41,'27.09 Munyonyo-LWEZA'!K41,'26.09 Munyonyo-Kigo-24h'!K41,'28.09 Munyonyo-Kigo-24h'!K41,'29.09 Munyonyo-Kigo'!K41)</f>
        <v>0</v>
      </c>
      <c r="L41" s="49">
        <f>AVERAGE('23.09.19 -Munyonyo-Kigo'!L41,'24.09 Munyonyo-Kigo'!L41,'25.09 Munyonyo-Kigo'!L41,'27.09 Munyonyo-LWEZA'!L41,'26.09 Munyonyo-Kigo-24h'!L41,'28.09 Munyonyo-Kigo-24h'!L41,'29.09 Munyonyo-Kigo'!L41)</f>
        <v>0</v>
      </c>
      <c r="M41" s="49">
        <f>AVERAGE('23.09.19 -Munyonyo-Kigo'!M41,'24.09 Munyonyo-Kigo'!M41,'25.09 Munyonyo-Kigo'!M41,'27.09 Munyonyo-LWEZA'!M41,'26.09 Munyonyo-Kigo-24h'!M41,'28.09 Munyonyo-Kigo-24h'!M41,'29.09 Munyonyo-Kigo'!M41)</f>
        <v>15.714285714285714</v>
      </c>
      <c r="N41" s="49">
        <f>AVERAGE('23.09.19 -Munyonyo-Kigo'!N41,'24.09 Munyonyo-Kigo'!N41,'25.09 Munyonyo-Kigo'!N41,'27.09 Munyonyo-LWEZA'!N41,'26.09 Munyonyo-Kigo-24h'!N41,'28.09 Munyonyo-Kigo-24h'!N41,'29.09 Munyonyo-Kigo'!N41)</f>
        <v>0</v>
      </c>
      <c r="O41" s="15">
        <f t="shared" si="0"/>
        <v>1.9999999999999998</v>
      </c>
      <c r="P41" s="15">
        <f t="shared" si="1"/>
        <v>17.714285714285712</v>
      </c>
      <c r="R41" s="5" t="s">
        <v>183</v>
      </c>
      <c r="S41" s="57">
        <f>SUM(S10:S33)</f>
        <v>174.57142857142856</v>
      </c>
      <c r="T41" s="57">
        <f t="shared" ref="T41:AD41" si="33">SUM(T10:T33)</f>
        <v>43.785714285714285</v>
      </c>
      <c r="U41" s="57">
        <f t="shared" si="33"/>
        <v>29.928571428571427</v>
      </c>
      <c r="V41" s="57">
        <f t="shared" si="33"/>
        <v>35.714285714285708</v>
      </c>
      <c r="W41" s="57">
        <f t="shared" si="33"/>
        <v>0</v>
      </c>
      <c r="X41" s="57">
        <f t="shared" si="33"/>
        <v>0.64285714285714279</v>
      </c>
      <c r="Y41" s="57">
        <f t="shared" si="33"/>
        <v>18.428571428571431</v>
      </c>
      <c r="Z41" s="57">
        <f t="shared" si="33"/>
        <v>3.7142857142857135</v>
      </c>
      <c r="AA41" s="57">
        <f t="shared" si="33"/>
        <v>3.4285714285714284</v>
      </c>
      <c r="AB41" s="57">
        <f t="shared" si="33"/>
        <v>0.8571428571428571</v>
      </c>
      <c r="AC41" s="57">
        <f t="shared" si="33"/>
        <v>1654.0714285714287</v>
      </c>
      <c r="AD41" s="57">
        <f t="shared" si="33"/>
        <v>0.14285714285714285</v>
      </c>
      <c r="AE41" s="58">
        <f>SUM(AE10:AE33)</f>
        <v>311.21428571428572</v>
      </c>
      <c r="AF41" s="58">
        <f>SUM(AF10:AF33)</f>
        <v>1965.2857142857144</v>
      </c>
    </row>
    <row r="42" spans="2:32" ht="23.1" customHeight="1" x14ac:dyDescent="0.25">
      <c r="B42" s="24" t="s">
        <v>69</v>
      </c>
      <c r="C42" s="49">
        <f>AVERAGE('23.09.19 -Munyonyo-Kigo'!C42,'24.09 Munyonyo-Kigo'!C42,'25.09 Munyonyo-Kigo'!C42,'27.09 Munyonyo-LWEZA'!C42,'26.09 Munyonyo-Kigo-24h'!C42,'28.09 Munyonyo-Kigo-24h'!C42,'29.09 Munyonyo-Kigo'!C42)</f>
        <v>1.7142857142857142</v>
      </c>
      <c r="D42" s="49">
        <f>AVERAGE('23.09.19 -Munyonyo-Kigo'!D42,'24.09 Munyonyo-Kigo'!D42,'25.09 Munyonyo-Kigo'!D42,'27.09 Munyonyo-LWEZA'!D42,'26.09 Munyonyo-Kigo-24h'!D42,'28.09 Munyonyo-Kigo-24h'!D42,'29.09 Munyonyo-Kigo'!D42)</f>
        <v>0.2857142857142857</v>
      </c>
      <c r="E42" s="49">
        <f>AVERAGE('23.09.19 -Munyonyo-Kigo'!E42,'24.09 Munyonyo-Kigo'!E42,'25.09 Munyonyo-Kigo'!E42,'27.09 Munyonyo-LWEZA'!E42,'26.09 Munyonyo-Kigo-24h'!E42,'28.09 Munyonyo-Kigo-24h'!E42,'29.09 Munyonyo-Kigo'!E42)</f>
        <v>0.2857142857142857</v>
      </c>
      <c r="F42" s="49">
        <f>AVERAGE('23.09.19 -Munyonyo-Kigo'!F42,'24.09 Munyonyo-Kigo'!F42,'25.09 Munyonyo-Kigo'!F42,'27.09 Munyonyo-LWEZA'!F42,'26.09 Munyonyo-Kigo-24h'!F42,'28.09 Munyonyo-Kigo-24h'!F42,'29.09 Munyonyo-Kigo'!F42)</f>
        <v>0</v>
      </c>
      <c r="G42" s="49">
        <f>AVERAGE('23.09.19 -Munyonyo-Kigo'!G42,'24.09 Munyonyo-Kigo'!G42,'25.09 Munyonyo-Kigo'!G42,'27.09 Munyonyo-LWEZA'!G42,'26.09 Munyonyo-Kigo-24h'!G42,'28.09 Munyonyo-Kigo-24h'!G42,'29.09 Munyonyo-Kigo'!G42)</f>
        <v>0</v>
      </c>
      <c r="H42" s="49">
        <f>AVERAGE('23.09.19 -Munyonyo-Kigo'!H42,'24.09 Munyonyo-Kigo'!H42,'25.09 Munyonyo-Kigo'!H42,'27.09 Munyonyo-LWEZA'!H42,'26.09 Munyonyo-Kigo-24h'!H42,'28.09 Munyonyo-Kigo-24h'!H42,'29.09 Munyonyo-Kigo'!H42)</f>
        <v>0</v>
      </c>
      <c r="I42" s="49">
        <f>AVERAGE('23.09.19 -Munyonyo-Kigo'!I42,'24.09 Munyonyo-Kigo'!I42,'25.09 Munyonyo-Kigo'!I42,'27.09 Munyonyo-LWEZA'!I42,'26.09 Munyonyo-Kigo-24h'!I42,'28.09 Munyonyo-Kigo-24h'!I42,'29.09 Munyonyo-Kigo'!I42)</f>
        <v>0.2857142857142857</v>
      </c>
      <c r="J42" s="49">
        <f>AVERAGE('23.09.19 -Munyonyo-Kigo'!J42,'24.09 Munyonyo-Kigo'!J42,'25.09 Munyonyo-Kigo'!J42,'27.09 Munyonyo-LWEZA'!J42,'26.09 Munyonyo-Kigo-24h'!J42,'28.09 Munyonyo-Kigo-24h'!J42,'29.09 Munyonyo-Kigo'!J42)</f>
        <v>0</v>
      </c>
      <c r="K42" s="49">
        <f>AVERAGE('23.09.19 -Munyonyo-Kigo'!K42,'24.09 Munyonyo-Kigo'!K42,'25.09 Munyonyo-Kigo'!K42,'27.09 Munyonyo-LWEZA'!K42,'26.09 Munyonyo-Kigo-24h'!K42,'28.09 Munyonyo-Kigo-24h'!K42,'29.09 Munyonyo-Kigo'!K42)</f>
        <v>0.2857142857142857</v>
      </c>
      <c r="L42" s="49">
        <f>AVERAGE('23.09.19 -Munyonyo-Kigo'!L42,'24.09 Munyonyo-Kigo'!L42,'25.09 Munyonyo-Kigo'!L42,'27.09 Munyonyo-LWEZA'!L42,'26.09 Munyonyo-Kigo-24h'!L42,'28.09 Munyonyo-Kigo-24h'!L42,'29.09 Munyonyo-Kigo'!L42)</f>
        <v>0</v>
      </c>
      <c r="M42" s="49">
        <f>AVERAGE('23.09.19 -Munyonyo-Kigo'!M42,'24.09 Munyonyo-Kigo'!M42,'25.09 Munyonyo-Kigo'!M42,'27.09 Munyonyo-LWEZA'!M42,'26.09 Munyonyo-Kigo-24h'!M42,'28.09 Munyonyo-Kigo-24h'!M42,'29.09 Munyonyo-Kigo'!M42)</f>
        <v>15.571428571428571</v>
      </c>
      <c r="N42" s="49">
        <f>AVERAGE('23.09.19 -Munyonyo-Kigo'!N42,'24.09 Munyonyo-Kigo'!N42,'25.09 Munyonyo-Kigo'!N42,'27.09 Munyonyo-LWEZA'!N42,'26.09 Munyonyo-Kigo-24h'!N42,'28.09 Munyonyo-Kigo-24h'!N42,'29.09 Munyonyo-Kigo'!N42)</f>
        <v>0</v>
      </c>
      <c r="O42" s="15">
        <f t="shared" si="0"/>
        <v>2.8571428571428568</v>
      </c>
      <c r="P42" s="15">
        <f t="shared" si="1"/>
        <v>18.428571428571427</v>
      </c>
      <c r="R42" s="5" t="s">
        <v>160</v>
      </c>
      <c r="S42" s="48">
        <f>S41/S40</f>
        <v>1.9709677419354836</v>
      </c>
      <c r="T42" s="48">
        <f t="shared" ref="T42:AF42" si="34">T41/T40</f>
        <v>1.547979797979798</v>
      </c>
      <c r="U42" s="48">
        <f t="shared" si="34"/>
        <v>1.7172131147540983</v>
      </c>
      <c r="V42" s="48">
        <f t="shared" si="34"/>
        <v>1.811594202898551</v>
      </c>
      <c r="W42" s="48" t="e">
        <f t="shared" si="34"/>
        <v>#DIV/0!</v>
      </c>
      <c r="X42" s="48">
        <f t="shared" si="34"/>
        <v>4.5</v>
      </c>
      <c r="Y42" s="48">
        <f t="shared" si="34"/>
        <v>1.2772277227722773</v>
      </c>
      <c r="Z42" s="48">
        <f t="shared" si="34"/>
        <v>1.368421052631579</v>
      </c>
      <c r="AA42" s="48">
        <f t="shared" si="34"/>
        <v>1</v>
      </c>
      <c r="AB42" s="48">
        <f t="shared" si="34"/>
        <v>1</v>
      </c>
      <c r="AC42" s="48">
        <f t="shared" si="34"/>
        <v>1.6449069470095183</v>
      </c>
      <c r="AD42" s="48">
        <f t="shared" si="34"/>
        <v>1</v>
      </c>
      <c r="AE42" s="59">
        <f t="shared" si="34"/>
        <v>1.7711382113821137</v>
      </c>
      <c r="AF42" s="59">
        <f t="shared" si="34"/>
        <v>1.6636836376829121</v>
      </c>
    </row>
    <row r="43" spans="2:32" ht="23.1" customHeight="1" x14ac:dyDescent="0.25">
      <c r="B43" s="23" t="s">
        <v>70</v>
      </c>
      <c r="C43" s="49">
        <f>AVERAGE('23.09.19 -Munyonyo-Kigo'!C43,'24.09 Munyonyo-Kigo'!C43,'25.09 Munyonyo-Kigo'!C43,'27.09 Munyonyo-LWEZA'!C43,'26.09 Munyonyo-Kigo-24h'!C43,'28.09 Munyonyo-Kigo-24h'!C43,'29.09 Munyonyo-Kigo'!C43)</f>
        <v>2.5714285714285716</v>
      </c>
      <c r="D43" s="49">
        <f>AVERAGE('23.09.19 -Munyonyo-Kigo'!D43,'24.09 Munyonyo-Kigo'!D43,'25.09 Munyonyo-Kigo'!D43,'27.09 Munyonyo-LWEZA'!D43,'26.09 Munyonyo-Kigo-24h'!D43,'28.09 Munyonyo-Kigo-24h'!D43,'29.09 Munyonyo-Kigo'!D43)</f>
        <v>0.5714285714285714</v>
      </c>
      <c r="E43" s="49">
        <f>AVERAGE('23.09.19 -Munyonyo-Kigo'!E43,'24.09 Munyonyo-Kigo'!E43,'25.09 Munyonyo-Kigo'!E43,'27.09 Munyonyo-LWEZA'!E43,'26.09 Munyonyo-Kigo-24h'!E43,'28.09 Munyonyo-Kigo-24h'!E43,'29.09 Munyonyo-Kigo'!E43)</f>
        <v>0.2857142857142857</v>
      </c>
      <c r="F43" s="49">
        <f>AVERAGE('23.09.19 -Munyonyo-Kigo'!F43,'24.09 Munyonyo-Kigo'!F43,'25.09 Munyonyo-Kigo'!F43,'27.09 Munyonyo-LWEZA'!F43,'26.09 Munyonyo-Kigo-24h'!F43,'28.09 Munyonyo-Kigo-24h'!F43,'29.09 Munyonyo-Kigo'!F43)</f>
        <v>0.42857142857142855</v>
      </c>
      <c r="G43" s="49">
        <f>AVERAGE('23.09.19 -Munyonyo-Kigo'!G43,'24.09 Munyonyo-Kigo'!G43,'25.09 Munyonyo-Kigo'!G43,'27.09 Munyonyo-LWEZA'!G43,'26.09 Munyonyo-Kigo-24h'!G43,'28.09 Munyonyo-Kigo-24h'!G43,'29.09 Munyonyo-Kigo'!G43)</f>
        <v>0</v>
      </c>
      <c r="H43" s="49">
        <f>AVERAGE('23.09.19 -Munyonyo-Kigo'!H43,'24.09 Munyonyo-Kigo'!H43,'25.09 Munyonyo-Kigo'!H43,'27.09 Munyonyo-LWEZA'!H43,'26.09 Munyonyo-Kigo-24h'!H43,'28.09 Munyonyo-Kigo-24h'!H43,'29.09 Munyonyo-Kigo'!H43)</f>
        <v>0</v>
      </c>
      <c r="I43" s="49">
        <f>AVERAGE('23.09.19 -Munyonyo-Kigo'!I43,'24.09 Munyonyo-Kigo'!I43,'25.09 Munyonyo-Kigo'!I43,'27.09 Munyonyo-LWEZA'!I43,'26.09 Munyonyo-Kigo-24h'!I43,'28.09 Munyonyo-Kigo-24h'!I43,'29.09 Munyonyo-Kigo'!I43)</f>
        <v>0.2857142857142857</v>
      </c>
      <c r="J43" s="49">
        <f>AVERAGE('23.09.19 -Munyonyo-Kigo'!J43,'24.09 Munyonyo-Kigo'!J43,'25.09 Munyonyo-Kigo'!J43,'27.09 Munyonyo-LWEZA'!J43,'26.09 Munyonyo-Kigo-24h'!J43,'28.09 Munyonyo-Kigo-24h'!J43,'29.09 Munyonyo-Kigo'!J43)</f>
        <v>0</v>
      </c>
      <c r="K43" s="49">
        <f>AVERAGE('23.09.19 -Munyonyo-Kigo'!K43,'24.09 Munyonyo-Kigo'!K43,'25.09 Munyonyo-Kigo'!K43,'27.09 Munyonyo-LWEZA'!K43,'26.09 Munyonyo-Kigo-24h'!K43,'28.09 Munyonyo-Kigo-24h'!K43,'29.09 Munyonyo-Kigo'!K43)</f>
        <v>0.42857142857142855</v>
      </c>
      <c r="L43" s="49">
        <f>AVERAGE('23.09.19 -Munyonyo-Kigo'!L43,'24.09 Munyonyo-Kigo'!L43,'25.09 Munyonyo-Kigo'!L43,'27.09 Munyonyo-LWEZA'!L43,'26.09 Munyonyo-Kigo-24h'!L43,'28.09 Munyonyo-Kigo-24h'!L43,'29.09 Munyonyo-Kigo'!L43)</f>
        <v>0</v>
      </c>
      <c r="M43" s="49">
        <f>AVERAGE('23.09.19 -Munyonyo-Kigo'!M43,'24.09 Munyonyo-Kigo'!M43,'25.09 Munyonyo-Kigo'!M43,'27.09 Munyonyo-LWEZA'!M43,'26.09 Munyonyo-Kigo-24h'!M43,'28.09 Munyonyo-Kigo-24h'!M43,'29.09 Munyonyo-Kigo'!M43)</f>
        <v>21.428571428571427</v>
      </c>
      <c r="N43" s="49">
        <f>AVERAGE('23.09.19 -Munyonyo-Kigo'!N43,'24.09 Munyonyo-Kigo'!N43,'25.09 Munyonyo-Kigo'!N43,'27.09 Munyonyo-LWEZA'!N43,'26.09 Munyonyo-Kigo-24h'!N43,'28.09 Munyonyo-Kigo-24h'!N43,'29.09 Munyonyo-Kigo'!N43)</f>
        <v>0</v>
      </c>
      <c r="O43" s="15">
        <f t="shared" si="0"/>
        <v>4.5714285714285721</v>
      </c>
      <c r="P43" s="15">
        <f t="shared" si="1"/>
        <v>26</v>
      </c>
    </row>
    <row r="44" spans="2:32" ht="23.1" customHeight="1" x14ac:dyDescent="0.25">
      <c r="B44" s="25" t="s">
        <v>71</v>
      </c>
      <c r="C44" s="49">
        <f>AVERAGE('23.09.19 -Munyonyo-Kigo'!C44,'24.09 Munyonyo-Kigo'!C44,'25.09 Munyonyo-Kigo'!C44,'27.09 Munyonyo-LWEZA'!C44,'26.09 Munyonyo-Kigo-24h'!C44,'28.09 Munyonyo-Kigo-24h'!C44,'29.09 Munyonyo-Kigo'!C44)</f>
        <v>2</v>
      </c>
      <c r="D44" s="49">
        <f>AVERAGE('23.09.19 -Munyonyo-Kigo'!D44,'24.09 Munyonyo-Kigo'!D44,'25.09 Munyonyo-Kigo'!D44,'27.09 Munyonyo-LWEZA'!D44,'26.09 Munyonyo-Kigo-24h'!D44,'28.09 Munyonyo-Kigo-24h'!D44,'29.09 Munyonyo-Kigo'!D44)</f>
        <v>0.8571428571428571</v>
      </c>
      <c r="E44" s="49">
        <f>AVERAGE('23.09.19 -Munyonyo-Kigo'!E44,'24.09 Munyonyo-Kigo'!E44,'25.09 Munyonyo-Kigo'!E44,'27.09 Munyonyo-LWEZA'!E44,'26.09 Munyonyo-Kigo-24h'!E44,'28.09 Munyonyo-Kigo-24h'!E44,'29.09 Munyonyo-Kigo'!E44)</f>
        <v>0.5714285714285714</v>
      </c>
      <c r="F44" s="49">
        <f>AVERAGE('23.09.19 -Munyonyo-Kigo'!F44,'24.09 Munyonyo-Kigo'!F44,'25.09 Munyonyo-Kigo'!F44,'27.09 Munyonyo-LWEZA'!F44,'26.09 Munyonyo-Kigo-24h'!F44,'28.09 Munyonyo-Kigo-24h'!F44,'29.09 Munyonyo-Kigo'!F44)</f>
        <v>0.5714285714285714</v>
      </c>
      <c r="G44" s="49">
        <f>AVERAGE('23.09.19 -Munyonyo-Kigo'!G44,'24.09 Munyonyo-Kigo'!G44,'25.09 Munyonyo-Kigo'!G44,'27.09 Munyonyo-LWEZA'!G44,'26.09 Munyonyo-Kigo-24h'!G44,'28.09 Munyonyo-Kigo-24h'!G44,'29.09 Munyonyo-Kigo'!G44)</f>
        <v>0</v>
      </c>
      <c r="H44" s="49">
        <f>AVERAGE('23.09.19 -Munyonyo-Kigo'!H44,'24.09 Munyonyo-Kigo'!H44,'25.09 Munyonyo-Kigo'!H44,'27.09 Munyonyo-LWEZA'!H44,'26.09 Munyonyo-Kigo-24h'!H44,'28.09 Munyonyo-Kigo-24h'!H44,'29.09 Munyonyo-Kigo'!H44)</f>
        <v>0</v>
      </c>
      <c r="I44" s="49">
        <f>AVERAGE('23.09.19 -Munyonyo-Kigo'!I44,'24.09 Munyonyo-Kigo'!I44,'25.09 Munyonyo-Kigo'!I44,'27.09 Munyonyo-LWEZA'!I44,'26.09 Munyonyo-Kigo-24h'!I44,'28.09 Munyonyo-Kigo-24h'!I44,'29.09 Munyonyo-Kigo'!I44)</f>
        <v>0.42857142857142855</v>
      </c>
      <c r="J44" s="49">
        <f>AVERAGE('23.09.19 -Munyonyo-Kigo'!J44,'24.09 Munyonyo-Kigo'!J44,'25.09 Munyonyo-Kigo'!J44,'27.09 Munyonyo-LWEZA'!J44,'26.09 Munyonyo-Kigo-24h'!J44,'28.09 Munyonyo-Kigo-24h'!J44,'29.09 Munyonyo-Kigo'!J44)</f>
        <v>0</v>
      </c>
      <c r="K44" s="49">
        <f>AVERAGE('23.09.19 -Munyonyo-Kigo'!K44,'24.09 Munyonyo-Kigo'!K44,'25.09 Munyonyo-Kigo'!K44,'27.09 Munyonyo-LWEZA'!K44,'26.09 Munyonyo-Kigo-24h'!K44,'28.09 Munyonyo-Kigo-24h'!K44,'29.09 Munyonyo-Kigo'!K44)</f>
        <v>0</v>
      </c>
      <c r="L44" s="49">
        <f>AVERAGE('23.09.19 -Munyonyo-Kigo'!L44,'24.09 Munyonyo-Kigo'!L44,'25.09 Munyonyo-Kigo'!L44,'27.09 Munyonyo-LWEZA'!L44,'26.09 Munyonyo-Kigo-24h'!L44,'28.09 Munyonyo-Kigo-24h'!L44,'29.09 Munyonyo-Kigo'!L44)</f>
        <v>0</v>
      </c>
      <c r="M44" s="49">
        <f>AVERAGE('23.09.19 -Munyonyo-Kigo'!M44,'24.09 Munyonyo-Kigo'!M44,'25.09 Munyonyo-Kigo'!M44,'27.09 Munyonyo-LWEZA'!M44,'26.09 Munyonyo-Kigo-24h'!M44,'28.09 Munyonyo-Kigo-24h'!M44,'29.09 Munyonyo-Kigo'!M44)</f>
        <v>18.571428571428573</v>
      </c>
      <c r="N44" s="49">
        <f>AVERAGE('23.09.19 -Munyonyo-Kigo'!N44,'24.09 Munyonyo-Kigo'!N44,'25.09 Munyonyo-Kigo'!N44,'27.09 Munyonyo-LWEZA'!N44,'26.09 Munyonyo-Kigo-24h'!N44,'28.09 Munyonyo-Kigo-24h'!N44,'29.09 Munyonyo-Kigo'!N44)</f>
        <v>0</v>
      </c>
      <c r="O44" s="15">
        <f t="shared" si="0"/>
        <v>4.4285714285714288</v>
      </c>
      <c r="P44" s="15">
        <f t="shared" si="1"/>
        <v>23</v>
      </c>
    </row>
    <row r="45" spans="2:32" ht="23.1" customHeight="1" x14ac:dyDescent="0.25">
      <c r="B45" s="23" t="s">
        <v>72</v>
      </c>
      <c r="C45" s="49">
        <f>AVERAGE('23.09.19 -Munyonyo-Kigo'!C45,'24.09 Munyonyo-Kigo'!C45,'25.09 Munyonyo-Kigo'!C45,'27.09 Munyonyo-LWEZA'!C45,'26.09 Munyonyo-Kigo-24h'!C45,'28.09 Munyonyo-Kigo-24h'!C45,'29.09 Munyonyo-Kigo'!C45)</f>
        <v>2.2857142857142856</v>
      </c>
      <c r="D45" s="49">
        <f>AVERAGE('23.09.19 -Munyonyo-Kigo'!D45,'24.09 Munyonyo-Kigo'!D45,'25.09 Munyonyo-Kigo'!D45,'27.09 Munyonyo-LWEZA'!D45,'26.09 Munyonyo-Kigo-24h'!D45,'28.09 Munyonyo-Kigo-24h'!D45,'29.09 Munyonyo-Kigo'!D45)</f>
        <v>1</v>
      </c>
      <c r="E45" s="49">
        <f>AVERAGE('23.09.19 -Munyonyo-Kigo'!E45,'24.09 Munyonyo-Kigo'!E45,'25.09 Munyonyo-Kigo'!E45,'27.09 Munyonyo-LWEZA'!E45,'26.09 Munyonyo-Kigo-24h'!E45,'28.09 Munyonyo-Kigo-24h'!E45,'29.09 Munyonyo-Kigo'!E45)</f>
        <v>0.2857142857142857</v>
      </c>
      <c r="F45" s="49">
        <f>AVERAGE('23.09.19 -Munyonyo-Kigo'!F45,'24.09 Munyonyo-Kigo'!F45,'25.09 Munyonyo-Kigo'!F45,'27.09 Munyonyo-LWEZA'!F45,'26.09 Munyonyo-Kigo-24h'!F45,'28.09 Munyonyo-Kigo-24h'!F45,'29.09 Munyonyo-Kigo'!F45)</f>
        <v>0.5714285714285714</v>
      </c>
      <c r="G45" s="49">
        <f>AVERAGE('23.09.19 -Munyonyo-Kigo'!G45,'24.09 Munyonyo-Kigo'!G45,'25.09 Munyonyo-Kigo'!G45,'27.09 Munyonyo-LWEZA'!G45,'26.09 Munyonyo-Kigo-24h'!G45,'28.09 Munyonyo-Kigo-24h'!G45,'29.09 Munyonyo-Kigo'!G45)</f>
        <v>0</v>
      </c>
      <c r="H45" s="49">
        <f>AVERAGE('23.09.19 -Munyonyo-Kigo'!H45,'24.09 Munyonyo-Kigo'!H45,'25.09 Munyonyo-Kigo'!H45,'27.09 Munyonyo-LWEZA'!H45,'26.09 Munyonyo-Kigo-24h'!H45,'28.09 Munyonyo-Kigo-24h'!H45,'29.09 Munyonyo-Kigo'!H45)</f>
        <v>0</v>
      </c>
      <c r="I45" s="49">
        <f>AVERAGE('23.09.19 -Munyonyo-Kigo'!I45,'24.09 Munyonyo-Kigo'!I45,'25.09 Munyonyo-Kigo'!I45,'27.09 Munyonyo-LWEZA'!I45,'26.09 Munyonyo-Kigo-24h'!I45,'28.09 Munyonyo-Kigo-24h'!I45,'29.09 Munyonyo-Kigo'!I45)</f>
        <v>0.7142857142857143</v>
      </c>
      <c r="J45" s="49">
        <f>AVERAGE('23.09.19 -Munyonyo-Kigo'!J45,'24.09 Munyonyo-Kigo'!J45,'25.09 Munyonyo-Kigo'!J45,'27.09 Munyonyo-LWEZA'!J45,'26.09 Munyonyo-Kigo-24h'!J45,'28.09 Munyonyo-Kigo-24h'!J45,'29.09 Munyonyo-Kigo'!J45)</f>
        <v>0</v>
      </c>
      <c r="K45" s="49">
        <f>AVERAGE('23.09.19 -Munyonyo-Kigo'!K45,'24.09 Munyonyo-Kigo'!K45,'25.09 Munyonyo-Kigo'!K45,'27.09 Munyonyo-LWEZA'!K45,'26.09 Munyonyo-Kigo-24h'!K45,'28.09 Munyonyo-Kigo-24h'!K45,'29.09 Munyonyo-Kigo'!K45)</f>
        <v>0.14285714285714285</v>
      </c>
      <c r="L45" s="49">
        <f>AVERAGE('23.09.19 -Munyonyo-Kigo'!L45,'24.09 Munyonyo-Kigo'!L45,'25.09 Munyonyo-Kigo'!L45,'27.09 Munyonyo-LWEZA'!L45,'26.09 Munyonyo-Kigo-24h'!L45,'28.09 Munyonyo-Kigo-24h'!L45,'29.09 Munyonyo-Kigo'!L45)</f>
        <v>0</v>
      </c>
      <c r="M45" s="49">
        <f>AVERAGE('23.09.19 -Munyonyo-Kigo'!M45,'24.09 Munyonyo-Kigo'!M45,'25.09 Munyonyo-Kigo'!M45,'27.09 Munyonyo-LWEZA'!M45,'26.09 Munyonyo-Kigo-24h'!M45,'28.09 Munyonyo-Kigo-24h'!M45,'29.09 Munyonyo-Kigo'!M45)</f>
        <v>17.428571428571427</v>
      </c>
      <c r="N45" s="49">
        <f>AVERAGE('23.09.19 -Munyonyo-Kigo'!N45,'24.09 Munyonyo-Kigo'!N45,'25.09 Munyonyo-Kigo'!N45,'27.09 Munyonyo-LWEZA'!N45,'26.09 Munyonyo-Kigo-24h'!N45,'28.09 Munyonyo-Kigo-24h'!N45,'29.09 Munyonyo-Kigo'!N45)</f>
        <v>0</v>
      </c>
      <c r="O45" s="15">
        <f t="shared" si="0"/>
        <v>5</v>
      </c>
      <c r="P45" s="15">
        <f t="shared" si="1"/>
        <v>22.428571428571427</v>
      </c>
    </row>
    <row r="46" spans="2:32" ht="23.1" customHeight="1" x14ac:dyDescent="0.25">
      <c r="B46" s="24" t="s">
        <v>73</v>
      </c>
      <c r="C46" s="49">
        <f>AVERAGE('23.09.19 -Munyonyo-Kigo'!C46,'24.09 Munyonyo-Kigo'!C46,'25.09 Munyonyo-Kigo'!C46,'27.09 Munyonyo-LWEZA'!C46,'26.09 Munyonyo-Kigo-24h'!C46,'28.09 Munyonyo-Kigo-24h'!C46,'29.09 Munyonyo-Kigo'!C46)</f>
        <v>1.5714285714285714</v>
      </c>
      <c r="D46" s="49">
        <f>AVERAGE('23.09.19 -Munyonyo-Kigo'!D46,'24.09 Munyonyo-Kigo'!D46,'25.09 Munyonyo-Kigo'!D46,'27.09 Munyonyo-LWEZA'!D46,'26.09 Munyonyo-Kigo-24h'!D46,'28.09 Munyonyo-Kigo-24h'!D46,'29.09 Munyonyo-Kigo'!D46)</f>
        <v>1.2857142857142858</v>
      </c>
      <c r="E46" s="49">
        <f>AVERAGE('23.09.19 -Munyonyo-Kigo'!E46,'24.09 Munyonyo-Kigo'!E46,'25.09 Munyonyo-Kigo'!E46,'27.09 Munyonyo-LWEZA'!E46,'26.09 Munyonyo-Kigo-24h'!E46,'28.09 Munyonyo-Kigo-24h'!E46,'29.09 Munyonyo-Kigo'!E46)</f>
        <v>0.14285714285714285</v>
      </c>
      <c r="F46" s="49">
        <f>AVERAGE('23.09.19 -Munyonyo-Kigo'!F46,'24.09 Munyonyo-Kigo'!F46,'25.09 Munyonyo-Kigo'!F46,'27.09 Munyonyo-LWEZA'!F46,'26.09 Munyonyo-Kigo-24h'!F46,'28.09 Munyonyo-Kigo-24h'!F46,'29.09 Munyonyo-Kigo'!F46)</f>
        <v>0.5714285714285714</v>
      </c>
      <c r="G46" s="49">
        <f>AVERAGE('23.09.19 -Munyonyo-Kigo'!G46,'24.09 Munyonyo-Kigo'!G46,'25.09 Munyonyo-Kigo'!G46,'27.09 Munyonyo-LWEZA'!G46,'26.09 Munyonyo-Kigo-24h'!G46,'28.09 Munyonyo-Kigo-24h'!G46,'29.09 Munyonyo-Kigo'!G46)</f>
        <v>0</v>
      </c>
      <c r="H46" s="49">
        <f>AVERAGE('23.09.19 -Munyonyo-Kigo'!H46,'24.09 Munyonyo-Kigo'!H46,'25.09 Munyonyo-Kigo'!H46,'27.09 Munyonyo-LWEZA'!H46,'26.09 Munyonyo-Kigo-24h'!H46,'28.09 Munyonyo-Kigo-24h'!H46,'29.09 Munyonyo-Kigo'!H46)</f>
        <v>0</v>
      </c>
      <c r="I46" s="49">
        <f>AVERAGE('23.09.19 -Munyonyo-Kigo'!I46,'24.09 Munyonyo-Kigo'!I46,'25.09 Munyonyo-Kigo'!I46,'27.09 Munyonyo-LWEZA'!I46,'26.09 Munyonyo-Kigo-24h'!I46,'28.09 Munyonyo-Kigo-24h'!I46,'29.09 Munyonyo-Kigo'!I46)</f>
        <v>0.42857142857142855</v>
      </c>
      <c r="J46" s="49">
        <f>AVERAGE('23.09.19 -Munyonyo-Kigo'!J46,'24.09 Munyonyo-Kigo'!J46,'25.09 Munyonyo-Kigo'!J46,'27.09 Munyonyo-LWEZA'!J46,'26.09 Munyonyo-Kigo-24h'!J46,'28.09 Munyonyo-Kigo-24h'!J46,'29.09 Munyonyo-Kigo'!J46)</f>
        <v>0.2857142857142857</v>
      </c>
      <c r="K46" s="49">
        <f>AVERAGE('23.09.19 -Munyonyo-Kigo'!K46,'24.09 Munyonyo-Kigo'!K46,'25.09 Munyonyo-Kigo'!K46,'27.09 Munyonyo-LWEZA'!K46,'26.09 Munyonyo-Kigo-24h'!K46,'28.09 Munyonyo-Kigo-24h'!K46,'29.09 Munyonyo-Kigo'!K46)</f>
        <v>0</v>
      </c>
      <c r="L46" s="49">
        <f>AVERAGE('23.09.19 -Munyonyo-Kigo'!L46,'24.09 Munyonyo-Kigo'!L46,'25.09 Munyonyo-Kigo'!L46,'27.09 Munyonyo-LWEZA'!L46,'26.09 Munyonyo-Kigo-24h'!L46,'28.09 Munyonyo-Kigo-24h'!L46,'29.09 Munyonyo-Kigo'!L46)</f>
        <v>0</v>
      </c>
      <c r="M46" s="49">
        <f>AVERAGE('23.09.19 -Munyonyo-Kigo'!M46,'24.09 Munyonyo-Kigo'!M46,'25.09 Munyonyo-Kigo'!M46,'27.09 Munyonyo-LWEZA'!M46,'26.09 Munyonyo-Kigo-24h'!M46,'28.09 Munyonyo-Kigo-24h'!M46,'29.09 Munyonyo-Kigo'!M46)</f>
        <v>20.285714285714285</v>
      </c>
      <c r="N46" s="49">
        <f>AVERAGE('23.09.19 -Munyonyo-Kigo'!N46,'24.09 Munyonyo-Kigo'!N46,'25.09 Munyonyo-Kigo'!N46,'27.09 Munyonyo-LWEZA'!N46,'26.09 Munyonyo-Kigo-24h'!N46,'28.09 Munyonyo-Kigo-24h'!N46,'29.09 Munyonyo-Kigo'!N46)</f>
        <v>0</v>
      </c>
      <c r="O46" s="15">
        <f t="shared" si="0"/>
        <v>4.2857142857142856</v>
      </c>
      <c r="P46" s="15">
        <f t="shared" si="1"/>
        <v>24.571428571428569</v>
      </c>
      <c r="R46" s="8"/>
      <c r="T46"/>
    </row>
    <row r="47" spans="2:32" ht="23.1" customHeight="1" x14ac:dyDescent="0.25">
      <c r="B47" s="24" t="s">
        <v>74</v>
      </c>
      <c r="C47" s="49">
        <f>AVERAGE('23.09.19 -Munyonyo-Kigo'!C47,'24.09 Munyonyo-Kigo'!C47,'25.09 Munyonyo-Kigo'!C47,'27.09 Munyonyo-LWEZA'!C47,'26.09 Munyonyo-Kigo-24h'!C47,'28.09 Munyonyo-Kigo-24h'!C47,'29.09 Munyonyo-Kigo'!C47)</f>
        <v>1.7142857142857142</v>
      </c>
      <c r="D47" s="49">
        <f>AVERAGE('23.09.19 -Munyonyo-Kigo'!D47,'24.09 Munyonyo-Kigo'!D47,'25.09 Munyonyo-Kigo'!D47,'27.09 Munyonyo-LWEZA'!D47,'26.09 Munyonyo-Kigo-24h'!D47,'28.09 Munyonyo-Kigo-24h'!D47,'29.09 Munyonyo-Kigo'!D47)</f>
        <v>0.8571428571428571</v>
      </c>
      <c r="E47" s="49">
        <f>AVERAGE('23.09.19 -Munyonyo-Kigo'!E47,'24.09 Munyonyo-Kigo'!E47,'25.09 Munyonyo-Kigo'!E47,'27.09 Munyonyo-LWEZA'!E47,'26.09 Munyonyo-Kigo-24h'!E47,'28.09 Munyonyo-Kigo-24h'!E47,'29.09 Munyonyo-Kigo'!E47)</f>
        <v>0.42857142857142855</v>
      </c>
      <c r="F47" s="49">
        <f>AVERAGE('23.09.19 -Munyonyo-Kigo'!F47,'24.09 Munyonyo-Kigo'!F47,'25.09 Munyonyo-Kigo'!F47,'27.09 Munyonyo-LWEZA'!F47,'26.09 Munyonyo-Kigo-24h'!F47,'28.09 Munyonyo-Kigo-24h'!F47,'29.09 Munyonyo-Kigo'!F47)</f>
        <v>0.2857142857142857</v>
      </c>
      <c r="G47" s="49">
        <f>AVERAGE('23.09.19 -Munyonyo-Kigo'!G47,'24.09 Munyonyo-Kigo'!G47,'25.09 Munyonyo-Kigo'!G47,'27.09 Munyonyo-LWEZA'!G47,'26.09 Munyonyo-Kigo-24h'!G47,'28.09 Munyonyo-Kigo-24h'!G47,'29.09 Munyonyo-Kigo'!G47)</f>
        <v>0</v>
      </c>
      <c r="H47" s="49">
        <f>AVERAGE('23.09.19 -Munyonyo-Kigo'!H47,'24.09 Munyonyo-Kigo'!H47,'25.09 Munyonyo-Kigo'!H47,'27.09 Munyonyo-LWEZA'!H47,'26.09 Munyonyo-Kigo-24h'!H47,'28.09 Munyonyo-Kigo-24h'!H47,'29.09 Munyonyo-Kigo'!H47)</f>
        <v>0</v>
      </c>
      <c r="I47" s="49">
        <f>AVERAGE('23.09.19 -Munyonyo-Kigo'!I47,'24.09 Munyonyo-Kigo'!I47,'25.09 Munyonyo-Kigo'!I47,'27.09 Munyonyo-LWEZA'!I47,'26.09 Munyonyo-Kigo-24h'!I47,'28.09 Munyonyo-Kigo-24h'!I47,'29.09 Munyonyo-Kigo'!I47)</f>
        <v>0.2857142857142857</v>
      </c>
      <c r="J47" s="49">
        <f>AVERAGE('23.09.19 -Munyonyo-Kigo'!J47,'24.09 Munyonyo-Kigo'!J47,'25.09 Munyonyo-Kigo'!J47,'27.09 Munyonyo-LWEZA'!J47,'26.09 Munyonyo-Kigo-24h'!J47,'28.09 Munyonyo-Kigo-24h'!J47,'29.09 Munyonyo-Kigo'!J47)</f>
        <v>0</v>
      </c>
      <c r="K47" s="49">
        <f>AVERAGE('23.09.19 -Munyonyo-Kigo'!K47,'24.09 Munyonyo-Kigo'!K47,'25.09 Munyonyo-Kigo'!K47,'27.09 Munyonyo-LWEZA'!K47,'26.09 Munyonyo-Kigo-24h'!K47,'28.09 Munyonyo-Kigo-24h'!K47,'29.09 Munyonyo-Kigo'!K47)</f>
        <v>0</v>
      </c>
      <c r="L47" s="49">
        <f>AVERAGE('23.09.19 -Munyonyo-Kigo'!L47,'24.09 Munyonyo-Kigo'!L47,'25.09 Munyonyo-Kigo'!L47,'27.09 Munyonyo-LWEZA'!L47,'26.09 Munyonyo-Kigo-24h'!L47,'28.09 Munyonyo-Kigo-24h'!L47,'29.09 Munyonyo-Kigo'!L47)</f>
        <v>0</v>
      </c>
      <c r="M47" s="49">
        <f>AVERAGE('23.09.19 -Munyonyo-Kigo'!M47,'24.09 Munyonyo-Kigo'!M47,'25.09 Munyonyo-Kigo'!M47,'27.09 Munyonyo-LWEZA'!M47,'26.09 Munyonyo-Kigo-24h'!M47,'28.09 Munyonyo-Kigo-24h'!M47,'29.09 Munyonyo-Kigo'!M47)</f>
        <v>17.428571428571427</v>
      </c>
      <c r="N47" s="49">
        <f>AVERAGE('23.09.19 -Munyonyo-Kigo'!N47,'24.09 Munyonyo-Kigo'!N47,'25.09 Munyonyo-Kigo'!N47,'27.09 Munyonyo-LWEZA'!N47,'26.09 Munyonyo-Kigo-24h'!N47,'28.09 Munyonyo-Kigo-24h'!N47,'29.09 Munyonyo-Kigo'!N47)</f>
        <v>0</v>
      </c>
      <c r="O47" s="15">
        <f t="shared" si="0"/>
        <v>3.5714285714285707</v>
      </c>
      <c r="P47" s="15">
        <f t="shared" si="1"/>
        <v>20.999999999999996</v>
      </c>
      <c r="R47" s="8"/>
      <c r="T47"/>
    </row>
    <row r="48" spans="2:32" ht="23.1" customHeight="1" x14ac:dyDescent="0.25">
      <c r="B48" s="24" t="s">
        <v>75</v>
      </c>
      <c r="C48" s="49">
        <f>AVERAGE('23.09.19 -Munyonyo-Kigo'!C48,'24.09 Munyonyo-Kigo'!C48,'25.09 Munyonyo-Kigo'!C48,'27.09 Munyonyo-LWEZA'!C48,'26.09 Munyonyo-Kigo-24h'!C48,'28.09 Munyonyo-Kigo-24h'!C48,'29.09 Munyonyo-Kigo'!C48)</f>
        <v>2.1428571428571428</v>
      </c>
      <c r="D48" s="49">
        <f>AVERAGE('23.09.19 -Munyonyo-Kigo'!D48,'24.09 Munyonyo-Kigo'!D48,'25.09 Munyonyo-Kigo'!D48,'27.09 Munyonyo-LWEZA'!D48,'26.09 Munyonyo-Kigo-24h'!D48,'28.09 Munyonyo-Kigo-24h'!D48,'29.09 Munyonyo-Kigo'!D48)</f>
        <v>0.8571428571428571</v>
      </c>
      <c r="E48" s="49">
        <f>AVERAGE('23.09.19 -Munyonyo-Kigo'!E48,'24.09 Munyonyo-Kigo'!E48,'25.09 Munyonyo-Kigo'!E48,'27.09 Munyonyo-LWEZA'!E48,'26.09 Munyonyo-Kigo-24h'!E48,'28.09 Munyonyo-Kigo-24h'!E48,'29.09 Munyonyo-Kigo'!E48)</f>
        <v>1.4285714285714286</v>
      </c>
      <c r="F48" s="49">
        <f>AVERAGE('23.09.19 -Munyonyo-Kigo'!F48,'24.09 Munyonyo-Kigo'!F48,'25.09 Munyonyo-Kigo'!F48,'27.09 Munyonyo-LWEZA'!F48,'26.09 Munyonyo-Kigo-24h'!F48,'28.09 Munyonyo-Kigo-24h'!F48,'29.09 Munyonyo-Kigo'!F48)</f>
        <v>0.7142857142857143</v>
      </c>
      <c r="G48" s="49">
        <f>AVERAGE('23.09.19 -Munyonyo-Kigo'!G48,'24.09 Munyonyo-Kigo'!G48,'25.09 Munyonyo-Kigo'!G48,'27.09 Munyonyo-LWEZA'!G48,'26.09 Munyonyo-Kigo-24h'!G48,'28.09 Munyonyo-Kigo-24h'!G48,'29.09 Munyonyo-Kigo'!G48)</f>
        <v>0</v>
      </c>
      <c r="H48" s="49">
        <f>AVERAGE('23.09.19 -Munyonyo-Kigo'!H48,'24.09 Munyonyo-Kigo'!H48,'25.09 Munyonyo-Kigo'!H48,'27.09 Munyonyo-LWEZA'!H48,'26.09 Munyonyo-Kigo-24h'!H48,'28.09 Munyonyo-Kigo-24h'!H48,'29.09 Munyonyo-Kigo'!H48)</f>
        <v>0</v>
      </c>
      <c r="I48" s="49">
        <f>AVERAGE('23.09.19 -Munyonyo-Kigo'!I48,'24.09 Munyonyo-Kigo'!I48,'25.09 Munyonyo-Kigo'!I48,'27.09 Munyonyo-LWEZA'!I48,'26.09 Munyonyo-Kigo-24h'!I48,'28.09 Munyonyo-Kigo-24h'!I48,'29.09 Munyonyo-Kigo'!I48)</f>
        <v>0.14285714285714285</v>
      </c>
      <c r="J48" s="49">
        <f>AVERAGE('23.09.19 -Munyonyo-Kigo'!J48,'24.09 Munyonyo-Kigo'!J48,'25.09 Munyonyo-Kigo'!J48,'27.09 Munyonyo-LWEZA'!J48,'26.09 Munyonyo-Kigo-24h'!J48,'28.09 Munyonyo-Kigo-24h'!J48,'29.09 Munyonyo-Kigo'!J48)</f>
        <v>0</v>
      </c>
      <c r="K48" s="49">
        <f>AVERAGE('23.09.19 -Munyonyo-Kigo'!K48,'24.09 Munyonyo-Kigo'!K48,'25.09 Munyonyo-Kigo'!K48,'27.09 Munyonyo-LWEZA'!K48,'26.09 Munyonyo-Kigo-24h'!K48,'28.09 Munyonyo-Kigo-24h'!K48,'29.09 Munyonyo-Kigo'!K48)</f>
        <v>0.7142857142857143</v>
      </c>
      <c r="L48" s="49">
        <f>AVERAGE('23.09.19 -Munyonyo-Kigo'!L48,'24.09 Munyonyo-Kigo'!L48,'25.09 Munyonyo-Kigo'!L48,'27.09 Munyonyo-LWEZA'!L48,'26.09 Munyonyo-Kigo-24h'!L48,'28.09 Munyonyo-Kigo-24h'!L48,'29.09 Munyonyo-Kigo'!L48)</f>
        <v>0</v>
      </c>
      <c r="M48" s="49">
        <f>AVERAGE('23.09.19 -Munyonyo-Kigo'!M48,'24.09 Munyonyo-Kigo'!M48,'25.09 Munyonyo-Kigo'!M48,'27.09 Munyonyo-LWEZA'!M48,'26.09 Munyonyo-Kigo-24h'!M48,'28.09 Munyonyo-Kigo-24h'!M48,'29.09 Munyonyo-Kigo'!M48)</f>
        <v>22</v>
      </c>
      <c r="N48" s="49">
        <f>AVERAGE('23.09.19 -Munyonyo-Kigo'!N48,'24.09 Munyonyo-Kigo'!N48,'25.09 Munyonyo-Kigo'!N48,'27.09 Munyonyo-LWEZA'!N48,'26.09 Munyonyo-Kigo-24h'!N48,'28.09 Munyonyo-Kigo-24h'!N48,'29.09 Munyonyo-Kigo'!N48)</f>
        <v>0</v>
      </c>
      <c r="O48" s="15">
        <f t="shared" si="0"/>
        <v>6.0000000000000009</v>
      </c>
      <c r="P48" s="15">
        <f t="shared" si="1"/>
        <v>28</v>
      </c>
      <c r="R48" s="8"/>
      <c r="T48"/>
    </row>
    <row r="49" spans="2:20" ht="23.1" customHeight="1" x14ac:dyDescent="0.25">
      <c r="B49" s="23" t="s">
        <v>76</v>
      </c>
      <c r="C49" s="49">
        <f>AVERAGE('23.09.19 -Munyonyo-Kigo'!C49,'24.09 Munyonyo-Kigo'!C49,'25.09 Munyonyo-Kigo'!C49,'27.09 Munyonyo-LWEZA'!C49,'26.09 Munyonyo-Kigo-24h'!C49,'28.09 Munyonyo-Kigo-24h'!C49,'29.09 Munyonyo-Kigo'!C49)</f>
        <v>3.4285714285714284</v>
      </c>
      <c r="D49" s="49">
        <f>AVERAGE('23.09.19 -Munyonyo-Kigo'!D49,'24.09 Munyonyo-Kigo'!D49,'25.09 Munyonyo-Kigo'!D49,'27.09 Munyonyo-LWEZA'!D49,'26.09 Munyonyo-Kigo-24h'!D49,'28.09 Munyonyo-Kigo-24h'!D49,'29.09 Munyonyo-Kigo'!D49)</f>
        <v>0.5714285714285714</v>
      </c>
      <c r="E49" s="49">
        <f>AVERAGE('23.09.19 -Munyonyo-Kigo'!E49,'24.09 Munyonyo-Kigo'!E49,'25.09 Munyonyo-Kigo'!E49,'27.09 Munyonyo-LWEZA'!E49,'26.09 Munyonyo-Kigo-24h'!E49,'28.09 Munyonyo-Kigo-24h'!E49,'29.09 Munyonyo-Kigo'!E49)</f>
        <v>0.5714285714285714</v>
      </c>
      <c r="F49" s="49">
        <f>AVERAGE('23.09.19 -Munyonyo-Kigo'!F49,'24.09 Munyonyo-Kigo'!F49,'25.09 Munyonyo-Kigo'!F49,'27.09 Munyonyo-LWEZA'!F49,'26.09 Munyonyo-Kigo-24h'!F49,'28.09 Munyonyo-Kigo-24h'!F49,'29.09 Munyonyo-Kigo'!F49)</f>
        <v>1.1428571428571428</v>
      </c>
      <c r="G49" s="49">
        <f>AVERAGE('23.09.19 -Munyonyo-Kigo'!G49,'24.09 Munyonyo-Kigo'!G49,'25.09 Munyonyo-Kigo'!G49,'27.09 Munyonyo-LWEZA'!G49,'26.09 Munyonyo-Kigo-24h'!G49,'28.09 Munyonyo-Kigo-24h'!G49,'29.09 Munyonyo-Kigo'!G49)</f>
        <v>0</v>
      </c>
      <c r="H49" s="49">
        <f>AVERAGE('23.09.19 -Munyonyo-Kigo'!H49,'24.09 Munyonyo-Kigo'!H49,'25.09 Munyonyo-Kigo'!H49,'27.09 Munyonyo-LWEZA'!H49,'26.09 Munyonyo-Kigo-24h'!H49,'28.09 Munyonyo-Kigo-24h'!H49,'29.09 Munyonyo-Kigo'!H49)</f>
        <v>0</v>
      </c>
      <c r="I49" s="49">
        <f>AVERAGE('23.09.19 -Munyonyo-Kigo'!I49,'24.09 Munyonyo-Kigo'!I49,'25.09 Munyonyo-Kigo'!I49,'27.09 Munyonyo-LWEZA'!I49,'26.09 Munyonyo-Kigo-24h'!I49,'28.09 Munyonyo-Kigo-24h'!I49,'29.09 Munyonyo-Kigo'!I49)</f>
        <v>0.42857142857142855</v>
      </c>
      <c r="J49" s="49">
        <f>AVERAGE('23.09.19 -Munyonyo-Kigo'!J49,'24.09 Munyonyo-Kigo'!J49,'25.09 Munyonyo-Kigo'!J49,'27.09 Munyonyo-LWEZA'!J49,'26.09 Munyonyo-Kigo-24h'!J49,'28.09 Munyonyo-Kigo-24h'!J49,'29.09 Munyonyo-Kigo'!J49)</f>
        <v>0</v>
      </c>
      <c r="K49" s="49">
        <f>AVERAGE('23.09.19 -Munyonyo-Kigo'!K49,'24.09 Munyonyo-Kigo'!K49,'25.09 Munyonyo-Kigo'!K49,'27.09 Munyonyo-LWEZA'!K49,'26.09 Munyonyo-Kigo-24h'!K49,'28.09 Munyonyo-Kigo-24h'!K49,'29.09 Munyonyo-Kigo'!K49)</f>
        <v>0</v>
      </c>
      <c r="L49" s="49">
        <f>AVERAGE('23.09.19 -Munyonyo-Kigo'!L49,'24.09 Munyonyo-Kigo'!L49,'25.09 Munyonyo-Kigo'!L49,'27.09 Munyonyo-LWEZA'!L49,'26.09 Munyonyo-Kigo-24h'!L49,'28.09 Munyonyo-Kigo-24h'!L49,'29.09 Munyonyo-Kigo'!L49)</f>
        <v>0</v>
      </c>
      <c r="M49" s="49">
        <f>AVERAGE('23.09.19 -Munyonyo-Kigo'!M49,'24.09 Munyonyo-Kigo'!M49,'25.09 Munyonyo-Kigo'!M49,'27.09 Munyonyo-LWEZA'!M49,'26.09 Munyonyo-Kigo-24h'!M49,'28.09 Munyonyo-Kigo-24h'!M49,'29.09 Munyonyo-Kigo'!M49)</f>
        <v>21.285714285714285</v>
      </c>
      <c r="N49" s="49">
        <f>AVERAGE('23.09.19 -Munyonyo-Kigo'!N49,'24.09 Munyonyo-Kigo'!N49,'25.09 Munyonyo-Kigo'!N49,'27.09 Munyonyo-LWEZA'!N49,'26.09 Munyonyo-Kigo-24h'!N49,'28.09 Munyonyo-Kigo-24h'!N49,'29.09 Munyonyo-Kigo'!N49)</f>
        <v>0</v>
      </c>
      <c r="O49" s="15">
        <f t="shared" si="0"/>
        <v>6.1428571428571423</v>
      </c>
      <c r="P49" s="15">
        <f t="shared" si="1"/>
        <v>27.428571428571427</v>
      </c>
      <c r="R49" s="8"/>
      <c r="T49"/>
    </row>
    <row r="50" spans="2:20" ht="23.1" customHeight="1" x14ac:dyDescent="0.25">
      <c r="B50" s="24" t="s">
        <v>77</v>
      </c>
      <c r="C50" s="49">
        <f>AVERAGE('23.09.19 -Munyonyo-Kigo'!C50,'24.09 Munyonyo-Kigo'!C50,'25.09 Munyonyo-Kigo'!C50,'27.09 Munyonyo-LWEZA'!C50,'26.09 Munyonyo-Kigo-24h'!C50,'28.09 Munyonyo-Kigo-24h'!C50,'29.09 Munyonyo-Kigo'!C50)</f>
        <v>2.5714285714285716</v>
      </c>
      <c r="D50" s="49">
        <f>AVERAGE('23.09.19 -Munyonyo-Kigo'!D50,'24.09 Munyonyo-Kigo'!D50,'25.09 Munyonyo-Kigo'!D50,'27.09 Munyonyo-LWEZA'!D50,'26.09 Munyonyo-Kigo-24h'!D50,'28.09 Munyonyo-Kigo-24h'!D50,'29.09 Munyonyo-Kigo'!D50)</f>
        <v>0.5714285714285714</v>
      </c>
      <c r="E50" s="49">
        <f>AVERAGE('23.09.19 -Munyonyo-Kigo'!E50,'24.09 Munyonyo-Kigo'!E50,'25.09 Munyonyo-Kigo'!E50,'27.09 Munyonyo-LWEZA'!E50,'26.09 Munyonyo-Kigo-24h'!E50,'28.09 Munyonyo-Kigo-24h'!E50,'29.09 Munyonyo-Kigo'!E50)</f>
        <v>0.7142857142857143</v>
      </c>
      <c r="F50" s="49">
        <f>AVERAGE('23.09.19 -Munyonyo-Kigo'!F50,'24.09 Munyonyo-Kigo'!F50,'25.09 Munyonyo-Kigo'!F50,'27.09 Munyonyo-LWEZA'!F50,'26.09 Munyonyo-Kigo-24h'!F50,'28.09 Munyonyo-Kigo-24h'!F50,'29.09 Munyonyo-Kigo'!F50)</f>
        <v>0.8571428571428571</v>
      </c>
      <c r="G50" s="49">
        <f>AVERAGE('23.09.19 -Munyonyo-Kigo'!G50,'24.09 Munyonyo-Kigo'!G50,'25.09 Munyonyo-Kigo'!G50,'27.09 Munyonyo-LWEZA'!G50,'26.09 Munyonyo-Kigo-24h'!G50,'28.09 Munyonyo-Kigo-24h'!G50,'29.09 Munyonyo-Kigo'!G50)</f>
        <v>0</v>
      </c>
      <c r="H50" s="49">
        <f>AVERAGE('23.09.19 -Munyonyo-Kigo'!H50,'24.09 Munyonyo-Kigo'!H50,'25.09 Munyonyo-Kigo'!H50,'27.09 Munyonyo-LWEZA'!H50,'26.09 Munyonyo-Kigo-24h'!H50,'28.09 Munyonyo-Kigo-24h'!H50,'29.09 Munyonyo-Kigo'!H50)</f>
        <v>0</v>
      </c>
      <c r="I50" s="49">
        <f>AVERAGE('23.09.19 -Munyonyo-Kigo'!I50,'24.09 Munyonyo-Kigo'!I50,'25.09 Munyonyo-Kigo'!I50,'27.09 Munyonyo-LWEZA'!I50,'26.09 Munyonyo-Kigo-24h'!I50,'28.09 Munyonyo-Kigo-24h'!I50,'29.09 Munyonyo-Kigo'!I50)</f>
        <v>0</v>
      </c>
      <c r="J50" s="49">
        <f>AVERAGE('23.09.19 -Munyonyo-Kigo'!J50,'24.09 Munyonyo-Kigo'!J50,'25.09 Munyonyo-Kigo'!J50,'27.09 Munyonyo-LWEZA'!J50,'26.09 Munyonyo-Kigo-24h'!J50,'28.09 Munyonyo-Kigo-24h'!J50,'29.09 Munyonyo-Kigo'!J50)</f>
        <v>0</v>
      </c>
      <c r="K50" s="49">
        <f>AVERAGE('23.09.19 -Munyonyo-Kigo'!K50,'24.09 Munyonyo-Kigo'!K50,'25.09 Munyonyo-Kigo'!K50,'27.09 Munyonyo-LWEZA'!K50,'26.09 Munyonyo-Kigo-24h'!K50,'28.09 Munyonyo-Kigo-24h'!K50,'29.09 Munyonyo-Kigo'!K50)</f>
        <v>0</v>
      </c>
      <c r="L50" s="49">
        <f>AVERAGE('23.09.19 -Munyonyo-Kigo'!L50,'24.09 Munyonyo-Kigo'!L50,'25.09 Munyonyo-Kigo'!L50,'27.09 Munyonyo-LWEZA'!L50,'26.09 Munyonyo-Kigo-24h'!L50,'28.09 Munyonyo-Kigo-24h'!L50,'29.09 Munyonyo-Kigo'!L50)</f>
        <v>0</v>
      </c>
      <c r="M50" s="49">
        <f>AVERAGE('23.09.19 -Munyonyo-Kigo'!M50,'24.09 Munyonyo-Kigo'!M50,'25.09 Munyonyo-Kigo'!M50,'27.09 Munyonyo-LWEZA'!M50,'26.09 Munyonyo-Kigo-24h'!M50,'28.09 Munyonyo-Kigo-24h'!M50,'29.09 Munyonyo-Kigo'!M50)</f>
        <v>25.285714285714285</v>
      </c>
      <c r="N50" s="49">
        <f>AVERAGE('23.09.19 -Munyonyo-Kigo'!N50,'24.09 Munyonyo-Kigo'!N50,'25.09 Munyonyo-Kigo'!N50,'27.09 Munyonyo-LWEZA'!N50,'26.09 Munyonyo-Kigo-24h'!N50,'28.09 Munyonyo-Kigo-24h'!N50,'29.09 Munyonyo-Kigo'!N50)</f>
        <v>0</v>
      </c>
      <c r="O50" s="15">
        <f t="shared" si="0"/>
        <v>4.7142857142857144</v>
      </c>
      <c r="P50" s="15">
        <f t="shared" si="1"/>
        <v>30</v>
      </c>
      <c r="R50" s="8"/>
      <c r="T50"/>
    </row>
    <row r="51" spans="2:20" ht="23.1" customHeight="1" x14ac:dyDescent="0.25">
      <c r="B51" s="24" t="s">
        <v>78</v>
      </c>
      <c r="C51" s="49">
        <f>AVERAGE('23.09.19 -Munyonyo-Kigo'!C51,'24.09 Munyonyo-Kigo'!C51,'25.09 Munyonyo-Kigo'!C51,'27.09 Munyonyo-LWEZA'!C51,'26.09 Munyonyo-Kigo-24h'!C51,'28.09 Munyonyo-Kigo-24h'!C51,'29.09 Munyonyo-Kigo'!C51)</f>
        <v>3.4285714285714284</v>
      </c>
      <c r="D51" s="49">
        <f>AVERAGE('23.09.19 -Munyonyo-Kigo'!D51,'24.09 Munyonyo-Kigo'!D51,'25.09 Munyonyo-Kigo'!D51,'27.09 Munyonyo-LWEZA'!D51,'26.09 Munyonyo-Kigo-24h'!D51,'28.09 Munyonyo-Kigo-24h'!D51,'29.09 Munyonyo-Kigo'!D51)</f>
        <v>1</v>
      </c>
      <c r="E51" s="49">
        <f>AVERAGE('23.09.19 -Munyonyo-Kigo'!E51,'24.09 Munyonyo-Kigo'!E51,'25.09 Munyonyo-Kigo'!E51,'27.09 Munyonyo-LWEZA'!E51,'26.09 Munyonyo-Kigo-24h'!E51,'28.09 Munyonyo-Kigo-24h'!E51,'29.09 Munyonyo-Kigo'!E51)</f>
        <v>0.42857142857142855</v>
      </c>
      <c r="F51" s="49">
        <f>AVERAGE('23.09.19 -Munyonyo-Kigo'!F51,'24.09 Munyonyo-Kigo'!F51,'25.09 Munyonyo-Kigo'!F51,'27.09 Munyonyo-LWEZA'!F51,'26.09 Munyonyo-Kigo-24h'!F51,'28.09 Munyonyo-Kigo-24h'!F51,'29.09 Munyonyo-Kigo'!F51)</f>
        <v>1.8571428571428572</v>
      </c>
      <c r="G51" s="49">
        <f>AVERAGE('23.09.19 -Munyonyo-Kigo'!G51,'24.09 Munyonyo-Kigo'!G51,'25.09 Munyonyo-Kigo'!G51,'27.09 Munyonyo-LWEZA'!G51,'26.09 Munyonyo-Kigo-24h'!G51,'28.09 Munyonyo-Kigo-24h'!G51,'29.09 Munyonyo-Kigo'!G51)</f>
        <v>0</v>
      </c>
      <c r="H51" s="49">
        <f>AVERAGE('23.09.19 -Munyonyo-Kigo'!H51,'24.09 Munyonyo-Kigo'!H51,'25.09 Munyonyo-Kigo'!H51,'27.09 Munyonyo-LWEZA'!H51,'26.09 Munyonyo-Kigo-24h'!H51,'28.09 Munyonyo-Kigo-24h'!H51,'29.09 Munyonyo-Kigo'!H51)</f>
        <v>0</v>
      </c>
      <c r="I51" s="49">
        <f>AVERAGE('23.09.19 -Munyonyo-Kigo'!I51,'24.09 Munyonyo-Kigo'!I51,'25.09 Munyonyo-Kigo'!I51,'27.09 Munyonyo-LWEZA'!I51,'26.09 Munyonyo-Kigo-24h'!I51,'28.09 Munyonyo-Kigo-24h'!I51,'29.09 Munyonyo-Kigo'!I51)</f>
        <v>0.5714285714285714</v>
      </c>
      <c r="J51" s="49">
        <f>AVERAGE('23.09.19 -Munyonyo-Kigo'!J51,'24.09 Munyonyo-Kigo'!J51,'25.09 Munyonyo-Kigo'!J51,'27.09 Munyonyo-LWEZA'!J51,'26.09 Munyonyo-Kigo-24h'!J51,'28.09 Munyonyo-Kigo-24h'!J51,'29.09 Munyonyo-Kigo'!J51)</f>
        <v>0</v>
      </c>
      <c r="K51" s="49">
        <f>AVERAGE('23.09.19 -Munyonyo-Kigo'!K51,'24.09 Munyonyo-Kigo'!K51,'25.09 Munyonyo-Kigo'!K51,'27.09 Munyonyo-LWEZA'!K51,'26.09 Munyonyo-Kigo-24h'!K51,'28.09 Munyonyo-Kigo-24h'!K51,'29.09 Munyonyo-Kigo'!K51)</f>
        <v>0</v>
      </c>
      <c r="L51" s="49">
        <f>AVERAGE('23.09.19 -Munyonyo-Kigo'!L51,'24.09 Munyonyo-Kigo'!L51,'25.09 Munyonyo-Kigo'!L51,'27.09 Munyonyo-LWEZA'!L51,'26.09 Munyonyo-Kigo-24h'!L51,'28.09 Munyonyo-Kigo-24h'!L51,'29.09 Munyonyo-Kigo'!L51)</f>
        <v>0</v>
      </c>
      <c r="M51" s="49">
        <f>AVERAGE('23.09.19 -Munyonyo-Kigo'!M51,'24.09 Munyonyo-Kigo'!M51,'25.09 Munyonyo-Kigo'!M51,'27.09 Munyonyo-LWEZA'!M51,'26.09 Munyonyo-Kigo-24h'!M51,'28.09 Munyonyo-Kigo-24h'!M51,'29.09 Munyonyo-Kigo'!M51)</f>
        <v>24.857142857142858</v>
      </c>
      <c r="N51" s="49">
        <f>AVERAGE('23.09.19 -Munyonyo-Kigo'!N51,'24.09 Munyonyo-Kigo'!N51,'25.09 Munyonyo-Kigo'!N51,'27.09 Munyonyo-LWEZA'!N51,'26.09 Munyonyo-Kigo-24h'!N51,'28.09 Munyonyo-Kigo-24h'!N51,'29.09 Munyonyo-Kigo'!N51)</f>
        <v>0</v>
      </c>
      <c r="O51" s="15">
        <f t="shared" si="0"/>
        <v>7.2857142857142865</v>
      </c>
      <c r="P51" s="15">
        <f t="shared" si="1"/>
        <v>32.142857142857146</v>
      </c>
      <c r="R51" s="8"/>
      <c r="T51"/>
    </row>
    <row r="52" spans="2:20" ht="23.1" customHeight="1" x14ac:dyDescent="0.25">
      <c r="B52" s="24" t="s">
        <v>79</v>
      </c>
      <c r="C52" s="49">
        <f>AVERAGE('23.09.19 -Munyonyo-Kigo'!C52,'24.09 Munyonyo-Kigo'!C52,'25.09 Munyonyo-Kigo'!C52,'27.09 Munyonyo-LWEZA'!C52,'26.09 Munyonyo-Kigo-24h'!C52,'28.09 Munyonyo-Kigo-24h'!C52,'29.09 Munyonyo-Kigo'!C52)</f>
        <v>4.1428571428571432</v>
      </c>
      <c r="D52" s="49">
        <f>AVERAGE('23.09.19 -Munyonyo-Kigo'!D52,'24.09 Munyonyo-Kigo'!D52,'25.09 Munyonyo-Kigo'!D52,'27.09 Munyonyo-LWEZA'!D52,'26.09 Munyonyo-Kigo-24h'!D52,'28.09 Munyonyo-Kigo-24h'!D52,'29.09 Munyonyo-Kigo'!D52)</f>
        <v>0.42857142857142855</v>
      </c>
      <c r="E52" s="49">
        <f>AVERAGE('23.09.19 -Munyonyo-Kigo'!E52,'24.09 Munyonyo-Kigo'!E52,'25.09 Munyonyo-Kigo'!E52,'27.09 Munyonyo-LWEZA'!E52,'26.09 Munyonyo-Kigo-24h'!E52,'28.09 Munyonyo-Kigo-24h'!E52,'29.09 Munyonyo-Kigo'!E52)</f>
        <v>0</v>
      </c>
      <c r="F52" s="49">
        <f>AVERAGE('23.09.19 -Munyonyo-Kigo'!F52,'24.09 Munyonyo-Kigo'!F52,'25.09 Munyonyo-Kigo'!F52,'27.09 Munyonyo-LWEZA'!F52,'26.09 Munyonyo-Kigo-24h'!F52,'28.09 Munyonyo-Kigo-24h'!F52,'29.09 Munyonyo-Kigo'!F52)</f>
        <v>0.42857142857142855</v>
      </c>
      <c r="G52" s="49">
        <f>AVERAGE('23.09.19 -Munyonyo-Kigo'!G52,'24.09 Munyonyo-Kigo'!G52,'25.09 Munyonyo-Kigo'!G52,'27.09 Munyonyo-LWEZA'!G52,'26.09 Munyonyo-Kigo-24h'!G52,'28.09 Munyonyo-Kigo-24h'!G52,'29.09 Munyonyo-Kigo'!G52)</f>
        <v>0</v>
      </c>
      <c r="H52" s="49">
        <f>AVERAGE('23.09.19 -Munyonyo-Kigo'!H52,'24.09 Munyonyo-Kigo'!H52,'25.09 Munyonyo-Kigo'!H52,'27.09 Munyonyo-LWEZA'!H52,'26.09 Munyonyo-Kigo-24h'!H52,'28.09 Munyonyo-Kigo-24h'!H52,'29.09 Munyonyo-Kigo'!H52)</f>
        <v>0</v>
      </c>
      <c r="I52" s="49">
        <f>AVERAGE('23.09.19 -Munyonyo-Kigo'!I52,'24.09 Munyonyo-Kigo'!I52,'25.09 Munyonyo-Kigo'!I52,'27.09 Munyonyo-LWEZA'!I52,'26.09 Munyonyo-Kigo-24h'!I52,'28.09 Munyonyo-Kigo-24h'!I52,'29.09 Munyonyo-Kigo'!I52)</f>
        <v>0.14285714285714285</v>
      </c>
      <c r="J52" s="49">
        <f>AVERAGE('23.09.19 -Munyonyo-Kigo'!J52,'24.09 Munyonyo-Kigo'!J52,'25.09 Munyonyo-Kigo'!J52,'27.09 Munyonyo-LWEZA'!J52,'26.09 Munyonyo-Kigo-24h'!J52,'28.09 Munyonyo-Kigo-24h'!J52,'29.09 Munyonyo-Kigo'!J52)</f>
        <v>0</v>
      </c>
      <c r="K52" s="49">
        <f>AVERAGE('23.09.19 -Munyonyo-Kigo'!K52,'24.09 Munyonyo-Kigo'!K52,'25.09 Munyonyo-Kigo'!K52,'27.09 Munyonyo-LWEZA'!K52,'26.09 Munyonyo-Kigo-24h'!K52,'28.09 Munyonyo-Kigo-24h'!K52,'29.09 Munyonyo-Kigo'!K52)</f>
        <v>0</v>
      </c>
      <c r="L52" s="49">
        <f>AVERAGE('23.09.19 -Munyonyo-Kigo'!L52,'24.09 Munyonyo-Kigo'!L52,'25.09 Munyonyo-Kigo'!L52,'27.09 Munyonyo-LWEZA'!L52,'26.09 Munyonyo-Kigo-24h'!L52,'28.09 Munyonyo-Kigo-24h'!L52,'29.09 Munyonyo-Kigo'!L52)</f>
        <v>0</v>
      </c>
      <c r="M52" s="49">
        <f>AVERAGE('23.09.19 -Munyonyo-Kigo'!M52,'24.09 Munyonyo-Kigo'!M52,'25.09 Munyonyo-Kigo'!M52,'27.09 Munyonyo-LWEZA'!M52,'26.09 Munyonyo-Kigo-24h'!M52,'28.09 Munyonyo-Kigo-24h'!M52,'29.09 Munyonyo-Kigo'!M52)</f>
        <v>19.714285714285715</v>
      </c>
      <c r="N52" s="49">
        <f>AVERAGE('23.09.19 -Munyonyo-Kigo'!N52,'24.09 Munyonyo-Kigo'!N52,'25.09 Munyonyo-Kigo'!N52,'27.09 Munyonyo-LWEZA'!N52,'26.09 Munyonyo-Kigo-24h'!N52,'28.09 Munyonyo-Kigo-24h'!N52,'29.09 Munyonyo-Kigo'!N52)</f>
        <v>0</v>
      </c>
      <c r="O52" s="15">
        <f t="shared" si="0"/>
        <v>5.1428571428571441</v>
      </c>
      <c r="P52" s="15">
        <f t="shared" si="1"/>
        <v>24.857142857142861</v>
      </c>
      <c r="R52" s="8"/>
      <c r="T52"/>
    </row>
    <row r="53" spans="2:20" ht="23.1" customHeight="1" x14ac:dyDescent="0.25">
      <c r="B53" s="23" t="s">
        <v>80</v>
      </c>
      <c r="C53" s="49">
        <f>AVERAGE('23.09.19 -Munyonyo-Kigo'!C53,'24.09 Munyonyo-Kigo'!C53,'25.09 Munyonyo-Kigo'!C53,'27.09 Munyonyo-LWEZA'!C53,'26.09 Munyonyo-Kigo-24h'!C53,'28.09 Munyonyo-Kigo-24h'!C53,'29.09 Munyonyo-Kigo'!C53)</f>
        <v>2.8571428571428572</v>
      </c>
      <c r="D53" s="49">
        <f>AVERAGE('23.09.19 -Munyonyo-Kigo'!D53,'24.09 Munyonyo-Kigo'!D53,'25.09 Munyonyo-Kigo'!D53,'27.09 Munyonyo-LWEZA'!D53,'26.09 Munyonyo-Kigo-24h'!D53,'28.09 Munyonyo-Kigo-24h'!D53,'29.09 Munyonyo-Kigo'!D53)</f>
        <v>0.2857142857142857</v>
      </c>
      <c r="E53" s="49">
        <f>AVERAGE('23.09.19 -Munyonyo-Kigo'!E53,'24.09 Munyonyo-Kigo'!E53,'25.09 Munyonyo-Kigo'!E53,'27.09 Munyonyo-LWEZA'!E53,'26.09 Munyonyo-Kigo-24h'!E53,'28.09 Munyonyo-Kigo-24h'!E53,'29.09 Munyonyo-Kigo'!E53)</f>
        <v>0.8571428571428571</v>
      </c>
      <c r="F53" s="49">
        <f>AVERAGE('23.09.19 -Munyonyo-Kigo'!F53,'24.09 Munyonyo-Kigo'!F53,'25.09 Munyonyo-Kigo'!F53,'27.09 Munyonyo-LWEZA'!F53,'26.09 Munyonyo-Kigo-24h'!F53,'28.09 Munyonyo-Kigo-24h'!F53,'29.09 Munyonyo-Kigo'!F53)</f>
        <v>1.4285714285714286</v>
      </c>
      <c r="G53" s="49">
        <f>AVERAGE('23.09.19 -Munyonyo-Kigo'!G53,'24.09 Munyonyo-Kigo'!G53,'25.09 Munyonyo-Kigo'!G53,'27.09 Munyonyo-LWEZA'!G53,'26.09 Munyonyo-Kigo-24h'!G53,'28.09 Munyonyo-Kigo-24h'!G53,'29.09 Munyonyo-Kigo'!G53)</f>
        <v>0</v>
      </c>
      <c r="H53" s="49">
        <f>AVERAGE('23.09.19 -Munyonyo-Kigo'!H53,'24.09 Munyonyo-Kigo'!H53,'25.09 Munyonyo-Kigo'!H53,'27.09 Munyonyo-LWEZA'!H53,'26.09 Munyonyo-Kigo-24h'!H53,'28.09 Munyonyo-Kigo-24h'!H53,'29.09 Munyonyo-Kigo'!H53)</f>
        <v>0</v>
      </c>
      <c r="I53" s="49">
        <f>AVERAGE('23.09.19 -Munyonyo-Kigo'!I53,'24.09 Munyonyo-Kigo'!I53,'25.09 Munyonyo-Kigo'!I53,'27.09 Munyonyo-LWEZA'!I53,'26.09 Munyonyo-Kigo-24h'!I53,'28.09 Munyonyo-Kigo-24h'!I53,'29.09 Munyonyo-Kigo'!I53)</f>
        <v>0.14285714285714285</v>
      </c>
      <c r="J53" s="49">
        <f>AVERAGE('23.09.19 -Munyonyo-Kigo'!J53,'24.09 Munyonyo-Kigo'!J53,'25.09 Munyonyo-Kigo'!J53,'27.09 Munyonyo-LWEZA'!J53,'26.09 Munyonyo-Kigo-24h'!J53,'28.09 Munyonyo-Kigo-24h'!J53,'29.09 Munyonyo-Kigo'!J53)</f>
        <v>0.14285714285714285</v>
      </c>
      <c r="K53" s="49">
        <f>AVERAGE('23.09.19 -Munyonyo-Kigo'!K53,'24.09 Munyonyo-Kigo'!K53,'25.09 Munyonyo-Kigo'!K53,'27.09 Munyonyo-LWEZA'!K53,'26.09 Munyonyo-Kigo-24h'!K53,'28.09 Munyonyo-Kigo-24h'!K53,'29.09 Munyonyo-Kigo'!K53)</f>
        <v>0</v>
      </c>
      <c r="L53" s="49">
        <f>AVERAGE('23.09.19 -Munyonyo-Kigo'!L53,'24.09 Munyonyo-Kigo'!L53,'25.09 Munyonyo-Kigo'!L53,'27.09 Munyonyo-LWEZA'!L53,'26.09 Munyonyo-Kigo-24h'!L53,'28.09 Munyonyo-Kigo-24h'!L53,'29.09 Munyonyo-Kigo'!L53)</f>
        <v>0</v>
      </c>
      <c r="M53" s="49">
        <f>AVERAGE('23.09.19 -Munyonyo-Kigo'!M53,'24.09 Munyonyo-Kigo'!M53,'25.09 Munyonyo-Kigo'!M53,'27.09 Munyonyo-LWEZA'!M53,'26.09 Munyonyo-Kigo-24h'!M53,'28.09 Munyonyo-Kigo-24h'!M53,'29.09 Munyonyo-Kigo'!M53)</f>
        <v>16</v>
      </c>
      <c r="N53" s="49">
        <f>AVERAGE('23.09.19 -Munyonyo-Kigo'!N53,'24.09 Munyonyo-Kigo'!N53,'25.09 Munyonyo-Kigo'!N53,'27.09 Munyonyo-LWEZA'!N53,'26.09 Munyonyo-Kigo-24h'!N53,'28.09 Munyonyo-Kigo-24h'!N53,'29.09 Munyonyo-Kigo'!N53)</f>
        <v>0</v>
      </c>
      <c r="O53" s="15">
        <f t="shared" si="0"/>
        <v>5.7142857142857153</v>
      </c>
      <c r="P53" s="15">
        <f t="shared" si="1"/>
        <v>21.714285714285715</v>
      </c>
      <c r="R53" s="8"/>
      <c r="T53"/>
    </row>
    <row r="54" spans="2:20" ht="23.1" customHeight="1" x14ac:dyDescent="0.25">
      <c r="B54" s="23" t="s">
        <v>81</v>
      </c>
      <c r="C54" s="49">
        <f>AVERAGE('23.09.19 -Munyonyo-Kigo'!C54,'24.09 Munyonyo-Kigo'!C54,'25.09 Munyonyo-Kigo'!C54,'27.09 Munyonyo-LWEZA'!C54,'26.09 Munyonyo-Kigo-24h'!C54,'28.09 Munyonyo-Kigo-24h'!C54,'29.09 Munyonyo-Kigo'!C54)</f>
        <v>3.5714285714285716</v>
      </c>
      <c r="D54" s="49">
        <f>AVERAGE('23.09.19 -Munyonyo-Kigo'!D54,'24.09 Munyonyo-Kigo'!D54,'25.09 Munyonyo-Kigo'!D54,'27.09 Munyonyo-LWEZA'!D54,'26.09 Munyonyo-Kigo-24h'!D54,'28.09 Munyonyo-Kigo-24h'!D54,'29.09 Munyonyo-Kigo'!D54)</f>
        <v>0.5714285714285714</v>
      </c>
      <c r="E54" s="49">
        <f>AVERAGE('23.09.19 -Munyonyo-Kigo'!E54,'24.09 Munyonyo-Kigo'!E54,'25.09 Munyonyo-Kigo'!E54,'27.09 Munyonyo-LWEZA'!E54,'26.09 Munyonyo-Kigo-24h'!E54,'28.09 Munyonyo-Kigo-24h'!E54,'29.09 Munyonyo-Kigo'!E54)</f>
        <v>1.1428571428571428</v>
      </c>
      <c r="F54" s="49">
        <f>AVERAGE('23.09.19 -Munyonyo-Kigo'!F54,'24.09 Munyonyo-Kigo'!F54,'25.09 Munyonyo-Kigo'!F54,'27.09 Munyonyo-LWEZA'!F54,'26.09 Munyonyo-Kigo-24h'!F54,'28.09 Munyonyo-Kigo-24h'!F54,'29.09 Munyonyo-Kigo'!F54)</f>
        <v>0.42857142857142855</v>
      </c>
      <c r="G54" s="49">
        <f>AVERAGE('23.09.19 -Munyonyo-Kigo'!G54,'24.09 Munyonyo-Kigo'!G54,'25.09 Munyonyo-Kigo'!G54,'27.09 Munyonyo-LWEZA'!G54,'26.09 Munyonyo-Kigo-24h'!G54,'28.09 Munyonyo-Kigo-24h'!G54,'29.09 Munyonyo-Kigo'!G54)</f>
        <v>0</v>
      </c>
      <c r="H54" s="49">
        <f>AVERAGE('23.09.19 -Munyonyo-Kigo'!H54,'24.09 Munyonyo-Kigo'!H54,'25.09 Munyonyo-Kigo'!H54,'27.09 Munyonyo-LWEZA'!H54,'26.09 Munyonyo-Kigo-24h'!H54,'28.09 Munyonyo-Kigo-24h'!H54,'29.09 Munyonyo-Kigo'!H54)</f>
        <v>0</v>
      </c>
      <c r="I54" s="49">
        <f>AVERAGE('23.09.19 -Munyonyo-Kigo'!I54,'24.09 Munyonyo-Kigo'!I54,'25.09 Munyonyo-Kigo'!I54,'27.09 Munyonyo-LWEZA'!I54,'26.09 Munyonyo-Kigo-24h'!I54,'28.09 Munyonyo-Kigo-24h'!I54,'29.09 Munyonyo-Kigo'!I54)</f>
        <v>0.2857142857142857</v>
      </c>
      <c r="J54" s="49">
        <f>AVERAGE('23.09.19 -Munyonyo-Kigo'!J54,'24.09 Munyonyo-Kigo'!J54,'25.09 Munyonyo-Kigo'!J54,'27.09 Munyonyo-LWEZA'!J54,'26.09 Munyonyo-Kigo-24h'!J54,'28.09 Munyonyo-Kigo-24h'!J54,'29.09 Munyonyo-Kigo'!J54)</f>
        <v>0</v>
      </c>
      <c r="K54" s="49">
        <f>AVERAGE('23.09.19 -Munyonyo-Kigo'!K54,'24.09 Munyonyo-Kigo'!K54,'25.09 Munyonyo-Kigo'!K54,'27.09 Munyonyo-LWEZA'!K54,'26.09 Munyonyo-Kigo-24h'!K54,'28.09 Munyonyo-Kigo-24h'!K54,'29.09 Munyonyo-Kigo'!K54)</f>
        <v>0</v>
      </c>
      <c r="L54" s="49">
        <f>AVERAGE('23.09.19 -Munyonyo-Kigo'!L54,'24.09 Munyonyo-Kigo'!L54,'25.09 Munyonyo-Kigo'!L54,'27.09 Munyonyo-LWEZA'!L54,'26.09 Munyonyo-Kigo-24h'!L54,'28.09 Munyonyo-Kigo-24h'!L54,'29.09 Munyonyo-Kigo'!L54)</f>
        <v>0</v>
      </c>
      <c r="M54" s="49">
        <f>AVERAGE('23.09.19 -Munyonyo-Kigo'!M54,'24.09 Munyonyo-Kigo'!M54,'25.09 Munyonyo-Kigo'!M54,'27.09 Munyonyo-LWEZA'!M54,'26.09 Munyonyo-Kigo-24h'!M54,'28.09 Munyonyo-Kigo-24h'!M54,'29.09 Munyonyo-Kigo'!M54)</f>
        <v>27.142857142857142</v>
      </c>
      <c r="N54" s="49">
        <f>AVERAGE('23.09.19 -Munyonyo-Kigo'!N54,'24.09 Munyonyo-Kigo'!N54,'25.09 Munyonyo-Kigo'!N54,'27.09 Munyonyo-LWEZA'!N54,'26.09 Munyonyo-Kigo-24h'!N54,'28.09 Munyonyo-Kigo-24h'!N54,'29.09 Munyonyo-Kigo'!N54)</f>
        <v>0</v>
      </c>
      <c r="O54" s="15">
        <f t="shared" si="0"/>
        <v>6.0000000000000009</v>
      </c>
      <c r="P54" s="15">
        <f t="shared" si="1"/>
        <v>33.142857142857146</v>
      </c>
      <c r="R54" s="8"/>
      <c r="T54"/>
    </row>
    <row r="55" spans="2:20" ht="23.1" customHeight="1" x14ac:dyDescent="0.25">
      <c r="B55" s="23" t="s">
        <v>82</v>
      </c>
      <c r="C55" s="49">
        <f>AVERAGE('23.09.19 -Munyonyo-Kigo'!C55,'24.09 Munyonyo-Kigo'!C55,'25.09 Munyonyo-Kigo'!C55,'27.09 Munyonyo-LWEZA'!C55,'26.09 Munyonyo-Kigo-24h'!C55,'28.09 Munyonyo-Kigo-24h'!C55,'29.09 Munyonyo-Kigo'!C55)</f>
        <v>2.4285714285714284</v>
      </c>
      <c r="D55" s="49">
        <f>AVERAGE('23.09.19 -Munyonyo-Kigo'!D55,'24.09 Munyonyo-Kigo'!D55,'25.09 Munyonyo-Kigo'!D55,'27.09 Munyonyo-LWEZA'!D55,'26.09 Munyonyo-Kigo-24h'!D55,'28.09 Munyonyo-Kigo-24h'!D55,'29.09 Munyonyo-Kigo'!D55)</f>
        <v>0.7142857142857143</v>
      </c>
      <c r="E55" s="49">
        <f>AVERAGE('23.09.19 -Munyonyo-Kigo'!E55,'24.09 Munyonyo-Kigo'!E55,'25.09 Munyonyo-Kigo'!E55,'27.09 Munyonyo-LWEZA'!E55,'26.09 Munyonyo-Kigo-24h'!E55,'28.09 Munyonyo-Kigo-24h'!E55,'29.09 Munyonyo-Kigo'!E55)</f>
        <v>0.14285714285714285</v>
      </c>
      <c r="F55" s="49">
        <f>AVERAGE('23.09.19 -Munyonyo-Kigo'!F55,'24.09 Munyonyo-Kigo'!F55,'25.09 Munyonyo-Kigo'!F55,'27.09 Munyonyo-LWEZA'!F55,'26.09 Munyonyo-Kigo-24h'!F55,'28.09 Munyonyo-Kigo-24h'!F55,'29.09 Munyonyo-Kigo'!F55)</f>
        <v>0.42857142857142855</v>
      </c>
      <c r="G55" s="49">
        <f>AVERAGE('23.09.19 -Munyonyo-Kigo'!G55,'24.09 Munyonyo-Kigo'!G55,'25.09 Munyonyo-Kigo'!G55,'27.09 Munyonyo-LWEZA'!G55,'26.09 Munyonyo-Kigo-24h'!G55,'28.09 Munyonyo-Kigo-24h'!G55,'29.09 Munyonyo-Kigo'!G55)</f>
        <v>0</v>
      </c>
      <c r="H55" s="49">
        <f>AVERAGE('23.09.19 -Munyonyo-Kigo'!H55,'24.09 Munyonyo-Kigo'!H55,'25.09 Munyonyo-Kigo'!H55,'27.09 Munyonyo-LWEZA'!H55,'26.09 Munyonyo-Kigo-24h'!H55,'28.09 Munyonyo-Kigo-24h'!H55,'29.09 Munyonyo-Kigo'!H55)</f>
        <v>0</v>
      </c>
      <c r="I55" s="49">
        <f>AVERAGE('23.09.19 -Munyonyo-Kigo'!I55,'24.09 Munyonyo-Kigo'!I55,'25.09 Munyonyo-Kigo'!I55,'27.09 Munyonyo-LWEZA'!I55,'26.09 Munyonyo-Kigo-24h'!I55,'28.09 Munyonyo-Kigo-24h'!I55,'29.09 Munyonyo-Kigo'!I55)</f>
        <v>0.42857142857142855</v>
      </c>
      <c r="J55" s="49">
        <f>AVERAGE('23.09.19 -Munyonyo-Kigo'!J55,'24.09 Munyonyo-Kigo'!J55,'25.09 Munyonyo-Kigo'!J55,'27.09 Munyonyo-LWEZA'!J55,'26.09 Munyonyo-Kigo-24h'!J55,'28.09 Munyonyo-Kigo-24h'!J55,'29.09 Munyonyo-Kigo'!J55)</f>
        <v>0</v>
      </c>
      <c r="K55" s="49">
        <f>AVERAGE('23.09.19 -Munyonyo-Kigo'!K55,'24.09 Munyonyo-Kigo'!K55,'25.09 Munyonyo-Kigo'!K55,'27.09 Munyonyo-LWEZA'!K55,'26.09 Munyonyo-Kigo-24h'!K55,'28.09 Munyonyo-Kigo-24h'!K55,'29.09 Munyonyo-Kigo'!K55)</f>
        <v>0</v>
      </c>
      <c r="L55" s="49">
        <f>AVERAGE('23.09.19 -Munyonyo-Kigo'!L55,'24.09 Munyonyo-Kigo'!L55,'25.09 Munyonyo-Kigo'!L55,'27.09 Munyonyo-LWEZA'!L55,'26.09 Munyonyo-Kigo-24h'!L55,'28.09 Munyonyo-Kigo-24h'!L55,'29.09 Munyonyo-Kigo'!L55)</f>
        <v>0</v>
      </c>
      <c r="M55" s="49">
        <f>AVERAGE('23.09.19 -Munyonyo-Kigo'!M55,'24.09 Munyonyo-Kigo'!M55,'25.09 Munyonyo-Kigo'!M55,'27.09 Munyonyo-LWEZA'!M55,'26.09 Munyonyo-Kigo-24h'!M55,'28.09 Munyonyo-Kigo-24h'!M55,'29.09 Munyonyo-Kigo'!M55)</f>
        <v>23.571428571428573</v>
      </c>
      <c r="N55" s="49">
        <f>AVERAGE('23.09.19 -Munyonyo-Kigo'!N55,'24.09 Munyonyo-Kigo'!N55,'25.09 Munyonyo-Kigo'!N55,'27.09 Munyonyo-LWEZA'!N55,'26.09 Munyonyo-Kigo-24h'!N55,'28.09 Munyonyo-Kigo-24h'!N55,'29.09 Munyonyo-Kigo'!N55)</f>
        <v>0</v>
      </c>
      <c r="O55" s="15">
        <f t="shared" si="0"/>
        <v>4.1428571428571423</v>
      </c>
      <c r="P55" s="15">
        <f t="shared" si="1"/>
        <v>27.714285714285715</v>
      </c>
      <c r="R55" s="8"/>
      <c r="T55"/>
    </row>
    <row r="56" spans="2:20" ht="23.1" customHeight="1" x14ac:dyDescent="0.25">
      <c r="B56" s="23" t="s">
        <v>83</v>
      </c>
      <c r="C56" s="49">
        <f>AVERAGE('23.09.19 -Munyonyo-Kigo'!C56,'24.09 Munyonyo-Kigo'!C56,'25.09 Munyonyo-Kigo'!C56,'27.09 Munyonyo-LWEZA'!C56,'26.09 Munyonyo-Kigo-24h'!C56,'28.09 Munyonyo-Kigo-24h'!C56,'29.09 Munyonyo-Kigo'!C56)</f>
        <v>2.8571428571428572</v>
      </c>
      <c r="D56" s="49">
        <f>AVERAGE('23.09.19 -Munyonyo-Kigo'!D56,'24.09 Munyonyo-Kigo'!D56,'25.09 Munyonyo-Kigo'!D56,'27.09 Munyonyo-LWEZA'!D56,'26.09 Munyonyo-Kigo-24h'!D56,'28.09 Munyonyo-Kigo-24h'!D56,'29.09 Munyonyo-Kigo'!D56)</f>
        <v>0.7142857142857143</v>
      </c>
      <c r="E56" s="49">
        <f>AVERAGE('23.09.19 -Munyonyo-Kigo'!E56,'24.09 Munyonyo-Kigo'!E56,'25.09 Munyonyo-Kigo'!E56,'27.09 Munyonyo-LWEZA'!E56,'26.09 Munyonyo-Kigo-24h'!E56,'28.09 Munyonyo-Kigo-24h'!E56,'29.09 Munyonyo-Kigo'!E56)</f>
        <v>0.5714285714285714</v>
      </c>
      <c r="F56" s="49">
        <f>AVERAGE('23.09.19 -Munyonyo-Kigo'!F56,'24.09 Munyonyo-Kigo'!F56,'25.09 Munyonyo-Kigo'!F56,'27.09 Munyonyo-LWEZA'!F56,'26.09 Munyonyo-Kigo-24h'!F56,'28.09 Munyonyo-Kigo-24h'!F56,'29.09 Munyonyo-Kigo'!F56)</f>
        <v>1.1428571428571428</v>
      </c>
      <c r="G56" s="49">
        <f>AVERAGE('23.09.19 -Munyonyo-Kigo'!G56,'24.09 Munyonyo-Kigo'!G56,'25.09 Munyonyo-Kigo'!G56,'27.09 Munyonyo-LWEZA'!G56,'26.09 Munyonyo-Kigo-24h'!G56,'28.09 Munyonyo-Kigo-24h'!G56,'29.09 Munyonyo-Kigo'!G56)</f>
        <v>0</v>
      </c>
      <c r="H56" s="49">
        <f>AVERAGE('23.09.19 -Munyonyo-Kigo'!H56,'24.09 Munyonyo-Kigo'!H56,'25.09 Munyonyo-Kigo'!H56,'27.09 Munyonyo-LWEZA'!H56,'26.09 Munyonyo-Kigo-24h'!H56,'28.09 Munyonyo-Kigo-24h'!H56,'29.09 Munyonyo-Kigo'!H56)</f>
        <v>0</v>
      </c>
      <c r="I56" s="49">
        <f>AVERAGE('23.09.19 -Munyonyo-Kigo'!I56,'24.09 Munyonyo-Kigo'!I56,'25.09 Munyonyo-Kigo'!I56,'27.09 Munyonyo-LWEZA'!I56,'26.09 Munyonyo-Kigo-24h'!I56,'28.09 Munyonyo-Kigo-24h'!I56,'29.09 Munyonyo-Kigo'!I56)</f>
        <v>1</v>
      </c>
      <c r="J56" s="49">
        <f>AVERAGE('23.09.19 -Munyonyo-Kigo'!J56,'24.09 Munyonyo-Kigo'!J56,'25.09 Munyonyo-Kigo'!J56,'27.09 Munyonyo-LWEZA'!J56,'26.09 Munyonyo-Kigo-24h'!J56,'28.09 Munyonyo-Kigo-24h'!J56,'29.09 Munyonyo-Kigo'!J56)</f>
        <v>0</v>
      </c>
      <c r="K56" s="49">
        <f>AVERAGE('23.09.19 -Munyonyo-Kigo'!K56,'24.09 Munyonyo-Kigo'!K56,'25.09 Munyonyo-Kigo'!K56,'27.09 Munyonyo-LWEZA'!K56,'26.09 Munyonyo-Kigo-24h'!K56,'28.09 Munyonyo-Kigo-24h'!K56,'29.09 Munyonyo-Kigo'!K56)</f>
        <v>0</v>
      </c>
      <c r="L56" s="49">
        <f>AVERAGE('23.09.19 -Munyonyo-Kigo'!L56,'24.09 Munyonyo-Kigo'!L56,'25.09 Munyonyo-Kigo'!L56,'27.09 Munyonyo-LWEZA'!L56,'26.09 Munyonyo-Kigo-24h'!L56,'28.09 Munyonyo-Kigo-24h'!L56,'29.09 Munyonyo-Kigo'!L56)</f>
        <v>0</v>
      </c>
      <c r="M56" s="49">
        <f>AVERAGE('23.09.19 -Munyonyo-Kigo'!M56,'24.09 Munyonyo-Kigo'!M56,'25.09 Munyonyo-Kigo'!M56,'27.09 Munyonyo-LWEZA'!M56,'26.09 Munyonyo-Kigo-24h'!M56,'28.09 Munyonyo-Kigo-24h'!M56,'29.09 Munyonyo-Kigo'!M56)</f>
        <v>25.428571428571427</v>
      </c>
      <c r="N56" s="49">
        <f>AVERAGE('23.09.19 -Munyonyo-Kigo'!N56,'24.09 Munyonyo-Kigo'!N56,'25.09 Munyonyo-Kigo'!N56,'27.09 Munyonyo-LWEZA'!N56,'26.09 Munyonyo-Kigo-24h'!N56,'28.09 Munyonyo-Kigo-24h'!N56,'29.09 Munyonyo-Kigo'!N56)</f>
        <v>0</v>
      </c>
      <c r="O56" s="15">
        <f t="shared" si="0"/>
        <v>6.2857142857142865</v>
      </c>
      <c r="P56" s="15">
        <f t="shared" si="1"/>
        <v>31.714285714285715</v>
      </c>
      <c r="R56" s="8"/>
      <c r="T56"/>
    </row>
    <row r="57" spans="2:20" ht="23.1" customHeight="1" x14ac:dyDescent="0.25">
      <c r="B57" s="23" t="s">
        <v>84</v>
      </c>
      <c r="C57" s="49">
        <f>AVERAGE('23.09.19 -Munyonyo-Kigo'!C57,'24.09 Munyonyo-Kigo'!C57,'25.09 Munyonyo-Kigo'!C57,'27.09 Munyonyo-LWEZA'!C57,'26.09 Munyonyo-Kigo-24h'!C57,'28.09 Munyonyo-Kigo-24h'!C57,'29.09 Munyonyo-Kigo'!C57)</f>
        <v>2</v>
      </c>
      <c r="D57" s="49">
        <f>AVERAGE('23.09.19 -Munyonyo-Kigo'!D57,'24.09 Munyonyo-Kigo'!D57,'25.09 Munyonyo-Kigo'!D57,'27.09 Munyonyo-LWEZA'!D57,'26.09 Munyonyo-Kigo-24h'!D57,'28.09 Munyonyo-Kigo-24h'!D57,'29.09 Munyonyo-Kigo'!D57)</f>
        <v>0.2857142857142857</v>
      </c>
      <c r="E57" s="49">
        <f>AVERAGE('23.09.19 -Munyonyo-Kigo'!E57,'24.09 Munyonyo-Kigo'!E57,'25.09 Munyonyo-Kigo'!E57,'27.09 Munyonyo-LWEZA'!E57,'26.09 Munyonyo-Kigo-24h'!E57,'28.09 Munyonyo-Kigo-24h'!E57,'29.09 Munyonyo-Kigo'!E57)</f>
        <v>0.5714285714285714</v>
      </c>
      <c r="F57" s="49">
        <f>AVERAGE('23.09.19 -Munyonyo-Kigo'!F57,'24.09 Munyonyo-Kigo'!F57,'25.09 Munyonyo-Kigo'!F57,'27.09 Munyonyo-LWEZA'!F57,'26.09 Munyonyo-Kigo-24h'!F57,'28.09 Munyonyo-Kigo-24h'!F57,'29.09 Munyonyo-Kigo'!F57)</f>
        <v>0.2857142857142857</v>
      </c>
      <c r="G57" s="49">
        <f>AVERAGE('23.09.19 -Munyonyo-Kigo'!G57,'24.09 Munyonyo-Kigo'!G57,'25.09 Munyonyo-Kigo'!G57,'27.09 Munyonyo-LWEZA'!G57,'26.09 Munyonyo-Kigo-24h'!G57,'28.09 Munyonyo-Kigo-24h'!G57,'29.09 Munyonyo-Kigo'!G57)</f>
        <v>0</v>
      </c>
      <c r="H57" s="49">
        <f>AVERAGE('23.09.19 -Munyonyo-Kigo'!H57,'24.09 Munyonyo-Kigo'!H57,'25.09 Munyonyo-Kigo'!H57,'27.09 Munyonyo-LWEZA'!H57,'26.09 Munyonyo-Kigo-24h'!H57,'28.09 Munyonyo-Kigo-24h'!H57,'29.09 Munyonyo-Kigo'!H57)</f>
        <v>0</v>
      </c>
      <c r="I57" s="49">
        <f>AVERAGE('23.09.19 -Munyonyo-Kigo'!I57,'24.09 Munyonyo-Kigo'!I57,'25.09 Munyonyo-Kigo'!I57,'27.09 Munyonyo-LWEZA'!I57,'26.09 Munyonyo-Kigo-24h'!I57,'28.09 Munyonyo-Kigo-24h'!I57,'29.09 Munyonyo-Kigo'!I57)</f>
        <v>0.7142857142857143</v>
      </c>
      <c r="J57" s="49">
        <f>AVERAGE('23.09.19 -Munyonyo-Kigo'!J57,'24.09 Munyonyo-Kigo'!J57,'25.09 Munyonyo-Kigo'!J57,'27.09 Munyonyo-LWEZA'!J57,'26.09 Munyonyo-Kigo-24h'!J57,'28.09 Munyonyo-Kigo-24h'!J57,'29.09 Munyonyo-Kigo'!J57)</f>
        <v>0.14285714285714285</v>
      </c>
      <c r="K57" s="49">
        <f>AVERAGE('23.09.19 -Munyonyo-Kigo'!K57,'24.09 Munyonyo-Kigo'!K57,'25.09 Munyonyo-Kigo'!K57,'27.09 Munyonyo-LWEZA'!K57,'26.09 Munyonyo-Kigo-24h'!K57,'28.09 Munyonyo-Kigo-24h'!K57,'29.09 Munyonyo-Kigo'!K57)</f>
        <v>0</v>
      </c>
      <c r="L57" s="49">
        <f>AVERAGE('23.09.19 -Munyonyo-Kigo'!L57,'24.09 Munyonyo-Kigo'!L57,'25.09 Munyonyo-Kigo'!L57,'27.09 Munyonyo-LWEZA'!L57,'26.09 Munyonyo-Kigo-24h'!L57,'28.09 Munyonyo-Kigo-24h'!L57,'29.09 Munyonyo-Kigo'!L57)</f>
        <v>0</v>
      </c>
      <c r="M57" s="49">
        <f>AVERAGE('23.09.19 -Munyonyo-Kigo'!M57,'24.09 Munyonyo-Kigo'!M57,'25.09 Munyonyo-Kigo'!M57,'27.09 Munyonyo-LWEZA'!M57,'26.09 Munyonyo-Kigo-24h'!M57,'28.09 Munyonyo-Kigo-24h'!M57,'29.09 Munyonyo-Kigo'!M57)</f>
        <v>22.142857142857142</v>
      </c>
      <c r="N57" s="49">
        <f>AVERAGE('23.09.19 -Munyonyo-Kigo'!N57,'24.09 Munyonyo-Kigo'!N57,'25.09 Munyonyo-Kigo'!N57,'27.09 Munyonyo-LWEZA'!N57,'26.09 Munyonyo-Kigo-24h'!N57,'28.09 Munyonyo-Kigo-24h'!N57,'29.09 Munyonyo-Kigo'!N57)</f>
        <v>0</v>
      </c>
      <c r="O57" s="15">
        <f t="shared" si="0"/>
        <v>3.9999999999999996</v>
      </c>
      <c r="P57" s="15">
        <f t="shared" si="1"/>
        <v>26.142857142857142</v>
      </c>
      <c r="R57" s="8"/>
      <c r="T57"/>
    </row>
    <row r="58" spans="2:20" ht="23.1" customHeight="1" x14ac:dyDescent="0.25">
      <c r="B58" s="23" t="s">
        <v>99</v>
      </c>
      <c r="C58" s="49">
        <f>AVERAGE('26.09 Munyonyo-Kigo-24h'!C58,'28.09 Munyonyo-Kigo-24h'!C58)</f>
        <v>4</v>
      </c>
      <c r="D58" s="49">
        <f>AVERAGE('26.09 Munyonyo-Kigo-24h'!D58,'28.09 Munyonyo-Kigo-24h'!D58)</f>
        <v>1</v>
      </c>
      <c r="E58" s="49">
        <f>AVERAGE('26.09 Munyonyo-Kigo-24h'!E58,'28.09 Munyonyo-Kigo-24h'!E58)</f>
        <v>0.5</v>
      </c>
      <c r="F58" s="49">
        <f>AVERAGE('26.09 Munyonyo-Kigo-24h'!F58,'28.09 Munyonyo-Kigo-24h'!F58)</f>
        <v>0</v>
      </c>
      <c r="G58" s="49">
        <f>AVERAGE('26.09 Munyonyo-Kigo-24h'!G58,'28.09 Munyonyo-Kigo-24h'!G58)</f>
        <v>0</v>
      </c>
      <c r="H58" s="49">
        <f>AVERAGE('26.09 Munyonyo-Kigo-24h'!H58,'28.09 Munyonyo-Kigo-24h'!H58)</f>
        <v>0</v>
      </c>
      <c r="I58" s="49">
        <f>AVERAGE('26.09 Munyonyo-Kigo-24h'!I58,'28.09 Munyonyo-Kigo-24h'!I58)</f>
        <v>0</v>
      </c>
      <c r="J58" s="49">
        <f>AVERAGE('26.09 Munyonyo-Kigo-24h'!J58,'28.09 Munyonyo-Kigo-24h'!J58)</f>
        <v>0</v>
      </c>
      <c r="K58" s="49">
        <f>AVERAGE('26.09 Munyonyo-Kigo-24h'!K58,'28.09 Munyonyo-Kigo-24h'!K58)</f>
        <v>0</v>
      </c>
      <c r="L58" s="49">
        <f>AVERAGE('26.09 Munyonyo-Kigo-24h'!L58,'28.09 Munyonyo-Kigo-24h'!L58)</f>
        <v>0</v>
      </c>
      <c r="M58" s="49">
        <f>AVERAGE('26.09 Munyonyo-Kigo-24h'!M58,'28.09 Munyonyo-Kigo-24h'!M58)</f>
        <v>32.5</v>
      </c>
      <c r="N58" s="49">
        <f>AVERAGE('26.09 Munyonyo-Kigo-24h'!N58,'28.09 Munyonyo-Kigo-24h'!N58)</f>
        <v>0</v>
      </c>
      <c r="O58" s="15">
        <f t="shared" si="0"/>
        <v>5.5</v>
      </c>
      <c r="P58" s="15">
        <f t="shared" si="1"/>
        <v>38</v>
      </c>
      <c r="R58" s="8"/>
      <c r="T58"/>
    </row>
    <row r="59" spans="2:20" ht="23.1" customHeight="1" x14ac:dyDescent="0.25">
      <c r="B59" s="23" t="s">
        <v>100</v>
      </c>
      <c r="C59" s="49">
        <f>AVERAGE('26.09 Munyonyo-Kigo-24h'!C59,'28.09 Munyonyo-Kigo-24h'!C59)</f>
        <v>1.5</v>
      </c>
      <c r="D59" s="49">
        <f>AVERAGE('26.09 Munyonyo-Kigo-24h'!D59,'28.09 Munyonyo-Kigo-24h'!D59)</f>
        <v>1</v>
      </c>
      <c r="E59" s="49">
        <f>AVERAGE('26.09 Munyonyo-Kigo-24h'!E59,'28.09 Munyonyo-Kigo-24h'!E59)</f>
        <v>0.5</v>
      </c>
      <c r="F59" s="49">
        <f>AVERAGE('26.09 Munyonyo-Kigo-24h'!F59,'28.09 Munyonyo-Kigo-24h'!F59)</f>
        <v>0</v>
      </c>
      <c r="G59" s="49">
        <f>AVERAGE('26.09 Munyonyo-Kigo-24h'!G59,'28.09 Munyonyo-Kigo-24h'!G59)</f>
        <v>0</v>
      </c>
      <c r="H59" s="49">
        <f>AVERAGE('26.09 Munyonyo-Kigo-24h'!H59,'28.09 Munyonyo-Kigo-24h'!H59)</f>
        <v>0</v>
      </c>
      <c r="I59" s="49">
        <f>AVERAGE('26.09 Munyonyo-Kigo-24h'!I59,'28.09 Munyonyo-Kigo-24h'!I59)</f>
        <v>0.5</v>
      </c>
      <c r="J59" s="49">
        <f>AVERAGE('26.09 Munyonyo-Kigo-24h'!J59,'28.09 Munyonyo-Kigo-24h'!J59)</f>
        <v>0</v>
      </c>
      <c r="K59" s="49">
        <f>AVERAGE('26.09 Munyonyo-Kigo-24h'!K59,'28.09 Munyonyo-Kigo-24h'!K59)</f>
        <v>0</v>
      </c>
      <c r="L59" s="49">
        <f>AVERAGE('26.09 Munyonyo-Kigo-24h'!L59,'28.09 Munyonyo-Kigo-24h'!L59)</f>
        <v>0</v>
      </c>
      <c r="M59" s="49">
        <f>AVERAGE('26.09 Munyonyo-Kigo-24h'!M59,'28.09 Munyonyo-Kigo-24h'!M59)</f>
        <v>30</v>
      </c>
      <c r="N59" s="49">
        <f>AVERAGE('26.09 Munyonyo-Kigo-24h'!N59,'28.09 Munyonyo-Kigo-24h'!N59)</f>
        <v>0</v>
      </c>
      <c r="O59" s="15">
        <f t="shared" si="0"/>
        <v>3.5</v>
      </c>
      <c r="P59" s="15">
        <f t="shared" si="1"/>
        <v>33.5</v>
      </c>
      <c r="R59" s="8"/>
      <c r="T59"/>
    </row>
    <row r="60" spans="2:20" ht="23.1" customHeight="1" x14ac:dyDescent="0.25">
      <c r="B60" s="23" t="s">
        <v>101</v>
      </c>
      <c r="C60" s="49">
        <f>AVERAGE('26.09 Munyonyo-Kigo-24h'!C60,'28.09 Munyonyo-Kigo-24h'!C60)</f>
        <v>3.5</v>
      </c>
      <c r="D60" s="49">
        <f>AVERAGE('26.09 Munyonyo-Kigo-24h'!D60,'28.09 Munyonyo-Kigo-24h'!D60)</f>
        <v>1.5</v>
      </c>
      <c r="E60" s="49">
        <f>AVERAGE('26.09 Munyonyo-Kigo-24h'!E60,'28.09 Munyonyo-Kigo-24h'!E60)</f>
        <v>0.5</v>
      </c>
      <c r="F60" s="49">
        <f>AVERAGE('26.09 Munyonyo-Kigo-24h'!F60,'28.09 Munyonyo-Kigo-24h'!F60)</f>
        <v>0.5</v>
      </c>
      <c r="G60" s="49">
        <f>AVERAGE('26.09 Munyonyo-Kigo-24h'!G60,'28.09 Munyonyo-Kigo-24h'!G60)</f>
        <v>0</v>
      </c>
      <c r="H60" s="49">
        <f>AVERAGE('26.09 Munyonyo-Kigo-24h'!H60,'28.09 Munyonyo-Kigo-24h'!H60)</f>
        <v>0</v>
      </c>
      <c r="I60" s="49">
        <f>AVERAGE('26.09 Munyonyo-Kigo-24h'!I60,'28.09 Munyonyo-Kigo-24h'!I60)</f>
        <v>0</v>
      </c>
      <c r="J60" s="49">
        <f>AVERAGE('26.09 Munyonyo-Kigo-24h'!J60,'28.09 Munyonyo-Kigo-24h'!J60)</f>
        <v>0</v>
      </c>
      <c r="K60" s="49">
        <f>AVERAGE('26.09 Munyonyo-Kigo-24h'!K60,'28.09 Munyonyo-Kigo-24h'!K60)</f>
        <v>0</v>
      </c>
      <c r="L60" s="49">
        <f>AVERAGE('26.09 Munyonyo-Kigo-24h'!L60,'28.09 Munyonyo-Kigo-24h'!L60)</f>
        <v>0</v>
      </c>
      <c r="M60" s="49">
        <f>AVERAGE('26.09 Munyonyo-Kigo-24h'!M60,'28.09 Munyonyo-Kigo-24h'!M60)</f>
        <v>34</v>
      </c>
      <c r="N60" s="49">
        <f>AVERAGE('26.09 Munyonyo-Kigo-24h'!N60,'28.09 Munyonyo-Kigo-24h'!N60)</f>
        <v>0</v>
      </c>
      <c r="O60" s="15">
        <f t="shared" si="0"/>
        <v>6</v>
      </c>
      <c r="P60" s="15">
        <f t="shared" si="1"/>
        <v>40</v>
      </c>
      <c r="R60" s="8"/>
      <c r="T60"/>
    </row>
    <row r="61" spans="2:20" ht="23.1" customHeight="1" x14ac:dyDescent="0.25">
      <c r="B61" s="23" t="s">
        <v>102</v>
      </c>
      <c r="C61" s="49">
        <f>AVERAGE('26.09 Munyonyo-Kigo-24h'!C61,'28.09 Munyonyo-Kigo-24h'!C61)</f>
        <v>2.5</v>
      </c>
      <c r="D61" s="49">
        <f>AVERAGE('26.09 Munyonyo-Kigo-24h'!D61,'28.09 Munyonyo-Kigo-24h'!D61)</f>
        <v>0</v>
      </c>
      <c r="E61" s="49">
        <f>AVERAGE('26.09 Munyonyo-Kigo-24h'!E61,'28.09 Munyonyo-Kigo-24h'!E61)</f>
        <v>1</v>
      </c>
      <c r="F61" s="49">
        <f>AVERAGE('26.09 Munyonyo-Kigo-24h'!F61,'28.09 Munyonyo-Kigo-24h'!F61)</f>
        <v>0.5</v>
      </c>
      <c r="G61" s="49">
        <f>AVERAGE('26.09 Munyonyo-Kigo-24h'!G61,'28.09 Munyonyo-Kigo-24h'!G61)</f>
        <v>0</v>
      </c>
      <c r="H61" s="49">
        <f>AVERAGE('26.09 Munyonyo-Kigo-24h'!H61,'28.09 Munyonyo-Kigo-24h'!H61)</f>
        <v>0</v>
      </c>
      <c r="I61" s="49">
        <f>AVERAGE('26.09 Munyonyo-Kigo-24h'!I61,'28.09 Munyonyo-Kigo-24h'!I61)</f>
        <v>0</v>
      </c>
      <c r="J61" s="49">
        <f>AVERAGE('26.09 Munyonyo-Kigo-24h'!J61,'28.09 Munyonyo-Kigo-24h'!J61)</f>
        <v>0</v>
      </c>
      <c r="K61" s="49">
        <f>AVERAGE('26.09 Munyonyo-Kigo-24h'!K61,'28.09 Munyonyo-Kigo-24h'!K61)</f>
        <v>0</v>
      </c>
      <c r="L61" s="49">
        <f>AVERAGE('26.09 Munyonyo-Kigo-24h'!L61,'28.09 Munyonyo-Kigo-24h'!L61)</f>
        <v>0</v>
      </c>
      <c r="M61" s="49">
        <f>AVERAGE('26.09 Munyonyo-Kigo-24h'!M61,'28.09 Munyonyo-Kigo-24h'!M61)</f>
        <v>32</v>
      </c>
      <c r="N61" s="49">
        <f>AVERAGE('26.09 Munyonyo-Kigo-24h'!N61,'28.09 Munyonyo-Kigo-24h'!N61)</f>
        <v>0</v>
      </c>
      <c r="O61" s="15">
        <f t="shared" si="0"/>
        <v>4</v>
      </c>
      <c r="P61" s="15">
        <f t="shared" si="1"/>
        <v>36</v>
      </c>
      <c r="R61" s="8"/>
      <c r="T61"/>
    </row>
    <row r="62" spans="2:20" ht="23.1" customHeight="1" x14ac:dyDescent="0.25">
      <c r="B62" s="23" t="s">
        <v>107</v>
      </c>
      <c r="C62" s="49">
        <f>AVERAGE('26.09 Munyonyo-Kigo-24h'!C62,'28.09 Munyonyo-Kigo-24h'!C62)</f>
        <v>6.5</v>
      </c>
      <c r="D62" s="49">
        <f>AVERAGE('26.09 Munyonyo-Kigo-24h'!D62,'28.09 Munyonyo-Kigo-24h'!D62)</f>
        <v>1</v>
      </c>
      <c r="E62" s="49">
        <f>AVERAGE('26.09 Munyonyo-Kigo-24h'!E62,'28.09 Munyonyo-Kigo-24h'!E62)</f>
        <v>1</v>
      </c>
      <c r="F62" s="49">
        <f>AVERAGE('26.09 Munyonyo-Kigo-24h'!F62,'28.09 Munyonyo-Kigo-24h'!F62)</f>
        <v>0</v>
      </c>
      <c r="G62" s="49">
        <f>AVERAGE('26.09 Munyonyo-Kigo-24h'!G62,'28.09 Munyonyo-Kigo-24h'!G62)</f>
        <v>0</v>
      </c>
      <c r="H62" s="49">
        <f>AVERAGE('26.09 Munyonyo-Kigo-24h'!H62,'28.09 Munyonyo-Kigo-24h'!H62)</f>
        <v>0</v>
      </c>
      <c r="I62" s="49">
        <f>AVERAGE('26.09 Munyonyo-Kigo-24h'!I62,'28.09 Munyonyo-Kigo-24h'!I62)</f>
        <v>0</v>
      </c>
      <c r="J62" s="49">
        <f>AVERAGE('26.09 Munyonyo-Kigo-24h'!J62,'28.09 Munyonyo-Kigo-24h'!J62)</f>
        <v>0</v>
      </c>
      <c r="K62" s="49">
        <f>AVERAGE('26.09 Munyonyo-Kigo-24h'!K62,'28.09 Munyonyo-Kigo-24h'!K62)</f>
        <v>0</v>
      </c>
      <c r="L62" s="49">
        <f>AVERAGE('26.09 Munyonyo-Kigo-24h'!L62,'28.09 Munyonyo-Kigo-24h'!L62)</f>
        <v>0</v>
      </c>
      <c r="M62" s="49">
        <f>AVERAGE('26.09 Munyonyo-Kigo-24h'!M62,'28.09 Munyonyo-Kigo-24h'!M62)</f>
        <v>40</v>
      </c>
      <c r="N62" s="49">
        <f>AVERAGE('26.09 Munyonyo-Kigo-24h'!N62,'28.09 Munyonyo-Kigo-24h'!N62)</f>
        <v>0</v>
      </c>
      <c r="O62" s="15">
        <f t="shared" si="0"/>
        <v>8.5</v>
      </c>
      <c r="P62" s="15">
        <f t="shared" si="1"/>
        <v>48.5</v>
      </c>
      <c r="R62" s="8"/>
      <c r="T62"/>
    </row>
    <row r="63" spans="2:20" ht="23.1" customHeight="1" x14ac:dyDescent="0.25">
      <c r="B63" s="23" t="s">
        <v>108</v>
      </c>
      <c r="C63" s="49">
        <f>AVERAGE('26.09 Munyonyo-Kigo-24h'!C63,'28.09 Munyonyo-Kigo-24h'!C63)</f>
        <v>4</v>
      </c>
      <c r="D63" s="49">
        <f>AVERAGE('26.09 Munyonyo-Kigo-24h'!D63,'28.09 Munyonyo-Kigo-24h'!D63)</f>
        <v>1</v>
      </c>
      <c r="E63" s="49">
        <f>AVERAGE('26.09 Munyonyo-Kigo-24h'!E63,'28.09 Munyonyo-Kigo-24h'!E63)</f>
        <v>1</v>
      </c>
      <c r="F63" s="49">
        <f>AVERAGE('26.09 Munyonyo-Kigo-24h'!F63,'28.09 Munyonyo-Kigo-24h'!F63)</f>
        <v>0</v>
      </c>
      <c r="G63" s="49">
        <f>AVERAGE('26.09 Munyonyo-Kigo-24h'!G63,'28.09 Munyonyo-Kigo-24h'!G63)</f>
        <v>0</v>
      </c>
      <c r="H63" s="49">
        <f>AVERAGE('26.09 Munyonyo-Kigo-24h'!H63,'28.09 Munyonyo-Kigo-24h'!H63)</f>
        <v>0</v>
      </c>
      <c r="I63" s="49">
        <f>AVERAGE('26.09 Munyonyo-Kigo-24h'!I63,'28.09 Munyonyo-Kigo-24h'!I63)</f>
        <v>0</v>
      </c>
      <c r="J63" s="49">
        <f>AVERAGE('26.09 Munyonyo-Kigo-24h'!J63,'28.09 Munyonyo-Kigo-24h'!J63)</f>
        <v>0</v>
      </c>
      <c r="K63" s="49">
        <f>AVERAGE('26.09 Munyonyo-Kigo-24h'!K63,'28.09 Munyonyo-Kigo-24h'!K63)</f>
        <v>0</v>
      </c>
      <c r="L63" s="49">
        <f>AVERAGE('26.09 Munyonyo-Kigo-24h'!L63,'28.09 Munyonyo-Kigo-24h'!L63)</f>
        <v>0</v>
      </c>
      <c r="M63" s="49">
        <f>AVERAGE('26.09 Munyonyo-Kigo-24h'!M63,'28.09 Munyonyo-Kigo-24h'!M63)</f>
        <v>32</v>
      </c>
      <c r="N63" s="49">
        <f>AVERAGE('26.09 Munyonyo-Kigo-24h'!N63,'28.09 Munyonyo-Kigo-24h'!N63)</f>
        <v>0</v>
      </c>
      <c r="O63" s="15">
        <f t="shared" si="0"/>
        <v>6</v>
      </c>
      <c r="P63" s="15">
        <f t="shared" si="1"/>
        <v>38</v>
      </c>
      <c r="R63" s="8"/>
      <c r="T63"/>
    </row>
    <row r="64" spans="2:20" ht="23.1" customHeight="1" x14ac:dyDescent="0.25">
      <c r="B64" s="23" t="s">
        <v>109</v>
      </c>
      <c r="C64" s="49">
        <f>AVERAGE('26.09 Munyonyo-Kigo-24h'!C64,'28.09 Munyonyo-Kigo-24h'!C64)</f>
        <v>4.5</v>
      </c>
      <c r="D64" s="49">
        <f>AVERAGE('26.09 Munyonyo-Kigo-24h'!D64,'28.09 Munyonyo-Kigo-24h'!D64)</f>
        <v>0.5</v>
      </c>
      <c r="E64" s="49">
        <f>AVERAGE('26.09 Munyonyo-Kigo-24h'!E64,'28.09 Munyonyo-Kigo-24h'!E64)</f>
        <v>0.5</v>
      </c>
      <c r="F64" s="49">
        <f>AVERAGE('26.09 Munyonyo-Kigo-24h'!F64,'28.09 Munyonyo-Kigo-24h'!F64)</f>
        <v>2</v>
      </c>
      <c r="G64" s="49">
        <f>AVERAGE('26.09 Munyonyo-Kigo-24h'!G64,'28.09 Munyonyo-Kigo-24h'!G64)</f>
        <v>0</v>
      </c>
      <c r="H64" s="49">
        <f>AVERAGE('26.09 Munyonyo-Kigo-24h'!H64,'28.09 Munyonyo-Kigo-24h'!H64)</f>
        <v>0</v>
      </c>
      <c r="I64" s="49">
        <f>AVERAGE('26.09 Munyonyo-Kigo-24h'!I64,'28.09 Munyonyo-Kigo-24h'!I64)</f>
        <v>1.5</v>
      </c>
      <c r="J64" s="49">
        <f>AVERAGE('26.09 Munyonyo-Kigo-24h'!J64,'28.09 Munyonyo-Kigo-24h'!J64)</f>
        <v>0</v>
      </c>
      <c r="K64" s="49">
        <f>AVERAGE('26.09 Munyonyo-Kigo-24h'!K64,'28.09 Munyonyo-Kigo-24h'!K64)</f>
        <v>0</v>
      </c>
      <c r="L64" s="49">
        <f>AVERAGE('26.09 Munyonyo-Kigo-24h'!L64,'28.09 Munyonyo-Kigo-24h'!L64)</f>
        <v>0</v>
      </c>
      <c r="M64" s="49">
        <f>AVERAGE('26.09 Munyonyo-Kigo-24h'!M64,'28.09 Munyonyo-Kigo-24h'!M64)</f>
        <v>26</v>
      </c>
      <c r="N64" s="49">
        <f>AVERAGE('26.09 Munyonyo-Kigo-24h'!N64,'28.09 Munyonyo-Kigo-24h'!N64)</f>
        <v>0</v>
      </c>
      <c r="O64" s="15">
        <f t="shared" si="0"/>
        <v>9</v>
      </c>
      <c r="P64" s="15">
        <f t="shared" si="1"/>
        <v>35</v>
      </c>
      <c r="R64" s="8"/>
      <c r="T64"/>
    </row>
    <row r="65" spans="2:20" ht="23.1" customHeight="1" x14ac:dyDescent="0.25">
      <c r="B65" s="23" t="s">
        <v>158</v>
      </c>
      <c r="C65" s="49">
        <f>AVERAGE('26.09 Munyonyo-Kigo-24h'!C65,'28.09 Munyonyo-Kigo-24h'!C65)</f>
        <v>3</v>
      </c>
      <c r="D65" s="49">
        <f>AVERAGE('26.09 Munyonyo-Kigo-24h'!D65,'28.09 Munyonyo-Kigo-24h'!D65)</f>
        <v>0</v>
      </c>
      <c r="E65" s="49">
        <f>AVERAGE('26.09 Munyonyo-Kigo-24h'!E65,'28.09 Munyonyo-Kigo-24h'!E65)</f>
        <v>1</v>
      </c>
      <c r="F65" s="49">
        <f>AVERAGE('26.09 Munyonyo-Kigo-24h'!F65,'28.09 Munyonyo-Kigo-24h'!F65)</f>
        <v>1</v>
      </c>
      <c r="G65" s="49">
        <f>AVERAGE('26.09 Munyonyo-Kigo-24h'!G65,'28.09 Munyonyo-Kigo-24h'!G65)</f>
        <v>0</v>
      </c>
      <c r="H65" s="49">
        <f>AVERAGE('26.09 Munyonyo-Kigo-24h'!H65,'28.09 Munyonyo-Kigo-24h'!H65)</f>
        <v>0</v>
      </c>
      <c r="I65" s="49">
        <f>AVERAGE('26.09 Munyonyo-Kigo-24h'!I65,'28.09 Munyonyo-Kigo-24h'!I65)</f>
        <v>0</v>
      </c>
      <c r="J65" s="49">
        <f>AVERAGE('26.09 Munyonyo-Kigo-24h'!J65,'28.09 Munyonyo-Kigo-24h'!J65)</f>
        <v>0</v>
      </c>
      <c r="K65" s="49">
        <f>AVERAGE('26.09 Munyonyo-Kigo-24h'!K65,'28.09 Munyonyo-Kigo-24h'!K65)</f>
        <v>0</v>
      </c>
      <c r="L65" s="49">
        <f>AVERAGE('26.09 Munyonyo-Kigo-24h'!L65,'28.09 Munyonyo-Kigo-24h'!L65)</f>
        <v>0</v>
      </c>
      <c r="M65" s="49">
        <f>AVERAGE('26.09 Munyonyo-Kigo-24h'!M65,'28.09 Munyonyo-Kigo-24h'!M65)</f>
        <v>21.5</v>
      </c>
      <c r="N65" s="49">
        <f>AVERAGE('26.09 Munyonyo-Kigo-24h'!N65,'28.09 Munyonyo-Kigo-24h'!N65)</f>
        <v>0</v>
      </c>
      <c r="O65" s="15">
        <f t="shared" si="0"/>
        <v>5</v>
      </c>
      <c r="P65" s="15">
        <f t="shared" si="1"/>
        <v>26.5</v>
      </c>
      <c r="R65" s="8"/>
      <c r="T65"/>
    </row>
    <row r="66" spans="2:20" ht="23.1" customHeight="1" x14ac:dyDescent="0.25">
      <c r="B66" s="23" t="s">
        <v>103</v>
      </c>
      <c r="C66" s="49">
        <f>AVERAGE('26.09 Munyonyo-Kigo-24h'!C66,'28.09 Munyonyo-Kigo-24h'!C66)</f>
        <v>2.5</v>
      </c>
      <c r="D66" s="49">
        <f>AVERAGE('26.09 Munyonyo-Kigo-24h'!D66,'28.09 Munyonyo-Kigo-24h'!D66)</f>
        <v>1.5</v>
      </c>
      <c r="E66" s="49">
        <f>AVERAGE('26.09 Munyonyo-Kigo-24h'!E66,'28.09 Munyonyo-Kigo-24h'!E66)</f>
        <v>1</v>
      </c>
      <c r="F66" s="49">
        <f>AVERAGE('26.09 Munyonyo-Kigo-24h'!F66,'28.09 Munyonyo-Kigo-24h'!F66)</f>
        <v>1</v>
      </c>
      <c r="G66" s="49">
        <f>AVERAGE('26.09 Munyonyo-Kigo-24h'!G66,'28.09 Munyonyo-Kigo-24h'!G66)</f>
        <v>0</v>
      </c>
      <c r="H66" s="49">
        <f>AVERAGE('26.09 Munyonyo-Kigo-24h'!H66,'28.09 Munyonyo-Kigo-24h'!H66)</f>
        <v>0</v>
      </c>
      <c r="I66" s="49">
        <f>AVERAGE('26.09 Munyonyo-Kigo-24h'!I66,'28.09 Munyonyo-Kigo-24h'!I66)</f>
        <v>1</v>
      </c>
      <c r="J66" s="49">
        <f>AVERAGE('26.09 Munyonyo-Kigo-24h'!J66,'28.09 Munyonyo-Kigo-24h'!J66)</f>
        <v>0.5</v>
      </c>
      <c r="K66" s="49">
        <f>AVERAGE('26.09 Munyonyo-Kigo-24h'!K66,'28.09 Munyonyo-Kigo-24h'!K66)</f>
        <v>0</v>
      </c>
      <c r="L66" s="49">
        <f>AVERAGE('26.09 Munyonyo-Kigo-24h'!L66,'28.09 Munyonyo-Kigo-24h'!L66)</f>
        <v>0</v>
      </c>
      <c r="M66" s="49">
        <f>AVERAGE('26.09 Munyonyo-Kigo-24h'!M66,'28.09 Munyonyo-Kigo-24h'!M66)</f>
        <v>29</v>
      </c>
      <c r="N66" s="49">
        <f>AVERAGE('26.09 Munyonyo-Kigo-24h'!N66,'28.09 Munyonyo-Kigo-24h'!N66)</f>
        <v>0</v>
      </c>
      <c r="O66" s="15">
        <f t="shared" si="0"/>
        <v>7.5</v>
      </c>
      <c r="P66" s="15">
        <f t="shared" si="1"/>
        <v>36.5</v>
      </c>
      <c r="R66" s="8"/>
      <c r="T66"/>
    </row>
    <row r="67" spans="2:20" ht="23.1" customHeight="1" x14ac:dyDescent="0.25">
      <c r="B67" s="23" t="s">
        <v>104</v>
      </c>
      <c r="C67" s="49">
        <f>AVERAGE('26.09 Munyonyo-Kigo-24h'!C67,'28.09 Munyonyo-Kigo-24h'!C67)</f>
        <v>3</v>
      </c>
      <c r="D67" s="49">
        <f>AVERAGE('26.09 Munyonyo-Kigo-24h'!D67,'28.09 Munyonyo-Kigo-24h'!D67)</f>
        <v>2</v>
      </c>
      <c r="E67" s="49">
        <f>AVERAGE('26.09 Munyonyo-Kigo-24h'!E67,'28.09 Munyonyo-Kigo-24h'!E67)</f>
        <v>1</v>
      </c>
      <c r="F67" s="49">
        <f>AVERAGE('26.09 Munyonyo-Kigo-24h'!F67,'28.09 Munyonyo-Kigo-24h'!F67)</f>
        <v>0</v>
      </c>
      <c r="G67" s="49">
        <f>AVERAGE('26.09 Munyonyo-Kigo-24h'!G67,'28.09 Munyonyo-Kigo-24h'!G67)</f>
        <v>0</v>
      </c>
      <c r="H67" s="49">
        <f>AVERAGE('26.09 Munyonyo-Kigo-24h'!H67,'28.09 Munyonyo-Kigo-24h'!H67)</f>
        <v>0.5</v>
      </c>
      <c r="I67" s="49">
        <f>AVERAGE('26.09 Munyonyo-Kigo-24h'!I67,'28.09 Munyonyo-Kigo-24h'!I67)</f>
        <v>0</v>
      </c>
      <c r="J67" s="49">
        <f>AVERAGE('26.09 Munyonyo-Kigo-24h'!J67,'28.09 Munyonyo-Kigo-24h'!J67)</f>
        <v>0</v>
      </c>
      <c r="K67" s="49">
        <f>AVERAGE('26.09 Munyonyo-Kigo-24h'!K67,'28.09 Munyonyo-Kigo-24h'!K67)</f>
        <v>0</v>
      </c>
      <c r="L67" s="49">
        <f>AVERAGE('26.09 Munyonyo-Kigo-24h'!L67,'28.09 Munyonyo-Kigo-24h'!L67)</f>
        <v>0</v>
      </c>
      <c r="M67" s="49">
        <f>AVERAGE('26.09 Munyonyo-Kigo-24h'!M67,'28.09 Munyonyo-Kigo-24h'!M67)</f>
        <v>25</v>
      </c>
      <c r="N67" s="49">
        <f>AVERAGE('26.09 Munyonyo-Kigo-24h'!N67,'28.09 Munyonyo-Kigo-24h'!N67)</f>
        <v>0</v>
      </c>
      <c r="O67" s="15">
        <f t="shared" si="0"/>
        <v>6.5</v>
      </c>
      <c r="P67" s="15">
        <f t="shared" si="1"/>
        <v>31.5</v>
      </c>
      <c r="R67" s="8"/>
      <c r="T67"/>
    </row>
    <row r="68" spans="2:20" ht="23.1" customHeight="1" x14ac:dyDescent="0.25">
      <c r="B68" s="23" t="s">
        <v>105</v>
      </c>
      <c r="C68" s="49">
        <f>AVERAGE('26.09 Munyonyo-Kigo-24h'!C68,'28.09 Munyonyo-Kigo-24h'!C68)</f>
        <v>3.5</v>
      </c>
      <c r="D68" s="49">
        <f>AVERAGE('26.09 Munyonyo-Kigo-24h'!D68,'28.09 Munyonyo-Kigo-24h'!D68)</f>
        <v>0.5</v>
      </c>
      <c r="E68" s="49">
        <f>AVERAGE('26.09 Munyonyo-Kigo-24h'!E68,'28.09 Munyonyo-Kigo-24h'!E68)</f>
        <v>1.5</v>
      </c>
      <c r="F68" s="49">
        <f>AVERAGE('26.09 Munyonyo-Kigo-24h'!F68,'28.09 Munyonyo-Kigo-24h'!F68)</f>
        <v>0.5</v>
      </c>
      <c r="G68" s="49">
        <f>AVERAGE('26.09 Munyonyo-Kigo-24h'!G68,'28.09 Munyonyo-Kigo-24h'!G68)</f>
        <v>0</v>
      </c>
      <c r="H68" s="49">
        <f>AVERAGE('26.09 Munyonyo-Kigo-24h'!H68,'28.09 Munyonyo-Kigo-24h'!H68)</f>
        <v>0</v>
      </c>
      <c r="I68" s="49">
        <f>AVERAGE('26.09 Munyonyo-Kigo-24h'!I68,'28.09 Munyonyo-Kigo-24h'!I68)</f>
        <v>0</v>
      </c>
      <c r="J68" s="49">
        <f>AVERAGE('26.09 Munyonyo-Kigo-24h'!J68,'28.09 Munyonyo-Kigo-24h'!J68)</f>
        <v>0</v>
      </c>
      <c r="K68" s="49">
        <f>AVERAGE('26.09 Munyonyo-Kigo-24h'!K68,'28.09 Munyonyo-Kigo-24h'!K68)</f>
        <v>0</v>
      </c>
      <c r="L68" s="49">
        <f>AVERAGE('26.09 Munyonyo-Kigo-24h'!L68,'28.09 Munyonyo-Kigo-24h'!L68)</f>
        <v>0</v>
      </c>
      <c r="M68" s="49">
        <f>AVERAGE('26.09 Munyonyo-Kigo-24h'!M68,'28.09 Munyonyo-Kigo-24h'!M68)</f>
        <v>29.5</v>
      </c>
      <c r="N68" s="49">
        <f>AVERAGE('26.09 Munyonyo-Kigo-24h'!N68,'28.09 Munyonyo-Kigo-24h'!N68)</f>
        <v>0</v>
      </c>
      <c r="O68" s="15">
        <f t="shared" si="0"/>
        <v>6</v>
      </c>
      <c r="P68" s="15">
        <f t="shared" si="1"/>
        <v>35.5</v>
      </c>
      <c r="R68" s="8"/>
      <c r="T68"/>
    </row>
    <row r="69" spans="2:20" ht="23.1" customHeight="1" x14ac:dyDescent="0.25">
      <c r="B69" s="23" t="s">
        <v>106</v>
      </c>
      <c r="C69" s="49">
        <f>AVERAGE('26.09 Munyonyo-Kigo-24h'!C69,'28.09 Munyonyo-Kigo-24h'!C69)</f>
        <v>2.5</v>
      </c>
      <c r="D69" s="49">
        <f>AVERAGE('26.09 Munyonyo-Kigo-24h'!D69,'28.09 Munyonyo-Kigo-24h'!D69)</f>
        <v>0.5</v>
      </c>
      <c r="E69" s="49">
        <f>AVERAGE('26.09 Munyonyo-Kigo-24h'!E69,'28.09 Munyonyo-Kigo-24h'!E69)</f>
        <v>0</v>
      </c>
      <c r="F69" s="49">
        <f>AVERAGE('26.09 Munyonyo-Kigo-24h'!F69,'28.09 Munyonyo-Kigo-24h'!F69)</f>
        <v>0.5</v>
      </c>
      <c r="G69" s="49">
        <f>AVERAGE('26.09 Munyonyo-Kigo-24h'!G69,'28.09 Munyonyo-Kigo-24h'!G69)</f>
        <v>0</v>
      </c>
      <c r="H69" s="49">
        <f>AVERAGE('26.09 Munyonyo-Kigo-24h'!H69,'28.09 Munyonyo-Kigo-24h'!H69)</f>
        <v>0</v>
      </c>
      <c r="I69" s="49">
        <f>AVERAGE('26.09 Munyonyo-Kigo-24h'!I69,'28.09 Munyonyo-Kigo-24h'!I69)</f>
        <v>0</v>
      </c>
      <c r="J69" s="49">
        <f>AVERAGE('26.09 Munyonyo-Kigo-24h'!J69,'28.09 Munyonyo-Kigo-24h'!J69)</f>
        <v>0</v>
      </c>
      <c r="K69" s="49">
        <f>AVERAGE('26.09 Munyonyo-Kigo-24h'!K69,'28.09 Munyonyo-Kigo-24h'!K69)</f>
        <v>0</v>
      </c>
      <c r="L69" s="49">
        <f>AVERAGE('26.09 Munyonyo-Kigo-24h'!L69,'28.09 Munyonyo-Kigo-24h'!L69)</f>
        <v>0</v>
      </c>
      <c r="M69" s="49">
        <f>AVERAGE('26.09 Munyonyo-Kigo-24h'!M69,'28.09 Munyonyo-Kigo-24h'!M69)</f>
        <v>19.5</v>
      </c>
      <c r="N69" s="49">
        <f>AVERAGE('26.09 Munyonyo-Kigo-24h'!N69,'28.09 Munyonyo-Kigo-24h'!N69)</f>
        <v>0</v>
      </c>
      <c r="O69" s="15">
        <f t="shared" si="0"/>
        <v>3.5</v>
      </c>
      <c r="P69" s="15">
        <f t="shared" si="1"/>
        <v>23</v>
      </c>
      <c r="R69" s="8"/>
      <c r="T69"/>
    </row>
    <row r="70" spans="2:20" ht="23.1" customHeight="1" x14ac:dyDescent="0.25">
      <c r="B70" s="23" t="s">
        <v>110</v>
      </c>
      <c r="C70" s="49">
        <f>AVERAGE('26.09 Munyonyo-Kigo-24h'!C70,'28.09 Munyonyo-Kigo-24h'!C70)</f>
        <v>4.5</v>
      </c>
      <c r="D70" s="49">
        <f>AVERAGE('26.09 Munyonyo-Kigo-24h'!D70,'28.09 Munyonyo-Kigo-24h'!D70)</f>
        <v>0.5</v>
      </c>
      <c r="E70" s="49">
        <f>AVERAGE('26.09 Munyonyo-Kigo-24h'!E70,'28.09 Munyonyo-Kigo-24h'!E70)</f>
        <v>0</v>
      </c>
      <c r="F70" s="49">
        <f>AVERAGE('26.09 Munyonyo-Kigo-24h'!F70,'28.09 Munyonyo-Kigo-24h'!F70)</f>
        <v>1.5</v>
      </c>
      <c r="G70" s="49">
        <f>AVERAGE('26.09 Munyonyo-Kigo-24h'!G70,'28.09 Munyonyo-Kigo-24h'!G70)</f>
        <v>0</v>
      </c>
      <c r="H70" s="49">
        <f>AVERAGE('26.09 Munyonyo-Kigo-24h'!H70,'28.09 Munyonyo-Kigo-24h'!H70)</f>
        <v>0</v>
      </c>
      <c r="I70" s="49">
        <f>AVERAGE('26.09 Munyonyo-Kigo-24h'!I70,'28.09 Munyonyo-Kigo-24h'!I70)</f>
        <v>0.5</v>
      </c>
      <c r="J70" s="49">
        <f>AVERAGE('26.09 Munyonyo-Kigo-24h'!J70,'28.09 Munyonyo-Kigo-24h'!J70)</f>
        <v>0</v>
      </c>
      <c r="K70" s="49">
        <f>AVERAGE('26.09 Munyonyo-Kigo-24h'!K70,'28.09 Munyonyo-Kigo-24h'!K70)</f>
        <v>0</v>
      </c>
      <c r="L70" s="49">
        <f>AVERAGE('26.09 Munyonyo-Kigo-24h'!L70,'28.09 Munyonyo-Kigo-24h'!L70)</f>
        <v>0</v>
      </c>
      <c r="M70" s="49">
        <f>AVERAGE('26.09 Munyonyo-Kigo-24h'!M70,'28.09 Munyonyo-Kigo-24h'!M70)</f>
        <v>26</v>
      </c>
      <c r="N70" s="49">
        <f>AVERAGE('26.09 Munyonyo-Kigo-24h'!N70,'28.09 Munyonyo-Kigo-24h'!N70)</f>
        <v>0</v>
      </c>
      <c r="O70" s="15">
        <f t="shared" si="0"/>
        <v>7</v>
      </c>
      <c r="P70" s="15">
        <f t="shared" si="1"/>
        <v>33</v>
      </c>
      <c r="R70" s="8"/>
      <c r="T70"/>
    </row>
    <row r="71" spans="2:20" ht="23.1" customHeight="1" x14ac:dyDescent="0.25">
      <c r="B71" s="23" t="s">
        <v>111</v>
      </c>
      <c r="C71" s="49">
        <f>AVERAGE('26.09 Munyonyo-Kigo-24h'!C71,'28.09 Munyonyo-Kigo-24h'!C71)</f>
        <v>5</v>
      </c>
      <c r="D71" s="49">
        <f>AVERAGE('26.09 Munyonyo-Kigo-24h'!D71,'28.09 Munyonyo-Kigo-24h'!D71)</f>
        <v>0.5</v>
      </c>
      <c r="E71" s="49">
        <f>AVERAGE('26.09 Munyonyo-Kigo-24h'!E71,'28.09 Munyonyo-Kigo-24h'!E71)</f>
        <v>1</v>
      </c>
      <c r="F71" s="49">
        <f>AVERAGE('26.09 Munyonyo-Kigo-24h'!F71,'28.09 Munyonyo-Kigo-24h'!F71)</f>
        <v>0</v>
      </c>
      <c r="G71" s="49">
        <f>AVERAGE('26.09 Munyonyo-Kigo-24h'!G71,'28.09 Munyonyo-Kigo-24h'!G71)</f>
        <v>0</v>
      </c>
      <c r="H71" s="49">
        <f>AVERAGE('26.09 Munyonyo-Kigo-24h'!H71,'28.09 Munyonyo-Kigo-24h'!H71)</f>
        <v>0</v>
      </c>
      <c r="I71" s="49">
        <f>AVERAGE('26.09 Munyonyo-Kigo-24h'!I71,'28.09 Munyonyo-Kigo-24h'!I71)</f>
        <v>0</v>
      </c>
      <c r="J71" s="49">
        <f>AVERAGE('26.09 Munyonyo-Kigo-24h'!J71,'28.09 Munyonyo-Kigo-24h'!J71)</f>
        <v>0</v>
      </c>
      <c r="K71" s="49">
        <f>AVERAGE('26.09 Munyonyo-Kigo-24h'!K71,'28.09 Munyonyo-Kigo-24h'!K71)</f>
        <v>0</v>
      </c>
      <c r="L71" s="49">
        <f>AVERAGE('26.09 Munyonyo-Kigo-24h'!L71,'28.09 Munyonyo-Kigo-24h'!L71)</f>
        <v>0</v>
      </c>
      <c r="M71" s="49">
        <f>AVERAGE('26.09 Munyonyo-Kigo-24h'!M71,'28.09 Munyonyo-Kigo-24h'!M71)</f>
        <v>24</v>
      </c>
      <c r="N71" s="49">
        <f>AVERAGE('26.09 Munyonyo-Kigo-24h'!N71,'28.09 Munyonyo-Kigo-24h'!N71)</f>
        <v>0</v>
      </c>
      <c r="O71" s="15">
        <f t="shared" si="0"/>
        <v>6.5</v>
      </c>
      <c r="P71" s="15">
        <f t="shared" si="1"/>
        <v>30.5</v>
      </c>
      <c r="R71" s="8"/>
      <c r="T71"/>
    </row>
    <row r="72" spans="2:20" ht="23.1" customHeight="1" x14ac:dyDescent="0.25">
      <c r="B72" s="23" t="s">
        <v>112</v>
      </c>
      <c r="C72" s="49">
        <f>AVERAGE('26.09 Munyonyo-Kigo-24h'!C72,'28.09 Munyonyo-Kigo-24h'!C72)</f>
        <v>5.5</v>
      </c>
      <c r="D72" s="49">
        <f>AVERAGE('26.09 Munyonyo-Kigo-24h'!D72,'28.09 Munyonyo-Kigo-24h'!D72)</f>
        <v>1</v>
      </c>
      <c r="E72" s="49">
        <f>AVERAGE('26.09 Munyonyo-Kigo-24h'!E72,'28.09 Munyonyo-Kigo-24h'!E72)</f>
        <v>0</v>
      </c>
      <c r="F72" s="49">
        <f>AVERAGE('26.09 Munyonyo-Kigo-24h'!F72,'28.09 Munyonyo-Kigo-24h'!F72)</f>
        <v>0</v>
      </c>
      <c r="G72" s="49">
        <f>AVERAGE('26.09 Munyonyo-Kigo-24h'!G72,'28.09 Munyonyo-Kigo-24h'!G72)</f>
        <v>0</v>
      </c>
      <c r="H72" s="49">
        <f>AVERAGE('26.09 Munyonyo-Kigo-24h'!H72,'28.09 Munyonyo-Kigo-24h'!H72)</f>
        <v>0</v>
      </c>
      <c r="I72" s="49">
        <f>AVERAGE('26.09 Munyonyo-Kigo-24h'!I72,'28.09 Munyonyo-Kigo-24h'!I72)</f>
        <v>0</v>
      </c>
      <c r="J72" s="49">
        <f>AVERAGE('26.09 Munyonyo-Kigo-24h'!J72,'28.09 Munyonyo-Kigo-24h'!J72)</f>
        <v>0</v>
      </c>
      <c r="K72" s="49">
        <f>AVERAGE('26.09 Munyonyo-Kigo-24h'!K72,'28.09 Munyonyo-Kigo-24h'!K72)</f>
        <v>0</v>
      </c>
      <c r="L72" s="49">
        <f>AVERAGE('26.09 Munyonyo-Kigo-24h'!L72,'28.09 Munyonyo-Kigo-24h'!L72)</f>
        <v>0</v>
      </c>
      <c r="M72" s="49">
        <f>AVERAGE('26.09 Munyonyo-Kigo-24h'!M72,'28.09 Munyonyo-Kigo-24h'!M72)</f>
        <v>28</v>
      </c>
      <c r="N72" s="49">
        <f>AVERAGE('26.09 Munyonyo-Kigo-24h'!N72,'28.09 Munyonyo-Kigo-24h'!N72)</f>
        <v>0</v>
      </c>
      <c r="O72" s="15">
        <f t="shared" si="0"/>
        <v>6.5</v>
      </c>
      <c r="P72" s="15">
        <f t="shared" si="1"/>
        <v>34.5</v>
      </c>
      <c r="R72" s="8"/>
      <c r="T72"/>
    </row>
    <row r="73" spans="2:20" ht="23.1" customHeight="1" x14ac:dyDescent="0.25">
      <c r="B73" s="23" t="s">
        <v>113</v>
      </c>
      <c r="C73" s="49">
        <f>AVERAGE('26.09 Munyonyo-Kigo-24h'!C73,'28.09 Munyonyo-Kigo-24h'!C73)</f>
        <v>4.5</v>
      </c>
      <c r="D73" s="49">
        <f>AVERAGE('26.09 Munyonyo-Kigo-24h'!D73,'28.09 Munyonyo-Kigo-24h'!D73)</f>
        <v>0</v>
      </c>
      <c r="E73" s="49">
        <f>AVERAGE('26.09 Munyonyo-Kigo-24h'!E73,'28.09 Munyonyo-Kigo-24h'!E73)</f>
        <v>0</v>
      </c>
      <c r="F73" s="49">
        <f>AVERAGE('26.09 Munyonyo-Kigo-24h'!F73,'28.09 Munyonyo-Kigo-24h'!F73)</f>
        <v>0.5</v>
      </c>
      <c r="G73" s="49">
        <f>AVERAGE('26.09 Munyonyo-Kigo-24h'!G73,'28.09 Munyonyo-Kigo-24h'!G73)</f>
        <v>0</v>
      </c>
      <c r="H73" s="49">
        <f>AVERAGE('26.09 Munyonyo-Kigo-24h'!H73,'28.09 Munyonyo-Kigo-24h'!H73)</f>
        <v>0</v>
      </c>
      <c r="I73" s="49">
        <f>AVERAGE('26.09 Munyonyo-Kigo-24h'!I73,'28.09 Munyonyo-Kigo-24h'!I73)</f>
        <v>0</v>
      </c>
      <c r="J73" s="49">
        <f>AVERAGE('26.09 Munyonyo-Kigo-24h'!J73,'28.09 Munyonyo-Kigo-24h'!J73)</f>
        <v>0</v>
      </c>
      <c r="K73" s="49">
        <f>AVERAGE('26.09 Munyonyo-Kigo-24h'!K73,'28.09 Munyonyo-Kigo-24h'!K73)</f>
        <v>0</v>
      </c>
      <c r="L73" s="49">
        <f>AVERAGE('26.09 Munyonyo-Kigo-24h'!L73,'28.09 Munyonyo-Kigo-24h'!L73)</f>
        <v>0</v>
      </c>
      <c r="M73" s="49">
        <f>AVERAGE('26.09 Munyonyo-Kigo-24h'!M73,'28.09 Munyonyo-Kigo-24h'!M73)</f>
        <v>20</v>
      </c>
      <c r="N73" s="49">
        <f>AVERAGE('26.09 Munyonyo-Kigo-24h'!N73,'28.09 Munyonyo-Kigo-24h'!N73)</f>
        <v>0</v>
      </c>
      <c r="O73" s="15">
        <f t="shared" si="0"/>
        <v>5</v>
      </c>
      <c r="P73" s="15">
        <f t="shared" si="1"/>
        <v>25</v>
      </c>
      <c r="R73" s="8"/>
      <c r="T73"/>
    </row>
    <row r="74" spans="2:20" ht="23.1" customHeight="1" x14ac:dyDescent="0.25">
      <c r="B74" s="23" t="s">
        <v>114</v>
      </c>
      <c r="C74" s="49">
        <f>AVERAGE('26.09 Munyonyo-Kigo-24h'!C74,'28.09 Munyonyo-Kigo-24h'!C74)</f>
        <v>4.5</v>
      </c>
      <c r="D74" s="49">
        <f>AVERAGE('26.09 Munyonyo-Kigo-24h'!D74,'28.09 Munyonyo-Kigo-24h'!D74)</f>
        <v>0</v>
      </c>
      <c r="E74" s="49">
        <f>AVERAGE('26.09 Munyonyo-Kigo-24h'!E74,'28.09 Munyonyo-Kigo-24h'!E74)</f>
        <v>0</v>
      </c>
      <c r="F74" s="49">
        <f>AVERAGE('26.09 Munyonyo-Kigo-24h'!F74,'28.09 Munyonyo-Kigo-24h'!F74)</f>
        <v>0</v>
      </c>
      <c r="G74" s="49">
        <f>AVERAGE('26.09 Munyonyo-Kigo-24h'!G74,'28.09 Munyonyo-Kigo-24h'!G74)</f>
        <v>0</v>
      </c>
      <c r="H74" s="49">
        <f>AVERAGE('26.09 Munyonyo-Kigo-24h'!H74,'28.09 Munyonyo-Kigo-24h'!H74)</f>
        <v>0</v>
      </c>
      <c r="I74" s="49">
        <f>AVERAGE('26.09 Munyonyo-Kigo-24h'!I74,'28.09 Munyonyo-Kigo-24h'!I74)</f>
        <v>0</v>
      </c>
      <c r="J74" s="49">
        <f>AVERAGE('26.09 Munyonyo-Kigo-24h'!J74,'28.09 Munyonyo-Kigo-24h'!J74)</f>
        <v>0</v>
      </c>
      <c r="K74" s="49">
        <f>AVERAGE('26.09 Munyonyo-Kigo-24h'!K74,'28.09 Munyonyo-Kigo-24h'!K74)</f>
        <v>0</v>
      </c>
      <c r="L74" s="49">
        <f>AVERAGE('26.09 Munyonyo-Kigo-24h'!L74,'28.09 Munyonyo-Kigo-24h'!L74)</f>
        <v>0</v>
      </c>
      <c r="M74" s="49">
        <f>AVERAGE('26.09 Munyonyo-Kigo-24h'!M74,'28.09 Munyonyo-Kigo-24h'!M74)</f>
        <v>24.5</v>
      </c>
      <c r="N74" s="49">
        <f>AVERAGE('26.09 Munyonyo-Kigo-24h'!N74,'28.09 Munyonyo-Kigo-24h'!N74)</f>
        <v>0</v>
      </c>
      <c r="O74" s="15">
        <f t="shared" ref="O74:O105" si="35">SUM(C74:L74,N74)</f>
        <v>4.5</v>
      </c>
      <c r="P74" s="15">
        <f t="shared" ref="P74:P105" si="36">SUM(C74:N74)</f>
        <v>29</v>
      </c>
      <c r="R74" s="8"/>
      <c r="T74"/>
    </row>
    <row r="75" spans="2:20" ht="23.1" customHeight="1" x14ac:dyDescent="0.25">
      <c r="B75" s="23" t="s">
        <v>115</v>
      </c>
      <c r="C75" s="49">
        <f>AVERAGE('26.09 Munyonyo-Kigo-24h'!C75,'28.09 Munyonyo-Kigo-24h'!C75)</f>
        <v>1.5</v>
      </c>
      <c r="D75" s="49">
        <f>AVERAGE('26.09 Munyonyo-Kigo-24h'!D75,'28.09 Munyonyo-Kigo-24h'!D75)</f>
        <v>1</v>
      </c>
      <c r="E75" s="49">
        <f>AVERAGE('26.09 Munyonyo-Kigo-24h'!E75,'28.09 Munyonyo-Kigo-24h'!E75)</f>
        <v>0.5</v>
      </c>
      <c r="F75" s="49">
        <f>AVERAGE('26.09 Munyonyo-Kigo-24h'!F75,'28.09 Munyonyo-Kigo-24h'!F75)</f>
        <v>0</v>
      </c>
      <c r="G75" s="49">
        <f>AVERAGE('26.09 Munyonyo-Kigo-24h'!G75,'28.09 Munyonyo-Kigo-24h'!G75)</f>
        <v>0</v>
      </c>
      <c r="H75" s="49">
        <f>AVERAGE('26.09 Munyonyo-Kigo-24h'!H75,'28.09 Munyonyo-Kigo-24h'!H75)</f>
        <v>0</v>
      </c>
      <c r="I75" s="49">
        <f>AVERAGE('26.09 Munyonyo-Kigo-24h'!I75,'28.09 Munyonyo-Kigo-24h'!I75)</f>
        <v>0</v>
      </c>
      <c r="J75" s="49">
        <f>AVERAGE('26.09 Munyonyo-Kigo-24h'!J75,'28.09 Munyonyo-Kigo-24h'!J75)</f>
        <v>0</v>
      </c>
      <c r="K75" s="49">
        <f>AVERAGE('26.09 Munyonyo-Kigo-24h'!K75,'28.09 Munyonyo-Kigo-24h'!K75)</f>
        <v>0</v>
      </c>
      <c r="L75" s="49">
        <f>AVERAGE('26.09 Munyonyo-Kigo-24h'!L75,'28.09 Munyonyo-Kigo-24h'!L75)</f>
        <v>0</v>
      </c>
      <c r="M75" s="49">
        <f>AVERAGE('26.09 Munyonyo-Kigo-24h'!M75,'28.09 Munyonyo-Kigo-24h'!M75)</f>
        <v>14.5</v>
      </c>
      <c r="N75" s="49">
        <f>AVERAGE('26.09 Munyonyo-Kigo-24h'!N75,'28.09 Munyonyo-Kigo-24h'!N75)</f>
        <v>0</v>
      </c>
      <c r="O75" s="15">
        <f t="shared" si="35"/>
        <v>3</v>
      </c>
      <c r="P75" s="15">
        <f t="shared" si="36"/>
        <v>17.5</v>
      </c>
      <c r="R75" s="8"/>
      <c r="T75"/>
    </row>
    <row r="76" spans="2:20" ht="23.1" customHeight="1" x14ac:dyDescent="0.25">
      <c r="B76" s="23" t="s">
        <v>116</v>
      </c>
      <c r="C76" s="49">
        <f>AVERAGE('26.09 Munyonyo-Kigo-24h'!C76,'28.09 Munyonyo-Kigo-24h'!C76)</f>
        <v>2</v>
      </c>
      <c r="D76" s="49">
        <f>AVERAGE('26.09 Munyonyo-Kigo-24h'!D76,'28.09 Munyonyo-Kigo-24h'!D76)</f>
        <v>0.5</v>
      </c>
      <c r="E76" s="49">
        <f>AVERAGE('26.09 Munyonyo-Kigo-24h'!E76,'28.09 Munyonyo-Kigo-24h'!E76)</f>
        <v>0.5</v>
      </c>
      <c r="F76" s="49">
        <f>AVERAGE('26.09 Munyonyo-Kigo-24h'!F76,'28.09 Munyonyo-Kigo-24h'!F76)</f>
        <v>1</v>
      </c>
      <c r="G76" s="49">
        <f>AVERAGE('26.09 Munyonyo-Kigo-24h'!G76,'28.09 Munyonyo-Kigo-24h'!G76)</f>
        <v>0</v>
      </c>
      <c r="H76" s="49">
        <f>AVERAGE('26.09 Munyonyo-Kigo-24h'!H76,'28.09 Munyonyo-Kigo-24h'!H76)</f>
        <v>0</v>
      </c>
      <c r="I76" s="49">
        <f>AVERAGE('26.09 Munyonyo-Kigo-24h'!I76,'28.09 Munyonyo-Kigo-24h'!I76)</f>
        <v>0</v>
      </c>
      <c r="J76" s="49">
        <f>AVERAGE('26.09 Munyonyo-Kigo-24h'!J76,'28.09 Munyonyo-Kigo-24h'!J76)</f>
        <v>0</v>
      </c>
      <c r="K76" s="49">
        <f>AVERAGE('26.09 Munyonyo-Kigo-24h'!K76,'28.09 Munyonyo-Kigo-24h'!K76)</f>
        <v>0</v>
      </c>
      <c r="L76" s="49">
        <f>AVERAGE('26.09 Munyonyo-Kigo-24h'!L76,'28.09 Munyonyo-Kigo-24h'!L76)</f>
        <v>0</v>
      </c>
      <c r="M76" s="49">
        <f>AVERAGE('26.09 Munyonyo-Kigo-24h'!M76,'28.09 Munyonyo-Kigo-24h'!M76)</f>
        <v>14.5</v>
      </c>
      <c r="N76" s="49">
        <f>AVERAGE('26.09 Munyonyo-Kigo-24h'!N76,'28.09 Munyonyo-Kigo-24h'!N76)</f>
        <v>0</v>
      </c>
      <c r="O76" s="15">
        <f t="shared" si="35"/>
        <v>4</v>
      </c>
      <c r="P76" s="15">
        <f t="shared" si="36"/>
        <v>18.5</v>
      </c>
      <c r="R76" s="8"/>
      <c r="T76"/>
    </row>
    <row r="77" spans="2:20" ht="23.1" customHeight="1" x14ac:dyDescent="0.25">
      <c r="B77" s="23" t="s">
        <v>117</v>
      </c>
      <c r="C77" s="49">
        <f>AVERAGE('26.09 Munyonyo-Kigo-24h'!C77,'28.09 Munyonyo-Kigo-24h'!C77)</f>
        <v>2.5</v>
      </c>
      <c r="D77" s="49">
        <f>AVERAGE('26.09 Munyonyo-Kigo-24h'!D77,'28.09 Munyonyo-Kigo-24h'!D77)</f>
        <v>0.5</v>
      </c>
      <c r="E77" s="49">
        <f>AVERAGE('26.09 Munyonyo-Kigo-24h'!E77,'28.09 Munyonyo-Kigo-24h'!E77)</f>
        <v>0</v>
      </c>
      <c r="F77" s="49">
        <f>AVERAGE('26.09 Munyonyo-Kigo-24h'!F77,'28.09 Munyonyo-Kigo-24h'!F77)</f>
        <v>0</v>
      </c>
      <c r="G77" s="49">
        <f>AVERAGE('26.09 Munyonyo-Kigo-24h'!G77,'28.09 Munyonyo-Kigo-24h'!G77)</f>
        <v>0</v>
      </c>
      <c r="H77" s="49">
        <f>AVERAGE('26.09 Munyonyo-Kigo-24h'!H77,'28.09 Munyonyo-Kigo-24h'!H77)</f>
        <v>0</v>
      </c>
      <c r="I77" s="49">
        <f>AVERAGE('26.09 Munyonyo-Kigo-24h'!I77,'28.09 Munyonyo-Kigo-24h'!I77)</f>
        <v>0</v>
      </c>
      <c r="J77" s="49">
        <f>AVERAGE('26.09 Munyonyo-Kigo-24h'!J77,'28.09 Munyonyo-Kigo-24h'!J77)</f>
        <v>0</v>
      </c>
      <c r="K77" s="49">
        <f>AVERAGE('26.09 Munyonyo-Kigo-24h'!K77,'28.09 Munyonyo-Kigo-24h'!K77)</f>
        <v>0</v>
      </c>
      <c r="L77" s="49">
        <f>AVERAGE('26.09 Munyonyo-Kigo-24h'!L77,'28.09 Munyonyo-Kigo-24h'!L77)</f>
        <v>0</v>
      </c>
      <c r="M77" s="49">
        <f>AVERAGE('26.09 Munyonyo-Kigo-24h'!M77,'28.09 Munyonyo-Kigo-24h'!M77)</f>
        <v>11</v>
      </c>
      <c r="N77" s="49">
        <f>AVERAGE('26.09 Munyonyo-Kigo-24h'!N77,'28.09 Munyonyo-Kigo-24h'!N77)</f>
        <v>0</v>
      </c>
      <c r="O77" s="15">
        <f t="shared" si="35"/>
        <v>3</v>
      </c>
      <c r="P77" s="15">
        <f t="shared" si="36"/>
        <v>14</v>
      </c>
      <c r="R77" s="8"/>
      <c r="T77"/>
    </row>
    <row r="78" spans="2:20" ht="23.1" customHeight="1" x14ac:dyDescent="0.25">
      <c r="B78" s="24" t="s">
        <v>118</v>
      </c>
      <c r="C78" s="49">
        <f>AVERAGE('26.09 Munyonyo-Kigo-24h'!C78,'28.09 Munyonyo-Kigo-24h'!C78)</f>
        <v>0.5</v>
      </c>
      <c r="D78" s="49">
        <f>AVERAGE('26.09 Munyonyo-Kigo-24h'!D78,'28.09 Munyonyo-Kigo-24h'!D78)</f>
        <v>0</v>
      </c>
      <c r="E78" s="49">
        <f>AVERAGE('26.09 Munyonyo-Kigo-24h'!E78,'28.09 Munyonyo-Kigo-24h'!E78)</f>
        <v>0</v>
      </c>
      <c r="F78" s="49">
        <f>AVERAGE('26.09 Munyonyo-Kigo-24h'!F78,'28.09 Munyonyo-Kigo-24h'!F78)</f>
        <v>0.5</v>
      </c>
      <c r="G78" s="49">
        <f>AVERAGE('26.09 Munyonyo-Kigo-24h'!G78,'28.09 Munyonyo-Kigo-24h'!G78)</f>
        <v>0</v>
      </c>
      <c r="H78" s="49">
        <f>AVERAGE('26.09 Munyonyo-Kigo-24h'!H78,'28.09 Munyonyo-Kigo-24h'!H78)</f>
        <v>0</v>
      </c>
      <c r="I78" s="49">
        <f>AVERAGE('26.09 Munyonyo-Kigo-24h'!I78,'28.09 Munyonyo-Kigo-24h'!I78)</f>
        <v>0.5</v>
      </c>
      <c r="J78" s="49">
        <f>AVERAGE('26.09 Munyonyo-Kigo-24h'!J78,'28.09 Munyonyo-Kigo-24h'!J78)</f>
        <v>0</v>
      </c>
      <c r="K78" s="49">
        <f>AVERAGE('26.09 Munyonyo-Kigo-24h'!K78,'28.09 Munyonyo-Kigo-24h'!K78)</f>
        <v>0</v>
      </c>
      <c r="L78" s="49">
        <f>AVERAGE('26.09 Munyonyo-Kigo-24h'!L78,'28.09 Munyonyo-Kigo-24h'!L78)</f>
        <v>0</v>
      </c>
      <c r="M78" s="49">
        <f>AVERAGE('26.09 Munyonyo-Kigo-24h'!M78,'28.09 Munyonyo-Kigo-24h'!M78)</f>
        <v>11</v>
      </c>
      <c r="N78" s="49">
        <f>AVERAGE('26.09 Munyonyo-Kigo-24h'!N78,'28.09 Munyonyo-Kigo-24h'!N78)</f>
        <v>0</v>
      </c>
      <c r="O78" s="15">
        <f t="shared" si="35"/>
        <v>1.5</v>
      </c>
      <c r="P78" s="15">
        <f t="shared" si="36"/>
        <v>12.5</v>
      </c>
      <c r="R78" s="8"/>
      <c r="T78"/>
    </row>
    <row r="79" spans="2:20" ht="23.1" customHeight="1" x14ac:dyDescent="0.25">
      <c r="B79" s="23" t="s">
        <v>119</v>
      </c>
      <c r="C79" s="49">
        <f>AVERAGE('26.09 Munyonyo-Kigo-24h'!C79,'28.09 Munyonyo-Kigo-24h'!C79)</f>
        <v>1</v>
      </c>
      <c r="D79" s="49">
        <f>AVERAGE('26.09 Munyonyo-Kigo-24h'!D79,'28.09 Munyonyo-Kigo-24h'!D79)</f>
        <v>0</v>
      </c>
      <c r="E79" s="49">
        <f>AVERAGE('26.09 Munyonyo-Kigo-24h'!E79,'28.09 Munyonyo-Kigo-24h'!E79)</f>
        <v>0</v>
      </c>
      <c r="F79" s="49">
        <f>AVERAGE('26.09 Munyonyo-Kigo-24h'!F79,'28.09 Munyonyo-Kigo-24h'!F79)</f>
        <v>0</v>
      </c>
      <c r="G79" s="49">
        <f>AVERAGE('26.09 Munyonyo-Kigo-24h'!G79,'28.09 Munyonyo-Kigo-24h'!G79)</f>
        <v>0</v>
      </c>
      <c r="H79" s="49">
        <f>AVERAGE('26.09 Munyonyo-Kigo-24h'!H79,'28.09 Munyonyo-Kigo-24h'!H79)</f>
        <v>0</v>
      </c>
      <c r="I79" s="49">
        <f>AVERAGE('26.09 Munyonyo-Kigo-24h'!I79,'28.09 Munyonyo-Kigo-24h'!I79)</f>
        <v>0</v>
      </c>
      <c r="J79" s="49">
        <f>AVERAGE('26.09 Munyonyo-Kigo-24h'!J79,'28.09 Munyonyo-Kigo-24h'!J79)</f>
        <v>0</v>
      </c>
      <c r="K79" s="49">
        <f>AVERAGE('26.09 Munyonyo-Kigo-24h'!K79,'28.09 Munyonyo-Kigo-24h'!K79)</f>
        <v>0</v>
      </c>
      <c r="L79" s="49">
        <f>AVERAGE('26.09 Munyonyo-Kigo-24h'!L79,'28.09 Munyonyo-Kigo-24h'!L79)</f>
        <v>0</v>
      </c>
      <c r="M79" s="49">
        <f>AVERAGE('26.09 Munyonyo-Kigo-24h'!M79,'28.09 Munyonyo-Kigo-24h'!M79)</f>
        <v>9</v>
      </c>
      <c r="N79" s="49">
        <f>AVERAGE('26.09 Munyonyo-Kigo-24h'!N79,'28.09 Munyonyo-Kigo-24h'!N79)</f>
        <v>0</v>
      </c>
      <c r="O79" s="15">
        <f t="shared" si="35"/>
        <v>1</v>
      </c>
      <c r="P79" s="15">
        <f t="shared" si="36"/>
        <v>10</v>
      </c>
      <c r="R79" s="8"/>
      <c r="T79"/>
    </row>
    <row r="80" spans="2:20" ht="23.1" customHeight="1" x14ac:dyDescent="0.25">
      <c r="B80" s="25" t="s">
        <v>120</v>
      </c>
      <c r="C80" s="49">
        <f>AVERAGE('26.09 Munyonyo-Kigo-24h'!C80,'28.09 Munyonyo-Kigo-24h'!C80)</f>
        <v>0</v>
      </c>
      <c r="D80" s="49">
        <f>AVERAGE('26.09 Munyonyo-Kigo-24h'!D80,'28.09 Munyonyo-Kigo-24h'!D80)</f>
        <v>0</v>
      </c>
      <c r="E80" s="49">
        <f>AVERAGE('26.09 Munyonyo-Kigo-24h'!E80,'28.09 Munyonyo-Kigo-24h'!E80)</f>
        <v>0.5</v>
      </c>
      <c r="F80" s="49">
        <f>AVERAGE('26.09 Munyonyo-Kigo-24h'!F80,'28.09 Munyonyo-Kigo-24h'!F80)</f>
        <v>0</v>
      </c>
      <c r="G80" s="49">
        <f>AVERAGE('26.09 Munyonyo-Kigo-24h'!G80,'28.09 Munyonyo-Kigo-24h'!G80)</f>
        <v>0</v>
      </c>
      <c r="H80" s="49">
        <f>AVERAGE('26.09 Munyonyo-Kigo-24h'!H80,'28.09 Munyonyo-Kigo-24h'!H80)</f>
        <v>0</v>
      </c>
      <c r="I80" s="49">
        <f>AVERAGE('26.09 Munyonyo-Kigo-24h'!I80,'28.09 Munyonyo-Kigo-24h'!I80)</f>
        <v>0</v>
      </c>
      <c r="J80" s="49">
        <f>AVERAGE('26.09 Munyonyo-Kigo-24h'!J80,'28.09 Munyonyo-Kigo-24h'!J80)</f>
        <v>0</v>
      </c>
      <c r="K80" s="49">
        <f>AVERAGE('26.09 Munyonyo-Kigo-24h'!K80,'28.09 Munyonyo-Kigo-24h'!K80)</f>
        <v>0</v>
      </c>
      <c r="L80" s="49">
        <f>AVERAGE('26.09 Munyonyo-Kigo-24h'!L80,'28.09 Munyonyo-Kigo-24h'!L80)</f>
        <v>0</v>
      </c>
      <c r="M80" s="49">
        <f>AVERAGE('26.09 Munyonyo-Kigo-24h'!M80,'28.09 Munyonyo-Kigo-24h'!M80)</f>
        <v>6</v>
      </c>
      <c r="N80" s="49">
        <f>AVERAGE('26.09 Munyonyo-Kigo-24h'!N80,'28.09 Munyonyo-Kigo-24h'!N80)</f>
        <v>0</v>
      </c>
      <c r="O80" s="15">
        <f t="shared" si="35"/>
        <v>0.5</v>
      </c>
      <c r="P80" s="15">
        <f t="shared" si="36"/>
        <v>6.5</v>
      </c>
      <c r="R80" s="8"/>
      <c r="T80"/>
    </row>
    <row r="81" spans="2:20" ht="23.1" customHeight="1" x14ac:dyDescent="0.25">
      <c r="B81" s="23" t="s">
        <v>121</v>
      </c>
      <c r="C81" s="49">
        <f>AVERAGE('26.09 Munyonyo-Kigo-24h'!C81,'28.09 Munyonyo-Kigo-24h'!C81)</f>
        <v>0</v>
      </c>
      <c r="D81" s="49">
        <f>AVERAGE('26.09 Munyonyo-Kigo-24h'!D81,'28.09 Munyonyo-Kigo-24h'!D81)</f>
        <v>0</v>
      </c>
      <c r="E81" s="49">
        <f>AVERAGE('26.09 Munyonyo-Kigo-24h'!E81,'28.09 Munyonyo-Kigo-24h'!E81)</f>
        <v>0</v>
      </c>
      <c r="F81" s="49">
        <f>AVERAGE('26.09 Munyonyo-Kigo-24h'!F81,'28.09 Munyonyo-Kigo-24h'!F81)</f>
        <v>0</v>
      </c>
      <c r="G81" s="49">
        <f>AVERAGE('26.09 Munyonyo-Kigo-24h'!G81,'28.09 Munyonyo-Kigo-24h'!G81)</f>
        <v>0</v>
      </c>
      <c r="H81" s="49">
        <f>AVERAGE('26.09 Munyonyo-Kigo-24h'!H81,'28.09 Munyonyo-Kigo-24h'!H81)</f>
        <v>0</v>
      </c>
      <c r="I81" s="49">
        <f>AVERAGE('26.09 Munyonyo-Kigo-24h'!I81,'28.09 Munyonyo-Kigo-24h'!I81)</f>
        <v>0</v>
      </c>
      <c r="J81" s="49">
        <f>AVERAGE('26.09 Munyonyo-Kigo-24h'!J81,'28.09 Munyonyo-Kigo-24h'!J81)</f>
        <v>0</v>
      </c>
      <c r="K81" s="49">
        <f>AVERAGE('26.09 Munyonyo-Kigo-24h'!K81,'28.09 Munyonyo-Kigo-24h'!K81)</f>
        <v>0</v>
      </c>
      <c r="L81" s="49">
        <f>AVERAGE('26.09 Munyonyo-Kigo-24h'!L81,'28.09 Munyonyo-Kigo-24h'!L81)</f>
        <v>0</v>
      </c>
      <c r="M81" s="49">
        <f>AVERAGE('26.09 Munyonyo-Kigo-24h'!M81,'28.09 Munyonyo-Kigo-24h'!M81)</f>
        <v>4</v>
      </c>
      <c r="N81" s="49">
        <f>AVERAGE('26.09 Munyonyo-Kigo-24h'!N81,'28.09 Munyonyo-Kigo-24h'!N81)</f>
        <v>0</v>
      </c>
      <c r="O81" s="15">
        <f t="shared" si="35"/>
        <v>0</v>
      </c>
      <c r="P81" s="15">
        <f t="shared" si="36"/>
        <v>4</v>
      </c>
      <c r="R81" s="8"/>
      <c r="T81"/>
    </row>
    <row r="82" spans="2:20" ht="23.1" customHeight="1" x14ac:dyDescent="0.25">
      <c r="B82" s="24" t="s">
        <v>122</v>
      </c>
      <c r="C82" s="49">
        <f>AVERAGE('26.09 Munyonyo-Kigo-24h'!C82,'28.09 Munyonyo-Kigo-24h'!C82)</f>
        <v>0</v>
      </c>
      <c r="D82" s="49">
        <f>AVERAGE('26.09 Munyonyo-Kigo-24h'!D82,'28.09 Munyonyo-Kigo-24h'!D82)</f>
        <v>0</v>
      </c>
      <c r="E82" s="49">
        <f>AVERAGE('26.09 Munyonyo-Kigo-24h'!E82,'28.09 Munyonyo-Kigo-24h'!E82)</f>
        <v>0</v>
      </c>
      <c r="F82" s="49">
        <f>AVERAGE('26.09 Munyonyo-Kigo-24h'!F82,'28.09 Munyonyo-Kigo-24h'!F82)</f>
        <v>0.5</v>
      </c>
      <c r="G82" s="49">
        <f>AVERAGE('26.09 Munyonyo-Kigo-24h'!G82,'28.09 Munyonyo-Kigo-24h'!G82)</f>
        <v>0</v>
      </c>
      <c r="H82" s="49">
        <f>AVERAGE('26.09 Munyonyo-Kigo-24h'!H82,'28.09 Munyonyo-Kigo-24h'!H82)</f>
        <v>0</v>
      </c>
      <c r="I82" s="49">
        <f>AVERAGE('26.09 Munyonyo-Kigo-24h'!I82,'28.09 Munyonyo-Kigo-24h'!I82)</f>
        <v>0</v>
      </c>
      <c r="J82" s="49">
        <f>AVERAGE('26.09 Munyonyo-Kigo-24h'!J82,'28.09 Munyonyo-Kigo-24h'!J82)</f>
        <v>0</v>
      </c>
      <c r="K82" s="49">
        <f>AVERAGE('26.09 Munyonyo-Kigo-24h'!K82,'28.09 Munyonyo-Kigo-24h'!K82)</f>
        <v>0</v>
      </c>
      <c r="L82" s="49">
        <f>AVERAGE('26.09 Munyonyo-Kigo-24h'!L82,'28.09 Munyonyo-Kigo-24h'!L82)</f>
        <v>0</v>
      </c>
      <c r="M82" s="49">
        <f>AVERAGE('26.09 Munyonyo-Kigo-24h'!M82,'28.09 Munyonyo-Kigo-24h'!M82)</f>
        <v>5</v>
      </c>
      <c r="N82" s="49">
        <f>AVERAGE('26.09 Munyonyo-Kigo-24h'!N82,'28.09 Munyonyo-Kigo-24h'!N82)</f>
        <v>0</v>
      </c>
      <c r="O82" s="15">
        <f t="shared" si="35"/>
        <v>0.5</v>
      </c>
      <c r="P82" s="15">
        <f t="shared" si="36"/>
        <v>5.5</v>
      </c>
      <c r="R82" s="8"/>
      <c r="T82"/>
    </row>
    <row r="83" spans="2:20" ht="23.1" customHeight="1" x14ac:dyDescent="0.25">
      <c r="B83" s="23" t="s">
        <v>123</v>
      </c>
      <c r="C83" s="49">
        <f>AVERAGE('26.09 Munyonyo-Kigo-24h'!C83,'28.09 Munyonyo-Kigo-24h'!C83)</f>
        <v>0.5</v>
      </c>
      <c r="D83" s="49">
        <f>AVERAGE('26.09 Munyonyo-Kigo-24h'!D83,'28.09 Munyonyo-Kigo-24h'!D83)</f>
        <v>0</v>
      </c>
      <c r="E83" s="49">
        <f>AVERAGE('26.09 Munyonyo-Kigo-24h'!E83,'28.09 Munyonyo-Kigo-24h'!E83)</f>
        <v>0</v>
      </c>
      <c r="F83" s="49">
        <f>AVERAGE('26.09 Munyonyo-Kigo-24h'!F83,'28.09 Munyonyo-Kigo-24h'!F83)</f>
        <v>0</v>
      </c>
      <c r="G83" s="49">
        <f>AVERAGE('26.09 Munyonyo-Kigo-24h'!G83,'28.09 Munyonyo-Kigo-24h'!G83)</f>
        <v>0</v>
      </c>
      <c r="H83" s="49">
        <f>AVERAGE('26.09 Munyonyo-Kigo-24h'!H83,'28.09 Munyonyo-Kigo-24h'!H83)</f>
        <v>0</v>
      </c>
      <c r="I83" s="49">
        <f>AVERAGE('26.09 Munyonyo-Kigo-24h'!I83,'28.09 Munyonyo-Kigo-24h'!I83)</f>
        <v>0</v>
      </c>
      <c r="J83" s="49">
        <f>AVERAGE('26.09 Munyonyo-Kigo-24h'!J83,'28.09 Munyonyo-Kigo-24h'!J83)</f>
        <v>0</v>
      </c>
      <c r="K83" s="49">
        <f>AVERAGE('26.09 Munyonyo-Kigo-24h'!K83,'28.09 Munyonyo-Kigo-24h'!K83)</f>
        <v>0</v>
      </c>
      <c r="L83" s="49">
        <f>AVERAGE('26.09 Munyonyo-Kigo-24h'!L83,'28.09 Munyonyo-Kigo-24h'!L83)</f>
        <v>0</v>
      </c>
      <c r="M83" s="49">
        <f>AVERAGE('26.09 Munyonyo-Kigo-24h'!M83,'28.09 Munyonyo-Kigo-24h'!M83)</f>
        <v>5</v>
      </c>
      <c r="N83" s="49">
        <f>AVERAGE('26.09 Munyonyo-Kigo-24h'!N83,'28.09 Munyonyo-Kigo-24h'!N83)</f>
        <v>0</v>
      </c>
      <c r="O83" s="15">
        <f t="shared" si="35"/>
        <v>0.5</v>
      </c>
      <c r="P83" s="15">
        <f t="shared" si="36"/>
        <v>5.5</v>
      </c>
      <c r="R83" s="8"/>
      <c r="T83"/>
    </row>
    <row r="84" spans="2:20" ht="23.1" customHeight="1" x14ac:dyDescent="0.25">
      <c r="B84" s="25" t="s">
        <v>124</v>
      </c>
      <c r="C84" s="49">
        <f>AVERAGE('26.09 Munyonyo-Kigo-24h'!C84,'28.09 Munyonyo-Kigo-24h'!C84)</f>
        <v>1</v>
      </c>
      <c r="D84" s="49">
        <f>AVERAGE('26.09 Munyonyo-Kigo-24h'!D84,'28.09 Munyonyo-Kigo-24h'!D84)</f>
        <v>0</v>
      </c>
      <c r="E84" s="49">
        <f>AVERAGE('26.09 Munyonyo-Kigo-24h'!E84,'28.09 Munyonyo-Kigo-24h'!E84)</f>
        <v>0</v>
      </c>
      <c r="F84" s="49">
        <f>AVERAGE('26.09 Munyonyo-Kigo-24h'!F84,'28.09 Munyonyo-Kigo-24h'!F84)</f>
        <v>0</v>
      </c>
      <c r="G84" s="49">
        <f>AVERAGE('26.09 Munyonyo-Kigo-24h'!G84,'28.09 Munyonyo-Kigo-24h'!G84)</f>
        <v>0</v>
      </c>
      <c r="H84" s="49">
        <f>AVERAGE('26.09 Munyonyo-Kigo-24h'!H84,'28.09 Munyonyo-Kigo-24h'!H84)</f>
        <v>0</v>
      </c>
      <c r="I84" s="49">
        <f>AVERAGE('26.09 Munyonyo-Kigo-24h'!I84,'28.09 Munyonyo-Kigo-24h'!I84)</f>
        <v>0</v>
      </c>
      <c r="J84" s="49">
        <f>AVERAGE('26.09 Munyonyo-Kigo-24h'!J84,'28.09 Munyonyo-Kigo-24h'!J84)</f>
        <v>0</v>
      </c>
      <c r="K84" s="49">
        <f>AVERAGE('26.09 Munyonyo-Kigo-24h'!K84,'28.09 Munyonyo-Kigo-24h'!K84)</f>
        <v>0</v>
      </c>
      <c r="L84" s="49">
        <f>AVERAGE('26.09 Munyonyo-Kigo-24h'!L84,'28.09 Munyonyo-Kigo-24h'!L84)</f>
        <v>0</v>
      </c>
      <c r="M84" s="49">
        <f>AVERAGE('26.09 Munyonyo-Kigo-24h'!M84,'28.09 Munyonyo-Kigo-24h'!M84)</f>
        <v>3.5</v>
      </c>
      <c r="N84" s="49">
        <f>AVERAGE('26.09 Munyonyo-Kigo-24h'!N84,'28.09 Munyonyo-Kigo-24h'!N84)</f>
        <v>0</v>
      </c>
      <c r="O84" s="15">
        <f t="shared" si="35"/>
        <v>1</v>
      </c>
      <c r="P84" s="15">
        <f t="shared" si="36"/>
        <v>4.5</v>
      </c>
      <c r="R84" s="8"/>
      <c r="T84"/>
    </row>
    <row r="85" spans="2:20" ht="23.1" customHeight="1" x14ac:dyDescent="0.25">
      <c r="B85" s="23" t="s">
        <v>125</v>
      </c>
      <c r="C85" s="49">
        <f>AVERAGE('26.09 Munyonyo-Kigo-24h'!C85,'28.09 Munyonyo-Kigo-24h'!C85)</f>
        <v>0.5</v>
      </c>
      <c r="D85" s="49">
        <f>AVERAGE('26.09 Munyonyo-Kigo-24h'!D85,'28.09 Munyonyo-Kigo-24h'!D85)</f>
        <v>0</v>
      </c>
      <c r="E85" s="49">
        <f>AVERAGE('26.09 Munyonyo-Kigo-24h'!E85,'28.09 Munyonyo-Kigo-24h'!E85)</f>
        <v>0</v>
      </c>
      <c r="F85" s="49">
        <f>AVERAGE('26.09 Munyonyo-Kigo-24h'!F85,'28.09 Munyonyo-Kigo-24h'!F85)</f>
        <v>0</v>
      </c>
      <c r="G85" s="49">
        <f>AVERAGE('26.09 Munyonyo-Kigo-24h'!G85,'28.09 Munyonyo-Kigo-24h'!G85)</f>
        <v>0</v>
      </c>
      <c r="H85" s="49">
        <f>AVERAGE('26.09 Munyonyo-Kigo-24h'!H85,'28.09 Munyonyo-Kigo-24h'!H85)</f>
        <v>0</v>
      </c>
      <c r="I85" s="49">
        <f>AVERAGE('26.09 Munyonyo-Kigo-24h'!I85,'28.09 Munyonyo-Kigo-24h'!I85)</f>
        <v>0</v>
      </c>
      <c r="J85" s="49">
        <f>AVERAGE('26.09 Munyonyo-Kigo-24h'!J85,'28.09 Munyonyo-Kigo-24h'!J85)</f>
        <v>0</v>
      </c>
      <c r="K85" s="49">
        <f>AVERAGE('26.09 Munyonyo-Kigo-24h'!K85,'28.09 Munyonyo-Kigo-24h'!K85)</f>
        <v>0</v>
      </c>
      <c r="L85" s="49">
        <f>AVERAGE('26.09 Munyonyo-Kigo-24h'!L85,'28.09 Munyonyo-Kigo-24h'!L85)</f>
        <v>0</v>
      </c>
      <c r="M85" s="49">
        <f>AVERAGE('26.09 Munyonyo-Kigo-24h'!M85,'28.09 Munyonyo-Kigo-24h'!M85)</f>
        <v>2</v>
      </c>
      <c r="N85" s="49">
        <f>AVERAGE('26.09 Munyonyo-Kigo-24h'!N85,'28.09 Munyonyo-Kigo-24h'!N85)</f>
        <v>0</v>
      </c>
      <c r="O85" s="15">
        <f t="shared" si="35"/>
        <v>0.5</v>
      </c>
      <c r="P85" s="15">
        <f t="shared" si="36"/>
        <v>2.5</v>
      </c>
      <c r="R85" s="8"/>
      <c r="T85"/>
    </row>
    <row r="86" spans="2:20" ht="23.1" customHeight="1" x14ac:dyDescent="0.25">
      <c r="B86" s="24" t="s">
        <v>126</v>
      </c>
      <c r="C86" s="49">
        <f>AVERAGE('26.09 Munyonyo-Kigo-24h'!C86,'28.09 Munyonyo-Kigo-24h'!C86)</f>
        <v>0</v>
      </c>
      <c r="D86" s="49">
        <f>AVERAGE('26.09 Munyonyo-Kigo-24h'!D86,'28.09 Munyonyo-Kigo-24h'!D86)</f>
        <v>0</v>
      </c>
      <c r="E86" s="49">
        <f>AVERAGE('26.09 Munyonyo-Kigo-24h'!E86,'28.09 Munyonyo-Kigo-24h'!E86)</f>
        <v>0</v>
      </c>
      <c r="F86" s="49">
        <f>AVERAGE('26.09 Munyonyo-Kigo-24h'!F86,'28.09 Munyonyo-Kigo-24h'!F86)</f>
        <v>0</v>
      </c>
      <c r="G86" s="49">
        <f>AVERAGE('26.09 Munyonyo-Kigo-24h'!G86,'28.09 Munyonyo-Kigo-24h'!G86)</f>
        <v>0</v>
      </c>
      <c r="H86" s="49">
        <f>AVERAGE('26.09 Munyonyo-Kigo-24h'!H86,'28.09 Munyonyo-Kigo-24h'!H86)</f>
        <v>0</v>
      </c>
      <c r="I86" s="49">
        <f>AVERAGE('26.09 Munyonyo-Kigo-24h'!I86,'28.09 Munyonyo-Kigo-24h'!I86)</f>
        <v>0</v>
      </c>
      <c r="J86" s="49">
        <f>AVERAGE('26.09 Munyonyo-Kigo-24h'!J86,'28.09 Munyonyo-Kigo-24h'!J86)</f>
        <v>0</v>
      </c>
      <c r="K86" s="49">
        <f>AVERAGE('26.09 Munyonyo-Kigo-24h'!K86,'28.09 Munyonyo-Kigo-24h'!K86)</f>
        <v>0</v>
      </c>
      <c r="L86" s="49">
        <f>AVERAGE('26.09 Munyonyo-Kigo-24h'!L86,'28.09 Munyonyo-Kigo-24h'!L86)</f>
        <v>0</v>
      </c>
      <c r="M86" s="49">
        <f>AVERAGE('26.09 Munyonyo-Kigo-24h'!M86,'28.09 Munyonyo-Kigo-24h'!M86)</f>
        <v>2.5</v>
      </c>
      <c r="N86" s="49">
        <f>AVERAGE('26.09 Munyonyo-Kigo-24h'!N86,'28.09 Munyonyo-Kigo-24h'!N86)</f>
        <v>0</v>
      </c>
      <c r="O86" s="15">
        <f t="shared" si="35"/>
        <v>0</v>
      </c>
      <c r="P86" s="15">
        <f t="shared" si="36"/>
        <v>2.5</v>
      </c>
      <c r="R86" s="8"/>
      <c r="T86"/>
    </row>
    <row r="87" spans="2:20" ht="23.1" customHeight="1" x14ac:dyDescent="0.25">
      <c r="B87" s="23" t="s">
        <v>127</v>
      </c>
      <c r="C87" s="49">
        <f>AVERAGE('26.09 Munyonyo-Kigo-24h'!C87,'28.09 Munyonyo-Kigo-24h'!C87)</f>
        <v>0</v>
      </c>
      <c r="D87" s="49">
        <f>AVERAGE('26.09 Munyonyo-Kigo-24h'!D87,'28.09 Munyonyo-Kigo-24h'!D87)</f>
        <v>0.5</v>
      </c>
      <c r="E87" s="49">
        <f>AVERAGE('26.09 Munyonyo-Kigo-24h'!E87,'28.09 Munyonyo-Kigo-24h'!E87)</f>
        <v>0</v>
      </c>
      <c r="F87" s="49">
        <f>AVERAGE('26.09 Munyonyo-Kigo-24h'!F87,'28.09 Munyonyo-Kigo-24h'!F87)</f>
        <v>0</v>
      </c>
      <c r="G87" s="49">
        <f>AVERAGE('26.09 Munyonyo-Kigo-24h'!G87,'28.09 Munyonyo-Kigo-24h'!G87)</f>
        <v>0</v>
      </c>
      <c r="H87" s="49">
        <f>AVERAGE('26.09 Munyonyo-Kigo-24h'!H87,'28.09 Munyonyo-Kigo-24h'!H87)</f>
        <v>0</v>
      </c>
      <c r="I87" s="49">
        <f>AVERAGE('26.09 Munyonyo-Kigo-24h'!I87,'28.09 Munyonyo-Kigo-24h'!I87)</f>
        <v>0</v>
      </c>
      <c r="J87" s="49">
        <f>AVERAGE('26.09 Munyonyo-Kigo-24h'!J87,'28.09 Munyonyo-Kigo-24h'!J87)</f>
        <v>0</v>
      </c>
      <c r="K87" s="49">
        <f>AVERAGE('26.09 Munyonyo-Kigo-24h'!K87,'28.09 Munyonyo-Kigo-24h'!K87)</f>
        <v>0</v>
      </c>
      <c r="L87" s="49">
        <f>AVERAGE('26.09 Munyonyo-Kigo-24h'!L87,'28.09 Munyonyo-Kigo-24h'!L87)</f>
        <v>0</v>
      </c>
      <c r="M87" s="49">
        <f>AVERAGE('26.09 Munyonyo-Kigo-24h'!M87,'28.09 Munyonyo-Kigo-24h'!M87)</f>
        <v>2</v>
      </c>
      <c r="N87" s="49">
        <f>AVERAGE('26.09 Munyonyo-Kigo-24h'!N87,'28.09 Munyonyo-Kigo-24h'!N87)</f>
        <v>0</v>
      </c>
      <c r="O87" s="15">
        <f t="shared" si="35"/>
        <v>0.5</v>
      </c>
      <c r="P87" s="15">
        <f t="shared" si="36"/>
        <v>2.5</v>
      </c>
      <c r="R87" s="8"/>
      <c r="T87"/>
    </row>
    <row r="88" spans="2:20" ht="23.1" customHeight="1" x14ac:dyDescent="0.25">
      <c r="B88" s="25" t="s">
        <v>128</v>
      </c>
      <c r="C88" s="49">
        <f>AVERAGE('26.09 Munyonyo-Kigo-24h'!C88,'28.09 Munyonyo-Kigo-24h'!C88)</f>
        <v>0</v>
      </c>
      <c r="D88" s="49">
        <f>AVERAGE('26.09 Munyonyo-Kigo-24h'!D88,'28.09 Munyonyo-Kigo-24h'!D88)</f>
        <v>0</v>
      </c>
      <c r="E88" s="49">
        <f>AVERAGE('26.09 Munyonyo-Kigo-24h'!E88,'28.09 Munyonyo-Kigo-24h'!E88)</f>
        <v>0</v>
      </c>
      <c r="F88" s="49">
        <f>AVERAGE('26.09 Munyonyo-Kigo-24h'!F88,'28.09 Munyonyo-Kigo-24h'!F88)</f>
        <v>0</v>
      </c>
      <c r="G88" s="49">
        <f>AVERAGE('26.09 Munyonyo-Kigo-24h'!G88,'28.09 Munyonyo-Kigo-24h'!G88)</f>
        <v>0</v>
      </c>
      <c r="H88" s="49">
        <f>AVERAGE('26.09 Munyonyo-Kigo-24h'!H88,'28.09 Munyonyo-Kigo-24h'!H88)</f>
        <v>0</v>
      </c>
      <c r="I88" s="49">
        <f>AVERAGE('26.09 Munyonyo-Kigo-24h'!I88,'28.09 Munyonyo-Kigo-24h'!I88)</f>
        <v>0</v>
      </c>
      <c r="J88" s="49">
        <f>AVERAGE('26.09 Munyonyo-Kigo-24h'!J88,'28.09 Munyonyo-Kigo-24h'!J88)</f>
        <v>0</v>
      </c>
      <c r="K88" s="49">
        <f>AVERAGE('26.09 Munyonyo-Kigo-24h'!K88,'28.09 Munyonyo-Kigo-24h'!K88)</f>
        <v>0</v>
      </c>
      <c r="L88" s="49">
        <f>AVERAGE('26.09 Munyonyo-Kigo-24h'!L88,'28.09 Munyonyo-Kigo-24h'!L88)</f>
        <v>0</v>
      </c>
      <c r="M88" s="49">
        <f>AVERAGE('26.09 Munyonyo-Kigo-24h'!M88,'28.09 Munyonyo-Kigo-24h'!M88)</f>
        <v>1.5</v>
      </c>
      <c r="N88" s="49">
        <f>AVERAGE('26.09 Munyonyo-Kigo-24h'!N88,'28.09 Munyonyo-Kigo-24h'!N88)</f>
        <v>0</v>
      </c>
      <c r="O88" s="15">
        <f t="shared" si="35"/>
        <v>0</v>
      </c>
      <c r="P88" s="15">
        <f t="shared" si="36"/>
        <v>1.5</v>
      </c>
      <c r="R88" s="8"/>
      <c r="T88"/>
    </row>
    <row r="89" spans="2:20" ht="23.1" customHeight="1" x14ac:dyDescent="0.25">
      <c r="B89" s="23" t="s">
        <v>129</v>
      </c>
      <c r="C89" s="49">
        <f>AVERAGE('26.09 Munyonyo-Kigo-24h'!C89,'28.09 Munyonyo-Kigo-24h'!C89)</f>
        <v>0.5</v>
      </c>
      <c r="D89" s="49">
        <f>AVERAGE('26.09 Munyonyo-Kigo-24h'!D89,'28.09 Munyonyo-Kigo-24h'!D89)</f>
        <v>0</v>
      </c>
      <c r="E89" s="49">
        <f>AVERAGE('26.09 Munyonyo-Kigo-24h'!E89,'28.09 Munyonyo-Kigo-24h'!E89)</f>
        <v>0</v>
      </c>
      <c r="F89" s="49">
        <f>AVERAGE('26.09 Munyonyo-Kigo-24h'!F89,'28.09 Munyonyo-Kigo-24h'!F89)</f>
        <v>0</v>
      </c>
      <c r="G89" s="49">
        <f>AVERAGE('26.09 Munyonyo-Kigo-24h'!G89,'28.09 Munyonyo-Kigo-24h'!G89)</f>
        <v>0</v>
      </c>
      <c r="H89" s="49">
        <f>AVERAGE('26.09 Munyonyo-Kigo-24h'!H89,'28.09 Munyonyo-Kigo-24h'!H89)</f>
        <v>0</v>
      </c>
      <c r="I89" s="49">
        <f>AVERAGE('26.09 Munyonyo-Kigo-24h'!I89,'28.09 Munyonyo-Kigo-24h'!I89)</f>
        <v>0</v>
      </c>
      <c r="J89" s="49">
        <f>AVERAGE('26.09 Munyonyo-Kigo-24h'!J89,'28.09 Munyonyo-Kigo-24h'!J89)</f>
        <v>0</v>
      </c>
      <c r="K89" s="49">
        <f>AVERAGE('26.09 Munyonyo-Kigo-24h'!K89,'28.09 Munyonyo-Kigo-24h'!K89)</f>
        <v>0</v>
      </c>
      <c r="L89" s="49">
        <f>AVERAGE('26.09 Munyonyo-Kigo-24h'!L89,'28.09 Munyonyo-Kigo-24h'!L89)</f>
        <v>0</v>
      </c>
      <c r="M89" s="49">
        <f>AVERAGE('26.09 Munyonyo-Kigo-24h'!M89,'28.09 Munyonyo-Kigo-24h'!M89)</f>
        <v>4</v>
      </c>
      <c r="N89" s="49">
        <f>AVERAGE('26.09 Munyonyo-Kigo-24h'!N89,'28.09 Munyonyo-Kigo-24h'!N89)</f>
        <v>0</v>
      </c>
      <c r="O89" s="15">
        <f t="shared" si="35"/>
        <v>0.5</v>
      </c>
      <c r="P89" s="15">
        <f t="shared" si="36"/>
        <v>4.5</v>
      </c>
      <c r="R89" s="8"/>
      <c r="T89"/>
    </row>
    <row r="90" spans="2:20" ht="23.1" customHeight="1" x14ac:dyDescent="0.25">
      <c r="B90" s="24" t="s">
        <v>130</v>
      </c>
      <c r="C90" s="49">
        <f>AVERAGE('26.09 Munyonyo-Kigo-24h'!C90,'28.09 Munyonyo-Kigo-24h'!C90)</f>
        <v>0</v>
      </c>
      <c r="D90" s="49">
        <f>AVERAGE('26.09 Munyonyo-Kigo-24h'!D90,'28.09 Munyonyo-Kigo-24h'!D90)</f>
        <v>0</v>
      </c>
      <c r="E90" s="49">
        <f>AVERAGE('26.09 Munyonyo-Kigo-24h'!E90,'28.09 Munyonyo-Kigo-24h'!E90)</f>
        <v>0</v>
      </c>
      <c r="F90" s="49">
        <f>AVERAGE('26.09 Munyonyo-Kigo-24h'!F90,'28.09 Munyonyo-Kigo-24h'!F90)</f>
        <v>0</v>
      </c>
      <c r="G90" s="49">
        <f>AVERAGE('26.09 Munyonyo-Kigo-24h'!G90,'28.09 Munyonyo-Kigo-24h'!G90)</f>
        <v>0</v>
      </c>
      <c r="H90" s="49">
        <f>AVERAGE('26.09 Munyonyo-Kigo-24h'!H90,'28.09 Munyonyo-Kigo-24h'!H90)</f>
        <v>0</v>
      </c>
      <c r="I90" s="49">
        <f>AVERAGE('26.09 Munyonyo-Kigo-24h'!I90,'28.09 Munyonyo-Kigo-24h'!I90)</f>
        <v>0</v>
      </c>
      <c r="J90" s="49">
        <f>AVERAGE('26.09 Munyonyo-Kigo-24h'!J90,'28.09 Munyonyo-Kigo-24h'!J90)</f>
        <v>0</v>
      </c>
      <c r="K90" s="49">
        <f>AVERAGE('26.09 Munyonyo-Kigo-24h'!K90,'28.09 Munyonyo-Kigo-24h'!K90)</f>
        <v>0</v>
      </c>
      <c r="L90" s="49">
        <f>AVERAGE('26.09 Munyonyo-Kigo-24h'!L90,'28.09 Munyonyo-Kigo-24h'!L90)</f>
        <v>0</v>
      </c>
      <c r="M90" s="49">
        <f>AVERAGE('26.09 Munyonyo-Kigo-24h'!M90,'28.09 Munyonyo-Kigo-24h'!M90)</f>
        <v>3.5</v>
      </c>
      <c r="N90" s="49">
        <f>AVERAGE('26.09 Munyonyo-Kigo-24h'!N90,'28.09 Munyonyo-Kigo-24h'!N90)</f>
        <v>0</v>
      </c>
      <c r="O90" s="15">
        <f t="shared" si="35"/>
        <v>0</v>
      </c>
      <c r="P90" s="15">
        <f t="shared" si="36"/>
        <v>3.5</v>
      </c>
      <c r="R90" s="8"/>
      <c r="T90"/>
    </row>
    <row r="91" spans="2:20" ht="23.1" customHeight="1" x14ac:dyDescent="0.25">
      <c r="B91" s="23" t="s">
        <v>131</v>
      </c>
      <c r="C91" s="49">
        <f>AVERAGE('26.09 Munyonyo-Kigo-24h'!C91,'28.09 Munyonyo-Kigo-24h'!C91)</f>
        <v>0</v>
      </c>
      <c r="D91" s="49">
        <f>AVERAGE('26.09 Munyonyo-Kigo-24h'!D91,'28.09 Munyonyo-Kigo-24h'!D91)</f>
        <v>0</v>
      </c>
      <c r="E91" s="49">
        <f>AVERAGE('26.09 Munyonyo-Kigo-24h'!E91,'28.09 Munyonyo-Kigo-24h'!E91)</f>
        <v>0</v>
      </c>
      <c r="F91" s="49">
        <f>AVERAGE('26.09 Munyonyo-Kigo-24h'!F91,'28.09 Munyonyo-Kigo-24h'!F91)</f>
        <v>1</v>
      </c>
      <c r="G91" s="49">
        <f>AVERAGE('26.09 Munyonyo-Kigo-24h'!G91,'28.09 Munyonyo-Kigo-24h'!G91)</f>
        <v>0</v>
      </c>
      <c r="H91" s="49">
        <f>AVERAGE('26.09 Munyonyo-Kigo-24h'!H91,'28.09 Munyonyo-Kigo-24h'!H91)</f>
        <v>0</v>
      </c>
      <c r="I91" s="49">
        <f>AVERAGE('26.09 Munyonyo-Kigo-24h'!I91,'28.09 Munyonyo-Kigo-24h'!I91)</f>
        <v>0</v>
      </c>
      <c r="J91" s="49">
        <f>AVERAGE('26.09 Munyonyo-Kigo-24h'!J91,'28.09 Munyonyo-Kigo-24h'!J91)</f>
        <v>0</v>
      </c>
      <c r="K91" s="49">
        <f>AVERAGE('26.09 Munyonyo-Kigo-24h'!K91,'28.09 Munyonyo-Kigo-24h'!K91)</f>
        <v>0</v>
      </c>
      <c r="L91" s="49">
        <f>AVERAGE('26.09 Munyonyo-Kigo-24h'!L91,'28.09 Munyonyo-Kigo-24h'!L91)</f>
        <v>0</v>
      </c>
      <c r="M91" s="49">
        <f>AVERAGE('26.09 Munyonyo-Kigo-24h'!M91,'28.09 Munyonyo-Kigo-24h'!M91)</f>
        <v>1.5</v>
      </c>
      <c r="N91" s="49">
        <f>AVERAGE('26.09 Munyonyo-Kigo-24h'!N91,'28.09 Munyonyo-Kigo-24h'!N91)</f>
        <v>0</v>
      </c>
      <c r="O91" s="15">
        <f t="shared" si="35"/>
        <v>1</v>
      </c>
      <c r="P91" s="15">
        <f t="shared" si="36"/>
        <v>2.5</v>
      </c>
      <c r="R91" s="8"/>
      <c r="T91"/>
    </row>
    <row r="92" spans="2:20" ht="23.1" customHeight="1" x14ac:dyDescent="0.25">
      <c r="B92" s="25" t="s">
        <v>132</v>
      </c>
      <c r="C92" s="49">
        <f>AVERAGE('26.09 Munyonyo-Kigo-24h'!C92,'28.09 Munyonyo-Kigo-24h'!C92)</f>
        <v>0.5</v>
      </c>
      <c r="D92" s="49">
        <f>AVERAGE('26.09 Munyonyo-Kigo-24h'!D92,'28.09 Munyonyo-Kigo-24h'!D92)</f>
        <v>0</v>
      </c>
      <c r="E92" s="49">
        <f>AVERAGE('26.09 Munyonyo-Kigo-24h'!E92,'28.09 Munyonyo-Kigo-24h'!E92)</f>
        <v>0</v>
      </c>
      <c r="F92" s="49">
        <f>AVERAGE('26.09 Munyonyo-Kigo-24h'!F92,'28.09 Munyonyo-Kigo-24h'!F92)</f>
        <v>0</v>
      </c>
      <c r="G92" s="49">
        <f>AVERAGE('26.09 Munyonyo-Kigo-24h'!G92,'28.09 Munyonyo-Kigo-24h'!G92)</f>
        <v>0</v>
      </c>
      <c r="H92" s="49">
        <f>AVERAGE('26.09 Munyonyo-Kigo-24h'!H92,'28.09 Munyonyo-Kigo-24h'!H92)</f>
        <v>0</v>
      </c>
      <c r="I92" s="49">
        <f>AVERAGE('26.09 Munyonyo-Kigo-24h'!I92,'28.09 Munyonyo-Kigo-24h'!I92)</f>
        <v>0</v>
      </c>
      <c r="J92" s="49">
        <f>AVERAGE('26.09 Munyonyo-Kigo-24h'!J92,'28.09 Munyonyo-Kigo-24h'!J92)</f>
        <v>0</v>
      </c>
      <c r="K92" s="49">
        <f>AVERAGE('26.09 Munyonyo-Kigo-24h'!K92,'28.09 Munyonyo-Kigo-24h'!K92)</f>
        <v>0</v>
      </c>
      <c r="L92" s="49">
        <f>AVERAGE('26.09 Munyonyo-Kigo-24h'!L92,'28.09 Munyonyo-Kigo-24h'!L92)</f>
        <v>0</v>
      </c>
      <c r="M92" s="49">
        <f>AVERAGE('26.09 Munyonyo-Kigo-24h'!M92,'28.09 Munyonyo-Kigo-24h'!M92)</f>
        <v>0.5</v>
      </c>
      <c r="N92" s="49">
        <f>AVERAGE('26.09 Munyonyo-Kigo-24h'!N92,'28.09 Munyonyo-Kigo-24h'!N92)</f>
        <v>0</v>
      </c>
      <c r="O92" s="15">
        <f t="shared" si="35"/>
        <v>0.5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AVERAGE('26.09 Munyonyo-Kigo-24h'!C93,'28.09 Munyonyo-Kigo-24h'!C93)</f>
        <v>0.5</v>
      </c>
      <c r="D93" s="49">
        <f>AVERAGE('26.09 Munyonyo-Kigo-24h'!D93,'28.09 Munyonyo-Kigo-24h'!D93)</f>
        <v>0</v>
      </c>
      <c r="E93" s="49">
        <f>AVERAGE('26.09 Munyonyo-Kigo-24h'!E93,'28.09 Munyonyo-Kigo-24h'!E93)</f>
        <v>0</v>
      </c>
      <c r="F93" s="49">
        <f>AVERAGE('26.09 Munyonyo-Kigo-24h'!F93,'28.09 Munyonyo-Kigo-24h'!F93)</f>
        <v>0</v>
      </c>
      <c r="G93" s="49">
        <f>AVERAGE('26.09 Munyonyo-Kigo-24h'!G93,'28.09 Munyonyo-Kigo-24h'!G93)</f>
        <v>0</v>
      </c>
      <c r="H93" s="49">
        <f>AVERAGE('26.09 Munyonyo-Kigo-24h'!H93,'28.09 Munyonyo-Kigo-24h'!H93)</f>
        <v>0</v>
      </c>
      <c r="I93" s="49">
        <f>AVERAGE('26.09 Munyonyo-Kigo-24h'!I93,'28.09 Munyonyo-Kigo-24h'!I93)</f>
        <v>0</v>
      </c>
      <c r="J93" s="49">
        <f>AVERAGE('26.09 Munyonyo-Kigo-24h'!J93,'28.09 Munyonyo-Kigo-24h'!J93)</f>
        <v>0</v>
      </c>
      <c r="K93" s="49">
        <f>AVERAGE('26.09 Munyonyo-Kigo-24h'!K93,'28.09 Munyonyo-Kigo-24h'!K93)</f>
        <v>0</v>
      </c>
      <c r="L93" s="49">
        <f>AVERAGE('26.09 Munyonyo-Kigo-24h'!L93,'28.09 Munyonyo-Kigo-24h'!L93)</f>
        <v>0</v>
      </c>
      <c r="M93" s="49">
        <f>AVERAGE('26.09 Munyonyo-Kigo-24h'!M93,'28.09 Munyonyo-Kigo-24h'!M93)</f>
        <v>2</v>
      </c>
      <c r="N93" s="49">
        <f>AVERAGE('26.09 Munyonyo-Kigo-24h'!N93,'28.09 Munyonyo-Kigo-24h'!N93)</f>
        <v>0</v>
      </c>
      <c r="O93" s="15">
        <f t="shared" si="35"/>
        <v>0.5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AVERAGE('26.09 Munyonyo-Kigo-24h'!C94,'28.09 Munyonyo-Kigo-24h'!C94)</f>
        <v>0</v>
      </c>
      <c r="D94" s="49">
        <f>AVERAGE('26.09 Munyonyo-Kigo-24h'!D94,'28.09 Munyonyo-Kigo-24h'!D94)</f>
        <v>0</v>
      </c>
      <c r="E94" s="49">
        <f>AVERAGE('26.09 Munyonyo-Kigo-24h'!E94,'28.09 Munyonyo-Kigo-24h'!E94)</f>
        <v>0</v>
      </c>
      <c r="F94" s="49">
        <f>AVERAGE('26.09 Munyonyo-Kigo-24h'!F94,'28.09 Munyonyo-Kigo-24h'!F94)</f>
        <v>0</v>
      </c>
      <c r="G94" s="49">
        <f>AVERAGE('26.09 Munyonyo-Kigo-24h'!G94,'28.09 Munyonyo-Kigo-24h'!G94)</f>
        <v>0</v>
      </c>
      <c r="H94" s="49">
        <f>AVERAGE('26.09 Munyonyo-Kigo-24h'!H94,'28.09 Munyonyo-Kigo-24h'!H94)</f>
        <v>0</v>
      </c>
      <c r="I94" s="49">
        <f>AVERAGE('26.09 Munyonyo-Kigo-24h'!I94,'28.09 Munyonyo-Kigo-24h'!I94)</f>
        <v>0</v>
      </c>
      <c r="J94" s="49">
        <f>AVERAGE('26.09 Munyonyo-Kigo-24h'!J94,'28.09 Munyonyo-Kigo-24h'!J94)</f>
        <v>0</v>
      </c>
      <c r="K94" s="49">
        <f>AVERAGE('26.09 Munyonyo-Kigo-24h'!K94,'28.09 Munyonyo-Kigo-24h'!K94)</f>
        <v>0</v>
      </c>
      <c r="L94" s="49">
        <f>AVERAGE('26.09 Munyonyo-Kigo-24h'!L94,'28.09 Munyonyo-Kigo-24h'!L94)</f>
        <v>0</v>
      </c>
      <c r="M94" s="49">
        <f>AVERAGE('26.09 Munyonyo-Kigo-24h'!M94,'28.09 Munyonyo-Kigo-24h'!M94)</f>
        <v>2.5</v>
      </c>
      <c r="N94" s="49">
        <f>AVERAGE('26.09 Munyonyo-Kigo-24h'!N94,'28.09 Munyonyo-Kigo-24h'!N94)</f>
        <v>0</v>
      </c>
      <c r="O94" s="15">
        <f t="shared" si="35"/>
        <v>0</v>
      </c>
      <c r="P94" s="15">
        <f t="shared" si="36"/>
        <v>2.5</v>
      </c>
      <c r="R94" s="8"/>
      <c r="T94"/>
    </row>
    <row r="95" spans="2:20" ht="23.1" customHeight="1" x14ac:dyDescent="0.25">
      <c r="B95" s="23" t="s">
        <v>135</v>
      </c>
      <c r="C95" s="49">
        <f>AVERAGE('26.09 Munyonyo-Kigo-24h'!C95,'28.09 Munyonyo-Kigo-24h'!C95)</f>
        <v>0</v>
      </c>
      <c r="D95" s="49">
        <f>AVERAGE('26.09 Munyonyo-Kigo-24h'!D95,'28.09 Munyonyo-Kigo-24h'!D95)</f>
        <v>0</v>
      </c>
      <c r="E95" s="49">
        <f>AVERAGE('26.09 Munyonyo-Kigo-24h'!E95,'28.09 Munyonyo-Kigo-24h'!E95)</f>
        <v>0</v>
      </c>
      <c r="F95" s="49">
        <f>AVERAGE('26.09 Munyonyo-Kigo-24h'!F95,'28.09 Munyonyo-Kigo-24h'!F95)</f>
        <v>0</v>
      </c>
      <c r="G95" s="49">
        <f>AVERAGE('26.09 Munyonyo-Kigo-24h'!G95,'28.09 Munyonyo-Kigo-24h'!G95)</f>
        <v>0</v>
      </c>
      <c r="H95" s="49">
        <f>AVERAGE('26.09 Munyonyo-Kigo-24h'!H95,'28.09 Munyonyo-Kigo-24h'!H95)</f>
        <v>0</v>
      </c>
      <c r="I95" s="49">
        <f>AVERAGE('26.09 Munyonyo-Kigo-24h'!I95,'28.09 Munyonyo-Kigo-24h'!I95)</f>
        <v>0</v>
      </c>
      <c r="J95" s="49">
        <f>AVERAGE('26.09 Munyonyo-Kigo-24h'!J95,'28.09 Munyonyo-Kigo-24h'!J95)</f>
        <v>0</v>
      </c>
      <c r="K95" s="49">
        <f>AVERAGE('26.09 Munyonyo-Kigo-24h'!K95,'28.09 Munyonyo-Kigo-24h'!K95)</f>
        <v>0</v>
      </c>
      <c r="L95" s="49">
        <f>AVERAGE('26.09 Munyonyo-Kigo-24h'!L95,'28.09 Munyonyo-Kigo-24h'!L95)</f>
        <v>0</v>
      </c>
      <c r="M95" s="49">
        <f>AVERAGE('26.09 Munyonyo-Kigo-24h'!M95,'28.09 Munyonyo-Kigo-24h'!M95)</f>
        <v>2.5</v>
      </c>
      <c r="N95" s="49">
        <f>AVERAGE('26.09 Munyonyo-Kigo-24h'!N95,'28.09 Munyonyo-Kigo-24h'!N95)</f>
        <v>0</v>
      </c>
      <c r="O95" s="15">
        <f t="shared" si="35"/>
        <v>0</v>
      </c>
      <c r="P95" s="15">
        <f t="shared" si="36"/>
        <v>2.5</v>
      </c>
      <c r="R95" s="8"/>
      <c r="T95"/>
    </row>
    <row r="96" spans="2:20" ht="23.1" customHeight="1" x14ac:dyDescent="0.25">
      <c r="B96" s="25" t="s">
        <v>136</v>
      </c>
      <c r="C96" s="49">
        <f>AVERAGE('26.09 Munyonyo-Kigo-24h'!C96,'28.09 Munyonyo-Kigo-24h'!C96)</f>
        <v>0.5</v>
      </c>
      <c r="D96" s="49">
        <f>AVERAGE('26.09 Munyonyo-Kigo-24h'!D96,'28.09 Munyonyo-Kigo-24h'!D96)</f>
        <v>0</v>
      </c>
      <c r="E96" s="49">
        <f>AVERAGE('26.09 Munyonyo-Kigo-24h'!E96,'28.09 Munyonyo-Kigo-24h'!E96)</f>
        <v>0</v>
      </c>
      <c r="F96" s="49">
        <f>AVERAGE('26.09 Munyonyo-Kigo-24h'!F96,'28.09 Munyonyo-Kigo-24h'!F96)</f>
        <v>0</v>
      </c>
      <c r="G96" s="49">
        <f>AVERAGE('26.09 Munyonyo-Kigo-24h'!G96,'28.09 Munyonyo-Kigo-24h'!G96)</f>
        <v>0</v>
      </c>
      <c r="H96" s="49">
        <f>AVERAGE('26.09 Munyonyo-Kigo-24h'!H96,'28.09 Munyonyo-Kigo-24h'!H96)</f>
        <v>0</v>
      </c>
      <c r="I96" s="49">
        <f>AVERAGE('26.09 Munyonyo-Kigo-24h'!I96,'28.09 Munyonyo-Kigo-24h'!I96)</f>
        <v>0</v>
      </c>
      <c r="J96" s="49">
        <f>AVERAGE('26.09 Munyonyo-Kigo-24h'!J96,'28.09 Munyonyo-Kigo-24h'!J96)</f>
        <v>0</v>
      </c>
      <c r="K96" s="49">
        <f>AVERAGE('26.09 Munyonyo-Kigo-24h'!K96,'28.09 Munyonyo-Kigo-24h'!K96)</f>
        <v>0</v>
      </c>
      <c r="L96" s="49">
        <f>AVERAGE('26.09 Munyonyo-Kigo-24h'!L96,'28.09 Munyonyo-Kigo-24h'!L96)</f>
        <v>0</v>
      </c>
      <c r="M96" s="49">
        <f>AVERAGE('26.09 Munyonyo-Kigo-24h'!M96,'28.09 Munyonyo-Kigo-24h'!M96)</f>
        <v>3.5</v>
      </c>
      <c r="N96" s="49">
        <f>AVERAGE('26.09 Munyonyo-Kigo-24h'!N96,'28.09 Munyonyo-Kigo-24h'!N96)</f>
        <v>0</v>
      </c>
      <c r="O96" s="15">
        <f t="shared" si="35"/>
        <v>0.5</v>
      </c>
      <c r="P96" s="15">
        <f t="shared" si="36"/>
        <v>4</v>
      </c>
      <c r="R96" s="8"/>
      <c r="T96"/>
    </row>
    <row r="97" spans="2:20" ht="23.1" customHeight="1" x14ac:dyDescent="0.25">
      <c r="B97" s="23" t="s">
        <v>137</v>
      </c>
      <c r="C97" s="49">
        <f>AVERAGE('26.09 Munyonyo-Kigo-24h'!C97,'28.09 Munyonyo-Kigo-24h'!C97)</f>
        <v>0.5</v>
      </c>
      <c r="D97" s="49">
        <f>AVERAGE('26.09 Munyonyo-Kigo-24h'!D97,'28.09 Munyonyo-Kigo-24h'!D97)</f>
        <v>0</v>
      </c>
      <c r="E97" s="49">
        <f>AVERAGE('26.09 Munyonyo-Kigo-24h'!E97,'28.09 Munyonyo-Kigo-24h'!E97)</f>
        <v>0</v>
      </c>
      <c r="F97" s="49">
        <f>AVERAGE('26.09 Munyonyo-Kigo-24h'!F97,'28.09 Munyonyo-Kigo-24h'!F97)</f>
        <v>0.5</v>
      </c>
      <c r="G97" s="49">
        <f>AVERAGE('26.09 Munyonyo-Kigo-24h'!G97,'28.09 Munyonyo-Kigo-24h'!G97)</f>
        <v>0</v>
      </c>
      <c r="H97" s="49">
        <f>AVERAGE('26.09 Munyonyo-Kigo-24h'!H97,'28.09 Munyonyo-Kigo-24h'!H97)</f>
        <v>0</v>
      </c>
      <c r="I97" s="49">
        <f>AVERAGE('26.09 Munyonyo-Kigo-24h'!I97,'28.09 Munyonyo-Kigo-24h'!I97)</f>
        <v>0</v>
      </c>
      <c r="J97" s="49">
        <f>AVERAGE('26.09 Munyonyo-Kigo-24h'!J97,'28.09 Munyonyo-Kigo-24h'!J97)</f>
        <v>0</v>
      </c>
      <c r="K97" s="49">
        <f>AVERAGE('26.09 Munyonyo-Kigo-24h'!K97,'28.09 Munyonyo-Kigo-24h'!K97)</f>
        <v>0</v>
      </c>
      <c r="L97" s="49">
        <f>AVERAGE('26.09 Munyonyo-Kigo-24h'!L97,'28.09 Munyonyo-Kigo-24h'!L97)</f>
        <v>0</v>
      </c>
      <c r="M97" s="49">
        <f>AVERAGE('26.09 Munyonyo-Kigo-24h'!M97,'28.09 Munyonyo-Kigo-24h'!M97)</f>
        <v>3.5</v>
      </c>
      <c r="N97" s="49">
        <f>AVERAGE('26.09 Munyonyo-Kigo-24h'!N97,'28.09 Munyonyo-Kigo-24h'!N97)</f>
        <v>0</v>
      </c>
      <c r="O97" s="15">
        <f t="shared" si="35"/>
        <v>1</v>
      </c>
      <c r="P97" s="15">
        <f t="shared" si="36"/>
        <v>4.5</v>
      </c>
      <c r="R97" s="8"/>
      <c r="T97"/>
    </row>
    <row r="98" spans="2:20" ht="23.1" customHeight="1" x14ac:dyDescent="0.25">
      <c r="B98" s="24" t="s">
        <v>138</v>
      </c>
      <c r="C98" s="49">
        <f>AVERAGE('26.09 Munyonyo-Kigo-24h'!C98,'28.09 Munyonyo-Kigo-24h'!C98)</f>
        <v>0</v>
      </c>
      <c r="D98" s="49">
        <f>AVERAGE('26.09 Munyonyo-Kigo-24h'!D98,'28.09 Munyonyo-Kigo-24h'!D98)</f>
        <v>0</v>
      </c>
      <c r="E98" s="49">
        <f>AVERAGE('26.09 Munyonyo-Kigo-24h'!E98,'28.09 Munyonyo-Kigo-24h'!E98)</f>
        <v>0</v>
      </c>
      <c r="F98" s="49">
        <f>AVERAGE('26.09 Munyonyo-Kigo-24h'!F98,'28.09 Munyonyo-Kigo-24h'!F98)</f>
        <v>0</v>
      </c>
      <c r="G98" s="49">
        <f>AVERAGE('26.09 Munyonyo-Kigo-24h'!G98,'28.09 Munyonyo-Kigo-24h'!G98)</f>
        <v>0</v>
      </c>
      <c r="H98" s="49">
        <f>AVERAGE('26.09 Munyonyo-Kigo-24h'!H98,'28.09 Munyonyo-Kigo-24h'!H98)</f>
        <v>0</v>
      </c>
      <c r="I98" s="49">
        <f>AVERAGE('26.09 Munyonyo-Kigo-24h'!I98,'28.09 Munyonyo-Kigo-24h'!I98)</f>
        <v>0</v>
      </c>
      <c r="J98" s="49">
        <f>AVERAGE('26.09 Munyonyo-Kigo-24h'!J98,'28.09 Munyonyo-Kigo-24h'!J98)</f>
        <v>0</v>
      </c>
      <c r="K98" s="49">
        <f>AVERAGE('26.09 Munyonyo-Kigo-24h'!K98,'28.09 Munyonyo-Kigo-24h'!K98)</f>
        <v>0</v>
      </c>
      <c r="L98" s="49">
        <f>AVERAGE('26.09 Munyonyo-Kigo-24h'!L98,'28.09 Munyonyo-Kigo-24h'!L98)</f>
        <v>0</v>
      </c>
      <c r="M98" s="49">
        <f>AVERAGE('26.09 Munyonyo-Kigo-24h'!M98,'28.09 Munyonyo-Kigo-24h'!M98)</f>
        <v>0.5</v>
      </c>
      <c r="N98" s="49">
        <f>AVERAGE('26.09 Munyonyo-Kigo-24h'!N98,'28.09 Munyonyo-Kigo-24h'!N98)</f>
        <v>0</v>
      </c>
      <c r="O98" s="15">
        <f t="shared" si="35"/>
        <v>0</v>
      </c>
      <c r="P98" s="15">
        <f t="shared" si="36"/>
        <v>0.5</v>
      </c>
      <c r="R98" s="8"/>
      <c r="T98"/>
    </row>
    <row r="99" spans="2:20" ht="23.1" customHeight="1" x14ac:dyDescent="0.25">
      <c r="B99" s="23" t="s">
        <v>139</v>
      </c>
      <c r="C99" s="49">
        <f>AVERAGE('26.09 Munyonyo-Kigo-24h'!C99,'28.09 Munyonyo-Kigo-24h'!C99)</f>
        <v>1</v>
      </c>
      <c r="D99" s="49">
        <f>AVERAGE('26.09 Munyonyo-Kigo-24h'!D99,'28.09 Munyonyo-Kigo-24h'!D99)</f>
        <v>0</v>
      </c>
      <c r="E99" s="49">
        <f>AVERAGE('26.09 Munyonyo-Kigo-24h'!E99,'28.09 Munyonyo-Kigo-24h'!E99)</f>
        <v>0</v>
      </c>
      <c r="F99" s="49">
        <f>AVERAGE('26.09 Munyonyo-Kigo-24h'!F99,'28.09 Munyonyo-Kigo-24h'!F99)</f>
        <v>0</v>
      </c>
      <c r="G99" s="49">
        <f>AVERAGE('26.09 Munyonyo-Kigo-24h'!G99,'28.09 Munyonyo-Kigo-24h'!G99)</f>
        <v>0</v>
      </c>
      <c r="H99" s="49">
        <f>AVERAGE('26.09 Munyonyo-Kigo-24h'!H99,'28.09 Munyonyo-Kigo-24h'!H99)</f>
        <v>0</v>
      </c>
      <c r="I99" s="49">
        <f>AVERAGE('26.09 Munyonyo-Kigo-24h'!I99,'28.09 Munyonyo-Kigo-24h'!I99)</f>
        <v>0</v>
      </c>
      <c r="J99" s="49">
        <f>AVERAGE('26.09 Munyonyo-Kigo-24h'!J99,'28.09 Munyonyo-Kigo-24h'!J99)</f>
        <v>0</v>
      </c>
      <c r="K99" s="49">
        <f>AVERAGE('26.09 Munyonyo-Kigo-24h'!K99,'28.09 Munyonyo-Kigo-24h'!K99)</f>
        <v>0</v>
      </c>
      <c r="L99" s="49">
        <f>AVERAGE('26.09 Munyonyo-Kigo-24h'!L99,'28.09 Munyonyo-Kigo-24h'!L99)</f>
        <v>0</v>
      </c>
      <c r="M99" s="49">
        <f>AVERAGE('26.09 Munyonyo-Kigo-24h'!M99,'28.09 Munyonyo-Kigo-24h'!M99)</f>
        <v>2</v>
      </c>
      <c r="N99" s="49">
        <f>AVERAGE('26.09 Munyonyo-Kigo-24h'!N99,'28.09 Munyonyo-Kigo-24h'!N99)</f>
        <v>0</v>
      </c>
      <c r="O99" s="15">
        <f t="shared" si="35"/>
        <v>1</v>
      </c>
      <c r="P99" s="15">
        <f t="shared" si="36"/>
        <v>3</v>
      </c>
      <c r="R99" s="8"/>
      <c r="T99"/>
    </row>
    <row r="100" spans="2:20" ht="23.1" customHeight="1" x14ac:dyDescent="0.25">
      <c r="B100" s="25" t="s">
        <v>140</v>
      </c>
      <c r="C100" s="49">
        <f>AVERAGE('26.09 Munyonyo-Kigo-24h'!C100,'28.09 Munyonyo-Kigo-24h'!C100)</f>
        <v>0</v>
      </c>
      <c r="D100" s="49">
        <f>AVERAGE('26.09 Munyonyo-Kigo-24h'!D100,'28.09 Munyonyo-Kigo-24h'!D100)</f>
        <v>0</v>
      </c>
      <c r="E100" s="49">
        <f>AVERAGE('26.09 Munyonyo-Kigo-24h'!E100,'28.09 Munyonyo-Kigo-24h'!E100)</f>
        <v>0</v>
      </c>
      <c r="F100" s="49">
        <f>AVERAGE('26.09 Munyonyo-Kigo-24h'!F100,'28.09 Munyonyo-Kigo-24h'!F100)</f>
        <v>1</v>
      </c>
      <c r="G100" s="49">
        <f>AVERAGE('26.09 Munyonyo-Kigo-24h'!G100,'28.09 Munyonyo-Kigo-24h'!G100)</f>
        <v>0</v>
      </c>
      <c r="H100" s="49">
        <f>AVERAGE('26.09 Munyonyo-Kigo-24h'!H100,'28.09 Munyonyo-Kigo-24h'!H100)</f>
        <v>0</v>
      </c>
      <c r="I100" s="49">
        <f>AVERAGE('26.09 Munyonyo-Kigo-24h'!I100,'28.09 Munyonyo-Kigo-24h'!I100)</f>
        <v>0</v>
      </c>
      <c r="J100" s="49">
        <f>AVERAGE('26.09 Munyonyo-Kigo-24h'!J100,'28.09 Munyonyo-Kigo-24h'!J100)</f>
        <v>0</v>
      </c>
      <c r="K100" s="49">
        <f>AVERAGE('26.09 Munyonyo-Kigo-24h'!K100,'28.09 Munyonyo-Kigo-24h'!K100)</f>
        <v>0</v>
      </c>
      <c r="L100" s="49">
        <f>AVERAGE('26.09 Munyonyo-Kigo-24h'!L100,'28.09 Munyonyo-Kigo-24h'!L100)</f>
        <v>0</v>
      </c>
      <c r="M100" s="49">
        <f>AVERAGE('26.09 Munyonyo-Kigo-24h'!M100,'28.09 Munyonyo-Kigo-24h'!M100)</f>
        <v>3.5</v>
      </c>
      <c r="N100" s="49">
        <f>AVERAGE('26.09 Munyonyo-Kigo-24h'!N100,'28.09 Munyonyo-Kigo-24h'!N100)</f>
        <v>0</v>
      </c>
      <c r="O100" s="15">
        <f t="shared" si="35"/>
        <v>1</v>
      </c>
      <c r="P100" s="15">
        <f t="shared" si="36"/>
        <v>4.5</v>
      </c>
      <c r="R100" s="8"/>
      <c r="T100"/>
    </row>
    <row r="101" spans="2:20" ht="23.1" customHeight="1" x14ac:dyDescent="0.25">
      <c r="B101" s="23" t="s">
        <v>141</v>
      </c>
      <c r="C101" s="49">
        <f>AVERAGE('26.09 Munyonyo-Kigo-24h'!C101,'28.09 Munyonyo-Kigo-24h'!C101)</f>
        <v>2</v>
      </c>
      <c r="D101" s="49">
        <f>AVERAGE('26.09 Munyonyo-Kigo-24h'!D101,'28.09 Munyonyo-Kigo-24h'!D101)</f>
        <v>0</v>
      </c>
      <c r="E101" s="49">
        <f>AVERAGE('26.09 Munyonyo-Kigo-24h'!E101,'28.09 Munyonyo-Kigo-24h'!E101)</f>
        <v>0</v>
      </c>
      <c r="F101" s="49">
        <f>AVERAGE('26.09 Munyonyo-Kigo-24h'!F101,'28.09 Munyonyo-Kigo-24h'!F101)</f>
        <v>0.5</v>
      </c>
      <c r="G101" s="49">
        <f>AVERAGE('26.09 Munyonyo-Kigo-24h'!G101,'28.09 Munyonyo-Kigo-24h'!G101)</f>
        <v>0</v>
      </c>
      <c r="H101" s="49">
        <f>AVERAGE('26.09 Munyonyo-Kigo-24h'!H101,'28.09 Munyonyo-Kigo-24h'!H101)</f>
        <v>0</v>
      </c>
      <c r="I101" s="49">
        <f>AVERAGE('26.09 Munyonyo-Kigo-24h'!I101,'28.09 Munyonyo-Kigo-24h'!I101)</f>
        <v>0</v>
      </c>
      <c r="J101" s="49">
        <f>AVERAGE('26.09 Munyonyo-Kigo-24h'!J101,'28.09 Munyonyo-Kigo-24h'!J101)</f>
        <v>0</v>
      </c>
      <c r="K101" s="49">
        <f>AVERAGE('26.09 Munyonyo-Kigo-24h'!K101,'28.09 Munyonyo-Kigo-24h'!K101)</f>
        <v>0</v>
      </c>
      <c r="L101" s="49">
        <f>AVERAGE('26.09 Munyonyo-Kigo-24h'!L101,'28.09 Munyonyo-Kigo-24h'!L101)</f>
        <v>0</v>
      </c>
      <c r="M101" s="49">
        <f>AVERAGE('26.09 Munyonyo-Kigo-24h'!M101,'28.09 Munyonyo-Kigo-24h'!M101)</f>
        <v>2</v>
      </c>
      <c r="N101" s="49">
        <f>AVERAGE('26.09 Munyonyo-Kigo-24h'!N101,'28.09 Munyonyo-Kigo-24h'!N101)</f>
        <v>0</v>
      </c>
      <c r="O101" s="15">
        <f t="shared" si="35"/>
        <v>2.5</v>
      </c>
      <c r="P101" s="15">
        <f t="shared" si="36"/>
        <v>4.5</v>
      </c>
      <c r="R101" s="8"/>
      <c r="T101"/>
    </row>
    <row r="102" spans="2:20" ht="23.1" customHeight="1" x14ac:dyDescent="0.25">
      <c r="B102" s="24" t="s">
        <v>142</v>
      </c>
      <c r="C102" s="49">
        <f>AVERAGE('26.09 Munyonyo-Kigo-24h'!C102,'28.09 Munyonyo-Kigo-24h'!C102)</f>
        <v>1</v>
      </c>
      <c r="D102" s="49">
        <f>AVERAGE('26.09 Munyonyo-Kigo-24h'!D102,'28.09 Munyonyo-Kigo-24h'!D102)</f>
        <v>0</v>
      </c>
      <c r="E102" s="49">
        <f>AVERAGE('26.09 Munyonyo-Kigo-24h'!E102,'28.09 Munyonyo-Kigo-24h'!E102)</f>
        <v>0</v>
      </c>
      <c r="F102" s="49">
        <f>AVERAGE('26.09 Munyonyo-Kigo-24h'!F102,'28.09 Munyonyo-Kigo-24h'!F102)</f>
        <v>0.5</v>
      </c>
      <c r="G102" s="49">
        <f>AVERAGE('26.09 Munyonyo-Kigo-24h'!G102,'28.09 Munyonyo-Kigo-24h'!G102)</f>
        <v>0</v>
      </c>
      <c r="H102" s="49">
        <f>AVERAGE('26.09 Munyonyo-Kigo-24h'!H102,'28.09 Munyonyo-Kigo-24h'!H102)</f>
        <v>0</v>
      </c>
      <c r="I102" s="49">
        <f>AVERAGE('26.09 Munyonyo-Kigo-24h'!I102,'28.09 Munyonyo-Kigo-24h'!I102)</f>
        <v>0</v>
      </c>
      <c r="J102" s="49">
        <f>AVERAGE('26.09 Munyonyo-Kigo-24h'!J102,'28.09 Munyonyo-Kigo-24h'!J102)</f>
        <v>0</v>
      </c>
      <c r="K102" s="49">
        <f>AVERAGE('26.09 Munyonyo-Kigo-24h'!K102,'28.09 Munyonyo-Kigo-24h'!K102)</f>
        <v>0</v>
      </c>
      <c r="L102" s="49">
        <f>AVERAGE('26.09 Munyonyo-Kigo-24h'!L102,'28.09 Munyonyo-Kigo-24h'!L102)</f>
        <v>0</v>
      </c>
      <c r="M102" s="49">
        <f>AVERAGE('26.09 Munyonyo-Kigo-24h'!M102,'28.09 Munyonyo-Kigo-24h'!M102)</f>
        <v>5</v>
      </c>
      <c r="N102" s="49">
        <f>AVERAGE('26.09 Munyonyo-Kigo-24h'!N102,'28.09 Munyonyo-Kigo-24h'!N102)</f>
        <v>0</v>
      </c>
      <c r="O102" s="15">
        <f t="shared" si="35"/>
        <v>1.5</v>
      </c>
      <c r="P102" s="15">
        <f t="shared" si="36"/>
        <v>6.5</v>
      </c>
      <c r="R102" s="8"/>
      <c r="T102"/>
    </row>
    <row r="103" spans="2:20" ht="23.1" customHeight="1" x14ac:dyDescent="0.25">
      <c r="B103" s="23" t="s">
        <v>143</v>
      </c>
      <c r="C103" s="49">
        <f>AVERAGE('26.09 Munyonyo-Kigo-24h'!C103,'28.09 Munyonyo-Kigo-24h'!C103)</f>
        <v>0.5</v>
      </c>
      <c r="D103" s="49">
        <f>AVERAGE('26.09 Munyonyo-Kigo-24h'!D103,'28.09 Munyonyo-Kigo-24h'!D103)</f>
        <v>0</v>
      </c>
      <c r="E103" s="49">
        <f>AVERAGE('26.09 Munyonyo-Kigo-24h'!E103,'28.09 Munyonyo-Kigo-24h'!E103)</f>
        <v>0.5</v>
      </c>
      <c r="F103" s="49">
        <f>AVERAGE('26.09 Munyonyo-Kigo-24h'!F103,'28.09 Munyonyo-Kigo-24h'!F103)</f>
        <v>1.5</v>
      </c>
      <c r="G103" s="49">
        <f>AVERAGE('26.09 Munyonyo-Kigo-24h'!G103,'28.09 Munyonyo-Kigo-24h'!G103)</f>
        <v>0</v>
      </c>
      <c r="H103" s="49">
        <f>AVERAGE('26.09 Munyonyo-Kigo-24h'!H103,'28.09 Munyonyo-Kigo-24h'!H103)</f>
        <v>0</v>
      </c>
      <c r="I103" s="49">
        <f>AVERAGE('26.09 Munyonyo-Kigo-24h'!I103,'28.09 Munyonyo-Kigo-24h'!I103)</f>
        <v>0</v>
      </c>
      <c r="J103" s="49">
        <f>AVERAGE('26.09 Munyonyo-Kigo-24h'!J103,'28.09 Munyonyo-Kigo-24h'!J103)</f>
        <v>0.5</v>
      </c>
      <c r="K103" s="49">
        <f>AVERAGE('26.09 Munyonyo-Kigo-24h'!K103,'28.09 Munyonyo-Kigo-24h'!K103)</f>
        <v>0</v>
      </c>
      <c r="L103" s="49">
        <f>AVERAGE('26.09 Munyonyo-Kigo-24h'!L103,'28.09 Munyonyo-Kigo-24h'!L103)</f>
        <v>0</v>
      </c>
      <c r="M103" s="49">
        <f>AVERAGE('26.09 Munyonyo-Kigo-24h'!M103,'28.09 Munyonyo-Kigo-24h'!M103)</f>
        <v>8</v>
      </c>
      <c r="N103" s="49">
        <f>AVERAGE('26.09 Munyonyo-Kigo-24h'!N103,'28.09 Munyonyo-Kigo-24h'!N103)</f>
        <v>0</v>
      </c>
      <c r="O103" s="15">
        <f t="shared" si="35"/>
        <v>3</v>
      </c>
      <c r="P103" s="15">
        <f t="shared" si="36"/>
        <v>11</v>
      </c>
      <c r="R103" s="8"/>
      <c r="T103"/>
    </row>
    <row r="104" spans="2:20" ht="23.1" customHeight="1" x14ac:dyDescent="0.25">
      <c r="B104" s="25" t="s">
        <v>144</v>
      </c>
      <c r="C104" s="49">
        <f>AVERAGE('26.09 Munyonyo-Kigo-24h'!C104,'28.09 Munyonyo-Kigo-24h'!C104)</f>
        <v>3.5</v>
      </c>
      <c r="D104" s="49">
        <f>AVERAGE('26.09 Munyonyo-Kigo-24h'!D104,'28.09 Munyonyo-Kigo-24h'!D104)</f>
        <v>0</v>
      </c>
      <c r="E104" s="49">
        <f>AVERAGE('26.09 Munyonyo-Kigo-24h'!E104,'28.09 Munyonyo-Kigo-24h'!E104)</f>
        <v>0</v>
      </c>
      <c r="F104" s="49">
        <f>AVERAGE('26.09 Munyonyo-Kigo-24h'!F104,'28.09 Munyonyo-Kigo-24h'!F104)</f>
        <v>0</v>
      </c>
      <c r="G104" s="49">
        <f>AVERAGE('26.09 Munyonyo-Kigo-24h'!G104,'28.09 Munyonyo-Kigo-24h'!G104)</f>
        <v>0</v>
      </c>
      <c r="H104" s="49">
        <f>AVERAGE('26.09 Munyonyo-Kigo-24h'!H104,'28.09 Munyonyo-Kigo-24h'!H104)</f>
        <v>0</v>
      </c>
      <c r="I104" s="49">
        <f>AVERAGE('26.09 Munyonyo-Kigo-24h'!I104,'28.09 Munyonyo-Kigo-24h'!I104)</f>
        <v>0</v>
      </c>
      <c r="J104" s="49">
        <f>AVERAGE('26.09 Munyonyo-Kigo-24h'!J104,'28.09 Munyonyo-Kigo-24h'!J104)</f>
        <v>0</v>
      </c>
      <c r="K104" s="49">
        <f>AVERAGE('26.09 Munyonyo-Kigo-24h'!K104,'28.09 Munyonyo-Kigo-24h'!K104)</f>
        <v>0</v>
      </c>
      <c r="L104" s="49">
        <f>AVERAGE('26.09 Munyonyo-Kigo-24h'!L104,'28.09 Munyonyo-Kigo-24h'!L104)</f>
        <v>0</v>
      </c>
      <c r="M104" s="49">
        <f>AVERAGE('26.09 Munyonyo-Kigo-24h'!M104,'28.09 Munyonyo-Kigo-24h'!M104)</f>
        <v>21</v>
      </c>
      <c r="N104" s="49">
        <f>AVERAGE('26.09 Munyonyo-Kigo-24h'!N104,'28.09 Munyonyo-Kigo-24h'!N104)</f>
        <v>0</v>
      </c>
      <c r="O104" s="15">
        <f t="shared" si="35"/>
        <v>3.5</v>
      </c>
      <c r="P104" s="15">
        <f t="shared" si="36"/>
        <v>24.5</v>
      </c>
      <c r="R104" s="8"/>
      <c r="T104"/>
    </row>
    <row r="105" spans="2:20" ht="23.1" customHeight="1" x14ac:dyDescent="0.25">
      <c r="B105" s="23" t="s">
        <v>145</v>
      </c>
      <c r="C105" s="49">
        <f>AVERAGE('26.09 Munyonyo-Kigo-24h'!C105,'28.09 Munyonyo-Kigo-24h'!C105)</f>
        <v>1</v>
      </c>
      <c r="D105" s="49">
        <f>AVERAGE('26.09 Munyonyo-Kigo-24h'!D105,'28.09 Munyonyo-Kigo-24h'!D105)</f>
        <v>0.5</v>
      </c>
      <c r="E105" s="49">
        <f>AVERAGE('26.09 Munyonyo-Kigo-24h'!E105,'28.09 Munyonyo-Kigo-24h'!E105)</f>
        <v>0</v>
      </c>
      <c r="F105" s="49">
        <f>AVERAGE('26.09 Munyonyo-Kigo-24h'!F105,'28.09 Munyonyo-Kigo-24h'!F105)</f>
        <v>1</v>
      </c>
      <c r="G105" s="49">
        <f>AVERAGE('26.09 Munyonyo-Kigo-24h'!G105,'28.09 Munyonyo-Kigo-24h'!G105)</f>
        <v>0</v>
      </c>
      <c r="H105" s="49">
        <f>AVERAGE('26.09 Munyonyo-Kigo-24h'!H105,'28.09 Munyonyo-Kigo-24h'!H105)</f>
        <v>0</v>
      </c>
      <c r="I105" s="49">
        <f>AVERAGE('26.09 Munyonyo-Kigo-24h'!I105,'28.09 Munyonyo-Kigo-24h'!I105)</f>
        <v>0</v>
      </c>
      <c r="J105" s="49">
        <f>AVERAGE('26.09 Munyonyo-Kigo-24h'!J105,'28.09 Munyonyo-Kigo-24h'!J105)</f>
        <v>0</v>
      </c>
      <c r="K105" s="49">
        <f>AVERAGE('26.09 Munyonyo-Kigo-24h'!K105,'28.09 Munyonyo-Kigo-24h'!K105)</f>
        <v>0</v>
      </c>
      <c r="L105" s="49">
        <f>AVERAGE('26.09 Munyonyo-Kigo-24h'!L105,'28.09 Munyonyo-Kigo-24h'!L105)</f>
        <v>0</v>
      </c>
      <c r="M105" s="49">
        <f>AVERAGE('26.09 Munyonyo-Kigo-24h'!M105,'28.09 Munyonyo-Kigo-24h'!M105)</f>
        <v>18</v>
      </c>
      <c r="N105" s="49">
        <f>AVERAGE('26.09 Munyonyo-Kigo-24h'!N105,'28.09 Munyonyo-Kigo-24h'!N105)</f>
        <v>0</v>
      </c>
      <c r="O105" s="15">
        <f t="shared" si="35"/>
        <v>2.5</v>
      </c>
      <c r="P105" s="15">
        <f t="shared" si="36"/>
        <v>20.5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174.57142857142856</v>
      </c>
      <c r="D106" s="16">
        <f t="shared" ref="D106:P106" si="37">SUM(D10:D105)</f>
        <v>43.785714285714285</v>
      </c>
      <c r="E106" s="16">
        <f t="shared" si="37"/>
        <v>29.928571428571434</v>
      </c>
      <c r="F106" s="16">
        <f t="shared" si="37"/>
        <v>35.714285714285708</v>
      </c>
      <c r="G106" s="16">
        <f t="shared" si="37"/>
        <v>0</v>
      </c>
      <c r="H106" s="16">
        <f t="shared" si="37"/>
        <v>0.64285714285714279</v>
      </c>
      <c r="I106" s="16">
        <f t="shared" si="37"/>
        <v>18.428571428571431</v>
      </c>
      <c r="J106" s="16">
        <f t="shared" si="37"/>
        <v>3.7142857142857135</v>
      </c>
      <c r="K106" s="16">
        <f t="shared" si="37"/>
        <v>3.4285714285714279</v>
      </c>
      <c r="L106" s="16">
        <f t="shared" si="37"/>
        <v>0.85714285714285698</v>
      </c>
      <c r="M106" s="16">
        <f t="shared" si="37"/>
        <v>1654.0714285714289</v>
      </c>
      <c r="N106" s="16">
        <f t="shared" si="37"/>
        <v>0.14285714285714285</v>
      </c>
      <c r="O106" s="16">
        <f t="shared" si="37"/>
        <v>311.21428571428572</v>
      </c>
      <c r="P106" s="16">
        <f t="shared" si="37"/>
        <v>1965.2857142857142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8.8827505996946998E-2</v>
      </c>
      <c r="D107" s="43">
        <f t="shared" si="38"/>
        <v>2.227956676601003E-2</v>
      </c>
      <c r="E107" s="43">
        <f t="shared" si="38"/>
        <v>1.5228610889001966E-2</v>
      </c>
      <c r="F107" s="43">
        <f t="shared" si="38"/>
        <v>1.817256669331976E-2</v>
      </c>
      <c r="G107" s="43">
        <f t="shared" si="38"/>
        <v>0</v>
      </c>
      <c r="H107" s="43">
        <f t="shared" si="38"/>
        <v>3.2710620047975576E-4</v>
      </c>
      <c r="I107" s="43">
        <f t="shared" si="38"/>
        <v>9.3770444137529999E-3</v>
      </c>
      <c r="J107" s="43">
        <f t="shared" si="38"/>
        <v>1.8899469361052551E-3</v>
      </c>
      <c r="K107" s="43">
        <f t="shared" si="38"/>
        <v>1.7445664025586972E-3</v>
      </c>
      <c r="L107" s="43">
        <f t="shared" si="38"/>
        <v>4.3614160063967431E-4</v>
      </c>
      <c r="M107" s="43">
        <f t="shared" si="38"/>
        <v>0.84164425383441177</v>
      </c>
      <c r="N107" s="43">
        <f t="shared" si="38"/>
        <v>7.2690266773279056E-5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0.56093642414505385</v>
      </c>
      <c r="D108" s="44">
        <f t="shared" ref="D108:N108" si="39">D106/$O$106</f>
        <v>0.14069313747991738</v>
      </c>
      <c r="E108" s="44">
        <f t="shared" si="39"/>
        <v>9.6167087445490032E-2</v>
      </c>
      <c r="F108" s="44">
        <f t="shared" si="39"/>
        <v>0.11475786091347255</v>
      </c>
      <c r="G108" s="44">
        <f t="shared" si="39"/>
        <v>0</v>
      </c>
      <c r="H108" s="44">
        <f t="shared" si="39"/>
        <v>2.065641496442506E-3</v>
      </c>
      <c r="I108" s="44">
        <f t="shared" si="39"/>
        <v>5.9215056231351849E-2</v>
      </c>
      <c r="J108" s="44">
        <f t="shared" si="39"/>
        <v>1.1934817535001144E-2</v>
      </c>
      <c r="K108" s="44">
        <f t="shared" si="39"/>
        <v>1.1016754647693364E-2</v>
      </c>
      <c r="L108" s="44">
        <f t="shared" si="39"/>
        <v>2.7541886619233411E-3</v>
      </c>
      <c r="M108" s="44"/>
      <c r="N108" s="44">
        <f t="shared" si="39"/>
        <v>4.5903144365389025E-4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zoomScale="60" workbookViewId="0">
      <selection activeCell="AC78" sqref="AC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'29.09 Kigo-Munyonyo'!C3:G3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162</v>
      </c>
      <c r="E5" s="74"/>
      <c r="F5" s="41" t="s">
        <v>1</v>
      </c>
      <c r="G5" s="70" t="str">
        <f>'29.09 Kigo-Munyonyo'!G5:H5</f>
        <v>LWEZA KAMUCHANGA</v>
      </c>
      <c r="H5" s="71"/>
      <c r="I5" s="14"/>
      <c r="J5" s="2" t="s">
        <v>5</v>
      </c>
      <c r="K5" s="70" t="str">
        <f>'29.09 Kigo-Munyonyo'!K5:L5</f>
        <v>Racheal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'29.09 Kigo-Munyonyo'!D6:E6</f>
        <v>LWEZA</v>
      </c>
      <c r="E6" s="71"/>
      <c r="F6" s="2" t="s">
        <v>2</v>
      </c>
      <c r="G6" s="70" t="str">
        <f>'29.09 Kigo-Munyonyo'!G6:H6</f>
        <v>MUNYONYO</v>
      </c>
      <c r="H6" s="71"/>
      <c r="J6" s="2" t="s">
        <v>21</v>
      </c>
      <c r="K6" s="70" t="str">
        <f>'29.09 Kigo-Munyonyo'!K6:L6</f>
        <v>Beatrice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AVERAGE('23.09.19 -Kigo-Munyonyo'!C10,'24.09 Kigo-Munyonyo'!C10,'25.09 Kigo-Munyonyo'!C10,'27.09 LWEZA-Munyonyo'!C10,'26.09 Kigo-Munyonyo-24h'!C10,'28.09 Kigo-Munyonyo-24h'!C10,'29.09 Kigo-Munyonyo'!C10)</f>
        <v>0.2857142857142857</v>
      </c>
      <c r="D10" s="49">
        <f>AVERAGE('23.09.19 -Kigo-Munyonyo'!D10,'24.09 Kigo-Munyonyo'!D10,'25.09 Kigo-Munyonyo'!D10,'27.09 LWEZA-Munyonyo'!D10,'26.09 Kigo-Munyonyo-24h'!D10,'28.09 Kigo-Munyonyo-24h'!D10,'29.09 Kigo-Munyonyo'!D10)</f>
        <v>0.42857142857142855</v>
      </c>
      <c r="E10" s="49">
        <f>AVERAGE('23.09.19 -Kigo-Munyonyo'!E10,'24.09 Kigo-Munyonyo'!E10,'25.09 Kigo-Munyonyo'!E10,'27.09 LWEZA-Munyonyo'!E10,'26.09 Kigo-Munyonyo-24h'!E10,'28.09 Kigo-Munyonyo-24h'!E10,'29.09 Kigo-Munyonyo'!E10)</f>
        <v>0</v>
      </c>
      <c r="F10" s="49">
        <f>AVERAGE('23.09.19 -Kigo-Munyonyo'!F10,'24.09 Kigo-Munyonyo'!F10,'25.09 Kigo-Munyonyo'!F10,'27.09 LWEZA-Munyonyo'!F10,'26.09 Kigo-Munyonyo-24h'!F10,'28.09 Kigo-Munyonyo-24h'!F10,'29.09 Kigo-Munyonyo'!F10)</f>
        <v>0.14285714285714285</v>
      </c>
      <c r="G10" s="49">
        <f>AVERAGE('23.09.19 -Kigo-Munyonyo'!G10,'24.09 Kigo-Munyonyo'!G10,'25.09 Kigo-Munyonyo'!G10,'27.09 LWEZA-Munyonyo'!G10,'26.09 Kigo-Munyonyo-24h'!G10,'28.09 Kigo-Munyonyo-24h'!G10,'29.09 Kigo-Munyonyo'!G10)</f>
        <v>0</v>
      </c>
      <c r="H10" s="49">
        <f>AVERAGE('23.09.19 -Kigo-Munyonyo'!H10,'24.09 Kigo-Munyonyo'!H10,'25.09 Kigo-Munyonyo'!H10,'27.09 LWEZA-Munyonyo'!H10,'26.09 Kigo-Munyonyo-24h'!H10,'28.09 Kigo-Munyonyo-24h'!H10,'29.09 Kigo-Munyonyo'!H10)</f>
        <v>0</v>
      </c>
      <c r="I10" s="49">
        <f>AVERAGE('23.09.19 -Kigo-Munyonyo'!I10,'24.09 Kigo-Munyonyo'!I10,'25.09 Kigo-Munyonyo'!I10,'27.09 LWEZA-Munyonyo'!I10,'26.09 Kigo-Munyonyo-24h'!I10,'28.09 Kigo-Munyonyo-24h'!I10,'29.09 Kigo-Munyonyo'!I10)</f>
        <v>0</v>
      </c>
      <c r="J10" s="49">
        <f>AVERAGE('23.09.19 -Kigo-Munyonyo'!J10,'24.09 Kigo-Munyonyo'!J10,'25.09 Kigo-Munyonyo'!J10,'27.09 LWEZA-Munyonyo'!J10,'26.09 Kigo-Munyonyo-24h'!J10,'28.09 Kigo-Munyonyo-24h'!J10,'29.09 Kigo-Munyonyo'!J10)</f>
        <v>0.14285714285714285</v>
      </c>
      <c r="K10" s="49">
        <f>AVERAGE('23.09.19 -Kigo-Munyonyo'!K10,'24.09 Kigo-Munyonyo'!K10,'25.09 Kigo-Munyonyo'!K10,'27.09 LWEZA-Munyonyo'!K10,'26.09 Kigo-Munyonyo-24h'!K10,'28.09 Kigo-Munyonyo-24h'!K10,'29.09 Kigo-Munyonyo'!K10)</f>
        <v>0</v>
      </c>
      <c r="L10" s="49">
        <f>AVERAGE('23.09.19 -Kigo-Munyonyo'!L10,'24.09 Kigo-Munyonyo'!L10,'25.09 Kigo-Munyonyo'!L10,'27.09 LWEZA-Munyonyo'!L10,'26.09 Kigo-Munyonyo-24h'!L10,'28.09 Kigo-Munyonyo-24h'!L10,'29.09 Kigo-Munyonyo'!L10)</f>
        <v>0</v>
      </c>
      <c r="M10" s="49">
        <f>AVERAGE('23.09.19 -Kigo-Munyonyo'!M10,'24.09 Kigo-Munyonyo'!M10,'25.09 Kigo-Munyonyo'!M10,'27.09 LWEZA-Munyonyo'!M10,'26.09 Kigo-Munyonyo-24h'!M10,'28.09 Kigo-Munyonyo-24h'!M10,'29.09 Kigo-Munyonyo'!M10)</f>
        <v>27.714285714285715</v>
      </c>
      <c r="N10" s="49">
        <f>AVERAGE('23.09.19 -Kigo-Munyonyo'!N10,'24.09 Kigo-Munyonyo'!N10,'25.09 Kigo-Munyonyo'!N10,'27.09 LWEZA-Munyonyo'!N10,'26.09 Kigo-Munyonyo-24h'!N10,'28.09 Kigo-Munyonyo-24h'!N10,'29.09 Kigo-Munyonyo'!N10)</f>
        <v>0</v>
      </c>
      <c r="O10" s="15">
        <f t="shared" ref="O10:O73" si="0">SUM(C10:L10,N10)</f>
        <v>0.99999999999999978</v>
      </c>
      <c r="P10" s="15">
        <f t="shared" ref="P10:P73" si="1">SUM(C10:N10)</f>
        <v>28.714285714285715</v>
      </c>
      <c r="R10" s="1" t="s">
        <v>6</v>
      </c>
      <c r="S10" s="17">
        <f t="shared" ref="S10:AF10" si="2">SUM(C10:C13)</f>
        <v>0.71428571428571419</v>
      </c>
      <c r="T10" s="17">
        <f t="shared" si="2"/>
        <v>1.2857142857142856</v>
      </c>
      <c r="U10" s="17">
        <f t="shared" si="2"/>
        <v>0.14285714285714285</v>
      </c>
      <c r="V10" s="17">
        <f t="shared" si="2"/>
        <v>0.5714285714285714</v>
      </c>
      <c r="W10" s="17">
        <f t="shared" si="2"/>
        <v>0.2857142857142857</v>
      </c>
      <c r="X10" s="17">
        <f t="shared" si="2"/>
        <v>0</v>
      </c>
      <c r="Y10" s="17">
        <f t="shared" si="2"/>
        <v>0</v>
      </c>
      <c r="Z10" s="17">
        <f t="shared" si="2"/>
        <v>0.14285714285714285</v>
      </c>
      <c r="AA10" s="17">
        <f t="shared" si="2"/>
        <v>0</v>
      </c>
      <c r="AB10" s="17">
        <f t="shared" si="2"/>
        <v>0</v>
      </c>
      <c r="AC10" s="17">
        <f t="shared" si="2"/>
        <v>114.42857142857143</v>
      </c>
      <c r="AD10" s="17">
        <f t="shared" si="2"/>
        <v>0</v>
      </c>
      <c r="AE10" s="31">
        <f t="shared" si="2"/>
        <v>3.1428571428571423</v>
      </c>
      <c r="AF10" s="31">
        <f t="shared" si="2"/>
        <v>117.57142857142857</v>
      </c>
    </row>
    <row r="11" spans="2:32" s="6" customFormat="1" ht="23.1" customHeight="1" x14ac:dyDescent="0.25">
      <c r="B11" s="23" t="s">
        <v>38</v>
      </c>
      <c r="C11" s="49">
        <f>AVERAGE('23.09.19 -Kigo-Munyonyo'!C11,'24.09 Kigo-Munyonyo'!C11,'25.09 Kigo-Munyonyo'!C11,'27.09 LWEZA-Munyonyo'!C11,'26.09 Kigo-Munyonyo-24h'!C11,'28.09 Kigo-Munyonyo-24h'!C11,'29.09 Kigo-Munyonyo'!C11)</f>
        <v>0.42857142857142855</v>
      </c>
      <c r="D11" s="49">
        <f>AVERAGE('23.09.19 -Kigo-Munyonyo'!D11,'24.09 Kigo-Munyonyo'!D11,'25.09 Kigo-Munyonyo'!D11,'27.09 LWEZA-Munyonyo'!D11,'26.09 Kigo-Munyonyo-24h'!D11,'28.09 Kigo-Munyonyo-24h'!D11,'29.09 Kigo-Munyonyo'!D11)</f>
        <v>0.42857142857142855</v>
      </c>
      <c r="E11" s="49">
        <f>AVERAGE('23.09.19 -Kigo-Munyonyo'!E11,'24.09 Kigo-Munyonyo'!E11,'25.09 Kigo-Munyonyo'!E11,'27.09 LWEZA-Munyonyo'!E11,'26.09 Kigo-Munyonyo-24h'!E11,'28.09 Kigo-Munyonyo-24h'!E11,'29.09 Kigo-Munyonyo'!E11)</f>
        <v>0.14285714285714285</v>
      </c>
      <c r="F11" s="49">
        <f>AVERAGE('23.09.19 -Kigo-Munyonyo'!F11,'24.09 Kigo-Munyonyo'!F11,'25.09 Kigo-Munyonyo'!F11,'27.09 LWEZA-Munyonyo'!F11,'26.09 Kigo-Munyonyo-24h'!F11,'28.09 Kigo-Munyonyo-24h'!F11,'29.09 Kigo-Munyonyo'!F11)</f>
        <v>0</v>
      </c>
      <c r="G11" s="49">
        <f>AVERAGE('23.09.19 -Kigo-Munyonyo'!G11,'24.09 Kigo-Munyonyo'!G11,'25.09 Kigo-Munyonyo'!G11,'27.09 LWEZA-Munyonyo'!G11,'26.09 Kigo-Munyonyo-24h'!G11,'28.09 Kigo-Munyonyo-24h'!G11,'29.09 Kigo-Munyonyo'!G11)</f>
        <v>0</v>
      </c>
      <c r="H11" s="49">
        <f>AVERAGE('23.09.19 -Kigo-Munyonyo'!H11,'24.09 Kigo-Munyonyo'!H11,'25.09 Kigo-Munyonyo'!H11,'27.09 LWEZA-Munyonyo'!H11,'26.09 Kigo-Munyonyo-24h'!H11,'28.09 Kigo-Munyonyo-24h'!H11,'29.09 Kigo-Munyonyo'!H11)</f>
        <v>0</v>
      </c>
      <c r="I11" s="49">
        <f>AVERAGE('23.09.19 -Kigo-Munyonyo'!I11,'24.09 Kigo-Munyonyo'!I11,'25.09 Kigo-Munyonyo'!I11,'27.09 LWEZA-Munyonyo'!I11,'26.09 Kigo-Munyonyo-24h'!I11,'28.09 Kigo-Munyonyo-24h'!I11,'29.09 Kigo-Munyonyo'!I11)</f>
        <v>0</v>
      </c>
      <c r="J11" s="49">
        <f>AVERAGE('23.09.19 -Kigo-Munyonyo'!J11,'24.09 Kigo-Munyonyo'!J11,'25.09 Kigo-Munyonyo'!J11,'27.09 LWEZA-Munyonyo'!J11,'26.09 Kigo-Munyonyo-24h'!J11,'28.09 Kigo-Munyonyo-24h'!J11,'29.09 Kigo-Munyonyo'!J11)</f>
        <v>0</v>
      </c>
      <c r="K11" s="49">
        <f>AVERAGE('23.09.19 -Kigo-Munyonyo'!K11,'24.09 Kigo-Munyonyo'!K11,'25.09 Kigo-Munyonyo'!K11,'27.09 LWEZA-Munyonyo'!K11,'26.09 Kigo-Munyonyo-24h'!K11,'28.09 Kigo-Munyonyo-24h'!K11,'29.09 Kigo-Munyonyo'!K11)</f>
        <v>0</v>
      </c>
      <c r="L11" s="49">
        <f>AVERAGE('23.09.19 -Kigo-Munyonyo'!L11,'24.09 Kigo-Munyonyo'!L11,'25.09 Kigo-Munyonyo'!L11,'27.09 LWEZA-Munyonyo'!L11,'26.09 Kigo-Munyonyo-24h'!L11,'28.09 Kigo-Munyonyo-24h'!L11,'29.09 Kigo-Munyonyo'!L11)</f>
        <v>0</v>
      </c>
      <c r="M11" s="49">
        <f>AVERAGE('23.09.19 -Kigo-Munyonyo'!M11,'24.09 Kigo-Munyonyo'!M11,'25.09 Kigo-Munyonyo'!M11,'27.09 LWEZA-Munyonyo'!M11,'26.09 Kigo-Munyonyo-24h'!M11,'28.09 Kigo-Munyonyo-24h'!M11,'29.09 Kigo-Munyonyo'!M11)</f>
        <v>32</v>
      </c>
      <c r="N11" s="49">
        <f>AVERAGE('23.09.19 -Kigo-Munyonyo'!N11,'24.09 Kigo-Munyonyo'!N11,'25.09 Kigo-Munyonyo'!N11,'27.09 LWEZA-Munyonyo'!N11,'26.09 Kigo-Munyonyo-24h'!N11,'28.09 Kigo-Munyonyo-24h'!N11,'29.09 Kigo-Munyonyo'!N11)</f>
        <v>0</v>
      </c>
      <c r="O11" s="15">
        <f t="shared" si="0"/>
        <v>1</v>
      </c>
      <c r="P11" s="15">
        <f t="shared" si="1"/>
        <v>33</v>
      </c>
      <c r="R11" s="1" t="s">
        <v>7</v>
      </c>
      <c r="S11" s="17">
        <f t="shared" ref="S11:AF11" si="3">SUM(C14:C17)</f>
        <v>0.8571428571428571</v>
      </c>
      <c r="T11" s="17">
        <f t="shared" si="3"/>
        <v>0.5714285714285714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0.14285714285714285</v>
      </c>
      <c r="AB11" s="17">
        <f t="shared" si="3"/>
        <v>0</v>
      </c>
      <c r="AC11" s="17">
        <f t="shared" si="3"/>
        <v>85.714285714285722</v>
      </c>
      <c r="AD11" s="17">
        <f t="shared" si="3"/>
        <v>0</v>
      </c>
      <c r="AE11" s="31">
        <f t="shared" si="3"/>
        <v>2.5714285714285712</v>
      </c>
      <c r="AF11" s="31">
        <f t="shared" si="3"/>
        <v>88.285714285714292</v>
      </c>
    </row>
    <row r="12" spans="2:32" ht="23.1" customHeight="1" x14ac:dyDescent="0.25">
      <c r="B12" s="23" t="s">
        <v>39</v>
      </c>
      <c r="C12" s="49">
        <f>AVERAGE('23.09.19 -Kigo-Munyonyo'!C12,'24.09 Kigo-Munyonyo'!C12,'25.09 Kigo-Munyonyo'!C12,'27.09 LWEZA-Munyonyo'!C12,'26.09 Kigo-Munyonyo-24h'!C12,'28.09 Kigo-Munyonyo-24h'!C12,'29.09 Kigo-Munyonyo'!C12)</f>
        <v>0</v>
      </c>
      <c r="D12" s="49">
        <f>AVERAGE('23.09.19 -Kigo-Munyonyo'!D12,'24.09 Kigo-Munyonyo'!D12,'25.09 Kigo-Munyonyo'!D12,'27.09 LWEZA-Munyonyo'!D12,'26.09 Kigo-Munyonyo-24h'!D12,'28.09 Kigo-Munyonyo-24h'!D12,'29.09 Kigo-Munyonyo'!D12)</f>
        <v>0.2857142857142857</v>
      </c>
      <c r="E12" s="49">
        <f>AVERAGE('23.09.19 -Kigo-Munyonyo'!E12,'24.09 Kigo-Munyonyo'!E12,'25.09 Kigo-Munyonyo'!E12,'27.09 LWEZA-Munyonyo'!E12,'26.09 Kigo-Munyonyo-24h'!E12,'28.09 Kigo-Munyonyo-24h'!E12,'29.09 Kigo-Munyonyo'!E12)</f>
        <v>0</v>
      </c>
      <c r="F12" s="49">
        <f>AVERAGE('23.09.19 -Kigo-Munyonyo'!F12,'24.09 Kigo-Munyonyo'!F12,'25.09 Kigo-Munyonyo'!F12,'27.09 LWEZA-Munyonyo'!F12,'26.09 Kigo-Munyonyo-24h'!F12,'28.09 Kigo-Munyonyo-24h'!F12,'29.09 Kigo-Munyonyo'!F12)</f>
        <v>0.14285714285714285</v>
      </c>
      <c r="G12" s="49">
        <f>AVERAGE('23.09.19 -Kigo-Munyonyo'!G12,'24.09 Kigo-Munyonyo'!G12,'25.09 Kigo-Munyonyo'!G12,'27.09 LWEZA-Munyonyo'!G12,'26.09 Kigo-Munyonyo-24h'!G12,'28.09 Kigo-Munyonyo-24h'!G12,'29.09 Kigo-Munyonyo'!G12)</f>
        <v>0.2857142857142857</v>
      </c>
      <c r="H12" s="49">
        <f>AVERAGE('23.09.19 -Kigo-Munyonyo'!H12,'24.09 Kigo-Munyonyo'!H12,'25.09 Kigo-Munyonyo'!H12,'27.09 LWEZA-Munyonyo'!H12,'26.09 Kigo-Munyonyo-24h'!H12,'28.09 Kigo-Munyonyo-24h'!H12,'29.09 Kigo-Munyonyo'!H12)</f>
        <v>0</v>
      </c>
      <c r="I12" s="49">
        <f>AVERAGE('23.09.19 -Kigo-Munyonyo'!I12,'24.09 Kigo-Munyonyo'!I12,'25.09 Kigo-Munyonyo'!I12,'27.09 LWEZA-Munyonyo'!I12,'26.09 Kigo-Munyonyo-24h'!I12,'28.09 Kigo-Munyonyo-24h'!I12,'29.09 Kigo-Munyonyo'!I12)</f>
        <v>0</v>
      </c>
      <c r="J12" s="49">
        <f>AVERAGE('23.09.19 -Kigo-Munyonyo'!J12,'24.09 Kigo-Munyonyo'!J12,'25.09 Kigo-Munyonyo'!J12,'27.09 LWEZA-Munyonyo'!J12,'26.09 Kigo-Munyonyo-24h'!J12,'28.09 Kigo-Munyonyo-24h'!J12,'29.09 Kigo-Munyonyo'!J12)</f>
        <v>0</v>
      </c>
      <c r="K12" s="49">
        <f>AVERAGE('23.09.19 -Kigo-Munyonyo'!K12,'24.09 Kigo-Munyonyo'!K12,'25.09 Kigo-Munyonyo'!K12,'27.09 LWEZA-Munyonyo'!K12,'26.09 Kigo-Munyonyo-24h'!K12,'28.09 Kigo-Munyonyo-24h'!K12,'29.09 Kigo-Munyonyo'!K12)</f>
        <v>0</v>
      </c>
      <c r="L12" s="49">
        <f>AVERAGE('23.09.19 -Kigo-Munyonyo'!L12,'24.09 Kigo-Munyonyo'!L12,'25.09 Kigo-Munyonyo'!L12,'27.09 LWEZA-Munyonyo'!L12,'26.09 Kigo-Munyonyo-24h'!L12,'28.09 Kigo-Munyonyo-24h'!L12,'29.09 Kigo-Munyonyo'!L12)</f>
        <v>0</v>
      </c>
      <c r="M12" s="49">
        <f>AVERAGE('23.09.19 -Kigo-Munyonyo'!M12,'24.09 Kigo-Munyonyo'!M12,'25.09 Kigo-Munyonyo'!M12,'27.09 LWEZA-Munyonyo'!M12,'26.09 Kigo-Munyonyo-24h'!M12,'28.09 Kigo-Munyonyo-24h'!M12,'29.09 Kigo-Munyonyo'!M12)</f>
        <v>27.714285714285715</v>
      </c>
      <c r="N12" s="49">
        <f>AVERAGE('23.09.19 -Kigo-Munyonyo'!N12,'24.09 Kigo-Munyonyo'!N12,'25.09 Kigo-Munyonyo'!N12,'27.09 LWEZA-Munyonyo'!N12,'26.09 Kigo-Munyonyo-24h'!N12,'28.09 Kigo-Munyonyo-24h'!N12,'29.09 Kigo-Munyonyo'!N12)</f>
        <v>0</v>
      </c>
      <c r="O12" s="15">
        <f t="shared" si="0"/>
        <v>0.71428571428571419</v>
      </c>
      <c r="P12" s="15">
        <f t="shared" si="1"/>
        <v>28.428571428571431</v>
      </c>
      <c r="R12" s="1" t="s">
        <v>8</v>
      </c>
      <c r="S12" s="17">
        <f t="shared" ref="S12:AF12" si="4">SUM(C18:C21)</f>
        <v>1.7142857142857142</v>
      </c>
      <c r="T12" s="17">
        <f t="shared" si="4"/>
        <v>1.7142857142857144</v>
      </c>
      <c r="U12" s="17">
        <f t="shared" si="4"/>
        <v>0.5714285714285714</v>
      </c>
      <c r="V12" s="17">
        <f t="shared" si="4"/>
        <v>0</v>
      </c>
      <c r="W12" s="17">
        <f t="shared" si="4"/>
        <v>0</v>
      </c>
      <c r="X12" s="17">
        <f t="shared" si="4"/>
        <v>0.14285714285714285</v>
      </c>
      <c r="Y12" s="17">
        <f t="shared" si="4"/>
        <v>0.2857142857142857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73.714285714285708</v>
      </c>
      <c r="AD12" s="17">
        <f t="shared" si="4"/>
        <v>0</v>
      </c>
      <c r="AE12" s="31">
        <f t="shared" si="4"/>
        <v>4.4285714285714288</v>
      </c>
      <c r="AF12" s="31">
        <f t="shared" si="4"/>
        <v>78.142857142857139</v>
      </c>
    </row>
    <row r="13" spans="2:32" ht="23.1" customHeight="1" x14ac:dyDescent="0.25">
      <c r="B13" s="23" t="s">
        <v>40</v>
      </c>
      <c r="C13" s="49">
        <f>AVERAGE('23.09.19 -Kigo-Munyonyo'!C13,'24.09 Kigo-Munyonyo'!C13,'25.09 Kigo-Munyonyo'!C13,'27.09 LWEZA-Munyonyo'!C13,'26.09 Kigo-Munyonyo-24h'!C13,'28.09 Kigo-Munyonyo-24h'!C13,'29.09 Kigo-Munyonyo'!C13)</f>
        <v>0</v>
      </c>
      <c r="D13" s="49">
        <f>AVERAGE('23.09.19 -Kigo-Munyonyo'!D13,'24.09 Kigo-Munyonyo'!D13,'25.09 Kigo-Munyonyo'!D13,'27.09 LWEZA-Munyonyo'!D13,'26.09 Kigo-Munyonyo-24h'!D13,'28.09 Kigo-Munyonyo-24h'!D13,'29.09 Kigo-Munyonyo'!D13)</f>
        <v>0.14285714285714285</v>
      </c>
      <c r="E13" s="49">
        <f>AVERAGE('23.09.19 -Kigo-Munyonyo'!E13,'24.09 Kigo-Munyonyo'!E13,'25.09 Kigo-Munyonyo'!E13,'27.09 LWEZA-Munyonyo'!E13,'26.09 Kigo-Munyonyo-24h'!E13,'28.09 Kigo-Munyonyo-24h'!E13,'29.09 Kigo-Munyonyo'!E13)</f>
        <v>0</v>
      </c>
      <c r="F13" s="49">
        <f>AVERAGE('23.09.19 -Kigo-Munyonyo'!F13,'24.09 Kigo-Munyonyo'!F13,'25.09 Kigo-Munyonyo'!F13,'27.09 LWEZA-Munyonyo'!F13,'26.09 Kigo-Munyonyo-24h'!F13,'28.09 Kigo-Munyonyo-24h'!F13,'29.09 Kigo-Munyonyo'!F13)</f>
        <v>0.2857142857142857</v>
      </c>
      <c r="G13" s="49">
        <f>AVERAGE('23.09.19 -Kigo-Munyonyo'!G13,'24.09 Kigo-Munyonyo'!G13,'25.09 Kigo-Munyonyo'!G13,'27.09 LWEZA-Munyonyo'!G13,'26.09 Kigo-Munyonyo-24h'!G13,'28.09 Kigo-Munyonyo-24h'!G13,'29.09 Kigo-Munyonyo'!G13)</f>
        <v>0</v>
      </c>
      <c r="H13" s="49">
        <f>AVERAGE('23.09.19 -Kigo-Munyonyo'!H13,'24.09 Kigo-Munyonyo'!H13,'25.09 Kigo-Munyonyo'!H13,'27.09 LWEZA-Munyonyo'!H13,'26.09 Kigo-Munyonyo-24h'!H13,'28.09 Kigo-Munyonyo-24h'!H13,'29.09 Kigo-Munyonyo'!H13)</f>
        <v>0</v>
      </c>
      <c r="I13" s="49">
        <f>AVERAGE('23.09.19 -Kigo-Munyonyo'!I13,'24.09 Kigo-Munyonyo'!I13,'25.09 Kigo-Munyonyo'!I13,'27.09 LWEZA-Munyonyo'!I13,'26.09 Kigo-Munyonyo-24h'!I13,'28.09 Kigo-Munyonyo-24h'!I13,'29.09 Kigo-Munyonyo'!I13)</f>
        <v>0</v>
      </c>
      <c r="J13" s="49">
        <f>AVERAGE('23.09.19 -Kigo-Munyonyo'!J13,'24.09 Kigo-Munyonyo'!J13,'25.09 Kigo-Munyonyo'!J13,'27.09 LWEZA-Munyonyo'!J13,'26.09 Kigo-Munyonyo-24h'!J13,'28.09 Kigo-Munyonyo-24h'!J13,'29.09 Kigo-Munyonyo'!J13)</f>
        <v>0</v>
      </c>
      <c r="K13" s="49">
        <f>AVERAGE('23.09.19 -Kigo-Munyonyo'!K13,'24.09 Kigo-Munyonyo'!K13,'25.09 Kigo-Munyonyo'!K13,'27.09 LWEZA-Munyonyo'!K13,'26.09 Kigo-Munyonyo-24h'!K13,'28.09 Kigo-Munyonyo-24h'!K13,'29.09 Kigo-Munyonyo'!K13)</f>
        <v>0</v>
      </c>
      <c r="L13" s="49">
        <f>AVERAGE('23.09.19 -Kigo-Munyonyo'!L13,'24.09 Kigo-Munyonyo'!L13,'25.09 Kigo-Munyonyo'!L13,'27.09 LWEZA-Munyonyo'!L13,'26.09 Kigo-Munyonyo-24h'!L13,'28.09 Kigo-Munyonyo-24h'!L13,'29.09 Kigo-Munyonyo'!L13)</f>
        <v>0</v>
      </c>
      <c r="M13" s="49">
        <f>AVERAGE('23.09.19 -Kigo-Munyonyo'!M13,'24.09 Kigo-Munyonyo'!M13,'25.09 Kigo-Munyonyo'!M13,'27.09 LWEZA-Munyonyo'!M13,'26.09 Kigo-Munyonyo-24h'!M13,'28.09 Kigo-Munyonyo-24h'!M13,'29.09 Kigo-Munyonyo'!M13)</f>
        <v>27</v>
      </c>
      <c r="N13" s="49">
        <f>AVERAGE('23.09.19 -Kigo-Munyonyo'!N13,'24.09 Kigo-Munyonyo'!N13,'25.09 Kigo-Munyonyo'!N13,'27.09 LWEZA-Munyonyo'!N13,'26.09 Kigo-Munyonyo-24h'!N13,'28.09 Kigo-Munyonyo-24h'!N13,'29.09 Kigo-Munyonyo'!N13)</f>
        <v>0</v>
      </c>
      <c r="O13" s="15">
        <f t="shared" si="0"/>
        <v>0.42857142857142855</v>
      </c>
      <c r="P13" s="15">
        <f t="shared" si="1"/>
        <v>27.428571428571427</v>
      </c>
      <c r="R13" s="1" t="s">
        <v>9</v>
      </c>
      <c r="S13" s="17">
        <f t="shared" ref="S13:AF13" si="5">SUM(C22:C25)</f>
        <v>0.85714285714285698</v>
      </c>
      <c r="T13" s="17">
        <f t="shared" si="5"/>
        <v>0.5714285714285714</v>
      </c>
      <c r="U13" s="17">
        <f t="shared" si="5"/>
        <v>0.42857142857142855</v>
      </c>
      <c r="V13" s="17">
        <f t="shared" si="5"/>
        <v>0.14285714285714285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0.2857142857142857</v>
      </c>
      <c r="AB13" s="17">
        <f t="shared" si="5"/>
        <v>0</v>
      </c>
      <c r="AC13" s="17">
        <f t="shared" si="5"/>
        <v>72.142857142857139</v>
      </c>
      <c r="AD13" s="17">
        <f t="shared" si="5"/>
        <v>0</v>
      </c>
      <c r="AE13" s="31">
        <f t="shared" si="5"/>
        <v>2.2857142857142851</v>
      </c>
      <c r="AF13" s="31">
        <f t="shared" si="5"/>
        <v>74.428571428571431</v>
      </c>
    </row>
    <row r="14" spans="2:32" ht="23.1" customHeight="1" x14ac:dyDescent="0.25">
      <c r="B14" s="23" t="s">
        <v>41</v>
      </c>
      <c r="C14" s="49">
        <f>AVERAGE('23.09.19 -Kigo-Munyonyo'!C14,'24.09 Kigo-Munyonyo'!C14,'25.09 Kigo-Munyonyo'!C14,'27.09 LWEZA-Munyonyo'!C14,'26.09 Kigo-Munyonyo-24h'!C14,'28.09 Kigo-Munyonyo-24h'!C14,'29.09 Kigo-Munyonyo'!C14)</f>
        <v>0.14285714285714285</v>
      </c>
      <c r="D14" s="49">
        <f>AVERAGE('23.09.19 -Kigo-Munyonyo'!D14,'24.09 Kigo-Munyonyo'!D14,'25.09 Kigo-Munyonyo'!D14,'27.09 LWEZA-Munyonyo'!D14,'26.09 Kigo-Munyonyo-24h'!D14,'28.09 Kigo-Munyonyo-24h'!D14,'29.09 Kigo-Munyonyo'!D14)</f>
        <v>0.2857142857142857</v>
      </c>
      <c r="E14" s="49">
        <f>AVERAGE('23.09.19 -Kigo-Munyonyo'!E14,'24.09 Kigo-Munyonyo'!E14,'25.09 Kigo-Munyonyo'!E14,'27.09 LWEZA-Munyonyo'!E14,'26.09 Kigo-Munyonyo-24h'!E14,'28.09 Kigo-Munyonyo-24h'!E14,'29.09 Kigo-Munyonyo'!E14)</f>
        <v>0</v>
      </c>
      <c r="F14" s="49">
        <f>AVERAGE('23.09.19 -Kigo-Munyonyo'!F14,'24.09 Kigo-Munyonyo'!F14,'25.09 Kigo-Munyonyo'!F14,'27.09 LWEZA-Munyonyo'!F14,'26.09 Kigo-Munyonyo-24h'!F14,'28.09 Kigo-Munyonyo-24h'!F14,'29.09 Kigo-Munyonyo'!F14)</f>
        <v>0</v>
      </c>
      <c r="G14" s="49">
        <f>AVERAGE('23.09.19 -Kigo-Munyonyo'!G14,'24.09 Kigo-Munyonyo'!G14,'25.09 Kigo-Munyonyo'!G14,'27.09 LWEZA-Munyonyo'!G14,'26.09 Kigo-Munyonyo-24h'!G14,'28.09 Kigo-Munyonyo-24h'!G14,'29.09 Kigo-Munyonyo'!G14)</f>
        <v>0</v>
      </c>
      <c r="H14" s="49">
        <f>AVERAGE('23.09.19 -Kigo-Munyonyo'!H14,'24.09 Kigo-Munyonyo'!H14,'25.09 Kigo-Munyonyo'!H14,'27.09 LWEZA-Munyonyo'!H14,'26.09 Kigo-Munyonyo-24h'!H14,'28.09 Kigo-Munyonyo-24h'!H14,'29.09 Kigo-Munyonyo'!H14)</f>
        <v>0</v>
      </c>
      <c r="I14" s="49">
        <f>AVERAGE('23.09.19 -Kigo-Munyonyo'!I14,'24.09 Kigo-Munyonyo'!I14,'25.09 Kigo-Munyonyo'!I14,'27.09 LWEZA-Munyonyo'!I14,'26.09 Kigo-Munyonyo-24h'!I14,'28.09 Kigo-Munyonyo-24h'!I14,'29.09 Kigo-Munyonyo'!I14)</f>
        <v>0</v>
      </c>
      <c r="J14" s="49">
        <f>AVERAGE('23.09.19 -Kigo-Munyonyo'!J14,'24.09 Kigo-Munyonyo'!J14,'25.09 Kigo-Munyonyo'!J14,'27.09 LWEZA-Munyonyo'!J14,'26.09 Kigo-Munyonyo-24h'!J14,'28.09 Kigo-Munyonyo-24h'!J14,'29.09 Kigo-Munyonyo'!J14)</f>
        <v>0</v>
      </c>
      <c r="K14" s="49">
        <f>AVERAGE('23.09.19 -Kigo-Munyonyo'!K14,'24.09 Kigo-Munyonyo'!K14,'25.09 Kigo-Munyonyo'!K14,'27.09 LWEZA-Munyonyo'!K14,'26.09 Kigo-Munyonyo-24h'!K14,'28.09 Kigo-Munyonyo-24h'!K14,'29.09 Kigo-Munyonyo'!K14)</f>
        <v>0.14285714285714285</v>
      </c>
      <c r="L14" s="49">
        <f>AVERAGE('23.09.19 -Kigo-Munyonyo'!L14,'24.09 Kigo-Munyonyo'!L14,'25.09 Kigo-Munyonyo'!L14,'27.09 LWEZA-Munyonyo'!L14,'26.09 Kigo-Munyonyo-24h'!L14,'28.09 Kigo-Munyonyo-24h'!L14,'29.09 Kigo-Munyonyo'!L14)</f>
        <v>0</v>
      </c>
      <c r="M14" s="49">
        <f>AVERAGE('23.09.19 -Kigo-Munyonyo'!M14,'24.09 Kigo-Munyonyo'!M14,'25.09 Kigo-Munyonyo'!M14,'27.09 LWEZA-Munyonyo'!M14,'26.09 Kigo-Munyonyo-24h'!M14,'28.09 Kigo-Munyonyo-24h'!M14,'29.09 Kigo-Munyonyo'!M14)</f>
        <v>24.285714285714285</v>
      </c>
      <c r="N14" s="49">
        <f>AVERAGE('23.09.19 -Kigo-Munyonyo'!N14,'24.09 Kigo-Munyonyo'!N14,'25.09 Kigo-Munyonyo'!N14,'27.09 LWEZA-Munyonyo'!N14,'26.09 Kigo-Munyonyo-24h'!N14,'28.09 Kigo-Munyonyo-24h'!N14,'29.09 Kigo-Munyonyo'!N14)</f>
        <v>0</v>
      </c>
      <c r="O14" s="15">
        <f t="shared" si="0"/>
        <v>0.5714285714285714</v>
      </c>
      <c r="P14" s="15">
        <f t="shared" si="1"/>
        <v>24.857142857142858</v>
      </c>
      <c r="R14" s="1" t="s">
        <v>10</v>
      </c>
      <c r="S14" s="17">
        <f t="shared" ref="S14:AF14" si="6">SUM(C26:C29)</f>
        <v>0.42857142857142855</v>
      </c>
      <c r="T14" s="17">
        <f t="shared" si="6"/>
        <v>1.2857142857142856</v>
      </c>
      <c r="U14" s="17">
        <f t="shared" si="6"/>
        <v>0.2857142857142857</v>
      </c>
      <c r="V14" s="17">
        <f t="shared" si="6"/>
        <v>0.5714285714285714</v>
      </c>
      <c r="W14" s="17">
        <f t="shared" si="6"/>
        <v>0</v>
      </c>
      <c r="X14" s="17">
        <f t="shared" si="6"/>
        <v>0</v>
      </c>
      <c r="Y14" s="17">
        <f t="shared" si="6"/>
        <v>0.42857142857142855</v>
      </c>
      <c r="Z14" s="17">
        <f t="shared" si="6"/>
        <v>0</v>
      </c>
      <c r="AA14" s="17">
        <f t="shared" si="6"/>
        <v>0.14285714285714285</v>
      </c>
      <c r="AB14" s="17">
        <f t="shared" si="6"/>
        <v>0</v>
      </c>
      <c r="AC14" s="17">
        <f t="shared" si="6"/>
        <v>78.285714285714278</v>
      </c>
      <c r="AD14" s="17">
        <f t="shared" si="6"/>
        <v>0</v>
      </c>
      <c r="AE14" s="31">
        <f t="shared" si="6"/>
        <v>3.1428571428571423</v>
      </c>
      <c r="AF14" s="31">
        <f t="shared" si="6"/>
        <v>81.428571428571431</v>
      </c>
    </row>
    <row r="15" spans="2:32" ht="23.1" customHeight="1" x14ac:dyDescent="0.25">
      <c r="B15" s="23" t="s">
        <v>42</v>
      </c>
      <c r="C15" s="49">
        <f>AVERAGE('23.09.19 -Kigo-Munyonyo'!C15,'24.09 Kigo-Munyonyo'!C15,'25.09 Kigo-Munyonyo'!C15,'27.09 LWEZA-Munyonyo'!C15,'26.09 Kigo-Munyonyo-24h'!C15,'28.09 Kigo-Munyonyo-24h'!C15,'29.09 Kigo-Munyonyo'!C15)</f>
        <v>0</v>
      </c>
      <c r="D15" s="49">
        <f>AVERAGE('23.09.19 -Kigo-Munyonyo'!D15,'24.09 Kigo-Munyonyo'!D15,'25.09 Kigo-Munyonyo'!D15,'27.09 LWEZA-Munyonyo'!D15,'26.09 Kigo-Munyonyo-24h'!D15,'28.09 Kigo-Munyonyo-24h'!D15,'29.09 Kigo-Munyonyo'!D15)</f>
        <v>0</v>
      </c>
      <c r="E15" s="49">
        <f>AVERAGE('23.09.19 -Kigo-Munyonyo'!E15,'24.09 Kigo-Munyonyo'!E15,'25.09 Kigo-Munyonyo'!E15,'27.09 LWEZA-Munyonyo'!E15,'26.09 Kigo-Munyonyo-24h'!E15,'28.09 Kigo-Munyonyo-24h'!E15,'29.09 Kigo-Munyonyo'!E15)</f>
        <v>0</v>
      </c>
      <c r="F15" s="49">
        <f>AVERAGE('23.09.19 -Kigo-Munyonyo'!F15,'24.09 Kigo-Munyonyo'!F15,'25.09 Kigo-Munyonyo'!F15,'27.09 LWEZA-Munyonyo'!F15,'26.09 Kigo-Munyonyo-24h'!F15,'28.09 Kigo-Munyonyo-24h'!F15,'29.09 Kigo-Munyonyo'!F15)</f>
        <v>0</v>
      </c>
      <c r="G15" s="49">
        <f>AVERAGE('23.09.19 -Kigo-Munyonyo'!G15,'24.09 Kigo-Munyonyo'!G15,'25.09 Kigo-Munyonyo'!G15,'27.09 LWEZA-Munyonyo'!G15,'26.09 Kigo-Munyonyo-24h'!G15,'28.09 Kigo-Munyonyo-24h'!G15,'29.09 Kigo-Munyonyo'!G15)</f>
        <v>0</v>
      </c>
      <c r="H15" s="49">
        <f>AVERAGE('23.09.19 -Kigo-Munyonyo'!H15,'24.09 Kigo-Munyonyo'!H15,'25.09 Kigo-Munyonyo'!H15,'27.09 LWEZA-Munyonyo'!H15,'26.09 Kigo-Munyonyo-24h'!H15,'28.09 Kigo-Munyonyo-24h'!H15,'29.09 Kigo-Munyonyo'!H15)</f>
        <v>0</v>
      </c>
      <c r="I15" s="49">
        <f>AVERAGE('23.09.19 -Kigo-Munyonyo'!I15,'24.09 Kigo-Munyonyo'!I15,'25.09 Kigo-Munyonyo'!I15,'27.09 LWEZA-Munyonyo'!I15,'26.09 Kigo-Munyonyo-24h'!I15,'28.09 Kigo-Munyonyo-24h'!I15,'29.09 Kigo-Munyonyo'!I15)</f>
        <v>0</v>
      </c>
      <c r="J15" s="49">
        <f>AVERAGE('23.09.19 -Kigo-Munyonyo'!J15,'24.09 Kigo-Munyonyo'!J15,'25.09 Kigo-Munyonyo'!J15,'27.09 LWEZA-Munyonyo'!J15,'26.09 Kigo-Munyonyo-24h'!J15,'28.09 Kigo-Munyonyo-24h'!J15,'29.09 Kigo-Munyonyo'!J15)</f>
        <v>0</v>
      </c>
      <c r="K15" s="49">
        <f>AVERAGE('23.09.19 -Kigo-Munyonyo'!K15,'24.09 Kigo-Munyonyo'!K15,'25.09 Kigo-Munyonyo'!K15,'27.09 LWEZA-Munyonyo'!K15,'26.09 Kigo-Munyonyo-24h'!K15,'28.09 Kigo-Munyonyo-24h'!K15,'29.09 Kigo-Munyonyo'!K15)</f>
        <v>0</v>
      </c>
      <c r="L15" s="49">
        <f>AVERAGE('23.09.19 -Kigo-Munyonyo'!L15,'24.09 Kigo-Munyonyo'!L15,'25.09 Kigo-Munyonyo'!L15,'27.09 LWEZA-Munyonyo'!L15,'26.09 Kigo-Munyonyo-24h'!L15,'28.09 Kigo-Munyonyo-24h'!L15,'29.09 Kigo-Munyonyo'!L15)</f>
        <v>0</v>
      </c>
      <c r="M15" s="49">
        <f>AVERAGE('23.09.19 -Kigo-Munyonyo'!M15,'24.09 Kigo-Munyonyo'!M15,'25.09 Kigo-Munyonyo'!M15,'27.09 LWEZA-Munyonyo'!M15,'26.09 Kigo-Munyonyo-24h'!M15,'28.09 Kigo-Munyonyo-24h'!M15,'29.09 Kigo-Munyonyo'!M15)</f>
        <v>24</v>
      </c>
      <c r="N15" s="49">
        <f>AVERAGE('23.09.19 -Kigo-Munyonyo'!N15,'24.09 Kigo-Munyonyo'!N15,'25.09 Kigo-Munyonyo'!N15,'27.09 LWEZA-Munyonyo'!N15,'26.09 Kigo-Munyonyo-24h'!N15,'28.09 Kigo-Munyonyo-24h'!N15,'29.09 Kigo-Munyonyo'!N15)</f>
        <v>0</v>
      </c>
      <c r="O15" s="15">
        <f t="shared" si="0"/>
        <v>0</v>
      </c>
      <c r="P15" s="15">
        <f t="shared" si="1"/>
        <v>24</v>
      </c>
      <c r="R15" s="1" t="s">
        <v>11</v>
      </c>
      <c r="S15" s="17">
        <f t="shared" ref="S15:AF15" si="7">SUM(C30:C33)</f>
        <v>0.99999999999999989</v>
      </c>
      <c r="T15" s="17">
        <f t="shared" si="7"/>
        <v>1.5714285714285714</v>
      </c>
      <c r="U15" s="17">
        <f t="shared" si="7"/>
        <v>0.14285714285714285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0.5714285714285714</v>
      </c>
      <c r="Z15" s="17">
        <f t="shared" si="7"/>
        <v>0</v>
      </c>
      <c r="AA15" s="17">
        <f t="shared" si="7"/>
        <v>0.14285714285714285</v>
      </c>
      <c r="AB15" s="17">
        <f t="shared" si="7"/>
        <v>0</v>
      </c>
      <c r="AC15" s="17">
        <f t="shared" si="7"/>
        <v>62.714285714285708</v>
      </c>
      <c r="AD15" s="17">
        <f t="shared" si="7"/>
        <v>0</v>
      </c>
      <c r="AE15" s="31">
        <f t="shared" si="7"/>
        <v>3.4285714285714279</v>
      </c>
      <c r="AF15" s="31">
        <f t="shared" si="7"/>
        <v>66.142857142857153</v>
      </c>
    </row>
    <row r="16" spans="2:32" ht="23.1" customHeight="1" x14ac:dyDescent="0.25">
      <c r="B16" s="23" t="s">
        <v>43</v>
      </c>
      <c r="C16" s="49">
        <f>AVERAGE('23.09.19 -Kigo-Munyonyo'!C16,'24.09 Kigo-Munyonyo'!C16,'25.09 Kigo-Munyonyo'!C16,'27.09 LWEZA-Munyonyo'!C16,'26.09 Kigo-Munyonyo-24h'!C16,'28.09 Kigo-Munyonyo-24h'!C16,'29.09 Kigo-Munyonyo'!C16)</f>
        <v>0.2857142857142857</v>
      </c>
      <c r="D16" s="49">
        <f>AVERAGE('23.09.19 -Kigo-Munyonyo'!D16,'24.09 Kigo-Munyonyo'!D16,'25.09 Kigo-Munyonyo'!D16,'27.09 LWEZA-Munyonyo'!D16,'26.09 Kigo-Munyonyo-24h'!D16,'28.09 Kigo-Munyonyo-24h'!D16,'29.09 Kigo-Munyonyo'!D16)</f>
        <v>0</v>
      </c>
      <c r="E16" s="49">
        <f>AVERAGE('23.09.19 -Kigo-Munyonyo'!E16,'24.09 Kigo-Munyonyo'!E16,'25.09 Kigo-Munyonyo'!E16,'27.09 LWEZA-Munyonyo'!E16,'26.09 Kigo-Munyonyo-24h'!E16,'28.09 Kigo-Munyonyo-24h'!E16,'29.09 Kigo-Munyonyo'!E16)</f>
        <v>0.5714285714285714</v>
      </c>
      <c r="F16" s="49">
        <f>AVERAGE('23.09.19 -Kigo-Munyonyo'!F16,'24.09 Kigo-Munyonyo'!F16,'25.09 Kigo-Munyonyo'!F16,'27.09 LWEZA-Munyonyo'!F16,'26.09 Kigo-Munyonyo-24h'!F16,'28.09 Kigo-Munyonyo-24h'!F16,'29.09 Kigo-Munyonyo'!F16)</f>
        <v>0</v>
      </c>
      <c r="G16" s="49">
        <f>AVERAGE('23.09.19 -Kigo-Munyonyo'!G16,'24.09 Kigo-Munyonyo'!G16,'25.09 Kigo-Munyonyo'!G16,'27.09 LWEZA-Munyonyo'!G16,'26.09 Kigo-Munyonyo-24h'!G16,'28.09 Kigo-Munyonyo-24h'!G16,'29.09 Kigo-Munyonyo'!G16)</f>
        <v>0</v>
      </c>
      <c r="H16" s="49">
        <f>AVERAGE('23.09.19 -Kigo-Munyonyo'!H16,'24.09 Kigo-Munyonyo'!H16,'25.09 Kigo-Munyonyo'!H16,'27.09 LWEZA-Munyonyo'!H16,'26.09 Kigo-Munyonyo-24h'!H16,'28.09 Kigo-Munyonyo-24h'!H16,'29.09 Kigo-Munyonyo'!H16)</f>
        <v>0</v>
      </c>
      <c r="I16" s="49">
        <f>AVERAGE('23.09.19 -Kigo-Munyonyo'!I16,'24.09 Kigo-Munyonyo'!I16,'25.09 Kigo-Munyonyo'!I16,'27.09 LWEZA-Munyonyo'!I16,'26.09 Kigo-Munyonyo-24h'!I16,'28.09 Kigo-Munyonyo-24h'!I16,'29.09 Kigo-Munyonyo'!I16)</f>
        <v>0</v>
      </c>
      <c r="J16" s="49">
        <f>AVERAGE('23.09.19 -Kigo-Munyonyo'!J16,'24.09 Kigo-Munyonyo'!J16,'25.09 Kigo-Munyonyo'!J16,'27.09 LWEZA-Munyonyo'!J16,'26.09 Kigo-Munyonyo-24h'!J16,'28.09 Kigo-Munyonyo-24h'!J16,'29.09 Kigo-Munyonyo'!J16)</f>
        <v>0</v>
      </c>
      <c r="K16" s="49">
        <f>AVERAGE('23.09.19 -Kigo-Munyonyo'!K16,'24.09 Kigo-Munyonyo'!K16,'25.09 Kigo-Munyonyo'!K16,'27.09 LWEZA-Munyonyo'!K16,'26.09 Kigo-Munyonyo-24h'!K16,'28.09 Kigo-Munyonyo-24h'!K16,'29.09 Kigo-Munyonyo'!K16)</f>
        <v>0</v>
      </c>
      <c r="L16" s="49">
        <f>AVERAGE('23.09.19 -Kigo-Munyonyo'!L16,'24.09 Kigo-Munyonyo'!L16,'25.09 Kigo-Munyonyo'!L16,'27.09 LWEZA-Munyonyo'!L16,'26.09 Kigo-Munyonyo-24h'!L16,'28.09 Kigo-Munyonyo-24h'!L16,'29.09 Kigo-Munyonyo'!L16)</f>
        <v>0</v>
      </c>
      <c r="M16" s="49">
        <f>AVERAGE('23.09.19 -Kigo-Munyonyo'!M16,'24.09 Kigo-Munyonyo'!M16,'25.09 Kigo-Munyonyo'!M16,'27.09 LWEZA-Munyonyo'!M16,'26.09 Kigo-Munyonyo-24h'!M16,'28.09 Kigo-Munyonyo-24h'!M16,'29.09 Kigo-Munyonyo'!M16)</f>
        <v>18.571428571428573</v>
      </c>
      <c r="N16" s="49">
        <f>AVERAGE('23.09.19 -Kigo-Munyonyo'!N16,'24.09 Kigo-Munyonyo'!N16,'25.09 Kigo-Munyonyo'!N16,'27.09 LWEZA-Munyonyo'!N16,'26.09 Kigo-Munyonyo-24h'!N16,'28.09 Kigo-Munyonyo-24h'!N16,'29.09 Kigo-Munyonyo'!N16)</f>
        <v>0</v>
      </c>
      <c r="O16" s="15">
        <f t="shared" si="0"/>
        <v>0.8571428571428571</v>
      </c>
      <c r="P16" s="15">
        <f t="shared" si="1"/>
        <v>19.428571428571431</v>
      </c>
      <c r="R16" s="1" t="s">
        <v>12</v>
      </c>
      <c r="S16" s="17">
        <f t="shared" ref="S16:AF16" si="8">SUM(C34:C37)</f>
        <v>1.4285714285714284</v>
      </c>
      <c r="T16" s="17">
        <f t="shared" si="8"/>
        <v>0.2857142857142857</v>
      </c>
      <c r="U16" s="17">
        <f t="shared" si="8"/>
        <v>0.5714285714285714</v>
      </c>
      <c r="V16" s="17">
        <f t="shared" si="8"/>
        <v>0.42857142857142855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0.2857142857142857</v>
      </c>
      <c r="AA16" s="17">
        <f t="shared" si="8"/>
        <v>0</v>
      </c>
      <c r="AB16" s="17">
        <f t="shared" si="8"/>
        <v>0</v>
      </c>
      <c r="AC16" s="17">
        <f t="shared" si="8"/>
        <v>49.428571428571431</v>
      </c>
      <c r="AD16" s="17">
        <f t="shared" si="8"/>
        <v>0</v>
      </c>
      <c r="AE16" s="31">
        <f t="shared" si="8"/>
        <v>3</v>
      </c>
      <c r="AF16" s="31">
        <f t="shared" si="8"/>
        <v>52.428571428571431</v>
      </c>
    </row>
    <row r="17" spans="2:32" ht="23.1" customHeight="1" x14ac:dyDescent="0.25">
      <c r="B17" s="23" t="s">
        <v>44</v>
      </c>
      <c r="C17" s="49">
        <f>AVERAGE('23.09.19 -Kigo-Munyonyo'!C17,'24.09 Kigo-Munyonyo'!C17,'25.09 Kigo-Munyonyo'!C17,'27.09 LWEZA-Munyonyo'!C17,'26.09 Kigo-Munyonyo-24h'!C17,'28.09 Kigo-Munyonyo-24h'!C17,'29.09 Kigo-Munyonyo'!C17)</f>
        <v>0.42857142857142855</v>
      </c>
      <c r="D17" s="49">
        <f>AVERAGE('23.09.19 -Kigo-Munyonyo'!D17,'24.09 Kigo-Munyonyo'!D17,'25.09 Kigo-Munyonyo'!D17,'27.09 LWEZA-Munyonyo'!D17,'26.09 Kigo-Munyonyo-24h'!D17,'28.09 Kigo-Munyonyo-24h'!D17,'29.09 Kigo-Munyonyo'!D17)</f>
        <v>0.2857142857142857</v>
      </c>
      <c r="E17" s="49">
        <f>AVERAGE('23.09.19 -Kigo-Munyonyo'!E17,'24.09 Kigo-Munyonyo'!E17,'25.09 Kigo-Munyonyo'!E17,'27.09 LWEZA-Munyonyo'!E17,'26.09 Kigo-Munyonyo-24h'!E17,'28.09 Kigo-Munyonyo-24h'!E17,'29.09 Kigo-Munyonyo'!E17)</f>
        <v>0.42857142857142855</v>
      </c>
      <c r="F17" s="49">
        <f>AVERAGE('23.09.19 -Kigo-Munyonyo'!F17,'24.09 Kigo-Munyonyo'!F17,'25.09 Kigo-Munyonyo'!F17,'27.09 LWEZA-Munyonyo'!F17,'26.09 Kigo-Munyonyo-24h'!F17,'28.09 Kigo-Munyonyo-24h'!F17,'29.09 Kigo-Munyonyo'!F17)</f>
        <v>0</v>
      </c>
      <c r="G17" s="49">
        <f>AVERAGE('23.09.19 -Kigo-Munyonyo'!G17,'24.09 Kigo-Munyonyo'!G17,'25.09 Kigo-Munyonyo'!G17,'27.09 LWEZA-Munyonyo'!G17,'26.09 Kigo-Munyonyo-24h'!G17,'28.09 Kigo-Munyonyo-24h'!G17,'29.09 Kigo-Munyonyo'!G17)</f>
        <v>0</v>
      </c>
      <c r="H17" s="49">
        <f>AVERAGE('23.09.19 -Kigo-Munyonyo'!H17,'24.09 Kigo-Munyonyo'!H17,'25.09 Kigo-Munyonyo'!H17,'27.09 LWEZA-Munyonyo'!H17,'26.09 Kigo-Munyonyo-24h'!H17,'28.09 Kigo-Munyonyo-24h'!H17,'29.09 Kigo-Munyonyo'!H17)</f>
        <v>0</v>
      </c>
      <c r="I17" s="49">
        <f>AVERAGE('23.09.19 -Kigo-Munyonyo'!I17,'24.09 Kigo-Munyonyo'!I17,'25.09 Kigo-Munyonyo'!I17,'27.09 LWEZA-Munyonyo'!I17,'26.09 Kigo-Munyonyo-24h'!I17,'28.09 Kigo-Munyonyo-24h'!I17,'29.09 Kigo-Munyonyo'!I17)</f>
        <v>0</v>
      </c>
      <c r="J17" s="49">
        <f>AVERAGE('23.09.19 -Kigo-Munyonyo'!J17,'24.09 Kigo-Munyonyo'!J17,'25.09 Kigo-Munyonyo'!J17,'27.09 LWEZA-Munyonyo'!J17,'26.09 Kigo-Munyonyo-24h'!J17,'28.09 Kigo-Munyonyo-24h'!J17,'29.09 Kigo-Munyonyo'!J17)</f>
        <v>0</v>
      </c>
      <c r="K17" s="49">
        <f>AVERAGE('23.09.19 -Kigo-Munyonyo'!K17,'24.09 Kigo-Munyonyo'!K17,'25.09 Kigo-Munyonyo'!K17,'27.09 LWEZA-Munyonyo'!K17,'26.09 Kigo-Munyonyo-24h'!K17,'28.09 Kigo-Munyonyo-24h'!K17,'29.09 Kigo-Munyonyo'!K17)</f>
        <v>0</v>
      </c>
      <c r="L17" s="49">
        <f>AVERAGE('23.09.19 -Kigo-Munyonyo'!L17,'24.09 Kigo-Munyonyo'!L17,'25.09 Kigo-Munyonyo'!L17,'27.09 LWEZA-Munyonyo'!L17,'26.09 Kigo-Munyonyo-24h'!L17,'28.09 Kigo-Munyonyo-24h'!L17,'29.09 Kigo-Munyonyo'!L17)</f>
        <v>0</v>
      </c>
      <c r="M17" s="49">
        <f>AVERAGE('23.09.19 -Kigo-Munyonyo'!M17,'24.09 Kigo-Munyonyo'!M17,'25.09 Kigo-Munyonyo'!M17,'27.09 LWEZA-Munyonyo'!M17,'26.09 Kigo-Munyonyo-24h'!M17,'28.09 Kigo-Munyonyo-24h'!M17,'29.09 Kigo-Munyonyo'!M17)</f>
        <v>18.857142857142858</v>
      </c>
      <c r="N17" s="49">
        <f>AVERAGE('23.09.19 -Kigo-Munyonyo'!N17,'24.09 Kigo-Munyonyo'!N17,'25.09 Kigo-Munyonyo'!N17,'27.09 LWEZA-Munyonyo'!N17,'26.09 Kigo-Munyonyo-24h'!N17,'28.09 Kigo-Munyonyo-24h'!N17,'29.09 Kigo-Munyonyo'!N17)</f>
        <v>0</v>
      </c>
      <c r="O17" s="15">
        <f t="shared" si="0"/>
        <v>1.1428571428571428</v>
      </c>
      <c r="P17" s="15">
        <f t="shared" si="1"/>
        <v>20</v>
      </c>
      <c r="R17" s="1" t="s">
        <v>13</v>
      </c>
      <c r="S17" s="17">
        <f t="shared" ref="S17:AF17" si="9">SUM(C38:C41)</f>
        <v>1.1428571428571428</v>
      </c>
      <c r="T17" s="17">
        <f t="shared" si="9"/>
        <v>0.71428571428571419</v>
      </c>
      <c r="U17" s="17">
        <f t="shared" si="9"/>
        <v>0.42857142857142855</v>
      </c>
      <c r="V17" s="17">
        <f t="shared" si="9"/>
        <v>0.2857142857142857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0.14285714285714285</v>
      </c>
      <c r="AA17" s="17">
        <f t="shared" si="9"/>
        <v>0</v>
      </c>
      <c r="AB17" s="17">
        <f t="shared" si="9"/>
        <v>0</v>
      </c>
      <c r="AC17" s="17">
        <f t="shared" si="9"/>
        <v>60.285714285714285</v>
      </c>
      <c r="AD17" s="17">
        <f t="shared" si="9"/>
        <v>0</v>
      </c>
      <c r="AE17" s="31">
        <f t="shared" si="9"/>
        <v>2.714285714285714</v>
      </c>
      <c r="AF17" s="31">
        <f t="shared" si="9"/>
        <v>63</v>
      </c>
    </row>
    <row r="18" spans="2:32" ht="23.1" customHeight="1" x14ac:dyDescent="0.25">
      <c r="B18" s="23" t="s">
        <v>45</v>
      </c>
      <c r="C18" s="49">
        <f>AVERAGE('23.09.19 -Kigo-Munyonyo'!C18,'24.09 Kigo-Munyonyo'!C18,'25.09 Kigo-Munyonyo'!C18,'27.09 LWEZA-Munyonyo'!C18,'26.09 Kigo-Munyonyo-24h'!C18,'28.09 Kigo-Munyonyo-24h'!C18,'29.09 Kigo-Munyonyo'!C18)</f>
        <v>0</v>
      </c>
      <c r="D18" s="49">
        <f>AVERAGE('23.09.19 -Kigo-Munyonyo'!D18,'24.09 Kigo-Munyonyo'!D18,'25.09 Kigo-Munyonyo'!D18,'27.09 LWEZA-Munyonyo'!D18,'26.09 Kigo-Munyonyo-24h'!D18,'28.09 Kigo-Munyonyo-24h'!D18,'29.09 Kigo-Munyonyo'!D18)</f>
        <v>0</v>
      </c>
      <c r="E18" s="49">
        <f>AVERAGE('23.09.19 -Kigo-Munyonyo'!E18,'24.09 Kigo-Munyonyo'!E18,'25.09 Kigo-Munyonyo'!E18,'27.09 LWEZA-Munyonyo'!E18,'26.09 Kigo-Munyonyo-24h'!E18,'28.09 Kigo-Munyonyo-24h'!E18,'29.09 Kigo-Munyonyo'!E18)</f>
        <v>0.14285714285714285</v>
      </c>
      <c r="F18" s="49">
        <f>AVERAGE('23.09.19 -Kigo-Munyonyo'!F18,'24.09 Kigo-Munyonyo'!F18,'25.09 Kigo-Munyonyo'!F18,'27.09 LWEZA-Munyonyo'!F18,'26.09 Kigo-Munyonyo-24h'!F18,'28.09 Kigo-Munyonyo-24h'!F18,'29.09 Kigo-Munyonyo'!F18)</f>
        <v>0</v>
      </c>
      <c r="G18" s="49">
        <f>AVERAGE('23.09.19 -Kigo-Munyonyo'!G18,'24.09 Kigo-Munyonyo'!G18,'25.09 Kigo-Munyonyo'!G18,'27.09 LWEZA-Munyonyo'!G18,'26.09 Kigo-Munyonyo-24h'!G18,'28.09 Kigo-Munyonyo-24h'!G18,'29.09 Kigo-Munyonyo'!G18)</f>
        <v>0</v>
      </c>
      <c r="H18" s="49">
        <f>AVERAGE('23.09.19 -Kigo-Munyonyo'!H18,'24.09 Kigo-Munyonyo'!H18,'25.09 Kigo-Munyonyo'!H18,'27.09 LWEZA-Munyonyo'!H18,'26.09 Kigo-Munyonyo-24h'!H18,'28.09 Kigo-Munyonyo-24h'!H18,'29.09 Kigo-Munyonyo'!H18)</f>
        <v>0</v>
      </c>
      <c r="I18" s="49">
        <f>AVERAGE('23.09.19 -Kigo-Munyonyo'!I18,'24.09 Kigo-Munyonyo'!I18,'25.09 Kigo-Munyonyo'!I18,'27.09 LWEZA-Munyonyo'!I18,'26.09 Kigo-Munyonyo-24h'!I18,'28.09 Kigo-Munyonyo-24h'!I18,'29.09 Kigo-Munyonyo'!I18)</f>
        <v>0.2857142857142857</v>
      </c>
      <c r="J18" s="49">
        <f>AVERAGE('23.09.19 -Kigo-Munyonyo'!J18,'24.09 Kigo-Munyonyo'!J18,'25.09 Kigo-Munyonyo'!J18,'27.09 LWEZA-Munyonyo'!J18,'26.09 Kigo-Munyonyo-24h'!J18,'28.09 Kigo-Munyonyo-24h'!J18,'29.09 Kigo-Munyonyo'!J18)</f>
        <v>0</v>
      </c>
      <c r="K18" s="49">
        <f>AVERAGE('23.09.19 -Kigo-Munyonyo'!K18,'24.09 Kigo-Munyonyo'!K18,'25.09 Kigo-Munyonyo'!K18,'27.09 LWEZA-Munyonyo'!K18,'26.09 Kigo-Munyonyo-24h'!K18,'28.09 Kigo-Munyonyo-24h'!K18,'29.09 Kigo-Munyonyo'!K18)</f>
        <v>0</v>
      </c>
      <c r="L18" s="49">
        <f>AVERAGE('23.09.19 -Kigo-Munyonyo'!L18,'24.09 Kigo-Munyonyo'!L18,'25.09 Kigo-Munyonyo'!L18,'27.09 LWEZA-Munyonyo'!L18,'26.09 Kigo-Munyonyo-24h'!L18,'28.09 Kigo-Munyonyo-24h'!L18,'29.09 Kigo-Munyonyo'!L18)</f>
        <v>0</v>
      </c>
      <c r="M18" s="49">
        <f>AVERAGE('23.09.19 -Kigo-Munyonyo'!M18,'24.09 Kigo-Munyonyo'!M18,'25.09 Kigo-Munyonyo'!M18,'27.09 LWEZA-Munyonyo'!M18,'26.09 Kigo-Munyonyo-24h'!M18,'28.09 Kigo-Munyonyo-24h'!M18,'29.09 Kigo-Munyonyo'!M18)</f>
        <v>18.857142857142858</v>
      </c>
      <c r="N18" s="49">
        <f>AVERAGE('23.09.19 -Kigo-Munyonyo'!N18,'24.09 Kigo-Munyonyo'!N18,'25.09 Kigo-Munyonyo'!N18,'27.09 LWEZA-Munyonyo'!N18,'26.09 Kigo-Munyonyo-24h'!N18,'28.09 Kigo-Munyonyo-24h'!N18,'29.09 Kigo-Munyonyo'!N18)</f>
        <v>0</v>
      </c>
      <c r="O18" s="15">
        <f t="shared" si="0"/>
        <v>0.42857142857142855</v>
      </c>
      <c r="P18" s="15">
        <f t="shared" si="1"/>
        <v>19.285714285714285</v>
      </c>
      <c r="R18" s="1" t="s">
        <v>14</v>
      </c>
      <c r="S18" s="17">
        <f t="shared" ref="S18:AF18" si="10">SUM(C42:C45)</f>
        <v>0.71428571428571419</v>
      </c>
      <c r="T18" s="17">
        <f t="shared" si="10"/>
        <v>0.42857142857142855</v>
      </c>
      <c r="U18" s="17">
        <f t="shared" si="10"/>
        <v>0.42857142857142855</v>
      </c>
      <c r="V18" s="17">
        <f t="shared" si="10"/>
        <v>0.71428571428571419</v>
      </c>
      <c r="W18" s="17">
        <f t="shared" si="10"/>
        <v>0</v>
      </c>
      <c r="X18" s="17">
        <f t="shared" si="10"/>
        <v>0</v>
      </c>
      <c r="Y18" s="17">
        <f t="shared" si="10"/>
        <v>0.2857142857142857</v>
      </c>
      <c r="Z18" s="17">
        <f t="shared" si="10"/>
        <v>0</v>
      </c>
      <c r="AA18" s="17">
        <f t="shared" si="10"/>
        <v>0.14285714285714285</v>
      </c>
      <c r="AB18" s="17">
        <f t="shared" si="10"/>
        <v>0</v>
      </c>
      <c r="AC18" s="17">
        <f t="shared" si="10"/>
        <v>50.428571428571431</v>
      </c>
      <c r="AD18" s="17">
        <f t="shared" si="10"/>
        <v>0</v>
      </c>
      <c r="AE18" s="31">
        <f t="shared" si="10"/>
        <v>2.714285714285714</v>
      </c>
      <c r="AF18" s="31">
        <f t="shared" si="10"/>
        <v>53.142857142857146</v>
      </c>
    </row>
    <row r="19" spans="2:32" ht="23.1" customHeight="1" x14ac:dyDescent="0.25">
      <c r="B19" s="23" t="s">
        <v>46</v>
      </c>
      <c r="C19" s="49">
        <f>AVERAGE('23.09.19 -Kigo-Munyonyo'!C19,'24.09 Kigo-Munyonyo'!C19,'25.09 Kigo-Munyonyo'!C19,'27.09 LWEZA-Munyonyo'!C19,'26.09 Kigo-Munyonyo-24h'!C19,'28.09 Kigo-Munyonyo-24h'!C19,'29.09 Kigo-Munyonyo'!C19)</f>
        <v>0.42857142857142855</v>
      </c>
      <c r="D19" s="49">
        <f>AVERAGE('23.09.19 -Kigo-Munyonyo'!D19,'24.09 Kigo-Munyonyo'!D19,'25.09 Kigo-Munyonyo'!D19,'27.09 LWEZA-Munyonyo'!D19,'26.09 Kigo-Munyonyo-24h'!D19,'28.09 Kigo-Munyonyo-24h'!D19,'29.09 Kigo-Munyonyo'!D19)</f>
        <v>0</v>
      </c>
      <c r="E19" s="49">
        <f>AVERAGE('23.09.19 -Kigo-Munyonyo'!E19,'24.09 Kigo-Munyonyo'!E19,'25.09 Kigo-Munyonyo'!E19,'27.09 LWEZA-Munyonyo'!E19,'26.09 Kigo-Munyonyo-24h'!E19,'28.09 Kigo-Munyonyo-24h'!E19,'29.09 Kigo-Munyonyo'!E19)</f>
        <v>0.2857142857142857</v>
      </c>
      <c r="F19" s="49">
        <f>AVERAGE('23.09.19 -Kigo-Munyonyo'!F19,'24.09 Kigo-Munyonyo'!F19,'25.09 Kigo-Munyonyo'!F19,'27.09 LWEZA-Munyonyo'!F19,'26.09 Kigo-Munyonyo-24h'!F19,'28.09 Kigo-Munyonyo-24h'!F19,'29.09 Kigo-Munyonyo'!F19)</f>
        <v>0</v>
      </c>
      <c r="G19" s="49">
        <f>AVERAGE('23.09.19 -Kigo-Munyonyo'!G19,'24.09 Kigo-Munyonyo'!G19,'25.09 Kigo-Munyonyo'!G19,'27.09 LWEZA-Munyonyo'!G19,'26.09 Kigo-Munyonyo-24h'!G19,'28.09 Kigo-Munyonyo-24h'!G19,'29.09 Kigo-Munyonyo'!G19)</f>
        <v>0</v>
      </c>
      <c r="H19" s="49">
        <f>AVERAGE('23.09.19 -Kigo-Munyonyo'!H19,'24.09 Kigo-Munyonyo'!H19,'25.09 Kigo-Munyonyo'!H19,'27.09 LWEZA-Munyonyo'!H19,'26.09 Kigo-Munyonyo-24h'!H19,'28.09 Kigo-Munyonyo-24h'!H19,'29.09 Kigo-Munyonyo'!H19)</f>
        <v>0</v>
      </c>
      <c r="I19" s="49">
        <f>AVERAGE('23.09.19 -Kigo-Munyonyo'!I19,'24.09 Kigo-Munyonyo'!I19,'25.09 Kigo-Munyonyo'!I19,'27.09 LWEZA-Munyonyo'!I19,'26.09 Kigo-Munyonyo-24h'!I19,'28.09 Kigo-Munyonyo-24h'!I19,'29.09 Kigo-Munyonyo'!I19)</f>
        <v>0</v>
      </c>
      <c r="J19" s="49">
        <f>AVERAGE('23.09.19 -Kigo-Munyonyo'!J19,'24.09 Kigo-Munyonyo'!J19,'25.09 Kigo-Munyonyo'!J19,'27.09 LWEZA-Munyonyo'!J19,'26.09 Kigo-Munyonyo-24h'!J19,'28.09 Kigo-Munyonyo-24h'!J19,'29.09 Kigo-Munyonyo'!J19)</f>
        <v>0</v>
      </c>
      <c r="K19" s="49">
        <f>AVERAGE('23.09.19 -Kigo-Munyonyo'!K19,'24.09 Kigo-Munyonyo'!K19,'25.09 Kigo-Munyonyo'!K19,'27.09 LWEZA-Munyonyo'!K19,'26.09 Kigo-Munyonyo-24h'!K19,'28.09 Kigo-Munyonyo-24h'!K19,'29.09 Kigo-Munyonyo'!K19)</f>
        <v>0</v>
      </c>
      <c r="L19" s="49">
        <f>AVERAGE('23.09.19 -Kigo-Munyonyo'!L19,'24.09 Kigo-Munyonyo'!L19,'25.09 Kigo-Munyonyo'!L19,'27.09 LWEZA-Munyonyo'!L19,'26.09 Kigo-Munyonyo-24h'!L19,'28.09 Kigo-Munyonyo-24h'!L19,'29.09 Kigo-Munyonyo'!L19)</f>
        <v>0</v>
      </c>
      <c r="M19" s="49">
        <f>AVERAGE('23.09.19 -Kigo-Munyonyo'!M19,'24.09 Kigo-Munyonyo'!M19,'25.09 Kigo-Munyonyo'!M19,'27.09 LWEZA-Munyonyo'!M19,'26.09 Kigo-Munyonyo-24h'!M19,'28.09 Kigo-Munyonyo-24h'!M19,'29.09 Kigo-Munyonyo'!M19)</f>
        <v>20.714285714285715</v>
      </c>
      <c r="N19" s="49">
        <f>AVERAGE('23.09.19 -Kigo-Munyonyo'!N19,'24.09 Kigo-Munyonyo'!N19,'25.09 Kigo-Munyonyo'!N19,'27.09 LWEZA-Munyonyo'!N19,'26.09 Kigo-Munyonyo-24h'!N19,'28.09 Kigo-Munyonyo-24h'!N19,'29.09 Kigo-Munyonyo'!N19)</f>
        <v>0</v>
      </c>
      <c r="O19" s="15">
        <f t="shared" si="0"/>
        <v>0.71428571428571419</v>
      </c>
      <c r="P19" s="15">
        <f t="shared" si="1"/>
        <v>21.428571428571431</v>
      </c>
      <c r="R19" s="1" t="s">
        <v>15</v>
      </c>
      <c r="S19" s="17">
        <f t="shared" ref="S19:AF19" si="11">SUM(C46:C49)</f>
        <v>1.714285714285714</v>
      </c>
      <c r="T19" s="17">
        <f t="shared" si="11"/>
        <v>2.4285714285714284</v>
      </c>
      <c r="U19" s="17">
        <f t="shared" si="11"/>
        <v>0.14285714285714285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0.5714285714285714</v>
      </c>
      <c r="Z19" s="17">
        <f t="shared" si="11"/>
        <v>0</v>
      </c>
      <c r="AA19" s="17">
        <f t="shared" si="11"/>
        <v>0.14285714285714285</v>
      </c>
      <c r="AB19" s="17">
        <f t="shared" si="11"/>
        <v>0</v>
      </c>
      <c r="AC19" s="17">
        <f t="shared" si="11"/>
        <v>71.428571428571431</v>
      </c>
      <c r="AD19" s="17">
        <f t="shared" si="11"/>
        <v>0</v>
      </c>
      <c r="AE19" s="31">
        <f t="shared" si="11"/>
        <v>4.9999999999999991</v>
      </c>
      <c r="AF19" s="31">
        <f t="shared" si="11"/>
        <v>76.428571428571431</v>
      </c>
    </row>
    <row r="20" spans="2:32" ht="23.1" customHeight="1" x14ac:dyDescent="0.25">
      <c r="B20" s="23" t="s">
        <v>47</v>
      </c>
      <c r="C20" s="49">
        <f>AVERAGE('23.09.19 -Kigo-Munyonyo'!C20,'24.09 Kigo-Munyonyo'!C20,'25.09 Kigo-Munyonyo'!C20,'27.09 LWEZA-Munyonyo'!C20,'26.09 Kigo-Munyonyo-24h'!C20,'28.09 Kigo-Munyonyo-24h'!C20,'29.09 Kigo-Munyonyo'!C20)</f>
        <v>1.1428571428571428</v>
      </c>
      <c r="D20" s="49">
        <f>AVERAGE('23.09.19 -Kigo-Munyonyo'!D20,'24.09 Kigo-Munyonyo'!D20,'25.09 Kigo-Munyonyo'!D20,'27.09 LWEZA-Munyonyo'!D20,'26.09 Kigo-Munyonyo-24h'!D20,'28.09 Kigo-Munyonyo-24h'!D20,'29.09 Kigo-Munyonyo'!D20)</f>
        <v>1</v>
      </c>
      <c r="E20" s="49">
        <f>AVERAGE('23.09.19 -Kigo-Munyonyo'!E20,'24.09 Kigo-Munyonyo'!E20,'25.09 Kigo-Munyonyo'!E20,'27.09 LWEZA-Munyonyo'!E20,'26.09 Kigo-Munyonyo-24h'!E20,'28.09 Kigo-Munyonyo-24h'!E20,'29.09 Kigo-Munyonyo'!E20)</f>
        <v>0.14285714285714285</v>
      </c>
      <c r="F20" s="49">
        <f>AVERAGE('23.09.19 -Kigo-Munyonyo'!F20,'24.09 Kigo-Munyonyo'!F20,'25.09 Kigo-Munyonyo'!F20,'27.09 LWEZA-Munyonyo'!F20,'26.09 Kigo-Munyonyo-24h'!F20,'28.09 Kigo-Munyonyo-24h'!F20,'29.09 Kigo-Munyonyo'!F20)</f>
        <v>0</v>
      </c>
      <c r="G20" s="49">
        <f>AVERAGE('23.09.19 -Kigo-Munyonyo'!G20,'24.09 Kigo-Munyonyo'!G20,'25.09 Kigo-Munyonyo'!G20,'27.09 LWEZA-Munyonyo'!G20,'26.09 Kigo-Munyonyo-24h'!G20,'28.09 Kigo-Munyonyo-24h'!G20,'29.09 Kigo-Munyonyo'!G20)</f>
        <v>0</v>
      </c>
      <c r="H20" s="49">
        <f>AVERAGE('23.09.19 -Kigo-Munyonyo'!H20,'24.09 Kigo-Munyonyo'!H20,'25.09 Kigo-Munyonyo'!H20,'27.09 LWEZA-Munyonyo'!H20,'26.09 Kigo-Munyonyo-24h'!H20,'28.09 Kigo-Munyonyo-24h'!H20,'29.09 Kigo-Munyonyo'!H20)</f>
        <v>0.14285714285714285</v>
      </c>
      <c r="I20" s="49">
        <f>AVERAGE('23.09.19 -Kigo-Munyonyo'!I20,'24.09 Kigo-Munyonyo'!I20,'25.09 Kigo-Munyonyo'!I20,'27.09 LWEZA-Munyonyo'!I20,'26.09 Kigo-Munyonyo-24h'!I20,'28.09 Kigo-Munyonyo-24h'!I20,'29.09 Kigo-Munyonyo'!I20)</f>
        <v>0</v>
      </c>
      <c r="J20" s="49">
        <f>AVERAGE('23.09.19 -Kigo-Munyonyo'!J20,'24.09 Kigo-Munyonyo'!J20,'25.09 Kigo-Munyonyo'!J20,'27.09 LWEZA-Munyonyo'!J20,'26.09 Kigo-Munyonyo-24h'!J20,'28.09 Kigo-Munyonyo-24h'!J20,'29.09 Kigo-Munyonyo'!J20)</f>
        <v>0</v>
      </c>
      <c r="K20" s="49">
        <f>AVERAGE('23.09.19 -Kigo-Munyonyo'!K20,'24.09 Kigo-Munyonyo'!K20,'25.09 Kigo-Munyonyo'!K20,'27.09 LWEZA-Munyonyo'!K20,'26.09 Kigo-Munyonyo-24h'!K20,'28.09 Kigo-Munyonyo-24h'!K20,'29.09 Kigo-Munyonyo'!K20)</f>
        <v>0</v>
      </c>
      <c r="L20" s="49">
        <f>AVERAGE('23.09.19 -Kigo-Munyonyo'!L20,'24.09 Kigo-Munyonyo'!L20,'25.09 Kigo-Munyonyo'!L20,'27.09 LWEZA-Munyonyo'!L20,'26.09 Kigo-Munyonyo-24h'!L20,'28.09 Kigo-Munyonyo-24h'!L20,'29.09 Kigo-Munyonyo'!L20)</f>
        <v>0</v>
      </c>
      <c r="M20" s="49">
        <f>AVERAGE('23.09.19 -Kigo-Munyonyo'!M20,'24.09 Kigo-Munyonyo'!M20,'25.09 Kigo-Munyonyo'!M20,'27.09 LWEZA-Munyonyo'!M20,'26.09 Kigo-Munyonyo-24h'!M20,'28.09 Kigo-Munyonyo-24h'!M20,'29.09 Kigo-Munyonyo'!M20)</f>
        <v>18.714285714285715</v>
      </c>
      <c r="N20" s="49">
        <f>AVERAGE('23.09.19 -Kigo-Munyonyo'!N20,'24.09 Kigo-Munyonyo'!N20,'25.09 Kigo-Munyonyo'!N20,'27.09 LWEZA-Munyonyo'!N20,'26.09 Kigo-Munyonyo-24h'!N20,'28.09 Kigo-Munyonyo-24h'!N20,'29.09 Kigo-Munyonyo'!N20)</f>
        <v>0</v>
      </c>
      <c r="O20" s="15">
        <f t="shared" si="0"/>
        <v>2.4285714285714284</v>
      </c>
      <c r="P20" s="15">
        <f t="shared" si="1"/>
        <v>21.142857142857142</v>
      </c>
      <c r="R20" s="1" t="s">
        <v>16</v>
      </c>
      <c r="S20" s="17">
        <f t="shared" ref="S20:AF20" si="12">SUM(C50:C53)</f>
        <v>1</v>
      </c>
      <c r="T20" s="17">
        <f t="shared" si="12"/>
        <v>0.85714285714285698</v>
      </c>
      <c r="U20" s="17">
        <f t="shared" si="12"/>
        <v>0</v>
      </c>
      <c r="V20" s="17">
        <f t="shared" si="12"/>
        <v>0.71428571428571419</v>
      </c>
      <c r="W20" s="17">
        <f t="shared" si="12"/>
        <v>0</v>
      </c>
      <c r="X20" s="17">
        <f t="shared" si="12"/>
        <v>0</v>
      </c>
      <c r="Y20" s="17">
        <f t="shared" si="12"/>
        <v>0.2857142857142857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76.285714285714292</v>
      </c>
      <c r="AD20" s="17">
        <f t="shared" si="12"/>
        <v>0</v>
      </c>
      <c r="AE20" s="31">
        <f t="shared" si="12"/>
        <v>2.8571428571428568</v>
      </c>
      <c r="AF20" s="31">
        <f t="shared" si="12"/>
        <v>79.142857142857139</v>
      </c>
    </row>
    <row r="21" spans="2:32" ht="23.1" customHeight="1" x14ac:dyDescent="0.25">
      <c r="B21" s="23" t="s">
        <v>48</v>
      </c>
      <c r="C21" s="49">
        <f>AVERAGE('23.09.19 -Kigo-Munyonyo'!C21,'24.09 Kigo-Munyonyo'!C21,'25.09 Kigo-Munyonyo'!C21,'27.09 LWEZA-Munyonyo'!C21,'26.09 Kigo-Munyonyo-24h'!C21,'28.09 Kigo-Munyonyo-24h'!C21,'29.09 Kigo-Munyonyo'!C21)</f>
        <v>0.14285714285714285</v>
      </c>
      <c r="D21" s="49">
        <f>AVERAGE('23.09.19 -Kigo-Munyonyo'!D21,'24.09 Kigo-Munyonyo'!D21,'25.09 Kigo-Munyonyo'!D21,'27.09 LWEZA-Munyonyo'!D21,'26.09 Kigo-Munyonyo-24h'!D21,'28.09 Kigo-Munyonyo-24h'!D21,'29.09 Kigo-Munyonyo'!D21)</f>
        <v>0.7142857142857143</v>
      </c>
      <c r="E21" s="49">
        <f>AVERAGE('23.09.19 -Kigo-Munyonyo'!E21,'24.09 Kigo-Munyonyo'!E21,'25.09 Kigo-Munyonyo'!E21,'27.09 LWEZA-Munyonyo'!E21,'26.09 Kigo-Munyonyo-24h'!E21,'28.09 Kigo-Munyonyo-24h'!E21,'29.09 Kigo-Munyonyo'!E21)</f>
        <v>0</v>
      </c>
      <c r="F21" s="49">
        <f>AVERAGE('23.09.19 -Kigo-Munyonyo'!F21,'24.09 Kigo-Munyonyo'!F21,'25.09 Kigo-Munyonyo'!F21,'27.09 LWEZA-Munyonyo'!F21,'26.09 Kigo-Munyonyo-24h'!F21,'28.09 Kigo-Munyonyo-24h'!F21,'29.09 Kigo-Munyonyo'!F21)</f>
        <v>0</v>
      </c>
      <c r="G21" s="49">
        <f>AVERAGE('23.09.19 -Kigo-Munyonyo'!G21,'24.09 Kigo-Munyonyo'!G21,'25.09 Kigo-Munyonyo'!G21,'27.09 LWEZA-Munyonyo'!G21,'26.09 Kigo-Munyonyo-24h'!G21,'28.09 Kigo-Munyonyo-24h'!G21,'29.09 Kigo-Munyonyo'!G21)</f>
        <v>0</v>
      </c>
      <c r="H21" s="49">
        <f>AVERAGE('23.09.19 -Kigo-Munyonyo'!H21,'24.09 Kigo-Munyonyo'!H21,'25.09 Kigo-Munyonyo'!H21,'27.09 LWEZA-Munyonyo'!H21,'26.09 Kigo-Munyonyo-24h'!H21,'28.09 Kigo-Munyonyo-24h'!H21,'29.09 Kigo-Munyonyo'!H21)</f>
        <v>0</v>
      </c>
      <c r="I21" s="49">
        <f>AVERAGE('23.09.19 -Kigo-Munyonyo'!I21,'24.09 Kigo-Munyonyo'!I21,'25.09 Kigo-Munyonyo'!I21,'27.09 LWEZA-Munyonyo'!I21,'26.09 Kigo-Munyonyo-24h'!I21,'28.09 Kigo-Munyonyo-24h'!I21,'29.09 Kigo-Munyonyo'!I21)</f>
        <v>0</v>
      </c>
      <c r="J21" s="49">
        <f>AVERAGE('23.09.19 -Kigo-Munyonyo'!J21,'24.09 Kigo-Munyonyo'!J21,'25.09 Kigo-Munyonyo'!J21,'27.09 LWEZA-Munyonyo'!J21,'26.09 Kigo-Munyonyo-24h'!J21,'28.09 Kigo-Munyonyo-24h'!J21,'29.09 Kigo-Munyonyo'!J21)</f>
        <v>0</v>
      </c>
      <c r="K21" s="49">
        <f>AVERAGE('23.09.19 -Kigo-Munyonyo'!K21,'24.09 Kigo-Munyonyo'!K21,'25.09 Kigo-Munyonyo'!K21,'27.09 LWEZA-Munyonyo'!K21,'26.09 Kigo-Munyonyo-24h'!K21,'28.09 Kigo-Munyonyo-24h'!K21,'29.09 Kigo-Munyonyo'!K21)</f>
        <v>0</v>
      </c>
      <c r="L21" s="49">
        <f>AVERAGE('23.09.19 -Kigo-Munyonyo'!L21,'24.09 Kigo-Munyonyo'!L21,'25.09 Kigo-Munyonyo'!L21,'27.09 LWEZA-Munyonyo'!L21,'26.09 Kigo-Munyonyo-24h'!L21,'28.09 Kigo-Munyonyo-24h'!L21,'29.09 Kigo-Munyonyo'!L21)</f>
        <v>0</v>
      </c>
      <c r="M21" s="49">
        <f>AVERAGE('23.09.19 -Kigo-Munyonyo'!M21,'24.09 Kigo-Munyonyo'!M21,'25.09 Kigo-Munyonyo'!M21,'27.09 LWEZA-Munyonyo'!M21,'26.09 Kigo-Munyonyo-24h'!M21,'28.09 Kigo-Munyonyo-24h'!M21,'29.09 Kigo-Munyonyo'!M21)</f>
        <v>15.428571428571429</v>
      </c>
      <c r="N21" s="49">
        <f>AVERAGE('23.09.19 -Kigo-Munyonyo'!N21,'24.09 Kigo-Munyonyo'!N21,'25.09 Kigo-Munyonyo'!N21,'27.09 LWEZA-Munyonyo'!N21,'26.09 Kigo-Munyonyo-24h'!N21,'28.09 Kigo-Munyonyo-24h'!N21,'29.09 Kigo-Munyonyo'!N21)</f>
        <v>0</v>
      </c>
      <c r="O21" s="15">
        <f t="shared" si="0"/>
        <v>0.85714285714285721</v>
      </c>
      <c r="P21" s="15">
        <f t="shared" si="1"/>
        <v>16.285714285714285</v>
      </c>
      <c r="R21" s="36" t="s">
        <v>20</v>
      </c>
      <c r="S21" s="34">
        <f t="shared" ref="S21:AF21" si="13">SUM(C54:C57)</f>
        <v>2.2857142857142856</v>
      </c>
      <c r="T21" s="17">
        <f t="shared" si="13"/>
        <v>1.1428571428571428</v>
      </c>
      <c r="U21" s="17">
        <f t="shared" si="13"/>
        <v>0.2857142857142857</v>
      </c>
      <c r="V21" s="17">
        <f t="shared" si="13"/>
        <v>0.8571428571428571</v>
      </c>
      <c r="W21" s="17">
        <f t="shared" si="13"/>
        <v>0</v>
      </c>
      <c r="X21" s="17">
        <f t="shared" si="13"/>
        <v>0</v>
      </c>
      <c r="Y21" s="17">
        <f t="shared" si="13"/>
        <v>0.71428571428571419</v>
      </c>
      <c r="Z21" s="17">
        <f t="shared" si="13"/>
        <v>0.2857142857142857</v>
      </c>
      <c r="AA21" s="17">
        <f t="shared" si="13"/>
        <v>0</v>
      </c>
      <c r="AB21" s="17">
        <f t="shared" si="13"/>
        <v>0</v>
      </c>
      <c r="AC21" s="17">
        <f t="shared" si="13"/>
        <v>84.857142857142861</v>
      </c>
      <c r="AD21" s="17">
        <f t="shared" si="13"/>
        <v>0</v>
      </c>
      <c r="AE21" s="31">
        <f t="shared" si="13"/>
        <v>5.5714285714285712</v>
      </c>
      <c r="AF21" s="31">
        <f t="shared" si="13"/>
        <v>90.428571428571416</v>
      </c>
    </row>
    <row r="22" spans="2:32" ht="23.1" customHeight="1" x14ac:dyDescent="0.25">
      <c r="B22" s="23" t="s">
        <v>49</v>
      </c>
      <c r="C22" s="49">
        <f>AVERAGE('23.09.19 -Kigo-Munyonyo'!C22,'24.09 Kigo-Munyonyo'!C22,'25.09 Kigo-Munyonyo'!C22,'27.09 LWEZA-Munyonyo'!C22,'26.09 Kigo-Munyonyo-24h'!C22,'28.09 Kigo-Munyonyo-24h'!C22,'29.09 Kigo-Munyonyo'!C22)</f>
        <v>0.2857142857142857</v>
      </c>
      <c r="D22" s="49">
        <f>AVERAGE('23.09.19 -Kigo-Munyonyo'!D22,'24.09 Kigo-Munyonyo'!D22,'25.09 Kigo-Munyonyo'!D22,'27.09 LWEZA-Munyonyo'!D22,'26.09 Kigo-Munyonyo-24h'!D22,'28.09 Kigo-Munyonyo-24h'!D22,'29.09 Kigo-Munyonyo'!D22)</f>
        <v>0.2857142857142857</v>
      </c>
      <c r="E22" s="49">
        <f>AVERAGE('23.09.19 -Kigo-Munyonyo'!E22,'24.09 Kigo-Munyonyo'!E22,'25.09 Kigo-Munyonyo'!E22,'27.09 LWEZA-Munyonyo'!E22,'26.09 Kigo-Munyonyo-24h'!E22,'28.09 Kigo-Munyonyo-24h'!E22,'29.09 Kigo-Munyonyo'!E22)</f>
        <v>0.14285714285714285</v>
      </c>
      <c r="F22" s="49">
        <f>AVERAGE('23.09.19 -Kigo-Munyonyo'!F22,'24.09 Kigo-Munyonyo'!F22,'25.09 Kigo-Munyonyo'!F22,'27.09 LWEZA-Munyonyo'!F22,'26.09 Kigo-Munyonyo-24h'!F22,'28.09 Kigo-Munyonyo-24h'!F22,'29.09 Kigo-Munyonyo'!F22)</f>
        <v>0.14285714285714285</v>
      </c>
      <c r="G22" s="49">
        <f>AVERAGE('23.09.19 -Kigo-Munyonyo'!G22,'24.09 Kigo-Munyonyo'!G22,'25.09 Kigo-Munyonyo'!G22,'27.09 LWEZA-Munyonyo'!G22,'26.09 Kigo-Munyonyo-24h'!G22,'28.09 Kigo-Munyonyo-24h'!G22,'29.09 Kigo-Munyonyo'!G22)</f>
        <v>0</v>
      </c>
      <c r="H22" s="49">
        <f>AVERAGE('23.09.19 -Kigo-Munyonyo'!H22,'24.09 Kigo-Munyonyo'!H22,'25.09 Kigo-Munyonyo'!H22,'27.09 LWEZA-Munyonyo'!H22,'26.09 Kigo-Munyonyo-24h'!H22,'28.09 Kigo-Munyonyo-24h'!H22,'29.09 Kigo-Munyonyo'!H22)</f>
        <v>0</v>
      </c>
      <c r="I22" s="49">
        <f>AVERAGE('23.09.19 -Kigo-Munyonyo'!I22,'24.09 Kigo-Munyonyo'!I22,'25.09 Kigo-Munyonyo'!I22,'27.09 LWEZA-Munyonyo'!I22,'26.09 Kigo-Munyonyo-24h'!I22,'28.09 Kigo-Munyonyo-24h'!I22,'29.09 Kigo-Munyonyo'!I22)</f>
        <v>0</v>
      </c>
      <c r="J22" s="49">
        <f>AVERAGE('23.09.19 -Kigo-Munyonyo'!J22,'24.09 Kigo-Munyonyo'!J22,'25.09 Kigo-Munyonyo'!J22,'27.09 LWEZA-Munyonyo'!J22,'26.09 Kigo-Munyonyo-24h'!J22,'28.09 Kigo-Munyonyo-24h'!J22,'29.09 Kigo-Munyonyo'!J22)</f>
        <v>0</v>
      </c>
      <c r="K22" s="49">
        <f>AVERAGE('23.09.19 -Kigo-Munyonyo'!K22,'24.09 Kigo-Munyonyo'!K22,'25.09 Kigo-Munyonyo'!K22,'27.09 LWEZA-Munyonyo'!K22,'26.09 Kigo-Munyonyo-24h'!K22,'28.09 Kigo-Munyonyo-24h'!K22,'29.09 Kigo-Munyonyo'!K22)</f>
        <v>0</v>
      </c>
      <c r="L22" s="49">
        <f>AVERAGE('23.09.19 -Kigo-Munyonyo'!L22,'24.09 Kigo-Munyonyo'!L22,'25.09 Kigo-Munyonyo'!L22,'27.09 LWEZA-Munyonyo'!L22,'26.09 Kigo-Munyonyo-24h'!L22,'28.09 Kigo-Munyonyo-24h'!L22,'29.09 Kigo-Munyonyo'!L22)</f>
        <v>0</v>
      </c>
      <c r="M22" s="49">
        <f>AVERAGE('23.09.19 -Kigo-Munyonyo'!M22,'24.09 Kigo-Munyonyo'!M22,'25.09 Kigo-Munyonyo'!M22,'27.09 LWEZA-Munyonyo'!M22,'26.09 Kigo-Munyonyo-24h'!M22,'28.09 Kigo-Munyonyo-24h'!M22,'29.09 Kigo-Munyonyo'!M22)</f>
        <v>16.428571428571427</v>
      </c>
      <c r="N22" s="49">
        <f>AVERAGE('23.09.19 -Kigo-Munyonyo'!N22,'24.09 Kigo-Munyonyo'!N22,'25.09 Kigo-Munyonyo'!N22,'27.09 LWEZA-Munyonyo'!N22,'26.09 Kigo-Munyonyo-24h'!N22,'28.09 Kigo-Munyonyo-24h'!N22,'29.09 Kigo-Munyonyo'!N22)</f>
        <v>0</v>
      </c>
      <c r="O22" s="15">
        <f t="shared" si="0"/>
        <v>0.85714285714285698</v>
      </c>
      <c r="P22" s="15">
        <f t="shared" si="1"/>
        <v>17.285714285714285</v>
      </c>
      <c r="R22" s="1" t="s">
        <v>146</v>
      </c>
      <c r="S22" s="34">
        <f>SUM(C58:C61)</f>
        <v>0</v>
      </c>
      <c r="T22" s="34">
        <f t="shared" ref="T22:AF22" si="14">SUM(D58:D61)</f>
        <v>0.5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100.5</v>
      </c>
      <c r="AD22" s="34">
        <f t="shared" si="14"/>
        <v>0</v>
      </c>
      <c r="AE22" s="31">
        <f t="shared" si="14"/>
        <v>0.5</v>
      </c>
      <c r="AF22" s="31">
        <f t="shared" si="14"/>
        <v>101</v>
      </c>
    </row>
    <row r="23" spans="2:32" ht="23.1" customHeight="1" x14ac:dyDescent="0.25">
      <c r="B23" s="23" t="s">
        <v>50</v>
      </c>
      <c r="C23" s="49">
        <f>AVERAGE('23.09.19 -Kigo-Munyonyo'!C23,'24.09 Kigo-Munyonyo'!C23,'25.09 Kigo-Munyonyo'!C23,'27.09 LWEZA-Munyonyo'!C23,'26.09 Kigo-Munyonyo-24h'!C23,'28.09 Kigo-Munyonyo-24h'!C23,'29.09 Kigo-Munyonyo'!C23)</f>
        <v>0.42857142857142855</v>
      </c>
      <c r="D23" s="49">
        <f>AVERAGE('23.09.19 -Kigo-Munyonyo'!D23,'24.09 Kigo-Munyonyo'!D23,'25.09 Kigo-Munyonyo'!D23,'27.09 LWEZA-Munyonyo'!D23,'26.09 Kigo-Munyonyo-24h'!D23,'28.09 Kigo-Munyonyo-24h'!D23,'29.09 Kigo-Munyonyo'!D23)</f>
        <v>0.2857142857142857</v>
      </c>
      <c r="E23" s="49">
        <f>AVERAGE('23.09.19 -Kigo-Munyonyo'!E23,'24.09 Kigo-Munyonyo'!E23,'25.09 Kigo-Munyonyo'!E23,'27.09 LWEZA-Munyonyo'!E23,'26.09 Kigo-Munyonyo-24h'!E23,'28.09 Kigo-Munyonyo-24h'!E23,'29.09 Kigo-Munyonyo'!E23)</f>
        <v>0.14285714285714285</v>
      </c>
      <c r="F23" s="49">
        <f>AVERAGE('23.09.19 -Kigo-Munyonyo'!F23,'24.09 Kigo-Munyonyo'!F23,'25.09 Kigo-Munyonyo'!F23,'27.09 LWEZA-Munyonyo'!F23,'26.09 Kigo-Munyonyo-24h'!F23,'28.09 Kigo-Munyonyo-24h'!F23,'29.09 Kigo-Munyonyo'!F23)</f>
        <v>0</v>
      </c>
      <c r="G23" s="49">
        <f>AVERAGE('23.09.19 -Kigo-Munyonyo'!G23,'24.09 Kigo-Munyonyo'!G23,'25.09 Kigo-Munyonyo'!G23,'27.09 LWEZA-Munyonyo'!G23,'26.09 Kigo-Munyonyo-24h'!G23,'28.09 Kigo-Munyonyo-24h'!G23,'29.09 Kigo-Munyonyo'!G23)</f>
        <v>0</v>
      </c>
      <c r="H23" s="49">
        <f>AVERAGE('23.09.19 -Kigo-Munyonyo'!H23,'24.09 Kigo-Munyonyo'!H23,'25.09 Kigo-Munyonyo'!H23,'27.09 LWEZA-Munyonyo'!H23,'26.09 Kigo-Munyonyo-24h'!H23,'28.09 Kigo-Munyonyo-24h'!H23,'29.09 Kigo-Munyonyo'!H23)</f>
        <v>0</v>
      </c>
      <c r="I23" s="49">
        <f>AVERAGE('23.09.19 -Kigo-Munyonyo'!I23,'24.09 Kigo-Munyonyo'!I23,'25.09 Kigo-Munyonyo'!I23,'27.09 LWEZA-Munyonyo'!I23,'26.09 Kigo-Munyonyo-24h'!I23,'28.09 Kigo-Munyonyo-24h'!I23,'29.09 Kigo-Munyonyo'!I23)</f>
        <v>0</v>
      </c>
      <c r="J23" s="49">
        <f>AVERAGE('23.09.19 -Kigo-Munyonyo'!J23,'24.09 Kigo-Munyonyo'!J23,'25.09 Kigo-Munyonyo'!J23,'27.09 LWEZA-Munyonyo'!J23,'26.09 Kigo-Munyonyo-24h'!J23,'28.09 Kigo-Munyonyo-24h'!J23,'29.09 Kigo-Munyonyo'!J23)</f>
        <v>0</v>
      </c>
      <c r="K23" s="49">
        <f>AVERAGE('23.09.19 -Kigo-Munyonyo'!K23,'24.09 Kigo-Munyonyo'!K23,'25.09 Kigo-Munyonyo'!K23,'27.09 LWEZA-Munyonyo'!K23,'26.09 Kigo-Munyonyo-24h'!K23,'28.09 Kigo-Munyonyo-24h'!K23,'29.09 Kigo-Munyonyo'!K23)</f>
        <v>0.14285714285714285</v>
      </c>
      <c r="L23" s="49">
        <f>AVERAGE('23.09.19 -Kigo-Munyonyo'!L23,'24.09 Kigo-Munyonyo'!L23,'25.09 Kigo-Munyonyo'!L23,'27.09 LWEZA-Munyonyo'!L23,'26.09 Kigo-Munyonyo-24h'!L23,'28.09 Kigo-Munyonyo-24h'!L23,'29.09 Kigo-Munyonyo'!L23)</f>
        <v>0</v>
      </c>
      <c r="M23" s="49">
        <f>AVERAGE('23.09.19 -Kigo-Munyonyo'!M23,'24.09 Kigo-Munyonyo'!M23,'25.09 Kigo-Munyonyo'!M23,'27.09 LWEZA-Munyonyo'!M23,'26.09 Kigo-Munyonyo-24h'!M23,'28.09 Kigo-Munyonyo-24h'!M23,'29.09 Kigo-Munyonyo'!M23)</f>
        <v>19.285714285714285</v>
      </c>
      <c r="N23" s="49">
        <f>AVERAGE('23.09.19 -Kigo-Munyonyo'!N23,'24.09 Kigo-Munyonyo'!N23,'25.09 Kigo-Munyonyo'!N23,'27.09 LWEZA-Munyonyo'!N23,'26.09 Kigo-Munyonyo-24h'!N23,'28.09 Kigo-Munyonyo-24h'!N23,'29.09 Kigo-Munyonyo'!N23)</f>
        <v>0</v>
      </c>
      <c r="O23" s="15">
        <f t="shared" si="0"/>
        <v>0.99999999999999978</v>
      </c>
      <c r="P23" s="15">
        <f t="shared" si="1"/>
        <v>20.285714285714285</v>
      </c>
      <c r="R23" s="1" t="s">
        <v>147</v>
      </c>
      <c r="S23" s="34">
        <f>SUM(C62:C65)</f>
        <v>2.5</v>
      </c>
      <c r="T23" s="34">
        <f t="shared" ref="T23:AF23" si="15">SUM(D62:D65)</f>
        <v>0.5</v>
      </c>
      <c r="U23" s="34">
        <f t="shared" si="15"/>
        <v>0.5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0.5</v>
      </c>
      <c r="Z23" s="34">
        <f t="shared" si="15"/>
        <v>0.5</v>
      </c>
      <c r="AA23" s="34">
        <f t="shared" si="15"/>
        <v>0</v>
      </c>
      <c r="AB23" s="34">
        <f t="shared" si="15"/>
        <v>0</v>
      </c>
      <c r="AC23" s="34">
        <f t="shared" si="15"/>
        <v>92</v>
      </c>
      <c r="AD23" s="34">
        <f t="shared" si="15"/>
        <v>0</v>
      </c>
      <c r="AE23" s="31">
        <f t="shared" si="15"/>
        <v>4.5</v>
      </c>
      <c r="AF23" s="31">
        <f t="shared" si="15"/>
        <v>96.5</v>
      </c>
    </row>
    <row r="24" spans="2:32" ht="23.1" customHeight="1" x14ac:dyDescent="0.25">
      <c r="B24" s="23" t="s">
        <v>51</v>
      </c>
      <c r="C24" s="49">
        <f>AVERAGE('23.09.19 -Kigo-Munyonyo'!C24,'24.09 Kigo-Munyonyo'!C24,'25.09 Kigo-Munyonyo'!C24,'27.09 LWEZA-Munyonyo'!C24,'26.09 Kigo-Munyonyo-24h'!C24,'28.09 Kigo-Munyonyo-24h'!C24,'29.09 Kigo-Munyonyo'!C24)</f>
        <v>0</v>
      </c>
      <c r="D24" s="49">
        <f>AVERAGE('23.09.19 -Kigo-Munyonyo'!D24,'24.09 Kigo-Munyonyo'!D24,'25.09 Kigo-Munyonyo'!D24,'27.09 LWEZA-Munyonyo'!D24,'26.09 Kigo-Munyonyo-24h'!D24,'28.09 Kigo-Munyonyo-24h'!D24,'29.09 Kigo-Munyonyo'!D24)</f>
        <v>0</v>
      </c>
      <c r="E24" s="49">
        <f>AVERAGE('23.09.19 -Kigo-Munyonyo'!E24,'24.09 Kigo-Munyonyo'!E24,'25.09 Kigo-Munyonyo'!E24,'27.09 LWEZA-Munyonyo'!E24,'26.09 Kigo-Munyonyo-24h'!E24,'28.09 Kigo-Munyonyo-24h'!E24,'29.09 Kigo-Munyonyo'!E24)</f>
        <v>0.14285714285714285</v>
      </c>
      <c r="F24" s="49">
        <f>AVERAGE('23.09.19 -Kigo-Munyonyo'!F24,'24.09 Kigo-Munyonyo'!F24,'25.09 Kigo-Munyonyo'!F24,'27.09 LWEZA-Munyonyo'!F24,'26.09 Kigo-Munyonyo-24h'!F24,'28.09 Kigo-Munyonyo-24h'!F24,'29.09 Kigo-Munyonyo'!F24)</f>
        <v>0</v>
      </c>
      <c r="G24" s="49">
        <f>AVERAGE('23.09.19 -Kigo-Munyonyo'!G24,'24.09 Kigo-Munyonyo'!G24,'25.09 Kigo-Munyonyo'!G24,'27.09 LWEZA-Munyonyo'!G24,'26.09 Kigo-Munyonyo-24h'!G24,'28.09 Kigo-Munyonyo-24h'!G24,'29.09 Kigo-Munyonyo'!G24)</f>
        <v>0</v>
      </c>
      <c r="H24" s="49">
        <f>AVERAGE('23.09.19 -Kigo-Munyonyo'!H24,'24.09 Kigo-Munyonyo'!H24,'25.09 Kigo-Munyonyo'!H24,'27.09 LWEZA-Munyonyo'!H24,'26.09 Kigo-Munyonyo-24h'!H24,'28.09 Kigo-Munyonyo-24h'!H24,'29.09 Kigo-Munyonyo'!H24)</f>
        <v>0</v>
      </c>
      <c r="I24" s="49">
        <f>AVERAGE('23.09.19 -Kigo-Munyonyo'!I24,'24.09 Kigo-Munyonyo'!I24,'25.09 Kigo-Munyonyo'!I24,'27.09 LWEZA-Munyonyo'!I24,'26.09 Kigo-Munyonyo-24h'!I24,'28.09 Kigo-Munyonyo-24h'!I24,'29.09 Kigo-Munyonyo'!I24)</f>
        <v>0</v>
      </c>
      <c r="J24" s="49">
        <f>AVERAGE('23.09.19 -Kigo-Munyonyo'!J24,'24.09 Kigo-Munyonyo'!J24,'25.09 Kigo-Munyonyo'!J24,'27.09 LWEZA-Munyonyo'!J24,'26.09 Kigo-Munyonyo-24h'!J24,'28.09 Kigo-Munyonyo-24h'!J24,'29.09 Kigo-Munyonyo'!J24)</f>
        <v>0</v>
      </c>
      <c r="K24" s="49">
        <f>AVERAGE('23.09.19 -Kigo-Munyonyo'!K24,'24.09 Kigo-Munyonyo'!K24,'25.09 Kigo-Munyonyo'!K24,'27.09 LWEZA-Munyonyo'!K24,'26.09 Kigo-Munyonyo-24h'!K24,'28.09 Kigo-Munyonyo-24h'!K24,'29.09 Kigo-Munyonyo'!K24)</f>
        <v>0</v>
      </c>
      <c r="L24" s="49">
        <f>AVERAGE('23.09.19 -Kigo-Munyonyo'!L24,'24.09 Kigo-Munyonyo'!L24,'25.09 Kigo-Munyonyo'!L24,'27.09 LWEZA-Munyonyo'!L24,'26.09 Kigo-Munyonyo-24h'!L24,'28.09 Kigo-Munyonyo-24h'!L24,'29.09 Kigo-Munyonyo'!L24)</f>
        <v>0</v>
      </c>
      <c r="M24" s="49">
        <f>AVERAGE('23.09.19 -Kigo-Munyonyo'!M24,'24.09 Kigo-Munyonyo'!M24,'25.09 Kigo-Munyonyo'!M24,'27.09 LWEZA-Munyonyo'!M24,'26.09 Kigo-Munyonyo-24h'!M24,'28.09 Kigo-Munyonyo-24h'!M24,'29.09 Kigo-Munyonyo'!M24)</f>
        <v>20.571428571428573</v>
      </c>
      <c r="N24" s="49">
        <f>AVERAGE('23.09.19 -Kigo-Munyonyo'!N24,'24.09 Kigo-Munyonyo'!N24,'25.09 Kigo-Munyonyo'!N24,'27.09 LWEZA-Munyonyo'!N24,'26.09 Kigo-Munyonyo-24h'!N24,'28.09 Kigo-Munyonyo-24h'!N24,'29.09 Kigo-Munyonyo'!N24)</f>
        <v>0</v>
      </c>
      <c r="O24" s="15">
        <f t="shared" si="0"/>
        <v>0.14285714285714285</v>
      </c>
      <c r="P24" s="15">
        <f t="shared" si="1"/>
        <v>20.714285714285715</v>
      </c>
      <c r="R24" s="1" t="s">
        <v>148</v>
      </c>
      <c r="S24" s="34">
        <f>SUM(C66:C69)</f>
        <v>2</v>
      </c>
      <c r="T24" s="34">
        <f t="shared" ref="T24:AF24" si="16">SUM(D66:D69)</f>
        <v>0.5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92.5</v>
      </c>
      <c r="AD24" s="34">
        <f t="shared" si="16"/>
        <v>0</v>
      </c>
      <c r="AE24" s="31">
        <f t="shared" si="16"/>
        <v>2.5</v>
      </c>
      <c r="AF24" s="31">
        <f t="shared" si="16"/>
        <v>95</v>
      </c>
    </row>
    <row r="25" spans="2:32" ht="23.1" customHeight="1" x14ac:dyDescent="0.25">
      <c r="B25" s="23" t="s">
        <v>52</v>
      </c>
      <c r="C25" s="49">
        <f>AVERAGE('23.09.19 -Kigo-Munyonyo'!C25,'24.09 Kigo-Munyonyo'!C25,'25.09 Kigo-Munyonyo'!C25,'27.09 LWEZA-Munyonyo'!C25,'26.09 Kigo-Munyonyo-24h'!C25,'28.09 Kigo-Munyonyo-24h'!C25,'29.09 Kigo-Munyonyo'!C25)</f>
        <v>0.14285714285714285</v>
      </c>
      <c r="D25" s="49">
        <f>AVERAGE('23.09.19 -Kigo-Munyonyo'!D25,'24.09 Kigo-Munyonyo'!D25,'25.09 Kigo-Munyonyo'!D25,'27.09 LWEZA-Munyonyo'!D25,'26.09 Kigo-Munyonyo-24h'!D25,'28.09 Kigo-Munyonyo-24h'!D25,'29.09 Kigo-Munyonyo'!D25)</f>
        <v>0</v>
      </c>
      <c r="E25" s="49">
        <f>AVERAGE('23.09.19 -Kigo-Munyonyo'!E25,'24.09 Kigo-Munyonyo'!E25,'25.09 Kigo-Munyonyo'!E25,'27.09 LWEZA-Munyonyo'!E25,'26.09 Kigo-Munyonyo-24h'!E25,'28.09 Kigo-Munyonyo-24h'!E25,'29.09 Kigo-Munyonyo'!E25)</f>
        <v>0</v>
      </c>
      <c r="F25" s="49">
        <f>AVERAGE('23.09.19 -Kigo-Munyonyo'!F25,'24.09 Kigo-Munyonyo'!F25,'25.09 Kigo-Munyonyo'!F25,'27.09 LWEZA-Munyonyo'!F25,'26.09 Kigo-Munyonyo-24h'!F25,'28.09 Kigo-Munyonyo-24h'!F25,'29.09 Kigo-Munyonyo'!F25)</f>
        <v>0</v>
      </c>
      <c r="G25" s="49">
        <f>AVERAGE('23.09.19 -Kigo-Munyonyo'!G25,'24.09 Kigo-Munyonyo'!G25,'25.09 Kigo-Munyonyo'!G25,'27.09 LWEZA-Munyonyo'!G25,'26.09 Kigo-Munyonyo-24h'!G25,'28.09 Kigo-Munyonyo-24h'!G25,'29.09 Kigo-Munyonyo'!G25)</f>
        <v>0</v>
      </c>
      <c r="H25" s="49">
        <f>AVERAGE('23.09.19 -Kigo-Munyonyo'!H25,'24.09 Kigo-Munyonyo'!H25,'25.09 Kigo-Munyonyo'!H25,'27.09 LWEZA-Munyonyo'!H25,'26.09 Kigo-Munyonyo-24h'!H25,'28.09 Kigo-Munyonyo-24h'!H25,'29.09 Kigo-Munyonyo'!H25)</f>
        <v>0</v>
      </c>
      <c r="I25" s="49">
        <f>AVERAGE('23.09.19 -Kigo-Munyonyo'!I25,'24.09 Kigo-Munyonyo'!I25,'25.09 Kigo-Munyonyo'!I25,'27.09 LWEZA-Munyonyo'!I25,'26.09 Kigo-Munyonyo-24h'!I25,'28.09 Kigo-Munyonyo-24h'!I25,'29.09 Kigo-Munyonyo'!I25)</f>
        <v>0</v>
      </c>
      <c r="J25" s="49">
        <f>AVERAGE('23.09.19 -Kigo-Munyonyo'!J25,'24.09 Kigo-Munyonyo'!J25,'25.09 Kigo-Munyonyo'!J25,'27.09 LWEZA-Munyonyo'!J25,'26.09 Kigo-Munyonyo-24h'!J25,'28.09 Kigo-Munyonyo-24h'!J25,'29.09 Kigo-Munyonyo'!J25)</f>
        <v>0</v>
      </c>
      <c r="K25" s="49">
        <f>AVERAGE('23.09.19 -Kigo-Munyonyo'!K25,'24.09 Kigo-Munyonyo'!K25,'25.09 Kigo-Munyonyo'!K25,'27.09 LWEZA-Munyonyo'!K25,'26.09 Kigo-Munyonyo-24h'!K25,'28.09 Kigo-Munyonyo-24h'!K25,'29.09 Kigo-Munyonyo'!K25)</f>
        <v>0.14285714285714285</v>
      </c>
      <c r="L25" s="49">
        <f>AVERAGE('23.09.19 -Kigo-Munyonyo'!L25,'24.09 Kigo-Munyonyo'!L25,'25.09 Kigo-Munyonyo'!L25,'27.09 LWEZA-Munyonyo'!L25,'26.09 Kigo-Munyonyo-24h'!L25,'28.09 Kigo-Munyonyo-24h'!L25,'29.09 Kigo-Munyonyo'!L25)</f>
        <v>0</v>
      </c>
      <c r="M25" s="49">
        <f>AVERAGE('23.09.19 -Kigo-Munyonyo'!M25,'24.09 Kigo-Munyonyo'!M25,'25.09 Kigo-Munyonyo'!M25,'27.09 LWEZA-Munyonyo'!M25,'26.09 Kigo-Munyonyo-24h'!M25,'28.09 Kigo-Munyonyo-24h'!M25,'29.09 Kigo-Munyonyo'!M25)</f>
        <v>15.857142857142858</v>
      </c>
      <c r="N25" s="49">
        <f>AVERAGE('23.09.19 -Kigo-Munyonyo'!N25,'24.09 Kigo-Munyonyo'!N25,'25.09 Kigo-Munyonyo'!N25,'27.09 LWEZA-Munyonyo'!N25,'26.09 Kigo-Munyonyo-24h'!N25,'28.09 Kigo-Munyonyo-24h'!N25,'29.09 Kigo-Munyonyo'!N25)</f>
        <v>0</v>
      </c>
      <c r="O25" s="15">
        <f t="shared" si="0"/>
        <v>0.2857142857142857</v>
      </c>
      <c r="P25" s="15">
        <f t="shared" si="1"/>
        <v>16.142857142857142</v>
      </c>
      <c r="R25" s="1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68.5</v>
      </c>
      <c r="AD25" s="34">
        <f t="shared" si="17"/>
        <v>0</v>
      </c>
      <c r="AE25" s="31">
        <f t="shared" si="17"/>
        <v>2</v>
      </c>
      <c r="AF25" s="31">
        <f t="shared" si="17"/>
        <v>70.5</v>
      </c>
    </row>
    <row r="26" spans="2:32" ht="23.1" customHeight="1" x14ac:dyDescent="0.25">
      <c r="B26" s="23" t="s">
        <v>53</v>
      </c>
      <c r="C26" s="49">
        <f>AVERAGE('23.09.19 -Kigo-Munyonyo'!C26,'24.09 Kigo-Munyonyo'!C26,'25.09 Kigo-Munyonyo'!C26,'27.09 LWEZA-Munyonyo'!C26,'26.09 Kigo-Munyonyo-24h'!C26,'28.09 Kigo-Munyonyo-24h'!C26,'29.09 Kigo-Munyonyo'!C26)</f>
        <v>0</v>
      </c>
      <c r="D26" s="49">
        <f>AVERAGE('23.09.19 -Kigo-Munyonyo'!D26,'24.09 Kigo-Munyonyo'!D26,'25.09 Kigo-Munyonyo'!D26,'27.09 LWEZA-Munyonyo'!D26,'26.09 Kigo-Munyonyo-24h'!D26,'28.09 Kigo-Munyonyo-24h'!D26,'29.09 Kigo-Munyonyo'!D26)</f>
        <v>0.14285714285714285</v>
      </c>
      <c r="E26" s="49">
        <f>AVERAGE('23.09.19 -Kigo-Munyonyo'!E26,'24.09 Kigo-Munyonyo'!E26,'25.09 Kigo-Munyonyo'!E26,'27.09 LWEZA-Munyonyo'!E26,'26.09 Kigo-Munyonyo-24h'!E26,'28.09 Kigo-Munyonyo-24h'!E26,'29.09 Kigo-Munyonyo'!E26)</f>
        <v>0</v>
      </c>
      <c r="F26" s="49">
        <f>AVERAGE('23.09.19 -Kigo-Munyonyo'!F26,'24.09 Kigo-Munyonyo'!F26,'25.09 Kigo-Munyonyo'!F26,'27.09 LWEZA-Munyonyo'!F26,'26.09 Kigo-Munyonyo-24h'!F26,'28.09 Kigo-Munyonyo-24h'!F26,'29.09 Kigo-Munyonyo'!F26)</f>
        <v>0</v>
      </c>
      <c r="G26" s="49">
        <f>AVERAGE('23.09.19 -Kigo-Munyonyo'!G26,'24.09 Kigo-Munyonyo'!G26,'25.09 Kigo-Munyonyo'!G26,'27.09 LWEZA-Munyonyo'!G26,'26.09 Kigo-Munyonyo-24h'!G26,'28.09 Kigo-Munyonyo-24h'!G26,'29.09 Kigo-Munyonyo'!G26)</f>
        <v>0</v>
      </c>
      <c r="H26" s="49">
        <f>AVERAGE('23.09.19 -Kigo-Munyonyo'!H26,'24.09 Kigo-Munyonyo'!H26,'25.09 Kigo-Munyonyo'!H26,'27.09 LWEZA-Munyonyo'!H26,'26.09 Kigo-Munyonyo-24h'!H26,'28.09 Kigo-Munyonyo-24h'!H26,'29.09 Kigo-Munyonyo'!H26)</f>
        <v>0</v>
      </c>
      <c r="I26" s="49">
        <f>AVERAGE('23.09.19 -Kigo-Munyonyo'!I26,'24.09 Kigo-Munyonyo'!I26,'25.09 Kigo-Munyonyo'!I26,'27.09 LWEZA-Munyonyo'!I26,'26.09 Kigo-Munyonyo-24h'!I26,'28.09 Kigo-Munyonyo-24h'!I26,'29.09 Kigo-Munyonyo'!I26)</f>
        <v>0</v>
      </c>
      <c r="J26" s="49">
        <f>AVERAGE('23.09.19 -Kigo-Munyonyo'!J26,'24.09 Kigo-Munyonyo'!J26,'25.09 Kigo-Munyonyo'!J26,'27.09 LWEZA-Munyonyo'!J26,'26.09 Kigo-Munyonyo-24h'!J26,'28.09 Kigo-Munyonyo-24h'!J26,'29.09 Kigo-Munyonyo'!J26)</f>
        <v>0</v>
      </c>
      <c r="K26" s="49">
        <f>AVERAGE('23.09.19 -Kigo-Munyonyo'!K26,'24.09 Kigo-Munyonyo'!K26,'25.09 Kigo-Munyonyo'!K26,'27.09 LWEZA-Munyonyo'!K26,'26.09 Kigo-Munyonyo-24h'!K26,'28.09 Kigo-Munyonyo-24h'!K26,'29.09 Kigo-Munyonyo'!K26)</f>
        <v>0</v>
      </c>
      <c r="L26" s="49">
        <f>AVERAGE('23.09.19 -Kigo-Munyonyo'!L26,'24.09 Kigo-Munyonyo'!L26,'25.09 Kigo-Munyonyo'!L26,'27.09 LWEZA-Munyonyo'!L26,'26.09 Kigo-Munyonyo-24h'!L26,'28.09 Kigo-Munyonyo-24h'!L26,'29.09 Kigo-Munyonyo'!L26)</f>
        <v>0</v>
      </c>
      <c r="M26" s="49">
        <f>AVERAGE('23.09.19 -Kigo-Munyonyo'!M26,'24.09 Kigo-Munyonyo'!M26,'25.09 Kigo-Munyonyo'!M26,'27.09 LWEZA-Munyonyo'!M26,'26.09 Kigo-Munyonyo-24h'!M26,'28.09 Kigo-Munyonyo-24h'!M26,'29.09 Kigo-Munyonyo'!M26)</f>
        <v>21.142857142857142</v>
      </c>
      <c r="N26" s="49">
        <f>AVERAGE('23.09.19 -Kigo-Munyonyo'!N26,'24.09 Kigo-Munyonyo'!N26,'25.09 Kigo-Munyonyo'!N26,'27.09 LWEZA-Munyonyo'!N26,'26.09 Kigo-Munyonyo-24h'!N26,'28.09 Kigo-Munyonyo-24h'!N26,'29.09 Kigo-Munyonyo'!N26)</f>
        <v>0</v>
      </c>
      <c r="O26" s="15">
        <f t="shared" si="0"/>
        <v>0.14285714285714285</v>
      </c>
      <c r="P26" s="15">
        <f t="shared" si="1"/>
        <v>21.285714285714285</v>
      </c>
      <c r="R26" s="1" t="s">
        <v>150</v>
      </c>
      <c r="S26" s="34">
        <f>SUM(C74:C77)</f>
        <v>1</v>
      </c>
      <c r="T26" s="34">
        <f t="shared" ref="T26:AF26" si="18">SUM(D74:D77)</f>
        <v>0.5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53</v>
      </c>
      <c r="AD26" s="34">
        <f t="shared" si="18"/>
        <v>0</v>
      </c>
      <c r="AE26" s="31">
        <f t="shared" si="18"/>
        <v>1.5</v>
      </c>
      <c r="AF26" s="31">
        <f t="shared" si="18"/>
        <v>54.5</v>
      </c>
    </row>
    <row r="27" spans="2:32" ht="23.1" customHeight="1" x14ac:dyDescent="0.25">
      <c r="B27" s="23" t="s">
        <v>54</v>
      </c>
      <c r="C27" s="49">
        <f>AVERAGE('23.09.19 -Kigo-Munyonyo'!C27,'24.09 Kigo-Munyonyo'!C27,'25.09 Kigo-Munyonyo'!C27,'27.09 LWEZA-Munyonyo'!C27,'26.09 Kigo-Munyonyo-24h'!C27,'28.09 Kigo-Munyonyo-24h'!C27,'29.09 Kigo-Munyonyo'!C27)</f>
        <v>0</v>
      </c>
      <c r="D27" s="49">
        <f>AVERAGE('23.09.19 -Kigo-Munyonyo'!D27,'24.09 Kigo-Munyonyo'!D27,'25.09 Kigo-Munyonyo'!D27,'27.09 LWEZA-Munyonyo'!D27,'26.09 Kigo-Munyonyo-24h'!D27,'28.09 Kigo-Munyonyo-24h'!D27,'29.09 Kigo-Munyonyo'!D27)</f>
        <v>0</v>
      </c>
      <c r="E27" s="49">
        <f>AVERAGE('23.09.19 -Kigo-Munyonyo'!E27,'24.09 Kigo-Munyonyo'!E27,'25.09 Kigo-Munyonyo'!E27,'27.09 LWEZA-Munyonyo'!E27,'26.09 Kigo-Munyonyo-24h'!E27,'28.09 Kigo-Munyonyo-24h'!E27,'29.09 Kigo-Munyonyo'!E27)</f>
        <v>0.14285714285714285</v>
      </c>
      <c r="F27" s="49">
        <f>AVERAGE('23.09.19 -Kigo-Munyonyo'!F27,'24.09 Kigo-Munyonyo'!F27,'25.09 Kigo-Munyonyo'!F27,'27.09 LWEZA-Munyonyo'!F27,'26.09 Kigo-Munyonyo-24h'!F27,'28.09 Kigo-Munyonyo-24h'!F27,'29.09 Kigo-Munyonyo'!F27)</f>
        <v>0.42857142857142855</v>
      </c>
      <c r="G27" s="49">
        <f>AVERAGE('23.09.19 -Kigo-Munyonyo'!G27,'24.09 Kigo-Munyonyo'!G27,'25.09 Kigo-Munyonyo'!G27,'27.09 LWEZA-Munyonyo'!G27,'26.09 Kigo-Munyonyo-24h'!G27,'28.09 Kigo-Munyonyo-24h'!G27,'29.09 Kigo-Munyonyo'!G27)</f>
        <v>0</v>
      </c>
      <c r="H27" s="49">
        <f>AVERAGE('23.09.19 -Kigo-Munyonyo'!H27,'24.09 Kigo-Munyonyo'!H27,'25.09 Kigo-Munyonyo'!H27,'27.09 LWEZA-Munyonyo'!H27,'26.09 Kigo-Munyonyo-24h'!H27,'28.09 Kigo-Munyonyo-24h'!H27,'29.09 Kigo-Munyonyo'!H27)</f>
        <v>0</v>
      </c>
      <c r="I27" s="49">
        <f>AVERAGE('23.09.19 -Kigo-Munyonyo'!I27,'24.09 Kigo-Munyonyo'!I27,'25.09 Kigo-Munyonyo'!I27,'27.09 LWEZA-Munyonyo'!I27,'26.09 Kigo-Munyonyo-24h'!I27,'28.09 Kigo-Munyonyo-24h'!I27,'29.09 Kigo-Munyonyo'!I27)</f>
        <v>0.2857142857142857</v>
      </c>
      <c r="J27" s="49">
        <f>AVERAGE('23.09.19 -Kigo-Munyonyo'!J27,'24.09 Kigo-Munyonyo'!J27,'25.09 Kigo-Munyonyo'!J27,'27.09 LWEZA-Munyonyo'!J27,'26.09 Kigo-Munyonyo-24h'!J27,'28.09 Kigo-Munyonyo-24h'!J27,'29.09 Kigo-Munyonyo'!J27)</f>
        <v>0</v>
      </c>
      <c r="K27" s="49">
        <f>AVERAGE('23.09.19 -Kigo-Munyonyo'!K27,'24.09 Kigo-Munyonyo'!K27,'25.09 Kigo-Munyonyo'!K27,'27.09 LWEZA-Munyonyo'!K27,'26.09 Kigo-Munyonyo-24h'!K27,'28.09 Kigo-Munyonyo-24h'!K27,'29.09 Kigo-Munyonyo'!K27)</f>
        <v>0</v>
      </c>
      <c r="L27" s="49">
        <f>AVERAGE('23.09.19 -Kigo-Munyonyo'!L27,'24.09 Kigo-Munyonyo'!L27,'25.09 Kigo-Munyonyo'!L27,'27.09 LWEZA-Munyonyo'!L27,'26.09 Kigo-Munyonyo-24h'!L27,'28.09 Kigo-Munyonyo-24h'!L27,'29.09 Kigo-Munyonyo'!L27)</f>
        <v>0</v>
      </c>
      <c r="M27" s="49">
        <f>AVERAGE('23.09.19 -Kigo-Munyonyo'!M27,'24.09 Kigo-Munyonyo'!M27,'25.09 Kigo-Munyonyo'!M27,'27.09 LWEZA-Munyonyo'!M27,'26.09 Kigo-Munyonyo-24h'!M27,'28.09 Kigo-Munyonyo-24h'!M27,'29.09 Kigo-Munyonyo'!M27)</f>
        <v>16.428571428571427</v>
      </c>
      <c r="N27" s="49">
        <f>AVERAGE('23.09.19 -Kigo-Munyonyo'!N27,'24.09 Kigo-Munyonyo'!N27,'25.09 Kigo-Munyonyo'!N27,'27.09 LWEZA-Munyonyo'!N27,'26.09 Kigo-Munyonyo-24h'!N27,'28.09 Kigo-Munyonyo-24h'!N27,'29.09 Kigo-Munyonyo'!N27)</f>
        <v>0</v>
      </c>
      <c r="O27" s="15">
        <f t="shared" si="0"/>
        <v>0.8571428571428571</v>
      </c>
      <c r="P27" s="15">
        <f t="shared" si="1"/>
        <v>17.285714285714285</v>
      </c>
      <c r="R27" s="1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25.5</v>
      </c>
      <c r="AD27" s="34">
        <f t="shared" si="19"/>
        <v>0</v>
      </c>
      <c r="AE27" s="31">
        <f t="shared" si="19"/>
        <v>1</v>
      </c>
      <c r="AF27" s="31">
        <f t="shared" si="19"/>
        <v>26.5</v>
      </c>
    </row>
    <row r="28" spans="2:32" ht="23.1" customHeight="1" x14ac:dyDescent="0.25">
      <c r="B28" s="23" t="s">
        <v>55</v>
      </c>
      <c r="C28" s="49">
        <f>AVERAGE('23.09.19 -Kigo-Munyonyo'!C28,'24.09 Kigo-Munyonyo'!C28,'25.09 Kigo-Munyonyo'!C28,'27.09 LWEZA-Munyonyo'!C28,'26.09 Kigo-Munyonyo-24h'!C28,'28.09 Kigo-Munyonyo-24h'!C28,'29.09 Kigo-Munyonyo'!C28)</f>
        <v>0.42857142857142855</v>
      </c>
      <c r="D28" s="49">
        <f>AVERAGE('23.09.19 -Kigo-Munyonyo'!D28,'24.09 Kigo-Munyonyo'!D28,'25.09 Kigo-Munyonyo'!D28,'27.09 LWEZA-Munyonyo'!D28,'26.09 Kigo-Munyonyo-24h'!D28,'28.09 Kigo-Munyonyo-24h'!D28,'29.09 Kigo-Munyonyo'!D28)</f>
        <v>0.8571428571428571</v>
      </c>
      <c r="E28" s="49">
        <f>AVERAGE('23.09.19 -Kigo-Munyonyo'!E28,'24.09 Kigo-Munyonyo'!E28,'25.09 Kigo-Munyonyo'!E28,'27.09 LWEZA-Munyonyo'!E28,'26.09 Kigo-Munyonyo-24h'!E28,'28.09 Kigo-Munyonyo-24h'!E28,'29.09 Kigo-Munyonyo'!E28)</f>
        <v>0</v>
      </c>
      <c r="F28" s="49">
        <f>AVERAGE('23.09.19 -Kigo-Munyonyo'!F28,'24.09 Kigo-Munyonyo'!F28,'25.09 Kigo-Munyonyo'!F28,'27.09 LWEZA-Munyonyo'!F28,'26.09 Kigo-Munyonyo-24h'!F28,'28.09 Kigo-Munyonyo-24h'!F28,'29.09 Kigo-Munyonyo'!F28)</f>
        <v>0.14285714285714285</v>
      </c>
      <c r="G28" s="49">
        <f>AVERAGE('23.09.19 -Kigo-Munyonyo'!G28,'24.09 Kigo-Munyonyo'!G28,'25.09 Kigo-Munyonyo'!G28,'27.09 LWEZA-Munyonyo'!G28,'26.09 Kigo-Munyonyo-24h'!G28,'28.09 Kigo-Munyonyo-24h'!G28,'29.09 Kigo-Munyonyo'!G28)</f>
        <v>0</v>
      </c>
      <c r="H28" s="49">
        <f>AVERAGE('23.09.19 -Kigo-Munyonyo'!H28,'24.09 Kigo-Munyonyo'!H28,'25.09 Kigo-Munyonyo'!H28,'27.09 LWEZA-Munyonyo'!H28,'26.09 Kigo-Munyonyo-24h'!H28,'28.09 Kigo-Munyonyo-24h'!H28,'29.09 Kigo-Munyonyo'!H28)</f>
        <v>0</v>
      </c>
      <c r="I28" s="49">
        <f>AVERAGE('23.09.19 -Kigo-Munyonyo'!I28,'24.09 Kigo-Munyonyo'!I28,'25.09 Kigo-Munyonyo'!I28,'27.09 LWEZA-Munyonyo'!I28,'26.09 Kigo-Munyonyo-24h'!I28,'28.09 Kigo-Munyonyo-24h'!I28,'29.09 Kigo-Munyonyo'!I28)</f>
        <v>0</v>
      </c>
      <c r="J28" s="49">
        <f>AVERAGE('23.09.19 -Kigo-Munyonyo'!J28,'24.09 Kigo-Munyonyo'!J28,'25.09 Kigo-Munyonyo'!J28,'27.09 LWEZA-Munyonyo'!J28,'26.09 Kigo-Munyonyo-24h'!J28,'28.09 Kigo-Munyonyo-24h'!J28,'29.09 Kigo-Munyonyo'!J28)</f>
        <v>0</v>
      </c>
      <c r="K28" s="49">
        <f>AVERAGE('23.09.19 -Kigo-Munyonyo'!K28,'24.09 Kigo-Munyonyo'!K28,'25.09 Kigo-Munyonyo'!K28,'27.09 LWEZA-Munyonyo'!K28,'26.09 Kigo-Munyonyo-24h'!K28,'28.09 Kigo-Munyonyo-24h'!K28,'29.09 Kigo-Munyonyo'!K28)</f>
        <v>0.14285714285714285</v>
      </c>
      <c r="L28" s="49">
        <f>AVERAGE('23.09.19 -Kigo-Munyonyo'!L28,'24.09 Kigo-Munyonyo'!L28,'25.09 Kigo-Munyonyo'!L28,'27.09 LWEZA-Munyonyo'!L28,'26.09 Kigo-Munyonyo-24h'!L28,'28.09 Kigo-Munyonyo-24h'!L28,'29.09 Kigo-Munyonyo'!L28)</f>
        <v>0</v>
      </c>
      <c r="M28" s="49">
        <f>AVERAGE('23.09.19 -Kigo-Munyonyo'!M28,'24.09 Kigo-Munyonyo'!M28,'25.09 Kigo-Munyonyo'!M28,'27.09 LWEZA-Munyonyo'!M28,'26.09 Kigo-Munyonyo-24h'!M28,'28.09 Kigo-Munyonyo-24h'!M28,'29.09 Kigo-Munyonyo'!M28)</f>
        <v>20.428571428571427</v>
      </c>
      <c r="N28" s="49">
        <f>AVERAGE('23.09.19 -Kigo-Munyonyo'!N28,'24.09 Kigo-Munyonyo'!N28,'25.09 Kigo-Munyonyo'!N28,'27.09 LWEZA-Munyonyo'!N28,'26.09 Kigo-Munyonyo-24h'!N28,'28.09 Kigo-Munyonyo-24h'!N28,'29.09 Kigo-Munyonyo'!N28)</f>
        <v>0</v>
      </c>
      <c r="O28" s="15">
        <f t="shared" si="0"/>
        <v>1.5714285714285712</v>
      </c>
      <c r="P28" s="15">
        <f t="shared" si="1"/>
        <v>22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11.5</v>
      </c>
      <c r="AD28" s="34">
        <f t="shared" si="20"/>
        <v>0</v>
      </c>
      <c r="AE28" s="31">
        <f t="shared" si="20"/>
        <v>0</v>
      </c>
      <c r="AF28" s="31">
        <f t="shared" si="20"/>
        <v>11.5</v>
      </c>
    </row>
    <row r="29" spans="2:32" ht="23.1" customHeight="1" x14ac:dyDescent="0.25">
      <c r="B29" s="23" t="s">
        <v>56</v>
      </c>
      <c r="C29" s="49">
        <f>AVERAGE('23.09.19 -Kigo-Munyonyo'!C29,'24.09 Kigo-Munyonyo'!C29,'25.09 Kigo-Munyonyo'!C29,'27.09 LWEZA-Munyonyo'!C29,'26.09 Kigo-Munyonyo-24h'!C29,'28.09 Kigo-Munyonyo-24h'!C29,'29.09 Kigo-Munyonyo'!C29)</f>
        <v>0</v>
      </c>
      <c r="D29" s="49">
        <f>AVERAGE('23.09.19 -Kigo-Munyonyo'!D29,'24.09 Kigo-Munyonyo'!D29,'25.09 Kigo-Munyonyo'!D29,'27.09 LWEZA-Munyonyo'!D29,'26.09 Kigo-Munyonyo-24h'!D29,'28.09 Kigo-Munyonyo-24h'!D29,'29.09 Kigo-Munyonyo'!D29)</f>
        <v>0.2857142857142857</v>
      </c>
      <c r="E29" s="49">
        <f>AVERAGE('23.09.19 -Kigo-Munyonyo'!E29,'24.09 Kigo-Munyonyo'!E29,'25.09 Kigo-Munyonyo'!E29,'27.09 LWEZA-Munyonyo'!E29,'26.09 Kigo-Munyonyo-24h'!E29,'28.09 Kigo-Munyonyo-24h'!E29,'29.09 Kigo-Munyonyo'!E29)</f>
        <v>0.14285714285714285</v>
      </c>
      <c r="F29" s="49">
        <f>AVERAGE('23.09.19 -Kigo-Munyonyo'!F29,'24.09 Kigo-Munyonyo'!F29,'25.09 Kigo-Munyonyo'!F29,'27.09 LWEZA-Munyonyo'!F29,'26.09 Kigo-Munyonyo-24h'!F29,'28.09 Kigo-Munyonyo-24h'!F29,'29.09 Kigo-Munyonyo'!F29)</f>
        <v>0</v>
      </c>
      <c r="G29" s="49">
        <f>AVERAGE('23.09.19 -Kigo-Munyonyo'!G29,'24.09 Kigo-Munyonyo'!G29,'25.09 Kigo-Munyonyo'!G29,'27.09 LWEZA-Munyonyo'!G29,'26.09 Kigo-Munyonyo-24h'!G29,'28.09 Kigo-Munyonyo-24h'!G29,'29.09 Kigo-Munyonyo'!G29)</f>
        <v>0</v>
      </c>
      <c r="H29" s="49">
        <f>AVERAGE('23.09.19 -Kigo-Munyonyo'!H29,'24.09 Kigo-Munyonyo'!H29,'25.09 Kigo-Munyonyo'!H29,'27.09 LWEZA-Munyonyo'!H29,'26.09 Kigo-Munyonyo-24h'!H29,'28.09 Kigo-Munyonyo-24h'!H29,'29.09 Kigo-Munyonyo'!H29)</f>
        <v>0</v>
      </c>
      <c r="I29" s="49">
        <f>AVERAGE('23.09.19 -Kigo-Munyonyo'!I29,'24.09 Kigo-Munyonyo'!I29,'25.09 Kigo-Munyonyo'!I29,'27.09 LWEZA-Munyonyo'!I29,'26.09 Kigo-Munyonyo-24h'!I29,'28.09 Kigo-Munyonyo-24h'!I29,'29.09 Kigo-Munyonyo'!I29)</f>
        <v>0.14285714285714285</v>
      </c>
      <c r="J29" s="49">
        <f>AVERAGE('23.09.19 -Kigo-Munyonyo'!J29,'24.09 Kigo-Munyonyo'!J29,'25.09 Kigo-Munyonyo'!J29,'27.09 LWEZA-Munyonyo'!J29,'26.09 Kigo-Munyonyo-24h'!J29,'28.09 Kigo-Munyonyo-24h'!J29,'29.09 Kigo-Munyonyo'!J29)</f>
        <v>0</v>
      </c>
      <c r="K29" s="49">
        <f>AVERAGE('23.09.19 -Kigo-Munyonyo'!K29,'24.09 Kigo-Munyonyo'!K29,'25.09 Kigo-Munyonyo'!K29,'27.09 LWEZA-Munyonyo'!K29,'26.09 Kigo-Munyonyo-24h'!K29,'28.09 Kigo-Munyonyo-24h'!K29,'29.09 Kigo-Munyonyo'!K29)</f>
        <v>0</v>
      </c>
      <c r="L29" s="49">
        <f>AVERAGE('23.09.19 -Kigo-Munyonyo'!L29,'24.09 Kigo-Munyonyo'!L29,'25.09 Kigo-Munyonyo'!L29,'27.09 LWEZA-Munyonyo'!L29,'26.09 Kigo-Munyonyo-24h'!L29,'28.09 Kigo-Munyonyo-24h'!L29,'29.09 Kigo-Munyonyo'!L29)</f>
        <v>0</v>
      </c>
      <c r="M29" s="49">
        <f>AVERAGE('23.09.19 -Kigo-Munyonyo'!M29,'24.09 Kigo-Munyonyo'!M29,'25.09 Kigo-Munyonyo'!M29,'27.09 LWEZA-Munyonyo'!M29,'26.09 Kigo-Munyonyo-24h'!M29,'28.09 Kigo-Munyonyo-24h'!M29,'29.09 Kigo-Munyonyo'!M29)</f>
        <v>20.285714285714285</v>
      </c>
      <c r="N29" s="49">
        <f>AVERAGE('23.09.19 -Kigo-Munyonyo'!N29,'24.09 Kigo-Munyonyo'!N29,'25.09 Kigo-Munyonyo'!N29,'27.09 LWEZA-Munyonyo'!N29,'26.09 Kigo-Munyonyo-24h'!N29,'28.09 Kigo-Munyonyo-24h'!N29,'29.09 Kigo-Munyonyo'!N29)</f>
        <v>0</v>
      </c>
      <c r="O29" s="15">
        <f t="shared" si="0"/>
        <v>0.5714285714285714</v>
      </c>
      <c r="P29" s="15">
        <f t="shared" si="1"/>
        <v>20.857142857142858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6</v>
      </c>
      <c r="AD29" s="34">
        <f t="shared" si="21"/>
        <v>0</v>
      </c>
      <c r="AE29" s="31">
        <f t="shared" si="21"/>
        <v>0.5</v>
      </c>
      <c r="AF29" s="31">
        <f t="shared" si="21"/>
        <v>6.5</v>
      </c>
    </row>
    <row r="30" spans="2:32" ht="23.1" customHeight="1" x14ac:dyDescent="0.25">
      <c r="B30" s="23" t="s">
        <v>57</v>
      </c>
      <c r="C30" s="49">
        <f>AVERAGE('23.09.19 -Kigo-Munyonyo'!C30,'24.09 Kigo-Munyonyo'!C30,'25.09 Kigo-Munyonyo'!C30,'27.09 LWEZA-Munyonyo'!C30,'26.09 Kigo-Munyonyo-24h'!C30,'28.09 Kigo-Munyonyo-24h'!C30,'29.09 Kigo-Munyonyo'!C30)</f>
        <v>0.2857142857142857</v>
      </c>
      <c r="D30" s="49">
        <f>AVERAGE('23.09.19 -Kigo-Munyonyo'!D30,'24.09 Kigo-Munyonyo'!D30,'25.09 Kigo-Munyonyo'!D30,'27.09 LWEZA-Munyonyo'!D30,'26.09 Kigo-Munyonyo-24h'!D30,'28.09 Kigo-Munyonyo-24h'!D30,'29.09 Kigo-Munyonyo'!D30)</f>
        <v>0.42857142857142855</v>
      </c>
      <c r="E30" s="49">
        <f>AVERAGE('23.09.19 -Kigo-Munyonyo'!E30,'24.09 Kigo-Munyonyo'!E30,'25.09 Kigo-Munyonyo'!E30,'27.09 LWEZA-Munyonyo'!E30,'26.09 Kigo-Munyonyo-24h'!E30,'28.09 Kigo-Munyonyo-24h'!E30,'29.09 Kigo-Munyonyo'!E30)</f>
        <v>0</v>
      </c>
      <c r="F30" s="49">
        <f>AVERAGE('23.09.19 -Kigo-Munyonyo'!F30,'24.09 Kigo-Munyonyo'!F30,'25.09 Kigo-Munyonyo'!F30,'27.09 LWEZA-Munyonyo'!F30,'26.09 Kigo-Munyonyo-24h'!F30,'28.09 Kigo-Munyonyo-24h'!F30,'29.09 Kigo-Munyonyo'!F30)</f>
        <v>0</v>
      </c>
      <c r="G30" s="49">
        <f>AVERAGE('23.09.19 -Kigo-Munyonyo'!G30,'24.09 Kigo-Munyonyo'!G30,'25.09 Kigo-Munyonyo'!G30,'27.09 LWEZA-Munyonyo'!G30,'26.09 Kigo-Munyonyo-24h'!G30,'28.09 Kigo-Munyonyo-24h'!G30,'29.09 Kigo-Munyonyo'!G30)</f>
        <v>0</v>
      </c>
      <c r="H30" s="49">
        <f>AVERAGE('23.09.19 -Kigo-Munyonyo'!H30,'24.09 Kigo-Munyonyo'!H30,'25.09 Kigo-Munyonyo'!H30,'27.09 LWEZA-Munyonyo'!H30,'26.09 Kigo-Munyonyo-24h'!H30,'28.09 Kigo-Munyonyo-24h'!H30,'29.09 Kigo-Munyonyo'!H30)</f>
        <v>0</v>
      </c>
      <c r="I30" s="49">
        <f>AVERAGE('23.09.19 -Kigo-Munyonyo'!I30,'24.09 Kigo-Munyonyo'!I30,'25.09 Kigo-Munyonyo'!I30,'27.09 LWEZA-Munyonyo'!I30,'26.09 Kigo-Munyonyo-24h'!I30,'28.09 Kigo-Munyonyo-24h'!I30,'29.09 Kigo-Munyonyo'!I30)</f>
        <v>0.14285714285714285</v>
      </c>
      <c r="J30" s="49">
        <f>AVERAGE('23.09.19 -Kigo-Munyonyo'!J30,'24.09 Kigo-Munyonyo'!J30,'25.09 Kigo-Munyonyo'!J30,'27.09 LWEZA-Munyonyo'!J30,'26.09 Kigo-Munyonyo-24h'!J30,'28.09 Kigo-Munyonyo-24h'!J30,'29.09 Kigo-Munyonyo'!J30)</f>
        <v>0</v>
      </c>
      <c r="K30" s="49">
        <f>AVERAGE('23.09.19 -Kigo-Munyonyo'!K30,'24.09 Kigo-Munyonyo'!K30,'25.09 Kigo-Munyonyo'!K30,'27.09 LWEZA-Munyonyo'!K30,'26.09 Kigo-Munyonyo-24h'!K30,'28.09 Kigo-Munyonyo-24h'!K30,'29.09 Kigo-Munyonyo'!K30)</f>
        <v>0</v>
      </c>
      <c r="L30" s="49">
        <f>AVERAGE('23.09.19 -Kigo-Munyonyo'!L30,'24.09 Kigo-Munyonyo'!L30,'25.09 Kigo-Munyonyo'!L30,'27.09 LWEZA-Munyonyo'!L30,'26.09 Kigo-Munyonyo-24h'!L30,'28.09 Kigo-Munyonyo-24h'!L30,'29.09 Kigo-Munyonyo'!L30)</f>
        <v>0</v>
      </c>
      <c r="M30" s="49">
        <f>AVERAGE('23.09.19 -Kigo-Munyonyo'!M30,'24.09 Kigo-Munyonyo'!M30,'25.09 Kigo-Munyonyo'!M30,'27.09 LWEZA-Munyonyo'!M30,'26.09 Kigo-Munyonyo-24h'!M30,'28.09 Kigo-Munyonyo-24h'!M30,'29.09 Kigo-Munyonyo'!M30)</f>
        <v>16</v>
      </c>
      <c r="N30" s="49">
        <f>AVERAGE('23.09.19 -Kigo-Munyonyo'!N30,'24.09 Kigo-Munyonyo'!N30,'25.09 Kigo-Munyonyo'!N30,'27.09 LWEZA-Munyonyo'!N30,'26.09 Kigo-Munyonyo-24h'!N30,'28.09 Kigo-Munyonyo-24h'!N30,'29.09 Kigo-Munyonyo'!N30)</f>
        <v>0</v>
      </c>
      <c r="O30" s="15">
        <f t="shared" si="0"/>
        <v>0.85714285714285698</v>
      </c>
      <c r="P30" s="15">
        <f t="shared" si="1"/>
        <v>16.857142857142858</v>
      </c>
      <c r="R30" s="1" t="s">
        <v>154</v>
      </c>
      <c r="S30" s="34">
        <f>SUM(C90:C93)</f>
        <v>0.5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10</v>
      </c>
      <c r="AD30" s="34">
        <f t="shared" si="22"/>
        <v>0</v>
      </c>
      <c r="AE30" s="31">
        <f t="shared" si="22"/>
        <v>1</v>
      </c>
      <c r="AF30" s="31">
        <f t="shared" si="22"/>
        <v>11</v>
      </c>
    </row>
    <row r="31" spans="2:32" ht="23.1" customHeight="1" x14ac:dyDescent="0.25">
      <c r="B31" s="24" t="s">
        <v>58</v>
      </c>
      <c r="C31" s="49">
        <f>AVERAGE('23.09.19 -Kigo-Munyonyo'!C31,'24.09 Kigo-Munyonyo'!C31,'25.09 Kigo-Munyonyo'!C31,'27.09 LWEZA-Munyonyo'!C31,'26.09 Kigo-Munyonyo-24h'!C31,'28.09 Kigo-Munyonyo-24h'!C31,'29.09 Kigo-Munyonyo'!C31)</f>
        <v>0.2857142857142857</v>
      </c>
      <c r="D31" s="49">
        <f>AVERAGE('23.09.19 -Kigo-Munyonyo'!D31,'24.09 Kigo-Munyonyo'!D31,'25.09 Kigo-Munyonyo'!D31,'27.09 LWEZA-Munyonyo'!D31,'26.09 Kigo-Munyonyo-24h'!D31,'28.09 Kigo-Munyonyo-24h'!D31,'29.09 Kigo-Munyonyo'!D31)</f>
        <v>0.42857142857142855</v>
      </c>
      <c r="E31" s="49">
        <f>AVERAGE('23.09.19 -Kigo-Munyonyo'!E31,'24.09 Kigo-Munyonyo'!E31,'25.09 Kigo-Munyonyo'!E31,'27.09 LWEZA-Munyonyo'!E31,'26.09 Kigo-Munyonyo-24h'!E31,'28.09 Kigo-Munyonyo-24h'!E31,'29.09 Kigo-Munyonyo'!E31)</f>
        <v>0</v>
      </c>
      <c r="F31" s="49">
        <f>AVERAGE('23.09.19 -Kigo-Munyonyo'!F31,'24.09 Kigo-Munyonyo'!F31,'25.09 Kigo-Munyonyo'!F31,'27.09 LWEZA-Munyonyo'!F31,'26.09 Kigo-Munyonyo-24h'!F31,'28.09 Kigo-Munyonyo-24h'!F31,'29.09 Kigo-Munyonyo'!F31)</f>
        <v>0</v>
      </c>
      <c r="G31" s="49">
        <f>AVERAGE('23.09.19 -Kigo-Munyonyo'!G31,'24.09 Kigo-Munyonyo'!G31,'25.09 Kigo-Munyonyo'!G31,'27.09 LWEZA-Munyonyo'!G31,'26.09 Kigo-Munyonyo-24h'!G31,'28.09 Kigo-Munyonyo-24h'!G31,'29.09 Kigo-Munyonyo'!G31)</f>
        <v>0</v>
      </c>
      <c r="H31" s="49">
        <f>AVERAGE('23.09.19 -Kigo-Munyonyo'!H31,'24.09 Kigo-Munyonyo'!H31,'25.09 Kigo-Munyonyo'!H31,'27.09 LWEZA-Munyonyo'!H31,'26.09 Kigo-Munyonyo-24h'!H31,'28.09 Kigo-Munyonyo-24h'!H31,'29.09 Kigo-Munyonyo'!H31)</f>
        <v>0</v>
      </c>
      <c r="I31" s="49">
        <f>AVERAGE('23.09.19 -Kigo-Munyonyo'!I31,'24.09 Kigo-Munyonyo'!I31,'25.09 Kigo-Munyonyo'!I31,'27.09 LWEZA-Munyonyo'!I31,'26.09 Kigo-Munyonyo-24h'!I31,'28.09 Kigo-Munyonyo-24h'!I31,'29.09 Kigo-Munyonyo'!I31)</f>
        <v>0.14285714285714285</v>
      </c>
      <c r="J31" s="49">
        <f>AVERAGE('23.09.19 -Kigo-Munyonyo'!J31,'24.09 Kigo-Munyonyo'!J31,'25.09 Kigo-Munyonyo'!J31,'27.09 LWEZA-Munyonyo'!J31,'26.09 Kigo-Munyonyo-24h'!J31,'28.09 Kigo-Munyonyo-24h'!J31,'29.09 Kigo-Munyonyo'!J31)</f>
        <v>0</v>
      </c>
      <c r="K31" s="49">
        <f>AVERAGE('23.09.19 -Kigo-Munyonyo'!K31,'24.09 Kigo-Munyonyo'!K31,'25.09 Kigo-Munyonyo'!K31,'27.09 LWEZA-Munyonyo'!K31,'26.09 Kigo-Munyonyo-24h'!K31,'28.09 Kigo-Munyonyo-24h'!K31,'29.09 Kigo-Munyonyo'!K31)</f>
        <v>0.14285714285714285</v>
      </c>
      <c r="L31" s="49">
        <f>AVERAGE('23.09.19 -Kigo-Munyonyo'!L31,'24.09 Kigo-Munyonyo'!L31,'25.09 Kigo-Munyonyo'!L31,'27.09 LWEZA-Munyonyo'!L31,'26.09 Kigo-Munyonyo-24h'!L31,'28.09 Kigo-Munyonyo-24h'!L31,'29.09 Kigo-Munyonyo'!L31)</f>
        <v>0</v>
      </c>
      <c r="M31" s="49">
        <f>AVERAGE('23.09.19 -Kigo-Munyonyo'!M31,'24.09 Kigo-Munyonyo'!M31,'25.09 Kigo-Munyonyo'!M31,'27.09 LWEZA-Munyonyo'!M31,'26.09 Kigo-Munyonyo-24h'!M31,'28.09 Kigo-Munyonyo-24h'!M31,'29.09 Kigo-Munyonyo'!M31)</f>
        <v>16.571428571428573</v>
      </c>
      <c r="N31" s="49">
        <f>AVERAGE('23.09.19 -Kigo-Munyonyo'!N31,'24.09 Kigo-Munyonyo'!N31,'25.09 Kigo-Munyonyo'!N31,'27.09 LWEZA-Munyonyo'!N31,'26.09 Kigo-Munyonyo-24h'!N31,'28.09 Kigo-Munyonyo-24h'!N31,'29.09 Kigo-Munyonyo'!N31)</f>
        <v>0</v>
      </c>
      <c r="O31" s="15">
        <f t="shared" si="0"/>
        <v>0.99999999999999978</v>
      </c>
      <c r="P31" s="15">
        <f t="shared" si="1"/>
        <v>17.571428571428573</v>
      </c>
      <c r="R31" s="1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9</v>
      </c>
      <c r="AD31" s="34">
        <f t="shared" si="23"/>
        <v>0</v>
      </c>
      <c r="AE31" s="31">
        <f t="shared" si="23"/>
        <v>1</v>
      </c>
      <c r="AF31" s="31">
        <f t="shared" si="23"/>
        <v>10</v>
      </c>
    </row>
    <row r="32" spans="2:32" ht="23.1" customHeight="1" x14ac:dyDescent="0.25">
      <c r="B32" s="24" t="s">
        <v>59</v>
      </c>
      <c r="C32" s="49">
        <f>AVERAGE('23.09.19 -Kigo-Munyonyo'!C32,'24.09 Kigo-Munyonyo'!C32,'25.09 Kigo-Munyonyo'!C32,'27.09 LWEZA-Munyonyo'!C32,'26.09 Kigo-Munyonyo-24h'!C32,'28.09 Kigo-Munyonyo-24h'!C32,'29.09 Kigo-Munyonyo'!C32)</f>
        <v>0.14285714285714285</v>
      </c>
      <c r="D32" s="49">
        <f>AVERAGE('23.09.19 -Kigo-Munyonyo'!D32,'24.09 Kigo-Munyonyo'!D32,'25.09 Kigo-Munyonyo'!D32,'27.09 LWEZA-Munyonyo'!D32,'26.09 Kigo-Munyonyo-24h'!D32,'28.09 Kigo-Munyonyo-24h'!D32,'29.09 Kigo-Munyonyo'!D32)</f>
        <v>0.2857142857142857</v>
      </c>
      <c r="E32" s="49">
        <f>AVERAGE('23.09.19 -Kigo-Munyonyo'!E32,'24.09 Kigo-Munyonyo'!E32,'25.09 Kigo-Munyonyo'!E32,'27.09 LWEZA-Munyonyo'!E32,'26.09 Kigo-Munyonyo-24h'!E32,'28.09 Kigo-Munyonyo-24h'!E32,'29.09 Kigo-Munyonyo'!E32)</f>
        <v>0</v>
      </c>
      <c r="F32" s="49">
        <f>AVERAGE('23.09.19 -Kigo-Munyonyo'!F32,'24.09 Kigo-Munyonyo'!F32,'25.09 Kigo-Munyonyo'!F32,'27.09 LWEZA-Munyonyo'!F32,'26.09 Kigo-Munyonyo-24h'!F32,'28.09 Kigo-Munyonyo-24h'!F32,'29.09 Kigo-Munyonyo'!F32)</f>
        <v>0</v>
      </c>
      <c r="G32" s="49">
        <f>AVERAGE('23.09.19 -Kigo-Munyonyo'!G32,'24.09 Kigo-Munyonyo'!G32,'25.09 Kigo-Munyonyo'!G32,'27.09 LWEZA-Munyonyo'!G32,'26.09 Kigo-Munyonyo-24h'!G32,'28.09 Kigo-Munyonyo-24h'!G32,'29.09 Kigo-Munyonyo'!G32)</f>
        <v>0</v>
      </c>
      <c r="H32" s="49">
        <f>AVERAGE('23.09.19 -Kigo-Munyonyo'!H32,'24.09 Kigo-Munyonyo'!H32,'25.09 Kigo-Munyonyo'!H32,'27.09 LWEZA-Munyonyo'!H32,'26.09 Kigo-Munyonyo-24h'!H32,'28.09 Kigo-Munyonyo-24h'!H32,'29.09 Kigo-Munyonyo'!H32)</f>
        <v>0</v>
      </c>
      <c r="I32" s="49">
        <f>AVERAGE('23.09.19 -Kigo-Munyonyo'!I32,'24.09 Kigo-Munyonyo'!I32,'25.09 Kigo-Munyonyo'!I32,'27.09 LWEZA-Munyonyo'!I32,'26.09 Kigo-Munyonyo-24h'!I32,'28.09 Kigo-Munyonyo-24h'!I32,'29.09 Kigo-Munyonyo'!I32)</f>
        <v>0.2857142857142857</v>
      </c>
      <c r="J32" s="49">
        <f>AVERAGE('23.09.19 -Kigo-Munyonyo'!J32,'24.09 Kigo-Munyonyo'!J32,'25.09 Kigo-Munyonyo'!J32,'27.09 LWEZA-Munyonyo'!J32,'26.09 Kigo-Munyonyo-24h'!J32,'28.09 Kigo-Munyonyo-24h'!J32,'29.09 Kigo-Munyonyo'!J32)</f>
        <v>0</v>
      </c>
      <c r="K32" s="49">
        <f>AVERAGE('23.09.19 -Kigo-Munyonyo'!K32,'24.09 Kigo-Munyonyo'!K32,'25.09 Kigo-Munyonyo'!K32,'27.09 LWEZA-Munyonyo'!K32,'26.09 Kigo-Munyonyo-24h'!K32,'28.09 Kigo-Munyonyo-24h'!K32,'29.09 Kigo-Munyonyo'!K32)</f>
        <v>0</v>
      </c>
      <c r="L32" s="49">
        <f>AVERAGE('23.09.19 -Kigo-Munyonyo'!L32,'24.09 Kigo-Munyonyo'!L32,'25.09 Kigo-Munyonyo'!L32,'27.09 LWEZA-Munyonyo'!L32,'26.09 Kigo-Munyonyo-24h'!L32,'28.09 Kigo-Munyonyo-24h'!L32,'29.09 Kigo-Munyonyo'!L32)</f>
        <v>0</v>
      </c>
      <c r="M32" s="49">
        <f>AVERAGE('23.09.19 -Kigo-Munyonyo'!M32,'24.09 Kigo-Munyonyo'!M32,'25.09 Kigo-Munyonyo'!M32,'27.09 LWEZA-Munyonyo'!M32,'26.09 Kigo-Munyonyo-24h'!M32,'28.09 Kigo-Munyonyo-24h'!M32,'29.09 Kigo-Munyonyo'!M32)</f>
        <v>16.142857142857142</v>
      </c>
      <c r="N32" s="49">
        <f>AVERAGE('23.09.19 -Kigo-Munyonyo'!N32,'24.09 Kigo-Munyonyo'!N32,'25.09 Kigo-Munyonyo'!N32,'27.09 LWEZA-Munyonyo'!N32,'26.09 Kigo-Munyonyo-24h'!N32,'28.09 Kigo-Munyonyo-24h'!N32,'29.09 Kigo-Munyonyo'!N32)</f>
        <v>0</v>
      </c>
      <c r="O32" s="15">
        <f t="shared" si="0"/>
        <v>0.71428571428571419</v>
      </c>
      <c r="P32" s="15">
        <f t="shared" si="1"/>
        <v>16.857142857142858</v>
      </c>
      <c r="R32" s="1" t="s">
        <v>156</v>
      </c>
      <c r="S32" s="34">
        <f>SUM(C98:C101)</f>
        <v>1.5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0.5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10</v>
      </c>
      <c r="AD32" s="34">
        <f t="shared" si="24"/>
        <v>0</v>
      </c>
      <c r="AE32" s="31">
        <f t="shared" si="24"/>
        <v>2</v>
      </c>
      <c r="AF32" s="31">
        <f t="shared" si="24"/>
        <v>12</v>
      </c>
    </row>
    <row r="33" spans="2:32" ht="23.1" customHeight="1" x14ac:dyDescent="0.25">
      <c r="B33" s="23" t="s">
        <v>60</v>
      </c>
      <c r="C33" s="49">
        <f>AVERAGE('23.09.19 -Kigo-Munyonyo'!C33,'24.09 Kigo-Munyonyo'!C33,'25.09 Kigo-Munyonyo'!C33,'27.09 LWEZA-Munyonyo'!C33,'26.09 Kigo-Munyonyo-24h'!C33,'28.09 Kigo-Munyonyo-24h'!C33,'29.09 Kigo-Munyonyo'!C33)</f>
        <v>0.2857142857142857</v>
      </c>
      <c r="D33" s="49">
        <f>AVERAGE('23.09.19 -Kigo-Munyonyo'!D33,'24.09 Kigo-Munyonyo'!D33,'25.09 Kigo-Munyonyo'!D33,'27.09 LWEZA-Munyonyo'!D33,'26.09 Kigo-Munyonyo-24h'!D33,'28.09 Kigo-Munyonyo-24h'!D33,'29.09 Kigo-Munyonyo'!D33)</f>
        <v>0.42857142857142855</v>
      </c>
      <c r="E33" s="49">
        <f>AVERAGE('23.09.19 -Kigo-Munyonyo'!E33,'24.09 Kigo-Munyonyo'!E33,'25.09 Kigo-Munyonyo'!E33,'27.09 LWEZA-Munyonyo'!E33,'26.09 Kigo-Munyonyo-24h'!E33,'28.09 Kigo-Munyonyo-24h'!E33,'29.09 Kigo-Munyonyo'!E33)</f>
        <v>0.14285714285714285</v>
      </c>
      <c r="F33" s="49">
        <f>AVERAGE('23.09.19 -Kigo-Munyonyo'!F33,'24.09 Kigo-Munyonyo'!F33,'25.09 Kigo-Munyonyo'!F33,'27.09 LWEZA-Munyonyo'!F33,'26.09 Kigo-Munyonyo-24h'!F33,'28.09 Kigo-Munyonyo-24h'!F33,'29.09 Kigo-Munyonyo'!F33)</f>
        <v>0</v>
      </c>
      <c r="G33" s="49">
        <f>AVERAGE('23.09.19 -Kigo-Munyonyo'!G33,'24.09 Kigo-Munyonyo'!G33,'25.09 Kigo-Munyonyo'!G33,'27.09 LWEZA-Munyonyo'!G33,'26.09 Kigo-Munyonyo-24h'!G33,'28.09 Kigo-Munyonyo-24h'!G33,'29.09 Kigo-Munyonyo'!G33)</f>
        <v>0</v>
      </c>
      <c r="H33" s="49">
        <f>AVERAGE('23.09.19 -Kigo-Munyonyo'!H33,'24.09 Kigo-Munyonyo'!H33,'25.09 Kigo-Munyonyo'!H33,'27.09 LWEZA-Munyonyo'!H33,'26.09 Kigo-Munyonyo-24h'!H33,'28.09 Kigo-Munyonyo-24h'!H33,'29.09 Kigo-Munyonyo'!H33)</f>
        <v>0</v>
      </c>
      <c r="I33" s="49">
        <f>AVERAGE('23.09.19 -Kigo-Munyonyo'!I33,'24.09 Kigo-Munyonyo'!I33,'25.09 Kigo-Munyonyo'!I33,'27.09 LWEZA-Munyonyo'!I33,'26.09 Kigo-Munyonyo-24h'!I33,'28.09 Kigo-Munyonyo-24h'!I33,'29.09 Kigo-Munyonyo'!I33)</f>
        <v>0</v>
      </c>
      <c r="J33" s="49">
        <f>AVERAGE('23.09.19 -Kigo-Munyonyo'!J33,'24.09 Kigo-Munyonyo'!J33,'25.09 Kigo-Munyonyo'!J33,'27.09 LWEZA-Munyonyo'!J33,'26.09 Kigo-Munyonyo-24h'!J33,'28.09 Kigo-Munyonyo-24h'!J33,'29.09 Kigo-Munyonyo'!J33)</f>
        <v>0</v>
      </c>
      <c r="K33" s="49">
        <f>AVERAGE('23.09.19 -Kigo-Munyonyo'!K33,'24.09 Kigo-Munyonyo'!K33,'25.09 Kigo-Munyonyo'!K33,'27.09 LWEZA-Munyonyo'!K33,'26.09 Kigo-Munyonyo-24h'!K33,'28.09 Kigo-Munyonyo-24h'!K33,'29.09 Kigo-Munyonyo'!K33)</f>
        <v>0</v>
      </c>
      <c r="L33" s="49">
        <f>AVERAGE('23.09.19 -Kigo-Munyonyo'!L33,'24.09 Kigo-Munyonyo'!L33,'25.09 Kigo-Munyonyo'!L33,'27.09 LWEZA-Munyonyo'!L33,'26.09 Kigo-Munyonyo-24h'!L33,'28.09 Kigo-Munyonyo-24h'!L33,'29.09 Kigo-Munyonyo'!L33)</f>
        <v>0</v>
      </c>
      <c r="M33" s="49">
        <f>AVERAGE('23.09.19 -Kigo-Munyonyo'!M33,'24.09 Kigo-Munyonyo'!M33,'25.09 Kigo-Munyonyo'!M33,'27.09 LWEZA-Munyonyo'!M33,'26.09 Kigo-Munyonyo-24h'!M33,'28.09 Kigo-Munyonyo-24h'!M33,'29.09 Kigo-Munyonyo'!M33)</f>
        <v>14</v>
      </c>
      <c r="N33" s="49">
        <f>AVERAGE('23.09.19 -Kigo-Munyonyo'!N33,'24.09 Kigo-Munyonyo'!N33,'25.09 Kigo-Munyonyo'!N33,'27.09 LWEZA-Munyonyo'!N33,'26.09 Kigo-Munyonyo-24h'!N33,'28.09 Kigo-Munyonyo-24h'!N33,'29.09 Kigo-Munyonyo'!N33)</f>
        <v>0</v>
      </c>
      <c r="O33" s="15">
        <f t="shared" si="0"/>
        <v>0.85714285714285698</v>
      </c>
      <c r="P33" s="15">
        <f t="shared" si="1"/>
        <v>14.857142857142858</v>
      </c>
      <c r="R33" s="1" t="s">
        <v>157</v>
      </c>
      <c r="S33" s="34">
        <f>SUM(C102:C105)</f>
        <v>2</v>
      </c>
      <c r="T33" s="34">
        <f t="shared" ref="T33:AF33" si="25">SUM(D102:D105)</f>
        <v>0.5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52</v>
      </c>
      <c r="AD33" s="34">
        <f t="shared" si="25"/>
        <v>0</v>
      </c>
      <c r="AE33" s="31">
        <f t="shared" si="25"/>
        <v>2.5</v>
      </c>
      <c r="AF33" s="31">
        <f t="shared" si="25"/>
        <v>54.5</v>
      </c>
    </row>
    <row r="34" spans="2:32" ht="23.1" customHeight="1" x14ac:dyDescent="0.25">
      <c r="B34" s="24" t="s">
        <v>61</v>
      </c>
      <c r="C34" s="49">
        <f>AVERAGE('23.09.19 -Kigo-Munyonyo'!C34,'24.09 Kigo-Munyonyo'!C34,'25.09 Kigo-Munyonyo'!C34,'27.09 LWEZA-Munyonyo'!C34,'26.09 Kigo-Munyonyo-24h'!C34,'28.09 Kigo-Munyonyo-24h'!C34,'29.09 Kigo-Munyonyo'!C34)</f>
        <v>0.42857142857142855</v>
      </c>
      <c r="D34" s="49">
        <f>AVERAGE('23.09.19 -Kigo-Munyonyo'!D34,'24.09 Kigo-Munyonyo'!D34,'25.09 Kigo-Munyonyo'!D34,'27.09 LWEZA-Munyonyo'!D34,'26.09 Kigo-Munyonyo-24h'!D34,'28.09 Kigo-Munyonyo-24h'!D34,'29.09 Kigo-Munyonyo'!D34)</f>
        <v>0.14285714285714285</v>
      </c>
      <c r="E34" s="49">
        <f>AVERAGE('23.09.19 -Kigo-Munyonyo'!E34,'24.09 Kigo-Munyonyo'!E34,'25.09 Kigo-Munyonyo'!E34,'27.09 LWEZA-Munyonyo'!E34,'26.09 Kigo-Munyonyo-24h'!E34,'28.09 Kigo-Munyonyo-24h'!E34,'29.09 Kigo-Munyonyo'!E34)</f>
        <v>0</v>
      </c>
      <c r="F34" s="49">
        <f>AVERAGE('23.09.19 -Kigo-Munyonyo'!F34,'24.09 Kigo-Munyonyo'!F34,'25.09 Kigo-Munyonyo'!F34,'27.09 LWEZA-Munyonyo'!F34,'26.09 Kigo-Munyonyo-24h'!F34,'28.09 Kigo-Munyonyo-24h'!F34,'29.09 Kigo-Munyonyo'!F34)</f>
        <v>0</v>
      </c>
      <c r="G34" s="49">
        <f>AVERAGE('23.09.19 -Kigo-Munyonyo'!G34,'24.09 Kigo-Munyonyo'!G34,'25.09 Kigo-Munyonyo'!G34,'27.09 LWEZA-Munyonyo'!G34,'26.09 Kigo-Munyonyo-24h'!G34,'28.09 Kigo-Munyonyo-24h'!G34,'29.09 Kigo-Munyonyo'!G34)</f>
        <v>0</v>
      </c>
      <c r="H34" s="49">
        <f>AVERAGE('23.09.19 -Kigo-Munyonyo'!H34,'24.09 Kigo-Munyonyo'!H34,'25.09 Kigo-Munyonyo'!H34,'27.09 LWEZA-Munyonyo'!H34,'26.09 Kigo-Munyonyo-24h'!H34,'28.09 Kigo-Munyonyo-24h'!H34,'29.09 Kigo-Munyonyo'!H34)</f>
        <v>0</v>
      </c>
      <c r="I34" s="49">
        <f>AVERAGE('23.09.19 -Kigo-Munyonyo'!I34,'24.09 Kigo-Munyonyo'!I34,'25.09 Kigo-Munyonyo'!I34,'27.09 LWEZA-Munyonyo'!I34,'26.09 Kigo-Munyonyo-24h'!I34,'28.09 Kigo-Munyonyo-24h'!I34,'29.09 Kigo-Munyonyo'!I34)</f>
        <v>0</v>
      </c>
      <c r="J34" s="49">
        <f>AVERAGE('23.09.19 -Kigo-Munyonyo'!J34,'24.09 Kigo-Munyonyo'!J34,'25.09 Kigo-Munyonyo'!J34,'27.09 LWEZA-Munyonyo'!J34,'26.09 Kigo-Munyonyo-24h'!J34,'28.09 Kigo-Munyonyo-24h'!J34,'29.09 Kigo-Munyonyo'!J34)</f>
        <v>0.2857142857142857</v>
      </c>
      <c r="K34" s="49">
        <f>AVERAGE('23.09.19 -Kigo-Munyonyo'!K34,'24.09 Kigo-Munyonyo'!K34,'25.09 Kigo-Munyonyo'!K34,'27.09 LWEZA-Munyonyo'!K34,'26.09 Kigo-Munyonyo-24h'!K34,'28.09 Kigo-Munyonyo-24h'!K34,'29.09 Kigo-Munyonyo'!K34)</f>
        <v>0</v>
      </c>
      <c r="L34" s="49">
        <f>AVERAGE('23.09.19 -Kigo-Munyonyo'!L34,'24.09 Kigo-Munyonyo'!L34,'25.09 Kigo-Munyonyo'!L34,'27.09 LWEZA-Munyonyo'!L34,'26.09 Kigo-Munyonyo-24h'!L34,'28.09 Kigo-Munyonyo-24h'!L34,'29.09 Kigo-Munyonyo'!L34)</f>
        <v>0</v>
      </c>
      <c r="M34" s="49">
        <f>AVERAGE('23.09.19 -Kigo-Munyonyo'!M34,'24.09 Kigo-Munyonyo'!M34,'25.09 Kigo-Munyonyo'!M34,'27.09 LWEZA-Munyonyo'!M34,'26.09 Kigo-Munyonyo-24h'!M34,'28.09 Kigo-Munyonyo-24h'!M34,'29.09 Kigo-Munyonyo'!M34)</f>
        <v>15.142857142857142</v>
      </c>
      <c r="N34" s="49">
        <f>AVERAGE('23.09.19 -Kigo-Munyonyo'!N34,'24.09 Kigo-Munyonyo'!N34,'25.09 Kigo-Munyonyo'!N34,'27.09 LWEZA-Munyonyo'!N34,'26.09 Kigo-Munyonyo-24h'!N34,'28.09 Kigo-Munyonyo-24h'!N34,'29.09 Kigo-Munyonyo'!N34)</f>
        <v>0</v>
      </c>
      <c r="O34" s="15">
        <f t="shared" si="0"/>
        <v>0.8571428571428571</v>
      </c>
      <c r="P34" s="15">
        <f t="shared" si="1"/>
        <v>16</v>
      </c>
      <c r="R34" s="51" t="s">
        <v>90</v>
      </c>
      <c r="S34" s="52">
        <f t="shared" ref="S34:AF34" si="26">MAX(S10:S12)</f>
        <v>1.7142857142857142</v>
      </c>
      <c r="T34" s="52">
        <f t="shared" si="26"/>
        <v>1.7142857142857144</v>
      </c>
      <c r="U34" s="52">
        <f t="shared" si="26"/>
        <v>1</v>
      </c>
      <c r="V34" s="52">
        <f t="shared" si="26"/>
        <v>0.5714285714285714</v>
      </c>
      <c r="W34" s="52">
        <f t="shared" si="26"/>
        <v>0.2857142857142857</v>
      </c>
      <c r="X34" s="52">
        <f t="shared" si="26"/>
        <v>0.14285714285714285</v>
      </c>
      <c r="Y34" s="52">
        <f t="shared" si="26"/>
        <v>0.2857142857142857</v>
      </c>
      <c r="Z34" s="52">
        <f t="shared" si="26"/>
        <v>0.14285714285714285</v>
      </c>
      <c r="AA34" s="52">
        <f t="shared" si="26"/>
        <v>0.14285714285714285</v>
      </c>
      <c r="AB34" s="52">
        <f t="shared" si="26"/>
        <v>0</v>
      </c>
      <c r="AC34" s="52">
        <f t="shared" si="26"/>
        <v>114.42857142857143</v>
      </c>
      <c r="AD34" s="52">
        <f t="shared" si="26"/>
        <v>0</v>
      </c>
      <c r="AE34" s="40">
        <f t="shared" si="26"/>
        <v>4.4285714285714288</v>
      </c>
      <c r="AF34" s="40">
        <f t="shared" si="26"/>
        <v>117.57142857142857</v>
      </c>
    </row>
    <row r="35" spans="2:32" ht="23.1" customHeight="1" x14ac:dyDescent="0.25">
      <c r="B35" s="24" t="s">
        <v>62</v>
      </c>
      <c r="C35" s="49">
        <f>AVERAGE('23.09.19 -Kigo-Munyonyo'!C35,'24.09 Kigo-Munyonyo'!C35,'25.09 Kigo-Munyonyo'!C35,'27.09 LWEZA-Munyonyo'!C35,'26.09 Kigo-Munyonyo-24h'!C35,'28.09 Kigo-Munyonyo-24h'!C35,'29.09 Kigo-Munyonyo'!C35)</f>
        <v>0.2857142857142857</v>
      </c>
      <c r="D35" s="49">
        <f>AVERAGE('23.09.19 -Kigo-Munyonyo'!D35,'24.09 Kigo-Munyonyo'!D35,'25.09 Kigo-Munyonyo'!D35,'27.09 LWEZA-Munyonyo'!D35,'26.09 Kigo-Munyonyo-24h'!D35,'28.09 Kigo-Munyonyo-24h'!D35,'29.09 Kigo-Munyonyo'!D35)</f>
        <v>0</v>
      </c>
      <c r="E35" s="49">
        <f>AVERAGE('23.09.19 -Kigo-Munyonyo'!E35,'24.09 Kigo-Munyonyo'!E35,'25.09 Kigo-Munyonyo'!E35,'27.09 LWEZA-Munyonyo'!E35,'26.09 Kigo-Munyonyo-24h'!E35,'28.09 Kigo-Munyonyo-24h'!E35,'29.09 Kigo-Munyonyo'!E35)</f>
        <v>0.42857142857142855</v>
      </c>
      <c r="F35" s="49">
        <f>AVERAGE('23.09.19 -Kigo-Munyonyo'!F35,'24.09 Kigo-Munyonyo'!F35,'25.09 Kigo-Munyonyo'!F35,'27.09 LWEZA-Munyonyo'!F35,'26.09 Kigo-Munyonyo-24h'!F35,'28.09 Kigo-Munyonyo-24h'!F35,'29.09 Kigo-Munyonyo'!F35)</f>
        <v>0</v>
      </c>
      <c r="G35" s="49">
        <f>AVERAGE('23.09.19 -Kigo-Munyonyo'!G35,'24.09 Kigo-Munyonyo'!G35,'25.09 Kigo-Munyonyo'!G35,'27.09 LWEZA-Munyonyo'!G35,'26.09 Kigo-Munyonyo-24h'!G35,'28.09 Kigo-Munyonyo-24h'!G35,'29.09 Kigo-Munyonyo'!G35)</f>
        <v>0</v>
      </c>
      <c r="H35" s="49">
        <f>AVERAGE('23.09.19 -Kigo-Munyonyo'!H35,'24.09 Kigo-Munyonyo'!H35,'25.09 Kigo-Munyonyo'!H35,'27.09 LWEZA-Munyonyo'!H35,'26.09 Kigo-Munyonyo-24h'!H35,'28.09 Kigo-Munyonyo-24h'!H35,'29.09 Kigo-Munyonyo'!H35)</f>
        <v>0</v>
      </c>
      <c r="I35" s="49">
        <f>AVERAGE('23.09.19 -Kigo-Munyonyo'!I35,'24.09 Kigo-Munyonyo'!I35,'25.09 Kigo-Munyonyo'!I35,'27.09 LWEZA-Munyonyo'!I35,'26.09 Kigo-Munyonyo-24h'!I35,'28.09 Kigo-Munyonyo-24h'!I35,'29.09 Kigo-Munyonyo'!I35)</f>
        <v>0</v>
      </c>
      <c r="J35" s="49">
        <f>AVERAGE('23.09.19 -Kigo-Munyonyo'!J35,'24.09 Kigo-Munyonyo'!J35,'25.09 Kigo-Munyonyo'!J35,'27.09 LWEZA-Munyonyo'!J35,'26.09 Kigo-Munyonyo-24h'!J35,'28.09 Kigo-Munyonyo-24h'!J35,'29.09 Kigo-Munyonyo'!J35)</f>
        <v>0</v>
      </c>
      <c r="K35" s="49">
        <f>AVERAGE('23.09.19 -Kigo-Munyonyo'!K35,'24.09 Kigo-Munyonyo'!K35,'25.09 Kigo-Munyonyo'!K35,'27.09 LWEZA-Munyonyo'!K35,'26.09 Kigo-Munyonyo-24h'!K35,'28.09 Kigo-Munyonyo-24h'!K35,'29.09 Kigo-Munyonyo'!K35)</f>
        <v>0</v>
      </c>
      <c r="L35" s="49">
        <f>AVERAGE('23.09.19 -Kigo-Munyonyo'!L35,'24.09 Kigo-Munyonyo'!L35,'25.09 Kigo-Munyonyo'!L35,'27.09 LWEZA-Munyonyo'!L35,'26.09 Kigo-Munyonyo-24h'!L35,'28.09 Kigo-Munyonyo-24h'!L35,'29.09 Kigo-Munyonyo'!L35)</f>
        <v>0</v>
      </c>
      <c r="M35" s="49">
        <f>AVERAGE('23.09.19 -Kigo-Munyonyo'!M35,'24.09 Kigo-Munyonyo'!M35,'25.09 Kigo-Munyonyo'!M35,'27.09 LWEZA-Munyonyo'!M35,'26.09 Kigo-Munyonyo-24h'!M35,'28.09 Kigo-Munyonyo-24h'!M35,'29.09 Kigo-Munyonyo'!M35)</f>
        <v>13.857142857142858</v>
      </c>
      <c r="N35" s="49">
        <f>AVERAGE('23.09.19 -Kigo-Munyonyo'!N35,'24.09 Kigo-Munyonyo'!N35,'25.09 Kigo-Munyonyo'!N35,'27.09 LWEZA-Munyonyo'!N35,'26.09 Kigo-Munyonyo-24h'!N35,'28.09 Kigo-Munyonyo-24h'!N35,'29.09 Kigo-Munyonyo'!N35)</f>
        <v>0</v>
      </c>
      <c r="O35" s="15">
        <f t="shared" si="0"/>
        <v>0.71428571428571419</v>
      </c>
      <c r="P35" s="15">
        <f t="shared" si="1"/>
        <v>14.571428571428571</v>
      </c>
      <c r="R35" s="51" t="s">
        <v>91</v>
      </c>
      <c r="S35" s="52">
        <f t="shared" ref="S35:AF35" si="27">MAX(S13:S18)</f>
        <v>1.4285714285714284</v>
      </c>
      <c r="T35" s="52">
        <f t="shared" si="27"/>
        <v>1.5714285714285714</v>
      </c>
      <c r="U35" s="52">
        <f t="shared" si="27"/>
        <v>0.5714285714285714</v>
      </c>
      <c r="V35" s="52">
        <f t="shared" si="27"/>
        <v>0.71428571428571419</v>
      </c>
      <c r="W35" s="52">
        <f t="shared" si="27"/>
        <v>0</v>
      </c>
      <c r="X35" s="52">
        <f t="shared" si="27"/>
        <v>0</v>
      </c>
      <c r="Y35" s="52">
        <f t="shared" si="27"/>
        <v>0.5714285714285714</v>
      </c>
      <c r="Z35" s="52">
        <f t="shared" si="27"/>
        <v>0.2857142857142857</v>
      </c>
      <c r="AA35" s="52">
        <f t="shared" si="27"/>
        <v>0.2857142857142857</v>
      </c>
      <c r="AB35" s="52">
        <f t="shared" si="27"/>
        <v>0</v>
      </c>
      <c r="AC35" s="52">
        <f t="shared" si="27"/>
        <v>78.285714285714278</v>
      </c>
      <c r="AD35" s="52">
        <f t="shared" si="27"/>
        <v>0</v>
      </c>
      <c r="AE35" s="40">
        <f t="shared" si="27"/>
        <v>3.4285714285714279</v>
      </c>
      <c r="AF35" s="40">
        <f t="shared" si="27"/>
        <v>81.428571428571431</v>
      </c>
    </row>
    <row r="36" spans="2:32" ht="23.1" customHeight="1" x14ac:dyDescent="0.25">
      <c r="B36" s="24" t="s">
        <v>63</v>
      </c>
      <c r="C36" s="49">
        <f>AVERAGE('23.09.19 -Kigo-Munyonyo'!C36,'24.09 Kigo-Munyonyo'!C36,'25.09 Kigo-Munyonyo'!C36,'27.09 LWEZA-Munyonyo'!C36,'26.09 Kigo-Munyonyo-24h'!C36,'28.09 Kigo-Munyonyo-24h'!C36,'29.09 Kigo-Munyonyo'!C36)</f>
        <v>0</v>
      </c>
      <c r="D36" s="49">
        <f>AVERAGE('23.09.19 -Kigo-Munyonyo'!D36,'24.09 Kigo-Munyonyo'!D36,'25.09 Kigo-Munyonyo'!D36,'27.09 LWEZA-Munyonyo'!D36,'26.09 Kigo-Munyonyo-24h'!D36,'28.09 Kigo-Munyonyo-24h'!D36,'29.09 Kigo-Munyonyo'!D36)</f>
        <v>0.14285714285714285</v>
      </c>
      <c r="E36" s="49">
        <f>AVERAGE('23.09.19 -Kigo-Munyonyo'!E36,'24.09 Kigo-Munyonyo'!E36,'25.09 Kigo-Munyonyo'!E36,'27.09 LWEZA-Munyonyo'!E36,'26.09 Kigo-Munyonyo-24h'!E36,'28.09 Kigo-Munyonyo-24h'!E36,'29.09 Kigo-Munyonyo'!E36)</f>
        <v>0.14285714285714285</v>
      </c>
      <c r="F36" s="49">
        <f>AVERAGE('23.09.19 -Kigo-Munyonyo'!F36,'24.09 Kigo-Munyonyo'!F36,'25.09 Kigo-Munyonyo'!F36,'27.09 LWEZA-Munyonyo'!F36,'26.09 Kigo-Munyonyo-24h'!F36,'28.09 Kigo-Munyonyo-24h'!F36,'29.09 Kigo-Munyonyo'!F36)</f>
        <v>0.14285714285714285</v>
      </c>
      <c r="G36" s="49">
        <f>AVERAGE('23.09.19 -Kigo-Munyonyo'!G36,'24.09 Kigo-Munyonyo'!G36,'25.09 Kigo-Munyonyo'!G36,'27.09 LWEZA-Munyonyo'!G36,'26.09 Kigo-Munyonyo-24h'!G36,'28.09 Kigo-Munyonyo-24h'!G36,'29.09 Kigo-Munyonyo'!G36)</f>
        <v>0</v>
      </c>
      <c r="H36" s="49">
        <f>AVERAGE('23.09.19 -Kigo-Munyonyo'!H36,'24.09 Kigo-Munyonyo'!H36,'25.09 Kigo-Munyonyo'!H36,'27.09 LWEZA-Munyonyo'!H36,'26.09 Kigo-Munyonyo-24h'!H36,'28.09 Kigo-Munyonyo-24h'!H36,'29.09 Kigo-Munyonyo'!H36)</f>
        <v>0</v>
      </c>
      <c r="I36" s="49">
        <f>AVERAGE('23.09.19 -Kigo-Munyonyo'!I36,'24.09 Kigo-Munyonyo'!I36,'25.09 Kigo-Munyonyo'!I36,'27.09 LWEZA-Munyonyo'!I36,'26.09 Kigo-Munyonyo-24h'!I36,'28.09 Kigo-Munyonyo-24h'!I36,'29.09 Kigo-Munyonyo'!I36)</f>
        <v>0</v>
      </c>
      <c r="J36" s="49">
        <f>AVERAGE('23.09.19 -Kigo-Munyonyo'!J36,'24.09 Kigo-Munyonyo'!J36,'25.09 Kigo-Munyonyo'!J36,'27.09 LWEZA-Munyonyo'!J36,'26.09 Kigo-Munyonyo-24h'!J36,'28.09 Kigo-Munyonyo-24h'!J36,'29.09 Kigo-Munyonyo'!J36)</f>
        <v>0</v>
      </c>
      <c r="K36" s="49">
        <f>AVERAGE('23.09.19 -Kigo-Munyonyo'!K36,'24.09 Kigo-Munyonyo'!K36,'25.09 Kigo-Munyonyo'!K36,'27.09 LWEZA-Munyonyo'!K36,'26.09 Kigo-Munyonyo-24h'!K36,'28.09 Kigo-Munyonyo-24h'!K36,'29.09 Kigo-Munyonyo'!K36)</f>
        <v>0</v>
      </c>
      <c r="L36" s="49">
        <f>AVERAGE('23.09.19 -Kigo-Munyonyo'!L36,'24.09 Kigo-Munyonyo'!L36,'25.09 Kigo-Munyonyo'!L36,'27.09 LWEZA-Munyonyo'!L36,'26.09 Kigo-Munyonyo-24h'!L36,'28.09 Kigo-Munyonyo-24h'!L36,'29.09 Kigo-Munyonyo'!L36)</f>
        <v>0</v>
      </c>
      <c r="M36" s="49">
        <f>AVERAGE('23.09.19 -Kigo-Munyonyo'!M36,'24.09 Kigo-Munyonyo'!M36,'25.09 Kigo-Munyonyo'!M36,'27.09 LWEZA-Munyonyo'!M36,'26.09 Kigo-Munyonyo-24h'!M36,'28.09 Kigo-Munyonyo-24h'!M36,'29.09 Kigo-Munyonyo'!M36)</f>
        <v>12</v>
      </c>
      <c r="N36" s="49">
        <f>AVERAGE('23.09.19 -Kigo-Munyonyo'!N36,'24.09 Kigo-Munyonyo'!N36,'25.09 Kigo-Munyonyo'!N36,'27.09 LWEZA-Munyonyo'!N36,'26.09 Kigo-Munyonyo-24h'!N36,'28.09 Kigo-Munyonyo-24h'!N36,'29.09 Kigo-Munyonyo'!N36)</f>
        <v>0</v>
      </c>
      <c r="O36" s="15">
        <f t="shared" si="0"/>
        <v>0.42857142857142855</v>
      </c>
      <c r="P36" s="15">
        <f t="shared" si="1"/>
        <v>12.428571428571429</v>
      </c>
      <c r="R36" s="51" t="s">
        <v>92</v>
      </c>
      <c r="S36" s="52">
        <f t="shared" ref="S36:AF36" si="28">MAX(S19:S21)</f>
        <v>2.2857142857142856</v>
      </c>
      <c r="T36" s="52">
        <f t="shared" si="28"/>
        <v>2.4285714285714284</v>
      </c>
      <c r="U36" s="52">
        <f t="shared" si="28"/>
        <v>0.2857142857142857</v>
      </c>
      <c r="V36" s="52">
        <f t="shared" si="28"/>
        <v>0.8571428571428571</v>
      </c>
      <c r="W36" s="52">
        <f t="shared" si="28"/>
        <v>0</v>
      </c>
      <c r="X36" s="52">
        <f t="shared" si="28"/>
        <v>0</v>
      </c>
      <c r="Y36" s="52">
        <f t="shared" si="28"/>
        <v>0.71428571428571419</v>
      </c>
      <c r="Z36" s="52">
        <f t="shared" si="28"/>
        <v>0.2857142857142857</v>
      </c>
      <c r="AA36" s="52">
        <f t="shared" si="28"/>
        <v>0.14285714285714285</v>
      </c>
      <c r="AB36" s="52">
        <f t="shared" si="28"/>
        <v>0</v>
      </c>
      <c r="AC36" s="52">
        <f t="shared" si="28"/>
        <v>84.857142857142861</v>
      </c>
      <c r="AD36" s="52">
        <f t="shared" si="28"/>
        <v>0</v>
      </c>
      <c r="AE36" s="40">
        <f t="shared" si="28"/>
        <v>5.5714285714285712</v>
      </c>
      <c r="AF36" s="40">
        <f t="shared" si="28"/>
        <v>90.428571428571416</v>
      </c>
    </row>
    <row r="37" spans="2:32" ht="23.1" customHeight="1" x14ac:dyDescent="0.25">
      <c r="B37" s="23" t="s">
        <v>64</v>
      </c>
      <c r="C37" s="49">
        <f>AVERAGE('23.09.19 -Kigo-Munyonyo'!C37,'24.09 Kigo-Munyonyo'!C37,'25.09 Kigo-Munyonyo'!C37,'27.09 LWEZA-Munyonyo'!C37,'26.09 Kigo-Munyonyo-24h'!C37,'28.09 Kigo-Munyonyo-24h'!C37,'29.09 Kigo-Munyonyo'!C37)</f>
        <v>0.7142857142857143</v>
      </c>
      <c r="D37" s="49">
        <f>AVERAGE('23.09.19 -Kigo-Munyonyo'!D37,'24.09 Kigo-Munyonyo'!D37,'25.09 Kigo-Munyonyo'!D37,'27.09 LWEZA-Munyonyo'!D37,'26.09 Kigo-Munyonyo-24h'!D37,'28.09 Kigo-Munyonyo-24h'!D37,'29.09 Kigo-Munyonyo'!D37)</f>
        <v>0</v>
      </c>
      <c r="E37" s="49">
        <f>AVERAGE('23.09.19 -Kigo-Munyonyo'!E37,'24.09 Kigo-Munyonyo'!E37,'25.09 Kigo-Munyonyo'!E37,'27.09 LWEZA-Munyonyo'!E37,'26.09 Kigo-Munyonyo-24h'!E37,'28.09 Kigo-Munyonyo-24h'!E37,'29.09 Kigo-Munyonyo'!E37)</f>
        <v>0</v>
      </c>
      <c r="F37" s="49">
        <f>AVERAGE('23.09.19 -Kigo-Munyonyo'!F37,'24.09 Kigo-Munyonyo'!F37,'25.09 Kigo-Munyonyo'!F37,'27.09 LWEZA-Munyonyo'!F37,'26.09 Kigo-Munyonyo-24h'!F37,'28.09 Kigo-Munyonyo-24h'!F37,'29.09 Kigo-Munyonyo'!F37)</f>
        <v>0.2857142857142857</v>
      </c>
      <c r="G37" s="49">
        <f>AVERAGE('23.09.19 -Kigo-Munyonyo'!G37,'24.09 Kigo-Munyonyo'!G37,'25.09 Kigo-Munyonyo'!G37,'27.09 LWEZA-Munyonyo'!G37,'26.09 Kigo-Munyonyo-24h'!G37,'28.09 Kigo-Munyonyo-24h'!G37,'29.09 Kigo-Munyonyo'!G37)</f>
        <v>0</v>
      </c>
      <c r="H37" s="49">
        <f>AVERAGE('23.09.19 -Kigo-Munyonyo'!H37,'24.09 Kigo-Munyonyo'!H37,'25.09 Kigo-Munyonyo'!H37,'27.09 LWEZA-Munyonyo'!H37,'26.09 Kigo-Munyonyo-24h'!H37,'28.09 Kigo-Munyonyo-24h'!H37,'29.09 Kigo-Munyonyo'!H37)</f>
        <v>0</v>
      </c>
      <c r="I37" s="49">
        <f>AVERAGE('23.09.19 -Kigo-Munyonyo'!I37,'24.09 Kigo-Munyonyo'!I37,'25.09 Kigo-Munyonyo'!I37,'27.09 LWEZA-Munyonyo'!I37,'26.09 Kigo-Munyonyo-24h'!I37,'28.09 Kigo-Munyonyo-24h'!I37,'29.09 Kigo-Munyonyo'!I37)</f>
        <v>0</v>
      </c>
      <c r="J37" s="49">
        <f>AVERAGE('23.09.19 -Kigo-Munyonyo'!J37,'24.09 Kigo-Munyonyo'!J37,'25.09 Kigo-Munyonyo'!J37,'27.09 LWEZA-Munyonyo'!J37,'26.09 Kigo-Munyonyo-24h'!J37,'28.09 Kigo-Munyonyo-24h'!J37,'29.09 Kigo-Munyonyo'!J37)</f>
        <v>0</v>
      </c>
      <c r="K37" s="49">
        <f>AVERAGE('23.09.19 -Kigo-Munyonyo'!K37,'24.09 Kigo-Munyonyo'!K37,'25.09 Kigo-Munyonyo'!K37,'27.09 LWEZA-Munyonyo'!K37,'26.09 Kigo-Munyonyo-24h'!K37,'28.09 Kigo-Munyonyo-24h'!K37,'29.09 Kigo-Munyonyo'!K37)</f>
        <v>0</v>
      </c>
      <c r="L37" s="49">
        <f>AVERAGE('23.09.19 -Kigo-Munyonyo'!L37,'24.09 Kigo-Munyonyo'!L37,'25.09 Kigo-Munyonyo'!L37,'27.09 LWEZA-Munyonyo'!L37,'26.09 Kigo-Munyonyo-24h'!L37,'28.09 Kigo-Munyonyo-24h'!L37,'29.09 Kigo-Munyonyo'!L37)</f>
        <v>0</v>
      </c>
      <c r="M37" s="49">
        <f>AVERAGE('23.09.19 -Kigo-Munyonyo'!M37,'24.09 Kigo-Munyonyo'!M37,'25.09 Kigo-Munyonyo'!M37,'27.09 LWEZA-Munyonyo'!M37,'26.09 Kigo-Munyonyo-24h'!M37,'28.09 Kigo-Munyonyo-24h'!M37,'29.09 Kigo-Munyonyo'!M37)</f>
        <v>8.4285714285714288</v>
      </c>
      <c r="N37" s="49">
        <f>AVERAGE('23.09.19 -Kigo-Munyonyo'!N37,'24.09 Kigo-Munyonyo'!N37,'25.09 Kigo-Munyonyo'!N37,'27.09 LWEZA-Munyonyo'!N37,'26.09 Kigo-Munyonyo-24h'!N37,'28.09 Kigo-Munyonyo-24h'!N37,'29.09 Kigo-Munyonyo'!N37)</f>
        <v>0</v>
      </c>
      <c r="O37" s="15">
        <f t="shared" si="0"/>
        <v>1</v>
      </c>
      <c r="P37" s="15">
        <f t="shared" si="1"/>
        <v>9.4285714285714288</v>
      </c>
      <c r="R37" s="37" t="s">
        <v>85</v>
      </c>
      <c r="S37" s="56">
        <f t="shared" ref="S37:AF37" si="29">SUM(S10:S12)</f>
        <v>3.2857142857142856</v>
      </c>
      <c r="T37" s="57">
        <f t="shared" si="29"/>
        <v>3.5714285714285712</v>
      </c>
      <c r="U37" s="57">
        <f t="shared" si="29"/>
        <v>1.7142857142857142</v>
      </c>
      <c r="V37" s="57">
        <f t="shared" si="29"/>
        <v>0.5714285714285714</v>
      </c>
      <c r="W37" s="57">
        <f t="shared" si="29"/>
        <v>0.2857142857142857</v>
      </c>
      <c r="X37" s="57">
        <f t="shared" si="29"/>
        <v>0.14285714285714285</v>
      </c>
      <c r="Y37" s="57">
        <f t="shared" si="29"/>
        <v>0.2857142857142857</v>
      </c>
      <c r="Z37" s="57">
        <f t="shared" si="29"/>
        <v>0.14285714285714285</v>
      </c>
      <c r="AA37" s="57">
        <f t="shared" si="29"/>
        <v>0.14285714285714285</v>
      </c>
      <c r="AB37" s="57">
        <f t="shared" si="29"/>
        <v>0</v>
      </c>
      <c r="AC37" s="57">
        <f t="shared" si="29"/>
        <v>273.85714285714289</v>
      </c>
      <c r="AD37" s="57">
        <f t="shared" si="29"/>
        <v>0</v>
      </c>
      <c r="AE37" s="58">
        <f t="shared" si="29"/>
        <v>10.142857142857142</v>
      </c>
      <c r="AF37" s="58">
        <f t="shared" si="29"/>
        <v>284</v>
      </c>
    </row>
    <row r="38" spans="2:32" ht="23.1" customHeight="1" x14ac:dyDescent="0.25">
      <c r="B38" s="24" t="s">
        <v>65</v>
      </c>
      <c r="C38" s="49">
        <f>AVERAGE('23.09.19 -Kigo-Munyonyo'!C38,'24.09 Kigo-Munyonyo'!C38,'25.09 Kigo-Munyonyo'!C38,'27.09 LWEZA-Munyonyo'!C38,'26.09 Kigo-Munyonyo-24h'!C38,'28.09 Kigo-Munyonyo-24h'!C38,'29.09 Kigo-Munyonyo'!C38)</f>
        <v>0.2857142857142857</v>
      </c>
      <c r="D38" s="49">
        <f>AVERAGE('23.09.19 -Kigo-Munyonyo'!D38,'24.09 Kigo-Munyonyo'!D38,'25.09 Kigo-Munyonyo'!D38,'27.09 LWEZA-Munyonyo'!D38,'26.09 Kigo-Munyonyo-24h'!D38,'28.09 Kigo-Munyonyo-24h'!D38,'29.09 Kigo-Munyonyo'!D38)</f>
        <v>0</v>
      </c>
      <c r="E38" s="49">
        <f>AVERAGE('23.09.19 -Kigo-Munyonyo'!E38,'24.09 Kigo-Munyonyo'!E38,'25.09 Kigo-Munyonyo'!E38,'27.09 LWEZA-Munyonyo'!E38,'26.09 Kigo-Munyonyo-24h'!E38,'28.09 Kigo-Munyonyo-24h'!E38,'29.09 Kigo-Munyonyo'!E38)</f>
        <v>0.14285714285714285</v>
      </c>
      <c r="F38" s="49">
        <f>AVERAGE('23.09.19 -Kigo-Munyonyo'!F38,'24.09 Kigo-Munyonyo'!F38,'25.09 Kigo-Munyonyo'!F38,'27.09 LWEZA-Munyonyo'!F38,'26.09 Kigo-Munyonyo-24h'!F38,'28.09 Kigo-Munyonyo-24h'!F38,'29.09 Kigo-Munyonyo'!F38)</f>
        <v>0</v>
      </c>
      <c r="G38" s="49">
        <f>AVERAGE('23.09.19 -Kigo-Munyonyo'!G38,'24.09 Kigo-Munyonyo'!G38,'25.09 Kigo-Munyonyo'!G38,'27.09 LWEZA-Munyonyo'!G38,'26.09 Kigo-Munyonyo-24h'!G38,'28.09 Kigo-Munyonyo-24h'!G38,'29.09 Kigo-Munyonyo'!G38)</f>
        <v>0</v>
      </c>
      <c r="H38" s="49">
        <f>AVERAGE('23.09.19 -Kigo-Munyonyo'!H38,'24.09 Kigo-Munyonyo'!H38,'25.09 Kigo-Munyonyo'!H38,'27.09 LWEZA-Munyonyo'!H38,'26.09 Kigo-Munyonyo-24h'!H38,'28.09 Kigo-Munyonyo-24h'!H38,'29.09 Kigo-Munyonyo'!H38)</f>
        <v>0</v>
      </c>
      <c r="I38" s="49">
        <f>AVERAGE('23.09.19 -Kigo-Munyonyo'!I38,'24.09 Kigo-Munyonyo'!I38,'25.09 Kigo-Munyonyo'!I38,'27.09 LWEZA-Munyonyo'!I38,'26.09 Kigo-Munyonyo-24h'!I38,'28.09 Kigo-Munyonyo-24h'!I38,'29.09 Kigo-Munyonyo'!I38)</f>
        <v>0</v>
      </c>
      <c r="J38" s="49">
        <f>AVERAGE('23.09.19 -Kigo-Munyonyo'!J38,'24.09 Kigo-Munyonyo'!J38,'25.09 Kigo-Munyonyo'!J38,'27.09 LWEZA-Munyonyo'!J38,'26.09 Kigo-Munyonyo-24h'!J38,'28.09 Kigo-Munyonyo-24h'!J38,'29.09 Kigo-Munyonyo'!J38)</f>
        <v>0</v>
      </c>
      <c r="K38" s="49">
        <f>AVERAGE('23.09.19 -Kigo-Munyonyo'!K38,'24.09 Kigo-Munyonyo'!K38,'25.09 Kigo-Munyonyo'!K38,'27.09 LWEZA-Munyonyo'!K38,'26.09 Kigo-Munyonyo-24h'!K38,'28.09 Kigo-Munyonyo-24h'!K38,'29.09 Kigo-Munyonyo'!K38)</f>
        <v>0</v>
      </c>
      <c r="L38" s="49">
        <f>AVERAGE('23.09.19 -Kigo-Munyonyo'!L38,'24.09 Kigo-Munyonyo'!L38,'25.09 Kigo-Munyonyo'!L38,'27.09 LWEZA-Munyonyo'!L38,'26.09 Kigo-Munyonyo-24h'!L38,'28.09 Kigo-Munyonyo-24h'!L38,'29.09 Kigo-Munyonyo'!L38)</f>
        <v>0</v>
      </c>
      <c r="M38" s="49">
        <f>AVERAGE('23.09.19 -Kigo-Munyonyo'!M38,'24.09 Kigo-Munyonyo'!M38,'25.09 Kigo-Munyonyo'!M38,'27.09 LWEZA-Munyonyo'!M38,'26.09 Kigo-Munyonyo-24h'!M38,'28.09 Kigo-Munyonyo-24h'!M38,'29.09 Kigo-Munyonyo'!M38)</f>
        <v>16</v>
      </c>
      <c r="N38" s="49">
        <f>AVERAGE('23.09.19 -Kigo-Munyonyo'!N38,'24.09 Kigo-Munyonyo'!N38,'25.09 Kigo-Munyonyo'!N38,'27.09 LWEZA-Munyonyo'!N38,'26.09 Kigo-Munyonyo-24h'!N38,'28.09 Kigo-Munyonyo-24h'!N38,'29.09 Kigo-Munyonyo'!N38)</f>
        <v>0</v>
      </c>
      <c r="O38" s="15">
        <f t="shared" si="0"/>
        <v>0.42857142857142855</v>
      </c>
      <c r="P38" s="15">
        <f t="shared" si="1"/>
        <v>16.428571428571427</v>
      </c>
      <c r="R38" s="28" t="s">
        <v>86</v>
      </c>
      <c r="S38" s="57">
        <f t="shared" ref="S38:AF38" si="30">SUM(S13:S18)</f>
        <v>5.5714285714285712</v>
      </c>
      <c r="T38" s="57">
        <f t="shared" si="30"/>
        <v>4.8571428571428568</v>
      </c>
      <c r="U38" s="57">
        <f t="shared" si="30"/>
        <v>2.2857142857142856</v>
      </c>
      <c r="V38" s="57">
        <f t="shared" si="30"/>
        <v>2.1428571428571423</v>
      </c>
      <c r="W38" s="57">
        <f t="shared" si="30"/>
        <v>0</v>
      </c>
      <c r="X38" s="57">
        <f t="shared" si="30"/>
        <v>0</v>
      </c>
      <c r="Y38" s="57">
        <f t="shared" si="30"/>
        <v>1.2857142857142856</v>
      </c>
      <c r="Z38" s="57">
        <f t="shared" si="30"/>
        <v>0.42857142857142855</v>
      </c>
      <c r="AA38" s="57">
        <f t="shared" si="30"/>
        <v>0.71428571428571419</v>
      </c>
      <c r="AB38" s="57">
        <f t="shared" si="30"/>
        <v>0</v>
      </c>
      <c r="AC38" s="57">
        <f t="shared" si="30"/>
        <v>373.28571428571428</v>
      </c>
      <c r="AD38" s="57">
        <f t="shared" si="30"/>
        <v>0</v>
      </c>
      <c r="AE38" s="58">
        <f t="shared" si="30"/>
        <v>17.285714285714281</v>
      </c>
      <c r="AF38" s="58">
        <f t="shared" si="30"/>
        <v>390.57142857142861</v>
      </c>
    </row>
    <row r="39" spans="2:32" ht="23.1" customHeight="1" x14ac:dyDescent="0.25">
      <c r="B39" s="24" t="s">
        <v>66</v>
      </c>
      <c r="C39" s="49">
        <f>AVERAGE('23.09.19 -Kigo-Munyonyo'!C39,'24.09 Kigo-Munyonyo'!C39,'25.09 Kigo-Munyonyo'!C39,'27.09 LWEZA-Munyonyo'!C39,'26.09 Kigo-Munyonyo-24h'!C39,'28.09 Kigo-Munyonyo-24h'!C39,'29.09 Kigo-Munyonyo'!C39)</f>
        <v>0.2857142857142857</v>
      </c>
      <c r="D39" s="49">
        <f>AVERAGE('23.09.19 -Kigo-Munyonyo'!D39,'24.09 Kigo-Munyonyo'!D39,'25.09 Kigo-Munyonyo'!D39,'27.09 LWEZA-Munyonyo'!D39,'26.09 Kigo-Munyonyo-24h'!D39,'28.09 Kigo-Munyonyo-24h'!D39,'29.09 Kigo-Munyonyo'!D39)</f>
        <v>0.14285714285714285</v>
      </c>
      <c r="E39" s="49">
        <f>AVERAGE('23.09.19 -Kigo-Munyonyo'!E39,'24.09 Kigo-Munyonyo'!E39,'25.09 Kigo-Munyonyo'!E39,'27.09 LWEZA-Munyonyo'!E39,'26.09 Kigo-Munyonyo-24h'!E39,'28.09 Kigo-Munyonyo-24h'!E39,'29.09 Kigo-Munyonyo'!E39)</f>
        <v>0.14285714285714285</v>
      </c>
      <c r="F39" s="49">
        <f>AVERAGE('23.09.19 -Kigo-Munyonyo'!F39,'24.09 Kigo-Munyonyo'!F39,'25.09 Kigo-Munyonyo'!F39,'27.09 LWEZA-Munyonyo'!F39,'26.09 Kigo-Munyonyo-24h'!F39,'28.09 Kigo-Munyonyo-24h'!F39,'29.09 Kigo-Munyonyo'!F39)</f>
        <v>0.2857142857142857</v>
      </c>
      <c r="G39" s="49">
        <f>AVERAGE('23.09.19 -Kigo-Munyonyo'!G39,'24.09 Kigo-Munyonyo'!G39,'25.09 Kigo-Munyonyo'!G39,'27.09 LWEZA-Munyonyo'!G39,'26.09 Kigo-Munyonyo-24h'!G39,'28.09 Kigo-Munyonyo-24h'!G39,'29.09 Kigo-Munyonyo'!G39)</f>
        <v>0</v>
      </c>
      <c r="H39" s="49">
        <f>AVERAGE('23.09.19 -Kigo-Munyonyo'!H39,'24.09 Kigo-Munyonyo'!H39,'25.09 Kigo-Munyonyo'!H39,'27.09 LWEZA-Munyonyo'!H39,'26.09 Kigo-Munyonyo-24h'!H39,'28.09 Kigo-Munyonyo-24h'!H39,'29.09 Kigo-Munyonyo'!H39)</f>
        <v>0</v>
      </c>
      <c r="I39" s="49">
        <f>AVERAGE('23.09.19 -Kigo-Munyonyo'!I39,'24.09 Kigo-Munyonyo'!I39,'25.09 Kigo-Munyonyo'!I39,'27.09 LWEZA-Munyonyo'!I39,'26.09 Kigo-Munyonyo-24h'!I39,'28.09 Kigo-Munyonyo-24h'!I39,'29.09 Kigo-Munyonyo'!I39)</f>
        <v>0</v>
      </c>
      <c r="J39" s="49">
        <f>AVERAGE('23.09.19 -Kigo-Munyonyo'!J39,'24.09 Kigo-Munyonyo'!J39,'25.09 Kigo-Munyonyo'!J39,'27.09 LWEZA-Munyonyo'!J39,'26.09 Kigo-Munyonyo-24h'!J39,'28.09 Kigo-Munyonyo-24h'!J39,'29.09 Kigo-Munyonyo'!J39)</f>
        <v>0</v>
      </c>
      <c r="K39" s="49">
        <f>AVERAGE('23.09.19 -Kigo-Munyonyo'!K39,'24.09 Kigo-Munyonyo'!K39,'25.09 Kigo-Munyonyo'!K39,'27.09 LWEZA-Munyonyo'!K39,'26.09 Kigo-Munyonyo-24h'!K39,'28.09 Kigo-Munyonyo-24h'!K39,'29.09 Kigo-Munyonyo'!K39)</f>
        <v>0</v>
      </c>
      <c r="L39" s="49">
        <f>AVERAGE('23.09.19 -Kigo-Munyonyo'!L39,'24.09 Kigo-Munyonyo'!L39,'25.09 Kigo-Munyonyo'!L39,'27.09 LWEZA-Munyonyo'!L39,'26.09 Kigo-Munyonyo-24h'!L39,'28.09 Kigo-Munyonyo-24h'!L39,'29.09 Kigo-Munyonyo'!L39)</f>
        <v>0</v>
      </c>
      <c r="M39" s="49">
        <f>AVERAGE('23.09.19 -Kigo-Munyonyo'!M39,'24.09 Kigo-Munyonyo'!M39,'25.09 Kigo-Munyonyo'!M39,'27.09 LWEZA-Munyonyo'!M39,'26.09 Kigo-Munyonyo-24h'!M39,'28.09 Kigo-Munyonyo-24h'!M39,'29.09 Kigo-Munyonyo'!M39)</f>
        <v>18.714285714285715</v>
      </c>
      <c r="N39" s="49">
        <f>AVERAGE('23.09.19 -Kigo-Munyonyo'!N39,'24.09 Kigo-Munyonyo'!N39,'25.09 Kigo-Munyonyo'!N39,'27.09 LWEZA-Munyonyo'!N39,'26.09 Kigo-Munyonyo-24h'!N39,'28.09 Kigo-Munyonyo-24h'!N39,'29.09 Kigo-Munyonyo'!N39)</f>
        <v>0</v>
      </c>
      <c r="O39" s="15">
        <f t="shared" si="0"/>
        <v>0.8571428571428571</v>
      </c>
      <c r="P39" s="15">
        <f t="shared" si="1"/>
        <v>19.571428571428573</v>
      </c>
      <c r="R39" s="29" t="s">
        <v>87</v>
      </c>
      <c r="S39" s="57">
        <f t="shared" ref="S39:AF39" si="31">SUM(S19:S21)</f>
        <v>5</v>
      </c>
      <c r="T39" s="57">
        <f t="shared" si="31"/>
        <v>4.4285714285714288</v>
      </c>
      <c r="U39" s="57">
        <f t="shared" si="31"/>
        <v>0.42857142857142855</v>
      </c>
      <c r="V39" s="57">
        <f t="shared" si="31"/>
        <v>1.5714285714285712</v>
      </c>
      <c r="W39" s="57">
        <f t="shared" si="31"/>
        <v>0</v>
      </c>
      <c r="X39" s="57">
        <f t="shared" si="31"/>
        <v>0</v>
      </c>
      <c r="Y39" s="57">
        <f t="shared" si="31"/>
        <v>1.5714285714285712</v>
      </c>
      <c r="Z39" s="57">
        <f t="shared" si="31"/>
        <v>0.2857142857142857</v>
      </c>
      <c r="AA39" s="57">
        <f t="shared" si="31"/>
        <v>0.14285714285714285</v>
      </c>
      <c r="AB39" s="57">
        <f t="shared" si="31"/>
        <v>0</v>
      </c>
      <c r="AC39" s="57">
        <f t="shared" si="31"/>
        <v>232.57142857142858</v>
      </c>
      <c r="AD39" s="57">
        <f t="shared" si="31"/>
        <v>0</v>
      </c>
      <c r="AE39" s="58">
        <f t="shared" si="31"/>
        <v>13.428571428571427</v>
      </c>
      <c r="AF39" s="58">
        <f t="shared" si="31"/>
        <v>245.99999999999997</v>
      </c>
    </row>
    <row r="40" spans="2:32" ht="23.1" customHeight="1" x14ac:dyDescent="0.25">
      <c r="B40" s="24" t="s">
        <v>67</v>
      </c>
      <c r="C40" s="49">
        <f>AVERAGE('23.09.19 -Kigo-Munyonyo'!C40,'24.09 Kigo-Munyonyo'!C40,'25.09 Kigo-Munyonyo'!C40,'27.09 LWEZA-Munyonyo'!C40,'26.09 Kigo-Munyonyo-24h'!C40,'28.09 Kigo-Munyonyo-24h'!C40,'29.09 Kigo-Munyonyo'!C40)</f>
        <v>0.2857142857142857</v>
      </c>
      <c r="D40" s="49">
        <f>AVERAGE('23.09.19 -Kigo-Munyonyo'!D40,'24.09 Kigo-Munyonyo'!D40,'25.09 Kigo-Munyonyo'!D40,'27.09 LWEZA-Munyonyo'!D40,'26.09 Kigo-Munyonyo-24h'!D40,'28.09 Kigo-Munyonyo-24h'!D40,'29.09 Kigo-Munyonyo'!D40)</f>
        <v>0.2857142857142857</v>
      </c>
      <c r="E40" s="49">
        <f>AVERAGE('23.09.19 -Kigo-Munyonyo'!E40,'24.09 Kigo-Munyonyo'!E40,'25.09 Kigo-Munyonyo'!E40,'27.09 LWEZA-Munyonyo'!E40,'26.09 Kigo-Munyonyo-24h'!E40,'28.09 Kigo-Munyonyo-24h'!E40,'29.09 Kigo-Munyonyo'!E40)</f>
        <v>0</v>
      </c>
      <c r="F40" s="49">
        <f>AVERAGE('23.09.19 -Kigo-Munyonyo'!F40,'24.09 Kigo-Munyonyo'!F40,'25.09 Kigo-Munyonyo'!F40,'27.09 LWEZA-Munyonyo'!F40,'26.09 Kigo-Munyonyo-24h'!F40,'28.09 Kigo-Munyonyo-24h'!F40,'29.09 Kigo-Munyonyo'!F40)</f>
        <v>0</v>
      </c>
      <c r="G40" s="49">
        <f>AVERAGE('23.09.19 -Kigo-Munyonyo'!G40,'24.09 Kigo-Munyonyo'!G40,'25.09 Kigo-Munyonyo'!G40,'27.09 LWEZA-Munyonyo'!G40,'26.09 Kigo-Munyonyo-24h'!G40,'28.09 Kigo-Munyonyo-24h'!G40,'29.09 Kigo-Munyonyo'!G40)</f>
        <v>0</v>
      </c>
      <c r="H40" s="49">
        <f>AVERAGE('23.09.19 -Kigo-Munyonyo'!H40,'24.09 Kigo-Munyonyo'!H40,'25.09 Kigo-Munyonyo'!H40,'27.09 LWEZA-Munyonyo'!H40,'26.09 Kigo-Munyonyo-24h'!H40,'28.09 Kigo-Munyonyo-24h'!H40,'29.09 Kigo-Munyonyo'!H40)</f>
        <v>0</v>
      </c>
      <c r="I40" s="49">
        <f>AVERAGE('23.09.19 -Kigo-Munyonyo'!I40,'24.09 Kigo-Munyonyo'!I40,'25.09 Kigo-Munyonyo'!I40,'27.09 LWEZA-Munyonyo'!I40,'26.09 Kigo-Munyonyo-24h'!I40,'28.09 Kigo-Munyonyo-24h'!I40,'29.09 Kigo-Munyonyo'!I40)</f>
        <v>0</v>
      </c>
      <c r="J40" s="49">
        <f>AVERAGE('23.09.19 -Kigo-Munyonyo'!J40,'24.09 Kigo-Munyonyo'!J40,'25.09 Kigo-Munyonyo'!J40,'27.09 LWEZA-Munyonyo'!J40,'26.09 Kigo-Munyonyo-24h'!J40,'28.09 Kigo-Munyonyo-24h'!J40,'29.09 Kigo-Munyonyo'!J40)</f>
        <v>0.14285714285714285</v>
      </c>
      <c r="K40" s="49">
        <f>AVERAGE('23.09.19 -Kigo-Munyonyo'!K40,'24.09 Kigo-Munyonyo'!K40,'25.09 Kigo-Munyonyo'!K40,'27.09 LWEZA-Munyonyo'!K40,'26.09 Kigo-Munyonyo-24h'!K40,'28.09 Kigo-Munyonyo-24h'!K40,'29.09 Kigo-Munyonyo'!K40)</f>
        <v>0</v>
      </c>
      <c r="L40" s="49">
        <f>AVERAGE('23.09.19 -Kigo-Munyonyo'!L40,'24.09 Kigo-Munyonyo'!L40,'25.09 Kigo-Munyonyo'!L40,'27.09 LWEZA-Munyonyo'!L40,'26.09 Kigo-Munyonyo-24h'!L40,'28.09 Kigo-Munyonyo-24h'!L40,'29.09 Kigo-Munyonyo'!L40)</f>
        <v>0</v>
      </c>
      <c r="M40" s="49">
        <f>AVERAGE('23.09.19 -Kigo-Munyonyo'!M40,'24.09 Kigo-Munyonyo'!M40,'25.09 Kigo-Munyonyo'!M40,'27.09 LWEZA-Munyonyo'!M40,'26.09 Kigo-Munyonyo-24h'!M40,'28.09 Kigo-Munyonyo-24h'!M40,'29.09 Kigo-Munyonyo'!M40)</f>
        <v>14</v>
      </c>
      <c r="N40" s="49">
        <f>AVERAGE('23.09.19 -Kigo-Munyonyo'!N40,'24.09 Kigo-Munyonyo'!N40,'25.09 Kigo-Munyonyo'!N40,'27.09 LWEZA-Munyonyo'!N40,'26.09 Kigo-Munyonyo-24h'!N40,'28.09 Kigo-Munyonyo-24h'!N40,'29.09 Kigo-Munyonyo'!N40)</f>
        <v>0</v>
      </c>
      <c r="O40" s="15">
        <f t="shared" si="0"/>
        <v>0.71428571428571419</v>
      </c>
      <c r="P40" s="15">
        <f t="shared" si="1"/>
        <v>14.714285714285714</v>
      </c>
      <c r="R40" s="5" t="s">
        <v>17</v>
      </c>
      <c r="S40" s="57">
        <f t="shared" ref="S40:AF40" si="32">SUM(S10:S21)</f>
        <v>13.857142857142854</v>
      </c>
      <c r="T40" s="57">
        <f t="shared" si="32"/>
        <v>12.857142857142856</v>
      </c>
      <c r="U40" s="57">
        <f t="shared" si="32"/>
        <v>4.4285714285714279</v>
      </c>
      <c r="V40" s="57">
        <f t="shared" si="32"/>
        <v>4.2857142857142856</v>
      </c>
      <c r="W40" s="57">
        <f t="shared" si="32"/>
        <v>0.2857142857142857</v>
      </c>
      <c r="X40" s="57">
        <f t="shared" si="32"/>
        <v>0.14285714285714285</v>
      </c>
      <c r="Y40" s="57">
        <f t="shared" si="32"/>
        <v>3.1428571428571423</v>
      </c>
      <c r="Z40" s="57">
        <f t="shared" si="32"/>
        <v>0.8571428571428571</v>
      </c>
      <c r="AA40" s="57">
        <f t="shared" si="32"/>
        <v>0.99999999999999978</v>
      </c>
      <c r="AB40" s="57">
        <f t="shared" si="32"/>
        <v>0</v>
      </c>
      <c r="AC40" s="57">
        <f t="shared" si="32"/>
        <v>879.71428571428589</v>
      </c>
      <c r="AD40" s="57">
        <f t="shared" si="32"/>
        <v>0</v>
      </c>
      <c r="AE40" s="58">
        <f t="shared" si="32"/>
        <v>40.857142857142847</v>
      </c>
      <c r="AF40" s="58">
        <f t="shared" si="32"/>
        <v>920.57142857142856</v>
      </c>
    </row>
    <row r="41" spans="2:32" ht="23.1" customHeight="1" x14ac:dyDescent="0.25">
      <c r="B41" s="23" t="s">
        <v>68</v>
      </c>
      <c r="C41" s="49">
        <f>AVERAGE('23.09.19 -Kigo-Munyonyo'!C41,'24.09 Kigo-Munyonyo'!C41,'25.09 Kigo-Munyonyo'!C41,'27.09 LWEZA-Munyonyo'!C41,'26.09 Kigo-Munyonyo-24h'!C41,'28.09 Kigo-Munyonyo-24h'!C41,'29.09 Kigo-Munyonyo'!C41)</f>
        <v>0.2857142857142857</v>
      </c>
      <c r="D41" s="49">
        <f>AVERAGE('23.09.19 -Kigo-Munyonyo'!D41,'24.09 Kigo-Munyonyo'!D41,'25.09 Kigo-Munyonyo'!D41,'27.09 LWEZA-Munyonyo'!D41,'26.09 Kigo-Munyonyo-24h'!D41,'28.09 Kigo-Munyonyo-24h'!D41,'29.09 Kigo-Munyonyo'!D41)</f>
        <v>0.2857142857142857</v>
      </c>
      <c r="E41" s="49">
        <f>AVERAGE('23.09.19 -Kigo-Munyonyo'!E41,'24.09 Kigo-Munyonyo'!E41,'25.09 Kigo-Munyonyo'!E41,'27.09 LWEZA-Munyonyo'!E41,'26.09 Kigo-Munyonyo-24h'!E41,'28.09 Kigo-Munyonyo-24h'!E41,'29.09 Kigo-Munyonyo'!E41)</f>
        <v>0.14285714285714285</v>
      </c>
      <c r="F41" s="49">
        <f>AVERAGE('23.09.19 -Kigo-Munyonyo'!F41,'24.09 Kigo-Munyonyo'!F41,'25.09 Kigo-Munyonyo'!F41,'27.09 LWEZA-Munyonyo'!F41,'26.09 Kigo-Munyonyo-24h'!F41,'28.09 Kigo-Munyonyo-24h'!F41,'29.09 Kigo-Munyonyo'!F41)</f>
        <v>0</v>
      </c>
      <c r="G41" s="49">
        <f>AVERAGE('23.09.19 -Kigo-Munyonyo'!G41,'24.09 Kigo-Munyonyo'!G41,'25.09 Kigo-Munyonyo'!G41,'27.09 LWEZA-Munyonyo'!G41,'26.09 Kigo-Munyonyo-24h'!G41,'28.09 Kigo-Munyonyo-24h'!G41,'29.09 Kigo-Munyonyo'!G41)</f>
        <v>0</v>
      </c>
      <c r="H41" s="49">
        <f>AVERAGE('23.09.19 -Kigo-Munyonyo'!H41,'24.09 Kigo-Munyonyo'!H41,'25.09 Kigo-Munyonyo'!H41,'27.09 LWEZA-Munyonyo'!H41,'26.09 Kigo-Munyonyo-24h'!H41,'28.09 Kigo-Munyonyo-24h'!H41,'29.09 Kigo-Munyonyo'!H41)</f>
        <v>0</v>
      </c>
      <c r="I41" s="49">
        <f>AVERAGE('23.09.19 -Kigo-Munyonyo'!I41,'24.09 Kigo-Munyonyo'!I41,'25.09 Kigo-Munyonyo'!I41,'27.09 LWEZA-Munyonyo'!I41,'26.09 Kigo-Munyonyo-24h'!I41,'28.09 Kigo-Munyonyo-24h'!I41,'29.09 Kigo-Munyonyo'!I41)</f>
        <v>0</v>
      </c>
      <c r="J41" s="49">
        <f>AVERAGE('23.09.19 -Kigo-Munyonyo'!J41,'24.09 Kigo-Munyonyo'!J41,'25.09 Kigo-Munyonyo'!J41,'27.09 LWEZA-Munyonyo'!J41,'26.09 Kigo-Munyonyo-24h'!J41,'28.09 Kigo-Munyonyo-24h'!J41,'29.09 Kigo-Munyonyo'!J41)</f>
        <v>0</v>
      </c>
      <c r="K41" s="49">
        <f>AVERAGE('23.09.19 -Kigo-Munyonyo'!K41,'24.09 Kigo-Munyonyo'!K41,'25.09 Kigo-Munyonyo'!K41,'27.09 LWEZA-Munyonyo'!K41,'26.09 Kigo-Munyonyo-24h'!K41,'28.09 Kigo-Munyonyo-24h'!K41,'29.09 Kigo-Munyonyo'!K41)</f>
        <v>0</v>
      </c>
      <c r="L41" s="49">
        <f>AVERAGE('23.09.19 -Kigo-Munyonyo'!L41,'24.09 Kigo-Munyonyo'!L41,'25.09 Kigo-Munyonyo'!L41,'27.09 LWEZA-Munyonyo'!L41,'26.09 Kigo-Munyonyo-24h'!L41,'28.09 Kigo-Munyonyo-24h'!L41,'29.09 Kigo-Munyonyo'!L41)</f>
        <v>0</v>
      </c>
      <c r="M41" s="49">
        <f>AVERAGE('23.09.19 -Kigo-Munyonyo'!M41,'24.09 Kigo-Munyonyo'!M41,'25.09 Kigo-Munyonyo'!M41,'27.09 LWEZA-Munyonyo'!M41,'26.09 Kigo-Munyonyo-24h'!M41,'28.09 Kigo-Munyonyo-24h'!M41,'29.09 Kigo-Munyonyo'!M41)</f>
        <v>11.571428571428571</v>
      </c>
      <c r="N41" s="49">
        <f>AVERAGE('23.09.19 -Kigo-Munyonyo'!N41,'24.09 Kigo-Munyonyo'!N41,'25.09 Kigo-Munyonyo'!N41,'27.09 LWEZA-Munyonyo'!N41,'26.09 Kigo-Munyonyo-24h'!N41,'28.09 Kigo-Munyonyo-24h'!N41,'29.09 Kigo-Munyonyo'!N41)</f>
        <v>0</v>
      </c>
      <c r="O41" s="15">
        <f t="shared" si="0"/>
        <v>0.71428571428571419</v>
      </c>
      <c r="P41" s="15">
        <f t="shared" si="1"/>
        <v>12.285714285714285</v>
      </c>
      <c r="R41" s="5" t="s">
        <v>183</v>
      </c>
      <c r="S41" s="57">
        <f>SUM(S10:S33)</f>
        <v>27.857142857142854</v>
      </c>
      <c r="T41" s="57">
        <f t="shared" ref="T41:AD41" si="33">SUM(T10:T33)</f>
        <v>15.357142857142856</v>
      </c>
      <c r="U41" s="57">
        <f t="shared" si="33"/>
        <v>4.9285714285714279</v>
      </c>
      <c r="V41" s="57">
        <f t="shared" si="33"/>
        <v>5.2857142857142856</v>
      </c>
      <c r="W41" s="57">
        <f t="shared" si="33"/>
        <v>0.2857142857142857</v>
      </c>
      <c r="X41" s="57">
        <f t="shared" si="33"/>
        <v>0.14285714285714285</v>
      </c>
      <c r="Y41" s="57">
        <f t="shared" si="33"/>
        <v>3.6428571428571423</v>
      </c>
      <c r="Z41" s="57">
        <f t="shared" si="33"/>
        <v>1.3571428571428572</v>
      </c>
      <c r="AA41" s="57">
        <f t="shared" si="33"/>
        <v>0.99999999999999978</v>
      </c>
      <c r="AB41" s="57">
        <f t="shared" si="33"/>
        <v>0</v>
      </c>
      <c r="AC41" s="57">
        <f t="shared" si="33"/>
        <v>1410.2142857142858</v>
      </c>
      <c r="AD41" s="57">
        <f t="shared" si="33"/>
        <v>0</v>
      </c>
      <c r="AE41" s="58">
        <f>SUM(AE10:AE33)</f>
        <v>59.857142857142847</v>
      </c>
      <c r="AF41" s="58">
        <f>SUM(AF10:AF33)</f>
        <v>1470.0714285714284</v>
      </c>
    </row>
    <row r="42" spans="2:32" ht="23.1" customHeight="1" x14ac:dyDescent="0.25">
      <c r="B42" s="24" t="s">
        <v>69</v>
      </c>
      <c r="C42" s="49">
        <f>AVERAGE('23.09.19 -Kigo-Munyonyo'!C42,'24.09 Kigo-Munyonyo'!C42,'25.09 Kigo-Munyonyo'!C42,'27.09 LWEZA-Munyonyo'!C42,'26.09 Kigo-Munyonyo-24h'!C42,'28.09 Kigo-Munyonyo-24h'!C42,'29.09 Kigo-Munyonyo'!C42)</f>
        <v>0.42857142857142855</v>
      </c>
      <c r="D42" s="49">
        <f>AVERAGE('23.09.19 -Kigo-Munyonyo'!D42,'24.09 Kigo-Munyonyo'!D42,'25.09 Kigo-Munyonyo'!D42,'27.09 LWEZA-Munyonyo'!D42,'26.09 Kigo-Munyonyo-24h'!D42,'28.09 Kigo-Munyonyo-24h'!D42,'29.09 Kigo-Munyonyo'!D42)</f>
        <v>0</v>
      </c>
      <c r="E42" s="49">
        <f>AVERAGE('23.09.19 -Kigo-Munyonyo'!E42,'24.09 Kigo-Munyonyo'!E42,'25.09 Kigo-Munyonyo'!E42,'27.09 LWEZA-Munyonyo'!E42,'26.09 Kigo-Munyonyo-24h'!E42,'28.09 Kigo-Munyonyo-24h'!E42,'29.09 Kigo-Munyonyo'!E42)</f>
        <v>0</v>
      </c>
      <c r="F42" s="49">
        <f>AVERAGE('23.09.19 -Kigo-Munyonyo'!F42,'24.09 Kigo-Munyonyo'!F42,'25.09 Kigo-Munyonyo'!F42,'27.09 LWEZA-Munyonyo'!F42,'26.09 Kigo-Munyonyo-24h'!F42,'28.09 Kigo-Munyonyo-24h'!F42,'29.09 Kigo-Munyonyo'!F42)</f>
        <v>0.14285714285714285</v>
      </c>
      <c r="G42" s="49">
        <f>AVERAGE('23.09.19 -Kigo-Munyonyo'!G42,'24.09 Kigo-Munyonyo'!G42,'25.09 Kigo-Munyonyo'!G42,'27.09 LWEZA-Munyonyo'!G42,'26.09 Kigo-Munyonyo-24h'!G42,'28.09 Kigo-Munyonyo-24h'!G42,'29.09 Kigo-Munyonyo'!G42)</f>
        <v>0</v>
      </c>
      <c r="H42" s="49">
        <f>AVERAGE('23.09.19 -Kigo-Munyonyo'!H42,'24.09 Kigo-Munyonyo'!H42,'25.09 Kigo-Munyonyo'!H42,'27.09 LWEZA-Munyonyo'!H42,'26.09 Kigo-Munyonyo-24h'!H42,'28.09 Kigo-Munyonyo-24h'!H42,'29.09 Kigo-Munyonyo'!H42)</f>
        <v>0</v>
      </c>
      <c r="I42" s="49">
        <f>AVERAGE('23.09.19 -Kigo-Munyonyo'!I42,'24.09 Kigo-Munyonyo'!I42,'25.09 Kigo-Munyonyo'!I42,'27.09 LWEZA-Munyonyo'!I42,'26.09 Kigo-Munyonyo-24h'!I42,'28.09 Kigo-Munyonyo-24h'!I42,'29.09 Kigo-Munyonyo'!I42)</f>
        <v>0.2857142857142857</v>
      </c>
      <c r="J42" s="49">
        <f>AVERAGE('23.09.19 -Kigo-Munyonyo'!J42,'24.09 Kigo-Munyonyo'!J42,'25.09 Kigo-Munyonyo'!J42,'27.09 LWEZA-Munyonyo'!J42,'26.09 Kigo-Munyonyo-24h'!J42,'28.09 Kigo-Munyonyo-24h'!J42,'29.09 Kigo-Munyonyo'!J42)</f>
        <v>0</v>
      </c>
      <c r="K42" s="49">
        <f>AVERAGE('23.09.19 -Kigo-Munyonyo'!K42,'24.09 Kigo-Munyonyo'!K42,'25.09 Kigo-Munyonyo'!K42,'27.09 LWEZA-Munyonyo'!K42,'26.09 Kigo-Munyonyo-24h'!K42,'28.09 Kigo-Munyonyo-24h'!K42,'29.09 Kigo-Munyonyo'!K42)</f>
        <v>0</v>
      </c>
      <c r="L42" s="49">
        <f>AVERAGE('23.09.19 -Kigo-Munyonyo'!L42,'24.09 Kigo-Munyonyo'!L42,'25.09 Kigo-Munyonyo'!L42,'27.09 LWEZA-Munyonyo'!L42,'26.09 Kigo-Munyonyo-24h'!L42,'28.09 Kigo-Munyonyo-24h'!L42,'29.09 Kigo-Munyonyo'!L42)</f>
        <v>0</v>
      </c>
      <c r="M42" s="49">
        <f>AVERAGE('23.09.19 -Kigo-Munyonyo'!M42,'24.09 Kigo-Munyonyo'!M42,'25.09 Kigo-Munyonyo'!M42,'27.09 LWEZA-Munyonyo'!M42,'26.09 Kigo-Munyonyo-24h'!M42,'28.09 Kigo-Munyonyo-24h'!M42,'29.09 Kigo-Munyonyo'!M42)</f>
        <v>13.571428571428571</v>
      </c>
      <c r="N42" s="49">
        <f>AVERAGE('23.09.19 -Kigo-Munyonyo'!N42,'24.09 Kigo-Munyonyo'!N42,'25.09 Kigo-Munyonyo'!N42,'27.09 LWEZA-Munyonyo'!N42,'26.09 Kigo-Munyonyo-24h'!N42,'28.09 Kigo-Munyonyo-24h'!N42,'29.09 Kigo-Munyonyo'!N42)</f>
        <v>0</v>
      </c>
      <c r="O42" s="15">
        <f t="shared" si="0"/>
        <v>0.8571428571428571</v>
      </c>
      <c r="P42" s="15">
        <f t="shared" si="1"/>
        <v>14.428571428571429</v>
      </c>
      <c r="R42" s="5" t="s">
        <v>160</v>
      </c>
      <c r="S42" s="48">
        <f>S41/S40</f>
        <v>2.0103092783505159</v>
      </c>
      <c r="T42" s="48">
        <f t="shared" ref="T42:AF42" si="34">T41/T40</f>
        <v>1.1944444444444444</v>
      </c>
      <c r="U42" s="48">
        <f t="shared" si="34"/>
        <v>1.1129032258064517</v>
      </c>
      <c r="V42" s="48">
        <f t="shared" si="34"/>
        <v>1.2333333333333334</v>
      </c>
      <c r="W42" s="48">
        <f t="shared" si="34"/>
        <v>1</v>
      </c>
      <c r="X42" s="48">
        <f t="shared" si="34"/>
        <v>1</v>
      </c>
      <c r="Y42" s="48">
        <f t="shared" si="34"/>
        <v>1.1590909090909092</v>
      </c>
      <c r="Z42" s="48">
        <f t="shared" si="34"/>
        <v>1.5833333333333335</v>
      </c>
      <c r="AA42" s="48">
        <f t="shared" si="34"/>
        <v>1</v>
      </c>
      <c r="AB42" s="48">
        <v>0</v>
      </c>
      <c r="AC42" s="48">
        <f t="shared" si="34"/>
        <v>1.6030367002273462</v>
      </c>
      <c r="AD42" s="48">
        <v>0</v>
      </c>
      <c r="AE42" s="59">
        <f t="shared" si="34"/>
        <v>1.4650349650349652</v>
      </c>
      <c r="AF42" s="59">
        <f t="shared" si="34"/>
        <v>1.5969118559900681</v>
      </c>
    </row>
    <row r="43" spans="2:32" ht="23.1" customHeight="1" x14ac:dyDescent="0.25">
      <c r="B43" s="23" t="s">
        <v>70</v>
      </c>
      <c r="C43" s="49">
        <f>AVERAGE('23.09.19 -Kigo-Munyonyo'!C43,'24.09 Kigo-Munyonyo'!C43,'25.09 Kigo-Munyonyo'!C43,'27.09 LWEZA-Munyonyo'!C43,'26.09 Kigo-Munyonyo-24h'!C43,'28.09 Kigo-Munyonyo-24h'!C43,'29.09 Kigo-Munyonyo'!C43)</f>
        <v>0</v>
      </c>
      <c r="D43" s="49">
        <f>AVERAGE('23.09.19 -Kigo-Munyonyo'!D43,'24.09 Kigo-Munyonyo'!D43,'25.09 Kigo-Munyonyo'!D43,'27.09 LWEZA-Munyonyo'!D43,'26.09 Kigo-Munyonyo-24h'!D43,'28.09 Kigo-Munyonyo-24h'!D43,'29.09 Kigo-Munyonyo'!D43)</f>
        <v>0</v>
      </c>
      <c r="E43" s="49">
        <f>AVERAGE('23.09.19 -Kigo-Munyonyo'!E43,'24.09 Kigo-Munyonyo'!E43,'25.09 Kigo-Munyonyo'!E43,'27.09 LWEZA-Munyonyo'!E43,'26.09 Kigo-Munyonyo-24h'!E43,'28.09 Kigo-Munyonyo-24h'!E43,'29.09 Kigo-Munyonyo'!E43)</f>
        <v>0.2857142857142857</v>
      </c>
      <c r="F43" s="49">
        <f>AVERAGE('23.09.19 -Kigo-Munyonyo'!F43,'24.09 Kigo-Munyonyo'!F43,'25.09 Kigo-Munyonyo'!F43,'27.09 LWEZA-Munyonyo'!F43,'26.09 Kigo-Munyonyo-24h'!F43,'28.09 Kigo-Munyonyo-24h'!F43,'29.09 Kigo-Munyonyo'!F43)</f>
        <v>0</v>
      </c>
      <c r="G43" s="49">
        <f>AVERAGE('23.09.19 -Kigo-Munyonyo'!G43,'24.09 Kigo-Munyonyo'!G43,'25.09 Kigo-Munyonyo'!G43,'27.09 LWEZA-Munyonyo'!G43,'26.09 Kigo-Munyonyo-24h'!G43,'28.09 Kigo-Munyonyo-24h'!G43,'29.09 Kigo-Munyonyo'!G43)</f>
        <v>0</v>
      </c>
      <c r="H43" s="49">
        <f>AVERAGE('23.09.19 -Kigo-Munyonyo'!H43,'24.09 Kigo-Munyonyo'!H43,'25.09 Kigo-Munyonyo'!H43,'27.09 LWEZA-Munyonyo'!H43,'26.09 Kigo-Munyonyo-24h'!H43,'28.09 Kigo-Munyonyo-24h'!H43,'29.09 Kigo-Munyonyo'!H43)</f>
        <v>0</v>
      </c>
      <c r="I43" s="49">
        <f>AVERAGE('23.09.19 -Kigo-Munyonyo'!I43,'24.09 Kigo-Munyonyo'!I43,'25.09 Kigo-Munyonyo'!I43,'27.09 LWEZA-Munyonyo'!I43,'26.09 Kigo-Munyonyo-24h'!I43,'28.09 Kigo-Munyonyo-24h'!I43,'29.09 Kigo-Munyonyo'!I43)</f>
        <v>0</v>
      </c>
      <c r="J43" s="49">
        <f>AVERAGE('23.09.19 -Kigo-Munyonyo'!J43,'24.09 Kigo-Munyonyo'!J43,'25.09 Kigo-Munyonyo'!J43,'27.09 LWEZA-Munyonyo'!J43,'26.09 Kigo-Munyonyo-24h'!J43,'28.09 Kigo-Munyonyo-24h'!J43,'29.09 Kigo-Munyonyo'!J43)</f>
        <v>0</v>
      </c>
      <c r="K43" s="49">
        <f>AVERAGE('23.09.19 -Kigo-Munyonyo'!K43,'24.09 Kigo-Munyonyo'!K43,'25.09 Kigo-Munyonyo'!K43,'27.09 LWEZA-Munyonyo'!K43,'26.09 Kigo-Munyonyo-24h'!K43,'28.09 Kigo-Munyonyo-24h'!K43,'29.09 Kigo-Munyonyo'!K43)</f>
        <v>0</v>
      </c>
      <c r="L43" s="49">
        <f>AVERAGE('23.09.19 -Kigo-Munyonyo'!L43,'24.09 Kigo-Munyonyo'!L43,'25.09 Kigo-Munyonyo'!L43,'27.09 LWEZA-Munyonyo'!L43,'26.09 Kigo-Munyonyo-24h'!L43,'28.09 Kigo-Munyonyo-24h'!L43,'29.09 Kigo-Munyonyo'!L43)</f>
        <v>0</v>
      </c>
      <c r="M43" s="49">
        <f>AVERAGE('23.09.19 -Kigo-Munyonyo'!M43,'24.09 Kigo-Munyonyo'!M43,'25.09 Kigo-Munyonyo'!M43,'27.09 LWEZA-Munyonyo'!M43,'26.09 Kigo-Munyonyo-24h'!M43,'28.09 Kigo-Munyonyo-24h'!M43,'29.09 Kigo-Munyonyo'!M43)</f>
        <v>11.714285714285714</v>
      </c>
      <c r="N43" s="49">
        <f>AVERAGE('23.09.19 -Kigo-Munyonyo'!N43,'24.09 Kigo-Munyonyo'!N43,'25.09 Kigo-Munyonyo'!N43,'27.09 LWEZA-Munyonyo'!N43,'26.09 Kigo-Munyonyo-24h'!N43,'28.09 Kigo-Munyonyo-24h'!N43,'29.09 Kigo-Munyonyo'!N43)</f>
        <v>0</v>
      </c>
      <c r="O43" s="15">
        <f t="shared" si="0"/>
        <v>0.2857142857142857</v>
      </c>
      <c r="P43" s="15">
        <f t="shared" si="1"/>
        <v>12</v>
      </c>
    </row>
    <row r="44" spans="2:32" ht="23.1" customHeight="1" x14ac:dyDescent="0.25">
      <c r="B44" s="25" t="s">
        <v>71</v>
      </c>
      <c r="C44" s="49">
        <f>AVERAGE('23.09.19 -Kigo-Munyonyo'!C44,'24.09 Kigo-Munyonyo'!C44,'25.09 Kigo-Munyonyo'!C44,'27.09 LWEZA-Munyonyo'!C44,'26.09 Kigo-Munyonyo-24h'!C44,'28.09 Kigo-Munyonyo-24h'!C44,'29.09 Kigo-Munyonyo'!C44)</f>
        <v>0</v>
      </c>
      <c r="D44" s="49">
        <f>AVERAGE('23.09.19 -Kigo-Munyonyo'!D44,'24.09 Kigo-Munyonyo'!D44,'25.09 Kigo-Munyonyo'!D44,'27.09 LWEZA-Munyonyo'!D44,'26.09 Kigo-Munyonyo-24h'!D44,'28.09 Kigo-Munyonyo-24h'!D44,'29.09 Kigo-Munyonyo'!D44)</f>
        <v>0.14285714285714285</v>
      </c>
      <c r="E44" s="49">
        <f>AVERAGE('23.09.19 -Kigo-Munyonyo'!E44,'24.09 Kigo-Munyonyo'!E44,'25.09 Kigo-Munyonyo'!E44,'27.09 LWEZA-Munyonyo'!E44,'26.09 Kigo-Munyonyo-24h'!E44,'28.09 Kigo-Munyonyo-24h'!E44,'29.09 Kigo-Munyonyo'!E44)</f>
        <v>0.14285714285714285</v>
      </c>
      <c r="F44" s="49">
        <f>AVERAGE('23.09.19 -Kigo-Munyonyo'!F44,'24.09 Kigo-Munyonyo'!F44,'25.09 Kigo-Munyonyo'!F44,'27.09 LWEZA-Munyonyo'!F44,'26.09 Kigo-Munyonyo-24h'!F44,'28.09 Kigo-Munyonyo-24h'!F44,'29.09 Kigo-Munyonyo'!F44)</f>
        <v>0.42857142857142855</v>
      </c>
      <c r="G44" s="49">
        <f>AVERAGE('23.09.19 -Kigo-Munyonyo'!G44,'24.09 Kigo-Munyonyo'!G44,'25.09 Kigo-Munyonyo'!G44,'27.09 LWEZA-Munyonyo'!G44,'26.09 Kigo-Munyonyo-24h'!G44,'28.09 Kigo-Munyonyo-24h'!G44,'29.09 Kigo-Munyonyo'!G44)</f>
        <v>0</v>
      </c>
      <c r="H44" s="49">
        <f>AVERAGE('23.09.19 -Kigo-Munyonyo'!H44,'24.09 Kigo-Munyonyo'!H44,'25.09 Kigo-Munyonyo'!H44,'27.09 LWEZA-Munyonyo'!H44,'26.09 Kigo-Munyonyo-24h'!H44,'28.09 Kigo-Munyonyo-24h'!H44,'29.09 Kigo-Munyonyo'!H44)</f>
        <v>0</v>
      </c>
      <c r="I44" s="49">
        <f>AVERAGE('23.09.19 -Kigo-Munyonyo'!I44,'24.09 Kigo-Munyonyo'!I44,'25.09 Kigo-Munyonyo'!I44,'27.09 LWEZA-Munyonyo'!I44,'26.09 Kigo-Munyonyo-24h'!I44,'28.09 Kigo-Munyonyo-24h'!I44,'29.09 Kigo-Munyonyo'!I44)</f>
        <v>0</v>
      </c>
      <c r="J44" s="49">
        <f>AVERAGE('23.09.19 -Kigo-Munyonyo'!J44,'24.09 Kigo-Munyonyo'!J44,'25.09 Kigo-Munyonyo'!J44,'27.09 LWEZA-Munyonyo'!J44,'26.09 Kigo-Munyonyo-24h'!J44,'28.09 Kigo-Munyonyo-24h'!J44,'29.09 Kigo-Munyonyo'!J44)</f>
        <v>0</v>
      </c>
      <c r="K44" s="49">
        <f>AVERAGE('23.09.19 -Kigo-Munyonyo'!K44,'24.09 Kigo-Munyonyo'!K44,'25.09 Kigo-Munyonyo'!K44,'27.09 LWEZA-Munyonyo'!K44,'26.09 Kigo-Munyonyo-24h'!K44,'28.09 Kigo-Munyonyo-24h'!K44,'29.09 Kigo-Munyonyo'!K44)</f>
        <v>0</v>
      </c>
      <c r="L44" s="49">
        <f>AVERAGE('23.09.19 -Kigo-Munyonyo'!L44,'24.09 Kigo-Munyonyo'!L44,'25.09 Kigo-Munyonyo'!L44,'27.09 LWEZA-Munyonyo'!L44,'26.09 Kigo-Munyonyo-24h'!L44,'28.09 Kigo-Munyonyo-24h'!L44,'29.09 Kigo-Munyonyo'!L44)</f>
        <v>0</v>
      </c>
      <c r="M44" s="49">
        <f>AVERAGE('23.09.19 -Kigo-Munyonyo'!M44,'24.09 Kigo-Munyonyo'!M44,'25.09 Kigo-Munyonyo'!M44,'27.09 LWEZA-Munyonyo'!M44,'26.09 Kigo-Munyonyo-24h'!M44,'28.09 Kigo-Munyonyo-24h'!M44,'29.09 Kigo-Munyonyo'!M44)</f>
        <v>11.285714285714286</v>
      </c>
      <c r="N44" s="49">
        <f>AVERAGE('23.09.19 -Kigo-Munyonyo'!N44,'24.09 Kigo-Munyonyo'!N44,'25.09 Kigo-Munyonyo'!N44,'27.09 LWEZA-Munyonyo'!N44,'26.09 Kigo-Munyonyo-24h'!N44,'28.09 Kigo-Munyonyo-24h'!N44,'29.09 Kigo-Munyonyo'!N44)</f>
        <v>0</v>
      </c>
      <c r="O44" s="15">
        <f t="shared" si="0"/>
        <v>0.71428571428571419</v>
      </c>
      <c r="P44" s="15">
        <f t="shared" si="1"/>
        <v>12</v>
      </c>
    </row>
    <row r="45" spans="2:32" ht="23.1" customHeight="1" x14ac:dyDescent="0.25">
      <c r="B45" s="23" t="s">
        <v>72</v>
      </c>
      <c r="C45" s="49">
        <f>AVERAGE('23.09.19 -Kigo-Munyonyo'!C45,'24.09 Kigo-Munyonyo'!C45,'25.09 Kigo-Munyonyo'!C45,'27.09 LWEZA-Munyonyo'!C45,'26.09 Kigo-Munyonyo-24h'!C45,'28.09 Kigo-Munyonyo-24h'!C45,'29.09 Kigo-Munyonyo'!C45)</f>
        <v>0.2857142857142857</v>
      </c>
      <c r="D45" s="49">
        <f>AVERAGE('23.09.19 -Kigo-Munyonyo'!D45,'24.09 Kigo-Munyonyo'!D45,'25.09 Kigo-Munyonyo'!D45,'27.09 LWEZA-Munyonyo'!D45,'26.09 Kigo-Munyonyo-24h'!D45,'28.09 Kigo-Munyonyo-24h'!D45,'29.09 Kigo-Munyonyo'!D45)</f>
        <v>0.2857142857142857</v>
      </c>
      <c r="E45" s="49">
        <f>AVERAGE('23.09.19 -Kigo-Munyonyo'!E45,'24.09 Kigo-Munyonyo'!E45,'25.09 Kigo-Munyonyo'!E45,'27.09 LWEZA-Munyonyo'!E45,'26.09 Kigo-Munyonyo-24h'!E45,'28.09 Kigo-Munyonyo-24h'!E45,'29.09 Kigo-Munyonyo'!E45)</f>
        <v>0</v>
      </c>
      <c r="F45" s="49">
        <f>AVERAGE('23.09.19 -Kigo-Munyonyo'!F45,'24.09 Kigo-Munyonyo'!F45,'25.09 Kigo-Munyonyo'!F45,'27.09 LWEZA-Munyonyo'!F45,'26.09 Kigo-Munyonyo-24h'!F45,'28.09 Kigo-Munyonyo-24h'!F45,'29.09 Kigo-Munyonyo'!F45)</f>
        <v>0.14285714285714285</v>
      </c>
      <c r="G45" s="49">
        <f>AVERAGE('23.09.19 -Kigo-Munyonyo'!G45,'24.09 Kigo-Munyonyo'!G45,'25.09 Kigo-Munyonyo'!G45,'27.09 LWEZA-Munyonyo'!G45,'26.09 Kigo-Munyonyo-24h'!G45,'28.09 Kigo-Munyonyo-24h'!G45,'29.09 Kigo-Munyonyo'!G45)</f>
        <v>0</v>
      </c>
      <c r="H45" s="49">
        <f>AVERAGE('23.09.19 -Kigo-Munyonyo'!H45,'24.09 Kigo-Munyonyo'!H45,'25.09 Kigo-Munyonyo'!H45,'27.09 LWEZA-Munyonyo'!H45,'26.09 Kigo-Munyonyo-24h'!H45,'28.09 Kigo-Munyonyo-24h'!H45,'29.09 Kigo-Munyonyo'!H45)</f>
        <v>0</v>
      </c>
      <c r="I45" s="49">
        <f>AVERAGE('23.09.19 -Kigo-Munyonyo'!I45,'24.09 Kigo-Munyonyo'!I45,'25.09 Kigo-Munyonyo'!I45,'27.09 LWEZA-Munyonyo'!I45,'26.09 Kigo-Munyonyo-24h'!I45,'28.09 Kigo-Munyonyo-24h'!I45,'29.09 Kigo-Munyonyo'!I45)</f>
        <v>0</v>
      </c>
      <c r="J45" s="49">
        <f>AVERAGE('23.09.19 -Kigo-Munyonyo'!J45,'24.09 Kigo-Munyonyo'!J45,'25.09 Kigo-Munyonyo'!J45,'27.09 LWEZA-Munyonyo'!J45,'26.09 Kigo-Munyonyo-24h'!J45,'28.09 Kigo-Munyonyo-24h'!J45,'29.09 Kigo-Munyonyo'!J45)</f>
        <v>0</v>
      </c>
      <c r="K45" s="49">
        <f>AVERAGE('23.09.19 -Kigo-Munyonyo'!K45,'24.09 Kigo-Munyonyo'!K45,'25.09 Kigo-Munyonyo'!K45,'27.09 LWEZA-Munyonyo'!K45,'26.09 Kigo-Munyonyo-24h'!K45,'28.09 Kigo-Munyonyo-24h'!K45,'29.09 Kigo-Munyonyo'!K45)</f>
        <v>0.14285714285714285</v>
      </c>
      <c r="L45" s="49">
        <f>AVERAGE('23.09.19 -Kigo-Munyonyo'!L45,'24.09 Kigo-Munyonyo'!L45,'25.09 Kigo-Munyonyo'!L45,'27.09 LWEZA-Munyonyo'!L45,'26.09 Kigo-Munyonyo-24h'!L45,'28.09 Kigo-Munyonyo-24h'!L45,'29.09 Kigo-Munyonyo'!L45)</f>
        <v>0</v>
      </c>
      <c r="M45" s="49">
        <f>AVERAGE('23.09.19 -Kigo-Munyonyo'!M45,'24.09 Kigo-Munyonyo'!M45,'25.09 Kigo-Munyonyo'!M45,'27.09 LWEZA-Munyonyo'!M45,'26.09 Kigo-Munyonyo-24h'!M45,'28.09 Kigo-Munyonyo-24h'!M45,'29.09 Kigo-Munyonyo'!M45)</f>
        <v>13.857142857142858</v>
      </c>
      <c r="N45" s="49">
        <f>AVERAGE('23.09.19 -Kigo-Munyonyo'!N45,'24.09 Kigo-Munyonyo'!N45,'25.09 Kigo-Munyonyo'!N45,'27.09 LWEZA-Munyonyo'!N45,'26.09 Kigo-Munyonyo-24h'!N45,'28.09 Kigo-Munyonyo-24h'!N45,'29.09 Kigo-Munyonyo'!N45)</f>
        <v>0</v>
      </c>
      <c r="O45" s="15">
        <f t="shared" si="0"/>
        <v>0.85714285714285698</v>
      </c>
      <c r="P45" s="15">
        <f t="shared" si="1"/>
        <v>14.714285714285715</v>
      </c>
    </row>
    <row r="46" spans="2:32" ht="23.1" customHeight="1" x14ac:dyDescent="0.25">
      <c r="B46" s="24" t="s">
        <v>73</v>
      </c>
      <c r="C46" s="49">
        <f>AVERAGE('23.09.19 -Kigo-Munyonyo'!C46,'24.09 Kigo-Munyonyo'!C46,'25.09 Kigo-Munyonyo'!C46,'27.09 LWEZA-Munyonyo'!C46,'26.09 Kigo-Munyonyo-24h'!C46,'28.09 Kigo-Munyonyo-24h'!C46,'29.09 Kigo-Munyonyo'!C46)</f>
        <v>0.5714285714285714</v>
      </c>
      <c r="D46" s="49">
        <f>AVERAGE('23.09.19 -Kigo-Munyonyo'!D46,'24.09 Kigo-Munyonyo'!D46,'25.09 Kigo-Munyonyo'!D46,'27.09 LWEZA-Munyonyo'!D46,'26.09 Kigo-Munyonyo-24h'!D46,'28.09 Kigo-Munyonyo-24h'!D46,'29.09 Kigo-Munyonyo'!D46)</f>
        <v>0.2857142857142857</v>
      </c>
      <c r="E46" s="49">
        <f>AVERAGE('23.09.19 -Kigo-Munyonyo'!E46,'24.09 Kigo-Munyonyo'!E46,'25.09 Kigo-Munyonyo'!E46,'27.09 LWEZA-Munyonyo'!E46,'26.09 Kigo-Munyonyo-24h'!E46,'28.09 Kigo-Munyonyo-24h'!E46,'29.09 Kigo-Munyonyo'!E46)</f>
        <v>0</v>
      </c>
      <c r="F46" s="49">
        <f>AVERAGE('23.09.19 -Kigo-Munyonyo'!F46,'24.09 Kigo-Munyonyo'!F46,'25.09 Kigo-Munyonyo'!F46,'27.09 LWEZA-Munyonyo'!F46,'26.09 Kigo-Munyonyo-24h'!F46,'28.09 Kigo-Munyonyo-24h'!F46,'29.09 Kigo-Munyonyo'!F46)</f>
        <v>0</v>
      </c>
      <c r="G46" s="49">
        <f>AVERAGE('23.09.19 -Kigo-Munyonyo'!G46,'24.09 Kigo-Munyonyo'!G46,'25.09 Kigo-Munyonyo'!G46,'27.09 LWEZA-Munyonyo'!G46,'26.09 Kigo-Munyonyo-24h'!G46,'28.09 Kigo-Munyonyo-24h'!G46,'29.09 Kigo-Munyonyo'!G46)</f>
        <v>0</v>
      </c>
      <c r="H46" s="49">
        <f>AVERAGE('23.09.19 -Kigo-Munyonyo'!H46,'24.09 Kigo-Munyonyo'!H46,'25.09 Kigo-Munyonyo'!H46,'27.09 LWEZA-Munyonyo'!H46,'26.09 Kigo-Munyonyo-24h'!H46,'28.09 Kigo-Munyonyo-24h'!H46,'29.09 Kigo-Munyonyo'!H46)</f>
        <v>0</v>
      </c>
      <c r="I46" s="49">
        <f>AVERAGE('23.09.19 -Kigo-Munyonyo'!I46,'24.09 Kigo-Munyonyo'!I46,'25.09 Kigo-Munyonyo'!I46,'27.09 LWEZA-Munyonyo'!I46,'26.09 Kigo-Munyonyo-24h'!I46,'28.09 Kigo-Munyonyo-24h'!I46,'29.09 Kigo-Munyonyo'!I46)</f>
        <v>0.42857142857142855</v>
      </c>
      <c r="J46" s="49">
        <f>AVERAGE('23.09.19 -Kigo-Munyonyo'!J46,'24.09 Kigo-Munyonyo'!J46,'25.09 Kigo-Munyonyo'!J46,'27.09 LWEZA-Munyonyo'!J46,'26.09 Kigo-Munyonyo-24h'!J46,'28.09 Kigo-Munyonyo-24h'!J46,'29.09 Kigo-Munyonyo'!J46)</f>
        <v>0</v>
      </c>
      <c r="K46" s="49">
        <f>AVERAGE('23.09.19 -Kigo-Munyonyo'!K46,'24.09 Kigo-Munyonyo'!K46,'25.09 Kigo-Munyonyo'!K46,'27.09 LWEZA-Munyonyo'!K46,'26.09 Kigo-Munyonyo-24h'!K46,'28.09 Kigo-Munyonyo-24h'!K46,'29.09 Kigo-Munyonyo'!K46)</f>
        <v>0.14285714285714285</v>
      </c>
      <c r="L46" s="49">
        <f>AVERAGE('23.09.19 -Kigo-Munyonyo'!L46,'24.09 Kigo-Munyonyo'!L46,'25.09 Kigo-Munyonyo'!L46,'27.09 LWEZA-Munyonyo'!L46,'26.09 Kigo-Munyonyo-24h'!L46,'28.09 Kigo-Munyonyo-24h'!L46,'29.09 Kigo-Munyonyo'!L46)</f>
        <v>0</v>
      </c>
      <c r="M46" s="49">
        <f>AVERAGE('23.09.19 -Kigo-Munyonyo'!M46,'24.09 Kigo-Munyonyo'!M46,'25.09 Kigo-Munyonyo'!M46,'27.09 LWEZA-Munyonyo'!M46,'26.09 Kigo-Munyonyo-24h'!M46,'28.09 Kigo-Munyonyo-24h'!M46,'29.09 Kigo-Munyonyo'!M46)</f>
        <v>16</v>
      </c>
      <c r="N46" s="49">
        <f>AVERAGE('23.09.19 -Kigo-Munyonyo'!N46,'24.09 Kigo-Munyonyo'!N46,'25.09 Kigo-Munyonyo'!N46,'27.09 LWEZA-Munyonyo'!N46,'26.09 Kigo-Munyonyo-24h'!N46,'28.09 Kigo-Munyonyo-24h'!N46,'29.09 Kigo-Munyonyo'!N46)</f>
        <v>0</v>
      </c>
      <c r="O46" s="15">
        <f t="shared" si="0"/>
        <v>1.4285714285714284</v>
      </c>
      <c r="P46" s="15">
        <f t="shared" si="1"/>
        <v>17.428571428571427</v>
      </c>
      <c r="R46" s="8"/>
      <c r="T46"/>
    </row>
    <row r="47" spans="2:32" ht="23.1" customHeight="1" x14ac:dyDescent="0.25">
      <c r="B47" s="24" t="s">
        <v>74</v>
      </c>
      <c r="C47" s="49">
        <f>AVERAGE('23.09.19 -Kigo-Munyonyo'!C47,'24.09 Kigo-Munyonyo'!C47,'25.09 Kigo-Munyonyo'!C47,'27.09 LWEZA-Munyonyo'!C47,'26.09 Kigo-Munyonyo-24h'!C47,'28.09 Kigo-Munyonyo-24h'!C47,'29.09 Kigo-Munyonyo'!C47)</f>
        <v>0.2857142857142857</v>
      </c>
      <c r="D47" s="49">
        <f>AVERAGE('23.09.19 -Kigo-Munyonyo'!D47,'24.09 Kigo-Munyonyo'!D47,'25.09 Kigo-Munyonyo'!D47,'27.09 LWEZA-Munyonyo'!D47,'26.09 Kigo-Munyonyo-24h'!D47,'28.09 Kigo-Munyonyo-24h'!D47,'29.09 Kigo-Munyonyo'!D47)</f>
        <v>0.2857142857142857</v>
      </c>
      <c r="E47" s="49">
        <f>AVERAGE('23.09.19 -Kigo-Munyonyo'!E47,'24.09 Kigo-Munyonyo'!E47,'25.09 Kigo-Munyonyo'!E47,'27.09 LWEZA-Munyonyo'!E47,'26.09 Kigo-Munyonyo-24h'!E47,'28.09 Kigo-Munyonyo-24h'!E47,'29.09 Kigo-Munyonyo'!E47)</f>
        <v>0.14285714285714285</v>
      </c>
      <c r="F47" s="49">
        <f>AVERAGE('23.09.19 -Kigo-Munyonyo'!F47,'24.09 Kigo-Munyonyo'!F47,'25.09 Kigo-Munyonyo'!F47,'27.09 LWEZA-Munyonyo'!F47,'26.09 Kigo-Munyonyo-24h'!F47,'28.09 Kigo-Munyonyo-24h'!F47,'29.09 Kigo-Munyonyo'!F47)</f>
        <v>0</v>
      </c>
      <c r="G47" s="49">
        <f>AVERAGE('23.09.19 -Kigo-Munyonyo'!G47,'24.09 Kigo-Munyonyo'!G47,'25.09 Kigo-Munyonyo'!G47,'27.09 LWEZA-Munyonyo'!G47,'26.09 Kigo-Munyonyo-24h'!G47,'28.09 Kigo-Munyonyo-24h'!G47,'29.09 Kigo-Munyonyo'!G47)</f>
        <v>0</v>
      </c>
      <c r="H47" s="49">
        <f>AVERAGE('23.09.19 -Kigo-Munyonyo'!H47,'24.09 Kigo-Munyonyo'!H47,'25.09 Kigo-Munyonyo'!H47,'27.09 LWEZA-Munyonyo'!H47,'26.09 Kigo-Munyonyo-24h'!H47,'28.09 Kigo-Munyonyo-24h'!H47,'29.09 Kigo-Munyonyo'!H47)</f>
        <v>0</v>
      </c>
      <c r="I47" s="49">
        <f>AVERAGE('23.09.19 -Kigo-Munyonyo'!I47,'24.09 Kigo-Munyonyo'!I47,'25.09 Kigo-Munyonyo'!I47,'27.09 LWEZA-Munyonyo'!I47,'26.09 Kigo-Munyonyo-24h'!I47,'28.09 Kigo-Munyonyo-24h'!I47,'29.09 Kigo-Munyonyo'!I47)</f>
        <v>0</v>
      </c>
      <c r="J47" s="49">
        <f>AVERAGE('23.09.19 -Kigo-Munyonyo'!J47,'24.09 Kigo-Munyonyo'!J47,'25.09 Kigo-Munyonyo'!J47,'27.09 LWEZA-Munyonyo'!J47,'26.09 Kigo-Munyonyo-24h'!J47,'28.09 Kigo-Munyonyo-24h'!J47,'29.09 Kigo-Munyonyo'!J47)</f>
        <v>0</v>
      </c>
      <c r="K47" s="49">
        <f>AVERAGE('23.09.19 -Kigo-Munyonyo'!K47,'24.09 Kigo-Munyonyo'!K47,'25.09 Kigo-Munyonyo'!K47,'27.09 LWEZA-Munyonyo'!K47,'26.09 Kigo-Munyonyo-24h'!K47,'28.09 Kigo-Munyonyo-24h'!K47,'29.09 Kigo-Munyonyo'!K47)</f>
        <v>0</v>
      </c>
      <c r="L47" s="49">
        <f>AVERAGE('23.09.19 -Kigo-Munyonyo'!L47,'24.09 Kigo-Munyonyo'!L47,'25.09 Kigo-Munyonyo'!L47,'27.09 LWEZA-Munyonyo'!L47,'26.09 Kigo-Munyonyo-24h'!L47,'28.09 Kigo-Munyonyo-24h'!L47,'29.09 Kigo-Munyonyo'!L47)</f>
        <v>0</v>
      </c>
      <c r="M47" s="49">
        <f>AVERAGE('23.09.19 -Kigo-Munyonyo'!M47,'24.09 Kigo-Munyonyo'!M47,'25.09 Kigo-Munyonyo'!M47,'27.09 LWEZA-Munyonyo'!M47,'26.09 Kigo-Munyonyo-24h'!M47,'28.09 Kigo-Munyonyo-24h'!M47,'29.09 Kigo-Munyonyo'!M47)</f>
        <v>21.857142857142858</v>
      </c>
      <c r="N47" s="49">
        <f>AVERAGE('23.09.19 -Kigo-Munyonyo'!N47,'24.09 Kigo-Munyonyo'!N47,'25.09 Kigo-Munyonyo'!N47,'27.09 LWEZA-Munyonyo'!N47,'26.09 Kigo-Munyonyo-24h'!N47,'28.09 Kigo-Munyonyo-24h'!N47,'29.09 Kigo-Munyonyo'!N47)</f>
        <v>0</v>
      </c>
      <c r="O47" s="15">
        <f t="shared" si="0"/>
        <v>0.71428571428571419</v>
      </c>
      <c r="P47" s="15">
        <f t="shared" si="1"/>
        <v>22.571428571428573</v>
      </c>
      <c r="R47" s="8"/>
      <c r="T47"/>
    </row>
    <row r="48" spans="2:32" ht="23.1" customHeight="1" x14ac:dyDescent="0.25">
      <c r="B48" s="24" t="s">
        <v>75</v>
      </c>
      <c r="C48" s="49">
        <f>AVERAGE('23.09.19 -Kigo-Munyonyo'!C48,'24.09 Kigo-Munyonyo'!C48,'25.09 Kigo-Munyonyo'!C48,'27.09 LWEZA-Munyonyo'!C48,'26.09 Kigo-Munyonyo-24h'!C48,'28.09 Kigo-Munyonyo-24h'!C48,'29.09 Kigo-Munyonyo'!C48)</f>
        <v>0.5714285714285714</v>
      </c>
      <c r="D48" s="49">
        <f>AVERAGE('23.09.19 -Kigo-Munyonyo'!D48,'24.09 Kigo-Munyonyo'!D48,'25.09 Kigo-Munyonyo'!D48,'27.09 LWEZA-Munyonyo'!D48,'26.09 Kigo-Munyonyo-24h'!D48,'28.09 Kigo-Munyonyo-24h'!D48,'29.09 Kigo-Munyonyo'!D48)</f>
        <v>1.5714285714285714</v>
      </c>
      <c r="E48" s="49">
        <f>AVERAGE('23.09.19 -Kigo-Munyonyo'!E48,'24.09 Kigo-Munyonyo'!E48,'25.09 Kigo-Munyonyo'!E48,'27.09 LWEZA-Munyonyo'!E48,'26.09 Kigo-Munyonyo-24h'!E48,'28.09 Kigo-Munyonyo-24h'!E48,'29.09 Kigo-Munyonyo'!E48)</f>
        <v>0</v>
      </c>
      <c r="F48" s="49">
        <f>AVERAGE('23.09.19 -Kigo-Munyonyo'!F48,'24.09 Kigo-Munyonyo'!F48,'25.09 Kigo-Munyonyo'!F48,'27.09 LWEZA-Munyonyo'!F48,'26.09 Kigo-Munyonyo-24h'!F48,'28.09 Kigo-Munyonyo-24h'!F48,'29.09 Kigo-Munyonyo'!F48)</f>
        <v>0</v>
      </c>
      <c r="G48" s="49">
        <f>AVERAGE('23.09.19 -Kigo-Munyonyo'!G48,'24.09 Kigo-Munyonyo'!G48,'25.09 Kigo-Munyonyo'!G48,'27.09 LWEZA-Munyonyo'!G48,'26.09 Kigo-Munyonyo-24h'!G48,'28.09 Kigo-Munyonyo-24h'!G48,'29.09 Kigo-Munyonyo'!G48)</f>
        <v>0</v>
      </c>
      <c r="H48" s="49">
        <f>AVERAGE('23.09.19 -Kigo-Munyonyo'!H48,'24.09 Kigo-Munyonyo'!H48,'25.09 Kigo-Munyonyo'!H48,'27.09 LWEZA-Munyonyo'!H48,'26.09 Kigo-Munyonyo-24h'!H48,'28.09 Kigo-Munyonyo-24h'!H48,'29.09 Kigo-Munyonyo'!H48)</f>
        <v>0</v>
      </c>
      <c r="I48" s="49">
        <f>AVERAGE('23.09.19 -Kigo-Munyonyo'!I48,'24.09 Kigo-Munyonyo'!I48,'25.09 Kigo-Munyonyo'!I48,'27.09 LWEZA-Munyonyo'!I48,'26.09 Kigo-Munyonyo-24h'!I48,'28.09 Kigo-Munyonyo-24h'!I48,'29.09 Kigo-Munyonyo'!I48)</f>
        <v>0.14285714285714285</v>
      </c>
      <c r="J48" s="49">
        <f>AVERAGE('23.09.19 -Kigo-Munyonyo'!J48,'24.09 Kigo-Munyonyo'!J48,'25.09 Kigo-Munyonyo'!J48,'27.09 LWEZA-Munyonyo'!J48,'26.09 Kigo-Munyonyo-24h'!J48,'28.09 Kigo-Munyonyo-24h'!J48,'29.09 Kigo-Munyonyo'!J48)</f>
        <v>0</v>
      </c>
      <c r="K48" s="49">
        <f>AVERAGE('23.09.19 -Kigo-Munyonyo'!K48,'24.09 Kigo-Munyonyo'!K48,'25.09 Kigo-Munyonyo'!K48,'27.09 LWEZA-Munyonyo'!K48,'26.09 Kigo-Munyonyo-24h'!K48,'28.09 Kigo-Munyonyo-24h'!K48,'29.09 Kigo-Munyonyo'!K48)</f>
        <v>0</v>
      </c>
      <c r="L48" s="49">
        <f>AVERAGE('23.09.19 -Kigo-Munyonyo'!L48,'24.09 Kigo-Munyonyo'!L48,'25.09 Kigo-Munyonyo'!L48,'27.09 LWEZA-Munyonyo'!L48,'26.09 Kigo-Munyonyo-24h'!L48,'28.09 Kigo-Munyonyo-24h'!L48,'29.09 Kigo-Munyonyo'!L48)</f>
        <v>0</v>
      </c>
      <c r="M48" s="49">
        <f>AVERAGE('23.09.19 -Kigo-Munyonyo'!M48,'24.09 Kigo-Munyonyo'!M48,'25.09 Kigo-Munyonyo'!M48,'27.09 LWEZA-Munyonyo'!M48,'26.09 Kigo-Munyonyo-24h'!M48,'28.09 Kigo-Munyonyo-24h'!M48,'29.09 Kigo-Munyonyo'!M48)</f>
        <v>17.285714285714285</v>
      </c>
      <c r="N48" s="49">
        <f>AVERAGE('23.09.19 -Kigo-Munyonyo'!N48,'24.09 Kigo-Munyonyo'!N48,'25.09 Kigo-Munyonyo'!N48,'27.09 LWEZA-Munyonyo'!N48,'26.09 Kigo-Munyonyo-24h'!N48,'28.09 Kigo-Munyonyo-24h'!N48,'29.09 Kigo-Munyonyo'!N48)</f>
        <v>0</v>
      </c>
      <c r="O48" s="15">
        <f t="shared" si="0"/>
        <v>2.2857142857142856</v>
      </c>
      <c r="P48" s="15">
        <f t="shared" si="1"/>
        <v>19.571428571428569</v>
      </c>
      <c r="R48" s="8"/>
      <c r="T48"/>
    </row>
    <row r="49" spans="2:20" ht="23.1" customHeight="1" x14ac:dyDescent="0.25">
      <c r="B49" s="23" t="s">
        <v>76</v>
      </c>
      <c r="C49" s="49">
        <f>AVERAGE('23.09.19 -Kigo-Munyonyo'!C49,'24.09 Kigo-Munyonyo'!C49,'25.09 Kigo-Munyonyo'!C49,'27.09 LWEZA-Munyonyo'!C49,'26.09 Kigo-Munyonyo-24h'!C49,'28.09 Kigo-Munyonyo-24h'!C49,'29.09 Kigo-Munyonyo'!C49)</f>
        <v>0.2857142857142857</v>
      </c>
      <c r="D49" s="49">
        <f>AVERAGE('23.09.19 -Kigo-Munyonyo'!D49,'24.09 Kigo-Munyonyo'!D49,'25.09 Kigo-Munyonyo'!D49,'27.09 LWEZA-Munyonyo'!D49,'26.09 Kigo-Munyonyo-24h'!D49,'28.09 Kigo-Munyonyo-24h'!D49,'29.09 Kigo-Munyonyo'!D49)</f>
        <v>0.2857142857142857</v>
      </c>
      <c r="E49" s="49">
        <f>AVERAGE('23.09.19 -Kigo-Munyonyo'!E49,'24.09 Kigo-Munyonyo'!E49,'25.09 Kigo-Munyonyo'!E49,'27.09 LWEZA-Munyonyo'!E49,'26.09 Kigo-Munyonyo-24h'!E49,'28.09 Kigo-Munyonyo-24h'!E49,'29.09 Kigo-Munyonyo'!E49)</f>
        <v>0</v>
      </c>
      <c r="F49" s="49">
        <f>AVERAGE('23.09.19 -Kigo-Munyonyo'!F49,'24.09 Kigo-Munyonyo'!F49,'25.09 Kigo-Munyonyo'!F49,'27.09 LWEZA-Munyonyo'!F49,'26.09 Kigo-Munyonyo-24h'!F49,'28.09 Kigo-Munyonyo-24h'!F49,'29.09 Kigo-Munyonyo'!F49)</f>
        <v>0</v>
      </c>
      <c r="G49" s="49">
        <f>AVERAGE('23.09.19 -Kigo-Munyonyo'!G49,'24.09 Kigo-Munyonyo'!G49,'25.09 Kigo-Munyonyo'!G49,'27.09 LWEZA-Munyonyo'!G49,'26.09 Kigo-Munyonyo-24h'!G49,'28.09 Kigo-Munyonyo-24h'!G49,'29.09 Kigo-Munyonyo'!G49)</f>
        <v>0</v>
      </c>
      <c r="H49" s="49">
        <f>AVERAGE('23.09.19 -Kigo-Munyonyo'!H49,'24.09 Kigo-Munyonyo'!H49,'25.09 Kigo-Munyonyo'!H49,'27.09 LWEZA-Munyonyo'!H49,'26.09 Kigo-Munyonyo-24h'!H49,'28.09 Kigo-Munyonyo-24h'!H49,'29.09 Kigo-Munyonyo'!H49)</f>
        <v>0</v>
      </c>
      <c r="I49" s="49">
        <f>AVERAGE('23.09.19 -Kigo-Munyonyo'!I49,'24.09 Kigo-Munyonyo'!I49,'25.09 Kigo-Munyonyo'!I49,'27.09 LWEZA-Munyonyo'!I49,'26.09 Kigo-Munyonyo-24h'!I49,'28.09 Kigo-Munyonyo-24h'!I49,'29.09 Kigo-Munyonyo'!I49)</f>
        <v>0</v>
      </c>
      <c r="J49" s="49">
        <f>AVERAGE('23.09.19 -Kigo-Munyonyo'!J49,'24.09 Kigo-Munyonyo'!J49,'25.09 Kigo-Munyonyo'!J49,'27.09 LWEZA-Munyonyo'!J49,'26.09 Kigo-Munyonyo-24h'!J49,'28.09 Kigo-Munyonyo-24h'!J49,'29.09 Kigo-Munyonyo'!J49)</f>
        <v>0</v>
      </c>
      <c r="K49" s="49">
        <f>AVERAGE('23.09.19 -Kigo-Munyonyo'!K49,'24.09 Kigo-Munyonyo'!K49,'25.09 Kigo-Munyonyo'!K49,'27.09 LWEZA-Munyonyo'!K49,'26.09 Kigo-Munyonyo-24h'!K49,'28.09 Kigo-Munyonyo-24h'!K49,'29.09 Kigo-Munyonyo'!K49)</f>
        <v>0</v>
      </c>
      <c r="L49" s="49">
        <f>AVERAGE('23.09.19 -Kigo-Munyonyo'!L49,'24.09 Kigo-Munyonyo'!L49,'25.09 Kigo-Munyonyo'!L49,'27.09 LWEZA-Munyonyo'!L49,'26.09 Kigo-Munyonyo-24h'!L49,'28.09 Kigo-Munyonyo-24h'!L49,'29.09 Kigo-Munyonyo'!L49)</f>
        <v>0</v>
      </c>
      <c r="M49" s="49">
        <f>AVERAGE('23.09.19 -Kigo-Munyonyo'!M49,'24.09 Kigo-Munyonyo'!M49,'25.09 Kigo-Munyonyo'!M49,'27.09 LWEZA-Munyonyo'!M49,'26.09 Kigo-Munyonyo-24h'!M49,'28.09 Kigo-Munyonyo-24h'!M49,'29.09 Kigo-Munyonyo'!M49)</f>
        <v>16.285714285714285</v>
      </c>
      <c r="N49" s="49">
        <f>AVERAGE('23.09.19 -Kigo-Munyonyo'!N49,'24.09 Kigo-Munyonyo'!N49,'25.09 Kigo-Munyonyo'!N49,'27.09 LWEZA-Munyonyo'!N49,'26.09 Kigo-Munyonyo-24h'!N49,'28.09 Kigo-Munyonyo-24h'!N49,'29.09 Kigo-Munyonyo'!N49)</f>
        <v>0</v>
      </c>
      <c r="O49" s="15">
        <f t="shared" si="0"/>
        <v>0.5714285714285714</v>
      </c>
      <c r="P49" s="15">
        <f t="shared" si="1"/>
        <v>16.857142857142858</v>
      </c>
      <c r="R49" s="8"/>
      <c r="T49"/>
    </row>
    <row r="50" spans="2:20" ht="23.1" customHeight="1" x14ac:dyDescent="0.25">
      <c r="B50" s="24" t="s">
        <v>77</v>
      </c>
      <c r="C50" s="49">
        <f>AVERAGE('23.09.19 -Kigo-Munyonyo'!C50,'24.09 Kigo-Munyonyo'!C50,'25.09 Kigo-Munyonyo'!C50,'27.09 LWEZA-Munyonyo'!C50,'26.09 Kigo-Munyonyo-24h'!C50,'28.09 Kigo-Munyonyo-24h'!C50,'29.09 Kigo-Munyonyo'!C50)</f>
        <v>0.42857142857142855</v>
      </c>
      <c r="D50" s="49">
        <f>AVERAGE('23.09.19 -Kigo-Munyonyo'!D50,'24.09 Kigo-Munyonyo'!D50,'25.09 Kigo-Munyonyo'!D50,'27.09 LWEZA-Munyonyo'!D50,'26.09 Kigo-Munyonyo-24h'!D50,'28.09 Kigo-Munyonyo-24h'!D50,'29.09 Kigo-Munyonyo'!D50)</f>
        <v>0.2857142857142857</v>
      </c>
      <c r="E50" s="49">
        <f>AVERAGE('23.09.19 -Kigo-Munyonyo'!E50,'24.09 Kigo-Munyonyo'!E50,'25.09 Kigo-Munyonyo'!E50,'27.09 LWEZA-Munyonyo'!E50,'26.09 Kigo-Munyonyo-24h'!E50,'28.09 Kigo-Munyonyo-24h'!E50,'29.09 Kigo-Munyonyo'!E50)</f>
        <v>0</v>
      </c>
      <c r="F50" s="49">
        <f>AVERAGE('23.09.19 -Kigo-Munyonyo'!F50,'24.09 Kigo-Munyonyo'!F50,'25.09 Kigo-Munyonyo'!F50,'27.09 LWEZA-Munyonyo'!F50,'26.09 Kigo-Munyonyo-24h'!F50,'28.09 Kigo-Munyonyo-24h'!F50,'29.09 Kigo-Munyonyo'!F50)</f>
        <v>0.14285714285714285</v>
      </c>
      <c r="G50" s="49">
        <f>AVERAGE('23.09.19 -Kigo-Munyonyo'!G50,'24.09 Kigo-Munyonyo'!G50,'25.09 Kigo-Munyonyo'!G50,'27.09 LWEZA-Munyonyo'!G50,'26.09 Kigo-Munyonyo-24h'!G50,'28.09 Kigo-Munyonyo-24h'!G50,'29.09 Kigo-Munyonyo'!G50)</f>
        <v>0</v>
      </c>
      <c r="H50" s="49">
        <f>AVERAGE('23.09.19 -Kigo-Munyonyo'!H50,'24.09 Kigo-Munyonyo'!H50,'25.09 Kigo-Munyonyo'!H50,'27.09 LWEZA-Munyonyo'!H50,'26.09 Kigo-Munyonyo-24h'!H50,'28.09 Kigo-Munyonyo-24h'!H50,'29.09 Kigo-Munyonyo'!H50)</f>
        <v>0</v>
      </c>
      <c r="I50" s="49">
        <f>AVERAGE('23.09.19 -Kigo-Munyonyo'!I50,'24.09 Kigo-Munyonyo'!I50,'25.09 Kigo-Munyonyo'!I50,'27.09 LWEZA-Munyonyo'!I50,'26.09 Kigo-Munyonyo-24h'!I50,'28.09 Kigo-Munyonyo-24h'!I50,'29.09 Kigo-Munyonyo'!I50)</f>
        <v>0</v>
      </c>
      <c r="J50" s="49">
        <f>AVERAGE('23.09.19 -Kigo-Munyonyo'!J50,'24.09 Kigo-Munyonyo'!J50,'25.09 Kigo-Munyonyo'!J50,'27.09 LWEZA-Munyonyo'!J50,'26.09 Kigo-Munyonyo-24h'!J50,'28.09 Kigo-Munyonyo-24h'!J50,'29.09 Kigo-Munyonyo'!J50)</f>
        <v>0</v>
      </c>
      <c r="K50" s="49">
        <f>AVERAGE('23.09.19 -Kigo-Munyonyo'!K50,'24.09 Kigo-Munyonyo'!K50,'25.09 Kigo-Munyonyo'!K50,'27.09 LWEZA-Munyonyo'!K50,'26.09 Kigo-Munyonyo-24h'!K50,'28.09 Kigo-Munyonyo-24h'!K50,'29.09 Kigo-Munyonyo'!K50)</f>
        <v>0</v>
      </c>
      <c r="L50" s="49">
        <f>AVERAGE('23.09.19 -Kigo-Munyonyo'!L50,'24.09 Kigo-Munyonyo'!L50,'25.09 Kigo-Munyonyo'!L50,'27.09 LWEZA-Munyonyo'!L50,'26.09 Kigo-Munyonyo-24h'!L50,'28.09 Kigo-Munyonyo-24h'!L50,'29.09 Kigo-Munyonyo'!L50)</f>
        <v>0</v>
      </c>
      <c r="M50" s="49">
        <f>AVERAGE('23.09.19 -Kigo-Munyonyo'!M50,'24.09 Kigo-Munyonyo'!M50,'25.09 Kigo-Munyonyo'!M50,'27.09 LWEZA-Munyonyo'!M50,'26.09 Kigo-Munyonyo-24h'!M50,'28.09 Kigo-Munyonyo-24h'!M50,'29.09 Kigo-Munyonyo'!M50)</f>
        <v>18.857142857142858</v>
      </c>
      <c r="N50" s="49">
        <f>AVERAGE('23.09.19 -Kigo-Munyonyo'!N50,'24.09 Kigo-Munyonyo'!N50,'25.09 Kigo-Munyonyo'!N50,'27.09 LWEZA-Munyonyo'!N50,'26.09 Kigo-Munyonyo-24h'!N50,'28.09 Kigo-Munyonyo-24h'!N50,'29.09 Kigo-Munyonyo'!N50)</f>
        <v>0</v>
      </c>
      <c r="O50" s="15">
        <f t="shared" si="0"/>
        <v>0.85714285714285698</v>
      </c>
      <c r="P50" s="15">
        <f t="shared" si="1"/>
        <v>19.714285714285715</v>
      </c>
      <c r="R50" s="8"/>
      <c r="T50"/>
    </row>
    <row r="51" spans="2:20" ht="23.1" customHeight="1" x14ac:dyDescent="0.25">
      <c r="B51" s="24" t="s">
        <v>78</v>
      </c>
      <c r="C51" s="49">
        <f>AVERAGE('23.09.19 -Kigo-Munyonyo'!C51,'24.09 Kigo-Munyonyo'!C51,'25.09 Kigo-Munyonyo'!C51,'27.09 LWEZA-Munyonyo'!C51,'26.09 Kigo-Munyonyo-24h'!C51,'28.09 Kigo-Munyonyo-24h'!C51,'29.09 Kigo-Munyonyo'!C51)</f>
        <v>0.42857142857142855</v>
      </c>
      <c r="D51" s="49">
        <f>AVERAGE('23.09.19 -Kigo-Munyonyo'!D51,'24.09 Kigo-Munyonyo'!D51,'25.09 Kigo-Munyonyo'!D51,'27.09 LWEZA-Munyonyo'!D51,'26.09 Kigo-Munyonyo-24h'!D51,'28.09 Kigo-Munyonyo-24h'!D51,'29.09 Kigo-Munyonyo'!D51)</f>
        <v>0.42857142857142855</v>
      </c>
      <c r="E51" s="49">
        <f>AVERAGE('23.09.19 -Kigo-Munyonyo'!E51,'24.09 Kigo-Munyonyo'!E51,'25.09 Kigo-Munyonyo'!E51,'27.09 LWEZA-Munyonyo'!E51,'26.09 Kigo-Munyonyo-24h'!E51,'28.09 Kigo-Munyonyo-24h'!E51,'29.09 Kigo-Munyonyo'!E51)</f>
        <v>0</v>
      </c>
      <c r="F51" s="49">
        <f>AVERAGE('23.09.19 -Kigo-Munyonyo'!F51,'24.09 Kigo-Munyonyo'!F51,'25.09 Kigo-Munyonyo'!F51,'27.09 LWEZA-Munyonyo'!F51,'26.09 Kigo-Munyonyo-24h'!F51,'28.09 Kigo-Munyonyo-24h'!F51,'29.09 Kigo-Munyonyo'!F51)</f>
        <v>0.14285714285714285</v>
      </c>
      <c r="G51" s="49">
        <f>AVERAGE('23.09.19 -Kigo-Munyonyo'!G51,'24.09 Kigo-Munyonyo'!G51,'25.09 Kigo-Munyonyo'!G51,'27.09 LWEZA-Munyonyo'!G51,'26.09 Kigo-Munyonyo-24h'!G51,'28.09 Kigo-Munyonyo-24h'!G51,'29.09 Kigo-Munyonyo'!G51)</f>
        <v>0</v>
      </c>
      <c r="H51" s="49">
        <f>AVERAGE('23.09.19 -Kigo-Munyonyo'!H51,'24.09 Kigo-Munyonyo'!H51,'25.09 Kigo-Munyonyo'!H51,'27.09 LWEZA-Munyonyo'!H51,'26.09 Kigo-Munyonyo-24h'!H51,'28.09 Kigo-Munyonyo-24h'!H51,'29.09 Kigo-Munyonyo'!H51)</f>
        <v>0</v>
      </c>
      <c r="I51" s="49">
        <f>AVERAGE('23.09.19 -Kigo-Munyonyo'!I51,'24.09 Kigo-Munyonyo'!I51,'25.09 Kigo-Munyonyo'!I51,'27.09 LWEZA-Munyonyo'!I51,'26.09 Kigo-Munyonyo-24h'!I51,'28.09 Kigo-Munyonyo-24h'!I51,'29.09 Kigo-Munyonyo'!I51)</f>
        <v>0</v>
      </c>
      <c r="J51" s="49">
        <f>AVERAGE('23.09.19 -Kigo-Munyonyo'!J51,'24.09 Kigo-Munyonyo'!J51,'25.09 Kigo-Munyonyo'!J51,'27.09 LWEZA-Munyonyo'!J51,'26.09 Kigo-Munyonyo-24h'!J51,'28.09 Kigo-Munyonyo-24h'!J51,'29.09 Kigo-Munyonyo'!J51)</f>
        <v>0</v>
      </c>
      <c r="K51" s="49">
        <f>AVERAGE('23.09.19 -Kigo-Munyonyo'!K51,'24.09 Kigo-Munyonyo'!K51,'25.09 Kigo-Munyonyo'!K51,'27.09 LWEZA-Munyonyo'!K51,'26.09 Kigo-Munyonyo-24h'!K51,'28.09 Kigo-Munyonyo-24h'!K51,'29.09 Kigo-Munyonyo'!K51)</f>
        <v>0</v>
      </c>
      <c r="L51" s="49">
        <f>AVERAGE('23.09.19 -Kigo-Munyonyo'!L51,'24.09 Kigo-Munyonyo'!L51,'25.09 Kigo-Munyonyo'!L51,'27.09 LWEZA-Munyonyo'!L51,'26.09 Kigo-Munyonyo-24h'!L51,'28.09 Kigo-Munyonyo-24h'!L51,'29.09 Kigo-Munyonyo'!L51)</f>
        <v>0</v>
      </c>
      <c r="M51" s="49">
        <f>AVERAGE('23.09.19 -Kigo-Munyonyo'!M51,'24.09 Kigo-Munyonyo'!M51,'25.09 Kigo-Munyonyo'!M51,'27.09 LWEZA-Munyonyo'!M51,'26.09 Kigo-Munyonyo-24h'!M51,'28.09 Kigo-Munyonyo-24h'!M51,'29.09 Kigo-Munyonyo'!M51)</f>
        <v>20.428571428571427</v>
      </c>
      <c r="N51" s="49">
        <f>AVERAGE('23.09.19 -Kigo-Munyonyo'!N51,'24.09 Kigo-Munyonyo'!N51,'25.09 Kigo-Munyonyo'!N51,'27.09 LWEZA-Munyonyo'!N51,'26.09 Kigo-Munyonyo-24h'!N51,'28.09 Kigo-Munyonyo-24h'!N51,'29.09 Kigo-Munyonyo'!N51)</f>
        <v>0</v>
      </c>
      <c r="O51" s="15">
        <f t="shared" si="0"/>
        <v>1</v>
      </c>
      <c r="P51" s="15">
        <f t="shared" si="1"/>
        <v>21.428571428571427</v>
      </c>
      <c r="R51" s="8"/>
      <c r="T51"/>
    </row>
    <row r="52" spans="2:20" ht="23.1" customHeight="1" x14ac:dyDescent="0.25">
      <c r="B52" s="24" t="s">
        <v>79</v>
      </c>
      <c r="C52" s="49">
        <f>AVERAGE('23.09.19 -Kigo-Munyonyo'!C52,'24.09 Kigo-Munyonyo'!C52,'25.09 Kigo-Munyonyo'!C52,'27.09 LWEZA-Munyonyo'!C52,'26.09 Kigo-Munyonyo-24h'!C52,'28.09 Kigo-Munyonyo-24h'!C52,'29.09 Kigo-Munyonyo'!C52)</f>
        <v>0</v>
      </c>
      <c r="D52" s="49">
        <f>AVERAGE('23.09.19 -Kigo-Munyonyo'!D52,'24.09 Kigo-Munyonyo'!D52,'25.09 Kigo-Munyonyo'!D52,'27.09 LWEZA-Munyonyo'!D52,'26.09 Kigo-Munyonyo-24h'!D52,'28.09 Kigo-Munyonyo-24h'!D52,'29.09 Kigo-Munyonyo'!D52)</f>
        <v>0.14285714285714285</v>
      </c>
      <c r="E52" s="49">
        <f>AVERAGE('23.09.19 -Kigo-Munyonyo'!E52,'24.09 Kigo-Munyonyo'!E52,'25.09 Kigo-Munyonyo'!E52,'27.09 LWEZA-Munyonyo'!E52,'26.09 Kigo-Munyonyo-24h'!E52,'28.09 Kigo-Munyonyo-24h'!E52,'29.09 Kigo-Munyonyo'!E52)</f>
        <v>0</v>
      </c>
      <c r="F52" s="49">
        <f>AVERAGE('23.09.19 -Kigo-Munyonyo'!F52,'24.09 Kigo-Munyonyo'!F52,'25.09 Kigo-Munyonyo'!F52,'27.09 LWEZA-Munyonyo'!F52,'26.09 Kigo-Munyonyo-24h'!F52,'28.09 Kigo-Munyonyo-24h'!F52,'29.09 Kigo-Munyonyo'!F52)</f>
        <v>0.2857142857142857</v>
      </c>
      <c r="G52" s="49">
        <f>AVERAGE('23.09.19 -Kigo-Munyonyo'!G52,'24.09 Kigo-Munyonyo'!G52,'25.09 Kigo-Munyonyo'!G52,'27.09 LWEZA-Munyonyo'!G52,'26.09 Kigo-Munyonyo-24h'!G52,'28.09 Kigo-Munyonyo-24h'!G52,'29.09 Kigo-Munyonyo'!G52)</f>
        <v>0</v>
      </c>
      <c r="H52" s="49">
        <f>AVERAGE('23.09.19 -Kigo-Munyonyo'!H52,'24.09 Kigo-Munyonyo'!H52,'25.09 Kigo-Munyonyo'!H52,'27.09 LWEZA-Munyonyo'!H52,'26.09 Kigo-Munyonyo-24h'!H52,'28.09 Kigo-Munyonyo-24h'!H52,'29.09 Kigo-Munyonyo'!H52)</f>
        <v>0</v>
      </c>
      <c r="I52" s="49">
        <f>AVERAGE('23.09.19 -Kigo-Munyonyo'!I52,'24.09 Kigo-Munyonyo'!I52,'25.09 Kigo-Munyonyo'!I52,'27.09 LWEZA-Munyonyo'!I52,'26.09 Kigo-Munyonyo-24h'!I52,'28.09 Kigo-Munyonyo-24h'!I52,'29.09 Kigo-Munyonyo'!I52)</f>
        <v>0</v>
      </c>
      <c r="J52" s="49">
        <f>AVERAGE('23.09.19 -Kigo-Munyonyo'!J52,'24.09 Kigo-Munyonyo'!J52,'25.09 Kigo-Munyonyo'!J52,'27.09 LWEZA-Munyonyo'!J52,'26.09 Kigo-Munyonyo-24h'!J52,'28.09 Kigo-Munyonyo-24h'!J52,'29.09 Kigo-Munyonyo'!J52)</f>
        <v>0</v>
      </c>
      <c r="K52" s="49">
        <f>AVERAGE('23.09.19 -Kigo-Munyonyo'!K52,'24.09 Kigo-Munyonyo'!K52,'25.09 Kigo-Munyonyo'!K52,'27.09 LWEZA-Munyonyo'!K52,'26.09 Kigo-Munyonyo-24h'!K52,'28.09 Kigo-Munyonyo-24h'!K52,'29.09 Kigo-Munyonyo'!K52)</f>
        <v>0</v>
      </c>
      <c r="L52" s="49">
        <f>AVERAGE('23.09.19 -Kigo-Munyonyo'!L52,'24.09 Kigo-Munyonyo'!L52,'25.09 Kigo-Munyonyo'!L52,'27.09 LWEZA-Munyonyo'!L52,'26.09 Kigo-Munyonyo-24h'!L52,'28.09 Kigo-Munyonyo-24h'!L52,'29.09 Kigo-Munyonyo'!L52)</f>
        <v>0</v>
      </c>
      <c r="M52" s="49">
        <f>AVERAGE('23.09.19 -Kigo-Munyonyo'!M52,'24.09 Kigo-Munyonyo'!M52,'25.09 Kigo-Munyonyo'!M52,'27.09 LWEZA-Munyonyo'!M52,'26.09 Kigo-Munyonyo-24h'!M52,'28.09 Kigo-Munyonyo-24h'!M52,'29.09 Kigo-Munyonyo'!M52)</f>
        <v>16.571428571428573</v>
      </c>
      <c r="N52" s="49">
        <f>AVERAGE('23.09.19 -Kigo-Munyonyo'!N52,'24.09 Kigo-Munyonyo'!N52,'25.09 Kigo-Munyonyo'!N52,'27.09 LWEZA-Munyonyo'!N52,'26.09 Kigo-Munyonyo-24h'!N52,'28.09 Kigo-Munyonyo-24h'!N52,'29.09 Kigo-Munyonyo'!N52)</f>
        <v>0</v>
      </c>
      <c r="O52" s="15">
        <f t="shared" si="0"/>
        <v>0.42857142857142855</v>
      </c>
      <c r="P52" s="15">
        <f t="shared" si="1"/>
        <v>17</v>
      </c>
      <c r="R52" s="8"/>
      <c r="T52"/>
    </row>
    <row r="53" spans="2:20" ht="23.1" customHeight="1" x14ac:dyDescent="0.25">
      <c r="B53" s="23" t="s">
        <v>80</v>
      </c>
      <c r="C53" s="49">
        <f>AVERAGE('23.09.19 -Kigo-Munyonyo'!C53,'24.09 Kigo-Munyonyo'!C53,'25.09 Kigo-Munyonyo'!C53,'27.09 LWEZA-Munyonyo'!C53,'26.09 Kigo-Munyonyo-24h'!C53,'28.09 Kigo-Munyonyo-24h'!C53,'29.09 Kigo-Munyonyo'!C53)</f>
        <v>0.14285714285714285</v>
      </c>
      <c r="D53" s="49">
        <f>AVERAGE('23.09.19 -Kigo-Munyonyo'!D53,'24.09 Kigo-Munyonyo'!D53,'25.09 Kigo-Munyonyo'!D53,'27.09 LWEZA-Munyonyo'!D53,'26.09 Kigo-Munyonyo-24h'!D53,'28.09 Kigo-Munyonyo-24h'!D53,'29.09 Kigo-Munyonyo'!D53)</f>
        <v>0</v>
      </c>
      <c r="E53" s="49">
        <f>AVERAGE('23.09.19 -Kigo-Munyonyo'!E53,'24.09 Kigo-Munyonyo'!E53,'25.09 Kigo-Munyonyo'!E53,'27.09 LWEZA-Munyonyo'!E53,'26.09 Kigo-Munyonyo-24h'!E53,'28.09 Kigo-Munyonyo-24h'!E53,'29.09 Kigo-Munyonyo'!E53)</f>
        <v>0</v>
      </c>
      <c r="F53" s="49">
        <f>AVERAGE('23.09.19 -Kigo-Munyonyo'!F53,'24.09 Kigo-Munyonyo'!F53,'25.09 Kigo-Munyonyo'!F53,'27.09 LWEZA-Munyonyo'!F53,'26.09 Kigo-Munyonyo-24h'!F53,'28.09 Kigo-Munyonyo-24h'!F53,'29.09 Kigo-Munyonyo'!F53)</f>
        <v>0.14285714285714285</v>
      </c>
      <c r="G53" s="49">
        <f>AVERAGE('23.09.19 -Kigo-Munyonyo'!G53,'24.09 Kigo-Munyonyo'!G53,'25.09 Kigo-Munyonyo'!G53,'27.09 LWEZA-Munyonyo'!G53,'26.09 Kigo-Munyonyo-24h'!G53,'28.09 Kigo-Munyonyo-24h'!G53,'29.09 Kigo-Munyonyo'!G53)</f>
        <v>0</v>
      </c>
      <c r="H53" s="49">
        <f>AVERAGE('23.09.19 -Kigo-Munyonyo'!H53,'24.09 Kigo-Munyonyo'!H53,'25.09 Kigo-Munyonyo'!H53,'27.09 LWEZA-Munyonyo'!H53,'26.09 Kigo-Munyonyo-24h'!H53,'28.09 Kigo-Munyonyo-24h'!H53,'29.09 Kigo-Munyonyo'!H53)</f>
        <v>0</v>
      </c>
      <c r="I53" s="49">
        <f>AVERAGE('23.09.19 -Kigo-Munyonyo'!I53,'24.09 Kigo-Munyonyo'!I53,'25.09 Kigo-Munyonyo'!I53,'27.09 LWEZA-Munyonyo'!I53,'26.09 Kigo-Munyonyo-24h'!I53,'28.09 Kigo-Munyonyo-24h'!I53,'29.09 Kigo-Munyonyo'!I53)</f>
        <v>0.2857142857142857</v>
      </c>
      <c r="J53" s="49">
        <f>AVERAGE('23.09.19 -Kigo-Munyonyo'!J53,'24.09 Kigo-Munyonyo'!J53,'25.09 Kigo-Munyonyo'!J53,'27.09 LWEZA-Munyonyo'!J53,'26.09 Kigo-Munyonyo-24h'!J53,'28.09 Kigo-Munyonyo-24h'!J53,'29.09 Kigo-Munyonyo'!J53)</f>
        <v>0</v>
      </c>
      <c r="K53" s="49">
        <f>AVERAGE('23.09.19 -Kigo-Munyonyo'!K53,'24.09 Kigo-Munyonyo'!K53,'25.09 Kigo-Munyonyo'!K53,'27.09 LWEZA-Munyonyo'!K53,'26.09 Kigo-Munyonyo-24h'!K53,'28.09 Kigo-Munyonyo-24h'!K53,'29.09 Kigo-Munyonyo'!K53)</f>
        <v>0</v>
      </c>
      <c r="L53" s="49">
        <f>AVERAGE('23.09.19 -Kigo-Munyonyo'!L53,'24.09 Kigo-Munyonyo'!L53,'25.09 Kigo-Munyonyo'!L53,'27.09 LWEZA-Munyonyo'!L53,'26.09 Kigo-Munyonyo-24h'!L53,'28.09 Kigo-Munyonyo-24h'!L53,'29.09 Kigo-Munyonyo'!L53)</f>
        <v>0</v>
      </c>
      <c r="M53" s="49">
        <f>AVERAGE('23.09.19 -Kigo-Munyonyo'!M53,'24.09 Kigo-Munyonyo'!M53,'25.09 Kigo-Munyonyo'!M53,'27.09 LWEZA-Munyonyo'!M53,'26.09 Kigo-Munyonyo-24h'!M53,'28.09 Kigo-Munyonyo-24h'!M53,'29.09 Kigo-Munyonyo'!M53)</f>
        <v>20.428571428571427</v>
      </c>
      <c r="N53" s="49">
        <f>AVERAGE('23.09.19 -Kigo-Munyonyo'!N53,'24.09 Kigo-Munyonyo'!N53,'25.09 Kigo-Munyonyo'!N53,'27.09 LWEZA-Munyonyo'!N53,'26.09 Kigo-Munyonyo-24h'!N53,'28.09 Kigo-Munyonyo-24h'!N53,'29.09 Kigo-Munyonyo'!N53)</f>
        <v>0</v>
      </c>
      <c r="O53" s="15">
        <f t="shared" si="0"/>
        <v>0.5714285714285714</v>
      </c>
      <c r="P53" s="15">
        <f t="shared" si="1"/>
        <v>21</v>
      </c>
      <c r="R53" s="8"/>
      <c r="T53"/>
    </row>
    <row r="54" spans="2:20" ht="23.1" customHeight="1" x14ac:dyDescent="0.25">
      <c r="B54" s="23" t="s">
        <v>81</v>
      </c>
      <c r="C54" s="49">
        <f>AVERAGE('23.09.19 -Kigo-Munyonyo'!C54,'24.09 Kigo-Munyonyo'!C54,'25.09 Kigo-Munyonyo'!C54,'27.09 LWEZA-Munyonyo'!C54,'26.09 Kigo-Munyonyo-24h'!C54,'28.09 Kigo-Munyonyo-24h'!C54,'29.09 Kigo-Munyonyo'!C54)</f>
        <v>0.7142857142857143</v>
      </c>
      <c r="D54" s="49">
        <f>AVERAGE('23.09.19 -Kigo-Munyonyo'!D54,'24.09 Kigo-Munyonyo'!D54,'25.09 Kigo-Munyonyo'!D54,'27.09 LWEZA-Munyonyo'!D54,'26.09 Kigo-Munyonyo-24h'!D54,'28.09 Kigo-Munyonyo-24h'!D54,'29.09 Kigo-Munyonyo'!D54)</f>
        <v>0</v>
      </c>
      <c r="E54" s="49">
        <f>AVERAGE('23.09.19 -Kigo-Munyonyo'!E54,'24.09 Kigo-Munyonyo'!E54,'25.09 Kigo-Munyonyo'!E54,'27.09 LWEZA-Munyonyo'!E54,'26.09 Kigo-Munyonyo-24h'!E54,'28.09 Kigo-Munyonyo-24h'!E54,'29.09 Kigo-Munyonyo'!E54)</f>
        <v>0.14285714285714285</v>
      </c>
      <c r="F54" s="49">
        <f>AVERAGE('23.09.19 -Kigo-Munyonyo'!F54,'24.09 Kigo-Munyonyo'!F54,'25.09 Kigo-Munyonyo'!F54,'27.09 LWEZA-Munyonyo'!F54,'26.09 Kigo-Munyonyo-24h'!F54,'28.09 Kigo-Munyonyo-24h'!F54,'29.09 Kigo-Munyonyo'!F54)</f>
        <v>0.2857142857142857</v>
      </c>
      <c r="G54" s="49">
        <f>AVERAGE('23.09.19 -Kigo-Munyonyo'!G54,'24.09 Kigo-Munyonyo'!G54,'25.09 Kigo-Munyonyo'!G54,'27.09 LWEZA-Munyonyo'!G54,'26.09 Kigo-Munyonyo-24h'!G54,'28.09 Kigo-Munyonyo-24h'!G54,'29.09 Kigo-Munyonyo'!G54)</f>
        <v>0</v>
      </c>
      <c r="H54" s="49">
        <f>AVERAGE('23.09.19 -Kigo-Munyonyo'!H54,'24.09 Kigo-Munyonyo'!H54,'25.09 Kigo-Munyonyo'!H54,'27.09 LWEZA-Munyonyo'!H54,'26.09 Kigo-Munyonyo-24h'!H54,'28.09 Kigo-Munyonyo-24h'!H54,'29.09 Kigo-Munyonyo'!H54)</f>
        <v>0</v>
      </c>
      <c r="I54" s="49">
        <f>AVERAGE('23.09.19 -Kigo-Munyonyo'!I54,'24.09 Kigo-Munyonyo'!I54,'25.09 Kigo-Munyonyo'!I54,'27.09 LWEZA-Munyonyo'!I54,'26.09 Kigo-Munyonyo-24h'!I54,'28.09 Kigo-Munyonyo-24h'!I54,'29.09 Kigo-Munyonyo'!I54)</f>
        <v>0.2857142857142857</v>
      </c>
      <c r="J54" s="49">
        <f>AVERAGE('23.09.19 -Kigo-Munyonyo'!J54,'24.09 Kigo-Munyonyo'!J54,'25.09 Kigo-Munyonyo'!J54,'27.09 LWEZA-Munyonyo'!J54,'26.09 Kigo-Munyonyo-24h'!J54,'28.09 Kigo-Munyonyo-24h'!J54,'29.09 Kigo-Munyonyo'!J54)</f>
        <v>0</v>
      </c>
      <c r="K54" s="49">
        <f>AVERAGE('23.09.19 -Kigo-Munyonyo'!K54,'24.09 Kigo-Munyonyo'!K54,'25.09 Kigo-Munyonyo'!K54,'27.09 LWEZA-Munyonyo'!K54,'26.09 Kigo-Munyonyo-24h'!K54,'28.09 Kigo-Munyonyo-24h'!K54,'29.09 Kigo-Munyonyo'!K54)</f>
        <v>0</v>
      </c>
      <c r="L54" s="49">
        <f>AVERAGE('23.09.19 -Kigo-Munyonyo'!L54,'24.09 Kigo-Munyonyo'!L54,'25.09 Kigo-Munyonyo'!L54,'27.09 LWEZA-Munyonyo'!L54,'26.09 Kigo-Munyonyo-24h'!L54,'28.09 Kigo-Munyonyo-24h'!L54,'29.09 Kigo-Munyonyo'!L54)</f>
        <v>0</v>
      </c>
      <c r="M54" s="49">
        <f>AVERAGE('23.09.19 -Kigo-Munyonyo'!M54,'24.09 Kigo-Munyonyo'!M54,'25.09 Kigo-Munyonyo'!M54,'27.09 LWEZA-Munyonyo'!M54,'26.09 Kigo-Munyonyo-24h'!M54,'28.09 Kigo-Munyonyo-24h'!M54,'29.09 Kigo-Munyonyo'!M54)</f>
        <v>23.857142857142858</v>
      </c>
      <c r="N54" s="49">
        <f>AVERAGE('23.09.19 -Kigo-Munyonyo'!N54,'24.09 Kigo-Munyonyo'!N54,'25.09 Kigo-Munyonyo'!N54,'27.09 LWEZA-Munyonyo'!N54,'26.09 Kigo-Munyonyo-24h'!N54,'28.09 Kigo-Munyonyo-24h'!N54,'29.09 Kigo-Munyonyo'!N54)</f>
        <v>0</v>
      </c>
      <c r="O54" s="15">
        <f t="shared" si="0"/>
        <v>1.4285714285714284</v>
      </c>
      <c r="P54" s="15">
        <f t="shared" si="1"/>
        <v>25.285714285714285</v>
      </c>
      <c r="R54" s="8"/>
      <c r="T54"/>
    </row>
    <row r="55" spans="2:20" ht="23.1" customHeight="1" x14ac:dyDescent="0.25">
      <c r="B55" s="23" t="s">
        <v>82</v>
      </c>
      <c r="C55" s="49">
        <f>AVERAGE('23.09.19 -Kigo-Munyonyo'!C55,'24.09 Kigo-Munyonyo'!C55,'25.09 Kigo-Munyonyo'!C55,'27.09 LWEZA-Munyonyo'!C55,'26.09 Kigo-Munyonyo-24h'!C55,'28.09 Kigo-Munyonyo-24h'!C55,'29.09 Kigo-Munyonyo'!C55)</f>
        <v>1</v>
      </c>
      <c r="D55" s="49">
        <f>AVERAGE('23.09.19 -Kigo-Munyonyo'!D55,'24.09 Kigo-Munyonyo'!D55,'25.09 Kigo-Munyonyo'!D55,'27.09 LWEZA-Munyonyo'!D55,'26.09 Kigo-Munyonyo-24h'!D55,'28.09 Kigo-Munyonyo-24h'!D55,'29.09 Kigo-Munyonyo'!D55)</f>
        <v>0.5714285714285714</v>
      </c>
      <c r="E55" s="49">
        <f>AVERAGE('23.09.19 -Kigo-Munyonyo'!E55,'24.09 Kigo-Munyonyo'!E55,'25.09 Kigo-Munyonyo'!E55,'27.09 LWEZA-Munyonyo'!E55,'26.09 Kigo-Munyonyo-24h'!E55,'28.09 Kigo-Munyonyo-24h'!E55,'29.09 Kigo-Munyonyo'!E55)</f>
        <v>0.14285714285714285</v>
      </c>
      <c r="F55" s="49">
        <f>AVERAGE('23.09.19 -Kigo-Munyonyo'!F55,'24.09 Kigo-Munyonyo'!F55,'25.09 Kigo-Munyonyo'!F55,'27.09 LWEZA-Munyonyo'!F55,'26.09 Kigo-Munyonyo-24h'!F55,'28.09 Kigo-Munyonyo-24h'!F55,'29.09 Kigo-Munyonyo'!F55)</f>
        <v>0.14285714285714285</v>
      </c>
      <c r="G55" s="49">
        <f>AVERAGE('23.09.19 -Kigo-Munyonyo'!G55,'24.09 Kigo-Munyonyo'!G55,'25.09 Kigo-Munyonyo'!G55,'27.09 LWEZA-Munyonyo'!G55,'26.09 Kigo-Munyonyo-24h'!G55,'28.09 Kigo-Munyonyo-24h'!G55,'29.09 Kigo-Munyonyo'!G55)</f>
        <v>0</v>
      </c>
      <c r="H55" s="49">
        <f>AVERAGE('23.09.19 -Kigo-Munyonyo'!H55,'24.09 Kigo-Munyonyo'!H55,'25.09 Kigo-Munyonyo'!H55,'27.09 LWEZA-Munyonyo'!H55,'26.09 Kigo-Munyonyo-24h'!H55,'28.09 Kigo-Munyonyo-24h'!H55,'29.09 Kigo-Munyonyo'!H55)</f>
        <v>0</v>
      </c>
      <c r="I55" s="49">
        <f>AVERAGE('23.09.19 -Kigo-Munyonyo'!I55,'24.09 Kigo-Munyonyo'!I55,'25.09 Kigo-Munyonyo'!I55,'27.09 LWEZA-Munyonyo'!I55,'26.09 Kigo-Munyonyo-24h'!I55,'28.09 Kigo-Munyonyo-24h'!I55,'29.09 Kigo-Munyonyo'!I55)</f>
        <v>0.2857142857142857</v>
      </c>
      <c r="J55" s="49">
        <f>AVERAGE('23.09.19 -Kigo-Munyonyo'!J55,'24.09 Kigo-Munyonyo'!J55,'25.09 Kigo-Munyonyo'!J55,'27.09 LWEZA-Munyonyo'!J55,'26.09 Kigo-Munyonyo-24h'!J55,'28.09 Kigo-Munyonyo-24h'!J55,'29.09 Kigo-Munyonyo'!J55)</f>
        <v>0.14285714285714285</v>
      </c>
      <c r="K55" s="49">
        <f>AVERAGE('23.09.19 -Kigo-Munyonyo'!K55,'24.09 Kigo-Munyonyo'!K55,'25.09 Kigo-Munyonyo'!K55,'27.09 LWEZA-Munyonyo'!K55,'26.09 Kigo-Munyonyo-24h'!K55,'28.09 Kigo-Munyonyo-24h'!K55,'29.09 Kigo-Munyonyo'!K55)</f>
        <v>0</v>
      </c>
      <c r="L55" s="49">
        <f>AVERAGE('23.09.19 -Kigo-Munyonyo'!L55,'24.09 Kigo-Munyonyo'!L55,'25.09 Kigo-Munyonyo'!L55,'27.09 LWEZA-Munyonyo'!L55,'26.09 Kigo-Munyonyo-24h'!L55,'28.09 Kigo-Munyonyo-24h'!L55,'29.09 Kigo-Munyonyo'!L55)</f>
        <v>0</v>
      </c>
      <c r="M55" s="49">
        <f>AVERAGE('23.09.19 -Kigo-Munyonyo'!M55,'24.09 Kigo-Munyonyo'!M55,'25.09 Kigo-Munyonyo'!M55,'27.09 LWEZA-Munyonyo'!M55,'26.09 Kigo-Munyonyo-24h'!M55,'28.09 Kigo-Munyonyo-24h'!M55,'29.09 Kigo-Munyonyo'!M55)</f>
        <v>19.142857142857142</v>
      </c>
      <c r="N55" s="49">
        <f>AVERAGE('23.09.19 -Kigo-Munyonyo'!N55,'24.09 Kigo-Munyonyo'!N55,'25.09 Kigo-Munyonyo'!N55,'27.09 LWEZA-Munyonyo'!N55,'26.09 Kigo-Munyonyo-24h'!N55,'28.09 Kigo-Munyonyo-24h'!N55,'29.09 Kigo-Munyonyo'!N55)</f>
        <v>0</v>
      </c>
      <c r="O55" s="15">
        <f t="shared" si="0"/>
        <v>2.2857142857142856</v>
      </c>
      <c r="P55" s="15">
        <f t="shared" si="1"/>
        <v>21.428571428571427</v>
      </c>
      <c r="R55" s="8"/>
      <c r="T55"/>
    </row>
    <row r="56" spans="2:20" ht="23.1" customHeight="1" x14ac:dyDescent="0.25">
      <c r="B56" s="23" t="s">
        <v>83</v>
      </c>
      <c r="C56" s="49">
        <f>AVERAGE('23.09.19 -Kigo-Munyonyo'!C56,'24.09 Kigo-Munyonyo'!C56,'25.09 Kigo-Munyonyo'!C56,'27.09 LWEZA-Munyonyo'!C56,'26.09 Kigo-Munyonyo-24h'!C56,'28.09 Kigo-Munyonyo-24h'!C56,'29.09 Kigo-Munyonyo'!C56)</f>
        <v>0.5714285714285714</v>
      </c>
      <c r="D56" s="49">
        <f>AVERAGE('23.09.19 -Kigo-Munyonyo'!D56,'24.09 Kigo-Munyonyo'!D56,'25.09 Kigo-Munyonyo'!D56,'27.09 LWEZA-Munyonyo'!D56,'26.09 Kigo-Munyonyo-24h'!D56,'28.09 Kigo-Munyonyo-24h'!D56,'29.09 Kigo-Munyonyo'!D56)</f>
        <v>0.2857142857142857</v>
      </c>
      <c r="E56" s="49">
        <f>AVERAGE('23.09.19 -Kigo-Munyonyo'!E56,'24.09 Kigo-Munyonyo'!E56,'25.09 Kigo-Munyonyo'!E56,'27.09 LWEZA-Munyonyo'!E56,'26.09 Kigo-Munyonyo-24h'!E56,'28.09 Kigo-Munyonyo-24h'!E56,'29.09 Kigo-Munyonyo'!E56)</f>
        <v>0</v>
      </c>
      <c r="F56" s="49">
        <f>AVERAGE('23.09.19 -Kigo-Munyonyo'!F56,'24.09 Kigo-Munyonyo'!F56,'25.09 Kigo-Munyonyo'!F56,'27.09 LWEZA-Munyonyo'!F56,'26.09 Kigo-Munyonyo-24h'!F56,'28.09 Kigo-Munyonyo-24h'!F56,'29.09 Kigo-Munyonyo'!F56)</f>
        <v>0.14285714285714285</v>
      </c>
      <c r="G56" s="49">
        <f>AVERAGE('23.09.19 -Kigo-Munyonyo'!G56,'24.09 Kigo-Munyonyo'!G56,'25.09 Kigo-Munyonyo'!G56,'27.09 LWEZA-Munyonyo'!G56,'26.09 Kigo-Munyonyo-24h'!G56,'28.09 Kigo-Munyonyo-24h'!G56,'29.09 Kigo-Munyonyo'!G56)</f>
        <v>0</v>
      </c>
      <c r="H56" s="49">
        <f>AVERAGE('23.09.19 -Kigo-Munyonyo'!H56,'24.09 Kigo-Munyonyo'!H56,'25.09 Kigo-Munyonyo'!H56,'27.09 LWEZA-Munyonyo'!H56,'26.09 Kigo-Munyonyo-24h'!H56,'28.09 Kigo-Munyonyo-24h'!H56,'29.09 Kigo-Munyonyo'!H56)</f>
        <v>0</v>
      </c>
      <c r="I56" s="49">
        <f>AVERAGE('23.09.19 -Kigo-Munyonyo'!I56,'24.09 Kigo-Munyonyo'!I56,'25.09 Kigo-Munyonyo'!I56,'27.09 LWEZA-Munyonyo'!I56,'26.09 Kigo-Munyonyo-24h'!I56,'28.09 Kigo-Munyonyo-24h'!I56,'29.09 Kigo-Munyonyo'!I56)</f>
        <v>0</v>
      </c>
      <c r="J56" s="49">
        <f>AVERAGE('23.09.19 -Kigo-Munyonyo'!J56,'24.09 Kigo-Munyonyo'!J56,'25.09 Kigo-Munyonyo'!J56,'27.09 LWEZA-Munyonyo'!J56,'26.09 Kigo-Munyonyo-24h'!J56,'28.09 Kigo-Munyonyo-24h'!J56,'29.09 Kigo-Munyonyo'!J56)</f>
        <v>0.14285714285714285</v>
      </c>
      <c r="K56" s="49">
        <f>AVERAGE('23.09.19 -Kigo-Munyonyo'!K56,'24.09 Kigo-Munyonyo'!K56,'25.09 Kigo-Munyonyo'!K56,'27.09 LWEZA-Munyonyo'!K56,'26.09 Kigo-Munyonyo-24h'!K56,'28.09 Kigo-Munyonyo-24h'!K56,'29.09 Kigo-Munyonyo'!K56)</f>
        <v>0</v>
      </c>
      <c r="L56" s="49">
        <f>AVERAGE('23.09.19 -Kigo-Munyonyo'!L56,'24.09 Kigo-Munyonyo'!L56,'25.09 Kigo-Munyonyo'!L56,'27.09 LWEZA-Munyonyo'!L56,'26.09 Kigo-Munyonyo-24h'!L56,'28.09 Kigo-Munyonyo-24h'!L56,'29.09 Kigo-Munyonyo'!L56)</f>
        <v>0</v>
      </c>
      <c r="M56" s="49">
        <f>AVERAGE('23.09.19 -Kigo-Munyonyo'!M56,'24.09 Kigo-Munyonyo'!M56,'25.09 Kigo-Munyonyo'!M56,'27.09 LWEZA-Munyonyo'!M56,'26.09 Kigo-Munyonyo-24h'!M56,'28.09 Kigo-Munyonyo-24h'!M56,'29.09 Kigo-Munyonyo'!M56)</f>
        <v>23.857142857142858</v>
      </c>
      <c r="N56" s="49">
        <f>AVERAGE('23.09.19 -Kigo-Munyonyo'!N56,'24.09 Kigo-Munyonyo'!N56,'25.09 Kigo-Munyonyo'!N56,'27.09 LWEZA-Munyonyo'!N56,'26.09 Kigo-Munyonyo-24h'!N56,'28.09 Kigo-Munyonyo-24h'!N56,'29.09 Kigo-Munyonyo'!N56)</f>
        <v>0</v>
      </c>
      <c r="O56" s="15">
        <f t="shared" si="0"/>
        <v>1.1428571428571428</v>
      </c>
      <c r="P56" s="15">
        <f t="shared" si="1"/>
        <v>25</v>
      </c>
      <c r="R56" s="8"/>
      <c r="T56"/>
    </row>
    <row r="57" spans="2:20" ht="23.1" customHeight="1" x14ac:dyDescent="0.25">
      <c r="B57" s="23" t="s">
        <v>84</v>
      </c>
      <c r="C57" s="49">
        <f>AVERAGE('23.09.19 -Kigo-Munyonyo'!C57,'24.09 Kigo-Munyonyo'!C57,'25.09 Kigo-Munyonyo'!C57,'27.09 LWEZA-Munyonyo'!C57,'26.09 Kigo-Munyonyo-24h'!C57,'28.09 Kigo-Munyonyo-24h'!C57,'29.09 Kigo-Munyonyo'!C57)</f>
        <v>0</v>
      </c>
      <c r="D57" s="49">
        <f>AVERAGE('23.09.19 -Kigo-Munyonyo'!D57,'24.09 Kigo-Munyonyo'!D57,'25.09 Kigo-Munyonyo'!D57,'27.09 LWEZA-Munyonyo'!D57,'26.09 Kigo-Munyonyo-24h'!D57,'28.09 Kigo-Munyonyo-24h'!D57,'29.09 Kigo-Munyonyo'!D57)</f>
        <v>0.2857142857142857</v>
      </c>
      <c r="E57" s="49">
        <f>AVERAGE('23.09.19 -Kigo-Munyonyo'!E57,'24.09 Kigo-Munyonyo'!E57,'25.09 Kigo-Munyonyo'!E57,'27.09 LWEZA-Munyonyo'!E57,'26.09 Kigo-Munyonyo-24h'!E57,'28.09 Kigo-Munyonyo-24h'!E57,'29.09 Kigo-Munyonyo'!E57)</f>
        <v>0</v>
      </c>
      <c r="F57" s="49">
        <f>AVERAGE('23.09.19 -Kigo-Munyonyo'!F57,'24.09 Kigo-Munyonyo'!F57,'25.09 Kigo-Munyonyo'!F57,'27.09 LWEZA-Munyonyo'!F57,'26.09 Kigo-Munyonyo-24h'!F57,'28.09 Kigo-Munyonyo-24h'!F57,'29.09 Kigo-Munyonyo'!F57)</f>
        <v>0.2857142857142857</v>
      </c>
      <c r="G57" s="49">
        <f>AVERAGE('23.09.19 -Kigo-Munyonyo'!G57,'24.09 Kigo-Munyonyo'!G57,'25.09 Kigo-Munyonyo'!G57,'27.09 LWEZA-Munyonyo'!G57,'26.09 Kigo-Munyonyo-24h'!G57,'28.09 Kigo-Munyonyo-24h'!G57,'29.09 Kigo-Munyonyo'!G57)</f>
        <v>0</v>
      </c>
      <c r="H57" s="49">
        <f>AVERAGE('23.09.19 -Kigo-Munyonyo'!H57,'24.09 Kigo-Munyonyo'!H57,'25.09 Kigo-Munyonyo'!H57,'27.09 LWEZA-Munyonyo'!H57,'26.09 Kigo-Munyonyo-24h'!H57,'28.09 Kigo-Munyonyo-24h'!H57,'29.09 Kigo-Munyonyo'!H57)</f>
        <v>0</v>
      </c>
      <c r="I57" s="49">
        <f>AVERAGE('23.09.19 -Kigo-Munyonyo'!I57,'24.09 Kigo-Munyonyo'!I57,'25.09 Kigo-Munyonyo'!I57,'27.09 LWEZA-Munyonyo'!I57,'26.09 Kigo-Munyonyo-24h'!I57,'28.09 Kigo-Munyonyo-24h'!I57,'29.09 Kigo-Munyonyo'!I57)</f>
        <v>0.14285714285714285</v>
      </c>
      <c r="J57" s="49">
        <f>AVERAGE('23.09.19 -Kigo-Munyonyo'!J57,'24.09 Kigo-Munyonyo'!J57,'25.09 Kigo-Munyonyo'!J57,'27.09 LWEZA-Munyonyo'!J57,'26.09 Kigo-Munyonyo-24h'!J57,'28.09 Kigo-Munyonyo-24h'!J57,'29.09 Kigo-Munyonyo'!J57)</f>
        <v>0</v>
      </c>
      <c r="K57" s="49">
        <f>AVERAGE('23.09.19 -Kigo-Munyonyo'!K57,'24.09 Kigo-Munyonyo'!K57,'25.09 Kigo-Munyonyo'!K57,'27.09 LWEZA-Munyonyo'!K57,'26.09 Kigo-Munyonyo-24h'!K57,'28.09 Kigo-Munyonyo-24h'!K57,'29.09 Kigo-Munyonyo'!K57)</f>
        <v>0</v>
      </c>
      <c r="L57" s="49">
        <f>AVERAGE('23.09.19 -Kigo-Munyonyo'!L57,'24.09 Kigo-Munyonyo'!L57,'25.09 Kigo-Munyonyo'!L57,'27.09 LWEZA-Munyonyo'!L57,'26.09 Kigo-Munyonyo-24h'!L57,'28.09 Kigo-Munyonyo-24h'!L57,'29.09 Kigo-Munyonyo'!L57)</f>
        <v>0</v>
      </c>
      <c r="M57" s="49">
        <f>AVERAGE('23.09.19 -Kigo-Munyonyo'!M57,'24.09 Kigo-Munyonyo'!M57,'25.09 Kigo-Munyonyo'!M57,'27.09 LWEZA-Munyonyo'!M57,'26.09 Kigo-Munyonyo-24h'!M57,'28.09 Kigo-Munyonyo-24h'!M57,'29.09 Kigo-Munyonyo'!M57)</f>
        <v>18</v>
      </c>
      <c r="N57" s="49">
        <f>AVERAGE('23.09.19 -Kigo-Munyonyo'!N57,'24.09 Kigo-Munyonyo'!N57,'25.09 Kigo-Munyonyo'!N57,'27.09 LWEZA-Munyonyo'!N57,'26.09 Kigo-Munyonyo-24h'!N57,'28.09 Kigo-Munyonyo-24h'!N57,'29.09 Kigo-Munyonyo'!N57)</f>
        <v>0</v>
      </c>
      <c r="O57" s="15">
        <f t="shared" si="0"/>
        <v>0.71428571428571419</v>
      </c>
      <c r="P57" s="15">
        <f t="shared" si="1"/>
        <v>18.714285714285715</v>
      </c>
      <c r="R57" s="8"/>
      <c r="T57"/>
    </row>
    <row r="58" spans="2:20" ht="23.1" customHeight="1" x14ac:dyDescent="0.25">
      <c r="B58" s="23" t="s">
        <v>99</v>
      </c>
      <c r="C58" s="49">
        <f>AVERAGE('28.09 Kigo-Munyonyo-24h'!C58,'26.09 Kigo-Munyonyo-24h'!C58)</f>
        <v>0</v>
      </c>
      <c r="D58" s="49">
        <f>AVERAGE('28.09 Kigo-Munyonyo-24h'!D58,'26.09 Kigo-Munyonyo-24h'!D58)</f>
        <v>0</v>
      </c>
      <c r="E58" s="49">
        <f>AVERAGE('28.09 Kigo-Munyonyo-24h'!E58,'26.09 Kigo-Munyonyo-24h'!E58)</f>
        <v>0</v>
      </c>
      <c r="F58" s="49">
        <f>AVERAGE('28.09 Kigo-Munyonyo-24h'!F58,'26.09 Kigo-Munyonyo-24h'!F58)</f>
        <v>0</v>
      </c>
      <c r="G58" s="49">
        <f>AVERAGE('28.09 Kigo-Munyonyo-24h'!G58,'26.09 Kigo-Munyonyo-24h'!G58)</f>
        <v>0</v>
      </c>
      <c r="H58" s="49">
        <f>AVERAGE('28.09 Kigo-Munyonyo-24h'!H58,'26.09 Kigo-Munyonyo-24h'!H58)</f>
        <v>0</v>
      </c>
      <c r="I58" s="49">
        <f>AVERAGE('28.09 Kigo-Munyonyo-24h'!I58,'26.09 Kigo-Munyonyo-24h'!I58)</f>
        <v>0</v>
      </c>
      <c r="J58" s="49">
        <f>AVERAGE('28.09 Kigo-Munyonyo-24h'!J58,'26.09 Kigo-Munyonyo-24h'!J58)</f>
        <v>0</v>
      </c>
      <c r="K58" s="49">
        <f>AVERAGE('28.09 Kigo-Munyonyo-24h'!K58,'26.09 Kigo-Munyonyo-24h'!K58)</f>
        <v>0</v>
      </c>
      <c r="L58" s="49">
        <f>AVERAGE('28.09 Kigo-Munyonyo-24h'!L58,'26.09 Kigo-Munyonyo-24h'!L58)</f>
        <v>0</v>
      </c>
      <c r="M58" s="49">
        <f>AVERAGE('28.09 Kigo-Munyonyo-24h'!M58,'26.09 Kigo-Munyonyo-24h'!M58)</f>
        <v>18.5</v>
      </c>
      <c r="N58" s="49">
        <f>AVERAGE('28.09 Kigo-Munyonyo-24h'!N58,'26.09 Kigo-Munyonyo-24h'!N58)</f>
        <v>0</v>
      </c>
      <c r="O58" s="15">
        <f t="shared" si="0"/>
        <v>0</v>
      </c>
      <c r="P58" s="15">
        <f t="shared" si="1"/>
        <v>18.5</v>
      </c>
      <c r="R58" s="8"/>
      <c r="T58"/>
    </row>
    <row r="59" spans="2:20" ht="23.1" customHeight="1" x14ac:dyDescent="0.25">
      <c r="B59" s="23" t="s">
        <v>100</v>
      </c>
      <c r="C59" s="49">
        <f>AVERAGE('28.09 Kigo-Munyonyo-24h'!C59,'26.09 Kigo-Munyonyo-24h'!C59)</f>
        <v>0</v>
      </c>
      <c r="D59" s="49">
        <f>AVERAGE('28.09 Kigo-Munyonyo-24h'!D59,'26.09 Kigo-Munyonyo-24h'!D59)</f>
        <v>0</v>
      </c>
      <c r="E59" s="49">
        <f>AVERAGE('28.09 Kigo-Munyonyo-24h'!E59,'26.09 Kigo-Munyonyo-24h'!E59)</f>
        <v>0</v>
      </c>
      <c r="F59" s="49">
        <f>AVERAGE('28.09 Kigo-Munyonyo-24h'!F59,'26.09 Kigo-Munyonyo-24h'!F59)</f>
        <v>0</v>
      </c>
      <c r="G59" s="49">
        <f>AVERAGE('28.09 Kigo-Munyonyo-24h'!G59,'26.09 Kigo-Munyonyo-24h'!G59)</f>
        <v>0</v>
      </c>
      <c r="H59" s="49">
        <f>AVERAGE('28.09 Kigo-Munyonyo-24h'!H59,'26.09 Kigo-Munyonyo-24h'!H59)</f>
        <v>0</v>
      </c>
      <c r="I59" s="49">
        <f>AVERAGE('28.09 Kigo-Munyonyo-24h'!I59,'26.09 Kigo-Munyonyo-24h'!I59)</f>
        <v>0</v>
      </c>
      <c r="J59" s="49">
        <f>AVERAGE('28.09 Kigo-Munyonyo-24h'!J59,'26.09 Kigo-Munyonyo-24h'!J59)</f>
        <v>0</v>
      </c>
      <c r="K59" s="49">
        <f>AVERAGE('28.09 Kigo-Munyonyo-24h'!K59,'26.09 Kigo-Munyonyo-24h'!K59)</f>
        <v>0</v>
      </c>
      <c r="L59" s="49">
        <f>AVERAGE('28.09 Kigo-Munyonyo-24h'!L59,'26.09 Kigo-Munyonyo-24h'!L59)</f>
        <v>0</v>
      </c>
      <c r="M59" s="49">
        <f>AVERAGE('28.09 Kigo-Munyonyo-24h'!M59,'26.09 Kigo-Munyonyo-24h'!M59)</f>
        <v>25</v>
      </c>
      <c r="N59" s="49">
        <f>AVERAGE('28.09 Kigo-Munyonyo-24h'!N59,'26.09 Kigo-Munyonyo-24h'!N59)</f>
        <v>0</v>
      </c>
      <c r="O59" s="15">
        <f t="shared" si="0"/>
        <v>0</v>
      </c>
      <c r="P59" s="15">
        <f t="shared" si="1"/>
        <v>25</v>
      </c>
      <c r="R59" s="8"/>
      <c r="T59"/>
    </row>
    <row r="60" spans="2:20" ht="23.1" customHeight="1" x14ac:dyDescent="0.25">
      <c r="B60" s="23" t="s">
        <v>101</v>
      </c>
      <c r="C60" s="49">
        <f>AVERAGE('28.09 Kigo-Munyonyo-24h'!C60,'26.09 Kigo-Munyonyo-24h'!C60)</f>
        <v>0</v>
      </c>
      <c r="D60" s="49">
        <f>AVERAGE('28.09 Kigo-Munyonyo-24h'!D60,'26.09 Kigo-Munyonyo-24h'!D60)</f>
        <v>0.5</v>
      </c>
      <c r="E60" s="49">
        <f>AVERAGE('28.09 Kigo-Munyonyo-24h'!E60,'26.09 Kigo-Munyonyo-24h'!E60)</f>
        <v>0</v>
      </c>
      <c r="F60" s="49">
        <f>AVERAGE('28.09 Kigo-Munyonyo-24h'!F60,'26.09 Kigo-Munyonyo-24h'!F60)</f>
        <v>0</v>
      </c>
      <c r="G60" s="49">
        <f>AVERAGE('28.09 Kigo-Munyonyo-24h'!G60,'26.09 Kigo-Munyonyo-24h'!G60)</f>
        <v>0</v>
      </c>
      <c r="H60" s="49">
        <f>AVERAGE('28.09 Kigo-Munyonyo-24h'!H60,'26.09 Kigo-Munyonyo-24h'!H60)</f>
        <v>0</v>
      </c>
      <c r="I60" s="49">
        <f>AVERAGE('28.09 Kigo-Munyonyo-24h'!I60,'26.09 Kigo-Munyonyo-24h'!I60)</f>
        <v>0</v>
      </c>
      <c r="J60" s="49">
        <f>AVERAGE('28.09 Kigo-Munyonyo-24h'!J60,'26.09 Kigo-Munyonyo-24h'!J60)</f>
        <v>0</v>
      </c>
      <c r="K60" s="49">
        <f>AVERAGE('28.09 Kigo-Munyonyo-24h'!K60,'26.09 Kigo-Munyonyo-24h'!K60)</f>
        <v>0</v>
      </c>
      <c r="L60" s="49">
        <f>AVERAGE('28.09 Kigo-Munyonyo-24h'!L60,'26.09 Kigo-Munyonyo-24h'!L60)</f>
        <v>0</v>
      </c>
      <c r="M60" s="49">
        <f>AVERAGE('28.09 Kigo-Munyonyo-24h'!M60,'26.09 Kigo-Munyonyo-24h'!M60)</f>
        <v>26.5</v>
      </c>
      <c r="N60" s="49">
        <f>AVERAGE('28.09 Kigo-Munyonyo-24h'!N60,'26.09 Kigo-Munyonyo-24h'!N60)</f>
        <v>0</v>
      </c>
      <c r="O60" s="15">
        <f t="shared" si="0"/>
        <v>0.5</v>
      </c>
      <c r="P60" s="15">
        <f t="shared" si="1"/>
        <v>27</v>
      </c>
      <c r="R60" s="8"/>
      <c r="T60"/>
    </row>
    <row r="61" spans="2:20" ht="23.1" customHeight="1" x14ac:dyDescent="0.25">
      <c r="B61" s="23" t="s">
        <v>102</v>
      </c>
      <c r="C61" s="49">
        <f>AVERAGE('28.09 Kigo-Munyonyo-24h'!C61,'26.09 Kigo-Munyonyo-24h'!C61)</f>
        <v>0</v>
      </c>
      <c r="D61" s="49">
        <f>AVERAGE('28.09 Kigo-Munyonyo-24h'!D61,'26.09 Kigo-Munyonyo-24h'!D61)</f>
        <v>0</v>
      </c>
      <c r="E61" s="49">
        <f>AVERAGE('28.09 Kigo-Munyonyo-24h'!E61,'26.09 Kigo-Munyonyo-24h'!E61)</f>
        <v>0</v>
      </c>
      <c r="F61" s="49">
        <f>AVERAGE('28.09 Kigo-Munyonyo-24h'!F61,'26.09 Kigo-Munyonyo-24h'!F61)</f>
        <v>0</v>
      </c>
      <c r="G61" s="49">
        <f>AVERAGE('28.09 Kigo-Munyonyo-24h'!G61,'26.09 Kigo-Munyonyo-24h'!G61)</f>
        <v>0</v>
      </c>
      <c r="H61" s="49">
        <f>AVERAGE('28.09 Kigo-Munyonyo-24h'!H61,'26.09 Kigo-Munyonyo-24h'!H61)</f>
        <v>0</v>
      </c>
      <c r="I61" s="49">
        <f>AVERAGE('28.09 Kigo-Munyonyo-24h'!I61,'26.09 Kigo-Munyonyo-24h'!I61)</f>
        <v>0</v>
      </c>
      <c r="J61" s="49">
        <f>AVERAGE('28.09 Kigo-Munyonyo-24h'!J61,'26.09 Kigo-Munyonyo-24h'!J61)</f>
        <v>0</v>
      </c>
      <c r="K61" s="49">
        <f>AVERAGE('28.09 Kigo-Munyonyo-24h'!K61,'26.09 Kigo-Munyonyo-24h'!K61)</f>
        <v>0</v>
      </c>
      <c r="L61" s="49">
        <f>AVERAGE('28.09 Kigo-Munyonyo-24h'!L61,'26.09 Kigo-Munyonyo-24h'!L61)</f>
        <v>0</v>
      </c>
      <c r="M61" s="49">
        <f>AVERAGE('28.09 Kigo-Munyonyo-24h'!M61,'26.09 Kigo-Munyonyo-24h'!M61)</f>
        <v>30.5</v>
      </c>
      <c r="N61" s="49">
        <f>AVERAGE('28.09 Kigo-Munyonyo-24h'!N61,'26.09 Kigo-Munyonyo-24h'!N61)</f>
        <v>0</v>
      </c>
      <c r="O61" s="15">
        <f t="shared" si="0"/>
        <v>0</v>
      </c>
      <c r="P61" s="15">
        <f t="shared" si="1"/>
        <v>30.5</v>
      </c>
      <c r="R61" s="8"/>
      <c r="T61"/>
    </row>
    <row r="62" spans="2:20" ht="23.1" customHeight="1" x14ac:dyDescent="0.25">
      <c r="B62" s="23" t="s">
        <v>107</v>
      </c>
      <c r="C62" s="49">
        <f>AVERAGE('28.09 Kigo-Munyonyo-24h'!C62,'26.09 Kigo-Munyonyo-24h'!C62)</f>
        <v>0</v>
      </c>
      <c r="D62" s="49">
        <f>AVERAGE('28.09 Kigo-Munyonyo-24h'!D62,'26.09 Kigo-Munyonyo-24h'!D62)</f>
        <v>0</v>
      </c>
      <c r="E62" s="49">
        <f>AVERAGE('28.09 Kigo-Munyonyo-24h'!E62,'26.09 Kigo-Munyonyo-24h'!E62)</f>
        <v>0</v>
      </c>
      <c r="F62" s="49">
        <f>AVERAGE('28.09 Kigo-Munyonyo-24h'!F62,'26.09 Kigo-Munyonyo-24h'!F62)</f>
        <v>0</v>
      </c>
      <c r="G62" s="49">
        <f>AVERAGE('28.09 Kigo-Munyonyo-24h'!G62,'26.09 Kigo-Munyonyo-24h'!G62)</f>
        <v>0</v>
      </c>
      <c r="H62" s="49">
        <f>AVERAGE('28.09 Kigo-Munyonyo-24h'!H62,'26.09 Kigo-Munyonyo-24h'!H62)</f>
        <v>0</v>
      </c>
      <c r="I62" s="49">
        <f>AVERAGE('28.09 Kigo-Munyonyo-24h'!I62,'26.09 Kigo-Munyonyo-24h'!I62)</f>
        <v>0</v>
      </c>
      <c r="J62" s="49">
        <f>AVERAGE('28.09 Kigo-Munyonyo-24h'!J62,'26.09 Kigo-Munyonyo-24h'!J62)</f>
        <v>0.5</v>
      </c>
      <c r="K62" s="49">
        <f>AVERAGE('28.09 Kigo-Munyonyo-24h'!K62,'26.09 Kigo-Munyonyo-24h'!K62)</f>
        <v>0</v>
      </c>
      <c r="L62" s="49">
        <f>AVERAGE('28.09 Kigo-Munyonyo-24h'!L62,'26.09 Kigo-Munyonyo-24h'!L62)</f>
        <v>0</v>
      </c>
      <c r="M62" s="49">
        <f>AVERAGE('28.09 Kigo-Munyonyo-24h'!M62,'26.09 Kigo-Munyonyo-24h'!M62)</f>
        <v>27.5</v>
      </c>
      <c r="N62" s="49">
        <f>AVERAGE('28.09 Kigo-Munyonyo-24h'!N62,'26.09 Kigo-Munyonyo-24h'!N62)</f>
        <v>0</v>
      </c>
      <c r="O62" s="15">
        <f t="shared" si="0"/>
        <v>0.5</v>
      </c>
      <c r="P62" s="15">
        <f t="shared" si="1"/>
        <v>28</v>
      </c>
      <c r="R62" s="8"/>
      <c r="T62"/>
    </row>
    <row r="63" spans="2:20" ht="23.1" customHeight="1" x14ac:dyDescent="0.25">
      <c r="B63" s="23" t="s">
        <v>108</v>
      </c>
      <c r="C63" s="49">
        <f>AVERAGE('28.09 Kigo-Munyonyo-24h'!C63,'26.09 Kigo-Munyonyo-24h'!C63)</f>
        <v>1.5</v>
      </c>
      <c r="D63" s="49">
        <f>AVERAGE('28.09 Kigo-Munyonyo-24h'!D63,'26.09 Kigo-Munyonyo-24h'!D63)</f>
        <v>0.5</v>
      </c>
      <c r="E63" s="49">
        <f>AVERAGE('28.09 Kigo-Munyonyo-24h'!E63,'26.09 Kigo-Munyonyo-24h'!E63)</f>
        <v>0.5</v>
      </c>
      <c r="F63" s="49">
        <f>AVERAGE('28.09 Kigo-Munyonyo-24h'!F63,'26.09 Kigo-Munyonyo-24h'!F63)</f>
        <v>0</v>
      </c>
      <c r="G63" s="49">
        <f>AVERAGE('28.09 Kigo-Munyonyo-24h'!G63,'26.09 Kigo-Munyonyo-24h'!G63)</f>
        <v>0</v>
      </c>
      <c r="H63" s="49">
        <f>AVERAGE('28.09 Kigo-Munyonyo-24h'!H63,'26.09 Kigo-Munyonyo-24h'!H63)</f>
        <v>0</v>
      </c>
      <c r="I63" s="49">
        <f>AVERAGE('28.09 Kigo-Munyonyo-24h'!I63,'26.09 Kigo-Munyonyo-24h'!I63)</f>
        <v>0.5</v>
      </c>
      <c r="J63" s="49">
        <f>AVERAGE('28.09 Kigo-Munyonyo-24h'!J63,'26.09 Kigo-Munyonyo-24h'!J63)</f>
        <v>0</v>
      </c>
      <c r="K63" s="49">
        <f>AVERAGE('28.09 Kigo-Munyonyo-24h'!K63,'26.09 Kigo-Munyonyo-24h'!K63)</f>
        <v>0</v>
      </c>
      <c r="L63" s="49">
        <f>AVERAGE('28.09 Kigo-Munyonyo-24h'!L63,'26.09 Kigo-Munyonyo-24h'!L63)</f>
        <v>0</v>
      </c>
      <c r="M63" s="49">
        <f>AVERAGE('28.09 Kigo-Munyonyo-24h'!M63,'26.09 Kigo-Munyonyo-24h'!M63)</f>
        <v>23</v>
      </c>
      <c r="N63" s="49">
        <f>AVERAGE('28.09 Kigo-Munyonyo-24h'!N63,'26.09 Kigo-Munyonyo-24h'!N63)</f>
        <v>0</v>
      </c>
      <c r="O63" s="15">
        <f t="shared" si="0"/>
        <v>3</v>
      </c>
      <c r="P63" s="15">
        <f t="shared" si="1"/>
        <v>26</v>
      </c>
      <c r="R63" s="8"/>
      <c r="T63"/>
    </row>
    <row r="64" spans="2:20" ht="23.1" customHeight="1" x14ac:dyDescent="0.25">
      <c r="B64" s="23" t="s">
        <v>109</v>
      </c>
      <c r="C64" s="49">
        <f>AVERAGE('28.09 Kigo-Munyonyo-24h'!C64,'26.09 Kigo-Munyonyo-24h'!C64)</f>
        <v>0.5</v>
      </c>
      <c r="D64" s="49">
        <f>AVERAGE('28.09 Kigo-Munyonyo-24h'!D64,'26.09 Kigo-Munyonyo-24h'!D64)</f>
        <v>0</v>
      </c>
      <c r="E64" s="49">
        <f>AVERAGE('28.09 Kigo-Munyonyo-24h'!E64,'26.09 Kigo-Munyonyo-24h'!E64)</f>
        <v>0</v>
      </c>
      <c r="F64" s="49">
        <f>AVERAGE('28.09 Kigo-Munyonyo-24h'!F64,'26.09 Kigo-Munyonyo-24h'!F64)</f>
        <v>0</v>
      </c>
      <c r="G64" s="49">
        <f>AVERAGE('28.09 Kigo-Munyonyo-24h'!G64,'26.09 Kigo-Munyonyo-24h'!G64)</f>
        <v>0</v>
      </c>
      <c r="H64" s="49">
        <f>AVERAGE('28.09 Kigo-Munyonyo-24h'!H64,'26.09 Kigo-Munyonyo-24h'!H64)</f>
        <v>0</v>
      </c>
      <c r="I64" s="49">
        <f>AVERAGE('28.09 Kigo-Munyonyo-24h'!I64,'26.09 Kigo-Munyonyo-24h'!I64)</f>
        <v>0</v>
      </c>
      <c r="J64" s="49">
        <f>AVERAGE('28.09 Kigo-Munyonyo-24h'!J64,'26.09 Kigo-Munyonyo-24h'!J64)</f>
        <v>0</v>
      </c>
      <c r="K64" s="49">
        <f>AVERAGE('28.09 Kigo-Munyonyo-24h'!K64,'26.09 Kigo-Munyonyo-24h'!K64)</f>
        <v>0</v>
      </c>
      <c r="L64" s="49">
        <f>AVERAGE('28.09 Kigo-Munyonyo-24h'!L64,'26.09 Kigo-Munyonyo-24h'!L64)</f>
        <v>0</v>
      </c>
      <c r="M64" s="49">
        <f>AVERAGE('28.09 Kigo-Munyonyo-24h'!M64,'26.09 Kigo-Munyonyo-24h'!M64)</f>
        <v>23</v>
      </c>
      <c r="N64" s="49">
        <f>AVERAGE('28.09 Kigo-Munyonyo-24h'!N64,'26.09 Kigo-Munyonyo-24h'!N64)</f>
        <v>0</v>
      </c>
      <c r="O64" s="15">
        <f t="shared" si="0"/>
        <v>0.5</v>
      </c>
      <c r="P64" s="15">
        <f t="shared" si="1"/>
        <v>23.5</v>
      </c>
      <c r="R64" s="8"/>
      <c r="T64"/>
    </row>
    <row r="65" spans="2:20" ht="23.1" customHeight="1" x14ac:dyDescent="0.25">
      <c r="B65" s="23" t="s">
        <v>158</v>
      </c>
      <c r="C65" s="49">
        <f>AVERAGE('28.09 Kigo-Munyonyo-24h'!C65,'26.09 Kigo-Munyonyo-24h'!C65)</f>
        <v>0.5</v>
      </c>
      <c r="D65" s="49">
        <f>AVERAGE('28.09 Kigo-Munyonyo-24h'!D65,'26.09 Kigo-Munyonyo-24h'!D65)</f>
        <v>0</v>
      </c>
      <c r="E65" s="49">
        <f>AVERAGE('28.09 Kigo-Munyonyo-24h'!E65,'26.09 Kigo-Munyonyo-24h'!E65)</f>
        <v>0</v>
      </c>
      <c r="F65" s="49">
        <f>AVERAGE('28.09 Kigo-Munyonyo-24h'!F65,'26.09 Kigo-Munyonyo-24h'!F65)</f>
        <v>0</v>
      </c>
      <c r="G65" s="49">
        <f>AVERAGE('28.09 Kigo-Munyonyo-24h'!G65,'26.09 Kigo-Munyonyo-24h'!G65)</f>
        <v>0</v>
      </c>
      <c r="H65" s="49">
        <f>AVERAGE('28.09 Kigo-Munyonyo-24h'!H65,'26.09 Kigo-Munyonyo-24h'!H65)</f>
        <v>0</v>
      </c>
      <c r="I65" s="49">
        <f>AVERAGE('28.09 Kigo-Munyonyo-24h'!I65,'26.09 Kigo-Munyonyo-24h'!I65)</f>
        <v>0</v>
      </c>
      <c r="J65" s="49">
        <f>AVERAGE('28.09 Kigo-Munyonyo-24h'!J65,'26.09 Kigo-Munyonyo-24h'!J65)</f>
        <v>0</v>
      </c>
      <c r="K65" s="49">
        <f>AVERAGE('28.09 Kigo-Munyonyo-24h'!K65,'26.09 Kigo-Munyonyo-24h'!K65)</f>
        <v>0</v>
      </c>
      <c r="L65" s="49">
        <f>AVERAGE('28.09 Kigo-Munyonyo-24h'!L65,'26.09 Kigo-Munyonyo-24h'!L65)</f>
        <v>0</v>
      </c>
      <c r="M65" s="49">
        <f>AVERAGE('28.09 Kigo-Munyonyo-24h'!M65,'26.09 Kigo-Munyonyo-24h'!M65)</f>
        <v>18.5</v>
      </c>
      <c r="N65" s="49">
        <f>AVERAGE('28.09 Kigo-Munyonyo-24h'!N65,'26.09 Kigo-Munyonyo-24h'!N65)</f>
        <v>0</v>
      </c>
      <c r="O65" s="15">
        <f t="shared" si="0"/>
        <v>0.5</v>
      </c>
      <c r="P65" s="15">
        <f t="shared" si="1"/>
        <v>19</v>
      </c>
      <c r="R65" s="8"/>
      <c r="T65"/>
    </row>
    <row r="66" spans="2:20" ht="23.1" customHeight="1" x14ac:dyDescent="0.25">
      <c r="B66" s="23" t="s">
        <v>103</v>
      </c>
      <c r="C66" s="49">
        <f>AVERAGE('28.09 Kigo-Munyonyo-24h'!C66,'26.09 Kigo-Munyonyo-24h'!C66)</f>
        <v>0.5</v>
      </c>
      <c r="D66" s="49">
        <f>AVERAGE('28.09 Kigo-Munyonyo-24h'!D66,'26.09 Kigo-Munyonyo-24h'!D66)</f>
        <v>0</v>
      </c>
      <c r="E66" s="49">
        <f>AVERAGE('28.09 Kigo-Munyonyo-24h'!E66,'26.09 Kigo-Munyonyo-24h'!E66)</f>
        <v>0</v>
      </c>
      <c r="F66" s="49">
        <f>AVERAGE('28.09 Kigo-Munyonyo-24h'!F66,'26.09 Kigo-Munyonyo-24h'!F66)</f>
        <v>0</v>
      </c>
      <c r="G66" s="49">
        <f>AVERAGE('28.09 Kigo-Munyonyo-24h'!G66,'26.09 Kigo-Munyonyo-24h'!G66)</f>
        <v>0</v>
      </c>
      <c r="H66" s="49">
        <f>AVERAGE('28.09 Kigo-Munyonyo-24h'!H66,'26.09 Kigo-Munyonyo-24h'!H66)</f>
        <v>0</v>
      </c>
      <c r="I66" s="49">
        <f>AVERAGE('28.09 Kigo-Munyonyo-24h'!I66,'26.09 Kigo-Munyonyo-24h'!I66)</f>
        <v>0</v>
      </c>
      <c r="J66" s="49">
        <f>AVERAGE('28.09 Kigo-Munyonyo-24h'!J66,'26.09 Kigo-Munyonyo-24h'!J66)</f>
        <v>0</v>
      </c>
      <c r="K66" s="49">
        <f>AVERAGE('28.09 Kigo-Munyonyo-24h'!K66,'26.09 Kigo-Munyonyo-24h'!K66)</f>
        <v>0</v>
      </c>
      <c r="L66" s="49">
        <f>AVERAGE('28.09 Kigo-Munyonyo-24h'!L66,'26.09 Kigo-Munyonyo-24h'!L66)</f>
        <v>0</v>
      </c>
      <c r="M66" s="49">
        <f>AVERAGE('28.09 Kigo-Munyonyo-24h'!M66,'26.09 Kigo-Munyonyo-24h'!M66)</f>
        <v>22.5</v>
      </c>
      <c r="N66" s="49">
        <f>AVERAGE('28.09 Kigo-Munyonyo-24h'!N66,'26.09 Kigo-Munyonyo-24h'!N66)</f>
        <v>0</v>
      </c>
      <c r="O66" s="15">
        <f t="shared" si="0"/>
        <v>0.5</v>
      </c>
      <c r="P66" s="15">
        <f t="shared" si="1"/>
        <v>23</v>
      </c>
      <c r="R66" s="8"/>
      <c r="T66"/>
    </row>
    <row r="67" spans="2:20" ht="23.1" customHeight="1" x14ac:dyDescent="0.25">
      <c r="B67" s="23" t="s">
        <v>104</v>
      </c>
      <c r="C67" s="49">
        <f>AVERAGE('28.09 Kigo-Munyonyo-24h'!C67,'26.09 Kigo-Munyonyo-24h'!C67)</f>
        <v>1</v>
      </c>
      <c r="D67" s="49">
        <f>AVERAGE('28.09 Kigo-Munyonyo-24h'!D67,'26.09 Kigo-Munyonyo-24h'!D67)</f>
        <v>0.5</v>
      </c>
      <c r="E67" s="49">
        <f>AVERAGE('28.09 Kigo-Munyonyo-24h'!E67,'26.09 Kigo-Munyonyo-24h'!E67)</f>
        <v>0</v>
      </c>
      <c r="F67" s="49">
        <f>AVERAGE('28.09 Kigo-Munyonyo-24h'!F67,'26.09 Kigo-Munyonyo-24h'!F67)</f>
        <v>0</v>
      </c>
      <c r="G67" s="49">
        <f>AVERAGE('28.09 Kigo-Munyonyo-24h'!G67,'26.09 Kigo-Munyonyo-24h'!G67)</f>
        <v>0</v>
      </c>
      <c r="H67" s="49">
        <f>AVERAGE('28.09 Kigo-Munyonyo-24h'!H67,'26.09 Kigo-Munyonyo-24h'!H67)</f>
        <v>0</v>
      </c>
      <c r="I67" s="49">
        <f>AVERAGE('28.09 Kigo-Munyonyo-24h'!I67,'26.09 Kigo-Munyonyo-24h'!I67)</f>
        <v>0</v>
      </c>
      <c r="J67" s="49">
        <f>AVERAGE('28.09 Kigo-Munyonyo-24h'!J67,'26.09 Kigo-Munyonyo-24h'!J67)</f>
        <v>0</v>
      </c>
      <c r="K67" s="49">
        <f>AVERAGE('28.09 Kigo-Munyonyo-24h'!K67,'26.09 Kigo-Munyonyo-24h'!K67)</f>
        <v>0</v>
      </c>
      <c r="L67" s="49">
        <f>AVERAGE('28.09 Kigo-Munyonyo-24h'!L67,'26.09 Kigo-Munyonyo-24h'!L67)</f>
        <v>0</v>
      </c>
      <c r="M67" s="49">
        <f>AVERAGE('28.09 Kigo-Munyonyo-24h'!M67,'26.09 Kigo-Munyonyo-24h'!M67)</f>
        <v>21</v>
      </c>
      <c r="N67" s="49">
        <f>AVERAGE('28.09 Kigo-Munyonyo-24h'!N67,'26.09 Kigo-Munyonyo-24h'!N67)</f>
        <v>0</v>
      </c>
      <c r="O67" s="15">
        <f t="shared" si="0"/>
        <v>1.5</v>
      </c>
      <c r="P67" s="15">
        <f t="shared" si="1"/>
        <v>22.5</v>
      </c>
      <c r="R67" s="8"/>
      <c r="T67"/>
    </row>
    <row r="68" spans="2:20" ht="23.1" customHeight="1" x14ac:dyDescent="0.25">
      <c r="B68" s="23" t="s">
        <v>105</v>
      </c>
      <c r="C68" s="49">
        <f>AVERAGE('28.09 Kigo-Munyonyo-24h'!C68,'26.09 Kigo-Munyonyo-24h'!C68)</f>
        <v>0.5</v>
      </c>
      <c r="D68" s="49">
        <f>AVERAGE('28.09 Kigo-Munyonyo-24h'!D68,'26.09 Kigo-Munyonyo-24h'!D68)</f>
        <v>0</v>
      </c>
      <c r="E68" s="49">
        <f>AVERAGE('28.09 Kigo-Munyonyo-24h'!E68,'26.09 Kigo-Munyonyo-24h'!E68)</f>
        <v>0</v>
      </c>
      <c r="F68" s="49">
        <f>AVERAGE('28.09 Kigo-Munyonyo-24h'!F68,'26.09 Kigo-Munyonyo-24h'!F68)</f>
        <v>0</v>
      </c>
      <c r="G68" s="49">
        <f>AVERAGE('28.09 Kigo-Munyonyo-24h'!G68,'26.09 Kigo-Munyonyo-24h'!G68)</f>
        <v>0</v>
      </c>
      <c r="H68" s="49">
        <f>AVERAGE('28.09 Kigo-Munyonyo-24h'!H68,'26.09 Kigo-Munyonyo-24h'!H68)</f>
        <v>0</v>
      </c>
      <c r="I68" s="49">
        <f>AVERAGE('28.09 Kigo-Munyonyo-24h'!I68,'26.09 Kigo-Munyonyo-24h'!I68)</f>
        <v>0</v>
      </c>
      <c r="J68" s="49">
        <f>AVERAGE('28.09 Kigo-Munyonyo-24h'!J68,'26.09 Kigo-Munyonyo-24h'!J68)</f>
        <v>0</v>
      </c>
      <c r="K68" s="49">
        <f>AVERAGE('28.09 Kigo-Munyonyo-24h'!K68,'26.09 Kigo-Munyonyo-24h'!K68)</f>
        <v>0</v>
      </c>
      <c r="L68" s="49">
        <f>AVERAGE('28.09 Kigo-Munyonyo-24h'!L68,'26.09 Kigo-Munyonyo-24h'!L68)</f>
        <v>0</v>
      </c>
      <c r="M68" s="49">
        <f>AVERAGE('28.09 Kigo-Munyonyo-24h'!M68,'26.09 Kigo-Munyonyo-24h'!M68)</f>
        <v>21.5</v>
      </c>
      <c r="N68" s="49">
        <f>AVERAGE('28.09 Kigo-Munyonyo-24h'!N68,'26.09 Kigo-Munyonyo-24h'!N68)</f>
        <v>0</v>
      </c>
      <c r="O68" s="15">
        <f t="shared" si="0"/>
        <v>0.5</v>
      </c>
      <c r="P68" s="15">
        <f t="shared" si="1"/>
        <v>22</v>
      </c>
      <c r="R68" s="8"/>
      <c r="T68"/>
    </row>
    <row r="69" spans="2:20" ht="23.1" customHeight="1" x14ac:dyDescent="0.25">
      <c r="B69" s="23" t="s">
        <v>106</v>
      </c>
      <c r="C69" s="49">
        <f>AVERAGE('28.09 Kigo-Munyonyo-24h'!C69,'26.09 Kigo-Munyonyo-24h'!C69)</f>
        <v>0</v>
      </c>
      <c r="D69" s="49">
        <f>AVERAGE('28.09 Kigo-Munyonyo-24h'!D69,'26.09 Kigo-Munyonyo-24h'!D69)</f>
        <v>0</v>
      </c>
      <c r="E69" s="49">
        <f>AVERAGE('28.09 Kigo-Munyonyo-24h'!E69,'26.09 Kigo-Munyonyo-24h'!E69)</f>
        <v>0</v>
      </c>
      <c r="F69" s="49">
        <f>AVERAGE('28.09 Kigo-Munyonyo-24h'!F69,'26.09 Kigo-Munyonyo-24h'!F69)</f>
        <v>0</v>
      </c>
      <c r="G69" s="49">
        <f>AVERAGE('28.09 Kigo-Munyonyo-24h'!G69,'26.09 Kigo-Munyonyo-24h'!G69)</f>
        <v>0</v>
      </c>
      <c r="H69" s="49">
        <f>AVERAGE('28.09 Kigo-Munyonyo-24h'!H69,'26.09 Kigo-Munyonyo-24h'!H69)</f>
        <v>0</v>
      </c>
      <c r="I69" s="49">
        <f>AVERAGE('28.09 Kigo-Munyonyo-24h'!I69,'26.09 Kigo-Munyonyo-24h'!I69)</f>
        <v>0</v>
      </c>
      <c r="J69" s="49">
        <f>AVERAGE('28.09 Kigo-Munyonyo-24h'!J69,'26.09 Kigo-Munyonyo-24h'!J69)</f>
        <v>0</v>
      </c>
      <c r="K69" s="49">
        <f>AVERAGE('28.09 Kigo-Munyonyo-24h'!K69,'26.09 Kigo-Munyonyo-24h'!K69)</f>
        <v>0</v>
      </c>
      <c r="L69" s="49">
        <f>AVERAGE('28.09 Kigo-Munyonyo-24h'!L69,'26.09 Kigo-Munyonyo-24h'!L69)</f>
        <v>0</v>
      </c>
      <c r="M69" s="49">
        <f>AVERAGE('28.09 Kigo-Munyonyo-24h'!M69,'26.09 Kigo-Munyonyo-24h'!M69)</f>
        <v>27.5</v>
      </c>
      <c r="N69" s="49">
        <f>AVERAGE('28.09 Kigo-Munyonyo-24h'!N69,'26.09 Kigo-Munyonyo-24h'!N69)</f>
        <v>0</v>
      </c>
      <c r="O69" s="15">
        <f t="shared" si="0"/>
        <v>0</v>
      </c>
      <c r="P69" s="15">
        <f t="shared" si="1"/>
        <v>27.5</v>
      </c>
      <c r="R69" s="8"/>
      <c r="T69"/>
    </row>
    <row r="70" spans="2:20" ht="23.1" customHeight="1" x14ac:dyDescent="0.25">
      <c r="B70" s="23" t="s">
        <v>110</v>
      </c>
      <c r="C70" s="49">
        <f>AVERAGE('28.09 Kigo-Munyonyo-24h'!C70,'26.09 Kigo-Munyonyo-24h'!C70)</f>
        <v>1.5</v>
      </c>
      <c r="D70" s="49">
        <f>AVERAGE('28.09 Kigo-Munyonyo-24h'!D70,'26.09 Kigo-Munyonyo-24h'!D70)</f>
        <v>0</v>
      </c>
      <c r="E70" s="49">
        <f>AVERAGE('28.09 Kigo-Munyonyo-24h'!E70,'26.09 Kigo-Munyonyo-24h'!E70)</f>
        <v>0</v>
      </c>
      <c r="F70" s="49">
        <f>AVERAGE('28.09 Kigo-Munyonyo-24h'!F70,'26.09 Kigo-Munyonyo-24h'!F70)</f>
        <v>0</v>
      </c>
      <c r="G70" s="49">
        <f>AVERAGE('28.09 Kigo-Munyonyo-24h'!G70,'26.09 Kigo-Munyonyo-24h'!G70)</f>
        <v>0</v>
      </c>
      <c r="H70" s="49">
        <f>AVERAGE('28.09 Kigo-Munyonyo-24h'!H70,'26.09 Kigo-Munyonyo-24h'!H70)</f>
        <v>0</v>
      </c>
      <c r="I70" s="49">
        <f>AVERAGE('28.09 Kigo-Munyonyo-24h'!I70,'26.09 Kigo-Munyonyo-24h'!I70)</f>
        <v>0</v>
      </c>
      <c r="J70" s="49">
        <f>AVERAGE('28.09 Kigo-Munyonyo-24h'!J70,'26.09 Kigo-Munyonyo-24h'!J70)</f>
        <v>0</v>
      </c>
      <c r="K70" s="49">
        <f>AVERAGE('28.09 Kigo-Munyonyo-24h'!K70,'26.09 Kigo-Munyonyo-24h'!K70)</f>
        <v>0</v>
      </c>
      <c r="L70" s="49">
        <f>AVERAGE('28.09 Kigo-Munyonyo-24h'!L70,'26.09 Kigo-Munyonyo-24h'!L70)</f>
        <v>0</v>
      </c>
      <c r="M70" s="49">
        <f>AVERAGE('28.09 Kigo-Munyonyo-24h'!M70,'26.09 Kigo-Munyonyo-24h'!M70)</f>
        <v>22</v>
      </c>
      <c r="N70" s="49">
        <f>AVERAGE('28.09 Kigo-Munyonyo-24h'!N70,'26.09 Kigo-Munyonyo-24h'!N70)</f>
        <v>0</v>
      </c>
      <c r="O70" s="15">
        <f t="shared" si="0"/>
        <v>1.5</v>
      </c>
      <c r="P70" s="15">
        <f t="shared" si="1"/>
        <v>23.5</v>
      </c>
      <c r="R70" s="8"/>
      <c r="T70"/>
    </row>
    <row r="71" spans="2:20" ht="23.1" customHeight="1" x14ac:dyDescent="0.25">
      <c r="B71" s="23" t="s">
        <v>111</v>
      </c>
      <c r="C71" s="49">
        <f>AVERAGE('28.09 Kigo-Munyonyo-24h'!C71,'26.09 Kigo-Munyonyo-24h'!C71)</f>
        <v>0</v>
      </c>
      <c r="D71" s="49">
        <f>AVERAGE('28.09 Kigo-Munyonyo-24h'!D71,'26.09 Kigo-Munyonyo-24h'!D71)</f>
        <v>0</v>
      </c>
      <c r="E71" s="49">
        <f>AVERAGE('28.09 Kigo-Munyonyo-24h'!E71,'26.09 Kigo-Munyonyo-24h'!E71)</f>
        <v>0</v>
      </c>
      <c r="F71" s="49">
        <f>AVERAGE('28.09 Kigo-Munyonyo-24h'!F71,'26.09 Kigo-Munyonyo-24h'!F71)</f>
        <v>0</v>
      </c>
      <c r="G71" s="49">
        <f>AVERAGE('28.09 Kigo-Munyonyo-24h'!G71,'26.09 Kigo-Munyonyo-24h'!G71)</f>
        <v>0</v>
      </c>
      <c r="H71" s="49">
        <f>AVERAGE('28.09 Kigo-Munyonyo-24h'!H71,'26.09 Kigo-Munyonyo-24h'!H71)</f>
        <v>0</v>
      </c>
      <c r="I71" s="49">
        <f>AVERAGE('28.09 Kigo-Munyonyo-24h'!I71,'26.09 Kigo-Munyonyo-24h'!I71)</f>
        <v>0</v>
      </c>
      <c r="J71" s="49">
        <f>AVERAGE('28.09 Kigo-Munyonyo-24h'!J71,'26.09 Kigo-Munyonyo-24h'!J71)</f>
        <v>0</v>
      </c>
      <c r="K71" s="49">
        <f>AVERAGE('28.09 Kigo-Munyonyo-24h'!K71,'26.09 Kigo-Munyonyo-24h'!K71)</f>
        <v>0</v>
      </c>
      <c r="L71" s="49">
        <f>AVERAGE('28.09 Kigo-Munyonyo-24h'!L71,'26.09 Kigo-Munyonyo-24h'!L71)</f>
        <v>0</v>
      </c>
      <c r="M71" s="49">
        <f>AVERAGE('28.09 Kigo-Munyonyo-24h'!M71,'26.09 Kigo-Munyonyo-24h'!M71)</f>
        <v>14</v>
      </c>
      <c r="N71" s="49">
        <f>AVERAGE('28.09 Kigo-Munyonyo-24h'!N71,'26.09 Kigo-Munyonyo-24h'!N71)</f>
        <v>0</v>
      </c>
      <c r="O71" s="15">
        <f t="shared" si="0"/>
        <v>0</v>
      </c>
      <c r="P71" s="15">
        <f t="shared" si="1"/>
        <v>14</v>
      </c>
      <c r="R71" s="8"/>
      <c r="T71"/>
    </row>
    <row r="72" spans="2:20" ht="23.1" customHeight="1" x14ac:dyDescent="0.25">
      <c r="B72" s="23" t="s">
        <v>112</v>
      </c>
      <c r="C72" s="49">
        <f>AVERAGE('28.09 Kigo-Munyonyo-24h'!C72,'26.09 Kigo-Munyonyo-24h'!C72)</f>
        <v>0.5</v>
      </c>
      <c r="D72" s="49">
        <f>AVERAGE('28.09 Kigo-Munyonyo-24h'!D72,'26.09 Kigo-Munyonyo-24h'!D72)</f>
        <v>0</v>
      </c>
      <c r="E72" s="49">
        <f>AVERAGE('28.09 Kigo-Munyonyo-24h'!E72,'26.09 Kigo-Munyonyo-24h'!E72)</f>
        <v>0</v>
      </c>
      <c r="F72" s="49">
        <f>AVERAGE('28.09 Kigo-Munyonyo-24h'!F72,'26.09 Kigo-Munyonyo-24h'!F72)</f>
        <v>0</v>
      </c>
      <c r="G72" s="49">
        <f>AVERAGE('28.09 Kigo-Munyonyo-24h'!G72,'26.09 Kigo-Munyonyo-24h'!G72)</f>
        <v>0</v>
      </c>
      <c r="H72" s="49">
        <f>AVERAGE('28.09 Kigo-Munyonyo-24h'!H72,'26.09 Kigo-Munyonyo-24h'!H72)</f>
        <v>0</v>
      </c>
      <c r="I72" s="49">
        <f>AVERAGE('28.09 Kigo-Munyonyo-24h'!I72,'26.09 Kigo-Munyonyo-24h'!I72)</f>
        <v>0</v>
      </c>
      <c r="J72" s="49">
        <f>AVERAGE('28.09 Kigo-Munyonyo-24h'!J72,'26.09 Kigo-Munyonyo-24h'!J72)</f>
        <v>0</v>
      </c>
      <c r="K72" s="49">
        <f>AVERAGE('28.09 Kigo-Munyonyo-24h'!K72,'26.09 Kigo-Munyonyo-24h'!K72)</f>
        <v>0</v>
      </c>
      <c r="L72" s="49">
        <f>AVERAGE('28.09 Kigo-Munyonyo-24h'!L72,'26.09 Kigo-Munyonyo-24h'!L72)</f>
        <v>0</v>
      </c>
      <c r="M72" s="49">
        <f>AVERAGE('28.09 Kigo-Munyonyo-24h'!M72,'26.09 Kigo-Munyonyo-24h'!M72)</f>
        <v>21.5</v>
      </c>
      <c r="N72" s="49">
        <f>AVERAGE('28.09 Kigo-Munyonyo-24h'!N72,'26.09 Kigo-Munyonyo-24h'!N72)</f>
        <v>0</v>
      </c>
      <c r="O72" s="15">
        <f t="shared" si="0"/>
        <v>0.5</v>
      </c>
      <c r="P72" s="15">
        <f t="shared" si="1"/>
        <v>22</v>
      </c>
      <c r="R72" s="8"/>
      <c r="T72"/>
    </row>
    <row r="73" spans="2:20" ht="23.1" customHeight="1" x14ac:dyDescent="0.25">
      <c r="B73" s="23" t="s">
        <v>113</v>
      </c>
      <c r="C73" s="49">
        <f>AVERAGE('28.09 Kigo-Munyonyo-24h'!C73,'26.09 Kigo-Munyonyo-24h'!C73)</f>
        <v>0</v>
      </c>
      <c r="D73" s="49">
        <f>AVERAGE('28.09 Kigo-Munyonyo-24h'!D73,'26.09 Kigo-Munyonyo-24h'!D73)</f>
        <v>0</v>
      </c>
      <c r="E73" s="49">
        <f>AVERAGE('28.09 Kigo-Munyonyo-24h'!E73,'26.09 Kigo-Munyonyo-24h'!E73)</f>
        <v>0</v>
      </c>
      <c r="F73" s="49">
        <f>AVERAGE('28.09 Kigo-Munyonyo-24h'!F73,'26.09 Kigo-Munyonyo-24h'!F73)</f>
        <v>0</v>
      </c>
      <c r="G73" s="49">
        <f>AVERAGE('28.09 Kigo-Munyonyo-24h'!G73,'26.09 Kigo-Munyonyo-24h'!G73)</f>
        <v>0</v>
      </c>
      <c r="H73" s="49">
        <f>AVERAGE('28.09 Kigo-Munyonyo-24h'!H73,'26.09 Kigo-Munyonyo-24h'!H73)</f>
        <v>0</v>
      </c>
      <c r="I73" s="49">
        <f>AVERAGE('28.09 Kigo-Munyonyo-24h'!I73,'26.09 Kigo-Munyonyo-24h'!I73)</f>
        <v>0</v>
      </c>
      <c r="J73" s="49">
        <f>AVERAGE('28.09 Kigo-Munyonyo-24h'!J73,'26.09 Kigo-Munyonyo-24h'!J73)</f>
        <v>0</v>
      </c>
      <c r="K73" s="49">
        <f>AVERAGE('28.09 Kigo-Munyonyo-24h'!K73,'26.09 Kigo-Munyonyo-24h'!K73)</f>
        <v>0</v>
      </c>
      <c r="L73" s="49">
        <f>AVERAGE('28.09 Kigo-Munyonyo-24h'!L73,'26.09 Kigo-Munyonyo-24h'!L73)</f>
        <v>0</v>
      </c>
      <c r="M73" s="49">
        <f>AVERAGE('28.09 Kigo-Munyonyo-24h'!M73,'26.09 Kigo-Munyonyo-24h'!M73)</f>
        <v>11</v>
      </c>
      <c r="N73" s="49">
        <f>AVERAGE('28.09 Kigo-Munyonyo-24h'!N73,'26.09 Kigo-Munyonyo-24h'!N73)</f>
        <v>0</v>
      </c>
      <c r="O73" s="15">
        <f t="shared" si="0"/>
        <v>0</v>
      </c>
      <c r="P73" s="15">
        <f t="shared" si="1"/>
        <v>11</v>
      </c>
      <c r="R73" s="8"/>
      <c r="T73"/>
    </row>
    <row r="74" spans="2:20" ht="23.1" customHeight="1" x14ac:dyDescent="0.25">
      <c r="B74" s="23" t="s">
        <v>114</v>
      </c>
      <c r="C74" s="49">
        <f>AVERAGE('28.09 Kigo-Munyonyo-24h'!C74,'26.09 Kigo-Munyonyo-24h'!C74)</f>
        <v>0</v>
      </c>
      <c r="D74" s="49">
        <f>AVERAGE('28.09 Kigo-Munyonyo-24h'!D74,'26.09 Kigo-Munyonyo-24h'!D74)</f>
        <v>0</v>
      </c>
      <c r="E74" s="49">
        <f>AVERAGE('28.09 Kigo-Munyonyo-24h'!E74,'26.09 Kigo-Munyonyo-24h'!E74)</f>
        <v>0</v>
      </c>
      <c r="F74" s="49">
        <f>AVERAGE('28.09 Kigo-Munyonyo-24h'!F74,'26.09 Kigo-Munyonyo-24h'!F74)</f>
        <v>0</v>
      </c>
      <c r="G74" s="49">
        <f>AVERAGE('28.09 Kigo-Munyonyo-24h'!G74,'26.09 Kigo-Munyonyo-24h'!G74)</f>
        <v>0</v>
      </c>
      <c r="H74" s="49">
        <f>AVERAGE('28.09 Kigo-Munyonyo-24h'!H74,'26.09 Kigo-Munyonyo-24h'!H74)</f>
        <v>0</v>
      </c>
      <c r="I74" s="49">
        <f>AVERAGE('28.09 Kigo-Munyonyo-24h'!I74,'26.09 Kigo-Munyonyo-24h'!I74)</f>
        <v>0</v>
      </c>
      <c r="J74" s="49">
        <f>AVERAGE('28.09 Kigo-Munyonyo-24h'!J74,'26.09 Kigo-Munyonyo-24h'!J74)</f>
        <v>0</v>
      </c>
      <c r="K74" s="49">
        <f>AVERAGE('28.09 Kigo-Munyonyo-24h'!K74,'26.09 Kigo-Munyonyo-24h'!K74)</f>
        <v>0</v>
      </c>
      <c r="L74" s="49">
        <f>AVERAGE('28.09 Kigo-Munyonyo-24h'!L74,'26.09 Kigo-Munyonyo-24h'!L74)</f>
        <v>0</v>
      </c>
      <c r="M74" s="49">
        <f>AVERAGE('28.09 Kigo-Munyonyo-24h'!M74,'26.09 Kigo-Munyonyo-24h'!M74)</f>
        <v>16.5</v>
      </c>
      <c r="N74" s="49">
        <f>AVERAGE('28.09 Kigo-Munyonyo-24h'!N74,'26.09 Kigo-Munyonyo-24h'!N74)</f>
        <v>0</v>
      </c>
      <c r="O74" s="15">
        <f t="shared" ref="O74:O105" si="35">SUM(C74:L74,N74)</f>
        <v>0</v>
      </c>
      <c r="P74" s="15">
        <f t="shared" ref="P74:P105" si="36">SUM(C74:N74)</f>
        <v>16.5</v>
      </c>
      <c r="R74" s="8"/>
      <c r="T74"/>
    </row>
    <row r="75" spans="2:20" ht="23.1" customHeight="1" x14ac:dyDescent="0.25">
      <c r="B75" s="23" t="s">
        <v>115</v>
      </c>
      <c r="C75" s="49">
        <f>AVERAGE('28.09 Kigo-Munyonyo-24h'!C75,'26.09 Kigo-Munyonyo-24h'!C75)</f>
        <v>0</v>
      </c>
      <c r="D75" s="49">
        <f>AVERAGE('28.09 Kigo-Munyonyo-24h'!D75,'26.09 Kigo-Munyonyo-24h'!D75)</f>
        <v>0</v>
      </c>
      <c r="E75" s="49">
        <f>AVERAGE('28.09 Kigo-Munyonyo-24h'!E75,'26.09 Kigo-Munyonyo-24h'!E75)</f>
        <v>0</v>
      </c>
      <c r="F75" s="49">
        <f>AVERAGE('28.09 Kigo-Munyonyo-24h'!F75,'26.09 Kigo-Munyonyo-24h'!F75)</f>
        <v>0</v>
      </c>
      <c r="G75" s="49">
        <f>AVERAGE('28.09 Kigo-Munyonyo-24h'!G75,'26.09 Kigo-Munyonyo-24h'!G75)</f>
        <v>0</v>
      </c>
      <c r="H75" s="49">
        <f>AVERAGE('28.09 Kigo-Munyonyo-24h'!H75,'26.09 Kigo-Munyonyo-24h'!H75)</f>
        <v>0</v>
      </c>
      <c r="I75" s="49">
        <f>AVERAGE('28.09 Kigo-Munyonyo-24h'!I75,'26.09 Kigo-Munyonyo-24h'!I75)</f>
        <v>0</v>
      </c>
      <c r="J75" s="49">
        <f>AVERAGE('28.09 Kigo-Munyonyo-24h'!J75,'26.09 Kigo-Munyonyo-24h'!J75)</f>
        <v>0</v>
      </c>
      <c r="K75" s="49">
        <f>AVERAGE('28.09 Kigo-Munyonyo-24h'!K75,'26.09 Kigo-Munyonyo-24h'!K75)</f>
        <v>0</v>
      </c>
      <c r="L75" s="49">
        <f>AVERAGE('28.09 Kigo-Munyonyo-24h'!L75,'26.09 Kigo-Munyonyo-24h'!L75)</f>
        <v>0</v>
      </c>
      <c r="M75" s="49">
        <f>AVERAGE('28.09 Kigo-Munyonyo-24h'!M75,'26.09 Kigo-Munyonyo-24h'!M75)</f>
        <v>11</v>
      </c>
      <c r="N75" s="49">
        <f>AVERAGE('28.09 Kigo-Munyonyo-24h'!N75,'26.09 Kigo-Munyonyo-24h'!N75)</f>
        <v>0</v>
      </c>
      <c r="O75" s="15">
        <f t="shared" si="35"/>
        <v>0</v>
      </c>
      <c r="P75" s="15">
        <f t="shared" si="36"/>
        <v>11</v>
      </c>
      <c r="R75" s="8"/>
      <c r="T75"/>
    </row>
    <row r="76" spans="2:20" ht="23.1" customHeight="1" x14ac:dyDescent="0.25">
      <c r="B76" s="23" t="s">
        <v>116</v>
      </c>
      <c r="C76" s="49">
        <f>AVERAGE('28.09 Kigo-Munyonyo-24h'!C76,'26.09 Kigo-Munyonyo-24h'!C76)</f>
        <v>0</v>
      </c>
      <c r="D76" s="49">
        <f>AVERAGE('28.09 Kigo-Munyonyo-24h'!D76,'26.09 Kigo-Munyonyo-24h'!D76)</f>
        <v>0</v>
      </c>
      <c r="E76" s="49">
        <f>AVERAGE('28.09 Kigo-Munyonyo-24h'!E76,'26.09 Kigo-Munyonyo-24h'!E76)</f>
        <v>0</v>
      </c>
      <c r="F76" s="49">
        <f>AVERAGE('28.09 Kigo-Munyonyo-24h'!F76,'26.09 Kigo-Munyonyo-24h'!F76)</f>
        <v>0</v>
      </c>
      <c r="G76" s="49">
        <f>AVERAGE('28.09 Kigo-Munyonyo-24h'!G76,'26.09 Kigo-Munyonyo-24h'!G76)</f>
        <v>0</v>
      </c>
      <c r="H76" s="49">
        <f>AVERAGE('28.09 Kigo-Munyonyo-24h'!H76,'26.09 Kigo-Munyonyo-24h'!H76)</f>
        <v>0</v>
      </c>
      <c r="I76" s="49">
        <f>AVERAGE('28.09 Kigo-Munyonyo-24h'!I76,'26.09 Kigo-Munyonyo-24h'!I76)</f>
        <v>0</v>
      </c>
      <c r="J76" s="49">
        <f>AVERAGE('28.09 Kigo-Munyonyo-24h'!J76,'26.09 Kigo-Munyonyo-24h'!J76)</f>
        <v>0</v>
      </c>
      <c r="K76" s="49">
        <f>AVERAGE('28.09 Kigo-Munyonyo-24h'!K76,'26.09 Kigo-Munyonyo-24h'!K76)</f>
        <v>0</v>
      </c>
      <c r="L76" s="49">
        <f>AVERAGE('28.09 Kigo-Munyonyo-24h'!L76,'26.09 Kigo-Munyonyo-24h'!L76)</f>
        <v>0</v>
      </c>
      <c r="M76" s="49">
        <f>AVERAGE('28.09 Kigo-Munyonyo-24h'!M76,'26.09 Kigo-Munyonyo-24h'!M76)</f>
        <v>15</v>
      </c>
      <c r="N76" s="49">
        <f>AVERAGE('28.09 Kigo-Munyonyo-24h'!N76,'26.09 Kigo-Munyonyo-24h'!N76)</f>
        <v>0</v>
      </c>
      <c r="O76" s="15">
        <f t="shared" si="35"/>
        <v>0</v>
      </c>
      <c r="P76" s="15">
        <f t="shared" si="36"/>
        <v>15</v>
      </c>
      <c r="R76" s="8"/>
      <c r="T76"/>
    </row>
    <row r="77" spans="2:20" ht="23.1" customHeight="1" x14ac:dyDescent="0.25">
      <c r="B77" s="23" t="s">
        <v>117</v>
      </c>
      <c r="C77" s="49">
        <f>AVERAGE('28.09 Kigo-Munyonyo-24h'!C77,'26.09 Kigo-Munyonyo-24h'!C77)</f>
        <v>1</v>
      </c>
      <c r="D77" s="49">
        <f>AVERAGE('28.09 Kigo-Munyonyo-24h'!D77,'26.09 Kigo-Munyonyo-24h'!D77)</f>
        <v>0.5</v>
      </c>
      <c r="E77" s="49">
        <f>AVERAGE('28.09 Kigo-Munyonyo-24h'!E77,'26.09 Kigo-Munyonyo-24h'!E77)</f>
        <v>0</v>
      </c>
      <c r="F77" s="49">
        <f>AVERAGE('28.09 Kigo-Munyonyo-24h'!F77,'26.09 Kigo-Munyonyo-24h'!F77)</f>
        <v>0</v>
      </c>
      <c r="G77" s="49">
        <f>AVERAGE('28.09 Kigo-Munyonyo-24h'!G77,'26.09 Kigo-Munyonyo-24h'!G77)</f>
        <v>0</v>
      </c>
      <c r="H77" s="49">
        <f>AVERAGE('28.09 Kigo-Munyonyo-24h'!H77,'26.09 Kigo-Munyonyo-24h'!H77)</f>
        <v>0</v>
      </c>
      <c r="I77" s="49">
        <f>AVERAGE('28.09 Kigo-Munyonyo-24h'!I77,'26.09 Kigo-Munyonyo-24h'!I77)</f>
        <v>0</v>
      </c>
      <c r="J77" s="49">
        <f>AVERAGE('28.09 Kigo-Munyonyo-24h'!J77,'26.09 Kigo-Munyonyo-24h'!J77)</f>
        <v>0</v>
      </c>
      <c r="K77" s="49">
        <f>AVERAGE('28.09 Kigo-Munyonyo-24h'!K77,'26.09 Kigo-Munyonyo-24h'!K77)</f>
        <v>0</v>
      </c>
      <c r="L77" s="49">
        <f>AVERAGE('28.09 Kigo-Munyonyo-24h'!L77,'26.09 Kigo-Munyonyo-24h'!L77)</f>
        <v>0</v>
      </c>
      <c r="M77" s="49">
        <f>AVERAGE('28.09 Kigo-Munyonyo-24h'!M77,'26.09 Kigo-Munyonyo-24h'!M77)</f>
        <v>10.5</v>
      </c>
      <c r="N77" s="49">
        <f>AVERAGE('28.09 Kigo-Munyonyo-24h'!N77,'26.09 Kigo-Munyonyo-24h'!N77)</f>
        <v>0</v>
      </c>
      <c r="O77" s="15">
        <f t="shared" si="35"/>
        <v>1.5</v>
      </c>
      <c r="P77" s="15">
        <f t="shared" si="36"/>
        <v>12</v>
      </c>
      <c r="R77" s="8"/>
      <c r="T77"/>
    </row>
    <row r="78" spans="2:20" ht="23.1" customHeight="1" x14ac:dyDescent="0.25">
      <c r="B78" s="24" t="s">
        <v>118</v>
      </c>
      <c r="C78" s="49">
        <f>AVERAGE('28.09 Kigo-Munyonyo-24h'!C78,'26.09 Kigo-Munyonyo-24h'!C78)</f>
        <v>0</v>
      </c>
      <c r="D78" s="49">
        <f>AVERAGE('28.09 Kigo-Munyonyo-24h'!D78,'26.09 Kigo-Munyonyo-24h'!D78)</f>
        <v>0</v>
      </c>
      <c r="E78" s="49">
        <f>AVERAGE('28.09 Kigo-Munyonyo-24h'!E78,'26.09 Kigo-Munyonyo-24h'!E78)</f>
        <v>0</v>
      </c>
      <c r="F78" s="49">
        <f>AVERAGE('28.09 Kigo-Munyonyo-24h'!F78,'26.09 Kigo-Munyonyo-24h'!F78)</f>
        <v>0</v>
      </c>
      <c r="G78" s="49">
        <f>AVERAGE('28.09 Kigo-Munyonyo-24h'!G78,'26.09 Kigo-Munyonyo-24h'!G78)</f>
        <v>0</v>
      </c>
      <c r="H78" s="49">
        <f>AVERAGE('28.09 Kigo-Munyonyo-24h'!H78,'26.09 Kigo-Munyonyo-24h'!H78)</f>
        <v>0</v>
      </c>
      <c r="I78" s="49">
        <f>AVERAGE('28.09 Kigo-Munyonyo-24h'!I78,'26.09 Kigo-Munyonyo-24h'!I78)</f>
        <v>0</v>
      </c>
      <c r="J78" s="49">
        <f>AVERAGE('28.09 Kigo-Munyonyo-24h'!J78,'26.09 Kigo-Munyonyo-24h'!J78)</f>
        <v>0</v>
      </c>
      <c r="K78" s="49">
        <f>AVERAGE('28.09 Kigo-Munyonyo-24h'!K78,'26.09 Kigo-Munyonyo-24h'!K78)</f>
        <v>0</v>
      </c>
      <c r="L78" s="49">
        <f>AVERAGE('28.09 Kigo-Munyonyo-24h'!L78,'26.09 Kigo-Munyonyo-24h'!L78)</f>
        <v>0</v>
      </c>
      <c r="M78" s="49">
        <f>AVERAGE('28.09 Kigo-Munyonyo-24h'!M78,'26.09 Kigo-Munyonyo-24h'!M78)</f>
        <v>6</v>
      </c>
      <c r="N78" s="49">
        <f>AVERAGE('28.09 Kigo-Munyonyo-24h'!N78,'26.09 Kigo-Munyonyo-24h'!N78)</f>
        <v>0</v>
      </c>
      <c r="O78" s="15">
        <f t="shared" si="35"/>
        <v>0</v>
      </c>
      <c r="P78" s="15">
        <f t="shared" si="36"/>
        <v>6</v>
      </c>
      <c r="R78" s="8"/>
      <c r="T78"/>
    </row>
    <row r="79" spans="2:20" ht="23.1" customHeight="1" x14ac:dyDescent="0.25">
      <c r="B79" s="23" t="s">
        <v>119</v>
      </c>
      <c r="C79" s="49">
        <f>AVERAGE('28.09 Kigo-Munyonyo-24h'!C79,'26.09 Kigo-Munyonyo-24h'!C79)</f>
        <v>1</v>
      </c>
      <c r="D79" s="49">
        <f>AVERAGE('28.09 Kigo-Munyonyo-24h'!D79,'26.09 Kigo-Munyonyo-24h'!D79)</f>
        <v>0</v>
      </c>
      <c r="E79" s="49">
        <f>AVERAGE('28.09 Kigo-Munyonyo-24h'!E79,'26.09 Kigo-Munyonyo-24h'!E79)</f>
        <v>0</v>
      </c>
      <c r="F79" s="49">
        <f>AVERAGE('28.09 Kigo-Munyonyo-24h'!F79,'26.09 Kigo-Munyonyo-24h'!F79)</f>
        <v>0</v>
      </c>
      <c r="G79" s="49">
        <f>AVERAGE('28.09 Kigo-Munyonyo-24h'!G79,'26.09 Kigo-Munyonyo-24h'!G79)</f>
        <v>0</v>
      </c>
      <c r="H79" s="49">
        <f>AVERAGE('28.09 Kigo-Munyonyo-24h'!H79,'26.09 Kigo-Munyonyo-24h'!H79)</f>
        <v>0</v>
      </c>
      <c r="I79" s="49">
        <f>AVERAGE('28.09 Kigo-Munyonyo-24h'!I79,'26.09 Kigo-Munyonyo-24h'!I79)</f>
        <v>0</v>
      </c>
      <c r="J79" s="49">
        <f>AVERAGE('28.09 Kigo-Munyonyo-24h'!J79,'26.09 Kigo-Munyonyo-24h'!J79)</f>
        <v>0</v>
      </c>
      <c r="K79" s="49">
        <f>AVERAGE('28.09 Kigo-Munyonyo-24h'!K79,'26.09 Kigo-Munyonyo-24h'!K79)</f>
        <v>0</v>
      </c>
      <c r="L79" s="49">
        <f>AVERAGE('28.09 Kigo-Munyonyo-24h'!L79,'26.09 Kigo-Munyonyo-24h'!L79)</f>
        <v>0</v>
      </c>
      <c r="M79" s="49">
        <f>AVERAGE('28.09 Kigo-Munyonyo-24h'!M79,'26.09 Kigo-Munyonyo-24h'!M79)</f>
        <v>10</v>
      </c>
      <c r="N79" s="49">
        <f>AVERAGE('28.09 Kigo-Munyonyo-24h'!N79,'26.09 Kigo-Munyonyo-24h'!N79)</f>
        <v>0</v>
      </c>
      <c r="O79" s="15">
        <f t="shared" si="35"/>
        <v>1</v>
      </c>
      <c r="P79" s="15">
        <f t="shared" si="36"/>
        <v>11</v>
      </c>
      <c r="R79" s="8"/>
      <c r="T79"/>
    </row>
    <row r="80" spans="2:20" ht="23.1" customHeight="1" x14ac:dyDescent="0.25">
      <c r="B80" s="25" t="s">
        <v>120</v>
      </c>
      <c r="C80" s="49">
        <f>AVERAGE('28.09 Kigo-Munyonyo-24h'!C80,'26.09 Kigo-Munyonyo-24h'!C80)</f>
        <v>0</v>
      </c>
      <c r="D80" s="49">
        <f>AVERAGE('28.09 Kigo-Munyonyo-24h'!D80,'26.09 Kigo-Munyonyo-24h'!D80)</f>
        <v>0</v>
      </c>
      <c r="E80" s="49">
        <f>AVERAGE('28.09 Kigo-Munyonyo-24h'!E80,'26.09 Kigo-Munyonyo-24h'!E80)</f>
        <v>0</v>
      </c>
      <c r="F80" s="49">
        <f>AVERAGE('28.09 Kigo-Munyonyo-24h'!F80,'26.09 Kigo-Munyonyo-24h'!F80)</f>
        <v>0</v>
      </c>
      <c r="G80" s="49">
        <f>AVERAGE('28.09 Kigo-Munyonyo-24h'!G80,'26.09 Kigo-Munyonyo-24h'!G80)</f>
        <v>0</v>
      </c>
      <c r="H80" s="49">
        <f>AVERAGE('28.09 Kigo-Munyonyo-24h'!H80,'26.09 Kigo-Munyonyo-24h'!H80)</f>
        <v>0</v>
      </c>
      <c r="I80" s="49">
        <f>AVERAGE('28.09 Kigo-Munyonyo-24h'!I80,'26.09 Kigo-Munyonyo-24h'!I80)</f>
        <v>0</v>
      </c>
      <c r="J80" s="49">
        <f>AVERAGE('28.09 Kigo-Munyonyo-24h'!J80,'26.09 Kigo-Munyonyo-24h'!J80)</f>
        <v>0</v>
      </c>
      <c r="K80" s="49">
        <f>AVERAGE('28.09 Kigo-Munyonyo-24h'!K80,'26.09 Kigo-Munyonyo-24h'!K80)</f>
        <v>0</v>
      </c>
      <c r="L80" s="49">
        <f>AVERAGE('28.09 Kigo-Munyonyo-24h'!L80,'26.09 Kigo-Munyonyo-24h'!L80)</f>
        <v>0</v>
      </c>
      <c r="M80" s="49">
        <f>AVERAGE('28.09 Kigo-Munyonyo-24h'!M80,'26.09 Kigo-Munyonyo-24h'!M80)</f>
        <v>4.5</v>
      </c>
      <c r="N80" s="49">
        <f>AVERAGE('28.09 Kigo-Munyonyo-24h'!N80,'26.09 Kigo-Munyonyo-24h'!N80)</f>
        <v>0</v>
      </c>
      <c r="O80" s="15">
        <f t="shared" si="35"/>
        <v>0</v>
      </c>
      <c r="P80" s="15">
        <f t="shared" si="36"/>
        <v>4.5</v>
      </c>
      <c r="R80" s="8"/>
      <c r="T80"/>
    </row>
    <row r="81" spans="2:20" ht="23.1" customHeight="1" x14ac:dyDescent="0.25">
      <c r="B81" s="23" t="s">
        <v>121</v>
      </c>
      <c r="C81" s="49">
        <f>AVERAGE('28.09 Kigo-Munyonyo-24h'!C81,'26.09 Kigo-Munyonyo-24h'!C81)</f>
        <v>0</v>
      </c>
      <c r="D81" s="49">
        <f>AVERAGE('28.09 Kigo-Munyonyo-24h'!D81,'26.09 Kigo-Munyonyo-24h'!D81)</f>
        <v>0</v>
      </c>
      <c r="E81" s="49">
        <f>AVERAGE('28.09 Kigo-Munyonyo-24h'!E81,'26.09 Kigo-Munyonyo-24h'!E81)</f>
        <v>0</v>
      </c>
      <c r="F81" s="49">
        <f>AVERAGE('28.09 Kigo-Munyonyo-24h'!F81,'26.09 Kigo-Munyonyo-24h'!F81)</f>
        <v>0</v>
      </c>
      <c r="G81" s="49">
        <f>AVERAGE('28.09 Kigo-Munyonyo-24h'!G81,'26.09 Kigo-Munyonyo-24h'!G81)</f>
        <v>0</v>
      </c>
      <c r="H81" s="49">
        <f>AVERAGE('28.09 Kigo-Munyonyo-24h'!H81,'26.09 Kigo-Munyonyo-24h'!H81)</f>
        <v>0</v>
      </c>
      <c r="I81" s="49">
        <f>AVERAGE('28.09 Kigo-Munyonyo-24h'!I81,'26.09 Kigo-Munyonyo-24h'!I81)</f>
        <v>0</v>
      </c>
      <c r="J81" s="49">
        <f>AVERAGE('28.09 Kigo-Munyonyo-24h'!J81,'26.09 Kigo-Munyonyo-24h'!J81)</f>
        <v>0</v>
      </c>
      <c r="K81" s="49">
        <f>AVERAGE('28.09 Kigo-Munyonyo-24h'!K81,'26.09 Kigo-Munyonyo-24h'!K81)</f>
        <v>0</v>
      </c>
      <c r="L81" s="49">
        <f>AVERAGE('28.09 Kigo-Munyonyo-24h'!L81,'26.09 Kigo-Munyonyo-24h'!L81)</f>
        <v>0</v>
      </c>
      <c r="M81" s="49">
        <f>AVERAGE('28.09 Kigo-Munyonyo-24h'!M81,'26.09 Kigo-Munyonyo-24h'!M81)</f>
        <v>5</v>
      </c>
      <c r="N81" s="49">
        <f>AVERAGE('28.09 Kigo-Munyonyo-24h'!N81,'26.09 Kigo-Munyonyo-24h'!N81)</f>
        <v>0</v>
      </c>
      <c r="O81" s="15">
        <f t="shared" si="35"/>
        <v>0</v>
      </c>
      <c r="P81" s="15">
        <f t="shared" si="36"/>
        <v>5</v>
      </c>
      <c r="R81" s="8"/>
      <c r="T81"/>
    </row>
    <row r="82" spans="2:20" ht="23.1" customHeight="1" x14ac:dyDescent="0.25">
      <c r="B82" s="24" t="s">
        <v>122</v>
      </c>
      <c r="C82" s="49">
        <f>AVERAGE('28.09 Kigo-Munyonyo-24h'!C82,'26.09 Kigo-Munyonyo-24h'!C82)</f>
        <v>0</v>
      </c>
      <c r="D82" s="49">
        <f>AVERAGE('28.09 Kigo-Munyonyo-24h'!D82,'26.09 Kigo-Munyonyo-24h'!D82)</f>
        <v>0</v>
      </c>
      <c r="E82" s="49">
        <f>AVERAGE('28.09 Kigo-Munyonyo-24h'!E82,'26.09 Kigo-Munyonyo-24h'!E82)</f>
        <v>0</v>
      </c>
      <c r="F82" s="49">
        <f>AVERAGE('28.09 Kigo-Munyonyo-24h'!F82,'26.09 Kigo-Munyonyo-24h'!F82)</f>
        <v>0</v>
      </c>
      <c r="G82" s="49">
        <f>AVERAGE('28.09 Kigo-Munyonyo-24h'!G82,'26.09 Kigo-Munyonyo-24h'!G82)</f>
        <v>0</v>
      </c>
      <c r="H82" s="49">
        <f>AVERAGE('28.09 Kigo-Munyonyo-24h'!H82,'26.09 Kigo-Munyonyo-24h'!H82)</f>
        <v>0</v>
      </c>
      <c r="I82" s="49">
        <f>AVERAGE('28.09 Kigo-Munyonyo-24h'!I82,'26.09 Kigo-Munyonyo-24h'!I82)</f>
        <v>0</v>
      </c>
      <c r="J82" s="49">
        <f>AVERAGE('28.09 Kigo-Munyonyo-24h'!J82,'26.09 Kigo-Munyonyo-24h'!J82)</f>
        <v>0</v>
      </c>
      <c r="K82" s="49">
        <f>AVERAGE('28.09 Kigo-Munyonyo-24h'!K82,'26.09 Kigo-Munyonyo-24h'!K82)</f>
        <v>0</v>
      </c>
      <c r="L82" s="49">
        <f>AVERAGE('28.09 Kigo-Munyonyo-24h'!L82,'26.09 Kigo-Munyonyo-24h'!L82)</f>
        <v>0</v>
      </c>
      <c r="M82" s="49">
        <f>AVERAGE('28.09 Kigo-Munyonyo-24h'!M82,'26.09 Kigo-Munyonyo-24h'!M82)</f>
        <v>4</v>
      </c>
      <c r="N82" s="49">
        <f>AVERAGE('28.09 Kigo-Munyonyo-24h'!N82,'26.09 Kigo-Munyonyo-24h'!N82)</f>
        <v>0</v>
      </c>
      <c r="O82" s="15">
        <f t="shared" si="35"/>
        <v>0</v>
      </c>
      <c r="P82" s="15">
        <f t="shared" si="36"/>
        <v>4</v>
      </c>
      <c r="R82" s="8"/>
      <c r="T82"/>
    </row>
    <row r="83" spans="2:20" ht="23.1" customHeight="1" x14ac:dyDescent="0.25">
      <c r="B83" s="23" t="s">
        <v>123</v>
      </c>
      <c r="C83" s="49">
        <f>AVERAGE('28.09 Kigo-Munyonyo-24h'!C83,'26.09 Kigo-Munyonyo-24h'!C83)</f>
        <v>0</v>
      </c>
      <c r="D83" s="49">
        <f>AVERAGE('28.09 Kigo-Munyonyo-24h'!D83,'26.09 Kigo-Munyonyo-24h'!D83)</f>
        <v>0</v>
      </c>
      <c r="E83" s="49">
        <f>AVERAGE('28.09 Kigo-Munyonyo-24h'!E83,'26.09 Kigo-Munyonyo-24h'!E83)</f>
        <v>0</v>
      </c>
      <c r="F83" s="49">
        <f>AVERAGE('28.09 Kigo-Munyonyo-24h'!F83,'26.09 Kigo-Munyonyo-24h'!F83)</f>
        <v>0</v>
      </c>
      <c r="G83" s="49">
        <f>AVERAGE('28.09 Kigo-Munyonyo-24h'!G83,'26.09 Kigo-Munyonyo-24h'!G83)</f>
        <v>0</v>
      </c>
      <c r="H83" s="49">
        <f>AVERAGE('28.09 Kigo-Munyonyo-24h'!H83,'26.09 Kigo-Munyonyo-24h'!H83)</f>
        <v>0</v>
      </c>
      <c r="I83" s="49">
        <f>AVERAGE('28.09 Kigo-Munyonyo-24h'!I83,'26.09 Kigo-Munyonyo-24h'!I83)</f>
        <v>0</v>
      </c>
      <c r="J83" s="49">
        <f>AVERAGE('28.09 Kigo-Munyonyo-24h'!J83,'26.09 Kigo-Munyonyo-24h'!J83)</f>
        <v>0</v>
      </c>
      <c r="K83" s="49">
        <f>AVERAGE('28.09 Kigo-Munyonyo-24h'!K83,'26.09 Kigo-Munyonyo-24h'!K83)</f>
        <v>0</v>
      </c>
      <c r="L83" s="49">
        <f>AVERAGE('28.09 Kigo-Munyonyo-24h'!L83,'26.09 Kigo-Munyonyo-24h'!L83)</f>
        <v>0</v>
      </c>
      <c r="M83" s="49">
        <f>AVERAGE('28.09 Kigo-Munyonyo-24h'!M83,'26.09 Kigo-Munyonyo-24h'!M83)</f>
        <v>3</v>
      </c>
      <c r="N83" s="49">
        <f>AVERAGE('28.09 Kigo-Munyonyo-24h'!N83,'26.09 Kigo-Munyonyo-24h'!N83)</f>
        <v>0</v>
      </c>
      <c r="O83" s="15">
        <f t="shared" si="35"/>
        <v>0</v>
      </c>
      <c r="P83" s="15">
        <f t="shared" si="36"/>
        <v>3</v>
      </c>
      <c r="R83" s="8"/>
      <c r="T83"/>
    </row>
    <row r="84" spans="2:20" ht="23.1" customHeight="1" x14ac:dyDescent="0.25">
      <c r="B84" s="25" t="s">
        <v>124</v>
      </c>
      <c r="C84" s="49">
        <f>AVERAGE('28.09 Kigo-Munyonyo-24h'!C84,'26.09 Kigo-Munyonyo-24h'!C84)</f>
        <v>0</v>
      </c>
      <c r="D84" s="49">
        <f>AVERAGE('28.09 Kigo-Munyonyo-24h'!D84,'26.09 Kigo-Munyonyo-24h'!D84)</f>
        <v>0</v>
      </c>
      <c r="E84" s="49">
        <f>AVERAGE('28.09 Kigo-Munyonyo-24h'!E84,'26.09 Kigo-Munyonyo-24h'!E84)</f>
        <v>0</v>
      </c>
      <c r="F84" s="49">
        <f>AVERAGE('28.09 Kigo-Munyonyo-24h'!F84,'26.09 Kigo-Munyonyo-24h'!F84)</f>
        <v>0</v>
      </c>
      <c r="G84" s="49">
        <f>AVERAGE('28.09 Kigo-Munyonyo-24h'!G84,'26.09 Kigo-Munyonyo-24h'!G84)</f>
        <v>0</v>
      </c>
      <c r="H84" s="49">
        <f>AVERAGE('28.09 Kigo-Munyonyo-24h'!H84,'26.09 Kigo-Munyonyo-24h'!H84)</f>
        <v>0</v>
      </c>
      <c r="I84" s="49">
        <f>AVERAGE('28.09 Kigo-Munyonyo-24h'!I84,'26.09 Kigo-Munyonyo-24h'!I84)</f>
        <v>0</v>
      </c>
      <c r="J84" s="49">
        <f>AVERAGE('28.09 Kigo-Munyonyo-24h'!J84,'26.09 Kigo-Munyonyo-24h'!J84)</f>
        <v>0</v>
      </c>
      <c r="K84" s="49">
        <f>AVERAGE('28.09 Kigo-Munyonyo-24h'!K84,'26.09 Kigo-Munyonyo-24h'!K84)</f>
        <v>0</v>
      </c>
      <c r="L84" s="49">
        <f>AVERAGE('28.09 Kigo-Munyonyo-24h'!L84,'26.09 Kigo-Munyonyo-24h'!L84)</f>
        <v>0</v>
      </c>
      <c r="M84" s="49">
        <f>AVERAGE('28.09 Kigo-Munyonyo-24h'!M84,'26.09 Kigo-Munyonyo-24h'!M84)</f>
        <v>2.5</v>
      </c>
      <c r="N84" s="49">
        <f>AVERAGE('28.09 Kigo-Munyonyo-24h'!N84,'26.09 Kigo-Munyonyo-24h'!N84)</f>
        <v>0</v>
      </c>
      <c r="O84" s="15">
        <f t="shared" si="35"/>
        <v>0</v>
      </c>
      <c r="P84" s="15">
        <f t="shared" si="36"/>
        <v>2.5</v>
      </c>
      <c r="R84" s="8"/>
      <c r="T84"/>
    </row>
    <row r="85" spans="2:20" ht="23.1" customHeight="1" x14ac:dyDescent="0.25">
      <c r="B85" s="23" t="s">
        <v>125</v>
      </c>
      <c r="C85" s="49">
        <f>AVERAGE('28.09 Kigo-Munyonyo-24h'!C85,'26.09 Kigo-Munyonyo-24h'!C85)</f>
        <v>0</v>
      </c>
      <c r="D85" s="49">
        <f>AVERAGE('28.09 Kigo-Munyonyo-24h'!D85,'26.09 Kigo-Munyonyo-24h'!D85)</f>
        <v>0</v>
      </c>
      <c r="E85" s="49">
        <f>AVERAGE('28.09 Kigo-Munyonyo-24h'!E85,'26.09 Kigo-Munyonyo-24h'!E85)</f>
        <v>0</v>
      </c>
      <c r="F85" s="49">
        <f>AVERAGE('28.09 Kigo-Munyonyo-24h'!F85,'26.09 Kigo-Munyonyo-24h'!F85)</f>
        <v>0</v>
      </c>
      <c r="G85" s="49">
        <f>AVERAGE('28.09 Kigo-Munyonyo-24h'!G85,'26.09 Kigo-Munyonyo-24h'!G85)</f>
        <v>0</v>
      </c>
      <c r="H85" s="49">
        <f>AVERAGE('28.09 Kigo-Munyonyo-24h'!H85,'26.09 Kigo-Munyonyo-24h'!H85)</f>
        <v>0</v>
      </c>
      <c r="I85" s="49">
        <f>AVERAGE('28.09 Kigo-Munyonyo-24h'!I85,'26.09 Kigo-Munyonyo-24h'!I85)</f>
        <v>0</v>
      </c>
      <c r="J85" s="49">
        <f>AVERAGE('28.09 Kigo-Munyonyo-24h'!J85,'26.09 Kigo-Munyonyo-24h'!J85)</f>
        <v>0</v>
      </c>
      <c r="K85" s="49">
        <f>AVERAGE('28.09 Kigo-Munyonyo-24h'!K85,'26.09 Kigo-Munyonyo-24h'!K85)</f>
        <v>0</v>
      </c>
      <c r="L85" s="49">
        <f>AVERAGE('28.09 Kigo-Munyonyo-24h'!L85,'26.09 Kigo-Munyonyo-24h'!L85)</f>
        <v>0</v>
      </c>
      <c r="M85" s="49">
        <f>AVERAGE('28.09 Kigo-Munyonyo-24h'!M85,'26.09 Kigo-Munyonyo-24h'!M85)</f>
        <v>2</v>
      </c>
      <c r="N85" s="49">
        <f>AVERAGE('28.09 Kigo-Munyonyo-24h'!N85,'26.09 Kigo-Munyonyo-24h'!N85)</f>
        <v>0</v>
      </c>
      <c r="O85" s="15">
        <f t="shared" si="35"/>
        <v>0</v>
      </c>
      <c r="P85" s="15">
        <f t="shared" si="36"/>
        <v>2</v>
      </c>
      <c r="R85" s="8"/>
      <c r="T85"/>
    </row>
    <row r="86" spans="2:20" ht="23.1" customHeight="1" x14ac:dyDescent="0.25">
      <c r="B86" s="24" t="s">
        <v>126</v>
      </c>
      <c r="C86" s="49">
        <f>AVERAGE('28.09 Kigo-Munyonyo-24h'!C86,'26.09 Kigo-Munyonyo-24h'!C86)</f>
        <v>0.5</v>
      </c>
      <c r="D86" s="49">
        <f>AVERAGE('28.09 Kigo-Munyonyo-24h'!D86,'26.09 Kigo-Munyonyo-24h'!D86)</f>
        <v>0</v>
      </c>
      <c r="E86" s="49">
        <f>AVERAGE('28.09 Kigo-Munyonyo-24h'!E86,'26.09 Kigo-Munyonyo-24h'!E86)</f>
        <v>0</v>
      </c>
      <c r="F86" s="49">
        <f>AVERAGE('28.09 Kigo-Munyonyo-24h'!F86,'26.09 Kigo-Munyonyo-24h'!F86)</f>
        <v>0</v>
      </c>
      <c r="G86" s="49">
        <f>AVERAGE('28.09 Kigo-Munyonyo-24h'!G86,'26.09 Kigo-Munyonyo-24h'!G86)</f>
        <v>0</v>
      </c>
      <c r="H86" s="49">
        <f>AVERAGE('28.09 Kigo-Munyonyo-24h'!H86,'26.09 Kigo-Munyonyo-24h'!H86)</f>
        <v>0</v>
      </c>
      <c r="I86" s="49">
        <f>AVERAGE('28.09 Kigo-Munyonyo-24h'!I86,'26.09 Kigo-Munyonyo-24h'!I86)</f>
        <v>0</v>
      </c>
      <c r="J86" s="49">
        <f>AVERAGE('28.09 Kigo-Munyonyo-24h'!J86,'26.09 Kigo-Munyonyo-24h'!J86)</f>
        <v>0</v>
      </c>
      <c r="K86" s="49">
        <f>AVERAGE('28.09 Kigo-Munyonyo-24h'!K86,'26.09 Kigo-Munyonyo-24h'!K86)</f>
        <v>0</v>
      </c>
      <c r="L86" s="49">
        <f>AVERAGE('28.09 Kigo-Munyonyo-24h'!L86,'26.09 Kigo-Munyonyo-24h'!L86)</f>
        <v>0</v>
      </c>
      <c r="M86" s="49">
        <f>AVERAGE('28.09 Kigo-Munyonyo-24h'!M86,'26.09 Kigo-Munyonyo-24h'!M86)</f>
        <v>0.5</v>
      </c>
      <c r="N86" s="49">
        <f>AVERAGE('28.09 Kigo-Munyonyo-24h'!N86,'26.09 Kigo-Munyonyo-24h'!N86)</f>
        <v>0</v>
      </c>
      <c r="O86" s="15">
        <f t="shared" si="35"/>
        <v>0.5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AVERAGE('28.09 Kigo-Munyonyo-24h'!C87,'26.09 Kigo-Munyonyo-24h'!C87)</f>
        <v>0</v>
      </c>
      <c r="D87" s="49">
        <f>AVERAGE('28.09 Kigo-Munyonyo-24h'!D87,'26.09 Kigo-Munyonyo-24h'!D87)</f>
        <v>0</v>
      </c>
      <c r="E87" s="49">
        <f>AVERAGE('28.09 Kigo-Munyonyo-24h'!E87,'26.09 Kigo-Munyonyo-24h'!E87)</f>
        <v>0</v>
      </c>
      <c r="F87" s="49">
        <f>AVERAGE('28.09 Kigo-Munyonyo-24h'!F87,'26.09 Kigo-Munyonyo-24h'!F87)</f>
        <v>0</v>
      </c>
      <c r="G87" s="49">
        <f>AVERAGE('28.09 Kigo-Munyonyo-24h'!G87,'26.09 Kigo-Munyonyo-24h'!G87)</f>
        <v>0</v>
      </c>
      <c r="H87" s="49">
        <f>AVERAGE('28.09 Kigo-Munyonyo-24h'!H87,'26.09 Kigo-Munyonyo-24h'!H87)</f>
        <v>0</v>
      </c>
      <c r="I87" s="49">
        <f>AVERAGE('28.09 Kigo-Munyonyo-24h'!I87,'26.09 Kigo-Munyonyo-24h'!I87)</f>
        <v>0</v>
      </c>
      <c r="J87" s="49">
        <f>AVERAGE('28.09 Kigo-Munyonyo-24h'!J87,'26.09 Kigo-Munyonyo-24h'!J87)</f>
        <v>0</v>
      </c>
      <c r="K87" s="49">
        <f>AVERAGE('28.09 Kigo-Munyonyo-24h'!K87,'26.09 Kigo-Munyonyo-24h'!K87)</f>
        <v>0</v>
      </c>
      <c r="L87" s="49">
        <f>AVERAGE('28.09 Kigo-Munyonyo-24h'!L87,'26.09 Kigo-Munyonyo-24h'!L87)</f>
        <v>0</v>
      </c>
      <c r="M87" s="49">
        <f>AVERAGE('28.09 Kigo-Munyonyo-24h'!M87,'26.09 Kigo-Munyonyo-24h'!M87)</f>
        <v>2</v>
      </c>
      <c r="N87" s="49">
        <f>AVERAGE('28.09 Kigo-Munyonyo-24h'!N87,'26.09 Kigo-Munyonyo-24h'!N87)</f>
        <v>0</v>
      </c>
      <c r="O87" s="15">
        <f t="shared" si="35"/>
        <v>0</v>
      </c>
      <c r="P87" s="15">
        <f t="shared" si="36"/>
        <v>2</v>
      </c>
      <c r="R87" s="8"/>
      <c r="T87"/>
    </row>
    <row r="88" spans="2:20" ht="23.1" customHeight="1" x14ac:dyDescent="0.25">
      <c r="B88" s="25" t="s">
        <v>128</v>
      </c>
      <c r="C88" s="49">
        <f>AVERAGE('28.09 Kigo-Munyonyo-24h'!C88,'26.09 Kigo-Munyonyo-24h'!C88)</f>
        <v>0</v>
      </c>
      <c r="D88" s="49">
        <f>AVERAGE('28.09 Kigo-Munyonyo-24h'!D88,'26.09 Kigo-Munyonyo-24h'!D88)</f>
        <v>0</v>
      </c>
      <c r="E88" s="49">
        <f>AVERAGE('28.09 Kigo-Munyonyo-24h'!E88,'26.09 Kigo-Munyonyo-24h'!E88)</f>
        <v>0</v>
      </c>
      <c r="F88" s="49">
        <f>AVERAGE('28.09 Kigo-Munyonyo-24h'!F88,'26.09 Kigo-Munyonyo-24h'!F88)</f>
        <v>0</v>
      </c>
      <c r="G88" s="49">
        <f>AVERAGE('28.09 Kigo-Munyonyo-24h'!G88,'26.09 Kigo-Munyonyo-24h'!G88)</f>
        <v>0</v>
      </c>
      <c r="H88" s="49">
        <f>AVERAGE('28.09 Kigo-Munyonyo-24h'!H88,'26.09 Kigo-Munyonyo-24h'!H88)</f>
        <v>0</v>
      </c>
      <c r="I88" s="49">
        <f>AVERAGE('28.09 Kigo-Munyonyo-24h'!I88,'26.09 Kigo-Munyonyo-24h'!I88)</f>
        <v>0</v>
      </c>
      <c r="J88" s="49">
        <f>AVERAGE('28.09 Kigo-Munyonyo-24h'!J88,'26.09 Kigo-Munyonyo-24h'!J88)</f>
        <v>0</v>
      </c>
      <c r="K88" s="49">
        <f>AVERAGE('28.09 Kigo-Munyonyo-24h'!K88,'26.09 Kigo-Munyonyo-24h'!K88)</f>
        <v>0</v>
      </c>
      <c r="L88" s="49">
        <f>AVERAGE('28.09 Kigo-Munyonyo-24h'!L88,'26.09 Kigo-Munyonyo-24h'!L88)</f>
        <v>0</v>
      </c>
      <c r="M88" s="49">
        <f>AVERAGE('28.09 Kigo-Munyonyo-24h'!M88,'26.09 Kigo-Munyonyo-24h'!M88)</f>
        <v>0.5</v>
      </c>
      <c r="N88" s="49">
        <f>AVERAGE('28.09 Kigo-Munyonyo-24h'!N88,'26.09 Kigo-Munyonyo-24h'!N88)</f>
        <v>0</v>
      </c>
      <c r="O88" s="15">
        <f t="shared" si="35"/>
        <v>0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AVERAGE('28.09 Kigo-Munyonyo-24h'!C89,'26.09 Kigo-Munyonyo-24h'!C89)</f>
        <v>0</v>
      </c>
      <c r="D89" s="49">
        <f>AVERAGE('28.09 Kigo-Munyonyo-24h'!D89,'26.09 Kigo-Munyonyo-24h'!D89)</f>
        <v>0</v>
      </c>
      <c r="E89" s="49">
        <f>AVERAGE('28.09 Kigo-Munyonyo-24h'!E89,'26.09 Kigo-Munyonyo-24h'!E89)</f>
        <v>0</v>
      </c>
      <c r="F89" s="49">
        <f>AVERAGE('28.09 Kigo-Munyonyo-24h'!F89,'26.09 Kigo-Munyonyo-24h'!F89)</f>
        <v>0</v>
      </c>
      <c r="G89" s="49">
        <f>AVERAGE('28.09 Kigo-Munyonyo-24h'!G89,'26.09 Kigo-Munyonyo-24h'!G89)</f>
        <v>0</v>
      </c>
      <c r="H89" s="49">
        <f>AVERAGE('28.09 Kigo-Munyonyo-24h'!H89,'26.09 Kigo-Munyonyo-24h'!H89)</f>
        <v>0</v>
      </c>
      <c r="I89" s="49">
        <f>AVERAGE('28.09 Kigo-Munyonyo-24h'!I89,'26.09 Kigo-Munyonyo-24h'!I89)</f>
        <v>0</v>
      </c>
      <c r="J89" s="49">
        <f>AVERAGE('28.09 Kigo-Munyonyo-24h'!J89,'26.09 Kigo-Munyonyo-24h'!J89)</f>
        <v>0</v>
      </c>
      <c r="K89" s="49">
        <f>AVERAGE('28.09 Kigo-Munyonyo-24h'!K89,'26.09 Kigo-Munyonyo-24h'!K89)</f>
        <v>0</v>
      </c>
      <c r="L89" s="49">
        <f>AVERAGE('28.09 Kigo-Munyonyo-24h'!L89,'26.09 Kigo-Munyonyo-24h'!L89)</f>
        <v>0</v>
      </c>
      <c r="M89" s="49">
        <f>AVERAGE('28.09 Kigo-Munyonyo-24h'!M89,'26.09 Kigo-Munyonyo-24h'!M89)</f>
        <v>3</v>
      </c>
      <c r="N89" s="49">
        <f>AVERAGE('28.09 Kigo-Munyonyo-24h'!N89,'26.09 Kigo-Munyonyo-24h'!N89)</f>
        <v>0</v>
      </c>
      <c r="O89" s="15">
        <f t="shared" si="35"/>
        <v>0</v>
      </c>
      <c r="P89" s="15">
        <f t="shared" si="36"/>
        <v>3</v>
      </c>
      <c r="R89" s="8"/>
      <c r="T89"/>
    </row>
    <row r="90" spans="2:20" ht="23.1" customHeight="1" x14ac:dyDescent="0.25">
      <c r="B90" s="24" t="s">
        <v>130</v>
      </c>
      <c r="C90" s="49">
        <f>AVERAGE('28.09 Kigo-Munyonyo-24h'!C90,'26.09 Kigo-Munyonyo-24h'!C90)</f>
        <v>0</v>
      </c>
      <c r="D90" s="49">
        <f>AVERAGE('28.09 Kigo-Munyonyo-24h'!D90,'26.09 Kigo-Munyonyo-24h'!D90)</f>
        <v>0</v>
      </c>
      <c r="E90" s="49">
        <f>AVERAGE('28.09 Kigo-Munyonyo-24h'!E90,'26.09 Kigo-Munyonyo-24h'!E90)</f>
        <v>0</v>
      </c>
      <c r="F90" s="49">
        <f>AVERAGE('28.09 Kigo-Munyonyo-24h'!F90,'26.09 Kigo-Munyonyo-24h'!F90)</f>
        <v>0</v>
      </c>
      <c r="G90" s="49">
        <f>AVERAGE('28.09 Kigo-Munyonyo-24h'!G90,'26.09 Kigo-Munyonyo-24h'!G90)</f>
        <v>0</v>
      </c>
      <c r="H90" s="49">
        <f>AVERAGE('28.09 Kigo-Munyonyo-24h'!H90,'26.09 Kigo-Munyonyo-24h'!H90)</f>
        <v>0</v>
      </c>
      <c r="I90" s="49">
        <f>AVERAGE('28.09 Kigo-Munyonyo-24h'!I90,'26.09 Kigo-Munyonyo-24h'!I90)</f>
        <v>0</v>
      </c>
      <c r="J90" s="49">
        <f>AVERAGE('28.09 Kigo-Munyonyo-24h'!J90,'26.09 Kigo-Munyonyo-24h'!J90)</f>
        <v>0</v>
      </c>
      <c r="K90" s="49">
        <f>AVERAGE('28.09 Kigo-Munyonyo-24h'!K90,'26.09 Kigo-Munyonyo-24h'!K90)</f>
        <v>0</v>
      </c>
      <c r="L90" s="49">
        <f>AVERAGE('28.09 Kigo-Munyonyo-24h'!L90,'26.09 Kigo-Munyonyo-24h'!L90)</f>
        <v>0</v>
      </c>
      <c r="M90" s="49">
        <f>AVERAGE('28.09 Kigo-Munyonyo-24h'!M90,'26.09 Kigo-Munyonyo-24h'!M90)</f>
        <v>2.5</v>
      </c>
      <c r="N90" s="49">
        <f>AVERAGE('28.09 Kigo-Munyonyo-24h'!N90,'26.09 Kigo-Munyonyo-24h'!N90)</f>
        <v>0</v>
      </c>
      <c r="O90" s="15">
        <f t="shared" si="35"/>
        <v>0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AVERAGE('28.09 Kigo-Munyonyo-24h'!C91,'26.09 Kigo-Munyonyo-24h'!C91)</f>
        <v>0</v>
      </c>
      <c r="D91" s="49">
        <f>AVERAGE('28.09 Kigo-Munyonyo-24h'!D91,'26.09 Kigo-Munyonyo-24h'!D91)</f>
        <v>0</v>
      </c>
      <c r="E91" s="49">
        <f>AVERAGE('28.09 Kigo-Munyonyo-24h'!E91,'26.09 Kigo-Munyonyo-24h'!E91)</f>
        <v>0</v>
      </c>
      <c r="F91" s="49">
        <f>AVERAGE('28.09 Kigo-Munyonyo-24h'!F91,'26.09 Kigo-Munyonyo-24h'!F91)</f>
        <v>0.5</v>
      </c>
      <c r="G91" s="49">
        <f>AVERAGE('28.09 Kigo-Munyonyo-24h'!G91,'26.09 Kigo-Munyonyo-24h'!G91)</f>
        <v>0</v>
      </c>
      <c r="H91" s="49">
        <f>AVERAGE('28.09 Kigo-Munyonyo-24h'!H91,'26.09 Kigo-Munyonyo-24h'!H91)</f>
        <v>0</v>
      </c>
      <c r="I91" s="49">
        <f>AVERAGE('28.09 Kigo-Munyonyo-24h'!I91,'26.09 Kigo-Munyonyo-24h'!I91)</f>
        <v>0</v>
      </c>
      <c r="J91" s="49">
        <f>AVERAGE('28.09 Kigo-Munyonyo-24h'!J91,'26.09 Kigo-Munyonyo-24h'!J91)</f>
        <v>0</v>
      </c>
      <c r="K91" s="49">
        <f>AVERAGE('28.09 Kigo-Munyonyo-24h'!K91,'26.09 Kigo-Munyonyo-24h'!K91)</f>
        <v>0</v>
      </c>
      <c r="L91" s="49">
        <f>AVERAGE('28.09 Kigo-Munyonyo-24h'!L91,'26.09 Kigo-Munyonyo-24h'!L91)</f>
        <v>0</v>
      </c>
      <c r="M91" s="49">
        <f>AVERAGE('28.09 Kigo-Munyonyo-24h'!M91,'26.09 Kigo-Munyonyo-24h'!M91)</f>
        <v>2.5</v>
      </c>
      <c r="N91" s="49">
        <f>AVERAGE('28.09 Kigo-Munyonyo-24h'!N91,'26.09 Kigo-Munyonyo-24h'!N91)</f>
        <v>0</v>
      </c>
      <c r="O91" s="15">
        <f t="shared" si="35"/>
        <v>0.5</v>
      </c>
      <c r="P91" s="15">
        <f t="shared" si="36"/>
        <v>3</v>
      </c>
      <c r="R91" s="8"/>
      <c r="T91"/>
    </row>
    <row r="92" spans="2:20" ht="23.1" customHeight="1" x14ac:dyDescent="0.25">
      <c r="B92" s="25" t="s">
        <v>132</v>
      </c>
      <c r="C92" s="49">
        <f>AVERAGE('28.09 Kigo-Munyonyo-24h'!C92,'26.09 Kigo-Munyonyo-24h'!C92)</f>
        <v>0</v>
      </c>
      <c r="D92" s="49">
        <f>AVERAGE('28.09 Kigo-Munyonyo-24h'!D92,'26.09 Kigo-Munyonyo-24h'!D92)</f>
        <v>0</v>
      </c>
      <c r="E92" s="49">
        <f>AVERAGE('28.09 Kigo-Munyonyo-24h'!E92,'26.09 Kigo-Munyonyo-24h'!E92)</f>
        <v>0</v>
      </c>
      <c r="F92" s="49">
        <f>AVERAGE('28.09 Kigo-Munyonyo-24h'!F92,'26.09 Kigo-Munyonyo-24h'!F92)</f>
        <v>0</v>
      </c>
      <c r="G92" s="49">
        <f>AVERAGE('28.09 Kigo-Munyonyo-24h'!G92,'26.09 Kigo-Munyonyo-24h'!G92)</f>
        <v>0</v>
      </c>
      <c r="H92" s="49">
        <f>AVERAGE('28.09 Kigo-Munyonyo-24h'!H92,'26.09 Kigo-Munyonyo-24h'!H92)</f>
        <v>0</v>
      </c>
      <c r="I92" s="49">
        <f>AVERAGE('28.09 Kigo-Munyonyo-24h'!I92,'26.09 Kigo-Munyonyo-24h'!I92)</f>
        <v>0</v>
      </c>
      <c r="J92" s="49">
        <f>AVERAGE('28.09 Kigo-Munyonyo-24h'!J92,'26.09 Kigo-Munyonyo-24h'!J92)</f>
        <v>0</v>
      </c>
      <c r="K92" s="49">
        <f>AVERAGE('28.09 Kigo-Munyonyo-24h'!K92,'26.09 Kigo-Munyonyo-24h'!K92)</f>
        <v>0</v>
      </c>
      <c r="L92" s="49">
        <f>AVERAGE('28.09 Kigo-Munyonyo-24h'!L92,'26.09 Kigo-Munyonyo-24h'!L92)</f>
        <v>0</v>
      </c>
      <c r="M92" s="49">
        <f>AVERAGE('28.09 Kigo-Munyonyo-24h'!M92,'26.09 Kigo-Munyonyo-24h'!M92)</f>
        <v>3</v>
      </c>
      <c r="N92" s="49">
        <f>AVERAGE('28.09 Kigo-Munyonyo-24h'!N92,'26.09 Kigo-Munyonyo-24h'!N92)</f>
        <v>0</v>
      </c>
      <c r="O92" s="15">
        <f t="shared" si="35"/>
        <v>0</v>
      </c>
      <c r="P92" s="15">
        <f t="shared" si="36"/>
        <v>3</v>
      </c>
      <c r="R92" s="8"/>
      <c r="T92"/>
    </row>
    <row r="93" spans="2:20" ht="23.1" customHeight="1" x14ac:dyDescent="0.25">
      <c r="B93" s="23" t="s">
        <v>133</v>
      </c>
      <c r="C93" s="49">
        <f>AVERAGE('28.09 Kigo-Munyonyo-24h'!C93,'26.09 Kigo-Munyonyo-24h'!C93)</f>
        <v>0.5</v>
      </c>
      <c r="D93" s="49">
        <f>AVERAGE('28.09 Kigo-Munyonyo-24h'!D93,'26.09 Kigo-Munyonyo-24h'!D93)</f>
        <v>0</v>
      </c>
      <c r="E93" s="49">
        <f>AVERAGE('28.09 Kigo-Munyonyo-24h'!E93,'26.09 Kigo-Munyonyo-24h'!E93)</f>
        <v>0</v>
      </c>
      <c r="F93" s="49">
        <f>AVERAGE('28.09 Kigo-Munyonyo-24h'!F93,'26.09 Kigo-Munyonyo-24h'!F93)</f>
        <v>0</v>
      </c>
      <c r="G93" s="49">
        <f>AVERAGE('28.09 Kigo-Munyonyo-24h'!G93,'26.09 Kigo-Munyonyo-24h'!G93)</f>
        <v>0</v>
      </c>
      <c r="H93" s="49">
        <f>AVERAGE('28.09 Kigo-Munyonyo-24h'!H93,'26.09 Kigo-Munyonyo-24h'!H93)</f>
        <v>0</v>
      </c>
      <c r="I93" s="49">
        <f>AVERAGE('28.09 Kigo-Munyonyo-24h'!I93,'26.09 Kigo-Munyonyo-24h'!I93)</f>
        <v>0</v>
      </c>
      <c r="J93" s="49">
        <f>AVERAGE('28.09 Kigo-Munyonyo-24h'!J93,'26.09 Kigo-Munyonyo-24h'!J93)</f>
        <v>0</v>
      </c>
      <c r="K93" s="49">
        <f>AVERAGE('28.09 Kigo-Munyonyo-24h'!K93,'26.09 Kigo-Munyonyo-24h'!K93)</f>
        <v>0</v>
      </c>
      <c r="L93" s="49">
        <f>AVERAGE('28.09 Kigo-Munyonyo-24h'!L93,'26.09 Kigo-Munyonyo-24h'!L93)</f>
        <v>0</v>
      </c>
      <c r="M93" s="49">
        <f>AVERAGE('28.09 Kigo-Munyonyo-24h'!M93,'26.09 Kigo-Munyonyo-24h'!M93)</f>
        <v>2</v>
      </c>
      <c r="N93" s="49">
        <f>AVERAGE('28.09 Kigo-Munyonyo-24h'!N93,'26.09 Kigo-Munyonyo-24h'!N93)</f>
        <v>0</v>
      </c>
      <c r="O93" s="15">
        <f t="shared" si="35"/>
        <v>0.5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AVERAGE('28.09 Kigo-Munyonyo-24h'!C94,'26.09 Kigo-Munyonyo-24h'!C94)</f>
        <v>0</v>
      </c>
      <c r="D94" s="49">
        <f>AVERAGE('28.09 Kigo-Munyonyo-24h'!D94,'26.09 Kigo-Munyonyo-24h'!D94)</f>
        <v>0</v>
      </c>
      <c r="E94" s="49">
        <f>AVERAGE('28.09 Kigo-Munyonyo-24h'!E94,'26.09 Kigo-Munyonyo-24h'!E94)</f>
        <v>0</v>
      </c>
      <c r="F94" s="49">
        <f>AVERAGE('28.09 Kigo-Munyonyo-24h'!F94,'26.09 Kigo-Munyonyo-24h'!F94)</f>
        <v>0</v>
      </c>
      <c r="G94" s="49">
        <f>AVERAGE('28.09 Kigo-Munyonyo-24h'!G94,'26.09 Kigo-Munyonyo-24h'!G94)</f>
        <v>0</v>
      </c>
      <c r="H94" s="49">
        <f>AVERAGE('28.09 Kigo-Munyonyo-24h'!H94,'26.09 Kigo-Munyonyo-24h'!H94)</f>
        <v>0</v>
      </c>
      <c r="I94" s="49">
        <f>AVERAGE('28.09 Kigo-Munyonyo-24h'!I94,'26.09 Kigo-Munyonyo-24h'!I94)</f>
        <v>0</v>
      </c>
      <c r="J94" s="49">
        <f>AVERAGE('28.09 Kigo-Munyonyo-24h'!J94,'26.09 Kigo-Munyonyo-24h'!J94)</f>
        <v>0</v>
      </c>
      <c r="K94" s="49">
        <f>AVERAGE('28.09 Kigo-Munyonyo-24h'!K94,'26.09 Kigo-Munyonyo-24h'!K94)</f>
        <v>0</v>
      </c>
      <c r="L94" s="49">
        <f>AVERAGE('28.09 Kigo-Munyonyo-24h'!L94,'26.09 Kigo-Munyonyo-24h'!L94)</f>
        <v>0</v>
      </c>
      <c r="M94" s="49">
        <f>AVERAGE('28.09 Kigo-Munyonyo-24h'!M94,'26.09 Kigo-Munyonyo-24h'!M94)</f>
        <v>3.5</v>
      </c>
      <c r="N94" s="49">
        <f>AVERAGE('28.09 Kigo-Munyonyo-24h'!N94,'26.09 Kigo-Munyonyo-24h'!N94)</f>
        <v>0</v>
      </c>
      <c r="O94" s="15">
        <f t="shared" si="35"/>
        <v>0</v>
      </c>
      <c r="P94" s="15">
        <f t="shared" si="36"/>
        <v>3.5</v>
      </c>
      <c r="R94" s="8"/>
      <c r="T94"/>
    </row>
    <row r="95" spans="2:20" ht="23.1" customHeight="1" x14ac:dyDescent="0.25">
      <c r="B95" s="23" t="s">
        <v>135</v>
      </c>
      <c r="C95" s="49">
        <f>AVERAGE('28.09 Kigo-Munyonyo-24h'!C95,'26.09 Kigo-Munyonyo-24h'!C95)</f>
        <v>0.5</v>
      </c>
      <c r="D95" s="49">
        <f>AVERAGE('28.09 Kigo-Munyonyo-24h'!D95,'26.09 Kigo-Munyonyo-24h'!D95)</f>
        <v>0</v>
      </c>
      <c r="E95" s="49">
        <f>AVERAGE('28.09 Kigo-Munyonyo-24h'!E95,'26.09 Kigo-Munyonyo-24h'!E95)</f>
        <v>0</v>
      </c>
      <c r="F95" s="49">
        <f>AVERAGE('28.09 Kigo-Munyonyo-24h'!F95,'26.09 Kigo-Munyonyo-24h'!F95)</f>
        <v>0</v>
      </c>
      <c r="G95" s="49">
        <f>AVERAGE('28.09 Kigo-Munyonyo-24h'!G95,'26.09 Kigo-Munyonyo-24h'!G95)</f>
        <v>0</v>
      </c>
      <c r="H95" s="49">
        <f>AVERAGE('28.09 Kigo-Munyonyo-24h'!H95,'26.09 Kigo-Munyonyo-24h'!H95)</f>
        <v>0</v>
      </c>
      <c r="I95" s="49">
        <f>AVERAGE('28.09 Kigo-Munyonyo-24h'!I95,'26.09 Kigo-Munyonyo-24h'!I95)</f>
        <v>0</v>
      </c>
      <c r="J95" s="49">
        <f>AVERAGE('28.09 Kigo-Munyonyo-24h'!J95,'26.09 Kigo-Munyonyo-24h'!J95)</f>
        <v>0</v>
      </c>
      <c r="K95" s="49">
        <f>AVERAGE('28.09 Kigo-Munyonyo-24h'!K95,'26.09 Kigo-Munyonyo-24h'!K95)</f>
        <v>0</v>
      </c>
      <c r="L95" s="49">
        <f>AVERAGE('28.09 Kigo-Munyonyo-24h'!L95,'26.09 Kigo-Munyonyo-24h'!L95)</f>
        <v>0</v>
      </c>
      <c r="M95" s="49">
        <f>AVERAGE('28.09 Kigo-Munyonyo-24h'!M95,'26.09 Kigo-Munyonyo-24h'!M95)</f>
        <v>2.5</v>
      </c>
      <c r="N95" s="49">
        <f>AVERAGE('28.09 Kigo-Munyonyo-24h'!N95,'26.09 Kigo-Munyonyo-24h'!N95)</f>
        <v>0</v>
      </c>
      <c r="O95" s="15">
        <f t="shared" si="35"/>
        <v>0.5</v>
      </c>
      <c r="P95" s="15">
        <f t="shared" si="36"/>
        <v>3</v>
      </c>
      <c r="R95" s="8"/>
      <c r="T95"/>
    </row>
    <row r="96" spans="2:20" ht="23.1" customHeight="1" x14ac:dyDescent="0.25">
      <c r="B96" s="25" t="s">
        <v>136</v>
      </c>
      <c r="C96" s="49">
        <f>AVERAGE('28.09 Kigo-Munyonyo-24h'!C96,'26.09 Kigo-Munyonyo-24h'!C96)</f>
        <v>0.5</v>
      </c>
      <c r="D96" s="49">
        <f>AVERAGE('28.09 Kigo-Munyonyo-24h'!D96,'26.09 Kigo-Munyonyo-24h'!D96)</f>
        <v>0</v>
      </c>
      <c r="E96" s="49">
        <f>AVERAGE('28.09 Kigo-Munyonyo-24h'!E96,'26.09 Kigo-Munyonyo-24h'!E96)</f>
        <v>0</v>
      </c>
      <c r="F96" s="49">
        <f>AVERAGE('28.09 Kigo-Munyonyo-24h'!F96,'26.09 Kigo-Munyonyo-24h'!F96)</f>
        <v>0</v>
      </c>
      <c r="G96" s="49">
        <f>AVERAGE('28.09 Kigo-Munyonyo-24h'!G96,'26.09 Kigo-Munyonyo-24h'!G96)</f>
        <v>0</v>
      </c>
      <c r="H96" s="49">
        <f>AVERAGE('28.09 Kigo-Munyonyo-24h'!H96,'26.09 Kigo-Munyonyo-24h'!H96)</f>
        <v>0</v>
      </c>
      <c r="I96" s="49">
        <f>AVERAGE('28.09 Kigo-Munyonyo-24h'!I96,'26.09 Kigo-Munyonyo-24h'!I96)</f>
        <v>0</v>
      </c>
      <c r="J96" s="49">
        <f>AVERAGE('28.09 Kigo-Munyonyo-24h'!J96,'26.09 Kigo-Munyonyo-24h'!J96)</f>
        <v>0</v>
      </c>
      <c r="K96" s="49">
        <f>AVERAGE('28.09 Kigo-Munyonyo-24h'!K96,'26.09 Kigo-Munyonyo-24h'!K96)</f>
        <v>0</v>
      </c>
      <c r="L96" s="49">
        <f>AVERAGE('28.09 Kigo-Munyonyo-24h'!L96,'26.09 Kigo-Munyonyo-24h'!L96)</f>
        <v>0</v>
      </c>
      <c r="M96" s="49">
        <f>AVERAGE('28.09 Kigo-Munyonyo-24h'!M96,'26.09 Kigo-Munyonyo-24h'!M96)</f>
        <v>0.5</v>
      </c>
      <c r="N96" s="49">
        <f>AVERAGE('28.09 Kigo-Munyonyo-24h'!N96,'26.09 Kigo-Munyonyo-24h'!N96)</f>
        <v>0</v>
      </c>
      <c r="O96" s="15">
        <f t="shared" si="35"/>
        <v>0.5</v>
      </c>
      <c r="P96" s="15">
        <f t="shared" si="36"/>
        <v>1</v>
      </c>
      <c r="R96" s="8"/>
      <c r="T96"/>
    </row>
    <row r="97" spans="2:20" ht="23.1" customHeight="1" x14ac:dyDescent="0.25">
      <c r="B97" s="23" t="s">
        <v>137</v>
      </c>
      <c r="C97" s="49">
        <f>AVERAGE('28.09 Kigo-Munyonyo-24h'!C97,'26.09 Kigo-Munyonyo-24h'!C97)</f>
        <v>0</v>
      </c>
      <c r="D97" s="49">
        <f>AVERAGE('28.09 Kigo-Munyonyo-24h'!D97,'26.09 Kigo-Munyonyo-24h'!D97)</f>
        <v>0</v>
      </c>
      <c r="E97" s="49">
        <f>AVERAGE('28.09 Kigo-Munyonyo-24h'!E97,'26.09 Kigo-Munyonyo-24h'!E97)</f>
        <v>0</v>
      </c>
      <c r="F97" s="49">
        <f>AVERAGE('28.09 Kigo-Munyonyo-24h'!F97,'26.09 Kigo-Munyonyo-24h'!F97)</f>
        <v>0</v>
      </c>
      <c r="G97" s="49">
        <f>AVERAGE('28.09 Kigo-Munyonyo-24h'!G97,'26.09 Kigo-Munyonyo-24h'!G97)</f>
        <v>0</v>
      </c>
      <c r="H97" s="49">
        <f>AVERAGE('28.09 Kigo-Munyonyo-24h'!H97,'26.09 Kigo-Munyonyo-24h'!H97)</f>
        <v>0</v>
      </c>
      <c r="I97" s="49">
        <f>AVERAGE('28.09 Kigo-Munyonyo-24h'!I97,'26.09 Kigo-Munyonyo-24h'!I97)</f>
        <v>0</v>
      </c>
      <c r="J97" s="49">
        <f>AVERAGE('28.09 Kigo-Munyonyo-24h'!J97,'26.09 Kigo-Munyonyo-24h'!J97)</f>
        <v>0</v>
      </c>
      <c r="K97" s="49">
        <f>AVERAGE('28.09 Kigo-Munyonyo-24h'!K97,'26.09 Kigo-Munyonyo-24h'!K97)</f>
        <v>0</v>
      </c>
      <c r="L97" s="49">
        <f>AVERAGE('28.09 Kigo-Munyonyo-24h'!L97,'26.09 Kigo-Munyonyo-24h'!L97)</f>
        <v>0</v>
      </c>
      <c r="M97" s="49">
        <f>AVERAGE('28.09 Kigo-Munyonyo-24h'!M97,'26.09 Kigo-Munyonyo-24h'!M97)</f>
        <v>2.5</v>
      </c>
      <c r="N97" s="49">
        <f>AVERAGE('28.09 Kigo-Munyonyo-24h'!N97,'26.09 Kigo-Munyonyo-24h'!N97)</f>
        <v>0</v>
      </c>
      <c r="O97" s="15">
        <f t="shared" si="35"/>
        <v>0</v>
      </c>
      <c r="P97" s="15">
        <f t="shared" si="36"/>
        <v>2.5</v>
      </c>
      <c r="R97" s="8"/>
      <c r="T97"/>
    </row>
    <row r="98" spans="2:20" ht="23.1" customHeight="1" x14ac:dyDescent="0.25">
      <c r="B98" s="24" t="s">
        <v>138</v>
      </c>
      <c r="C98" s="49">
        <f>AVERAGE('28.09 Kigo-Munyonyo-24h'!C98,'26.09 Kigo-Munyonyo-24h'!C98)</f>
        <v>0</v>
      </c>
      <c r="D98" s="49">
        <f>AVERAGE('28.09 Kigo-Munyonyo-24h'!D98,'26.09 Kigo-Munyonyo-24h'!D98)</f>
        <v>0</v>
      </c>
      <c r="E98" s="49">
        <f>AVERAGE('28.09 Kigo-Munyonyo-24h'!E98,'26.09 Kigo-Munyonyo-24h'!E98)</f>
        <v>0</v>
      </c>
      <c r="F98" s="49">
        <f>AVERAGE('28.09 Kigo-Munyonyo-24h'!F98,'26.09 Kigo-Munyonyo-24h'!F98)</f>
        <v>0</v>
      </c>
      <c r="G98" s="49">
        <f>AVERAGE('28.09 Kigo-Munyonyo-24h'!G98,'26.09 Kigo-Munyonyo-24h'!G98)</f>
        <v>0</v>
      </c>
      <c r="H98" s="49">
        <f>AVERAGE('28.09 Kigo-Munyonyo-24h'!H98,'26.09 Kigo-Munyonyo-24h'!H98)</f>
        <v>0</v>
      </c>
      <c r="I98" s="49">
        <f>AVERAGE('28.09 Kigo-Munyonyo-24h'!I98,'26.09 Kigo-Munyonyo-24h'!I98)</f>
        <v>0</v>
      </c>
      <c r="J98" s="49">
        <f>AVERAGE('28.09 Kigo-Munyonyo-24h'!J98,'26.09 Kigo-Munyonyo-24h'!J98)</f>
        <v>0</v>
      </c>
      <c r="K98" s="49">
        <f>AVERAGE('28.09 Kigo-Munyonyo-24h'!K98,'26.09 Kigo-Munyonyo-24h'!K98)</f>
        <v>0</v>
      </c>
      <c r="L98" s="49">
        <f>AVERAGE('28.09 Kigo-Munyonyo-24h'!L98,'26.09 Kigo-Munyonyo-24h'!L98)</f>
        <v>0</v>
      </c>
      <c r="M98" s="49">
        <f>AVERAGE('28.09 Kigo-Munyonyo-24h'!M98,'26.09 Kigo-Munyonyo-24h'!M98)</f>
        <v>4</v>
      </c>
      <c r="N98" s="49">
        <f>AVERAGE('28.09 Kigo-Munyonyo-24h'!N98,'26.09 Kigo-Munyonyo-24h'!N98)</f>
        <v>0</v>
      </c>
      <c r="O98" s="15">
        <f t="shared" si="35"/>
        <v>0</v>
      </c>
      <c r="P98" s="15">
        <f t="shared" si="36"/>
        <v>4</v>
      </c>
      <c r="R98" s="8"/>
      <c r="T98"/>
    </row>
    <row r="99" spans="2:20" ht="23.1" customHeight="1" x14ac:dyDescent="0.25">
      <c r="B99" s="23" t="s">
        <v>139</v>
      </c>
      <c r="C99" s="49">
        <f>AVERAGE('28.09 Kigo-Munyonyo-24h'!C99,'26.09 Kigo-Munyonyo-24h'!C99)</f>
        <v>0.5</v>
      </c>
      <c r="D99" s="49">
        <f>AVERAGE('28.09 Kigo-Munyonyo-24h'!D99,'26.09 Kigo-Munyonyo-24h'!D99)</f>
        <v>0</v>
      </c>
      <c r="E99" s="49">
        <f>AVERAGE('28.09 Kigo-Munyonyo-24h'!E99,'26.09 Kigo-Munyonyo-24h'!E99)</f>
        <v>0</v>
      </c>
      <c r="F99" s="49">
        <f>AVERAGE('28.09 Kigo-Munyonyo-24h'!F99,'26.09 Kigo-Munyonyo-24h'!F99)</f>
        <v>0</v>
      </c>
      <c r="G99" s="49">
        <f>AVERAGE('28.09 Kigo-Munyonyo-24h'!G99,'26.09 Kigo-Munyonyo-24h'!G99)</f>
        <v>0</v>
      </c>
      <c r="H99" s="49">
        <f>AVERAGE('28.09 Kigo-Munyonyo-24h'!H99,'26.09 Kigo-Munyonyo-24h'!H99)</f>
        <v>0</v>
      </c>
      <c r="I99" s="49">
        <f>AVERAGE('28.09 Kigo-Munyonyo-24h'!I99,'26.09 Kigo-Munyonyo-24h'!I99)</f>
        <v>0</v>
      </c>
      <c r="J99" s="49">
        <f>AVERAGE('28.09 Kigo-Munyonyo-24h'!J99,'26.09 Kigo-Munyonyo-24h'!J99)</f>
        <v>0</v>
      </c>
      <c r="K99" s="49">
        <f>AVERAGE('28.09 Kigo-Munyonyo-24h'!K99,'26.09 Kigo-Munyonyo-24h'!K99)</f>
        <v>0</v>
      </c>
      <c r="L99" s="49">
        <f>AVERAGE('28.09 Kigo-Munyonyo-24h'!L99,'26.09 Kigo-Munyonyo-24h'!L99)</f>
        <v>0</v>
      </c>
      <c r="M99" s="49">
        <f>AVERAGE('28.09 Kigo-Munyonyo-24h'!M99,'26.09 Kigo-Munyonyo-24h'!M99)</f>
        <v>0</v>
      </c>
      <c r="N99" s="49">
        <f>AVERAGE('28.09 Kigo-Munyonyo-24h'!N99,'26.09 Kigo-Munyonyo-24h'!N99)</f>
        <v>0</v>
      </c>
      <c r="O99" s="15">
        <f t="shared" si="35"/>
        <v>0.5</v>
      </c>
      <c r="P99" s="15">
        <f t="shared" si="36"/>
        <v>0.5</v>
      </c>
      <c r="R99" s="8"/>
      <c r="T99"/>
    </row>
    <row r="100" spans="2:20" ht="23.1" customHeight="1" x14ac:dyDescent="0.25">
      <c r="B100" s="25" t="s">
        <v>140</v>
      </c>
      <c r="C100" s="49">
        <f>AVERAGE('28.09 Kigo-Munyonyo-24h'!C100,'26.09 Kigo-Munyonyo-24h'!C100)</f>
        <v>0</v>
      </c>
      <c r="D100" s="49">
        <f>AVERAGE('28.09 Kigo-Munyonyo-24h'!D100,'26.09 Kigo-Munyonyo-24h'!D100)</f>
        <v>0</v>
      </c>
      <c r="E100" s="49">
        <f>AVERAGE('28.09 Kigo-Munyonyo-24h'!E100,'26.09 Kigo-Munyonyo-24h'!E100)</f>
        <v>0</v>
      </c>
      <c r="F100" s="49">
        <f>AVERAGE('28.09 Kigo-Munyonyo-24h'!F100,'26.09 Kigo-Munyonyo-24h'!F100)</f>
        <v>0.5</v>
      </c>
      <c r="G100" s="49">
        <f>AVERAGE('28.09 Kigo-Munyonyo-24h'!G100,'26.09 Kigo-Munyonyo-24h'!G100)</f>
        <v>0</v>
      </c>
      <c r="H100" s="49">
        <f>AVERAGE('28.09 Kigo-Munyonyo-24h'!H100,'26.09 Kigo-Munyonyo-24h'!H100)</f>
        <v>0</v>
      </c>
      <c r="I100" s="49">
        <f>AVERAGE('28.09 Kigo-Munyonyo-24h'!I100,'26.09 Kigo-Munyonyo-24h'!I100)</f>
        <v>0</v>
      </c>
      <c r="J100" s="49">
        <f>AVERAGE('28.09 Kigo-Munyonyo-24h'!J100,'26.09 Kigo-Munyonyo-24h'!J100)</f>
        <v>0</v>
      </c>
      <c r="K100" s="49">
        <f>AVERAGE('28.09 Kigo-Munyonyo-24h'!K100,'26.09 Kigo-Munyonyo-24h'!K100)</f>
        <v>0</v>
      </c>
      <c r="L100" s="49">
        <f>AVERAGE('28.09 Kigo-Munyonyo-24h'!L100,'26.09 Kigo-Munyonyo-24h'!L100)</f>
        <v>0</v>
      </c>
      <c r="M100" s="49">
        <f>AVERAGE('28.09 Kigo-Munyonyo-24h'!M100,'26.09 Kigo-Munyonyo-24h'!M100)</f>
        <v>3</v>
      </c>
      <c r="N100" s="49">
        <f>AVERAGE('28.09 Kigo-Munyonyo-24h'!N100,'26.09 Kigo-Munyonyo-24h'!N100)</f>
        <v>0</v>
      </c>
      <c r="O100" s="15">
        <f t="shared" si="35"/>
        <v>0.5</v>
      </c>
      <c r="P100" s="15">
        <f t="shared" si="36"/>
        <v>3.5</v>
      </c>
      <c r="R100" s="8"/>
      <c r="T100"/>
    </row>
    <row r="101" spans="2:20" ht="23.1" customHeight="1" x14ac:dyDescent="0.25">
      <c r="B101" s="23" t="s">
        <v>141</v>
      </c>
      <c r="C101" s="49">
        <f>AVERAGE('28.09 Kigo-Munyonyo-24h'!C101,'26.09 Kigo-Munyonyo-24h'!C101)</f>
        <v>1</v>
      </c>
      <c r="D101" s="49">
        <f>AVERAGE('28.09 Kigo-Munyonyo-24h'!D101,'26.09 Kigo-Munyonyo-24h'!D101)</f>
        <v>0</v>
      </c>
      <c r="E101" s="49">
        <f>AVERAGE('28.09 Kigo-Munyonyo-24h'!E101,'26.09 Kigo-Munyonyo-24h'!E101)</f>
        <v>0</v>
      </c>
      <c r="F101" s="49">
        <f>AVERAGE('28.09 Kigo-Munyonyo-24h'!F101,'26.09 Kigo-Munyonyo-24h'!F101)</f>
        <v>0</v>
      </c>
      <c r="G101" s="49">
        <f>AVERAGE('28.09 Kigo-Munyonyo-24h'!G101,'26.09 Kigo-Munyonyo-24h'!G101)</f>
        <v>0</v>
      </c>
      <c r="H101" s="49">
        <f>AVERAGE('28.09 Kigo-Munyonyo-24h'!H101,'26.09 Kigo-Munyonyo-24h'!H101)</f>
        <v>0</v>
      </c>
      <c r="I101" s="49">
        <f>AVERAGE('28.09 Kigo-Munyonyo-24h'!I101,'26.09 Kigo-Munyonyo-24h'!I101)</f>
        <v>0</v>
      </c>
      <c r="J101" s="49">
        <f>AVERAGE('28.09 Kigo-Munyonyo-24h'!J101,'26.09 Kigo-Munyonyo-24h'!J101)</f>
        <v>0</v>
      </c>
      <c r="K101" s="49">
        <f>AVERAGE('28.09 Kigo-Munyonyo-24h'!K101,'26.09 Kigo-Munyonyo-24h'!K101)</f>
        <v>0</v>
      </c>
      <c r="L101" s="49">
        <f>AVERAGE('28.09 Kigo-Munyonyo-24h'!L101,'26.09 Kigo-Munyonyo-24h'!L101)</f>
        <v>0</v>
      </c>
      <c r="M101" s="49">
        <f>AVERAGE('28.09 Kigo-Munyonyo-24h'!M101,'26.09 Kigo-Munyonyo-24h'!M101)</f>
        <v>3</v>
      </c>
      <c r="N101" s="49">
        <f>AVERAGE('28.09 Kigo-Munyonyo-24h'!N101,'26.09 Kigo-Munyonyo-24h'!N101)</f>
        <v>0</v>
      </c>
      <c r="O101" s="15">
        <f t="shared" si="35"/>
        <v>1</v>
      </c>
      <c r="P101" s="15">
        <f t="shared" si="36"/>
        <v>4</v>
      </c>
      <c r="R101" s="8"/>
      <c r="T101"/>
    </row>
    <row r="102" spans="2:20" ht="23.1" customHeight="1" x14ac:dyDescent="0.25">
      <c r="B102" s="24" t="s">
        <v>142</v>
      </c>
      <c r="C102" s="49">
        <f>AVERAGE('28.09 Kigo-Munyonyo-24h'!C102,'26.09 Kigo-Munyonyo-24h'!C102)</f>
        <v>0</v>
      </c>
      <c r="D102" s="49">
        <f>AVERAGE('28.09 Kigo-Munyonyo-24h'!D102,'26.09 Kigo-Munyonyo-24h'!D102)</f>
        <v>0</v>
      </c>
      <c r="E102" s="49">
        <f>AVERAGE('28.09 Kigo-Munyonyo-24h'!E102,'26.09 Kigo-Munyonyo-24h'!E102)</f>
        <v>0</v>
      </c>
      <c r="F102" s="49">
        <f>AVERAGE('28.09 Kigo-Munyonyo-24h'!F102,'26.09 Kigo-Munyonyo-24h'!F102)</f>
        <v>0</v>
      </c>
      <c r="G102" s="49">
        <f>AVERAGE('28.09 Kigo-Munyonyo-24h'!G102,'26.09 Kigo-Munyonyo-24h'!G102)</f>
        <v>0</v>
      </c>
      <c r="H102" s="49">
        <f>AVERAGE('28.09 Kigo-Munyonyo-24h'!H102,'26.09 Kigo-Munyonyo-24h'!H102)</f>
        <v>0</v>
      </c>
      <c r="I102" s="49">
        <f>AVERAGE('28.09 Kigo-Munyonyo-24h'!I102,'26.09 Kigo-Munyonyo-24h'!I102)</f>
        <v>0</v>
      </c>
      <c r="J102" s="49">
        <f>AVERAGE('28.09 Kigo-Munyonyo-24h'!J102,'26.09 Kigo-Munyonyo-24h'!J102)</f>
        <v>0</v>
      </c>
      <c r="K102" s="49">
        <f>AVERAGE('28.09 Kigo-Munyonyo-24h'!K102,'26.09 Kigo-Munyonyo-24h'!K102)</f>
        <v>0</v>
      </c>
      <c r="L102" s="49">
        <f>AVERAGE('28.09 Kigo-Munyonyo-24h'!L102,'26.09 Kigo-Munyonyo-24h'!L102)</f>
        <v>0</v>
      </c>
      <c r="M102" s="49">
        <f>AVERAGE('28.09 Kigo-Munyonyo-24h'!M102,'26.09 Kigo-Munyonyo-24h'!M102)</f>
        <v>7.5</v>
      </c>
      <c r="N102" s="49">
        <f>AVERAGE('28.09 Kigo-Munyonyo-24h'!N102,'26.09 Kigo-Munyonyo-24h'!N102)</f>
        <v>0</v>
      </c>
      <c r="O102" s="15">
        <f t="shared" si="35"/>
        <v>0</v>
      </c>
      <c r="P102" s="15">
        <f t="shared" si="36"/>
        <v>7.5</v>
      </c>
      <c r="R102" s="8"/>
      <c r="T102"/>
    </row>
    <row r="103" spans="2:20" ht="23.1" customHeight="1" x14ac:dyDescent="0.25">
      <c r="B103" s="23" t="s">
        <v>143</v>
      </c>
      <c r="C103" s="49">
        <f>AVERAGE('28.09 Kigo-Munyonyo-24h'!C103,'26.09 Kigo-Munyonyo-24h'!C103)</f>
        <v>0.5</v>
      </c>
      <c r="D103" s="49">
        <f>AVERAGE('28.09 Kigo-Munyonyo-24h'!D103,'26.09 Kigo-Munyonyo-24h'!D103)</f>
        <v>0</v>
      </c>
      <c r="E103" s="49">
        <f>AVERAGE('28.09 Kigo-Munyonyo-24h'!E103,'26.09 Kigo-Munyonyo-24h'!E103)</f>
        <v>0</v>
      </c>
      <c r="F103" s="49">
        <f>AVERAGE('28.09 Kigo-Munyonyo-24h'!F103,'26.09 Kigo-Munyonyo-24h'!F103)</f>
        <v>0</v>
      </c>
      <c r="G103" s="49">
        <f>AVERAGE('28.09 Kigo-Munyonyo-24h'!G103,'26.09 Kigo-Munyonyo-24h'!G103)</f>
        <v>0</v>
      </c>
      <c r="H103" s="49">
        <f>AVERAGE('28.09 Kigo-Munyonyo-24h'!H103,'26.09 Kigo-Munyonyo-24h'!H103)</f>
        <v>0</v>
      </c>
      <c r="I103" s="49">
        <f>AVERAGE('28.09 Kigo-Munyonyo-24h'!I103,'26.09 Kigo-Munyonyo-24h'!I103)</f>
        <v>0</v>
      </c>
      <c r="J103" s="49">
        <f>AVERAGE('28.09 Kigo-Munyonyo-24h'!J103,'26.09 Kigo-Munyonyo-24h'!J103)</f>
        <v>0</v>
      </c>
      <c r="K103" s="49">
        <f>AVERAGE('28.09 Kigo-Munyonyo-24h'!K103,'26.09 Kigo-Munyonyo-24h'!K103)</f>
        <v>0</v>
      </c>
      <c r="L103" s="49">
        <f>AVERAGE('28.09 Kigo-Munyonyo-24h'!L103,'26.09 Kigo-Munyonyo-24h'!L103)</f>
        <v>0</v>
      </c>
      <c r="M103" s="49">
        <f>AVERAGE('28.09 Kigo-Munyonyo-24h'!M103,'26.09 Kigo-Munyonyo-24h'!M103)</f>
        <v>11.5</v>
      </c>
      <c r="N103" s="49">
        <f>AVERAGE('28.09 Kigo-Munyonyo-24h'!N103,'26.09 Kigo-Munyonyo-24h'!N103)</f>
        <v>0</v>
      </c>
      <c r="O103" s="15">
        <f t="shared" si="35"/>
        <v>0.5</v>
      </c>
      <c r="P103" s="15">
        <f t="shared" si="36"/>
        <v>12</v>
      </c>
      <c r="R103" s="8"/>
      <c r="T103"/>
    </row>
    <row r="104" spans="2:20" ht="23.1" customHeight="1" x14ac:dyDescent="0.25">
      <c r="B104" s="25" t="s">
        <v>144</v>
      </c>
      <c r="C104" s="49">
        <f>AVERAGE('28.09 Kigo-Munyonyo-24h'!C104,'26.09 Kigo-Munyonyo-24h'!C104)</f>
        <v>0</v>
      </c>
      <c r="D104" s="49">
        <f>AVERAGE('28.09 Kigo-Munyonyo-24h'!D104,'26.09 Kigo-Munyonyo-24h'!D104)</f>
        <v>0</v>
      </c>
      <c r="E104" s="49">
        <f>AVERAGE('28.09 Kigo-Munyonyo-24h'!E104,'26.09 Kigo-Munyonyo-24h'!E104)</f>
        <v>0</v>
      </c>
      <c r="F104" s="49">
        <f>AVERAGE('28.09 Kigo-Munyonyo-24h'!F104,'26.09 Kigo-Munyonyo-24h'!F104)</f>
        <v>0</v>
      </c>
      <c r="G104" s="49">
        <f>AVERAGE('28.09 Kigo-Munyonyo-24h'!G104,'26.09 Kigo-Munyonyo-24h'!G104)</f>
        <v>0</v>
      </c>
      <c r="H104" s="49">
        <f>AVERAGE('28.09 Kigo-Munyonyo-24h'!H104,'26.09 Kigo-Munyonyo-24h'!H104)</f>
        <v>0</v>
      </c>
      <c r="I104" s="49">
        <f>AVERAGE('28.09 Kigo-Munyonyo-24h'!I104,'26.09 Kigo-Munyonyo-24h'!I104)</f>
        <v>0</v>
      </c>
      <c r="J104" s="49">
        <f>AVERAGE('28.09 Kigo-Munyonyo-24h'!J104,'26.09 Kigo-Munyonyo-24h'!J104)</f>
        <v>0</v>
      </c>
      <c r="K104" s="49">
        <f>AVERAGE('28.09 Kigo-Munyonyo-24h'!K104,'26.09 Kigo-Munyonyo-24h'!K104)</f>
        <v>0</v>
      </c>
      <c r="L104" s="49">
        <f>AVERAGE('28.09 Kigo-Munyonyo-24h'!L104,'26.09 Kigo-Munyonyo-24h'!L104)</f>
        <v>0</v>
      </c>
      <c r="M104" s="49">
        <f>AVERAGE('28.09 Kigo-Munyonyo-24h'!M104,'26.09 Kigo-Munyonyo-24h'!M104)</f>
        <v>16.5</v>
      </c>
      <c r="N104" s="49">
        <f>AVERAGE('28.09 Kigo-Munyonyo-24h'!N104,'26.09 Kigo-Munyonyo-24h'!N104)</f>
        <v>0</v>
      </c>
      <c r="O104" s="15">
        <f t="shared" si="35"/>
        <v>0</v>
      </c>
      <c r="P104" s="15">
        <f t="shared" si="36"/>
        <v>16.5</v>
      </c>
      <c r="R104" s="8"/>
      <c r="T104"/>
    </row>
    <row r="105" spans="2:20" ht="23.1" customHeight="1" x14ac:dyDescent="0.25">
      <c r="B105" s="23" t="s">
        <v>145</v>
      </c>
      <c r="C105" s="49">
        <f>AVERAGE('28.09 Kigo-Munyonyo-24h'!C105,'26.09 Kigo-Munyonyo-24h'!C105)</f>
        <v>1.5</v>
      </c>
      <c r="D105" s="49">
        <f>AVERAGE('28.09 Kigo-Munyonyo-24h'!D105,'26.09 Kigo-Munyonyo-24h'!D105)</f>
        <v>0.5</v>
      </c>
      <c r="E105" s="49">
        <f>AVERAGE('28.09 Kigo-Munyonyo-24h'!E105,'26.09 Kigo-Munyonyo-24h'!E105)</f>
        <v>0</v>
      </c>
      <c r="F105" s="49">
        <f>AVERAGE('28.09 Kigo-Munyonyo-24h'!F105,'26.09 Kigo-Munyonyo-24h'!F105)</f>
        <v>0</v>
      </c>
      <c r="G105" s="49">
        <f>AVERAGE('28.09 Kigo-Munyonyo-24h'!G105,'26.09 Kigo-Munyonyo-24h'!G105)</f>
        <v>0</v>
      </c>
      <c r="H105" s="49">
        <f>AVERAGE('28.09 Kigo-Munyonyo-24h'!H105,'26.09 Kigo-Munyonyo-24h'!H105)</f>
        <v>0</v>
      </c>
      <c r="I105" s="49">
        <f>AVERAGE('28.09 Kigo-Munyonyo-24h'!I105,'26.09 Kigo-Munyonyo-24h'!I105)</f>
        <v>0</v>
      </c>
      <c r="J105" s="49">
        <f>AVERAGE('28.09 Kigo-Munyonyo-24h'!J105,'26.09 Kigo-Munyonyo-24h'!J105)</f>
        <v>0</v>
      </c>
      <c r="K105" s="49">
        <f>AVERAGE('28.09 Kigo-Munyonyo-24h'!K105,'26.09 Kigo-Munyonyo-24h'!K105)</f>
        <v>0</v>
      </c>
      <c r="L105" s="49">
        <f>AVERAGE('28.09 Kigo-Munyonyo-24h'!L105,'26.09 Kigo-Munyonyo-24h'!L105)</f>
        <v>0</v>
      </c>
      <c r="M105" s="49">
        <f>AVERAGE('28.09 Kigo-Munyonyo-24h'!M105,'26.09 Kigo-Munyonyo-24h'!M105)</f>
        <v>16.5</v>
      </c>
      <c r="N105" s="49">
        <f>AVERAGE('28.09 Kigo-Munyonyo-24h'!N105,'26.09 Kigo-Munyonyo-24h'!N105)</f>
        <v>0</v>
      </c>
      <c r="O105" s="15">
        <f t="shared" si="35"/>
        <v>2</v>
      </c>
      <c r="P105" s="15">
        <f t="shared" si="36"/>
        <v>18.5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27.857142857142858</v>
      </c>
      <c r="D106" s="16">
        <f t="shared" ref="D106:P106" si="37">SUM(D10:D105)</f>
        <v>15.357142857142863</v>
      </c>
      <c r="E106" s="16">
        <f t="shared" si="37"/>
        <v>4.9285714285714279</v>
      </c>
      <c r="F106" s="16">
        <f t="shared" si="37"/>
        <v>5.2857142857142847</v>
      </c>
      <c r="G106" s="16">
        <f t="shared" si="37"/>
        <v>0.2857142857142857</v>
      </c>
      <c r="H106" s="16">
        <f t="shared" si="37"/>
        <v>0.14285714285714285</v>
      </c>
      <c r="I106" s="16">
        <f t="shared" si="37"/>
        <v>3.6428571428571423</v>
      </c>
      <c r="J106" s="16">
        <f t="shared" si="37"/>
        <v>1.357142857142857</v>
      </c>
      <c r="K106" s="16">
        <f t="shared" si="37"/>
        <v>0.99999999999999978</v>
      </c>
      <c r="L106" s="16">
        <f t="shared" si="37"/>
        <v>0</v>
      </c>
      <c r="M106" s="16">
        <f t="shared" si="37"/>
        <v>1410.214285714286</v>
      </c>
      <c r="N106" s="16">
        <f t="shared" si="37"/>
        <v>0</v>
      </c>
      <c r="O106" s="16">
        <f t="shared" si="37"/>
        <v>59.857142857142861</v>
      </c>
      <c r="P106" s="16">
        <f t="shared" si="37"/>
        <v>1470.0714285714284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1.8949516544385599E-2</v>
      </c>
      <c r="D107" s="43">
        <f t="shared" si="38"/>
        <v>1.0446528351392065E-2</v>
      </c>
      <c r="E107" s="43">
        <f t="shared" si="38"/>
        <v>3.3526067732374521E-3</v>
      </c>
      <c r="F107" s="43">
        <f t="shared" si="38"/>
        <v>3.5955492930372672E-3</v>
      </c>
      <c r="G107" s="43">
        <f t="shared" si="38"/>
        <v>1.9435401583985229E-4</v>
      </c>
      <c r="H107" s="43">
        <f t="shared" si="38"/>
        <v>9.7177007919926144E-5</v>
      </c>
      <c r="I107" s="43">
        <f t="shared" si="38"/>
        <v>2.4780137019581165E-3</v>
      </c>
      <c r="J107" s="43">
        <f t="shared" si="38"/>
        <v>9.2318157523929838E-4</v>
      </c>
      <c r="K107" s="43">
        <f t="shared" si="38"/>
        <v>6.8023905543948288E-4</v>
      </c>
      <c r="L107" s="43">
        <f t="shared" si="38"/>
        <v>0</v>
      </c>
      <c r="M107" s="43">
        <f t="shared" si="38"/>
        <v>0.95928283368155121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0.46539379474940334</v>
      </c>
      <c r="D108" s="44">
        <f t="shared" ref="D108:N108" si="39">D106/$O$106</f>
        <v>0.25656324582338907</v>
      </c>
      <c r="E108" s="44">
        <f t="shared" si="39"/>
        <v>8.2338902147971349E-2</v>
      </c>
      <c r="F108" s="44">
        <f t="shared" si="39"/>
        <v>8.8305489260143172E-2</v>
      </c>
      <c r="G108" s="44">
        <f t="shared" si="39"/>
        <v>4.7732696897374695E-3</v>
      </c>
      <c r="H108" s="44">
        <f t="shared" si="39"/>
        <v>2.3866348448687348E-3</v>
      </c>
      <c r="I108" s="44">
        <f t="shared" si="39"/>
        <v>6.0859188544152731E-2</v>
      </c>
      <c r="J108" s="44">
        <f t="shared" si="39"/>
        <v>2.2673031026252979E-2</v>
      </c>
      <c r="K108" s="44">
        <f t="shared" si="39"/>
        <v>1.6706443914081142E-2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N10" sqref="N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'29.09 Kigo-Munyonyo'!C3:G3</f>
        <v>MCC-C2-STNO 57-KIGO RD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162</v>
      </c>
      <c r="E5" s="74"/>
      <c r="F5" s="41" t="s">
        <v>1</v>
      </c>
      <c r="G5" s="70" t="str">
        <f>'Avg Week Kigo-Munyonyo'!G5:H5</f>
        <v>LWEZA KAMUCHANGA</v>
      </c>
      <c r="H5" s="71"/>
      <c r="I5" s="14"/>
      <c r="J5" s="2" t="s">
        <v>5</v>
      </c>
      <c r="K5" s="70" t="str">
        <f>'Avg Week Kigo-Munyonyo'!K5:L5</f>
        <v>Racheal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5" t="s">
        <v>161</v>
      </c>
      <c r="E6" s="76"/>
      <c r="F6" s="2" t="s">
        <v>2</v>
      </c>
      <c r="G6" s="75" t="s">
        <v>161</v>
      </c>
      <c r="H6" s="76"/>
      <c r="J6" s="2" t="s">
        <v>21</v>
      </c>
      <c r="K6" s="70" t="str">
        <f>'Avg Week Kigo-Munyonyo'!K6:L6</f>
        <v>Beatrice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Munyonyo-Kigo'!C10+'Avg Week Kigo-Munyonyo'!C10</f>
        <v>2.8571428571428572</v>
      </c>
      <c r="D10" s="49">
        <f>'Avg Week Munyonyo-Kigo'!D10+'Avg Week Kigo-Munyonyo'!D10</f>
        <v>1</v>
      </c>
      <c r="E10" s="49">
        <f>'Avg Week Munyonyo-Kigo'!E10+'Avg Week Kigo-Munyonyo'!E10</f>
        <v>0.14285714285714285</v>
      </c>
      <c r="F10" s="49">
        <f>'Avg Week Munyonyo-Kigo'!F10+'Avg Week Kigo-Munyonyo'!F10</f>
        <v>1.857142857142857</v>
      </c>
      <c r="G10" s="49">
        <f>'Avg Week Munyonyo-Kigo'!G10+'Avg Week Kigo-Munyonyo'!G10</f>
        <v>0</v>
      </c>
      <c r="H10" s="49">
        <f>'Avg Week Munyonyo-Kigo'!H10+'Avg Week Kigo-Munyonyo'!H10</f>
        <v>0</v>
      </c>
      <c r="I10" s="49">
        <f>'Avg Week Munyonyo-Kigo'!I10+'Avg Week Kigo-Munyonyo'!I10</f>
        <v>0</v>
      </c>
      <c r="J10" s="49">
        <f>'Avg Week Munyonyo-Kigo'!J10+'Avg Week Kigo-Munyonyo'!J10</f>
        <v>0.2857142857142857</v>
      </c>
      <c r="K10" s="49">
        <f>'Avg Week Munyonyo-Kigo'!K10+'Avg Week Kigo-Munyonyo'!K10</f>
        <v>0</v>
      </c>
      <c r="L10" s="49">
        <f>'Avg Week Munyonyo-Kigo'!L10+'Avg Week Kigo-Munyonyo'!L10</f>
        <v>0</v>
      </c>
      <c r="M10" s="49">
        <f>'Avg Week Munyonyo-Kigo'!M10+'Avg Week Kigo-Munyonyo'!M10</f>
        <v>53.857142857142861</v>
      </c>
      <c r="N10" s="49">
        <f>'Avg Week Munyonyo-Kigo'!N10+'Avg Week Kigo-Munyonyo'!N10</f>
        <v>0</v>
      </c>
      <c r="O10" s="15">
        <f t="shared" ref="O10:O73" si="0">SUM(C10:L10,N10)</f>
        <v>6.1428571428571423</v>
      </c>
      <c r="P10" s="15">
        <f t="shared" ref="P10:P73" si="1">SUM(C10:N10)</f>
        <v>60</v>
      </c>
      <c r="R10" s="1" t="s">
        <v>6</v>
      </c>
      <c r="S10" s="17">
        <f>SUM(C10:C13)</f>
        <v>8.4285714285714288</v>
      </c>
      <c r="T10" s="17">
        <f t="shared" ref="T10:AF10" si="2">SUM(D10:D13)</f>
        <v>4.8571428571428568</v>
      </c>
      <c r="U10" s="17">
        <f t="shared" si="2"/>
        <v>1.1428571428571428</v>
      </c>
      <c r="V10" s="17">
        <f t="shared" si="2"/>
        <v>3.7142857142857135</v>
      </c>
      <c r="W10" s="17">
        <f>SUM(G10:G13)</f>
        <v>0.2857142857142857</v>
      </c>
      <c r="X10" s="17">
        <f t="shared" si="2"/>
        <v>0</v>
      </c>
      <c r="Y10" s="17">
        <f t="shared" si="2"/>
        <v>0.42857142857142855</v>
      </c>
      <c r="Z10" s="17">
        <f t="shared" si="2"/>
        <v>0.42857142857142855</v>
      </c>
      <c r="AA10" s="17">
        <f t="shared" si="2"/>
        <v>0.14285714285714285</v>
      </c>
      <c r="AB10" s="17">
        <f t="shared" si="2"/>
        <v>0</v>
      </c>
      <c r="AC10" s="17">
        <f t="shared" si="2"/>
        <v>224</v>
      </c>
      <c r="AD10" s="17">
        <f t="shared" si="2"/>
        <v>0</v>
      </c>
      <c r="AE10" s="31">
        <f t="shared" si="2"/>
        <v>19.428571428571427</v>
      </c>
      <c r="AF10" s="31">
        <f t="shared" si="2"/>
        <v>243.42857142857142</v>
      </c>
    </row>
    <row r="11" spans="2:32" s="6" customFormat="1" ht="23.1" customHeight="1" x14ac:dyDescent="0.25">
      <c r="B11" s="23" t="s">
        <v>38</v>
      </c>
      <c r="C11" s="49">
        <f>'Avg Week Munyonyo-Kigo'!C11+'Avg Week Kigo-Munyonyo'!C11</f>
        <v>1.8571428571428572</v>
      </c>
      <c r="D11" s="49">
        <f>'Avg Week Munyonyo-Kigo'!D11+'Avg Week Kigo-Munyonyo'!D11</f>
        <v>1.1428571428571428</v>
      </c>
      <c r="E11" s="49">
        <f>'Avg Week Munyonyo-Kigo'!E11+'Avg Week Kigo-Munyonyo'!E11</f>
        <v>0.42857142857142855</v>
      </c>
      <c r="F11" s="49">
        <f>'Avg Week Munyonyo-Kigo'!F11+'Avg Week Kigo-Munyonyo'!F11</f>
        <v>0.7142857142857143</v>
      </c>
      <c r="G11" s="49">
        <f>'Avg Week Munyonyo-Kigo'!G11+'Avg Week Kigo-Munyonyo'!G11</f>
        <v>0</v>
      </c>
      <c r="H11" s="49">
        <f>'Avg Week Munyonyo-Kigo'!H11+'Avg Week Kigo-Munyonyo'!H11</f>
        <v>0</v>
      </c>
      <c r="I11" s="49">
        <f>'Avg Week Munyonyo-Kigo'!I11+'Avg Week Kigo-Munyonyo'!I11</f>
        <v>0.42857142857142855</v>
      </c>
      <c r="J11" s="49">
        <f>'Avg Week Munyonyo-Kigo'!J11+'Avg Week Kigo-Munyonyo'!J11</f>
        <v>0</v>
      </c>
      <c r="K11" s="49">
        <f>'Avg Week Munyonyo-Kigo'!K11+'Avg Week Kigo-Munyonyo'!K11</f>
        <v>0</v>
      </c>
      <c r="L11" s="49">
        <f>'Avg Week Munyonyo-Kigo'!L11+'Avg Week Kigo-Munyonyo'!L11</f>
        <v>0</v>
      </c>
      <c r="M11" s="49">
        <f>'Avg Week Munyonyo-Kigo'!M11+'Avg Week Kigo-Munyonyo'!M11</f>
        <v>60.428571428571431</v>
      </c>
      <c r="N11" s="49">
        <f>'Avg Week Munyonyo-Kigo'!N11+'Avg Week Kigo-Munyonyo'!N11</f>
        <v>0</v>
      </c>
      <c r="O11" s="15">
        <f t="shared" si="0"/>
        <v>4.5714285714285712</v>
      </c>
      <c r="P11" s="15">
        <f t="shared" si="1"/>
        <v>65</v>
      </c>
      <c r="R11" s="1" t="s">
        <v>7</v>
      </c>
      <c r="S11" s="17">
        <f t="shared" ref="S11:AF11" si="3">SUM(C14:C17)</f>
        <v>6.2857142857142865</v>
      </c>
      <c r="T11" s="17">
        <f t="shared" si="3"/>
        <v>4.7142857142857144</v>
      </c>
      <c r="U11" s="17">
        <f t="shared" si="3"/>
        <v>1.8571428571428572</v>
      </c>
      <c r="V11" s="17">
        <f t="shared" si="3"/>
        <v>0.5714285714285714</v>
      </c>
      <c r="W11" s="17">
        <f t="shared" si="3"/>
        <v>0</v>
      </c>
      <c r="X11" s="17">
        <f t="shared" si="3"/>
        <v>0</v>
      </c>
      <c r="Y11" s="17">
        <f t="shared" si="3"/>
        <v>1.5714285714285714</v>
      </c>
      <c r="Z11" s="17">
        <f t="shared" si="3"/>
        <v>0.42857142857142855</v>
      </c>
      <c r="AA11" s="17">
        <f t="shared" si="3"/>
        <v>0.2857142857142857</v>
      </c>
      <c r="AB11" s="17">
        <f t="shared" si="3"/>
        <v>0.14285714285714285</v>
      </c>
      <c r="AC11" s="17">
        <f t="shared" si="3"/>
        <v>177.28571428571428</v>
      </c>
      <c r="AD11" s="17">
        <f t="shared" si="3"/>
        <v>0</v>
      </c>
      <c r="AE11" s="31">
        <f t="shared" si="3"/>
        <v>15.857142857142858</v>
      </c>
      <c r="AF11" s="31">
        <f t="shared" si="3"/>
        <v>193.14285714285714</v>
      </c>
    </row>
    <row r="12" spans="2:32" ht="23.1" customHeight="1" x14ac:dyDescent="0.25">
      <c r="B12" s="23" t="s">
        <v>39</v>
      </c>
      <c r="C12" s="49">
        <f>'Avg Week Munyonyo-Kigo'!C12+'Avg Week Kigo-Munyonyo'!C12</f>
        <v>2</v>
      </c>
      <c r="D12" s="49">
        <f>'Avg Week Munyonyo-Kigo'!D12+'Avg Week Kigo-Munyonyo'!D12</f>
        <v>0.71428571428571419</v>
      </c>
      <c r="E12" s="49">
        <f>'Avg Week Munyonyo-Kigo'!E12+'Avg Week Kigo-Munyonyo'!E12</f>
        <v>0.14285714285714285</v>
      </c>
      <c r="F12" s="49">
        <f>'Avg Week Munyonyo-Kigo'!F12+'Avg Week Kigo-Munyonyo'!F12</f>
        <v>0.42857142857142855</v>
      </c>
      <c r="G12" s="49">
        <f>'Avg Week Munyonyo-Kigo'!G12+'Avg Week Kigo-Munyonyo'!G12</f>
        <v>0.2857142857142857</v>
      </c>
      <c r="H12" s="49">
        <f>'Avg Week Munyonyo-Kigo'!H12+'Avg Week Kigo-Munyonyo'!H12</f>
        <v>0</v>
      </c>
      <c r="I12" s="49">
        <f>'Avg Week Munyonyo-Kigo'!I12+'Avg Week Kigo-Munyonyo'!I12</f>
        <v>0</v>
      </c>
      <c r="J12" s="49">
        <f>'Avg Week Munyonyo-Kigo'!J12+'Avg Week Kigo-Munyonyo'!J12</f>
        <v>0.14285714285714285</v>
      </c>
      <c r="K12" s="49">
        <f>'Avg Week Munyonyo-Kigo'!K12+'Avg Week Kigo-Munyonyo'!K12</f>
        <v>0.14285714285714285</v>
      </c>
      <c r="L12" s="49">
        <f>'Avg Week Munyonyo-Kigo'!L12+'Avg Week Kigo-Munyonyo'!L12</f>
        <v>0</v>
      </c>
      <c r="M12" s="49">
        <f>'Avg Week Munyonyo-Kigo'!M12+'Avg Week Kigo-Munyonyo'!M12</f>
        <v>55.428571428571431</v>
      </c>
      <c r="N12" s="49">
        <f>'Avg Week Munyonyo-Kigo'!N12+'Avg Week Kigo-Munyonyo'!N12</f>
        <v>0</v>
      </c>
      <c r="O12" s="15">
        <f t="shared" si="0"/>
        <v>3.8571428571428568</v>
      </c>
      <c r="P12" s="15">
        <f t="shared" si="1"/>
        <v>59.285714285714285</v>
      </c>
      <c r="R12" s="1" t="s">
        <v>8</v>
      </c>
      <c r="S12" s="17">
        <f t="shared" ref="S12:AF12" si="4">SUM(C18:C21)</f>
        <v>5.8571428571428568</v>
      </c>
      <c r="T12" s="17">
        <f t="shared" si="4"/>
        <v>3.5714285714285712</v>
      </c>
      <c r="U12" s="17">
        <f t="shared" si="4"/>
        <v>1.5714285714285712</v>
      </c>
      <c r="V12" s="17">
        <f t="shared" si="4"/>
        <v>0.42857142857142855</v>
      </c>
      <c r="W12" s="17">
        <f t="shared" si="4"/>
        <v>0</v>
      </c>
      <c r="X12" s="17">
        <f t="shared" si="4"/>
        <v>0.14285714285714285</v>
      </c>
      <c r="Y12" s="17">
        <f t="shared" si="4"/>
        <v>1.7142857142857144</v>
      </c>
      <c r="Z12" s="17">
        <f t="shared" si="4"/>
        <v>0.14285714285714285</v>
      </c>
      <c r="AA12" s="17">
        <f t="shared" si="4"/>
        <v>0</v>
      </c>
      <c r="AB12" s="17">
        <f t="shared" si="4"/>
        <v>0.2857142857142857</v>
      </c>
      <c r="AC12" s="17">
        <f t="shared" si="4"/>
        <v>158.42857142857142</v>
      </c>
      <c r="AD12" s="17">
        <f t="shared" si="4"/>
        <v>0</v>
      </c>
      <c r="AE12" s="31">
        <f t="shared" si="4"/>
        <v>13.714285714285715</v>
      </c>
      <c r="AF12" s="31">
        <f t="shared" si="4"/>
        <v>172.14285714285714</v>
      </c>
    </row>
    <row r="13" spans="2:32" ht="23.1" customHeight="1" x14ac:dyDescent="0.25">
      <c r="B13" s="23" t="s">
        <v>40</v>
      </c>
      <c r="C13" s="49">
        <f>'Avg Week Munyonyo-Kigo'!C13+'Avg Week Kigo-Munyonyo'!C13</f>
        <v>1.7142857142857142</v>
      </c>
      <c r="D13" s="49">
        <f>'Avg Week Munyonyo-Kigo'!D13+'Avg Week Kigo-Munyonyo'!D13</f>
        <v>2</v>
      </c>
      <c r="E13" s="49">
        <f>'Avg Week Munyonyo-Kigo'!E13+'Avg Week Kigo-Munyonyo'!E13</f>
        <v>0.42857142857142855</v>
      </c>
      <c r="F13" s="49">
        <f>'Avg Week Munyonyo-Kigo'!F13+'Avg Week Kigo-Munyonyo'!F13</f>
        <v>0.71428571428571419</v>
      </c>
      <c r="G13" s="49">
        <f>'Avg Week Munyonyo-Kigo'!G13+'Avg Week Kigo-Munyonyo'!G13</f>
        <v>0</v>
      </c>
      <c r="H13" s="49">
        <f>'Avg Week Munyonyo-Kigo'!H13+'Avg Week Kigo-Munyonyo'!H13</f>
        <v>0</v>
      </c>
      <c r="I13" s="49">
        <f>'Avg Week Munyonyo-Kigo'!I13+'Avg Week Kigo-Munyonyo'!I13</f>
        <v>0</v>
      </c>
      <c r="J13" s="49">
        <f>'Avg Week Munyonyo-Kigo'!J13+'Avg Week Kigo-Munyonyo'!J13</f>
        <v>0</v>
      </c>
      <c r="K13" s="49">
        <f>'Avg Week Munyonyo-Kigo'!K13+'Avg Week Kigo-Munyonyo'!K13</f>
        <v>0</v>
      </c>
      <c r="L13" s="49">
        <f>'Avg Week Munyonyo-Kigo'!L13+'Avg Week Kigo-Munyonyo'!L13</f>
        <v>0</v>
      </c>
      <c r="M13" s="49">
        <f>'Avg Week Munyonyo-Kigo'!M13+'Avg Week Kigo-Munyonyo'!M13</f>
        <v>54.285714285714285</v>
      </c>
      <c r="N13" s="49">
        <f>'Avg Week Munyonyo-Kigo'!N13+'Avg Week Kigo-Munyonyo'!N13</f>
        <v>0</v>
      </c>
      <c r="O13" s="15">
        <f t="shared" si="0"/>
        <v>4.8571428571428577</v>
      </c>
      <c r="P13" s="15">
        <f t="shared" si="1"/>
        <v>59.142857142857139</v>
      </c>
      <c r="R13" s="1" t="s">
        <v>9</v>
      </c>
      <c r="S13" s="17">
        <f t="shared" ref="S13:AF13" si="5">SUM(C22:C25)</f>
        <v>8.5714285714285712</v>
      </c>
      <c r="T13" s="17">
        <f t="shared" si="5"/>
        <v>1.7142857142857142</v>
      </c>
      <c r="U13" s="17">
        <f t="shared" si="5"/>
        <v>1.2857142857142856</v>
      </c>
      <c r="V13" s="17">
        <f t="shared" si="5"/>
        <v>0.42857142857142855</v>
      </c>
      <c r="W13" s="17">
        <f t="shared" si="5"/>
        <v>0</v>
      </c>
      <c r="X13" s="17">
        <f t="shared" si="5"/>
        <v>0</v>
      </c>
      <c r="Y13" s="17">
        <f t="shared" si="5"/>
        <v>0.85714285714285698</v>
      </c>
      <c r="Z13" s="17">
        <f t="shared" si="5"/>
        <v>0.14285714285714285</v>
      </c>
      <c r="AA13" s="17">
        <f t="shared" si="5"/>
        <v>0.42857142857142855</v>
      </c>
      <c r="AB13" s="17">
        <f t="shared" si="5"/>
        <v>0.14285714285714285</v>
      </c>
      <c r="AC13" s="17">
        <f t="shared" si="5"/>
        <v>153.85714285714283</v>
      </c>
      <c r="AD13" s="17">
        <f t="shared" si="5"/>
        <v>0.14285714285714285</v>
      </c>
      <c r="AE13" s="31">
        <f t="shared" si="5"/>
        <v>13.714285714285714</v>
      </c>
      <c r="AF13" s="31">
        <f t="shared" si="5"/>
        <v>167.57142857142858</v>
      </c>
    </row>
    <row r="14" spans="2:32" ht="23.1" customHeight="1" x14ac:dyDescent="0.25">
      <c r="B14" s="23" t="s">
        <v>41</v>
      </c>
      <c r="C14" s="49">
        <f>'Avg Week Munyonyo-Kigo'!C14+'Avg Week Kigo-Munyonyo'!C14</f>
        <v>1.1428571428571428</v>
      </c>
      <c r="D14" s="49">
        <f>'Avg Week Munyonyo-Kigo'!D14+'Avg Week Kigo-Munyonyo'!D14</f>
        <v>0.8571428571428571</v>
      </c>
      <c r="E14" s="49">
        <f>'Avg Week Munyonyo-Kigo'!E14+'Avg Week Kigo-Munyonyo'!E14</f>
        <v>0.14285714285714285</v>
      </c>
      <c r="F14" s="49">
        <f>'Avg Week Munyonyo-Kigo'!F14+'Avg Week Kigo-Munyonyo'!F14</f>
        <v>0.2857142857142857</v>
      </c>
      <c r="G14" s="49">
        <f>'Avg Week Munyonyo-Kigo'!G14+'Avg Week Kigo-Munyonyo'!G14</f>
        <v>0</v>
      </c>
      <c r="H14" s="49">
        <f>'Avg Week Munyonyo-Kigo'!H14+'Avg Week Kigo-Munyonyo'!H14</f>
        <v>0</v>
      </c>
      <c r="I14" s="49">
        <f>'Avg Week Munyonyo-Kigo'!I14+'Avg Week Kigo-Munyonyo'!I14</f>
        <v>0.7142857142857143</v>
      </c>
      <c r="J14" s="49">
        <f>'Avg Week Munyonyo-Kigo'!J14+'Avg Week Kigo-Munyonyo'!J14</f>
        <v>0.2857142857142857</v>
      </c>
      <c r="K14" s="49">
        <f>'Avg Week Munyonyo-Kigo'!K14+'Avg Week Kigo-Munyonyo'!K14</f>
        <v>0.14285714285714285</v>
      </c>
      <c r="L14" s="49">
        <f>'Avg Week Munyonyo-Kigo'!L14+'Avg Week Kigo-Munyonyo'!L14</f>
        <v>0</v>
      </c>
      <c r="M14" s="49">
        <f>'Avg Week Munyonyo-Kigo'!M14+'Avg Week Kigo-Munyonyo'!M14</f>
        <v>54.285714285714285</v>
      </c>
      <c r="N14" s="49">
        <f>'Avg Week Munyonyo-Kigo'!N14+'Avg Week Kigo-Munyonyo'!N14</f>
        <v>0</v>
      </c>
      <c r="O14" s="15">
        <f t="shared" si="0"/>
        <v>3.5714285714285712</v>
      </c>
      <c r="P14" s="15">
        <f t="shared" si="1"/>
        <v>57.857142857142854</v>
      </c>
      <c r="R14" s="1" t="s">
        <v>10</v>
      </c>
      <c r="S14" s="17">
        <f t="shared" ref="S14:AF14" si="6">SUM(C26:C29)</f>
        <v>5.8571428571428577</v>
      </c>
      <c r="T14" s="17">
        <f t="shared" si="6"/>
        <v>2.8571428571428568</v>
      </c>
      <c r="U14" s="17">
        <f t="shared" si="6"/>
        <v>1.4285714285714286</v>
      </c>
      <c r="V14" s="17">
        <f>SUM(F26:F29)</f>
        <v>1.2857142857142856</v>
      </c>
      <c r="W14" s="17">
        <f t="shared" si="6"/>
        <v>0</v>
      </c>
      <c r="X14" s="17">
        <f t="shared" si="6"/>
        <v>0.14285714285714285</v>
      </c>
      <c r="Y14" s="17">
        <f t="shared" si="6"/>
        <v>1.5714285714285712</v>
      </c>
      <c r="Z14" s="17">
        <f t="shared" si="6"/>
        <v>0.71428571428571419</v>
      </c>
      <c r="AA14" s="17">
        <f t="shared" si="6"/>
        <v>0.42857142857142855</v>
      </c>
      <c r="AB14" s="17">
        <f t="shared" si="6"/>
        <v>0</v>
      </c>
      <c r="AC14" s="17">
        <f t="shared" si="6"/>
        <v>165.71428571428572</v>
      </c>
      <c r="AD14" s="17">
        <f t="shared" si="6"/>
        <v>0</v>
      </c>
      <c r="AE14" s="31">
        <f t="shared" si="6"/>
        <v>14.285714285714285</v>
      </c>
      <c r="AF14" s="31">
        <f t="shared" si="6"/>
        <v>180</v>
      </c>
    </row>
    <row r="15" spans="2:32" ht="23.1" customHeight="1" x14ac:dyDescent="0.25">
      <c r="B15" s="23" t="s">
        <v>42</v>
      </c>
      <c r="C15" s="49">
        <f>'Avg Week Munyonyo-Kigo'!C15+'Avg Week Kigo-Munyonyo'!C15</f>
        <v>2.1428571428571428</v>
      </c>
      <c r="D15" s="49">
        <f>'Avg Week Munyonyo-Kigo'!D15+'Avg Week Kigo-Munyonyo'!D15</f>
        <v>0.42857142857142855</v>
      </c>
      <c r="E15" s="49">
        <f>'Avg Week Munyonyo-Kigo'!E15+'Avg Week Kigo-Munyonyo'!E15</f>
        <v>0.2857142857142857</v>
      </c>
      <c r="F15" s="49">
        <f>'Avg Week Munyonyo-Kigo'!F15+'Avg Week Kigo-Munyonyo'!F15</f>
        <v>0.14285714285714285</v>
      </c>
      <c r="G15" s="49">
        <f>'Avg Week Munyonyo-Kigo'!G15+'Avg Week Kigo-Munyonyo'!G15</f>
        <v>0</v>
      </c>
      <c r="H15" s="49">
        <f>'Avg Week Munyonyo-Kigo'!H15+'Avg Week Kigo-Munyonyo'!H15</f>
        <v>0</v>
      </c>
      <c r="I15" s="49">
        <f>'Avg Week Munyonyo-Kigo'!I15+'Avg Week Kigo-Munyonyo'!I15</f>
        <v>0.2857142857142857</v>
      </c>
      <c r="J15" s="49">
        <f>'Avg Week Munyonyo-Kigo'!J15+'Avg Week Kigo-Munyonyo'!J15</f>
        <v>0.14285714285714285</v>
      </c>
      <c r="K15" s="49">
        <f>'Avg Week Munyonyo-Kigo'!K15+'Avg Week Kigo-Munyonyo'!K15</f>
        <v>0.14285714285714285</v>
      </c>
      <c r="L15" s="49">
        <f>'Avg Week Munyonyo-Kigo'!L15+'Avg Week Kigo-Munyonyo'!L15</f>
        <v>0</v>
      </c>
      <c r="M15" s="49">
        <f>'Avg Week Munyonyo-Kigo'!M15+'Avg Week Kigo-Munyonyo'!M15</f>
        <v>47.142857142857139</v>
      </c>
      <c r="N15" s="49">
        <f>'Avg Week Munyonyo-Kigo'!N15+'Avg Week Kigo-Munyonyo'!N15</f>
        <v>0</v>
      </c>
      <c r="O15" s="15">
        <f t="shared" si="0"/>
        <v>3.5714285714285707</v>
      </c>
      <c r="P15" s="15">
        <f t="shared" si="1"/>
        <v>50.714285714285708</v>
      </c>
      <c r="R15" s="1" t="s">
        <v>11</v>
      </c>
      <c r="S15" s="17">
        <f t="shared" ref="S15:AF15" si="7">SUM(C30:C33)</f>
        <v>6.8571428571428577</v>
      </c>
      <c r="T15" s="17">
        <f t="shared" si="7"/>
        <v>4.4285714285714279</v>
      </c>
      <c r="U15" s="17">
        <f t="shared" si="7"/>
        <v>1.1428571428571428</v>
      </c>
      <c r="V15" s="17">
        <f t="shared" si="7"/>
        <v>1.5714285714285714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0.14285714285714285</v>
      </c>
      <c r="AA15" s="17">
        <f t="shared" si="7"/>
        <v>0.14285714285714285</v>
      </c>
      <c r="AB15" s="17">
        <f t="shared" si="7"/>
        <v>0.2857142857142857</v>
      </c>
      <c r="AC15" s="17">
        <f t="shared" si="7"/>
        <v>145.14285714285714</v>
      </c>
      <c r="AD15" s="17">
        <f t="shared" si="7"/>
        <v>0</v>
      </c>
      <c r="AE15" s="31">
        <f t="shared" si="7"/>
        <v>15.571428571428571</v>
      </c>
      <c r="AF15" s="31">
        <f t="shared" si="7"/>
        <v>160.71428571428572</v>
      </c>
    </row>
    <row r="16" spans="2:32" ht="23.1" customHeight="1" x14ac:dyDescent="0.25">
      <c r="B16" s="23" t="s">
        <v>43</v>
      </c>
      <c r="C16" s="49">
        <f>'Avg Week Munyonyo-Kigo'!C16+'Avg Week Kigo-Munyonyo'!C16</f>
        <v>1.1428571428571428</v>
      </c>
      <c r="D16" s="49">
        <f>'Avg Week Munyonyo-Kigo'!D16+'Avg Week Kigo-Munyonyo'!D16</f>
        <v>3</v>
      </c>
      <c r="E16" s="49">
        <f>'Avg Week Munyonyo-Kigo'!E16+'Avg Week Kigo-Munyonyo'!E16</f>
        <v>1</v>
      </c>
      <c r="F16" s="49">
        <f>'Avg Week Munyonyo-Kigo'!F16+'Avg Week Kigo-Munyonyo'!F16</f>
        <v>0.14285714285714285</v>
      </c>
      <c r="G16" s="49">
        <f>'Avg Week Munyonyo-Kigo'!G16+'Avg Week Kigo-Munyonyo'!G16</f>
        <v>0</v>
      </c>
      <c r="H16" s="49">
        <f>'Avg Week Munyonyo-Kigo'!H16+'Avg Week Kigo-Munyonyo'!H16</f>
        <v>0</v>
      </c>
      <c r="I16" s="49">
        <f>'Avg Week Munyonyo-Kigo'!I16+'Avg Week Kigo-Munyonyo'!I16</f>
        <v>0.5714285714285714</v>
      </c>
      <c r="J16" s="49">
        <f>'Avg Week Munyonyo-Kigo'!J16+'Avg Week Kigo-Munyonyo'!J16</f>
        <v>0</v>
      </c>
      <c r="K16" s="49">
        <f>'Avg Week Munyonyo-Kigo'!K16+'Avg Week Kigo-Munyonyo'!K16</f>
        <v>0</v>
      </c>
      <c r="L16" s="49">
        <f>'Avg Week Munyonyo-Kigo'!L16+'Avg Week Kigo-Munyonyo'!L16</f>
        <v>0</v>
      </c>
      <c r="M16" s="49">
        <f>'Avg Week Munyonyo-Kigo'!M16+'Avg Week Kigo-Munyonyo'!M16</f>
        <v>36.857142857142861</v>
      </c>
      <c r="N16" s="49">
        <f>'Avg Week Munyonyo-Kigo'!N16+'Avg Week Kigo-Munyonyo'!N16</f>
        <v>0</v>
      </c>
      <c r="O16" s="15">
        <f t="shared" si="0"/>
        <v>5.8571428571428568</v>
      </c>
      <c r="P16" s="15">
        <f t="shared" si="1"/>
        <v>42.714285714285715</v>
      </c>
      <c r="R16" s="1" t="s">
        <v>12</v>
      </c>
      <c r="S16" s="17">
        <f t="shared" ref="S16:AF16" si="8">SUM(C34:C37)</f>
        <v>8.2857142857142865</v>
      </c>
      <c r="T16" s="17">
        <f t="shared" si="8"/>
        <v>1.4285714285714284</v>
      </c>
      <c r="U16" s="17">
        <f t="shared" si="8"/>
        <v>2.4285714285714284</v>
      </c>
      <c r="V16" s="17">
        <f t="shared" si="8"/>
        <v>1.5714285714285712</v>
      </c>
      <c r="W16" s="17">
        <f t="shared" si="8"/>
        <v>0</v>
      </c>
      <c r="X16" s="17">
        <f t="shared" si="8"/>
        <v>0</v>
      </c>
      <c r="Y16" s="17">
        <f t="shared" si="8"/>
        <v>1.1428571428571428</v>
      </c>
      <c r="Z16" s="17">
        <f t="shared" si="8"/>
        <v>0.5714285714285714</v>
      </c>
      <c r="AA16" s="17">
        <f t="shared" si="8"/>
        <v>0.42857142857142855</v>
      </c>
      <c r="AB16" s="17">
        <f t="shared" si="8"/>
        <v>0</v>
      </c>
      <c r="AC16" s="17">
        <f t="shared" si="8"/>
        <v>110</v>
      </c>
      <c r="AD16" s="17">
        <f t="shared" si="8"/>
        <v>0</v>
      </c>
      <c r="AE16" s="31">
        <f t="shared" si="8"/>
        <v>15.857142857142856</v>
      </c>
      <c r="AF16" s="31">
        <f t="shared" si="8"/>
        <v>125.85714285714286</v>
      </c>
    </row>
    <row r="17" spans="2:32" ht="23.1" customHeight="1" x14ac:dyDescent="0.25">
      <c r="B17" s="23" t="s">
        <v>44</v>
      </c>
      <c r="C17" s="49">
        <f>'Avg Week Munyonyo-Kigo'!C17+'Avg Week Kigo-Munyonyo'!C17</f>
        <v>1.8571428571428572</v>
      </c>
      <c r="D17" s="49">
        <f>'Avg Week Munyonyo-Kigo'!D17+'Avg Week Kigo-Munyonyo'!D17</f>
        <v>0.42857142857142855</v>
      </c>
      <c r="E17" s="49">
        <f>'Avg Week Munyonyo-Kigo'!E17+'Avg Week Kigo-Munyonyo'!E17</f>
        <v>0.42857142857142855</v>
      </c>
      <c r="F17" s="49">
        <f>'Avg Week Munyonyo-Kigo'!F17+'Avg Week Kigo-Munyonyo'!F17</f>
        <v>0</v>
      </c>
      <c r="G17" s="49">
        <f>'Avg Week Munyonyo-Kigo'!G17+'Avg Week Kigo-Munyonyo'!G17</f>
        <v>0</v>
      </c>
      <c r="H17" s="49">
        <f>'Avg Week Munyonyo-Kigo'!H17+'Avg Week Kigo-Munyonyo'!H17</f>
        <v>0</v>
      </c>
      <c r="I17" s="49">
        <f>'Avg Week Munyonyo-Kigo'!I17+'Avg Week Kigo-Munyonyo'!I17</f>
        <v>0</v>
      </c>
      <c r="J17" s="49">
        <f>'Avg Week Munyonyo-Kigo'!J17+'Avg Week Kigo-Munyonyo'!J17</f>
        <v>0</v>
      </c>
      <c r="K17" s="49">
        <f>'Avg Week Munyonyo-Kigo'!K17+'Avg Week Kigo-Munyonyo'!K17</f>
        <v>0</v>
      </c>
      <c r="L17" s="49">
        <f>'Avg Week Munyonyo-Kigo'!L17+'Avg Week Kigo-Munyonyo'!L17</f>
        <v>0.14285714285714285</v>
      </c>
      <c r="M17" s="49">
        <f>'Avg Week Munyonyo-Kigo'!M17+'Avg Week Kigo-Munyonyo'!M17</f>
        <v>39</v>
      </c>
      <c r="N17" s="49">
        <f>'Avg Week Munyonyo-Kigo'!N17+'Avg Week Kigo-Munyonyo'!N17</f>
        <v>0</v>
      </c>
      <c r="O17" s="15">
        <f t="shared" si="0"/>
        <v>2.8571428571428568</v>
      </c>
      <c r="P17" s="15">
        <f t="shared" si="1"/>
        <v>41.857142857142854</v>
      </c>
      <c r="R17" s="1" t="s">
        <v>13</v>
      </c>
      <c r="S17" s="17">
        <f t="shared" ref="S17:AF17" si="9">SUM(C38:C41)</f>
        <v>5.2857142857142847</v>
      </c>
      <c r="T17" s="17">
        <f t="shared" si="9"/>
        <v>1.857142857142857</v>
      </c>
      <c r="U17" s="17">
        <f t="shared" si="9"/>
        <v>1.7142857142857142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1.1428571428571428</v>
      </c>
      <c r="Z17" s="17">
        <f t="shared" si="9"/>
        <v>0.14285714285714285</v>
      </c>
      <c r="AA17" s="17">
        <f t="shared" si="9"/>
        <v>0.71428571428571419</v>
      </c>
      <c r="AB17" s="17">
        <f t="shared" si="9"/>
        <v>0</v>
      </c>
      <c r="AC17" s="17">
        <f t="shared" si="9"/>
        <v>129.71428571428569</v>
      </c>
      <c r="AD17" s="17">
        <f t="shared" si="9"/>
        <v>0</v>
      </c>
      <c r="AE17" s="31">
        <f t="shared" si="9"/>
        <v>11.857142857142856</v>
      </c>
      <c r="AF17" s="31">
        <f t="shared" si="9"/>
        <v>141.57142857142856</v>
      </c>
    </row>
    <row r="18" spans="2:32" ht="23.1" customHeight="1" x14ac:dyDescent="0.25">
      <c r="B18" s="23" t="s">
        <v>45</v>
      </c>
      <c r="C18" s="49">
        <f>'Avg Week Munyonyo-Kigo'!C18+'Avg Week Kigo-Munyonyo'!C18</f>
        <v>1</v>
      </c>
      <c r="D18" s="49">
        <f>'Avg Week Munyonyo-Kigo'!D18+'Avg Week Kigo-Munyonyo'!D18</f>
        <v>0.2857142857142857</v>
      </c>
      <c r="E18" s="49">
        <f>'Avg Week Munyonyo-Kigo'!E18+'Avg Week Kigo-Munyonyo'!E18</f>
        <v>0.2857142857142857</v>
      </c>
      <c r="F18" s="49">
        <f>'Avg Week Munyonyo-Kigo'!F18+'Avg Week Kigo-Munyonyo'!F18</f>
        <v>0.14285714285714285</v>
      </c>
      <c r="G18" s="49">
        <f>'Avg Week Munyonyo-Kigo'!G18+'Avg Week Kigo-Munyonyo'!G18</f>
        <v>0</v>
      </c>
      <c r="H18" s="49">
        <f>'Avg Week Munyonyo-Kigo'!H18+'Avg Week Kigo-Munyonyo'!H18</f>
        <v>0</v>
      </c>
      <c r="I18" s="49">
        <f>'Avg Week Munyonyo-Kigo'!I18+'Avg Week Kigo-Munyonyo'!I18</f>
        <v>0.5714285714285714</v>
      </c>
      <c r="J18" s="49">
        <f>'Avg Week Munyonyo-Kigo'!J18+'Avg Week Kigo-Munyonyo'!J18</f>
        <v>0</v>
      </c>
      <c r="K18" s="49">
        <f>'Avg Week Munyonyo-Kigo'!K18+'Avg Week Kigo-Munyonyo'!K18</f>
        <v>0</v>
      </c>
      <c r="L18" s="49">
        <f>'Avg Week Munyonyo-Kigo'!L18+'Avg Week Kigo-Munyonyo'!L18</f>
        <v>0</v>
      </c>
      <c r="M18" s="49">
        <f>'Avg Week Munyonyo-Kigo'!M18+'Avg Week Kigo-Munyonyo'!M18</f>
        <v>40.285714285714285</v>
      </c>
      <c r="N18" s="49">
        <f>'Avg Week Munyonyo-Kigo'!N18+'Avg Week Kigo-Munyonyo'!N18</f>
        <v>0</v>
      </c>
      <c r="O18" s="15">
        <f t="shared" si="0"/>
        <v>2.2857142857142856</v>
      </c>
      <c r="P18" s="15">
        <f t="shared" si="1"/>
        <v>42.571428571428569</v>
      </c>
      <c r="R18" s="1" t="s">
        <v>14</v>
      </c>
      <c r="S18" s="17">
        <f t="shared" ref="S18:AF18" si="10">SUM(C42:C45)</f>
        <v>9.2857142857142847</v>
      </c>
      <c r="T18" s="17">
        <f t="shared" si="10"/>
        <v>3.1428571428571428</v>
      </c>
      <c r="U18" s="17">
        <f t="shared" si="10"/>
        <v>1.8571428571428568</v>
      </c>
      <c r="V18" s="17">
        <f t="shared" si="10"/>
        <v>2.2857142857142856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0.99999999999999989</v>
      </c>
      <c r="AB18" s="17">
        <f t="shared" si="10"/>
        <v>0</v>
      </c>
      <c r="AC18" s="17">
        <f t="shared" si="10"/>
        <v>123.42857142857142</v>
      </c>
      <c r="AD18" s="17">
        <f t="shared" si="10"/>
        <v>0</v>
      </c>
      <c r="AE18" s="31">
        <f t="shared" si="10"/>
        <v>19.571428571428573</v>
      </c>
      <c r="AF18" s="31">
        <f t="shared" si="10"/>
        <v>143</v>
      </c>
    </row>
    <row r="19" spans="2:32" ht="23.1" customHeight="1" x14ac:dyDescent="0.25">
      <c r="B19" s="23" t="s">
        <v>46</v>
      </c>
      <c r="C19" s="49">
        <f>'Avg Week Munyonyo-Kigo'!C19+'Avg Week Kigo-Munyonyo'!C19</f>
        <v>1.5714285714285714</v>
      </c>
      <c r="D19" s="49">
        <f>'Avg Week Munyonyo-Kigo'!D19+'Avg Week Kigo-Munyonyo'!D19</f>
        <v>0.42857142857142855</v>
      </c>
      <c r="E19" s="49">
        <f>'Avg Week Munyonyo-Kigo'!E19+'Avg Week Kigo-Munyonyo'!E19</f>
        <v>0.5714285714285714</v>
      </c>
      <c r="F19" s="49">
        <f>'Avg Week Munyonyo-Kigo'!F19+'Avg Week Kigo-Munyonyo'!F19</f>
        <v>0.14285714285714285</v>
      </c>
      <c r="G19" s="49">
        <f>'Avg Week Munyonyo-Kigo'!G19+'Avg Week Kigo-Munyonyo'!G19</f>
        <v>0</v>
      </c>
      <c r="H19" s="49">
        <f>'Avg Week Munyonyo-Kigo'!H19+'Avg Week Kigo-Munyonyo'!H19</f>
        <v>0</v>
      </c>
      <c r="I19" s="49">
        <f>'Avg Week Munyonyo-Kigo'!I19+'Avg Week Kigo-Munyonyo'!I19</f>
        <v>0.42857142857142855</v>
      </c>
      <c r="J19" s="49">
        <f>'Avg Week Munyonyo-Kigo'!J19+'Avg Week Kigo-Munyonyo'!J19</f>
        <v>0.14285714285714285</v>
      </c>
      <c r="K19" s="49">
        <f>'Avg Week Munyonyo-Kigo'!K19+'Avg Week Kigo-Munyonyo'!K19</f>
        <v>0</v>
      </c>
      <c r="L19" s="49">
        <f>'Avg Week Munyonyo-Kigo'!L19+'Avg Week Kigo-Munyonyo'!L19</f>
        <v>0</v>
      </c>
      <c r="M19" s="49">
        <f>'Avg Week Munyonyo-Kigo'!M19+'Avg Week Kigo-Munyonyo'!M19</f>
        <v>44.142857142857139</v>
      </c>
      <c r="N19" s="49">
        <f>'Avg Week Munyonyo-Kigo'!N19+'Avg Week Kigo-Munyonyo'!N19</f>
        <v>0</v>
      </c>
      <c r="O19" s="15">
        <f t="shared" si="0"/>
        <v>3.2857142857142851</v>
      </c>
      <c r="P19" s="15">
        <f t="shared" si="1"/>
        <v>47.428571428571423</v>
      </c>
      <c r="R19" s="1" t="s">
        <v>15</v>
      </c>
      <c r="S19" s="17">
        <f t="shared" ref="S19:AF19" si="11">SUM(C46:C49)</f>
        <v>10.571428571428571</v>
      </c>
      <c r="T19" s="17">
        <f t="shared" si="11"/>
        <v>5.9999999999999991</v>
      </c>
      <c r="U19" s="17">
        <f t="shared" si="11"/>
        <v>2.7142857142857144</v>
      </c>
      <c r="V19" s="17">
        <f t="shared" si="11"/>
        <v>2.7142857142857144</v>
      </c>
      <c r="W19" s="17">
        <f t="shared" si="11"/>
        <v>0</v>
      </c>
      <c r="X19" s="17">
        <f t="shared" si="11"/>
        <v>0</v>
      </c>
      <c r="Y19" s="17">
        <f t="shared" si="11"/>
        <v>1.857142857142857</v>
      </c>
      <c r="Z19" s="17">
        <f t="shared" si="11"/>
        <v>0.2857142857142857</v>
      </c>
      <c r="AA19" s="17">
        <f t="shared" si="11"/>
        <v>0.85714285714285721</v>
      </c>
      <c r="AB19" s="17">
        <f t="shared" si="11"/>
        <v>0</v>
      </c>
      <c r="AC19" s="17">
        <f t="shared" si="11"/>
        <v>152.42857142857144</v>
      </c>
      <c r="AD19" s="17">
        <f t="shared" si="11"/>
        <v>0</v>
      </c>
      <c r="AE19" s="31">
        <f t="shared" si="11"/>
        <v>25</v>
      </c>
      <c r="AF19" s="31">
        <f t="shared" si="11"/>
        <v>177.42857142857142</v>
      </c>
    </row>
    <row r="20" spans="2:32" ht="23.1" customHeight="1" x14ac:dyDescent="0.25">
      <c r="B20" s="23" t="s">
        <v>47</v>
      </c>
      <c r="C20" s="49">
        <f>'Avg Week Munyonyo-Kigo'!C20+'Avg Week Kigo-Munyonyo'!C20</f>
        <v>2.2857142857142856</v>
      </c>
      <c r="D20" s="49">
        <f>'Avg Week Munyonyo-Kigo'!D20+'Avg Week Kigo-Munyonyo'!D20</f>
        <v>1.5714285714285714</v>
      </c>
      <c r="E20" s="49">
        <f>'Avg Week Munyonyo-Kigo'!E20+'Avg Week Kigo-Munyonyo'!E20</f>
        <v>0.5714285714285714</v>
      </c>
      <c r="F20" s="49">
        <f>'Avg Week Munyonyo-Kigo'!F20+'Avg Week Kigo-Munyonyo'!F20</f>
        <v>0.14285714285714285</v>
      </c>
      <c r="G20" s="49">
        <f>'Avg Week Munyonyo-Kigo'!G20+'Avg Week Kigo-Munyonyo'!G20</f>
        <v>0</v>
      </c>
      <c r="H20" s="49">
        <f>'Avg Week Munyonyo-Kigo'!H20+'Avg Week Kigo-Munyonyo'!H20</f>
        <v>0.14285714285714285</v>
      </c>
      <c r="I20" s="49">
        <f>'Avg Week Munyonyo-Kigo'!I20+'Avg Week Kigo-Munyonyo'!I20</f>
        <v>0.42857142857142855</v>
      </c>
      <c r="J20" s="49">
        <f>'Avg Week Munyonyo-Kigo'!J20+'Avg Week Kigo-Munyonyo'!J20</f>
        <v>0</v>
      </c>
      <c r="K20" s="49">
        <f>'Avg Week Munyonyo-Kigo'!K20+'Avg Week Kigo-Munyonyo'!K20</f>
        <v>0</v>
      </c>
      <c r="L20" s="49">
        <f>'Avg Week Munyonyo-Kigo'!L20+'Avg Week Kigo-Munyonyo'!L20</f>
        <v>0.14285714285714285</v>
      </c>
      <c r="M20" s="49">
        <f>'Avg Week Munyonyo-Kigo'!M20+'Avg Week Kigo-Munyonyo'!M20</f>
        <v>38</v>
      </c>
      <c r="N20" s="49">
        <f>'Avg Week Munyonyo-Kigo'!N20+'Avg Week Kigo-Munyonyo'!N20</f>
        <v>0</v>
      </c>
      <c r="O20" s="15">
        <f t="shared" si="0"/>
        <v>5.2857142857142865</v>
      </c>
      <c r="P20" s="15">
        <f t="shared" si="1"/>
        <v>43.285714285714285</v>
      </c>
      <c r="R20" s="1" t="s">
        <v>16</v>
      </c>
      <c r="S20" s="17">
        <f t="shared" ref="S20:AF20" si="12">SUM(C50:C53)</f>
        <v>14</v>
      </c>
      <c r="T20" s="17">
        <f t="shared" si="12"/>
        <v>3.1428571428571423</v>
      </c>
      <c r="U20" s="17">
        <f t="shared" si="12"/>
        <v>2</v>
      </c>
      <c r="V20" s="17">
        <f t="shared" si="12"/>
        <v>5.2857142857142856</v>
      </c>
      <c r="W20" s="17">
        <f t="shared" si="12"/>
        <v>0</v>
      </c>
      <c r="X20" s="17">
        <f t="shared" si="12"/>
        <v>0</v>
      </c>
      <c r="Y20" s="17">
        <f t="shared" si="12"/>
        <v>1.1428571428571428</v>
      </c>
      <c r="Z20" s="17">
        <f t="shared" si="12"/>
        <v>0.14285714285714285</v>
      </c>
      <c r="AA20" s="17">
        <f t="shared" si="12"/>
        <v>0</v>
      </c>
      <c r="AB20" s="17">
        <f t="shared" si="12"/>
        <v>0</v>
      </c>
      <c r="AC20" s="17">
        <f t="shared" si="12"/>
        <v>162.14285714285714</v>
      </c>
      <c r="AD20" s="17">
        <f t="shared" si="12"/>
        <v>0</v>
      </c>
      <c r="AE20" s="31">
        <f t="shared" si="12"/>
        <v>25.714285714285715</v>
      </c>
      <c r="AF20" s="31">
        <f t="shared" si="12"/>
        <v>187.85714285714286</v>
      </c>
    </row>
    <row r="21" spans="2:32" ht="23.1" customHeight="1" x14ac:dyDescent="0.25">
      <c r="B21" s="23" t="s">
        <v>48</v>
      </c>
      <c r="C21" s="49">
        <f>'Avg Week Munyonyo-Kigo'!C21+'Avg Week Kigo-Munyonyo'!C21</f>
        <v>1</v>
      </c>
      <c r="D21" s="49">
        <f>'Avg Week Munyonyo-Kigo'!D21+'Avg Week Kigo-Munyonyo'!D21</f>
        <v>1.2857142857142856</v>
      </c>
      <c r="E21" s="49">
        <f>'Avg Week Munyonyo-Kigo'!E21+'Avg Week Kigo-Munyonyo'!E21</f>
        <v>0.14285714285714285</v>
      </c>
      <c r="F21" s="49">
        <f>'Avg Week Munyonyo-Kigo'!F21+'Avg Week Kigo-Munyonyo'!F21</f>
        <v>0</v>
      </c>
      <c r="G21" s="49">
        <f>'Avg Week Munyonyo-Kigo'!G21+'Avg Week Kigo-Munyonyo'!G21</f>
        <v>0</v>
      </c>
      <c r="H21" s="49">
        <f>'Avg Week Munyonyo-Kigo'!H21+'Avg Week Kigo-Munyonyo'!H21</f>
        <v>0</v>
      </c>
      <c r="I21" s="49">
        <f>'Avg Week Munyonyo-Kigo'!I21+'Avg Week Kigo-Munyonyo'!I21</f>
        <v>0.2857142857142857</v>
      </c>
      <c r="J21" s="49">
        <f>'Avg Week Munyonyo-Kigo'!J21+'Avg Week Kigo-Munyonyo'!J21</f>
        <v>0</v>
      </c>
      <c r="K21" s="49">
        <f>'Avg Week Munyonyo-Kigo'!K21+'Avg Week Kigo-Munyonyo'!K21</f>
        <v>0</v>
      </c>
      <c r="L21" s="49">
        <f>'Avg Week Munyonyo-Kigo'!L21+'Avg Week Kigo-Munyonyo'!L21</f>
        <v>0.14285714285714285</v>
      </c>
      <c r="M21" s="49">
        <f>'Avg Week Munyonyo-Kigo'!M21+'Avg Week Kigo-Munyonyo'!M21</f>
        <v>36</v>
      </c>
      <c r="N21" s="49">
        <f>'Avg Week Munyonyo-Kigo'!N21+'Avg Week Kigo-Munyonyo'!N21</f>
        <v>0</v>
      </c>
      <c r="O21" s="15">
        <f t="shared" si="0"/>
        <v>2.8571428571428568</v>
      </c>
      <c r="P21" s="15">
        <f t="shared" si="1"/>
        <v>38.857142857142854</v>
      </c>
      <c r="R21" s="36" t="s">
        <v>20</v>
      </c>
      <c r="S21" s="34">
        <f t="shared" ref="S21:AF21" si="13">SUM(C54:C57)</f>
        <v>13.142857142857142</v>
      </c>
      <c r="T21" s="17">
        <f t="shared" si="13"/>
        <v>3.4285714285714279</v>
      </c>
      <c r="U21" s="17">
        <f t="shared" si="13"/>
        <v>2.7142857142857135</v>
      </c>
      <c r="V21" s="17">
        <f t="shared" si="13"/>
        <v>3.1428571428571423</v>
      </c>
      <c r="W21" s="17">
        <f t="shared" si="13"/>
        <v>0</v>
      </c>
      <c r="X21" s="17">
        <f t="shared" si="13"/>
        <v>0</v>
      </c>
      <c r="Y21" s="17">
        <f t="shared" si="13"/>
        <v>3.1428571428571428</v>
      </c>
      <c r="Z21" s="17">
        <f t="shared" si="13"/>
        <v>0.42857142857142855</v>
      </c>
      <c r="AA21" s="17">
        <f t="shared" si="13"/>
        <v>0</v>
      </c>
      <c r="AB21" s="17">
        <f t="shared" si="13"/>
        <v>0</v>
      </c>
      <c r="AC21" s="17">
        <f t="shared" si="13"/>
        <v>183.14285714285714</v>
      </c>
      <c r="AD21" s="17">
        <f t="shared" si="13"/>
        <v>0</v>
      </c>
      <c r="AE21" s="31">
        <f t="shared" si="13"/>
        <v>26</v>
      </c>
      <c r="AF21" s="31">
        <f t="shared" si="13"/>
        <v>209.14285714285717</v>
      </c>
    </row>
    <row r="22" spans="2:32" ht="23.1" customHeight="1" x14ac:dyDescent="0.25">
      <c r="B22" s="23" t="s">
        <v>49</v>
      </c>
      <c r="C22" s="49">
        <f>'Avg Week Munyonyo-Kigo'!C22+'Avg Week Kigo-Munyonyo'!C22</f>
        <v>3.2857142857142856</v>
      </c>
      <c r="D22" s="49">
        <f>'Avg Week Munyonyo-Kigo'!D22+'Avg Week Kigo-Munyonyo'!D22</f>
        <v>1</v>
      </c>
      <c r="E22" s="49">
        <f>'Avg Week Munyonyo-Kigo'!E22+'Avg Week Kigo-Munyonyo'!E22</f>
        <v>0.42857142857142855</v>
      </c>
      <c r="F22" s="49">
        <f>'Avg Week Munyonyo-Kigo'!F22+'Avg Week Kigo-Munyonyo'!F22</f>
        <v>0.14285714285714285</v>
      </c>
      <c r="G22" s="49">
        <f>'Avg Week Munyonyo-Kigo'!G22+'Avg Week Kigo-Munyonyo'!G22</f>
        <v>0</v>
      </c>
      <c r="H22" s="49">
        <f>'Avg Week Munyonyo-Kigo'!H22+'Avg Week Kigo-Munyonyo'!H22</f>
        <v>0</v>
      </c>
      <c r="I22" s="49">
        <f>'Avg Week Munyonyo-Kigo'!I22+'Avg Week Kigo-Munyonyo'!I22</f>
        <v>0.2857142857142857</v>
      </c>
      <c r="J22" s="49">
        <f>'Avg Week Munyonyo-Kigo'!J22+'Avg Week Kigo-Munyonyo'!J22</f>
        <v>0.14285714285714285</v>
      </c>
      <c r="K22" s="49">
        <f>'Avg Week Munyonyo-Kigo'!K22+'Avg Week Kigo-Munyonyo'!K22</f>
        <v>0</v>
      </c>
      <c r="L22" s="49">
        <f>'Avg Week Munyonyo-Kigo'!L22+'Avg Week Kigo-Munyonyo'!L22</f>
        <v>0</v>
      </c>
      <c r="M22" s="49">
        <f>'Avg Week Munyonyo-Kigo'!M22+'Avg Week Kigo-Munyonyo'!M22</f>
        <v>36.142857142857139</v>
      </c>
      <c r="N22" s="49">
        <f>'Avg Week Munyonyo-Kigo'!N22+'Avg Week Kigo-Munyonyo'!N22</f>
        <v>0</v>
      </c>
      <c r="O22" s="15">
        <f t="shared" si="0"/>
        <v>5.2857142857142865</v>
      </c>
      <c r="P22" s="15">
        <f t="shared" si="1"/>
        <v>41.428571428571423</v>
      </c>
      <c r="R22" s="1" t="s">
        <v>146</v>
      </c>
      <c r="S22" s="34">
        <f>SUM(C58:C61)</f>
        <v>11.5</v>
      </c>
      <c r="T22" s="34">
        <f t="shared" ref="T22:AF22" si="14">SUM(D58:D61)</f>
        <v>4</v>
      </c>
      <c r="U22" s="34">
        <f t="shared" si="14"/>
        <v>2.5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0.5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229</v>
      </c>
      <c r="AD22" s="34">
        <f t="shared" si="14"/>
        <v>0</v>
      </c>
      <c r="AE22" s="31">
        <f t="shared" si="14"/>
        <v>19.5</v>
      </c>
      <c r="AF22" s="31">
        <f t="shared" si="14"/>
        <v>248.5</v>
      </c>
    </row>
    <row r="23" spans="2:32" ht="23.1" customHeight="1" x14ac:dyDescent="0.25">
      <c r="B23" s="23" t="s">
        <v>50</v>
      </c>
      <c r="C23" s="49">
        <f>'Avg Week Munyonyo-Kigo'!C23+'Avg Week Kigo-Munyonyo'!C23</f>
        <v>1.2857142857142856</v>
      </c>
      <c r="D23" s="49">
        <f>'Avg Week Munyonyo-Kigo'!D23+'Avg Week Kigo-Munyonyo'!D23</f>
        <v>0.2857142857142857</v>
      </c>
      <c r="E23" s="49">
        <f>'Avg Week Munyonyo-Kigo'!E23+'Avg Week Kigo-Munyonyo'!E23</f>
        <v>0.42857142857142855</v>
      </c>
      <c r="F23" s="49">
        <f>'Avg Week Munyonyo-Kigo'!F23+'Avg Week Kigo-Munyonyo'!F23</f>
        <v>0</v>
      </c>
      <c r="G23" s="49">
        <f>'Avg Week Munyonyo-Kigo'!G23+'Avg Week Kigo-Munyonyo'!G23</f>
        <v>0</v>
      </c>
      <c r="H23" s="49">
        <f>'Avg Week Munyonyo-Kigo'!H23+'Avg Week Kigo-Munyonyo'!H23</f>
        <v>0</v>
      </c>
      <c r="I23" s="49">
        <f>'Avg Week Munyonyo-Kigo'!I23+'Avg Week Kigo-Munyonyo'!I23</f>
        <v>0.2857142857142857</v>
      </c>
      <c r="J23" s="49">
        <f>'Avg Week Munyonyo-Kigo'!J23+'Avg Week Kigo-Munyonyo'!J23</f>
        <v>0</v>
      </c>
      <c r="K23" s="49">
        <f>'Avg Week Munyonyo-Kigo'!K23+'Avg Week Kigo-Munyonyo'!K23</f>
        <v>0.14285714285714285</v>
      </c>
      <c r="L23" s="49">
        <f>'Avg Week Munyonyo-Kigo'!L23+'Avg Week Kigo-Munyonyo'!L23</f>
        <v>0.14285714285714285</v>
      </c>
      <c r="M23" s="49">
        <f>'Avg Week Munyonyo-Kigo'!M23+'Avg Week Kigo-Munyonyo'!M23</f>
        <v>37</v>
      </c>
      <c r="N23" s="49">
        <f>'Avg Week Munyonyo-Kigo'!N23+'Avg Week Kigo-Munyonyo'!N23</f>
        <v>0</v>
      </c>
      <c r="O23" s="15">
        <f t="shared" si="0"/>
        <v>2.5714285714285712</v>
      </c>
      <c r="P23" s="15">
        <f t="shared" si="1"/>
        <v>39.571428571428569</v>
      </c>
      <c r="R23" s="1" t="s">
        <v>147</v>
      </c>
      <c r="S23" s="34">
        <f>SUM(C62:C65)</f>
        <v>20.5</v>
      </c>
      <c r="T23" s="34">
        <f t="shared" ref="T23:AF23" si="15">SUM(D62:D65)</f>
        <v>3</v>
      </c>
      <c r="U23" s="34">
        <f t="shared" si="15"/>
        <v>4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0.5</v>
      </c>
      <c r="AA23" s="34">
        <f t="shared" si="15"/>
        <v>0</v>
      </c>
      <c r="AB23" s="34">
        <f t="shared" si="15"/>
        <v>0</v>
      </c>
      <c r="AC23" s="34">
        <f t="shared" si="15"/>
        <v>211.5</v>
      </c>
      <c r="AD23" s="34">
        <f t="shared" si="15"/>
        <v>0</v>
      </c>
      <c r="AE23" s="31">
        <f t="shared" si="15"/>
        <v>33</v>
      </c>
      <c r="AF23" s="31">
        <f t="shared" si="15"/>
        <v>244.5</v>
      </c>
    </row>
    <row r="24" spans="2:32" ht="23.1" customHeight="1" x14ac:dyDescent="0.25">
      <c r="B24" s="23" t="s">
        <v>51</v>
      </c>
      <c r="C24" s="49">
        <f>'Avg Week Munyonyo-Kigo'!C24+'Avg Week Kigo-Munyonyo'!C24</f>
        <v>1.4285714285714286</v>
      </c>
      <c r="D24" s="49">
        <f>'Avg Week Munyonyo-Kigo'!D24+'Avg Week Kigo-Munyonyo'!D24</f>
        <v>0.42857142857142855</v>
      </c>
      <c r="E24" s="49">
        <f>'Avg Week Munyonyo-Kigo'!E24+'Avg Week Kigo-Munyonyo'!E24</f>
        <v>0.2857142857142857</v>
      </c>
      <c r="F24" s="49">
        <f>'Avg Week Munyonyo-Kigo'!F24+'Avg Week Kigo-Munyonyo'!F24</f>
        <v>0.14285714285714285</v>
      </c>
      <c r="G24" s="49">
        <f>'Avg Week Munyonyo-Kigo'!G24+'Avg Week Kigo-Munyonyo'!G24</f>
        <v>0</v>
      </c>
      <c r="H24" s="49">
        <f>'Avg Week Munyonyo-Kigo'!H24+'Avg Week Kigo-Munyonyo'!H24</f>
        <v>0</v>
      </c>
      <c r="I24" s="49">
        <f>'Avg Week Munyonyo-Kigo'!I24+'Avg Week Kigo-Munyonyo'!I24</f>
        <v>0.14285714285714285</v>
      </c>
      <c r="J24" s="49">
        <f>'Avg Week Munyonyo-Kigo'!J24+'Avg Week Kigo-Munyonyo'!J24</f>
        <v>0</v>
      </c>
      <c r="K24" s="49">
        <f>'Avg Week Munyonyo-Kigo'!K24+'Avg Week Kigo-Munyonyo'!K24</f>
        <v>0</v>
      </c>
      <c r="L24" s="49">
        <f>'Avg Week Munyonyo-Kigo'!L24+'Avg Week Kigo-Munyonyo'!L24</f>
        <v>0</v>
      </c>
      <c r="M24" s="49">
        <f>'Avg Week Munyonyo-Kigo'!M24+'Avg Week Kigo-Munyonyo'!M24</f>
        <v>43.142857142857146</v>
      </c>
      <c r="N24" s="49">
        <f>'Avg Week Munyonyo-Kigo'!N24+'Avg Week Kigo-Munyonyo'!N24</f>
        <v>0.14285714285714285</v>
      </c>
      <c r="O24" s="15">
        <f t="shared" si="0"/>
        <v>2.5714285714285712</v>
      </c>
      <c r="P24" s="15">
        <f t="shared" si="1"/>
        <v>45.714285714285722</v>
      </c>
      <c r="R24" s="1" t="s">
        <v>148</v>
      </c>
      <c r="S24" s="34">
        <f>SUM(C66:C69)</f>
        <v>13.5</v>
      </c>
      <c r="T24" s="34">
        <f t="shared" ref="T24:AF24" si="16">SUM(D66:D69)</f>
        <v>5</v>
      </c>
      <c r="U24" s="34">
        <f t="shared" si="16"/>
        <v>3.5</v>
      </c>
      <c r="V24" s="34">
        <f t="shared" si="16"/>
        <v>2</v>
      </c>
      <c r="W24" s="34">
        <f t="shared" si="16"/>
        <v>0</v>
      </c>
      <c r="X24" s="34">
        <f t="shared" si="16"/>
        <v>0.5</v>
      </c>
      <c r="Y24" s="34">
        <f t="shared" si="16"/>
        <v>1</v>
      </c>
      <c r="Z24" s="34">
        <f t="shared" si="16"/>
        <v>0.5</v>
      </c>
      <c r="AA24" s="34">
        <f t="shared" si="16"/>
        <v>0</v>
      </c>
      <c r="AB24" s="34">
        <f t="shared" si="16"/>
        <v>0</v>
      </c>
      <c r="AC24" s="34">
        <f t="shared" si="16"/>
        <v>195.5</v>
      </c>
      <c r="AD24" s="34">
        <f t="shared" si="16"/>
        <v>0</v>
      </c>
      <c r="AE24" s="31">
        <f t="shared" si="16"/>
        <v>26</v>
      </c>
      <c r="AF24" s="31">
        <f t="shared" si="16"/>
        <v>221.5</v>
      </c>
    </row>
    <row r="25" spans="2:32" ht="23.1" customHeight="1" x14ac:dyDescent="0.25">
      <c r="B25" s="23" t="s">
        <v>52</v>
      </c>
      <c r="C25" s="49">
        <f>'Avg Week Munyonyo-Kigo'!C25+'Avg Week Kigo-Munyonyo'!C25</f>
        <v>2.5714285714285712</v>
      </c>
      <c r="D25" s="49">
        <f>'Avg Week Munyonyo-Kigo'!D25+'Avg Week Kigo-Munyonyo'!D25</f>
        <v>0</v>
      </c>
      <c r="E25" s="49">
        <f>'Avg Week Munyonyo-Kigo'!E25+'Avg Week Kigo-Munyonyo'!E25</f>
        <v>0.14285714285714285</v>
      </c>
      <c r="F25" s="49">
        <f>'Avg Week Munyonyo-Kigo'!F25+'Avg Week Kigo-Munyonyo'!F25</f>
        <v>0.14285714285714285</v>
      </c>
      <c r="G25" s="49">
        <f>'Avg Week Munyonyo-Kigo'!G25+'Avg Week Kigo-Munyonyo'!G25</f>
        <v>0</v>
      </c>
      <c r="H25" s="49">
        <f>'Avg Week Munyonyo-Kigo'!H25+'Avg Week Kigo-Munyonyo'!H25</f>
        <v>0</v>
      </c>
      <c r="I25" s="49">
        <f>'Avg Week Munyonyo-Kigo'!I25+'Avg Week Kigo-Munyonyo'!I25</f>
        <v>0.14285714285714285</v>
      </c>
      <c r="J25" s="49">
        <f>'Avg Week Munyonyo-Kigo'!J25+'Avg Week Kigo-Munyonyo'!J25</f>
        <v>0</v>
      </c>
      <c r="K25" s="49">
        <f>'Avg Week Munyonyo-Kigo'!K25+'Avg Week Kigo-Munyonyo'!K25</f>
        <v>0.2857142857142857</v>
      </c>
      <c r="L25" s="49">
        <f>'Avg Week Munyonyo-Kigo'!L25+'Avg Week Kigo-Munyonyo'!L25</f>
        <v>0</v>
      </c>
      <c r="M25" s="49">
        <f>'Avg Week Munyonyo-Kigo'!M25+'Avg Week Kigo-Munyonyo'!M25</f>
        <v>37.571428571428569</v>
      </c>
      <c r="N25" s="49">
        <f>'Avg Week Munyonyo-Kigo'!N25+'Avg Week Kigo-Munyonyo'!N25</f>
        <v>0</v>
      </c>
      <c r="O25" s="15">
        <f t="shared" si="0"/>
        <v>3.2857142857142851</v>
      </c>
      <c r="P25" s="15">
        <f t="shared" si="1"/>
        <v>40.857142857142854</v>
      </c>
      <c r="R25" s="1" t="s">
        <v>149</v>
      </c>
      <c r="S25" s="34">
        <f>SUM(C70:C73)</f>
        <v>21.5</v>
      </c>
      <c r="T25" s="34">
        <f t="shared" ref="T25:AF25" si="17">SUM(D70:D73)</f>
        <v>2</v>
      </c>
      <c r="U25" s="34">
        <f t="shared" si="17"/>
        <v>1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0.5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166.5</v>
      </c>
      <c r="AD25" s="34">
        <f t="shared" si="17"/>
        <v>0</v>
      </c>
      <c r="AE25" s="31">
        <f t="shared" si="17"/>
        <v>27</v>
      </c>
      <c r="AF25" s="31">
        <f t="shared" si="17"/>
        <v>193.5</v>
      </c>
    </row>
    <row r="26" spans="2:32" ht="23.1" customHeight="1" x14ac:dyDescent="0.25">
      <c r="B26" s="23" t="s">
        <v>53</v>
      </c>
      <c r="C26" s="49">
        <f>'Avg Week Munyonyo-Kigo'!C26+'Avg Week Kigo-Munyonyo'!C26</f>
        <v>2.2857142857142856</v>
      </c>
      <c r="D26" s="49">
        <f>'Avg Week Munyonyo-Kigo'!D26+'Avg Week Kigo-Munyonyo'!D26</f>
        <v>0.2857142857142857</v>
      </c>
      <c r="E26" s="49">
        <f>'Avg Week Munyonyo-Kigo'!E26+'Avg Week Kigo-Munyonyo'!E26</f>
        <v>0.14285714285714285</v>
      </c>
      <c r="F26" s="49">
        <f>'Avg Week Munyonyo-Kigo'!F26+'Avg Week Kigo-Munyonyo'!F26</f>
        <v>0.14285714285714285</v>
      </c>
      <c r="G26" s="49">
        <f>'Avg Week Munyonyo-Kigo'!G26+'Avg Week Kigo-Munyonyo'!G26</f>
        <v>0</v>
      </c>
      <c r="H26" s="49">
        <f>'Avg Week Munyonyo-Kigo'!H26+'Avg Week Kigo-Munyonyo'!H26</f>
        <v>0</v>
      </c>
      <c r="I26" s="49">
        <f>'Avg Week Munyonyo-Kigo'!I26+'Avg Week Kigo-Munyonyo'!I26</f>
        <v>0.8571428571428571</v>
      </c>
      <c r="J26" s="49">
        <f>'Avg Week Munyonyo-Kigo'!J26+'Avg Week Kigo-Munyonyo'!J26</f>
        <v>0.14285714285714285</v>
      </c>
      <c r="K26" s="49">
        <f>'Avg Week Munyonyo-Kigo'!K26+'Avg Week Kigo-Munyonyo'!K26</f>
        <v>0</v>
      </c>
      <c r="L26" s="49">
        <f>'Avg Week Munyonyo-Kigo'!L26+'Avg Week Kigo-Munyonyo'!L26</f>
        <v>0</v>
      </c>
      <c r="M26" s="49">
        <f>'Avg Week Munyonyo-Kigo'!M26+'Avg Week Kigo-Munyonyo'!M26</f>
        <v>42.285714285714285</v>
      </c>
      <c r="N26" s="49">
        <f>'Avg Week Munyonyo-Kigo'!N26+'Avg Week Kigo-Munyonyo'!N26</f>
        <v>0</v>
      </c>
      <c r="O26" s="15">
        <f t="shared" si="0"/>
        <v>3.8571428571428568</v>
      </c>
      <c r="P26" s="15">
        <f t="shared" si="1"/>
        <v>46.142857142857139</v>
      </c>
      <c r="R26" s="1" t="s">
        <v>150</v>
      </c>
      <c r="S26" s="34">
        <f>SUM(C74:C77)</f>
        <v>11.5</v>
      </c>
      <c r="T26" s="34">
        <f t="shared" ref="T26:AF26" si="18">SUM(D74:D77)</f>
        <v>2.5</v>
      </c>
      <c r="U26" s="34">
        <f t="shared" si="18"/>
        <v>1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117.5</v>
      </c>
      <c r="AD26" s="34">
        <f t="shared" si="18"/>
        <v>0</v>
      </c>
      <c r="AE26" s="31">
        <f t="shared" si="18"/>
        <v>16</v>
      </c>
      <c r="AF26" s="31">
        <f t="shared" si="18"/>
        <v>133.5</v>
      </c>
    </row>
    <row r="27" spans="2:32" ht="23.1" customHeight="1" x14ac:dyDescent="0.25">
      <c r="B27" s="23" t="s">
        <v>54</v>
      </c>
      <c r="C27" s="49">
        <f>'Avg Week Munyonyo-Kigo'!C27+'Avg Week Kigo-Munyonyo'!C27</f>
        <v>0.7142857142857143</v>
      </c>
      <c r="D27" s="49">
        <f>'Avg Week Munyonyo-Kigo'!D27+'Avg Week Kigo-Munyonyo'!D27</f>
        <v>0</v>
      </c>
      <c r="E27" s="49">
        <f>'Avg Week Munyonyo-Kigo'!E27+'Avg Week Kigo-Munyonyo'!E27</f>
        <v>0.42857142857142855</v>
      </c>
      <c r="F27" s="49">
        <f>'Avg Week Munyonyo-Kigo'!F27+'Avg Week Kigo-Munyonyo'!F27</f>
        <v>0.5714285714285714</v>
      </c>
      <c r="G27" s="49">
        <f>'Avg Week Munyonyo-Kigo'!G27+'Avg Week Kigo-Munyonyo'!G27</f>
        <v>0</v>
      </c>
      <c r="H27" s="49">
        <f>'Avg Week Munyonyo-Kigo'!H27+'Avg Week Kigo-Munyonyo'!H27</f>
        <v>0.14285714285714285</v>
      </c>
      <c r="I27" s="49">
        <f>'Avg Week Munyonyo-Kigo'!I27+'Avg Week Kigo-Munyonyo'!I27</f>
        <v>0.2857142857142857</v>
      </c>
      <c r="J27" s="49">
        <f>'Avg Week Munyonyo-Kigo'!J27+'Avg Week Kigo-Munyonyo'!J27</f>
        <v>0.2857142857142857</v>
      </c>
      <c r="K27" s="49">
        <f>'Avg Week Munyonyo-Kigo'!K27+'Avg Week Kigo-Munyonyo'!K27</f>
        <v>0</v>
      </c>
      <c r="L27" s="49">
        <f>'Avg Week Munyonyo-Kigo'!L27+'Avg Week Kigo-Munyonyo'!L27</f>
        <v>0</v>
      </c>
      <c r="M27" s="49">
        <f>'Avg Week Munyonyo-Kigo'!M27+'Avg Week Kigo-Munyonyo'!M27</f>
        <v>36.142857142857139</v>
      </c>
      <c r="N27" s="49">
        <f>'Avg Week Munyonyo-Kigo'!N27+'Avg Week Kigo-Munyonyo'!N27</f>
        <v>0</v>
      </c>
      <c r="O27" s="15">
        <f t="shared" si="0"/>
        <v>2.4285714285714284</v>
      </c>
      <c r="P27" s="15">
        <f t="shared" si="1"/>
        <v>38.571428571428569</v>
      </c>
      <c r="R27" s="1" t="s">
        <v>151</v>
      </c>
      <c r="S27" s="34">
        <f>SUM(C78:C81)</f>
        <v>2.5</v>
      </c>
      <c r="T27" s="34">
        <f t="shared" ref="T27:AF27" si="19">SUM(D78:D81)</f>
        <v>0</v>
      </c>
      <c r="U27" s="34">
        <f t="shared" si="19"/>
        <v>0.5</v>
      </c>
      <c r="V27" s="34">
        <f t="shared" si="19"/>
        <v>0.5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55.5</v>
      </c>
      <c r="AD27" s="34">
        <f t="shared" si="19"/>
        <v>0</v>
      </c>
      <c r="AE27" s="31">
        <f t="shared" si="19"/>
        <v>4</v>
      </c>
      <c r="AF27" s="31">
        <f t="shared" si="19"/>
        <v>59.5</v>
      </c>
    </row>
    <row r="28" spans="2:32" ht="23.1" customHeight="1" x14ac:dyDescent="0.25">
      <c r="B28" s="23" t="s">
        <v>55</v>
      </c>
      <c r="C28" s="49">
        <f>'Avg Week Munyonyo-Kigo'!C28+'Avg Week Kigo-Munyonyo'!C28</f>
        <v>1.8571428571428572</v>
      </c>
      <c r="D28" s="49">
        <f>'Avg Week Munyonyo-Kigo'!D28+'Avg Week Kigo-Munyonyo'!D28</f>
        <v>1.1428571428571428</v>
      </c>
      <c r="E28" s="49">
        <f>'Avg Week Munyonyo-Kigo'!E28+'Avg Week Kigo-Munyonyo'!E28</f>
        <v>0</v>
      </c>
      <c r="F28" s="49">
        <f>'Avg Week Munyonyo-Kigo'!F28+'Avg Week Kigo-Munyonyo'!F28</f>
        <v>0.14285714285714285</v>
      </c>
      <c r="G28" s="49">
        <f>'Avg Week Munyonyo-Kigo'!G28+'Avg Week Kigo-Munyonyo'!G28</f>
        <v>0</v>
      </c>
      <c r="H28" s="49">
        <f>'Avg Week Munyonyo-Kigo'!H28+'Avg Week Kigo-Munyonyo'!H28</f>
        <v>0</v>
      </c>
      <c r="I28" s="49">
        <f>'Avg Week Munyonyo-Kigo'!I28+'Avg Week Kigo-Munyonyo'!I28</f>
        <v>0.14285714285714285</v>
      </c>
      <c r="J28" s="49">
        <f>'Avg Week Munyonyo-Kigo'!J28+'Avg Week Kigo-Munyonyo'!J28</f>
        <v>0.14285714285714285</v>
      </c>
      <c r="K28" s="49">
        <f>'Avg Week Munyonyo-Kigo'!K28+'Avg Week Kigo-Munyonyo'!K28</f>
        <v>0.42857142857142855</v>
      </c>
      <c r="L28" s="49">
        <f>'Avg Week Munyonyo-Kigo'!L28+'Avg Week Kigo-Munyonyo'!L28</f>
        <v>0</v>
      </c>
      <c r="M28" s="49">
        <f>'Avg Week Munyonyo-Kigo'!M28+'Avg Week Kigo-Munyonyo'!M28</f>
        <v>43.857142857142854</v>
      </c>
      <c r="N28" s="49">
        <f>'Avg Week Munyonyo-Kigo'!N28+'Avg Week Kigo-Munyonyo'!N28</f>
        <v>0</v>
      </c>
      <c r="O28" s="15">
        <f t="shared" si="0"/>
        <v>3.8571428571428568</v>
      </c>
      <c r="P28" s="15">
        <f t="shared" si="1"/>
        <v>47.714285714285708</v>
      </c>
      <c r="R28" s="1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27</v>
      </c>
      <c r="AD28" s="34">
        <f t="shared" si="20"/>
        <v>0</v>
      </c>
      <c r="AE28" s="31">
        <f t="shared" si="20"/>
        <v>2.5</v>
      </c>
      <c r="AF28" s="31">
        <f t="shared" si="20"/>
        <v>29.5</v>
      </c>
    </row>
    <row r="29" spans="2:32" ht="23.1" customHeight="1" x14ac:dyDescent="0.25">
      <c r="B29" s="23" t="s">
        <v>56</v>
      </c>
      <c r="C29" s="49">
        <f>'Avg Week Munyonyo-Kigo'!C29+'Avg Week Kigo-Munyonyo'!C29</f>
        <v>1</v>
      </c>
      <c r="D29" s="49">
        <f>'Avg Week Munyonyo-Kigo'!D29+'Avg Week Kigo-Munyonyo'!D29</f>
        <v>1.4285714285714284</v>
      </c>
      <c r="E29" s="49">
        <f>'Avg Week Munyonyo-Kigo'!E29+'Avg Week Kigo-Munyonyo'!E29</f>
        <v>0.85714285714285721</v>
      </c>
      <c r="F29" s="49">
        <f>'Avg Week Munyonyo-Kigo'!F29+'Avg Week Kigo-Munyonyo'!F29</f>
        <v>0.42857142857142855</v>
      </c>
      <c r="G29" s="49">
        <f>'Avg Week Munyonyo-Kigo'!G29+'Avg Week Kigo-Munyonyo'!G29</f>
        <v>0</v>
      </c>
      <c r="H29" s="49">
        <f>'Avg Week Munyonyo-Kigo'!H29+'Avg Week Kigo-Munyonyo'!H29</f>
        <v>0</v>
      </c>
      <c r="I29" s="49">
        <f>'Avg Week Munyonyo-Kigo'!I29+'Avg Week Kigo-Munyonyo'!I29</f>
        <v>0.2857142857142857</v>
      </c>
      <c r="J29" s="49">
        <f>'Avg Week Munyonyo-Kigo'!J29+'Avg Week Kigo-Munyonyo'!J29</f>
        <v>0.14285714285714285</v>
      </c>
      <c r="K29" s="49">
        <f>'Avg Week Munyonyo-Kigo'!K29+'Avg Week Kigo-Munyonyo'!K29</f>
        <v>0</v>
      </c>
      <c r="L29" s="49">
        <f>'Avg Week Munyonyo-Kigo'!L29+'Avg Week Kigo-Munyonyo'!L29</f>
        <v>0</v>
      </c>
      <c r="M29" s="49">
        <f>'Avg Week Munyonyo-Kigo'!M29+'Avg Week Kigo-Munyonyo'!M29</f>
        <v>43.428571428571431</v>
      </c>
      <c r="N29" s="49">
        <f>'Avg Week Munyonyo-Kigo'!N29+'Avg Week Kigo-Munyonyo'!N29</f>
        <v>0</v>
      </c>
      <c r="O29" s="15">
        <f t="shared" si="0"/>
        <v>4.1428571428571423</v>
      </c>
      <c r="P29" s="15">
        <f t="shared" si="1"/>
        <v>47.571428571428569</v>
      </c>
      <c r="R29" s="1" t="s">
        <v>153</v>
      </c>
      <c r="S29" s="34">
        <f>SUM(C86:C89)</f>
        <v>1</v>
      </c>
      <c r="T29" s="34">
        <f t="shared" ref="T29:AF29" si="21">SUM(D86:D89)</f>
        <v>0.5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16</v>
      </c>
      <c r="AD29" s="34">
        <f t="shared" si="21"/>
        <v>0</v>
      </c>
      <c r="AE29" s="31">
        <f t="shared" si="21"/>
        <v>1.5</v>
      </c>
      <c r="AF29" s="31">
        <f t="shared" si="21"/>
        <v>17.5</v>
      </c>
    </row>
    <row r="30" spans="2:32" ht="23.1" customHeight="1" x14ac:dyDescent="0.25">
      <c r="B30" s="23" t="s">
        <v>57</v>
      </c>
      <c r="C30" s="49">
        <f>'Avg Week Munyonyo-Kigo'!C30+'Avg Week Kigo-Munyonyo'!C30</f>
        <v>1.8571428571428572</v>
      </c>
      <c r="D30" s="49">
        <f>'Avg Week Munyonyo-Kigo'!D30+'Avg Week Kigo-Munyonyo'!D30</f>
        <v>1.1428571428571428</v>
      </c>
      <c r="E30" s="49">
        <f>'Avg Week Munyonyo-Kigo'!E30+'Avg Week Kigo-Munyonyo'!E30</f>
        <v>0.14285714285714285</v>
      </c>
      <c r="F30" s="49">
        <f>'Avg Week Munyonyo-Kigo'!F30+'Avg Week Kigo-Munyonyo'!F30</f>
        <v>0</v>
      </c>
      <c r="G30" s="49">
        <f>'Avg Week Munyonyo-Kigo'!G30+'Avg Week Kigo-Munyonyo'!G30</f>
        <v>0</v>
      </c>
      <c r="H30" s="49">
        <f>'Avg Week Munyonyo-Kigo'!H30+'Avg Week Kigo-Munyonyo'!H30</f>
        <v>0</v>
      </c>
      <c r="I30" s="49">
        <f>'Avg Week Munyonyo-Kigo'!I30+'Avg Week Kigo-Munyonyo'!I30</f>
        <v>0.2857142857142857</v>
      </c>
      <c r="J30" s="49">
        <f>'Avg Week Munyonyo-Kigo'!J30+'Avg Week Kigo-Munyonyo'!J30</f>
        <v>0</v>
      </c>
      <c r="K30" s="49">
        <f>'Avg Week Munyonyo-Kigo'!K30+'Avg Week Kigo-Munyonyo'!K30</f>
        <v>0</v>
      </c>
      <c r="L30" s="49">
        <f>'Avg Week Munyonyo-Kigo'!L30+'Avg Week Kigo-Munyonyo'!L30</f>
        <v>0</v>
      </c>
      <c r="M30" s="49">
        <f>'Avg Week Munyonyo-Kigo'!M30+'Avg Week Kigo-Munyonyo'!M30</f>
        <v>37.285714285714285</v>
      </c>
      <c r="N30" s="49">
        <f>'Avg Week Munyonyo-Kigo'!N30+'Avg Week Kigo-Munyonyo'!N30</f>
        <v>0</v>
      </c>
      <c r="O30" s="15">
        <f t="shared" si="0"/>
        <v>3.4285714285714284</v>
      </c>
      <c r="P30" s="15">
        <f t="shared" si="1"/>
        <v>40.714285714285715</v>
      </c>
      <c r="R30" s="1" t="s">
        <v>154</v>
      </c>
      <c r="S30" s="34">
        <f>SUM(C90:C93)</f>
        <v>1.5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17.5</v>
      </c>
      <c r="AD30" s="34">
        <f t="shared" si="22"/>
        <v>0</v>
      </c>
      <c r="AE30" s="31">
        <f t="shared" si="22"/>
        <v>3</v>
      </c>
      <c r="AF30" s="31">
        <f t="shared" si="22"/>
        <v>20.5</v>
      </c>
    </row>
    <row r="31" spans="2:32" ht="23.1" customHeight="1" x14ac:dyDescent="0.25">
      <c r="B31" s="24" t="s">
        <v>58</v>
      </c>
      <c r="C31" s="49">
        <f>'Avg Week Munyonyo-Kigo'!C31+'Avg Week Kigo-Munyonyo'!C31</f>
        <v>1.8571428571428572</v>
      </c>
      <c r="D31" s="49">
        <f>'Avg Week Munyonyo-Kigo'!D31+'Avg Week Kigo-Munyonyo'!D31</f>
        <v>1</v>
      </c>
      <c r="E31" s="49">
        <f>'Avg Week Munyonyo-Kigo'!E31+'Avg Week Kigo-Munyonyo'!E31</f>
        <v>0.42857142857142855</v>
      </c>
      <c r="F31" s="49">
        <f>'Avg Week Munyonyo-Kigo'!F31+'Avg Week Kigo-Munyonyo'!F31</f>
        <v>0.5714285714285714</v>
      </c>
      <c r="G31" s="49">
        <f>'Avg Week Munyonyo-Kigo'!G31+'Avg Week Kigo-Munyonyo'!G31</f>
        <v>0</v>
      </c>
      <c r="H31" s="49">
        <f>'Avg Week Munyonyo-Kigo'!H31+'Avg Week Kigo-Munyonyo'!H31</f>
        <v>0</v>
      </c>
      <c r="I31" s="49">
        <f>'Avg Week Munyonyo-Kigo'!I31+'Avg Week Kigo-Munyonyo'!I31</f>
        <v>0.14285714285714285</v>
      </c>
      <c r="J31" s="49">
        <f>'Avg Week Munyonyo-Kigo'!J31+'Avg Week Kigo-Munyonyo'!J31</f>
        <v>0</v>
      </c>
      <c r="K31" s="49">
        <f>'Avg Week Munyonyo-Kigo'!K31+'Avg Week Kigo-Munyonyo'!K31</f>
        <v>0.14285714285714285</v>
      </c>
      <c r="L31" s="49">
        <f>'Avg Week Munyonyo-Kigo'!L31+'Avg Week Kigo-Munyonyo'!L31</f>
        <v>0.14285714285714285</v>
      </c>
      <c r="M31" s="49">
        <f>'Avg Week Munyonyo-Kigo'!M31+'Avg Week Kigo-Munyonyo'!M31</f>
        <v>35.714285714285715</v>
      </c>
      <c r="N31" s="49">
        <f>'Avg Week Munyonyo-Kigo'!N31+'Avg Week Kigo-Munyonyo'!N31</f>
        <v>0</v>
      </c>
      <c r="O31" s="15">
        <f t="shared" si="0"/>
        <v>4.2857142857142856</v>
      </c>
      <c r="P31" s="15">
        <f t="shared" si="1"/>
        <v>40</v>
      </c>
      <c r="R31" s="1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21</v>
      </c>
      <c r="AD31" s="34">
        <f t="shared" si="23"/>
        <v>0</v>
      </c>
      <c r="AE31" s="31">
        <f t="shared" si="23"/>
        <v>2.5</v>
      </c>
      <c r="AF31" s="31">
        <f t="shared" si="23"/>
        <v>23.5</v>
      </c>
    </row>
    <row r="32" spans="2:32" ht="23.1" customHeight="1" x14ac:dyDescent="0.25">
      <c r="B32" s="24" t="s">
        <v>59</v>
      </c>
      <c r="C32" s="49">
        <f>'Avg Week Munyonyo-Kigo'!C32+'Avg Week Kigo-Munyonyo'!C32</f>
        <v>1.5714285714285714</v>
      </c>
      <c r="D32" s="49">
        <f>'Avg Week Munyonyo-Kigo'!D32+'Avg Week Kigo-Munyonyo'!D32</f>
        <v>1.4285714285714284</v>
      </c>
      <c r="E32" s="49">
        <f>'Avg Week Munyonyo-Kigo'!E32+'Avg Week Kigo-Munyonyo'!E32</f>
        <v>0.42857142857142855</v>
      </c>
      <c r="F32" s="49">
        <f>'Avg Week Munyonyo-Kigo'!F32+'Avg Week Kigo-Munyonyo'!F32</f>
        <v>0.42857142857142855</v>
      </c>
      <c r="G32" s="49">
        <f>'Avg Week Munyonyo-Kigo'!G32+'Avg Week Kigo-Munyonyo'!G32</f>
        <v>0</v>
      </c>
      <c r="H32" s="49">
        <f>'Avg Week Munyonyo-Kigo'!H32+'Avg Week Kigo-Munyonyo'!H32</f>
        <v>0</v>
      </c>
      <c r="I32" s="49">
        <f>'Avg Week Munyonyo-Kigo'!I32+'Avg Week Kigo-Munyonyo'!I32</f>
        <v>0.5714285714285714</v>
      </c>
      <c r="J32" s="49">
        <f>'Avg Week Munyonyo-Kigo'!J32+'Avg Week Kigo-Munyonyo'!J32</f>
        <v>0.14285714285714285</v>
      </c>
      <c r="K32" s="49">
        <f>'Avg Week Munyonyo-Kigo'!K32+'Avg Week Kigo-Munyonyo'!K32</f>
        <v>0</v>
      </c>
      <c r="L32" s="49">
        <f>'Avg Week Munyonyo-Kigo'!L32+'Avg Week Kigo-Munyonyo'!L32</f>
        <v>0</v>
      </c>
      <c r="M32" s="49">
        <f>'Avg Week Munyonyo-Kigo'!M32+'Avg Week Kigo-Munyonyo'!M32</f>
        <v>40.428571428571431</v>
      </c>
      <c r="N32" s="49">
        <f>'Avg Week Munyonyo-Kigo'!N32+'Avg Week Kigo-Munyonyo'!N32</f>
        <v>0</v>
      </c>
      <c r="O32" s="15">
        <f t="shared" si="0"/>
        <v>4.5714285714285712</v>
      </c>
      <c r="P32" s="15">
        <f t="shared" si="1"/>
        <v>45</v>
      </c>
      <c r="R32" s="1" t="s">
        <v>156</v>
      </c>
      <c r="S32" s="34">
        <f>SUM(C98:C101)</f>
        <v>4.5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18</v>
      </c>
      <c r="AD32" s="34">
        <f t="shared" si="24"/>
        <v>0</v>
      </c>
      <c r="AE32" s="31">
        <f t="shared" si="24"/>
        <v>6.5</v>
      </c>
      <c r="AF32" s="31">
        <f t="shared" si="24"/>
        <v>24.5</v>
      </c>
    </row>
    <row r="33" spans="2:32" ht="23.1" customHeight="1" x14ac:dyDescent="0.25">
      <c r="B33" s="23" t="s">
        <v>60</v>
      </c>
      <c r="C33" s="49">
        <f>'Avg Week Munyonyo-Kigo'!C33+'Avg Week Kigo-Munyonyo'!C33</f>
        <v>1.5714285714285716</v>
      </c>
      <c r="D33" s="49">
        <f>'Avg Week Munyonyo-Kigo'!D33+'Avg Week Kigo-Munyonyo'!D33</f>
        <v>0.8571428571428571</v>
      </c>
      <c r="E33" s="49">
        <f>'Avg Week Munyonyo-Kigo'!E33+'Avg Week Kigo-Munyonyo'!E33</f>
        <v>0.14285714285714285</v>
      </c>
      <c r="F33" s="49">
        <f>'Avg Week Munyonyo-Kigo'!F33+'Avg Week Kigo-Munyonyo'!F33</f>
        <v>0.5714285714285714</v>
      </c>
      <c r="G33" s="49">
        <f>'Avg Week Munyonyo-Kigo'!G33+'Avg Week Kigo-Munyonyo'!G33</f>
        <v>0</v>
      </c>
      <c r="H33" s="49">
        <f>'Avg Week Munyonyo-Kigo'!H33+'Avg Week Kigo-Munyonyo'!H33</f>
        <v>0</v>
      </c>
      <c r="I33" s="49">
        <f>'Avg Week Munyonyo-Kigo'!I33+'Avg Week Kigo-Munyonyo'!I33</f>
        <v>0</v>
      </c>
      <c r="J33" s="49">
        <f>'Avg Week Munyonyo-Kigo'!J33+'Avg Week Kigo-Munyonyo'!J33</f>
        <v>0</v>
      </c>
      <c r="K33" s="49">
        <f>'Avg Week Munyonyo-Kigo'!K33+'Avg Week Kigo-Munyonyo'!K33</f>
        <v>0</v>
      </c>
      <c r="L33" s="49">
        <f>'Avg Week Munyonyo-Kigo'!L33+'Avg Week Kigo-Munyonyo'!L33</f>
        <v>0.14285714285714285</v>
      </c>
      <c r="M33" s="49">
        <f>'Avg Week Munyonyo-Kigo'!M33+'Avg Week Kigo-Munyonyo'!M33</f>
        <v>31.714285714285715</v>
      </c>
      <c r="N33" s="49">
        <f>'Avg Week Munyonyo-Kigo'!N33+'Avg Week Kigo-Munyonyo'!N33</f>
        <v>0</v>
      </c>
      <c r="O33" s="15">
        <f t="shared" si="0"/>
        <v>3.285714285714286</v>
      </c>
      <c r="P33" s="15">
        <f t="shared" si="1"/>
        <v>35</v>
      </c>
      <c r="R33" s="1" t="s">
        <v>157</v>
      </c>
      <c r="S33" s="34">
        <f>SUM(C102:C105)</f>
        <v>8</v>
      </c>
      <c r="T33" s="34">
        <f t="shared" ref="T33:AF33" si="25">SUM(D102:D105)</f>
        <v>1</v>
      </c>
      <c r="U33" s="34">
        <f t="shared" si="25"/>
        <v>0.5</v>
      </c>
      <c r="V33" s="34">
        <f t="shared" si="25"/>
        <v>3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0.5</v>
      </c>
      <c r="AA33" s="34">
        <f t="shared" si="25"/>
        <v>0</v>
      </c>
      <c r="AB33" s="34">
        <f t="shared" si="25"/>
        <v>0</v>
      </c>
      <c r="AC33" s="34">
        <f t="shared" si="25"/>
        <v>104</v>
      </c>
      <c r="AD33" s="34">
        <f t="shared" si="25"/>
        <v>0</v>
      </c>
      <c r="AE33" s="31">
        <f t="shared" si="25"/>
        <v>13</v>
      </c>
      <c r="AF33" s="31">
        <f t="shared" si="25"/>
        <v>117</v>
      </c>
    </row>
    <row r="34" spans="2:32" ht="23.1" customHeight="1" x14ac:dyDescent="0.25">
      <c r="B34" s="24" t="s">
        <v>61</v>
      </c>
      <c r="C34" s="49">
        <f>'Avg Week Munyonyo-Kigo'!C34+'Avg Week Kigo-Munyonyo'!C34</f>
        <v>1.5714285714285714</v>
      </c>
      <c r="D34" s="49">
        <f>'Avg Week Munyonyo-Kigo'!D34+'Avg Week Kigo-Munyonyo'!D34</f>
        <v>0.71428571428571419</v>
      </c>
      <c r="E34" s="49">
        <f>'Avg Week Munyonyo-Kigo'!E34+'Avg Week Kigo-Munyonyo'!E34</f>
        <v>0.5714285714285714</v>
      </c>
      <c r="F34" s="49">
        <f>'Avg Week Munyonyo-Kigo'!F34+'Avg Week Kigo-Munyonyo'!F34</f>
        <v>0.5714285714285714</v>
      </c>
      <c r="G34" s="49">
        <f>'Avg Week Munyonyo-Kigo'!G34+'Avg Week Kigo-Munyonyo'!G34</f>
        <v>0</v>
      </c>
      <c r="H34" s="49">
        <f>'Avg Week Munyonyo-Kigo'!H34+'Avg Week Kigo-Munyonyo'!H34</f>
        <v>0</v>
      </c>
      <c r="I34" s="49">
        <f>'Avg Week Munyonyo-Kigo'!I34+'Avg Week Kigo-Munyonyo'!I34</f>
        <v>0.2857142857142857</v>
      </c>
      <c r="J34" s="49">
        <f>'Avg Week Munyonyo-Kigo'!J34+'Avg Week Kigo-Munyonyo'!J34</f>
        <v>0.42857142857142855</v>
      </c>
      <c r="K34" s="49">
        <f>'Avg Week Munyonyo-Kigo'!K34+'Avg Week Kigo-Munyonyo'!K34</f>
        <v>0.14285714285714285</v>
      </c>
      <c r="L34" s="49">
        <f>'Avg Week Munyonyo-Kigo'!L34+'Avg Week Kigo-Munyonyo'!L34</f>
        <v>0</v>
      </c>
      <c r="M34" s="49">
        <f>'Avg Week Munyonyo-Kigo'!M34+'Avg Week Kigo-Munyonyo'!M34</f>
        <v>32.142857142857139</v>
      </c>
      <c r="N34" s="49">
        <f>'Avg Week Munyonyo-Kigo'!N34+'Avg Week Kigo-Munyonyo'!N34</f>
        <v>0</v>
      </c>
      <c r="O34" s="15">
        <f t="shared" si="0"/>
        <v>4.2857142857142856</v>
      </c>
      <c r="P34" s="15">
        <f t="shared" si="1"/>
        <v>36.428571428571423</v>
      </c>
      <c r="R34" s="51" t="s">
        <v>90</v>
      </c>
      <c r="S34" s="52">
        <f t="shared" ref="S34:AF34" si="26">MAX(S10:S12)</f>
        <v>8.4285714285714288</v>
      </c>
      <c r="T34" s="52">
        <f t="shared" si="26"/>
        <v>4.8571428571428568</v>
      </c>
      <c r="U34" s="52">
        <f t="shared" si="26"/>
        <v>1.8571428571428572</v>
      </c>
      <c r="V34" s="52">
        <f t="shared" si="26"/>
        <v>3.7142857142857135</v>
      </c>
      <c r="W34" s="52">
        <f t="shared" si="26"/>
        <v>0.2857142857142857</v>
      </c>
      <c r="X34" s="52">
        <f t="shared" si="26"/>
        <v>0.14285714285714285</v>
      </c>
      <c r="Y34" s="52">
        <f t="shared" si="26"/>
        <v>1.7142857142857144</v>
      </c>
      <c r="Z34" s="52">
        <f t="shared" si="26"/>
        <v>0.42857142857142855</v>
      </c>
      <c r="AA34" s="52">
        <f t="shared" si="26"/>
        <v>0.2857142857142857</v>
      </c>
      <c r="AB34" s="52">
        <f t="shared" si="26"/>
        <v>0.2857142857142857</v>
      </c>
      <c r="AC34" s="52">
        <f t="shared" si="26"/>
        <v>224</v>
      </c>
      <c r="AD34" s="52">
        <f t="shared" si="26"/>
        <v>0</v>
      </c>
      <c r="AE34" s="40">
        <f t="shared" si="26"/>
        <v>19.428571428571427</v>
      </c>
      <c r="AF34" s="40">
        <f t="shared" si="26"/>
        <v>243.42857142857142</v>
      </c>
    </row>
    <row r="35" spans="2:32" ht="23.1" customHeight="1" x14ac:dyDescent="0.25">
      <c r="B35" s="24" t="s">
        <v>62</v>
      </c>
      <c r="C35" s="49">
        <f>'Avg Week Munyonyo-Kigo'!C35+'Avg Week Kigo-Munyonyo'!C35</f>
        <v>1.8571428571428572</v>
      </c>
      <c r="D35" s="49">
        <f>'Avg Week Munyonyo-Kigo'!D35+'Avg Week Kigo-Munyonyo'!D35</f>
        <v>0.42857142857142855</v>
      </c>
      <c r="E35" s="49">
        <f>'Avg Week Munyonyo-Kigo'!E35+'Avg Week Kigo-Munyonyo'!E35</f>
        <v>0.5714285714285714</v>
      </c>
      <c r="F35" s="49">
        <f>'Avg Week Munyonyo-Kigo'!F35+'Avg Week Kigo-Munyonyo'!F35</f>
        <v>0</v>
      </c>
      <c r="G35" s="49">
        <f>'Avg Week Munyonyo-Kigo'!G35+'Avg Week Kigo-Munyonyo'!G35</f>
        <v>0</v>
      </c>
      <c r="H35" s="49">
        <f>'Avg Week Munyonyo-Kigo'!H35+'Avg Week Kigo-Munyonyo'!H35</f>
        <v>0</v>
      </c>
      <c r="I35" s="49">
        <f>'Avg Week Munyonyo-Kigo'!I35+'Avg Week Kigo-Munyonyo'!I35</f>
        <v>0.42857142857142855</v>
      </c>
      <c r="J35" s="49">
        <f>'Avg Week Munyonyo-Kigo'!J35+'Avg Week Kigo-Munyonyo'!J35</f>
        <v>0</v>
      </c>
      <c r="K35" s="49">
        <f>'Avg Week Munyonyo-Kigo'!K35+'Avg Week Kigo-Munyonyo'!K35</f>
        <v>0</v>
      </c>
      <c r="L35" s="49">
        <f>'Avg Week Munyonyo-Kigo'!L35+'Avg Week Kigo-Munyonyo'!L35</f>
        <v>0</v>
      </c>
      <c r="M35" s="49">
        <f>'Avg Week Munyonyo-Kigo'!M35+'Avg Week Kigo-Munyonyo'!M35</f>
        <v>28.142857142857146</v>
      </c>
      <c r="N35" s="49">
        <f>'Avg Week Munyonyo-Kigo'!N35+'Avg Week Kigo-Munyonyo'!N35</f>
        <v>0</v>
      </c>
      <c r="O35" s="15">
        <f t="shared" si="0"/>
        <v>3.2857142857142851</v>
      </c>
      <c r="P35" s="15">
        <f t="shared" si="1"/>
        <v>31.428571428571431</v>
      </c>
      <c r="R35" s="51" t="s">
        <v>91</v>
      </c>
      <c r="S35" s="52">
        <f t="shared" ref="S35:AF35" si="27">MAX(S13:S18)</f>
        <v>9.2857142857142847</v>
      </c>
      <c r="T35" s="52">
        <f t="shared" si="27"/>
        <v>4.4285714285714279</v>
      </c>
      <c r="U35" s="52">
        <f t="shared" si="27"/>
        <v>2.4285714285714284</v>
      </c>
      <c r="V35" s="52">
        <f t="shared" si="27"/>
        <v>2.2857142857142856</v>
      </c>
      <c r="W35" s="52">
        <f t="shared" si="27"/>
        <v>0</v>
      </c>
      <c r="X35" s="52">
        <f t="shared" si="27"/>
        <v>0.14285714285714285</v>
      </c>
      <c r="Y35" s="52">
        <f t="shared" si="27"/>
        <v>2</v>
      </c>
      <c r="Z35" s="52">
        <f t="shared" si="27"/>
        <v>0.71428571428571419</v>
      </c>
      <c r="AA35" s="52">
        <f t="shared" si="27"/>
        <v>0.99999999999999989</v>
      </c>
      <c r="AB35" s="52">
        <f t="shared" si="27"/>
        <v>0.2857142857142857</v>
      </c>
      <c r="AC35" s="52">
        <f t="shared" si="27"/>
        <v>165.71428571428572</v>
      </c>
      <c r="AD35" s="52">
        <f t="shared" si="27"/>
        <v>0.14285714285714285</v>
      </c>
      <c r="AE35" s="40">
        <f t="shared" si="27"/>
        <v>19.571428571428573</v>
      </c>
      <c r="AF35" s="40">
        <f t="shared" si="27"/>
        <v>180</v>
      </c>
    </row>
    <row r="36" spans="2:32" ht="23.1" customHeight="1" x14ac:dyDescent="0.25">
      <c r="B36" s="24" t="s">
        <v>63</v>
      </c>
      <c r="C36" s="49">
        <f>'Avg Week Munyonyo-Kigo'!C36+'Avg Week Kigo-Munyonyo'!C36</f>
        <v>1.7142857142857142</v>
      </c>
      <c r="D36" s="49">
        <f>'Avg Week Munyonyo-Kigo'!D36+'Avg Week Kigo-Munyonyo'!D36</f>
        <v>0.14285714285714285</v>
      </c>
      <c r="E36" s="49">
        <f>'Avg Week Munyonyo-Kigo'!E36+'Avg Week Kigo-Munyonyo'!E36</f>
        <v>0.71428571428571419</v>
      </c>
      <c r="F36" s="49">
        <f>'Avg Week Munyonyo-Kigo'!F36+'Avg Week Kigo-Munyonyo'!F36</f>
        <v>0.2857142857142857</v>
      </c>
      <c r="G36" s="49">
        <f>'Avg Week Munyonyo-Kigo'!G36+'Avg Week Kigo-Munyonyo'!G36</f>
        <v>0</v>
      </c>
      <c r="H36" s="49">
        <f>'Avg Week Munyonyo-Kigo'!H36+'Avg Week Kigo-Munyonyo'!H36</f>
        <v>0</v>
      </c>
      <c r="I36" s="49">
        <f>'Avg Week Munyonyo-Kigo'!I36+'Avg Week Kigo-Munyonyo'!I36</f>
        <v>0.14285714285714285</v>
      </c>
      <c r="J36" s="49">
        <f>'Avg Week Munyonyo-Kigo'!J36+'Avg Week Kigo-Munyonyo'!J36</f>
        <v>0.14285714285714285</v>
      </c>
      <c r="K36" s="49">
        <f>'Avg Week Munyonyo-Kigo'!K36+'Avg Week Kigo-Munyonyo'!K36</f>
        <v>0</v>
      </c>
      <c r="L36" s="49">
        <f>'Avg Week Munyonyo-Kigo'!L36+'Avg Week Kigo-Munyonyo'!L36</f>
        <v>0</v>
      </c>
      <c r="M36" s="49">
        <f>'Avg Week Munyonyo-Kigo'!M36+'Avg Week Kigo-Munyonyo'!M36</f>
        <v>27.857142857142858</v>
      </c>
      <c r="N36" s="49">
        <f>'Avg Week Munyonyo-Kigo'!N36+'Avg Week Kigo-Munyonyo'!N36</f>
        <v>0</v>
      </c>
      <c r="O36" s="15">
        <f t="shared" si="0"/>
        <v>3.1428571428571423</v>
      </c>
      <c r="P36" s="15">
        <f t="shared" si="1"/>
        <v>31</v>
      </c>
      <c r="R36" s="51" t="s">
        <v>92</v>
      </c>
      <c r="S36" s="52">
        <f t="shared" ref="S36:AF36" si="28">MAX(S19:S21)</f>
        <v>14</v>
      </c>
      <c r="T36" s="52">
        <f t="shared" si="28"/>
        <v>5.9999999999999991</v>
      </c>
      <c r="U36" s="52">
        <f t="shared" si="28"/>
        <v>2.7142857142857144</v>
      </c>
      <c r="V36" s="52">
        <f t="shared" si="28"/>
        <v>5.2857142857142856</v>
      </c>
      <c r="W36" s="52">
        <f t="shared" si="28"/>
        <v>0</v>
      </c>
      <c r="X36" s="52">
        <f t="shared" si="28"/>
        <v>0</v>
      </c>
      <c r="Y36" s="52">
        <f t="shared" si="28"/>
        <v>3.1428571428571428</v>
      </c>
      <c r="Z36" s="52">
        <f t="shared" si="28"/>
        <v>0.42857142857142855</v>
      </c>
      <c r="AA36" s="52">
        <f t="shared" si="28"/>
        <v>0.85714285714285721</v>
      </c>
      <c r="AB36" s="52">
        <f t="shared" si="28"/>
        <v>0</v>
      </c>
      <c r="AC36" s="52">
        <f t="shared" si="28"/>
        <v>183.14285714285714</v>
      </c>
      <c r="AD36" s="52">
        <f t="shared" si="28"/>
        <v>0</v>
      </c>
      <c r="AE36" s="40">
        <f t="shared" si="28"/>
        <v>26</v>
      </c>
      <c r="AF36" s="40">
        <f t="shared" si="28"/>
        <v>209.14285714285717</v>
      </c>
    </row>
    <row r="37" spans="2:32" ht="23.1" customHeight="1" x14ac:dyDescent="0.25">
      <c r="B37" s="23" t="s">
        <v>64</v>
      </c>
      <c r="C37" s="49">
        <f>'Avg Week Munyonyo-Kigo'!C37+'Avg Week Kigo-Munyonyo'!C37</f>
        <v>3.1428571428571428</v>
      </c>
      <c r="D37" s="49">
        <f>'Avg Week Munyonyo-Kigo'!D37+'Avg Week Kigo-Munyonyo'!D37</f>
        <v>0.14285714285714285</v>
      </c>
      <c r="E37" s="49">
        <f>'Avg Week Munyonyo-Kigo'!E37+'Avg Week Kigo-Munyonyo'!E37</f>
        <v>0.5714285714285714</v>
      </c>
      <c r="F37" s="49">
        <f>'Avg Week Munyonyo-Kigo'!F37+'Avg Week Kigo-Munyonyo'!F37</f>
        <v>0.71428571428571419</v>
      </c>
      <c r="G37" s="49">
        <f>'Avg Week Munyonyo-Kigo'!G37+'Avg Week Kigo-Munyonyo'!G37</f>
        <v>0</v>
      </c>
      <c r="H37" s="49">
        <f>'Avg Week Munyonyo-Kigo'!H37+'Avg Week Kigo-Munyonyo'!H37</f>
        <v>0</v>
      </c>
      <c r="I37" s="49">
        <f>'Avg Week Munyonyo-Kigo'!I37+'Avg Week Kigo-Munyonyo'!I37</f>
        <v>0.2857142857142857</v>
      </c>
      <c r="J37" s="49">
        <f>'Avg Week Munyonyo-Kigo'!J37+'Avg Week Kigo-Munyonyo'!J37</f>
        <v>0</v>
      </c>
      <c r="K37" s="49">
        <f>'Avg Week Munyonyo-Kigo'!K37+'Avg Week Kigo-Munyonyo'!K37</f>
        <v>0.2857142857142857</v>
      </c>
      <c r="L37" s="49">
        <f>'Avg Week Munyonyo-Kigo'!L37+'Avg Week Kigo-Munyonyo'!L37</f>
        <v>0</v>
      </c>
      <c r="M37" s="49">
        <f>'Avg Week Munyonyo-Kigo'!M37+'Avg Week Kigo-Munyonyo'!M37</f>
        <v>21.857142857142858</v>
      </c>
      <c r="N37" s="49">
        <f>'Avg Week Munyonyo-Kigo'!N37+'Avg Week Kigo-Munyonyo'!N37</f>
        <v>0</v>
      </c>
      <c r="O37" s="15">
        <f t="shared" si="0"/>
        <v>5.1428571428571423</v>
      </c>
      <c r="P37" s="15">
        <f t="shared" si="1"/>
        <v>27</v>
      </c>
      <c r="R37" s="37" t="s">
        <v>85</v>
      </c>
      <c r="S37" s="56">
        <f t="shared" ref="S37:AF37" si="29">SUM(S10:S12)</f>
        <v>20.571428571428573</v>
      </c>
      <c r="T37" s="57">
        <f t="shared" si="29"/>
        <v>13.142857142857142</v>
      </c>
      <c r="U37" s="57">
        <f t="shared" si="29"/>
        <v>4.5714285714285712</v>
      </c>
      <c r="V37" s="57">
        <f t="shared" si="29"/>
        <v>4.7142857142857135</v>
      </c>
      <c r="W37" s="57">
        <f t="shared" si="29"/>
        <v>0.2857142857142857</v>
      </c>
      <c r="X37" s="57">
        <f t="shared" si="29"/>
        <v>0.14285714285714285</v>
      </c>
      <c r="Y37" s="57">
        <f t="shared" si="29"/>
        <v>3.7142857142857144</v>
      </c>
      <c r="Z37" s="57">
        <f t="shared" si="29"/>
        <v>1</v>
      </c>
      <c r="AA37" s="57">
        <f t="shared" si="29"/>
        <v>0.42857142857142855</v>
      </c>
      <c r="AB37" s="57">
        <f t="shared" si="29"/>
        <v>0.42857142857142855</v>
      </c>
      <c r="AC37" s="57">
        <f t="shared" si="29"/>
        <v>559.71428571428567</v>
      </c>
      <c r="AD37" s="57">
        <f t="shared" si="29"/>
        <v>0</v>
      </c>
      <c r="AE37" s="58">
        <f t="shared" si="29"/>
        <v>49</v>
      </c>
      <c r="AF37" s="58">
        <f t="shared" si="29"/>
        <v>608.71428571428567</v>
      </c>
    </row>
    <row r="38" spans="2:32" ht="23.1" customHeight="1" x14ac:dyDescent="0.25">
      <c r="B38" s="24" t="s">
        <v>65</v>
      </c>
      <c r="C38" s="49">
        <f>'Avg Week Munyonyo-Kigo'!C38+'Avg Week Kigo-Munyonyo'!C38</f>
        <v>1.4285714285714284</v>
      </c>
      <c r="D38" s="49">
        <f>'Avg Week Munyonyo-Kigo'!D38+'Avg Week Kigo-Munyonyo'!D38</f>
        <v>0</v>
      </c>
      <c r="E38" s="49">
        <f>'Avg Week Munyonyo-Kigo'!E38+'Avg Week Kigo-Munyonyo'!E38</f>
        <v>0.71428571428571419</v>
      </c>
      <c r="F38" s="49">
        <f>'Avg Week Munyonyo-Kigo'!F38+'Avg Week Kigo-Munyonyo'!F38</f>
        <v>0.14285714285714285</v>
      </c>
      <c r="G38" s="49">
        <f>'Avg Week Munyonyo-Kigo'!G38+'Avg Week Kigo-Munyonyo'!G38</f>
        <v>0</v>
      </c>
      <c r="H38" s="49">
        <f>'Avg Week Munyonyo-Kigo'!H38+'Avg Week Kigo-Munyonyo'!H38</f>
        <v>0</v>
      </c>
      <c r="I38" s="49">
        <f>'Avg Week Munyonyo-Kigo'!I38+'Avg Week Kigo-Munyonyo'!I38</f>
        <v>0.2857142857142857</v>
      </c>
      <c r="J38" s="49">
        <f>'Avg Week Munyonyo-Kigo'!J38+'Avg Week Kigo-Munyonyo'!J38</f>
        <v>0</v>
      </c>
      <c r="K38" s="49">
        <f>'Avg Week Munyonyo-Kigo'!K38+'Avg Week Kigo-Munyonyo'!K38</f>
        <v>0.14285714285714285</v>
      </c>
      <c r="L38" s="49">
        <f>'Avg Week Munyonyo-Kigo'!L38+'Avg Week Kigo-Munyonyo'!L38</f>
        <v>0</v>
      </c>
      <c r="M38" s="49">
        <f>'Avg Week Munyonyo-Kigo'!M38+'Avg Week Kigo-Munyonyo'!M38</f>
        <v>34.285714285714285</v>
      </c>
      <c r="N38" s="49">
        <f>'Avg Week Munyonyo-Kigo'!N38+'Avg Week Kigo-Munyonyo'!N38</f>
        <v>0</v>
      </c>
      <c r="O38" s="15">
        <f t="shared" si="0"/>
        <v>2.7142857142857135</v>
      </c>
      <c r="P38" s="15">
        <f t="shared" si="1"/>
        <v>37</v>
      </c>
      <c r="R38" s="28" t="s">
        <v>86</v>
      </c>
      <c r="S38" s="57">
        <f t="shared" ref="S38:AF38" si="30">SUM(S13:S18)</f>
        <v>44.142857142857139</v>
      </c>
      <c r="T38" s="57">
        <f t="shared" si="30"/>
        <v>15.428571428571429</v>
      </c>
      <c r="U38" s="57">
        <f t="shared" si="30"/>
        <v>9.8571428571428577</v>
      </c>
      <c r="V38" s="57">
        <f t="shared" si="30"/>
        <v>8.1428571428571423</v>
      </c>
      <c r="W38" s="57">
        <f t="shared" si="30"/>
        <v>0</v>
      </c>
      <c r="X38" s="57">
        <f t="shared" si="30"/>
        <v>0.14285714285714285</v>
      </c>
      <c r="Y38" s="57">
        <f t="shared" si="30"/>
        <v>7.7142857142857135</v>
      </c>
      <c r="Z38" s="57">
        <f t="shared" si="30"/>
        <v>1.714285714285714</v>
      </c>
      <c r="AA38" s="57">
        <f t="shared" si="30"/>
        <v>3.1428571428571428</v>
      </c>
      <c r="AB38" s="57">
        <f t="shared" si="30"/>
        <v>0.42857142857142855</v>
      </c>
      <c r="AC38" s="57">
        <f t="shared" si="30"/>
        <v>827.85714285714278</v>
      </c>
      <c r="AD38" s="57">
        <f t="shared" si="30"/>
        <v>0.14285714285714285</v>
      </c>
      <c r="AE38" s="58">
        <f t="shared" si="30"/>
        <v>90.857142857142847</v>
      </c>
      <c r="AF38" s="58">
        <f t="shared" si="30"/>
        <v>918.71428571428567</v>
      </c>
    </row>
    <row r="39" spans="2:32" ht="23.1" customHeight="1" x14ac:dyDescent="0.25">
      <c r="B39" s="24" t="s">
        <v>66</v>
      </c>
      <c r="C39" s="49">
        <f>'Avg Week Munyonyo-Kigo'!C39+'Avg Week Kigo-Munyonyo'!C39</f>
        <v>0.8571428571428571</v>
      </c>
      <c r="D39" s="49">
        <f>'Avg Week Munyonyo-Kigo'!D39+'Avg Week Kigo-Munyonyo'!D39</f>
        <v>0.14285714285714285</v>
      </c>
      <c r="E39" s="49">
        <f>'Avg Week Munyonyo-Kigo'!E39+'Avg Week Kigo-Munyonyo'!E39</f>
        <v>0.14285714285714285</v>
      </c>
      <c r="F39" s="49">
        <f>'Avg Week Munyonyo-Kigo'!F39+'Avg Week Kigo-Munyonyo'!F39</f>
        <v>0.42857142857142855</v>
      </c>
      <c r="G39" s="49">
        <f>'Avg Week Munyonyo-Kigo'!G39+'Avg Week Kigo-Munyonyo'!G39</f>
        <v>0</v>
      </c>
      <c r="H39" s="49">
        <f>'Avg Week Munyonyo-Kigo'!H39+'Avg Week Kigo-Munyonyo'!H39</f>
        <v>0</v>
      </c>
      <c r="I39" s="49">
        <f>'Avg Week Munyonyo-Kigo'!I39+'Avg Week Kigo-Munyonyo'!I39</f>
        <v>0.42857142857142855</v>
      </c>
      <c r="J39" s="49">
        <f>'Avg Week Munyonyo-Kigo'!J39+'Avg Week Kigo-Munyonyo'!J39</f>
        <v>0</v>
      </c>
      <c r="K39" s="49">
        <f>'Avg Week Munyonyo-Kigo'!K39+'Avg Week Kigo-Munyonyo'!K39</f>
        <v>0.2857142857142857</v>
      </c>
      <c r="L39" s="49">
        <f>'Avg Week Munyonyo-Kigo'!L39+'Avg Week Kigo-Munyonyo'!L39</f>
        <v>0</v>
      </c>
      <c r="M39" s="49">
        <f>'Avg Week Munyonyo-Kigo'!M39+'Avg Week Kigo-Munyonyo'!M39</f>
        <v>35.857142857142861</v>
      </c>
      <c r="N39" s="49">
        <f>'Avg Week Munyonyo-Kigo'!N39+'Avg Week Kigo-Munyonyo'!N39</f>
        <v>0</v>
      </c>
      <c r="O39" s="15">
        <f t="shared" si="0"/>
        <v>2.2857142857142856</v>
      </c>
      <c r="P39" s="15">
        <f t="shared" si="1"/>
        <v>38.142857142857146</v>
      </c>
      <c r="R39" s="29" t="s">
        <v>87</v>
      </c>
      <c r="S39" s="57">
        <f t="shared" ref="S39:AF39" si="31">SUM(S19:S21)</f>
        <v>37.714285714285708</v>
      </c>
      <c r="T39" s="57">
        <f t="shared" si="31"/>
        <v>12.571428571428569</v>
      </c>
      <c r="U39" s="57">
        <f t="shared" si="31"/>
        <v>7.4285714285714279</v>
      </c>
      <c r="V39" s="57">
        <f t="shared" si="31"/>
        <v>11.142857142857142</v>
      </c>
      <c r="W39" s="57">
        <f t="shared" si="31"/>
        <v>0</v>
      </c>
      <c r="X39" s="57">
        <f t="shared" si="31"/>
        <v>0</v>
      </c>
      <c r="Y39" s="57">
        <f t="shared" si="31"/>
        <v>6.1428571428571423</v>
      </c>
      <c r="Z39" s="57">
        <f t="shared" si="31"/>
        <v>0.8571428571428571</v>
      </c>
      <c r="AA39" s="57">
        <f t="shared" si="31"/>
        <v>0.85714285714285721</v>
      </c>
      <c r="AB39" s="57">
        <f t="shared" si="31"/>
        <v>0</v>
      </c>
      <c r="AC39" s="57">
        <f t="shared" si="31"/>
        <v>497.71428571428567</v>
      </c>
      <c r="AD39" s="57">
        <f t="shared" si="31"/>
        <v>0</v>
      </c>
      <c r="AE39" s="58">
        <f t="shared" si="31"/>
        <v>76.714285714285722</v>
      </c>
      <c r="AF39" s="58">
        <f t="shared" si="31"/>
        <v>574.42857142857144</v>
      </c>
    </row>
    <row r="40" spans="2:32" ht="23.1" customHeight="1" x14ac:dyDescent="0.25">
      <c r="B40" s="24" t="s">
        <v>67</v>
      </c>
      <c r="C40" s="49">
        <f>'Avg Week Munyonyo-Kigo'!C40+'Avg Week Kigo-Munyonyo'!C40</f>
        <v>1.8571428571428572</v>
      </c>
      <c r="D40" s="49">
        <f>'Avg Week Munyonyo-Kigo'!D40+'Avg Week Kigo-Munyonyo'!D40</f>
        <v>1.1428571428571428</v>
      </c>
      <c r="E40" s="49">
        <f>'Avg Week Munyonyo-Kigo'!E40+'Avg Week Kigo-Munyonyo'!E40</f>
        <v>0.42857142857142855</v>
      </c>
      <c r="F40" s="49">
        <f>'Avg Week Munyonyo-Kigo'!F40+'Avg Week Kigo-Munyonyo'!F40</f>
        <v>0.2857142857142857</v>
      </c>
      <c r="G40" s="49">
        <f>'Avg Week Munyonyo-Kigo'!G40+'Avg Week Kigo-Munyonyo'!G40</f>
        <v>0</v>
      </c>
      <c r="H40" s="49">
        <f>'Avg Week Munyonyo-Kigo'!H40+'Avg Week Kigo-Munyonyo'!H40</f>
        <v>0</v>
      </c>
      <c r="I40" s="49">
        <f>'Avg Week Munyonyo-Kigo'!I40+'Avg Week Kigo-Munyonyo'!I40</f>
        <v>0</v>
      </c>
      <c r="J40" s="49">
        <f>'Avg Week Munyonyo-Kigo'!J40+'Avg Week Kigo-Munyonyo'!J40</f>
        <v>0.14285714285714285</v>
      </c>
      <c r="K40" s="49">
        <f>'Avg Week Munyonyo-Kigo'!K40+'Avg Week Kigo-Munyonyo'!K40</f>
        <v>0.2857142857142857</v>
      </c>
      <c r="L40" s="49">
        <f>'Avg Week Munyonyo-Kigo'!L40+'Avg Week Kigo-Munyonyo'!L40</f>
        <v>0</v>
      </c>
      <c r="M40" s="49">
        <f>'Avg Week Munyonyo-Kigo'!M40+'Avg Week Kigo-Munyonyo'!M40</f>
        <v>32.285714285714285</v>
      </c>
      <c r="N40" s="49">
        <f>'Avg Week Munyonyo-Kigo'!N40+'Avg Week Kigo-Munyonyo'!N40</f>
        <v>0</v>
      </c>
      <c r="O40" s="15">
        <f t="shared" si="0"/>
        <v>4.1428571428571423</v>
      </c>
      <c r="P40" s="15">
        <f t="shared" si="1"/>
        <v>36.428571428571431</v>
      </c>
      <c r="R40" s="5" t="s">
        <v>17</v>
      </c>
      <c r="S40" s="57">
        <f t="shared" ref="S40:AF40" si="32">SUM(S10:S21)</f>
        <v>102.42857142857143</v>
      </c>
      <c r="T40" s="57">
        <f t="shared" si="32"/>
        <v>41.142857142857139</v>
      </c>
      <c r="U40" s="57">
        <f t="shared" si="32"/>
        <v>21.857142857142854</v>
      </c>
      <c r="V40" s="57">
        <f t="shared" si="32"/>
        <v>23.999999999999996</v>
      </c>
      <c r="W40" s="57">
        <f t="shared" si="32"/>
        <v>0.2857142857142857</v>
      </c>
      <c r="X40" s="57">
        <f t="shared" si="32"/>
        <v>0.2857142857142857</v>
      </c>
      <c r="Y40" s="57">
        <f t="shared" si="32"/>
        <v>17.571428571428569</v>
      </c>
      <c r="Z40" s="57">
        <f t="shared" si="32"/>
        <v>3.5714285714285707</v>
      </c>
      <c r="AA40" s="57">
        <f t="shared" si="32"/>
        <v>4.4285714285714288</v>
      </c>
      <c r="AB40" s="57">
        <f t="shared" si="32"/>
        <v>0.8571428571428571</v>
      </c>
      <c r="AC40" s="57">
        <f t="shared" si="32"/>
        <v>1885.2857142857142</v>
      </c>
      <c r="AD40" s="57">
        <f t="shared" si="32"/>
        <v>0.14285714285714285</v>
      </c>
      <c r="AE40" s="58">
        <f t="shared" si="32"/>
        <v>216.57142857142858</v>
      </c>
      <c r="AF40" s="58">
        <f t="shared" si="32"/>
        <v>2101.8571428571431</v>
      </c>
    </row>
    <row r="41" spans="2:32" ht="23.1" customHeight="1" x14ac:dyDescent="0.25">
      <c r="B41" s="23" t="s">
        <v>68</v>
      </c>
      <c r="C41" s="49">
        <f>'Avg Week Munyonyo-Kigo'!C41+'Avg Week Kigo-Munyonyo'!C41</f>
        <v>1.1428571428571428</v>
      </c>
      <c r="D41" s="49">
        <f>'Avg Week Munyonyo-Kigo'!D41+'Avg Week Kigo-Munyonyo'!D41</f>
        <v>0.5714285714285714</v>
      </c>
      <c r="E41" s="49">
        <f>'Avg Week Munyonyo-Kigo'!E41+'Avg Week Kigo-Munyonyo'!E41</f>
        <v>0.42857142857142855</v>
      </c>
      <c r="F41" s="49">
        <f>'Avg Week Munyonyo-Kigo'!F41+'Avg Week Kigo-Munyonyo'!F41</f>
        <v>0.14285714285714285</v>
      </c>
      <c r="G41" s="49">
        <f>'Avg Week Munyonyo-Kigo'!G41+'Avg Week Kigo-Munyonyo'!G41</f>
        <v>0</v>
      </c>
      <c r="H41" s="49">
        <f>'Avg Week Munyonyo-Kigo'!H41+'Avg Week Kigo-Munyonyo'!H41</f>
        <v>0</v>
      </c>
      <c r="I41" s="49">
        <f>'Avg Week Munyonyo-Kigo'!I41+'Avg Week Kigo-Munyonyo'!I41</f>
        <v>0.42857142857142855</v>
      </c>
      <c r="J41" s="49">
        <f>'Avg Week Munyonyo-Kigo'!J41+'Avg Week Kigo-Munyonyo'!J41</f>
        <v>0</v>
      </c>
      <c r="K41" s="49">
        <f>'Avg Week Munyonyo-Kigo'!K41+'Avg Week Kigo-Munyonyo'!K41</f>
        <v>0</v>
      </c>
      <c r="L41" s="49">
        <f>'Avg Week Munyonyo-Kigo'!L41+'Avg Week Kigo-Munyonyo'!L41</f>
        <v>0</v>
      </c>
      <c r="M41" s="49">
        <f>'Avg Week Munyonyo-Kigo'!M41+'Avg Week Kigo-Munyonyo'!M41</f>
        <v>27.285714285714285</v>
      </c>
      <c r="N41" s="49">
        <f>'Avg Week Munyonyo-Kigo'!N41+'Avg Week Kigo-Munyonyo'!N41</f>
        <v>0</v>
      </c>
      <c r="O41" s="15">
        <f t="shared" si="0"/>
        <v>2.714285714285714</v>
      </c>
      <c r="P41" s="15">
        <f t="shared" si="1"/>
        <v>30</v>
      </c>
      <c r="R41" s="5" t="s">
        <v>183</v>
      </c>
      <c r="S41" s="57">
        <f>SUM(S10:S33)</f>
        <v>202.42857142857144</v>
      </c>
      <c r="T41" s="57">
        <f t="shared" ref="T41:AD41" si="33">SUM(T10:T33)</f>
        <v>59.142857142857139</v>
      </c>
      <c r="U41" s="57">
        <f t="shared" si="33"/>
        <v>34.857142857142854</v>
      </c>
      <c r="V41" s="57">
        <f t="shared" si="33"/>
        <v>41</v>
      </c>
      <c r="W41" s="57">
        <f t="shared" si="33"/>
        <v>0.2857142857142857</v>
      </c>
      <c r="X41" s="57">
        <f t="shared" si="33"/>
        <v>0.7857142857142857</v>
      </c>
      <c r="Y41" s="57">
        <f t="shared" si="33"/>
        <v>22.071428571428569</v>
      </c>
      <c r="Z41" s="57">
        <f t="shared" si="33"/>
        <v>5.0714285714285712</v>
      </c>
      <c r="AA41" s="57">
        <f t="shared" si="33"/>
        <v>4.4285714285714288</v>
      </c>
      <c r="AB41" s="57">
        <f t="shared" si="33"/>
        <v>0.8571428571428571</v>
      </c>
      <c r="AC41" s="57">
        <f t="shared" si="33"/>
        <v>3064.2857142857142</v>
      </c>
      <c r="AD41" s="57">
        <f t="shared" si="33"/>
        <v>0.14285714285714285</v>
      </c>
      <c r="AE41" s="58">
        <f>SUM(AE10:AE33)</f>
        <v>371.07142857142856</v>
      </c>
      <c r="AF41" s="58">
        <f>SUM(AF10:AF33)</f>
        <v>3435.3571428571431</v>
      </c>
    </row>
    <row r="42" spans="2:32" ht="23.1" customHeight="1" x14ac:dyDescent="0.25">
      <c r="B42" s="24" t="s">
        <v>69</v>
      </c>
      <c r="C42" s="49">
        <f>'Avg Week Munyonyo-Kigo'!C42+'Avg Week Kigo-Munyonyo'!C42</f>
        <v>2.1428571428571428</v>
      </c>
      <c r="D42" s="49">
        <f>'Avg Week Munyonyo-Kigo'!D42+'Avg Week Kigo-Munyonyo'!D42</f>
        <v>0.2857142857142857</v>
      </c>
      <c r="E42" s="49">
        <f>'Avg Week Munyonyo-Kigo'!E42+'Avg Week Kigo-Munyonyo'!E42</f>
        <v>0.2857142857142857</v>
      </c>
      <c r="F42" s="49">
        <f>'Avg Week Munyonyo-Kigo'!F42+'Avg Week Kigo-Munyonyo'!F42</f>
        <v>0.14285714285714285</v>
      </c>
      <c r="G42" s="49">
        <f>'Avg Week Munyonyo-Kigo'!G42+'Avg Week Kigo-Munyonyo'!G42</f>
        <v>0</v>
      </c>
      <c r="H42" s="49">
        <f>'Avg Week Munyonyo-Kigo'!H42+'Avg Week Kigo-Munyonyo'!H42</f>
        <v>0</v>
      </c>
      <c r="I42" s="49">
        <f>'Avg Week Munyonyo-Kigo'!I42+'Avg Week Kigo-Munyonyo'!I42</f>
        <v>0.5714285714285714</v>
      </c>
      <c r="J42" s="49">
        <f>'Avg Week Munyonyo-Kigo'!J42+'Avg Week Kigo-Munyonyo'!J42</f>
        <v>0</v>
      </c>
      <c r="K42" s="49">
        <f>'Avg Week Munyonyo-Kigo'!K42+'Avg Week Kigo-Munyonyo'!K42</f>
        <v>0.2857142857142857</v>
      </c>
      <c r="L42" s="49">
        <f>'Avg Week Munyonyo-Kigo'!L42+'Avg Week Kigo-Munyonyo'!L42</f>
        <v>0</v>
      </c>
      <c r="M42" s="49">
        <f>'Avg Week Munyonyo-Kigo'!M42+'Avg Week Kigo-Munyonyo'!M42</f>
        <v>29.142857142857142</v>
      </c>
      <c r="N42" s="49">
        <f>'Avg Week Munyonyo-Kigo'!N42+'Avg Week Kigo-Munyonyo'!N42</f>
        <v>0</v>
      </c>
      <c r="O42" s="15">
        <f t="shared" si="0"/>
        <v>3.7142857142857135</v>
      </c>
      <c r="P42" s="15">
        <f t="shared" si="1"/>
        <v>32.857142857142854</v>
      </c>
      <c r="R42" s="5" t="s">
        <v>160</v>
      </c>
      <c r="S42" s="48">
        <f>S41/S40</f>
        <v>1.9762900976290099</v>
      </c>
      <c r="T42" s="48">
        <f t="shared" ref="T42:AF42" si="34">T41/T40</f>
        <v>1.4375</v>
      </c>
      <c r="U42" s="48">
        <f t="shared" si="34"/>
        <v>1.5947712418300655</v>
      </c>
      <c r="V42" s="48">
        <f t="shared" si="34"/>
        <v>1.7083333333333335</v>
      </c>
      <c r="W42" s="48">
        <f t="shared" si="34"/>
        <v>1</v>
      </c>
      <c r="X42" s="48">
        <f t="shared" si="34"/>
        <v>2.75</v>
      </c>
      <c r="Y42" s="48">
        <f t="shared" si="34"/>
        <v>1.2560975609756098</v>
      </c>
      <c r="Z42" s="48">
        <f t="shared" si="34"/>
        <v>1.4200000000000002</v>
      </c>
      <c r="AA42" s="48">
        <f t="shared" si="34"/>
        <v>1</v>
      </c>
      <c r="AB42" s="48">
        <f t="shared" si="34"/>
        <v>1</v>
      </c>
      <c r="AC42" s="48">
        <f t="shared" si="34"/>
        <v>1.6253694021368492</v>
      </c>
      <c r="AD42" s="48">
        <f t="shared" si="34"/>
        <v>1</v>
      </c>
      <c r="AE42" s="59">
        <f t="shared" si="34"/>
        <v>1.713390501319261</v>
      </c>
      <c r="AF42" s="59">
        <f t="shared" si="34"/>
        <v>1.6344389315571262</v>
      </c>
    </row>
    <row r="43" spans="2:32" ht="23.1" customHeight="1" x14ac:dyDescent="0.25">
      <c r="B43" s="23" t="s">
        <v>70</v>
      </c>
      <c r="C43" s="49">
        <f>'Avg Week Munyonyo-Kigo'!C43+'Avg Week Kigo-Munyonyo'!C43</f>
        <v>2.5714285714285716</v>
      </c>
      <c r="D43" s="49">
        <f>'Avg Week Munyonyo-Kigo'!D43+'Avg Week Kigo-Munyonyo'!D43</f>
        <v>0.5714285714285714</v>
      </c>
      <c r="E43" s="49">
        <f>'Avg Week Munyonyo-Kigo'!E43+'Avg Week Kigo-Munyonyo'!E43</f>
        <v>0.5714285714285714</v>
      </c>
      <c r="F43" s="49">
        <f>'Avg Week Munyonyo-Kigo'!F43+'Avg Week Kigo-Munyonyo'!F43</f>
        <v>0.42857142857142855</v>
      </c>
      <c r="G43" s="49">
        <f>'Avg Week Munyonyo-Kigo'!G43+'Avg Week Kigo-Munyonyo'!G43</f>
        <v>0</v>
      </c>
      <c r="H43" s="49">
        <f>'Avg Week Munyonyo-Kigo'!H43+'Avg Week Kigo-Munyonyo'!H43</f>
        <v>0</v>
      </c>
      <c r="I43" s="49">
        <f>'Avg Week Munyonyo-Kigo'!I43+'Avg Week Kigo-Munyonyo'!I43</f>
        <v>0.2857142857142857</v>
      </c>
      <c r="J43" s="49">
        <f>'Avg Week Munyonyo-Kigo'!J43+'Avg Week Kigo-Munyonyo'!J43</f>
        <v>0</v>
      </c>
      <c r="K43" s="49">
        <f>'Avg Week Munyonyo-Kigo'!K43+'Avg Week Kigo-Munyonyo'!K43</f>
        <v>0.42857142857142855</v>
      </c>
      <c r="L43" s="49">
        <f>'Avg Week Munyonyo-Kigo'!L43+'Avg Week Kigo-Munyonyo'!L43</f>
        <v>0</v>
      </c>
      <c r="M43" s="49">
        <f>'Avg Week Munyonyo-Kigo'!M43+'Avg Week Kigo-Munyonyo'!M43</f>
        <v>33.142857142857139</v>
      </c>
      <c r="N43" s="49">
        <f>'Avg Week Munyonyo-Kigo'!N43+'Avg Week Kigo-Munyonyo'!N43</f>
        <v>0</v>
      </c>
      <c r="O43" s="15">
        <f t="shared" si="0"/>
        <v>4.8571428571428577</v>
      </c>
      <c r="P43" s="15">
        <f t="shared" si="1"/>
        <v>38</v>
      </c>
    </row>
    <row r="44" spans="2:32" ht="23.1" customHeight="1" x14ac:dyDescent="0.25">
      <c r="B44" s="25" t="s">
        <v>71</v>
      </c>
      <c r="C44" s="49">
        <f>'Avg Week Munyonyo-Kigo'!C44+'Avg Week Kigo-Munyonyo'!C44</f>
        <v>2</v>
      </c>
      <c r="D44" s="49">
        <f>'Avg Week Munyonyo-Kigo'!D44+'Avg Week Kigo-Munyonyo'!D44</f>
        <v>1</v>
      </c>
      <c r="E44" s="49">
        <f>'Avg Week Munyonyo-Kigo'!E44+'Avg Week Kigo-Munyonyo'!E44</f>
        <v>0.71428571428571419</v>
      </c>
      <c r="F44" s="49">
        <f>'Avg Week Munyonyo-Kigo'!F44+'Avg Week Kigo-Munyonyo'!F44</f>
        <v>1</v>
      </c>
      <c r="G44" s="49">
        <f>'Avg Week Munyonyo-Kigo'!G44+'Avg Week Kigo-Munyonyo'!G44</f>
        <v>0</v>
      </c>
      <c r="H44" s="49">
        <f>'Avg Week Munyonyo-Kigo'!H44+'Avg Week Kigo-Munyonyo'!H44</f>
        <v>0</v>
      </c>
      <c r="I44" s="49">
        <f>'Avg Week Munyonyo-Kigo'!I44+'Avg Week Kigo-Munyonyo'!I44</f>
        <v>0.42857142857142855</v>
      </c>
      <c r="J44" s="49">
        <f>'Avg Week Munyonyo-Kigo'!J44+'Avg Week Kigo-Munyonyo'!J44</f>
        <v>0</v>
      </c>
      <c r="K44" s="49">
        <f>'Avg Week Munyonyo-Kigo'!K44+'Avg Week Kigo-Munyonyo'!K44</f>
        <v>0</v>
      </c>
      <c r="L44" s="49">
        <f>'Avg Week Munyonyo-Kigo'!L44+'Avg Week Kigo-Munyonyo'!L44</f>
        <v>0</v>
      </c>
      <c r="M44" s="49">
        <f>'Avg Week Munyonyo-Kigo'!M44+'Avg Week Kigo-Munyonyo'!M44</f>
        <v>29.857142857142861</v>
      </c>
      <c r="N44" s="49">
        <f>'Avg Week Munyonyo-Kigo'!N44+'Avg Week Kigo-Munyonyo'!N44</f>
        <v>0</v>
      </c>
      <c r="O44" s="15">
        <f t="shared" si="0"/>
        <v>5.1428571428571432</v>
      </c>
      <c r="P44" s="15">
        <f t="shared" si="1"/>
        <v>35.000000000000007</v>
      </c>
    </row>
    <row r="45" spans="2:32" ht="23.1" customHeight="1" x14ac:dyDescent="0.25">
      <c r="B45" s="23" t="s">
        <v>72</v>
      </c>
      <c r="C45" s="49">
        <f>'Avg Week Munyonyo-Kigo'!C45+'Avg Week Kigo-Munyonyo'!C45</f>
        <v>2.5714285714285712</v>
      </c>
      <c r="D45" s="49">
        <f>'Avg Week Munyonyo-Kigo'!D45+'Avg Week Kigo-Munyonyo'!D45</f>
        <v>1.2857142857142856</v>
      </c>
      <c r="E45" s="49">
        <f>'Avg Week Munyonyo-Kigo'!E45+'Avg Week Kigo-Munyonyo'!E45</f>
        <v>0.2857142857142857</v>
      </c>
      <c r="F45" s="49">
        <f>'Avg Week Munyonyo-Kigo'!F45+'Avg Week Kigo-Munyonyo'!F45</f>
        <v>0.71428571428571419</v>
      </c>
      <c r="G45" s="49">
        <f>'Avg Week Munyonyo-Kigo'!G45+'Avg Week Kigo-Munyonyo'!G45</f>
        <v>0</v>
      </c>
      <c r="H45" s="49">
        <f>'Avg Week Munyonyo-Kigo'!H45+'Avg Week Kigo-Munyonyo'!H45</f>
        <v>0</v>
      </c>
      <c r="I45" s="49">
        <f>'Avg Week Munyonyo-Kigo'!I45+'Avg Week Kigo-Munyonyo'!I45</f>
        <v>0.7142857142857143</v>
      </c>
      <c r="J45" s="49">
        <f>'Avg Week Munyonyo-Kigo'!J45+'Avg Week Kigo-Munyonyo'!J45</f>
        <v>0</v>
      </c>
      <c r="K45" s="49">
        <f>'Avg Week Munyonyo-Kigo'!K45+'Avg Week Kigo-Munyonyo'!K45</f>
        <v>0.2857142857142857</v>
      </c>
      <c r="L45" s="49">
        <f>'Avg Week Munyonyo-Kigo'!L45+'Avg Week Kigo-Munyonyo'!L45</f>
        <v>0</v>
      </c>
      <c r="M45" s="49">
        <f>'Avg Week Munyonyo-Kigo'!M45+'Avg Week Kigo-Munyonyo'!M45</f>
        <v>31.285714285714285</v>
      </c>
      <c r="N45" s="49">
        <f>'Avg Week Munyonyo-Kigo'!N45+'Avg Week Kigo-Munyonyo'!N45</f>
        <v>0</v>
      </c>
      <c r="O45" s="15">
        <f t="shared" si="0"/>
        <v>5.8571428571428568</v>
      </c>
      <c r="P45" s="15">
        <f t="shared" si="1"/>
        <v>37.142857142857139</v>
      </c>
    </row>
    <row r="46" spans="2:32" ht="23.1" customHeight="1" x14ac:dyDescent="0.25">
      <c r="B46" s="24" t="s">
        <v>73</v>
      </c>
      <c r="C46" s="49">
        <f>'Avg Week Munyonyo-Kigo'!C46+'Avg Week Kigo-Munyonyo'!C46</f>
        <v>2.1428571428571428</v>
      </c>
      <c r="D46" s="49">
        <f>'Avg Week Munyonyo-Kigo'!D46+'Avg Week Kigo-Munyonyo'!D46</f>
        <v>1.5714285714285716</v>
      </c>
      <c r="E46" s="49">
        <f>'Avg Week Munyonyo-Kigo'!E46+'Avg Week Kigo-Munyonyo'!E46</f>
        <v>0.14285714285714285</v>
      </c>
      <c r="F46" s="49">
        <f>'Avg Week Munyonyo-Kigo'!F46+'Avg Week Kigo-Munyonyo'!F46</f>
        <v>0.5714285714285714</v>
      </c>
      <c r="G46" s="49">
        <f>'Avg Week Munyonyo-Kigo'!G46+'Avg Week Kigo-Munyonyo'!G46</f>
        <v>0</v>
      </c>
      <c r="H46" s="49">
        <f>'Avg Week Munyonyo-Kigo'!H46+'Avg Week Kigo-Munyonyo'!H46</f>
        <v>0</v>
      </c>
      <c r="I46" s="49">
        <f>'Avg Week Munyonyo-Kigo'!I46+'Avg Week Kigo-Munyonyo'!I46</f>
        <v>0.8571428571428571</v>
      </c>
      <c r="J46" s="49">
        <f>'Avg Week Munyonyo-Kigo'!J46+'Avg Week Kigo-Munyonyo'!J46</f>
        <v>0.2857142857142857</v>
      </c>
      <c r="K46" s="49">
        <f>'Avg Week Munyonyo-Kigo'!K46+'Avg Week Kigo-Munyonyo'!K46</f>
        <v>0.14285714285714285</v>
      </c>
      <c r="L46" s="49">
        <f>'Avg Week Munyonyo-Kigo'!L46+'Avg Week Kigo-Munyonyo'!L46</f>
        <v>0</v>
      </c>
      <c r="M46" s="49">
        <f>'Avg Week Munyonyo-Kigo'!M46+'Avg Week Kigo-Munyonyo'!M46</f>
        <v>36.285714285714285</v>
      </c>
      <c r="N46" s="49">
        <f>'Avg Week Munyonyo-Kigo'!N46+'Avg Week Kigo-Munyonyo'!N46</f>
        <v>0</v>
      </c>
      <c r="O46" s="15">
        <f t="shared" si="0"/>
        <v>5.7142857142857144</v>
      </c>
      <c r="P46" s="15">
        <f t="shared" si="1"/>
        <v>42</v>
      </c>
      <c r="R46" s="8"/>
      <c r="T46"/>
    </row>
    <row r="47" spans="2:32" ht="23.1" customHeight="1" x14ac:dyDescent="0.25">
      <c r="B47" s="24" t="s">
        <v>74</v>
      </c>
      <c r="C47" s="49">
        <f>'Avg Week Munyonyo-Kigo'!C47+'Avg Week Kigo-Munyonyo'!C47</f>
        <v>2</v>
      </c>
      <c r="D47" s="49">
        <f>'Avg Week Munyonyo-Kigo'!D47+'Avg Week Kigo-Munyonyo'!D47</f>
        <v>1.1428571428571428</v>
      </c>
      <c r="E47" s="49">
        <f>'Avg Week Munyonyo-Kigo'!E47+'Avg Week Kigo-Munyonyo'!E47</f>
        <v>0.5714285714285714</v>
      </c>
      <c r="F47" s="49">
        <f>'Avg Week Munyonyo-Kigo'!F47+'Avg Week Kigo-Munyonyo'!F47</f>
        <v>0.2857142857142857</v>
      </c>
      <c r="G47" s="49">
        <f>'Avg Week Munyonyo-Kigo'!G47+'Avg Week Kigo-Munyonyo'!G47</f>
        <v>0</v>
      </c>
      <c r="H47" s="49">
        <f>'Avg Week Munyonyo-Kigo'!H47+'Avg Week Kigo-Munyonyo'!H47</f>
        <v>0</v>
      </c>
      <c r="I47" s="49">
        <f>'Avg Week Munyonyo-Kigo'!I47+'Avg Week Kigo-Munyonyo'!I47</f>
        <v>0.2857142857142857</v>
      </c>
      <c r="J47" s="49">
        <f>'Avg Week Munyonyo-Kigo'!J47+'Avg Week Kigo-Munyonyo'!J47</f>
        <v>0</v>
      </c>
      <c r="K47" s="49">
        <f>'Avg Week Munyonyo-Kigo'!K47+'Avg Week Kigo-Munyonyo'!K47</f>
        <v>0</v>
      </c>
      <c r="L47" s="49">
        <f>'Avg Week Munyonyo-Kigo'!L47+'Avg Week Kigo-Munyonyo'!L47</f>
        <v>0</v>
      </c>
      <c r="M47" s="49">
        <f>'Avg Week Munyonyo-Kigo'!M47+'Avg Week Kigo-Munyonyo'!M47</f>
        <v>39.285714285714285</v>
      </c>
      <c r="N47" s="49">
        <f>'Avg Week Munyonyo-Kigo'!N47+'Avg Week Kigo-Munyonyo'!N47</f>
        <v>0</v>
      </c>
      <c r="O47" s="15">
        <f t="shared" si="0"/>
        <v>4.2857142857142856</v>
      </c>
      <c r="P47" s="15">
        <f t="shared" si="1"/>
        <v>43.571428571428569</v>
      </c>
      <c r="R47" s="8"/>
      <c r="T47"/>
    </row>
    <row r="48" spans="2:32" ht="23.1" customHeight="1" x14ac:dyDescent="0.25">
      <c r="B48" s="24" t="s">
        <v>75</v>
      </c>
      <c r="C48" s="49">
        <f>'Avg Week Munyonyo-Kigo'!C48+'Avg Week Kigo-Munyonyo'!C48</f>
        <v>2.7142857142857144</v>
      </c>
      <c r="D48" s="49">
        <f>'Avg Week Munyonyo-Kigo'!D48+'Avg Week Kigo-Munyonyo'!D48</f>
        <v>2.4285714285714284</v>
      </c>
      <c r="E48" s="49">
        <f>'Avg Week Munyonyo-Kigo'!E48+'Avg Week Kigo-Munyonyo'!E48</f>
        <v>1.4285714285714286</v>
      </c>
      <c r="F48" s="49">
        <f>'Avg Week Munyonyo-Kigo'!F48+'Avg Week Kigo-Munyonyo'!F48</f>
        <v>0.7142857142857143</v>
      </c>
      <c r="G48" s="49">
        <f>'Avg Week Munyonyo-Kigo'!G48+'Avg Week Kigo-Munyonyo'!G48</f>
        <v>0</v>
      </c>
      <c r="H48" s="49">
        <f>'Avg Week Munyonyo-Kigo'!H48+'Avg Week Kigo-Munyonyo'!H48</f>
        <v>0</v>
      </c>
      <c r="I48" s="49">
        <f>'Avg Week Munyonyo-Kigo'!I48+'Avg Week Kigo-Munyonyo'!I48</f>
        <v>0.2857142857142857</v>
      </c>
      <c r="J48" s="49">
        <f>'Avg Week Munyonyo-Kigo'!J48+'Avg Week Kigo-Munyonyo'!J48</f>
        <v>0</v>
      </c>
      <c r="K48" s="49">
        <f>'Avg Week Munyonyo-Kigo'!K48+'Avg Week Kigo-Munyonyo'!K48</f>
        <v>0.7142857142857143</v>
      </c>
      <c r="L48" s="49">
        <f>'Avg Week Munyonyo-Kigo'!L48+'Avg Week Kigo-Munyonyo'!L48</f>
        <v>0</v>
      </c>
      <c r="M48" s="49">
        <f>'Avg Week Munyonyo-Kigo'!M48+'Avg Week Kigo-Munyonyo'!M48</f>
        <v>39.285714285714285</v>
      </c>
      <c r="N48" s="49">
        <f>'Avg Week Munyonyo-Kigo'!N48+'Avg Week Kigo-Munyonyo'!N48</f>
        <v>0</v>
      </c>
      <c r="O48" s="15">
        <f t="shared" si="0"/>
        <v>8.2857142857142847</v>
      </c>
      <c r="P48" s="15">
        <f t="shared" si="1"/>
        <v>47.571428571428569</v>
      </c>
      <c r="R48" s="8"/>
      <c r="T48"/>
    </row>
    <row r="49" spans="2:20" ht="23.1" customHeight="1" x14ac:dyDescent="0.25">
      <c r="B49" s="23" t="s">
        <v>76</v>
      </c>
      <c r="C49" s="49">
        <f>'Avg Week Munyonyo-Kigo'!C49+'Avg Week Kigo-Munyonyo'!C49</f>
        <v>3.714285714285714</v>
      </c>
      <c r="D49" s="49">
        <f>'Avg Week Munyonyo-Kigo'!D49+'Avg Week Kigo-Munyonyo'!D49</f>
        <v>0.8571428571428571</v>
      </c>
      <c r="E49" s="49">
        <f>'Avg Week Munyonyo-Kigo'!E49+'Avg Week Kigo-Munyonyo'!E49</f>
        <v>0.5714285714285714</v>
      </c>
      <c r="F49" s="49">
        <f>'Avg Week Munyonyo-Kigo'!F49+'Avg Week Kigo-Munyonyo'!F49</f>
        <v>1.1428571428571428</v>
      </c>
      <c r="G49" s="49">
        <f>'Avg Week Munyonyo-Kigo'!G49+'Avg Week Kigo-Munyonyo'!G49</f>
        <v>0</v>
      </c>
      <c r="H49" s="49">
        <f>'Avg Week Munyonyo-Kigo'!H49+'Avg Week Kigo-Munyonyo'!H49</f>
        <v>0</v>
      </c>
      <c r="I49" s="49">
        <f>'Avg Week Munyonyo-Kigo'!I49+'Avg Week Kigo-Munyonyo'!I49</f>
        <v>0.42857142857142855</v>
      </c>
      <c r="J49" s="49">
        <f>'Avg Week Munyonyo-Kigo'!J49+'Avg Week Kigo-Munyonyo'!J49</f>
        <v>0</v>
      </c>
      <c r="K49" s="49">
        <f>'Avg Week Munyonyo-Kigo'!K49+'Avg Week Kigo-Munyonyo'!K49</f>
        <v>0</v>
      </c>
      <c r="L49" s="49">
        <f>'Avg Week Munyonyo-Kigo'!L49+'Avg Week Kigo-Munyonyo'!L49</f>
        <v>0</v>
      </c>
      <c r="M49" s="49">
        <f>'Avg Week Munyonyo-Kigo'!M49+'Avg Week Kigo-Munyonyo'!M49</f>
        <v>37.571428571428569</v>
      </c>
      <c r="N49" s="49">
        <f>'Avg Week Munyonyo-Kigo'!N49+'Avg Week Kigo-Munyonyo'!N49</f>
        <v>0</v>
      </c>
      <c r="O49" s="15">
        <f t="shared" si="0"/>
        <v>6.7142857142857135</v>
      </c>
      <c r="P49" s="15">
        <f t="shared" si="1"/>
        <v>44.285714285714285</v>
      </c>
      <c r="R49" s="8"/>
      <c r="T49"/>
    </row>
    <row r="50" spans="2:20" ht="23.1" customHeight="1" x14ac:dyDescent="0.25">
      <c r="B50" s="24" t="s">
        <v>77</v>
      </c>
      <c r="C50" s="49">
        <f>'Avg Week Munyonyo-Kigo'!C50+'Avg Week Kigo-Munyonyo'!C50</f>
        <v>3</v>
      </c>
      <c r="D50" s="49">
        <f>'Avg Week Munyonyo-Kigo'!D50+'Avg Week Kigo-Munyonyo'!D50</f>
        <v>0.8571428571428571</v>
      </c>
      <c r="E50" s="49">
        <f>'Avg Week Munyonyo-Kigo'!E50+'Avg Week Kigo-Munyonyo'!E50</f>
        <v>0.7142857142857143</v>
      </c>
      <c r="F50" s="49">
        <f>'Avg Week Munyonyo-Kigo'!F50+'Avg Week Kigo-Munyonyo'!F50</f>
        <v>1</v>
      </c>
      <c r="G50" s="49">
        <f>'Avg Week Munyonyo-Kigo'!G50+'Avg Week Kigo-Munyonyo'!G50</f>
        <v>0</v>
      </c>
      <c r="H50" s="49">
        <f>'Avg Week Munyonyo-Kigo'!H50+'Avg Week Kigo-Munyonyo'!H50</f>
        <v>0</v>
      </c>
      <c r="I50" s="49">
        <f>'Avg Week Munyonyo-Kigo'!I50+'Avg Week Kigo-Munyonyo'!I50</f>
        <v>0</v>
      </c>
      <c r="J50" s="49">
        <f>'Avg Week Munyonyo-Kigo'!J50+'Avg Week Kigo-Munyonyo'!J50</f>
        <v>0</v>
      </c>
      <c r="K50" s="49">
        <f>'Avg Week Munyonyo-Kigo'!K50+'Avg Week Kigo-Munyonyo'!K50</f>
        <v>0</v>
      </c>
      <c r="L50" s="49">
        <f>'Avg Week Munyonyo-Kigo'!L50+'Avg Week Kigo-Munyonyo'!L50</f>
        <v>0</v>
      </c>
      <c r="M50" s="49">
        <f>'Avg Week Munyonyo-Kigo'!M50+'Avg Week Kigo-Munyonyo'!M50</f>
        <v>44.142857142857139</v>
      </c>
      <c r="N50" s="49">
        <f>'Avg Week Munyonyo-Kigo'!N50+'Avg Week Kigo-Munyonyo'!N50</f>
        <v>0</v>
      </c>
      <c r="O50" s="15">
        <f t="shared" si="0"/>
        <v>5.5714285714285712</v>
      </c>
      <c r="P50" s="15">
        <f t="shared" si="1"/>
        <v>49.714285714285708</v>
      </c>
      <c r="R50" s="8"/>
      <c r="T50"/>
    </row>
    <row r="51" spans="2:20" ht="23.1" customHeight="1" x14ac:dyDescent="0.25">
      <c r="B51" s="24" t="s">
        <v>78</v>
      </c>
      <c r="C51" s="49">
        <f>'Avg Week Munyonyo-Kigo'!C51+'Avg Week Kigo-Munyonyo'!C51</f>
        <v>3.8571428571428568</v>
      </c>
      <c r="D51" s="49">
        <f>'Avg Week Munyonyo-Kigo'!D51+'Avg Week Kigo-Munyonyo'!D51</f>
        <v>1.4285714285714286</v>
      </c>
      <c r="E51" s="49">
        <f>'Avg Week Munyonyo-Kigo'!E51+'Avg Week Kigo-Munyonyo'!E51</f>
        <v>0.42857142857142855</v>
      </c>
      <c r="F51" s="49">
        <f>'Avg Week Munyonyo-Kigo'!F51+'Avg Week Kigo-Munyonyo'!F51</f>
        <v>2</v>
      </c>
      <c r="G51" s="49">
        <f>'Avg Week Munyonyo-Kigo'!G51+'Avg Week Kigo-Munyonyo'!G51</f>
        <v>0</v>
      </c>
      <c r="H51" s="49">
        <f>'Avg Week Munyonyo-Kigo'!H51+'Avg Week Kigo-Munyonyo'!H51</f>
        <v>0</v>
      </c>
      <c r="I51" s="49">
        <f>'Avg Week Munyonyo-Kigo'!I51+'Avg Week Kigo-Munyonyo'!I51</f>
        <v>0.5714285714285714</v>
      </c>
      <c r="J51" s="49">
        <f>'Avg Week Munyonyo-Kigo'!J51+'Avg Week Kigo-Munyonyo'!J51</f>
        <v>0</v>
      </c>
      <c r="K51" s="49">
        <f>'Avg Week Munyonyo-Kigo'!K51+'Avg Week Kigo-Munyonyo'!K51</f>
        <v>0</v>
      </c>
      <c r="L51" s="49">
        <f>'Avg Week Munyonyo-Kigo'!L51+'Avg Week Kigo-Munyonyo'!L51</f>
        <v>0</v>
      </c>
      <c r="M51" s="49">
        <f>'Avg Week Munyonyo-Kigo'!M51+'Avg Week Kigo-Munyonyo'!M51</f>
        <v>45.285714285714285</v>
      </c>
      <c r="N51" s="49">
        <f>'Avg Week Munyonyo-Kigo'!N51+'Avg Week Kigo-Munyonyo'!N51</f>
        <v>0</v>
      </c>
      <c r="O51" s="15">
        <f t="shared" si="0"/>
        <v>8.2857142857142865</v>
      </c>
      <c r="P51" s="15">
        <f t="shared" si="1"/>
        <v>53.571428571428569</v>
      </c>
      <c r="R51" s="8"/>
      <c r="T51"/>
    </row>
    <row r="52" spans="2:20" ht="23.1" customHeight="1" x14ac:dyDescent="0.25">
      <c r="B52" s="24" t="s">
        <v>79</v>
      </c>
      <c r="C52" s="49">
        <f>'Avg Week Munyonyo-Kigo'!C52+'Avg Week Kigo-Munyonyo'!C52</f>
        <v>4.1428571428571432</v>
      </c>
      <c r="D52" s="49">
        <f>'Avg Week Munyonyo-Kigo'!D52+'Avg Week Kigo-Munyonyo'!D52</f>
        <v>0.5714285714285714</v>
      </c>
      <c r="E52" s="49">
        <f>'Avg Week Munyonyo-Kigo'!E52+'Avg Week Kigo-Munyonyo'!E52</f>
        <v>0</v>
      </c>
      <c r="F52" s="49">
        <f>'Avg Week Munyonyo-Kigo'!F52+'Avg Week Kigo-Munyonyo'!F52</f>
        <v>0.71428571428571419</v>
      </c>
      <c r="G52" s="49">
        <f>'Avg Week Munyonyo-Kigo'!G52+'Avg Week Kigo-Munyonyo'!G52</f>
        <v>0</v>
      </c>
      <c r="H52" s="49">
        <f>'Avg Week Munyonyo-Kigo'!H52+'Avg Week Kigo-Munyonyo'!H52</f>
        <v>0</v>
      </c>
      <c r="I52" s="49">
        <f>'Avg Week Munyonyo-Kigo'!I52+'Avg Week Kigo-Munyonyo'!I52</f>
        <v>0.14285714285714285</v>
      </c>
      <c r="J52" s="49">
        <f>'Avg Week Munyonyo-Kigo'!J52+'Avg Week Kigo-Munyonyo'!J52</f>
        <v>0</v>
      </c>
      <c r="K52" s="49">
        <f>'Avg Week Munyonyo-Kigo'!K52+'Avg Week Kigo-Munyonyo'!K52</f>
        <v>0</v>
      </c>
      <c r="L52" s="49">
        <f>'Avg Week Munyonyo-Kigo'!L52+'Avg Week Kigo-Munyonyo'!L52</f>
        <v>0</v>
      </c>
      <c r="M52" s="49">
        <f>'Avg Week Munyonyo-Kigo'!M52+'Avg Week Kigo-Munyonyo'!M52</f>
        <v>36.285714285714292</v>
      </c>
      <c r="N52" s="49">
        <f>'Avg Week Munyonyo-Kigo'!N52+'Avg Week Kigo-Munyonyo'!N52</f>
        <v>0</v>
      </c>
      <c r="O52" s="15">
        <f t="shared" si="0"/>
        <v>5.5714285714285721</v>
      </c>
      <c r="P52" s="15">
        <f t="shared" si="1"/>
        <v>41.857142857142861</v>
      </c>
      <c r="R52" s="8"/>
      <c r="T52"/>
    </row>
    <row r="53" spans="2:20" ht="23.1" customHeight="1" x14ac:dyDescent="0.25">
      <c r="B53" s="23" t="s">
        <v>80</v>
      </c>
      <c r="C53" s="49">
        <f>'Avg Week Munyonyo-Kigo'!C53+'Avg Week Kigo-Munyonyo'!C53</f>
        <v>3</v>
      </c>
      <c r="D53" s="49">
        <f>'Avg Week Munyonyo-Kigo'!D53+'Avg Week Kigo-Munyonyo'!D53</f>
        <v>0.2857142857142857</v>
      </c>
      <c r="E53" s="49">
        <f>'Avg Week Munyonyo-Kigo'!E53+'Avg Week Kigo-Munyonyo'!E53</f>
        <v>0.8571428571428571</v>
      </c>
      <c r="F53" s="49">
        <f>'Avg Week Munyonyo-Kigo'!F53+'Avg Week Kigo-Munyonyo'!F53</f>
        <v>1.5714285714285714</v>
      </c>
      <c r="G53" s="49">
        <f>'Avg Week Munyonyo-Kigo'!G53+'Avg Week Kigo-Munyonyo'!G53</f>
        <v>0</v>
      </c>
      <c r="H53" s="49">
        <f>'Avg Week Munyonyo-Kigo'!H53+'Avg Week Kigo-Munyonyo'!H53</f>
        <v>0</v>
      </c>
      <c r="I53" s="49">
        <f>'Avg Week Munyonyo-Kigo'!I53+'Avg Week Kigo-Munyonyo'!I53</f>
        <v>0.42857142857142855</v>
      </c>
      <c r="J53" s="49">
        <f>'Avg Week Munyonyo-Kigo'!J53+'Avg Week Kigo-Munyonyo'!J53</f>
        <v>0.14285714285714285</v>
      </c>
      <c r="K53" s="49">
        <f>'Avg Week Munyonyo-Kigo'!K53+'Avg Week Kigo-Munyonyo'!K53</f>
        <v>0</v>
      </c>
      <c r="L53" s="49">
        <f>'Avg Week Munyonyo-Kigo'!L53+'Avg Week Kigo-Munyonyo'!L53</f>
        <v>0</v>
      </c>
      <c r="M53" s="49">
        <f>'Avg Week Munyonyo-Kigo'!M53+'Avg Week Kigo-Munyonyo'!M53</f>
        <v>36.428571428571431</v>
      </c>
      <c r="N53" s="49">
        <f>'Avg Week Munyonyo-Kigo'!N53+'Avg Week Kigo-Munyonyo'!N53</f>
        <v>0</v>
      </c>
      <c r="O53" s="15">
        <f t="shared" si="0"/>
        <v>6.2857142857142856</v>
      </c>
      <c r="P53" s="15">
        <f t="shared" si="1"/>
        <v>42.714285714285715</v>
      </c>
      <c r="R53" s="8"/>
      <c r="T53"/>
    </row>
    <row r="54" spans="2:20" ht="23.1" customHeight="1" x14ac:dyDescent="0.25">
      <c r="B54" s="23" t="s">
        <v>81</v>
      </c>
      <c r="C54" s="49">
        <f>'Avg Week Munyonyo-Kigo'!C54+'Avg Week Kigo-Munyonyo'!C54</f>
        <v>4.2857142857142856</v>
      </c>
      <c r="D54" s="49">
        <f>'Avg Week Munyonyo-Kigo'!D54+'Avg Week Kigo-Munyonyo'!D54</f>
        <v>0.5714285714285714</v>
      </c>
      <c r="E54" s="49">
        <f>'Avg Week Munyonyo-Kigo'!E54+'Avg Week Kigo-Munyonyo'!E54</f>
        <v>1.2857142857142856</v>
      </c>
      <c r="F54" s="49">
        <f>'Avg Week Munyonyo-Kigo'!F54+'Avg Week Kigo-Munyonyo'!F54</f>
        <v>0.71428571428571419</v>
      </c>
      <c r="G54" s="49">
        <f>'Avg Week Munyonyo-Kigo'!G54+'Avg Week Kigo-Munyonyo'!G54</f>
        <v>0</v>
      </c>
      <c r="H54" s="49">
        <f>'Avg Week Munyonyo-Kigo'!H54+'Avg Week Kigo-Munyonyo'!H54</f>
        <v>0</v>
      </c>
      <c r="I54" s="49">
        <f>'Avg Week Munyonyo-Kigo'!I54+'Avg Week Kigo-Munyonyo'!I54</f>
        <v>0.5714285714285714</v>
      </c>
      <c r="J54" s="49">
        <f>'Avg Week Munyonyo-Kigo'!J54+'Avg Week Kigo-Munyonyo'!J54</f>
        <v>0</v>
      </c>
      <c r="K54" s="49">
        <f>'Avg Week Munyonyo-Kigo'!K54+'Avg Week Kigo-Munyonyo'!K54</f>
        <v>0</v>
      </c>
      <c r="L54" s="49">
        <f>'Avg Week Munyonyo-Kigo'!L54+'Avg Week Kigo-Munyonyo'!L54</f>
        <v>0</v>
      </c>
      <c r="M54" s="49">
        <f>'Avg Week Munyonyo-Kigo'!M54+'Avg Week Kigo-Munyonyo'!M54</f>
        <v>51</v>
      </c>
      <c r="N54" s="49">
        <f>'Avg Week Munyonyo-Kigo'!N54+'Avg Week Kigo-Munyonyo'!N54</f>
        <v>0</v>
      </c>
      <c r="O54" s="15">
        <f t="shared" si="0"/>
        <v>7.4285714285714279</v>
      </c>
      <c r="P54" s="15">
        <f t="shared" si="1"/>
        <v>58.428571428571431</v>
      </c>
      <c r="R54" s="8"/>
      <c r="T54"/>
    </row>
    <row r="55" spans="2:20" ht="23.1" customHeight="1" x14ac:dyDescent="0.25">
      <c r="B55" s="23" t="s">
        <v>82</v>
      </c>
      <c r="C55" s="49">
        <f>'Avg Week Munyonyo-Kigo'!C55+'Avg Week Kigo-Munyonyo'!C55</f>
        <v>3.4285714285714284</v>
      </c>
      <c r="D55" s="49">
        <f>'Avg Week Munyonyo-Kigo'!D55+'Avg Week Kigo-Munyonyo'!D55</f>
        <v>1.2857142857142856</v>
      </c>
      <c r="E55" s="49">
        <f>'Avg Week Munyonyo-Kigo'!E55+'Avg Week Kigo-Munyonyo'!E55</f>
        <v>0.2857142857142857</v>
      </c>
      <c r="F55" s="49">
        <f>'Avg Week Munyonyo-Kigo'!F55+'Avg Week Kigo-Munyonyo'!F55</f>
        <v>0.5714285714285714</v>
      </c>
      <c r="G55" s="49">
        <f>'Avg Week Munyonyo-Kigo'!G55+'Avg Week Kigo-Munyonyo'!G55</f>
        <v>0</v>
      </c>
      <c r="H55" s="49">
        <f>'Avg Week Munyonyo-Kigo'!H55+'Avg Week Kigo-Munyonyo'!H55</f>
        <v>0</v>
      </c>
      <c r="I55" s="49">
        <f>'Avg Week Munyonyo-Kigo'!I55+'Avg Week Kigo-Munyonyo'!I55</f>
        <v>0.71428571428571419</v>
      </c>
      <c r="J55" s="49">
        <f>'Avg Week Munyonyo-Kigo'!J55+'Avg Week Kigo-Munyonyo'!J55</f>
        <v>0.14285714285714285</v>
      </c>
      <c r="K55" s="49">
        <f>'Avg Week Munyonyo-Kigo'!K55+'Avg Week Kigo-Munyonyo'!K55</f>
        <v>0</v>
      </c>
      <c r="L55" s="49">
        <f>'Avg Week Munyonyo-Kigo'!L55+'Avg Week Kigo-Munyonyo'!L55</f>
        <v>0</v>
      </c>
      <c r="M55" s="49">
        <f>'Avg Week Munyonyo-Kigo'!M55+'Avg Week Kigo-Munyonyo'!M55</f>
        <v>42.714285714285715</v>
      </c>
      <c r="N55" s="49">
        <f>'Avg Week Munyonyo-Kigo'!N55+'Avg Week Kigo-Munyonyo'!N55</f>
        <v>0</v>
      </c>
      <c r="O55" s="15">
        <f t="shared" si="0"/>
        <v>6.4285714285714279</v>
      </c>
      <c r="P55" s="15">
        <f t="shared" si="1"/>
        <v>49.142857142857146</v>
      </c>
      <c r="R55" s="8"/>
      <c r="T55"/>
    </row>
    <row r="56" spans="2:20" ht="23.1" customHeight="1" x14ac:dyDescent="0.25">
      <c r="B56" s="23" t="s">
        <v>83</v>
      </c>
      <c r="C56" s="49">
        <f>'Avg Week Munyonyo-Kigo'!C56+'Avg Week Kigo-Munyonyo'!C56</f>
        <v>3.4285714285714288</v>
      </c>
      <c r="D56" s="49">
        <f>'Avg Week Munyonyo-Kigo'!D56+'Avg Week Kigo-Munyonyo'!D56</f>
        <v>1</v>
      </c>
      <c r="E56" s="49">
        <f>'Avg Week Munyonyo-Kigo'!E56+'Avg Week Kigo-Munyonyo'!E56</f>
        <v>0.5714285714285714</v>
      </c>
      <c r="F56" s="49">
        <f>'Avg Week Munyonyo-Kigo'!F56+'Avg Week Kigo-Munyonyo'!F56</f>
        <v>1.2857142857142856</v>
      </c>
      <c r="G56" s="49">
        <f>'Avg Week Munyonyo-Kigo'!G56+'Avg Week Kigo-Munyonyo'!G56</f>
        <v>0</v>
      </c>
      <c r="H56" s="49">
        <f>'Avg Week Munyonyo-Kigo'!H56+'Avg Week Kigo-Munyonyo'!H56</f>
        <v>0</v>
      </c>
      <c r="I56" s="49">
        <f>'Avg Week Munyonyo-Kigo'!I56+'Avg Week Kigo-Munyonyo'!I56</f>
        <v>1</v>
      </c>
      <c r="J56" s="49">
        <f>'Avg Week Munyonyo-Kigo'!J56+'Avg Week Kigo-Munyonyo'!J56</f>
        <v>0.14285714285714285</v>
      </c>
      <c r="K56" s="49">
        <f>'Avg Week Munyonyo-Kigo'!K56+'Avg Week Kigo-Munyonyo'!K56</f>
        <v>0</v>
      </c>
      <c r="L56" s="49">
        <f>'Avg Week Munyonyo-Kigo'!L56+'Avg Week Kigo-Munyonyo'!L56</f>
        <v>0</v>
      </c>
      <c r="M56" s="49">
        <f>'Avg Week Munyonyo-Kigo'!M56+'Avg Week Kigo-Munyonyo'!M56</f>
        <v>49.285714285714285</v>
      </c>
      <c r="N56" s="49">
        <f>'Avg Week Munyonyo-Kigo'!N56+'Avg Week Kigo-Munyonyo'!N56</f>
        <v>0</v>
      </c>
      <c r="O56" s="15">
        <f t="shared" si="0"/>
        <v>7.4285714285714288</v>
      </c>
      <c r="P56" s="15">
        <f t="shared" si="1"/>
        <v>56.714285714285715</v>
      </c>
      <c r="R56" s="8"/>
      <c r="T56"/>
    </row>
    <row r="57" spans="2:20" ht="23.1" customHeight="1" x14ac:dyDescent="0.25">
      <c r="B57" s="23" t="s">
        <v>84</v>
      </c>
      <c r="C57" s="49">
        <f>'Avg Week Munyonyo-Kigo'!C57+'Avg Week Kigo-Munyonyo'!C57</f>
        <v>2</v>
      </c>
      <c r="D57" s="49">
        <f>'Avg Week Munyonyo-Kigo'!D57+'Avg Week Kigo-Munyonyo'!D57</f>
        <v>0.5714285714285714</v>
      </c>
      <c r="E57" s="49">
        <f>'Avg Week Munyonyo-Kigo'!E57+'Avg Week Kigo-Munyonyo'!E57</f>
        <v>0.5714285714285714</v>
      </c>
      <c r="F57" s="49">
        <f>'Avg Week Munyonyo-Kigo'!F57+'Avg Week Kigo-Munyonyo'!F57</f>
        <v>0.5714285714285714</v>
      </c>
      <c r="G57" s="49">
        <f>'Avg Week Munyonyo-Kigo'!G57+'Avg Week Kigo-Munyonyo'!G57</f>
        <v>0</v>
      </c>
      <c r="H57" s="49">
        <f>'Avg Week Munyonyo-Kigo'!H57+'Avg Week Kigo-Munyonyo'!H57</f>
        <v>0</v>
      </c>
      <c r="I57" s="49">
        <f>'Avg Week Munyonyo-Kigo'!I57+'Avg Week Kigo-Munyonyo'!I57</f>
        <v>0.85714285714285721</v>
      </c>
      <c r="J57" s="49">
        <f>'Avg Week Munyonyo-Kigo'!J57+'Avg Week Kigo-Munyonyo'!J57</f>
        <v>0.14285714285714285</v>
      </c>
      <c r="K57" s="49">
        <f>'Avg Week Munyonyo-Kigo'!K57+'Avg Week Kigo-Munyonyo'!K57</f>
        <v>0</v>
      </c>
      <c r="L57" s="49">
        <f>'Avg Week Munyonyo-Kigo'!L57+'Avg Week Kigo-Munyonyo'!L57</f>
        <v>0</v>
      </c>
      <c r="M57" s="49">
        <f>'Avg Week Munyonyo-Kigo'!M57+'Avg Week Kigo-Munyonyo'!M57</f>
        <v>40.142857142857139</v>
      </c>
      <c r="N57" s="49">
        <f>'Avg Week Munyonyo-Kigo'!N57+'Avg Week Kigo-Munyonyo'!N57</f>
        <v>0</v>
      </c>
      <c r="O57" s="15">
        <f t="shared" si="0"/>
        <v>4.7142857142857144</v>
      </c>
      <c r="P57" s="15">
        <f t="shared" si="1"/>
        <v>44.857142857142854</v>
      </c>
      <c r="R57" s="8"/>
      <c r="T57"/>
    </row>
    <row r="58" spans="2:20" ht="23.1" customHeight="1" x14ac:dyDescent="0.25">
      <c r="B58" s="23" t="s">
        <v>99</v>
      </c>
      <c r="C58" s="49">
        <f>'Avg Week Munyonyo-Kigo'!C58+'Avg Week Kigo-Munyonyo'!C58</f>
        <v>4</v>
      </c>
      <c r="D58" s="49">
        <f>'Avg Week Munyonyo-Kigo'!D58+'Avg Week Kigo-Munyonyo'!D58</f>
        <v>1</v>
      </c>
      <c r="E58" s="49">
        <f>'Avg Week Munyonyo-Kigo'!E58+'Avg Week Kigo-Munyonyo'!E58</f>
        <v>0.5</v>
      </c>
      <c r="F58" s="49">
        <f>'Avg Week Munyonyo-Kigo'!F58+'Avg Week Kigo-Munyonyo'!F58</f>
        <v>0</v>
      </c>
      <c r="G58" s="49">
        <f>'Avg Week Munyonyo-Kigo'!G58+'Avg Week Kigo-Munyonyo'!G58</f>
        <v>0</v>
      </c>
      <c r="H58" s="49">
        <f>'Avg Week Munyonyo-Kigo'!H58+'Avg Week Kigo-Munyonyo'!H58</f>
        <v>0</v>
      </c>
      <c r="I58" s="49">
        <f>'Avg Week Munyonyo-Kigo'!I58+'Avg Week Kigo-Munyonyo'!I58</f>
        <v>0</v>
      </c>
      <c r="J58" s="49">
        <f>'Avg Week Munyonyo-Kigo'!J58+'Avg Week Kigo-Munyonyo'!J58</f>
        <v>0</v>
      </c>
      <c r="K58" s="49">
        <f>'Avg Week Munyonyo-Kigo'!K58+'Avg Week Kigo-Munyonyo'!K58</f>
        <v>0</v>
      </c>
      <c r="L58" s="49">
        <f>'Avg Week Munyonyo-Kigo'!L58+'Avg Week Kigo-Munyonyo'!L58</f>
        <v>0</v>
      </c>
      <c r="M58" s="49">
        <f>'Avg Week Munyonyo-Kigo'!M58+'Avg Week Kigo-Munyonyo'!M58</f>
        <v>51</v>
      </c>
      <c r="N58" s="49">
        <f>'Avg Week Munyonyo-Kigo'!N58+'Avg Week Kigo-Munyonyo'!N58</f>
        <v>0</v>
      </c>
      <c r="O58" s="15">
        <f t="shared" si="0"/>
        <v>5.5</v>
      </c>
      <c r="P58" s="15">
        <f t="shared" si="1"/>
        <v>56.5</v>
      </c>
      <c r="R58" s="8"/>
      <c r="T58"/>
    </row>
    <row r="59" spans="2:20" ht="23.1" customHeight="1" x14ac:dyDescent="0.25">
      <c r="B59" s="23" t="s">
        <v>100</v>
      </c>
      <c r="C59" s="49">
        <f>'Avg Week Munyonyo-Kigo'!C59+'Avg Week Kigo-Munyonyo'!C59</f>
        <v>1.5</v>
      </c>
      <c r="D59" s="49">
        <f>'Avg Week Munyonyo-Kigo'!D59+'Avg Week Kigo-Munyonyo'!D59</f>
        <v>1</v>
      </c>
      <c r="E59" s="49">
        <f>'Avg Week Munyonyo-Kigo'!E59+'Avg Week Kigo-Munyonyo'!E59</f>
        <v>0.5</v>
      </c>
      <c r="F59" s="49">
        <f>'Avg Week Munyonyo-Kigo'!F59+'Avg Week Kigo-Munyonyo'!F59</f>
        <v>0</v>
      </c>
      <c r="G59" s="49">
        <f>'Avg Week Munyonyo-Kigo'!G59+'Avg Week Kigo-Munyonyo'!G59</f>
        <v>0</v>
      </c>
      <c r="H59" s="49">
        <f>'Avg Week Munyonyo-Kigo'!H59+'Avg Week Kigo-Munyonyo'!H59</f>
        <v>0</v>
      </c>
      <c r="I59" s="49">
        <f>'Avg Week Munyonyo-Kigo'!I59+'Avg Week Kigo-Munyonyo'!I59</f>
        <v>0.5</v>
      </c>
      <c r="J59" s="49">
        <f>'Avg Week Munyonyo-Kigo'!J59+'Avg Week Kigo-Munyonyo'!J59</f>
        <v>0</v>
      </c>
      <c r="K59" s="49">
        <f>'Avg Week Munyonyo-Kigo'!K59+'Avg Week Kigo-Munyonyo'!K59</f>
        <v>0</v>
      </c>
      <c r="L59" s="49">
        <f>'Avg Week Munyonyo-Kigo'!L59+'Avg Week Kigo-Munyonyo'!L59</f>
        <v>0</v>
      </c>
      <c r="M59" s="49">
        <f>'Avg Week Munyonyo-Kigo'!M59+'Avg Week Kigo-Munyonyo'!M59</f>
        <v>55</v>
      </c>
      <c r="N59" s="49">
        <f>'Avg Week Munyonyo-Kigo'!N59+'Avg Week Kigo-Munyonyo'!N59</f>
        <v>0</v>
      </c>
      <c r="O59" s="15">
        <f t="shared" si="0"/>
        <v>3.5</v>
      </c>
      <c r="P59" s="15">
        <f t="shared" si="1"/>
        <v>58.5</v>
      </c>
      <c r="R59" s="8"/>
      <c r="T59"/>
    </row>
    <row r="60" spans="2:20" ht="23.1" customHeight="1" x14ac:dyDescent="0.25">
      <c r="B60" s="23" t="s">
        <v>101</v>
      </c>
      <c r="C60" s="49">
        <f>'Avg Week Munyonyo-Kigo'!C60+'Avg Week Kigo-Munyonyo'!C60</f>
        <v>3.5</v>
      </c>
      <c r="D60" s="49">
        <f>'Avg Week Munyonyo-Kigo'!D60+'Avg Week Kigo-Munyonyo'!D60</f>
        <v>2</v>
      </c>
      <c r="E60" s="49">
        <f>'Avg Week Munyonyo-Kigo'!E60+'Avg Week Kigo-Munyonyo'!E60</f>
        <v>0.5</v>
      </c>
      <c r="F60" s="49">
        <f>'Avg Week Munyonyo-Kigo'!F60+'Avg Week Kigo-Munyonyo'!F60</f>
        <v>0.5</v>
      </c>
      <c r="G60" s="49">
        <f>'Avg Week Munyonyo-Kigo'!G60+'Avg Week Kigo-Munyonyo'!G60</f>
        <v>0</v>
      </c>
      <c r="H60" s="49">
        <f>'Avg Week Munyonyo-Kigo'!H60+'Avg Week Kigo-Munyonyo'!H60</f>
        <v>0</v>
      </c>
      <c r="I60" s="49">
        <f>'Avg Week Munyonyo-Kigo'!I60+'Avg Week Kigo-Munyonyo'!I60</f>
        <v>0</v>
      </c>
      <c r="J60" s="49">
        <f>'Avg Week Munyonyo-Kigo'!J60+'Avg Week Kigo-Munyonyo'!J60</f>
        <v>0</v>
      </c>
      <c r="K60" s="49">
        <f>'Avg Week Munyonyo-Kigo'!K60+'Avg Week Kigo-Munyonyo'!K60</f>
        <v>0</v>
      </c>
      <c r="L60" s="49">
        <f>'Avg Week Munyonyo-Kigo'!L60+'Avg Week Kigo-Munyonyo'!L60</f>
        <v>0</v>
      </c>
      <c r="M60" s="49">
        <f>'Avg Week Munyonyo-Kigo'!M60+'Avg Week Kigo-Munyonyo'!M60</f>
        <v>60.5</v>
      </c>
      <c r="N60" s="49">
        <f>'Avg Week Munyonyo-Kigo'!N60+'Avg Week Kigo-Munyonyo'!N60</f>
        <v>0</v>
      </c>
      <c r="O60" s="15">
        <f t="shared" si="0"/>
        <v>6.5</v>
      </c>
      <c r="P60" s="15">
        <f t="shared" si="1"/>
        <v>67</v>
      </c>
      <c r="R60" s="8"/>
      <c r="T60"/>
    </row>
    <row r="61" spans="2:20" ht="23.1" customHeight="1" x14ac:dyDescent="0.25">
      <c r="B61" s="23" t="s">
        <v>102</v>
      </c>
      <c r="C61" s="49">
        <f>'Avg Week Munyonyo-Kigo'!C61+'Avg Week Kigo-Munyonyo'!C61</f>
        <v>2.5</v>
      </c>
      <c r="D61" s="49">
        <f>'Avg Week Munyonyo-Kigo'!D61+'Avg Week Kigo-Munyonyo'!D61</f>
        <v>0</v>
      </c>
      <c r="E61" s="49">
        <f>'Avg Week Munyonyo-Kigo'!E61+'Avg Week Kigo-Munyonyo'!E61</f>
        <v>1</v>
      </c>
      <c r="F61" s="49">
        <f>'Avg Week Munyonyo-Kigo'!F61+'Avg Week Kigo-Munyonyo'!F61</f>
        <v>0.5</v>
      </c>
      <c r="G61" s="49">
        <f>'Avg Week Munyonyo-Kigo'!G61+'Avg Week Kigo-Munyonyo'!G61</f>
        <v>0</v>
      </c>
      <c r="H61" s="49">
        <f>'Avg Week Munyonyo-Kigo'!H61+'Avg Week Kigo-Munyonyo'!H61</f>
        <v>0</v>
      </c>
      <c r="I61" s="49">
        <f>'Avg Week Munyonyo-Kigo'!I61+'Avg Week Kigo-Munyonyo'!I61</f>
        <v>0</v>
      </c>
      <c r="J61" s="49">
        <f>'Avg Week Munyonyo-Kigo'!J61+'Avg Week Kigo-Munyonyo'!J61</f>
        <v>0</v>
      </c>
      <c r="K61" s="49">
        <f>'Avg Week Munyonyo-Kigo'!K61+'Avg Week Kigo-Munyonyo'!K61</f>
        <v>0</v>
      </c>
      <c r="L61" s="49">
        <f>'Avg Week Munyonyo-Kigo'!L61+'Avg Week Kigo-Munyonyo'!L61</f>
        <v>0</v>
      </c>
      <c r="M61" s="49">
        <f>'Avg Week Munyonyo-Kigo'!M61+'Avg Week Kigo-Munyonyo'!M61</f>
        <v>62.5</v>
      </c>
      <c r="N61" s="49">
        <f>'Avg Week Munyonyo-Kigo'!N61+'Avg Week Kigo-Munyonyo'!N61</f>
        <v>0</v>
      </c>
      <c r="O61" s="15">
        <f t="shared" si="0"/>
        <v>4</v>
      </c>
      <c r="P61" s="15">
        <f t="shared" si="1"/>
        <v>66.5</v>
      </c>
      <c r="R61" s="8"/>
      <c r="T61"/>
    </row>
    <row r="62" spans="2:20" ht="23.1" customHeight="1" x14ac:dyDescent="0.25">
      <c r="B62" s="23" t="s">
        <v>107</v>
      </c>
      <c r="C62" s="49">
        <f>'Avg Week Munyonyo-Kigo'!C62+'Avg Week Kigo-Munyonyo'!C62</f>
        <v>6.5</v>
      </c>
      <c r="D62" s="49">
        <f>'Avg Week Munyonyo-Kigo'!D62+'Avg Week Kigo-Munyonyo'!D62</f>
        <v>1</v>
      </c>
      <c r="E62" s="49">
        <f>'Avg Week Munyonyo-Kigo'!E62+'Avg Week Kigo-Munyonyo'!E62</f>
        <v>1</v>
      </c>
      <c r="F62" s="49">
        <f>'Avg Week Munyonyo-Kigo'!F62+'Avg Week Kigo-Munyonyo'!F62</f>
        <v>0</v>
      </c>
      <c r="G62" s="49">
        <f>'Avg Week Munyonyo-Kigo'!G62+'Avg Week Kigo-Munyonyo'!G62</f>
        <v>0</v>
      </c>
      <c r="H62" s="49">
        <f>'Avg Week Munyonyo-Kigo'!H62+'Avg Week Kigo-Munyonyo'!H62</f>
        <v>0</v>
      </c>
      <c r="I62" s="49">
        <f>'Avg Week Munyonyo-Kigo'!I62+'Avg Week Kigo-Munyonyo'!I62</f>
        <v>0</v>
      </c>
      <c r="J62" s="49">
        <f>'Avg Week Munyonyo-Kigo'!J62+'Avg Week Kigo-Munyonyo'!J62</f>
        <v>0.5</v>
      </c>
      <c r="K62" s="49">
        <f>'Avg Week Munyonyo-Kigo'!K62+'Avg Week Kigo-Munyonyo'!K62</f>
        <v>0</v>
      </c>
      <c r="L62" s="49">
        <f>'Avg Week Munyonyo-Kigo'!L62+'Avg Week Kigo-Munyonyo'!L62</f>
        <v>0</v>
      </c>
      <c r="M62" s="49">
        <f>'Avg Week Munyonyo-Kigo'!M62+'Avg Week Kigo-Munyonyo'!M62</f>
        <v>67.5</v>
      </c>
      <c r="N62" s="49">
        <f>'Avg Week Munyonyo-Kigo'!N62+'Avg Week Kigo-Munyonyo'!N62</f>
        <v>0</v>
      </c>
      <c r="O62" s="15">
        <f t="shared" si="0"/>
        <v>9</v>
      </c>
      <c r="P62" s="15">
        <f t="shared" si="1"/>
        <v>76.5</v>
      </c>
      <c r="R62" s="8"/>
      <c r="T62"/>
    </row>
    <row r="63" spans="2:20" ht="23.1" customHeight="1" x14ac:dyDescent="0.25">
      <c r="B63" s="23" t="s">
        <v>108</v>
      </c>
      <c r="C63" s="49">
        <f>'Avg Week Munyonyo-Kigo'!C63+'Avg Week Kigo-Munyonyo'!C63</f>
        <v>5.5</v>
      </c>
      <c r="D63" s="49">
        <f>'Avg Week Munyonyo-Kigo'!D63+'Avg Week Kigo-Munyonyo'!D63</f>
        <v>1.5</v>
      </c>
      <c r="E63" s="49">
        <f>'Avg Week Munyonyo-Kigo'!E63+'Avg Week Kigo-Munyonyo'!E63</f>
        <v>1.5</v>
      </c>
      <c r="F63" s="49">
        <f>'Avg Week Munyonyo-Kigo'!F63+'Avg Week Kigo-Munyonyo'!F63</f>
        <v>0</v>
      </c>
      <c r="G63" s="49">
        <f>'Avg Week Munyonyo-Kigo'!G63+'Avg Week Kigo-Munyonyo'!G63</f>
        <v>0</v>
      </c>
      <c r="H63" s="49">
        <f>'Avg Week Munyonyo-Kigo'!H63+'Avg Week Kigo-Munyonyo'!H63</f>
        <v>0</v>
      </c>
      <c r="I63" s="49">
        <f>'Avg Week Munyonyo-Kigo'!I63+'Avg Week Kigo-Munyonyo'!I63</f>
        <v>0.5</v>
      </c>
      <c r="J63" s="49">
        <f>'Avg Week Munyonyo-Kigo'!J63+'Avg Week Kigo-Munyonyo'!J63</f>
        <v>0</v>
      </c>
      <c r="K63" s="49">
        <f>'Avg Week Munyonyo-Kigo'!K63+'Avg Week Kigo-Munyonyo'!K63</f>
        <v>0</v>
      </c>
      <c r="L63" s="49">
        <f>'Avg Week Munyonyo-Kigo'!L63+'Avg Week Kigo-Munyonyo'!L63</f>
        <v>0</v>
      </c>
      <c r="M63" s="49">
        <f>'Avg Week Munyonyo-Kigo'!M63+'Avg Week Kigo-Munyonyo'!M63</f>
        <v>55</v>
      </c>
      <c r="N63" s="49">
        <f>'Avg Week Munyonyo-Kigo'!N63+'Avg Week Kigo-Munyonyo'!N63</f>
        <v>0</v>
      </c>
      <c r="O63" s="15">
        <f t="shared" si="0"/>
        <v>9</v>
      </c>
      <c r="P63" s="15">
        <f t="shared" si="1"/>
        <v>64</v>
      </c>
      <c r="R63" s="8"/>
      <c r="T63"/>
    </row>
    <row r="64" spans="2:20" ht="23.1" customHeight="1" x14ac:dyDescent="0.25">
      <c r="B64" s="23" t="s">
        <v>109</v>
      </c>
      <c r="C64" s="49">
        <f>'Avg Week Munyonyo-Kigo'!C64+'Avg Week Kigo-Munyonyo'!C64</f>
        <v>5</v>
      </c>
      <c r="D64" s="49">
        <f>'Avg Week Munyonyo-Kigo'!D64+'Avg Week Kigo-Munyonyo'!D64</f>
        <v>0.5</v>
      </c>
      <c r="E64" s="49">
        <f>'Avg Week Munyonyo-Kigo'!E64+'Avg Week Kigo-Munyonyo'!E64</f>
        <v>0.5</v>
      </c>
      <c r="F64" s="49">
        <f>'Avg Week Munyonyo-Kigo'!F64+'Avg Week Kigo-Munyonyo'!F64</f>
        <v>2</v>
      </c>
      <c r="G64" s="49">
        <f>'Avg Week Munyonyo-Kigo'!G64+'Avg Week Kigo-Munyonyo'!G64</f>
        <v>0</v>
      </c>
      <c r="H64" s="49">
        <f>'Avg Week Munyonyo-Kigo'!H64+'Avg Week Kigo-Munyonyo'!H64</f>
        <v>0</v>
      </c>
      <c r="I64" s="49">
        <f>'Avg Week Munyonyo-Kigo'!I64+'Avg Week Kigo-Munyonyo'!I64</f>
        <v>1.5</v>
      </c>
      <c r="J64" s="49">
        <f>'Avg Week Munyonyo-Kigo'!J64+'Avg Week Kigo-Munyonyo'!J64</f>
        <v>0</v>
      </c>
      <c r="K64" s="49">
        <f>'Avg Week Munyonyo-Kigo'!K64+'Avg Week Kigo-Munyonyo'!K64</f>
        <v>0</v>
      </c>
      <c r="L64" s="49">
        <f>'Avg Week Munyonyo-Kigo'!L64+'Avg Week Kigo-Munyonyo'!L64</f>
        <v>0</v>
      </c>
      <c r="M64" s="49">
        <f>'Avg Week Munyonyo-Kigo'!M64+'Avg Week Kigo-Munyonyo'!M64</f>
        <v>49</v>
      </c>
      <c r="N64" s="49">
        <f>'Avg Week Munyonyo-Kigo'!N64+'Avg Week Kigo-Munyonyo'!N64</f>
        <v>0</v>
      </c>
      <c r="O64" s="15">
        <f t="shared" si="0"/>
        <v>9.5</v>
      </c>
      <c r="P64" s="15">
        <f t="shared" si="1"/>
        <v>58.5</v>
      </c>
      <c r="R64" s="8"/>
      <c r="T64"/>
    </row>
    <row r="65" spans="2:20" ht="23.1" customHeight="1" x14ac:dyDescent="0.25">
      <c r="B65" s="23" t="s">
        <v>158</v>
      </c>
      <c r="C65" s="49">
        <f>'Avg Week Munyonyo-Kigo'!C65+'Avg Week Kigo-Munyonyo'!C65</f>
        <v>3.5</v>
      </c>
      <c r="D65" s="49">
        <f>'Avg Week Munyonyo-Kigo'!D65+'Avg Week Kigo-Munyonyo'!D65</f>
        <v>0</v>
      </c>
      <c r="E65" s="49">
        <f>'Avg Week Munyonyo-Kigo'!E65+'Avg Week Kigo-Munyonyo'!E65</f>
        <v>1</v>
      </c>
      <c r="F65" s="49">
        <f>'Avg Week Munyonyo-Kigo'!F65+'Avg Week Kigo-Munyonyo'!F65</f>
        <v>1</v>
      </c>
      <c r="G65" s="49">
        <f>'Avg Week Munyonyo-Kigo'!G65+'Avg Week Kigo-Munyonyo'!G65</f>
        <v>0</v>
      </c>
      <c r="H65" s="49">
        <f>'Avg Week Munyonyo-Kigo'!H65+'Avg Week Kigo-Munyonyo'!H65</f>
        <v>0</v>
      </c>
      <c r="I65" s="49">
        <f>'Avg Week Munyonyo-Kigo'!I65+'Avg Week Kigo-Munyonyo'!I65</f>
        <v>0</v>
      </c>
      <c r="J65" s="49">
        <f>'Avg Week Munyonyo-Kigo'!J65+'Avg Week Kigo-Munyonyo'!J65</f>
        <v>0</v>
      </c>
      <c r="K65" s="49">
        <f>'Avg Week Munyonyo-Kigo'!K65+'Avg Week Kigo-Munyonyo'!K65</f>
        <v>0</v>
      </c>
      <c r="L65" s="49">
        <f>'Avg Week Munyonyo-Kigo'!L65+'Avg Week Kigo-Munyonyo'!L65</f>
        <v>0</v>
      </c>
      <c r="M65" s="49">
        <f>'Avg Week Munyonyo-Kigo'!M65+'Avg Week Kigo-Munyonyo'!M65</f>
        <v>40</v>
      </c>
      <c r="N65" s="49">
        <f>'Avg Week Munyonyo-Kigo'!N65+'Avg Week Kigo-Munyonyo'!N65</f>
        <v>0</v>
      </c>
      <c r="O65" s="15">
        <f t="shared" si="0"/>
        <v>5.5</v>
      </c>
      <c r="P65" s="15">
        <f t="shared" si="1"/>
        <v>45.5</v>
      </c>
      <c r="R65" s="8"/>
      <c r="T65"/>
    </row>
    <row r="66" spans="2:20" ht="23.1" customHeight="1" x14ac:dyDescent="0.25">
      <c r="B66" s="23" t="s">
        <v>103</v>
      </c>
      <c r="C66" s="49">
        <f>'Avg Week Munyonyo-Kigo'!C66+'Avg Week Kigo-Munyonyo'!C66</f>
        <v>3</v>
      </c>
      <c r="D66" s="49">
        <f>'Avg Week Munyonyo-Kigo'!D66+'Avg Week Kigo-Munyonyo'!D66</f>
        <v>1.5</v>
      </c>
      <c r="E66" s="49">
        <f>'Avg Week Munyonyo-Kigo'!E66+'Avg Week Kigo-Munyonyo'!E66</f>
        <v>1</v>
      </c>
      <c r="F66" s="49">
        <f>'Avg Week Munyonyo-Kigo'!F66+'Avg Week Kigo-Munyonyo'!F66</f>
        <v>1</v>
      </c>
      <c r="G66" s="49">
        <f>'Avg Week Munyonyo-Kigo'!G66+'Avg Week Kigo-Munyonyo'!G66</f>
        <v>0</v>
      </c>
      <c r="H66" s="49">
        <f>'Avg Week Munyonyo-Kigo'!H66+'Avg Week Kigo-Munyonyo'!H66</f>
        <v>0</v>
      </c>
      <c r="I66" s="49">
        <f>'Avg Week Munyonyo-Kigo'!I66+'Avg Week Kigo-Munyonyo'!I66</f>
        <v>1</v>
      </c>
      <c r="J66" s="49">
        <f>'Avg Week Munyonyo-Kigo'!J66+'Avg Week Kigo-Munyonyo'!J66</f>
        <v>0.5</v>
      </c>
      <c r="K66" s="49">
        <f>'Avg Week Munyonyo-Kigo'!K66+'Avg Week Kigo-Munyonyo'!K66</f>
        <v>0</v>
      </c>
      <c r="L66" s="49">
        <f>'Avg Week Munyonyo-Kigo'!L66+'Avg Week Kigo-Munyonyo'!L66</f>
        <v>0</v>
      </c>
      <c r="M66" s="49">
        <f>'Avg Week Munyonyo-Kigo'!M66+'Avg Week Kigo-Munyonyo'!M66</f>
        <v>51.5</v>
      </c>
      <c r="N66" s="49">
        <f>'Avg Week Munyonyo-Kigo'!N66+'Avg Week Kigo-Munyonyo'!N66</f>
        <v>0</v>
      </c>
      <c r="O66" s="15">
        <f t="shared" si="0"/>
        <v>8</v>
      </c>
      <c r="P66" s="15">
        <f t="shared" si="1"/>
        <v>59.5</v>
      </c>
      <c r="R66" s="8"/>
      <c r="T66"/>
    </row>
    <row r="67" spans="2:20" ht="23.1" customHeight="1" x14ac:dyDescent="0.25">
      <c r="B67" s="23" t="s">
        <v>104</v>
      </c>
      <c r="C67" s="49">
        <f>'Avg Week Munyonyo-Kigo'!C67+'Avg Week Kigo-Munyonyo'!C67</f>
        <v>4</v>
      </c>
      <c r="D67" s="49">
        <f>'Avg Week Munyonyo-Kigo'!D67+'Avg Week Kigo-Munyonyo'!D67</f>
        <v>2.5</v>
      </c>
      <c r="E67" s="49">
        <f>'Avg Week Munyonyo-Kigo'!E67+'Avg Week Kigo-Munyonyo'!E67</f>
        <v>1</v>
      </c>
      <c r="F67" s="49">
        <f>'Avg Week Munyonyo-Kigo'!F67+'Avg Week Kigo-Munyonyo'!F67</f>
        <v>0</v>
      </c>
      <c r="G67" s="49">
        <f>'Avg Week Munyonyo-Kigo'!G67+'Avg Week Kigo-Munyonyo'!G67</f>
        <v>0</v>
      </c>
      <c r="H67" s="49">
        <f>'Avg Week Munyonyo-Kigo'!H67+'Avg Week Kigo-Munyonyo'!H67</f>
        <v>0.5</v>
      </c>
      <c r="I67" s="49">
        <f>'Avg Week Munyonyo-Kigo'!I67+'Avg Week Kigo-Munyonyo'!I67</f>
        <v>0</v>
      </c>
      <c r="J67" s="49">
        <f>'Avg Week Munyonyo-Kigo'!J67+'Avg Week Kigo-Munyonyo'!J67</f>
        <v>0</v>
      </c>
      <c r="K67" s="49">
        <f>'Avg Week Munyonyo-Kigo'!K67+'Avg Week Kigo-Munyonyo'!K67</f>
        <v>0</v>
      </c>
      <c r="L67" s="49">
        <f>'Avg Week Munyonyo-Kigo'!L67+'Avg Week Kigo-Munyonyo'!L67</f>
        <v>0</v>
      </c>
      <c r="M67" s="49">
        <f>'Avg Week Munyonyo-Kigo'!M67+'Avg Week Kigo-Munyonyo'!M67</f>
        <v>46</v>
      </c>
      <c r="N67" s="49">
        <f>'Avg Week Munyonyo-Kigo'!N67+'Avg Week Kigo-Munyonyo'!N67</f>
        <v>0</v>
      </c>
      <c r="O67" s="15">
        <f t="shared" si="0"/>
        <v>8</v>
      </c>
      <c r="P67" s="15">
        <f t="shared" si="1"/>
        <v>54</v>
      </c>
      <c r="R67" s="8"/>
      <c r="T67"/>
    </row>
    <row r="68" spans="2:20" ht="23.1" customHeight="1" x14ac:dyDescent="0.25">
      <c r="B68" s="23" t="s">
        <v>105</v>
      </c>
      <c r="C68" s="49">
        <f>'Avg Week Munyonyo-Kigo'!C68+'Avg Week Kigo-Munyonyo'!C68</f>
        <v>4</v>
      </c>
      <c r="D68" s="49">
        <f>'Avg Week Munyonyo-Kigo'!D68+'Avg Week Kigo-Munyonyo'!D68</f>
        <v>0.5</v>
      </c>
      <c r="E68" s="49">
        <f>'Avg Week Munyonyo-Kigo'!E68+'Avg Week Kigo-Munyonyo'!E68</f>
        <v>1.5</v>
      </c>
      <c r="F68" s="49">
        <f>'Avg Week Munyonyo-Kigo'!F68+'Avg Week Kigo-Munyonyo'!F68</f>
        <v>0.5</v>
      </c>
      <c r="G68" s="49">
        <f>'Avg Week Munyonyo-Kigo'!G68+'Avg Week Kigo-Munyonyo'!G68</f>
        <v>0</v>
      </c>
      <c r="H68" s="49">
        <f>'Avg Week Munyonyo-Kigo'!H68+'Avg Week Kigo-Munyonyo'!H68</f>
        <v>0</v>
      </c>
      <c r="I68" s="49">
        <f>'Avg Week Munyonyo-Kigo'!I68+'Avg Week Kigo-Munyonyo'!I68</f>
        <v>0</v>
      </c>
      <c r="J68" s="49">
        <f>'Avg Week Munyonyo-Kigo'!J68+'Avg Week Kigo-Munyonyo'!J68</f>
        <v>0</v>
      </c>
      <c r="K68" s="49">
        <f>'Avg Week Munyonyo-Kigo'!K68+'Avg Week Kigo-Munyonyo'!K68</f>
        <v>0</v>
      </c>
      <c r="L68" s="49">
        <f>'Avg Week Munyonyo-Kigo'!L68+'Avg Week Kigo-Munyonyo'!L68</f>
        <v>0</v>
      </c>
      <c r="M68" s="49">
        <f>'Avg Week Munyonyo-Kigo'!M68+'Avg Week Kigo-Munyonyo'!M68</f>
        <v>51</v>
      </c>
      <c r="N68" s="49">
        <f>'Avg Week Munyonyo-Kigo'!N68+'Avg Week Kigo-Munyonyo'!N68</f>
        <v>0</v>
      </c>
      <c r="O68" s="15">
        <f t="shared" si="0"/>
        <v>6.5</v>
      </c>
      <c r="P68" s="15">
        <f t="shared" si="1"/>
        <v>57.5</v>
      </c>
      <c r="R68" s="8"/>
      <c r="T68"/>
    </row>
    <row r="69" spans="2:20" ht="23.1" customHeight="1" x14ac:dyDescent="0.25">
      <c r="B69" s="23" t="s">
        <v>106</v>
      </c>
      <c r="C69" s="49">
        <f>'Avg Week Munyonyo-Kigo'!C69+'Avg Week Kigo-Munyonyo'!C69</f>
        <v>2.5</v>
      </c>
      <c r="D69" s="49">
        <f>'Avg Week Munyonyo-Kigo'!D69+'Avg Week Kigo-Munyonyo'!D69</f>
        <v>0.5</v>
      </c>
      <c r="E69" s="49">
        <f>'Avg Week Munyonyo-Kigo'!E69+'Avg Week Kigo-Munyonyo'!E69</f>
        <v>0</v>
      </c>
      <c r="F69" s="49">
        <f>'Avg Week Munyonyo-Kigo'!F69+'Avg Week Kigo-Munyonyo'!F69</f>
        <v>0.5</v>
      </c>
      <c r="G69" s="49">
        <f>'Avg Week Munyonyo-Kigo'!G69+'Avg Week Kigo-Munyonyo'!G69</f>
        <v>0</v>
      </c>
      <c r="H69" s="49">
        <f>'Avg Week Munyonyo-Kigo'!H69+'Avg Week Kigo-Munyonyo'!H69</f>
        <v>0</v>
      </c>
      <c r="I69" s="49">
        <f>'Avg Week Munyonyo-Kigo'!I69+'Avg Week Kigo-Munyonyo'!I69</f>
        <v>0</v>
      </c>
      <c r="J69" s="49">
        <f>'Avg Week Munyonyo-Kigo'!J69+'Avg Week Kigo-Munyonyo'!J69</f>
        <v>0</v>
      </c>
      <c r="K69" s="49">
        <f>'Avg Week Munyonyo-Kigo'!K69+'Avg Week Kigo-Munyonyo'!K69</f>
        <v>0</v>
      </c>
      <c r="L69" s="49">
        <f>'Avg Week Munyonyo-Kigo'!L69+'Avg Week Kigo-Munyonyo'!L69</f>
        <v>0</v>
      </c>
      <c r="M69" s="49">
        <f>'Avg Week Munyonyo-Kigo'!M69+'Avg Week Kigo-Munyonyo'!M69</f>
        <v>47</v>
      </c>
      <c r="N69" s="49">
        <f>'Avg Week Munyonyo-Kigo'!N69+'Avg Week Kigo-Munyonyo'!N69</f>
        <v>0</v>
      </c>
      <c r="O69" s="15">
        <f t="shared" si="0"/>
        <v>3.5</v>
      </c>
      <c r="P69" s="15">
        <f t="shared" si="1"/>
        <v>50.5</v>
      </c>
      <c r="R69" s="8"/>
      <c r="T69"/>
    </row>
    <row r="70" spans="2:20" ht="23.1" customHeight="1" x14ac:dyDescent="0.25">
      <c r="B70" s="23" t="s">
        <v>110</v>
      </c>
      <c r="C70" s="49">
        <f>'Avg Week Munyonyo-Kigo'!C70+'Avg Week Kigo-Munyonyo'!C70</f>
        <v>6</v>
      </c>
      <c r="D70" s="49">
        <f>'Avg Week Munyonyo-Kigo'!D70+'Avg Week Kigo-Munyonyo'!D70</f>
        <v>0.5</v>
      </c>
      <c r="E70" s="49">
        <f>'Avg Week Munyonyo-Kigo'!E70+'Avg Week Kigo-Munyonyo'!E70</f>
        <v>0</v>
      </c>
      <c r="F70" s="49">
        <f>'Avg Week Munyonyo-Kigo'!F70+'Avg Week Kigo-Munyonyo'!F70</f>
        <v>1.5</v>
      </c>
      <c r="G70" s="49">
        <f>'Avg Week Munyonyo-Kigo'!G70+'Avg Week Kigo-Munyonyo'!G70</f>
        <v>0</v>
      </c>
      <c r="H70" s="49">
        <f>'Avg Week Munyonyo-Kigo'!H70+'Avg Week Kigo-Munyonyo'!H70</f>
        <v>0</v>
      </c>
      <c r="I70" s="49">
        <f>'Avg Week Munyonyo-Kigo'!I70+'Avg Week Kigo-Munyonyo'!I70</f>
        <v>0.5</v>
      </c>
      <c r="J70" s="49">
        <f>'Avg Week Munyonyo-Kigo'!J70+'Avg Week Kigo-Munyonyo'!J70</f>
        <v>0</v>
      </c>
      <c r="K70" s="49">
        <f>'Avg Week Munyonyo-Kigo'!K70+'Avg Week Kigo-Munyonyo'!K70</f>
        <v>0</v>
      </c>
      <c r="L70" s="49">
        <f>'Avg Week Munyonyo-Kigo'!L70+'Avg Week Kigo-Munyonyo'!L70</f>
        <v>0</v>
      </c>
      <c r="M70" s="49">
        <f>'Avg Week Munyonyo-Kigo'!M70+'Avg Week Kigo-Munyonyo'!M70</f>
        <v>48</v>
      </c>
      <c r="N70" s="49">
        <f>'Avg Week Munyonyo-Kigo'!N70+'Avg Week Kigo-Munyonyo'!N70</f>
        <v>0</v>
      </c>
      <c r="O70" s="15">
        <f t="shared" si="0"/>
        <v>8.5</v>
      </c>
      <c r="P70" s="15">
        <f t="shared" si="1"/>
        <v>56.5</v>
      </c>
      <c r="R70" s="8"/>
      <c r="T70"/>
    </row>
    <row r="71" spans="2:20" ht="23.1" customHeight="1" x14ac:dyDescent="0.25">
      <c r="B71" s="23" t="s">
        <v>111</v>
      </c>
      <c r="C71" s="49">
        <f>'Avg Week Munyonyo-Kigo'!C71+'Avg Week Kigo-Munyonyo'!C71</f>
        <v>5</v>
      </c>
      <c r="D71" s="49">
        <f>'Avg Week Munyonyo-Kigo'!D71+'Avg Week Kigo-Munyonyo'!D71</f>
        <v>0.5</v>
      </c>
      <c r="E71" s="49">
        <f>'Avg Week Munyonyo-Kigo'!E71+'Avg Week Kigo-Munyonyo'!E71</f>
        <v>1</v>
      </c>
      <c r="F71" s="49">
        <f>'Avg Week Munyonyo-Kigo'!F71+'Avg Week Kigo-Munyonyo'!F71</f>
        <v>0</v>
      </c>
      <c r="G71" s="49">
        <f>'Avg Week Munyonyo-Kigo'!G71+'Avg Week Kigo-Munyonyo'!G71</f>
        <v>0</v>
      </c>
      <c r="H71" s="49">
        <f>'Avg Week Munyonyo-Kigo'!H71+'Avg Week Kigo-Munyonyo'!H71</f>
        <v>0</v>
      </c>
      <c r="I71" s="49">
        <f>'Avg Week Munyonyo-Kigo'!I71+'Avg Week Kigo-Munyonyo'!I71</f>
        <v>0</v>
      </c>
      <c r="J71" s="49">
        <f>'Avg Week Munyonyo-Kigo'!J71+'Avg Week Kigo-Munyonyo'!J71</f>
        <v>0</v>
      </c>
      <c r="K71" s="49">
        <f>'Avg Week Munyonyo-Kigo'!K71+'Avg Week Kigo-Munyonyo'!K71</f>
        <v>0</v>
      </c>
      <c r="L71" s="49">
        <f>'Avg Week Munyonyo-Kigo'!L71+'Avg Week Kigo-Munyonyo'!L71</f>
        <v>0</v>
      </c>
      <c r="M71" s="49">
        <f>'Avg Week Munyonyo-Kigo'!M71+'Avg Week Kigo-Munyonyo'!M71</f>
        <v>38</v>
      </c>
      <c r="N71" s="49">
        <f>'Avg Week Munyonyo-Kigo'!N71+'Avg Week Kigo-Munyonyo'!N71</f>
        <v>0</v>
      </c>
      <c r="O71" s="15">
        <f t="shared" si="0"/>
        <v>6.5</v>
      </c>
      <c r="P71" s="15">
        <f t="shared" si="1"/>
        <v>44.5</v>
      </c>
      <c r="R71" s="8"/>
      <c r="T71"/>
    </row>
    <row r="72" spans="2:20" ht="23.1" customHeight="1" x14ac:dyDescent="0.25">
      <c r="B72" s="23" t="s">
        <v>112</v>
      </c>
      <c r="C72" s="49">
        <f>'Avg Week Munyonyo-Kigo'!C72+'Avg Week Kigo-Munyonyo'!C72</f>
        <v>6</v>
      </c>
      <c r="D72" s="49">
        <f>'Avg Week Munyonyo-Kigo'!D72+'Avg Week Kigo-Munyonyo'!D72</f>
        <v>1</v>
      </c>
      <c r="E72" s="49">
        <f>'Avg Week Munyonyo-Kigo'!E72+'Avg Week Kigo-Munyonyo'!E72</f>
        <v>0</v>
      </c>
      <c r="F72" s="49">
        <f>'Avg Week Munyonyo-Kigo'!F72+'Avg Week Kigo-Munyonyo'!F72</f>
        <v>0</v>
      </c>
      <c r="G72" s="49">
        <f>'Avg Week Munyonyo-Kigo'!G72+'Avg Week Kigo-Munyonyo'!G72</f>
        <v>0</v>
      </c>
      <c r="H72" s="49">
        <f>'Avg Week Munyonyo-Kigo'!H72+'Avg Week Kigo-Munyonyo'!H72</f>
        <v>0</v>
      </c>
      <c r="I72" s="49">
        <f>'Avg Week Munyonyo-Kigo'!I72+'Avg Week Kigo-Munyonyo'!I72</f>
        <v>0</v>
      </c>
      <c r="J72" s="49">
        <f>'Avg Week Munyonyo-Kigo'!J72+'Avg Week Kigo-Munyonyo'!J72</f>
        <v>0</v>
      </c>
      <c r="K72" s="49">
        <f>'Avg Week Munyonyo-Kigo'!K72+'Avg Week Kigo-Munyonyo'!K72</f>
        <v>0</v>
      </c>
      <c r="L72" s="49">
        <f>'Avg Week Munyonyo-Kigo'!L72+'Avg Week Kigo-Munyonyo'!L72</f>
        <v>0</v>
      </c>
      <c r="M72" s="49">
        <f>'Avg Week Munyonyo-Kigo'!M72+'Avg Week Kigo-Munyonyo'!M72</f>
        <v>49.5</v>
      </c>
      <c r="N72" s="49">
        <f>'Avg Week Munyonyo-Kigo'!N72+'Avg Week Kigo-Munyonyo'!N72</f>
        <v>0</v>
      </c>
      <c r="O72" s="15">
        <f t="shared" si="0"/>
        <v>7</v>
      </c>
      <c r="P72" s="15">
        <f t="shared" si="1"/>
        <v>56.5</v>
      </c>
      <c r="R72" s="8"/>
      <c r="T72"/>
    </row>
    <row r="73" spans="2:20" ht="23.1" customHeight="1" x14ac:dyDescent="0.25">
      <c r="B73" s="23" t="s">
        <v>113</v>
      </c>
      <c r="C73" s="49">
        <f>'Avg Week Munyonyo-Kigo'!C73+'Avg Week Kigo-Munyonyo'!C73</f>
        <v>4.5</v>
      </c>
      <c r="D73" s="49">
        <f>'Avg Week Munyonyo-Kigo'!D73+'Avg Week Kigo-Munyonyo'!D73</f>
        <v>0</v>
      </c>
      <c r="E73" s="49">
        <f>'Avg Week Munyonyo-Kigo'!E73+'Avg Week Kigo-Munyonyo'!E73</f>
        <v>0</v>
      </c>
      <c r="F73" s="49">
        <f>'Avg Week Munyonyo-Kigo'!F73+'Avg Week Kigo-Munyonyo'!F73</f>
        <v>0.5</v>
      </c>
      <c r="G73" s="49">
        <f>'Avg Week Munyonyo-Kigo'!G73+'Avg Week Kigo-Munyonyo'!G73</f>
        <v>0</v>
      </c>
      <c r="H73" s="49">
        <f>'Avg Week Munyonyo-Kigo'!H73+'Avg Week Kigo-Munyonyo'!H73</f>
        <v>0</v>
      </c>
      <c r="I73" s="49">
        <f>'Avg Week Munyonyo-Kigo'!I73+'Avg Week Kigo-Munyonyo'!I73</f>
        <v>0</v>
      </c>
      <c r="J73" s="49">
        <f>'Avg Week Munyonyo-Kigo'!J73+'Avg Week Kigo-Munyonyo'!J73</f>
        <v>0</v>
      </c>
      <c r="K73" s="49">
        <f>'Avg Week Munyonyo-Kigo'!K73+'Avg Week Kigo-Munyonyo'!K73</f>
        <v>0</v>
      </c>
      <c r="L73" s="49">
        <f>'Avg Week Munyonyo-Kigo'!L73+'Avg Week Kigo-Munyonyo'!L73</f>
        <v>0</v>
      </c>
      <c r="M73" s="49">
        <f>'Avg Week Munyonyo-Kigo'!M73+'Avg Week Kigo-Munyonyo'!M73</f>
        <v>31</v>
      </c>
      <c r="N73" s="49">
        <f>'Avg Week Munyonyo-Kigo'!N73+'Avg Week Kigo-Munyonyo'!N73</f>
        <v>0</v>
      </c>
      <c r="O73" s="15">
        <f t="shared" si="0"/>
        <v>5</v>
      </c>
      <c r="P73" s="15">
        <f t="shared" si="1"/>
        <v>36</v>
      </c>
      <c r="R73" s="8"/>
      <c r="T73"/>
    </row>
    <row r="74" spans="2:20" ht="23.1" customHeight="1" x14ac:dyDescent="0.25">
      <c r="B74" s="23" t="s">
        <v>114</v>
      </c>
      <c r="C74" s="49">
        <f>'Avg Week Munyonyo-Kigo'!C74+'Avg Week Kigo-Munyonyo'!C74</f>
        <v>4.5</v>
      </c>
      <c r="D74" s="49">
        <f>'Avg Week Munyonyo-Kigo'!D74+'Avg Week Kigo-Munyonyo'!D74</f>
        <v>0</v>
      </c>
      <c r="E74" s="49">
        <f>'Avg Week Munyonyo-Kigo'!E74+'Avg Week Kigo-Munyonyo'!E74</f>
        <v>0</v>
      </c>
      <c r="F74" s="49">
        <f>'Avg Week Munyonyo-Kigo'!F74+'Avg Week Kigo-Munyonyo'!F74</f>
        <v>0</v>
      </c>
      <c r="G74" s="49">
        <f>'Avg Week Munyonyo-Kigo'!G74+'Avg Week Kigo-Munyonyo'!G74</f>
        <v>0</v>
      </c>
      <c r="H74" s="49">
        <f>'Avg Week Munyonyo-Kigo'!H74+'Avg Week Kigo-Munyonyo'!H74</f>
        <v>0</v>
      </c>
      <c r="I74" s="49">
        <f>'Avg Week Munyonyo-Kigo'!I74+'Avg Week Kigo-Munyonyo'!I74</f>
        <v>0</v>
      </c>
      <c r="J74" s="49">
        <f>'Avg Week Munyonyo-Kigo'!J74+'Avg Week Kigo-Munyonyo'!J74</f>
        <v>0</v>
      </c>
      <c r="K74" s="49">
        <f>'Avg Week Munyonyo-Kigo'!K74+'Avg Week Kigo-Munyonyo'!K74</f>
        <v>0</v>
      </c>
      <c r="L74" s="49">
        <f>'Avg Week Munyonyo-Kigo'!L74+'Avg Week Kigo-Munyonyo'!L74</f>
        <v>0</v>
      </c>
      <c r="M74" s="49">
        <f>'Avg Week Munyonyo-Kigo'!M74+'Avg Week Kigo-Munyonyo'!M74</f>
        <v>41</v>
      </c>
      <c r="N74" s="49">
        <f>'Avg Week Munyonyo-Kigo'!N74+'Avg Week Kigo-Munyonyo'!N74</f>
        <v>0</v>
      </c>
      <c r="O74" s="15">
        <f t="shared" ref="O74:O105" si="35">SUM(C74:L74,N74)</f>
        <v>4.5</v>
      </c>
      <c r="P74" s="15">
        <f t="shared" ref="P74:P105" si="36">SUM(C74:N74)</f>
        <v>45.5</v>
      </c>
      <c r="R74" s="8"/>
      <c r="T74"/>
    </row>
    <row r="75" spans="2:20" ht="23.1" customHeight="1" x14ac:dyDescent="0.25">
      <c r="B75" s="23" t="s">
        <v>115</v>
      </c>
      <c r="C75" s="49">
        <f>'Avg Week Munyonyo-Kigo'!C75+'Avg Week Kigo-Munyonyo'!C75</f>
        <v>1.5</v>
      </c>
      <c r="D75" s="49">
        <f>'Avg Week Munyonyo-Kigo'!D75+'Avg Week Kigo-Munyonyo'!D75</f>
        <v>1</v>
      </c>
      <c r="E75" s="49">
        <f>'Avg Week Munyonyo-Kigo'!E75+'Avg Week Kigo-Munyonyo'!E75</f>
        <v>0.5</v>
      </c>
      <c r="F75" s="49">
        <f>'Avg Week Munyonyo-Kigo'!F75+'Avg Week Kigo-Munyonyo'!F75</f>
        <v>0</v>
      </c>
      <c r="G75" s="49">
        <f>'Avg Week Munyonyo-Kigo'!G75+'Avg Week Kigo-Munyonyo'!G75</f>
        <v>0</v>
      </c>
      <c r="H75" s="49">
        <f>'Avg Week Munyonyo-Kigo'!H75+'Avg Week Kigo-Munyonyo'!H75</f>
        <v>0</v>
      </c>
      <c r="I75" s="49">
        <f>'Avg Week Munyonyo-Kigo'!I75+'Avg Week Kigo-Munyonyo'!I75</f>
        <v>0</v>
      </c>
      <c r="J75" s="49">
        <f>'Avg Week Munyonyo-Kigo'!J75+'Avg Week Kigo-Munyonyo'!J75</f>
        <v>0</v>
      </c>
      <c r="K75" s="49">
        <f>'Avg Week Munyonyo-Kigo'!K75+'Avg Week Kigo-Munyonyo'!K75</f>
        <v>0</v>
      </c>
      <c r="L75" s="49">
        <f>'Avg Week Munyonyo-Kigo'!L75+'Avg Week Kigo-Munyonyo'!L75</f>
        <v>0</v>
      </c>
      <c r="M75" s="49">
        <f>'Avg Week Munyonyo-Kigo'!M75+'Avg Week Kigo-Munyonyo'!M75</f>
        <v>25.5</v>
      </c>
      <c r="N75" s="49">
        <f>'Avg Week Munyonyo-Kigo'!N75+'Avg Week Kigo-Munyonyo'!N75</f>
        <v>0</v>
      </c>
      <c r="O75" s="15">
        <f t="shared" si="35"/>
        <v>3</v>
      </c>
      <c r="P75" s="15">
        <f t="shared" si="36"/>
        <v>28.5</v>
      </c>
      <c r="R75" s="8"/>
      <c r="T75"/>
    </row>
    <row r="76" spans="2:20" ht="23.1" customHeight="1" x14ac:dyDescent="0.25">
      <c r="B76" s="23" t="s">
        <v>116</v>
      </c>
      <c r="C76" s="49">
        <f>'Avg Week Munyonyo-Kigo'!C76+'Avg Week Kigo-Munyonyo'!C76</f>
        <v>2</v>
      </c>
      <c r="D76" s="49">
        <f>'Avg Week Munyonyo-Kigo'!D76+'Avg Week Kigo-Munyonyo'!D76</f>
        <v>0.5</v>
      </c>
      <c r="E76" s="49">
        <f>'Avg Week Munyonyo-Kigo'!E76+'Avg Week Kigo-Munyonyo'!E76</f>
        <v>0.5</v>
      </c>
      <c r="F76" s="49">
        <f>'Avg Week Munyonyo-Kigo'!F76+'Avg Week Kigo-Munyonyo'!F76</f>
        <v>1</v>
      </c>
      <c r="G76" s="49">
        <f>'Avg Week Munyonyo-Kigo'!G76+'Avg Week Kigo-Munyonyo'!G76</f>
        <v>0</v>
      </c>
      <c r="H76" s="49">
        <f>'Avg Week Munyonyo-Kigo'!H76+'Avg Week Kigo-Munyonyo'!H76</f>
        <v>0</v>
      </c>
      <c r="I76" s="49">
        <f>'Avg Week Munyonyo-Kigo'!I76+'Avg Week Kigo-Munyonyo'!I76</f>
        <v>0</v>
      </c>
      <c r="J76" s="49">
        <f>'Avg Week Munyonyo-Kigo'!J76+'Avg Week Kigo-Munyonyo'!J76</f>
        <v>0</v>
      </c>
      <c r="K76" s="49">
        <f>'Avg Week Munyonyo-Kigo'!K76+'Avg Week Kigo-Munyonyo'!K76</f>
        <v>0</v>
      </c>
      <c r="L76" s="49">
        <f>'Avg Week Munyonyo-Kigo'!L76+'Avg Week Kigo-Munyonyo'!L76</f>
        <v>0</v>
      </c>
      <c r="M76" s="49">
        <f>'Avg Week Munyonyo-Kigo'!M76+'Avg Week Kigo-Munyonyo'!M76</f>
        <v>29.5</v>
      </c>
      <c r="N76" s="49">
        <f>'Avg Week Munyonyo-Kigo'!N76+'Avg Week Kigo-Munyonyo'!N76</f>
        <v>0</v>
      </c>
      <c r="O76" s="15">
        <f t="shared" si="35"/>
        <v>4</v>
      </c>
      <c r="P76" s="15">
        <f t="shared" si="36"/>
        <v>33.5</v>
      </c>
      <c r="R76" s="8"/>
      <c r="T76"/>
    </row>
    <row r="77" spans="2:20" ht="23.1" customHeight="1" x14ac:dyDescent="0.25">
      <c r="B77" s="23" t="s">
        <v>117</v>
      </c>
      <c r="C77" s="49">
        <f>'Avg Week Munyonyo-Kigo'!C77+'Avg Week Kigo-Munyonyo'!C77</f>
        <v>3.5</v>
      </c>
      <c r="D77" s="49">
        <f>'Avg Week Munyonyo-Kigo'!D77+'Avg Week Kigo-Munyonyo'!D77</f>
        <v>1</v>
      </c>
      <c r="E77" s="49">
        <f>'Avg Week Munyonyo-Kigo'!E77+'Avg Week Kigo-Munyonyo'!E77</f>
        <v>0</v>
      </c>
      <c r="F77" s="49">
        <f>'Avg Week Munyonyo-Kigo'!F77+'Avg Week Kigo-Munyonyo'!F77</f>
        <v>0</v>
      </c>
      <c r="G77" s="49">
        <f>'Avg Week Munyonyo-Kigo'!G77+'Avg Week Kigo-Munyonyo'!G77</f>
        <v>0</v>
      </c>
      <c r="H77" s="49">
        <f>'Avg Week Munyonyo-Kigo'!H77+'Avg Week Kigo-Munyonyo'!H77</f>
        <v>0</v>
      </c>
      <c r="I77" s="49">
        <f>'Avg Week Munyonyo-Kigo'!I77+'Avg Week Kigo-Munyonyo'!I77</f>
        <v>0</v>
      </c>
      <c r="J77" s="49">
        <f>'Avg Week Munyonyo-Kigo'!J77+'Avg Week Kigo-Munyonyo'!J77</f>
        <v>0</v>
      </c>
      <c r="K77" s="49">
        <f>'Avg Week Munyonyo-Kigo'!K77+'Avg Week Kigo-Munyonyo'!K77</f>
        <v>0</v>
      </c>
      <c r="L77" s="49">
        <f>'Avg Week Munyonyo-Kigo'!L77+'Avg Week Kigo-Munyonyo'!L77</f>
        <v>0</v>
      </c>
      <c r="M77" s="49">
        <f>'Avg Week Munyonyo-Kigo'!M77+'Avg Week Kigo-Munyonyo'!M77</f>
        <v>21.5</v>
      </c>
      <c r="N77" s="49">
        <f>'Avg Week Munyonyo-Kigo'!N77+'Avg Week Kigo-Munyonyo'!N77</f>
        <v>0</v>
      </c>
      <c r="O77" s="15">
        <f t="shared" si="35"/>
        <v>4.5</v>
      </c>
      <c r="P77" s="15">
        <f t="shared" si="36"/>
        <v>26</v>
      </c>
      <c r="R77" s="8"/>
      <c r="T77"/>
    </row>
    <row r="78" spans="2:20" ht="23.1" customHeight="1" x14ac:dyDescent="0.25">
      <c r="B78" s="24" t="s">
        <v>118</v>
      </c>
      <c r="C78" s="49">
        <f>'Avg Week Munyonyo-Kigo'!C78+'Avg Week Kigo-Munyonyo'!C78</f>
        <v>0.5</v>
      </c>
      <c r="D78" s="49">
        <f>'Avg Week Munyonyo-Kigo'!D78+'Avg Week Kigo-Munyonyo'!D78</f>
        <v>0</v>
      </c>
      <c r="E78" s="49">
        <f>'Avg Week Munyonyo-Kigo'!E78+'Avg Week Kigo-Munyonyo'!E78</f>
        <v>0</v>
      </c>
      <c r="F78" s="49">
        <f>'Avg Week Munyonyo-Kigo'!F78+'Avg Week Kigo-Munyonyo'!F78</f>
        <v>0.5</v>
      </c>
      <c r="G78" s="49">
        <f>'Avg Week Munyonyo-Kigo'!G78+'Avg Week Kigo-Munyonyo'!G78</f>
        <v>0</v>
      </c>
      <c r="H78" s="49">
        <f>'Avg Week Munyonyo-Kigo'!H78+'Avg Week Kigo-Munyonyo'!H78</f>
        <v>0</v>
      </c>
      <c r="I78" s="49">
        <f>'Avg Week Munyonyo-Kigo'!I78+'Avg Week Kigo-Munyonyo'!I78</f>
        <v>0.5</v>
      </c>
      <c r="J78" s="49">
        <f>'Avg Week Munyonyo-Kigo'!J78+'Avg Week Kigo-Munyonyo'!J78</f>
        <v>0</v>
      </c>
      <c r="K78" s="49">
        <f>'Avg Week Munyonyo-Kigo'!K78+'Avg Week Kigo-Munyonyo'!K78</f>
        <v>0</v>
      </c>
      <c r="L78" s="49">
        <f>'Avg Week Munyonyo-Kigo'!L78+'Avg Week Kigo-Munyonyo'!L78</f>
        <v>0</v>
      </c>
      <c r="M78" s="49">
        <f>'Avg Week Munyonyo-Kigo'!M78+'Avg Week Kigo-Munyonyo'!M78</f>
        <v>17</v>
      </c>
      <c r="N78" s="49">
        <f>'Avg Week Munyonyo-Kigo'!N78+'Avg Week Kigo-Munyonyo'!N78</f>
        <v>0</v>
      </c>
      <c r="O78" s="15">
        <f t="shared" si="35"/>
        <v>1.5</v>
      </c>
      <c r="P78" s="15">
        <f t="shared" si="36"/>
        <v>18.5</v>
      </c>
      <c r="R78" s="8"/>
      <c r="T78"/>
    </row>
    <row r="79" spans="2:20" ht="23.1" customHeight="1" x14ac:dyDescent="0.25">
      <c r="B79" s="23" t="s">
        <v>119</v>
      </c>
      <c r="C79" s="49">
        <f>'Avg Week Munyonyo-Kigo'!C79+'Avg Week Kigo-Munyonyo'!C79</f>
        <v>2</v>
      </c>
      <c r="D79" s="49">
        <f>'Avg Week Munyonyo-Kigo'!D79+'Avg Week Kigo-Munyonyo'!D79</f>
        <v>0</v>
      </c>
      <c r="E79" s="49">
        <f>'Avg Week Munyonyo-Kigo'!E79+'Avg Week Kigo-Munyonyo'!E79</f>
        <v>0</v>
      </c>
      <c r="F79" s="49">
        <f>'Avg Week Munyonyo-Kigo'!F79+'Avg Week Kigo-Munyonyo'!F79</f>
        <v>0</v>
      </c>
      <c r="G79" s="49">
        <f>'Avg Week Munyonyo-Kigo'!G79+'Avg Week Kigo-Munyonyo'!G79</f>
        <v>0</v>
      </c>
      <c r="H79" s="49">
        <f>'Avg Week Munyonyo-Kigo'!H79+'Avg Week Kigo-Munyonyo'!H79</f>
        <v>0</v>
      </c>
      <c r="I79" s="49">
        <f>'Avg Week Munyonyo-Kigo'!I79+'Avg Week Kigo-Munyonyo'!I79</f>
        <v>0</v>
      </c>
      <c r="J79" s="49">
        <f>'Avg Week Munyonyo-Kigo'!J79+'Avg Week Kigo-Munyonyo'!J79</f>
        <v>0</v>
      </c>
      <c r="K79" s="49">
        <f>'Avg Week Munyonyo-Kigo'!K79+'Avg Week Kigo-Munyonyo'!K79</f>
        <v>0</v>
      </c>
      <c r="L79" s="49">
        <f>'Avg Week Munyonyo-Kigo'!L79+'Avg Week Kigo-Munyonyo'!L79</f>
        <v>0</v>
      </c>
      <c r="M79" s="49">
        <f>'Avg Week Munyonyo-Kigo'!M79+'Avg Week Kigo-Munyonyo'!M79</f>
        <v>19</v>
      </c>
      <c r="N79" s="49">
        <f>'Avg Week Munyonyo-Kigo'!N79+'Avg Week Kigo-Munyonyo'!N79</f>
        <v>0</v>
      </c>
      <c r="O79" s="15">
        <f t="shared" si="35"/>
        <v>2</v>
      </c>
      <c r="P79" s="15">
        <f t="shared" si="36"/>
        <v>21</v>
      </c>
      <c r="R79" s="8"/>
      <c r="T79"/>
    </row>
    <row r="80" spans="2:20" ht="23.1" customHeight="1" x14ac:dyDescent="0.25">
      <c r="B80" s="25" t="s">
        <v>120</v>
      </c>
      <c r="C80" s="49">
        <f>'Avg Week Munyonyo-Kigo'!C80+'Avg Week Kigo-Munyonyo'!C80</f>
        <v>0</v>
      </c>
      <c r="D80" s="49">
        <f>'Avg Week Munyonyo-Kigo'!D80+'Avg Week Kigo-Munyonyo'!D80</f>
        <v>0</v>
      </c>
      <c r="E80" s="49">
        <f>'Avg Week Munyonyo-Kigo'!E80+'Avg Week Kigo-Munyonyo'!E80</f>
        <v>0.5</v>
      </c>
      <c r="F80" s="49">
        <f>'Avg Week Munyonyo-Kigo'!F80+'Avg Week Kigo-Munyonyo'!F80</f>
        <v>0</v>
      </c>
      <c r="G80" s="49">
        <f>'Avg Week Munyonyo-Kigo'!G80+'Avg Week Kigo-Munyonyo'!G80</f>
        <v>0</v>
      </c>
      <c r="H80" s="49">
        <f>'Avg Week Munyonyo-Kigo'!H80+'Avg Week Kigo-Munyonyo'!H80</f>
        <v>0</v>
      </c>
      <c r="I80" s="49">
        <f>'Avg Week Munyonyo-Kigo'!I80+'Avg Week Kigo-Munyonyo'!I80</f>
        <v>0</v>
      </c>
      <c r="J80" s="49">
        <f>'Avg Week Munyonyo-Kigo'!J80+'Avg Week Kigo-Munyonyo'!J80</f>
        <v>0</v>
      </c>
      <c r="K80" s="49">
        <f>'Avg Week Munyonyo-Kigo'!K80+'Avg Week Kigo-Munyonyo'!K80</f>
        <v>0</v>
      </c>
      <c r="L80" s="49">
        <f>'Avg Week Munyonyo-Kigo'!L80+'Avg Week Kigo-Munyonyo'!L80</f>
        <v>0</v>
      </c>
      <c r="M80" s="49">
        <f>'Avg Week Munyonyo-Kigo'!M80+'Avg Week Kigo-Munyonyo'!M80</f>
        <v>10.5</v>
      </c>
      <c r="N80" s="49">
        <f>'Avg Week Munyonyo-Kigo'!N80+'Avg Week Kigo-Munyonyo'!N80</f>
        <v>0</v>
      </c>
      <c r="O80" s="15">
        <f t="shared" si="35"/>
        <v>0.5</v>
      </c>
      <c r="P80" s="15">
        <f t="shared" si="36"/>
        <v>11</v>
      </c>
      <c r="R80" s="8"/>
      <c r="T80"/>
    </row>
    <row r="81" spans="2:20" ht="23.1" customHeight="1" x14ac:dyDescent="0.25">
      <c r="B81" s="23" t="s">
        <v>121</v>
      </c>
      <c r="C81" s="49">
        <f>'Avg Week Munyonyo-Kigo'!C81+'Avg Week Kigo-Munyonyo'!C81</f>
        <v>0</v>
      </c>
      <c r="D81" s="49">
        <f>'Avg Week Munyonyo-Kigo'!D81+'Avg Week Kigo-Munyonyo'!D81</f>
        <v>0</v>
      </c>
      <c r="E81" s="49">
        <f>'Avg Week Munyonyo-Kigo'!E81+'Avg Week Kigo-Munyonyo'!E81</f>
        <v>0</v>
      </c>
      <c r="F81" s="49">
        <f>'Avg Week Munyonyo-Kigo'!F81+'Avg Week Kigo-Munyonyo'!F81</f>
        <v>0</v>
      </c>
      <c r="G81" s="49">
        <f>'Avg Week Munyonyo-Kigo'!G81+'Avg Week Kigo-Munyonyo'!G81</f>
        <v>0</v>
      </c>
      <c r="H81" s="49">
        <f>'Avg Week Munyonyo-Kigo'!H81+'Avg Week Kigo-Munyonyo'!H81</f>
        <v>0</v>
      </c>
      <c r="I81" s="49">
        <f>'Avg Week Munyonyo-Kigo'!I81+'Avg Week Kigo-Munyonyo'!I81</f>
        <v>0</v>
      </c>
      <c r="J81" s="49">
        <f>'Avg Week Munyonyo-Kigo'!J81+'Avg Week Kigo-Munyonyo'!J81</f>
        <v>0</v>
      </c>
      <c r="K81" s="49">
        <f>'Avg Week Munyonyo-Kigo'!K81+'Avg Week Kigo-Munyonyo'!K81</f>
        <v>0</v>
      </c>
      <c r="L81" s="49">
        <f>'Avg Week Munyonyo-Kigo'!L81+'Avg Week Kigo-Munyonyo'!L81</f>
        <v>0</v>
      </c>
      <c r="M81" s="49">
        <f>'Avg Week Munyonyo-Kigo'!M81+'Avg Week Kigo-Munyonyo'!M81</f>
        <v>9</v>
      </c>
      <c r="N81" s="49">
        <f>'Avg Week Munyonyo-Kigo'!N81+'Avg Week Kigo-Munyonyo'!N81</f>
        <v>0</v>
      </c>
      <c r="O81" s="15">
        <f t="shared" si="35"/>
        <v>0</v>
      </c>
      <c r="P81" s="15">
        <f t="shared" si="36"/>
        <v>9</v>
      </c>
      <c r="R81" s="8"/>
      <c r="T81"/>
    </row>
    <row r="82" spans="2:20" ht="23.1" customHeight="1" x14ac:dyDescent="0.25">
      <c r="B82" s="24" t="s">
        <v>122</v>
      </c>
      <c r="C82" s="49">
        <f>'Avg Week Munyonyo-Kigo'!C82+'Avg Week Kigo-Munyonyo'!C82</f>
        <v>0</v>
      </c>
      <c r="D82" s="49">
        <f>'Avg Week Munyonyo-Kigo'!D82+'Avg Week Kigo-Munyonyo'!D82</f>
        <v>0</v>
      </c>
      <c r="E82" s="49">
        <f>'Avg Week Munyonyo-Kigo'!E82+'Avg Week Kigo-Munyonyo'!E82</f>
        <v>0</v>
      </c>
      <c r="F82" s="49">
        <f>'Avg Week Munyonyo-Kigo'!F82+'Avg Week Kigo-Munyonyo'!F82</f>
        <v>0.5</v>
      </c>
      <c r="G82" s="49">
        <f>'Avg Week Munyonyo-Kigo'!G82+'Avg Week Kigo-Munyonyo'!G82</f>
        <v>0</v>
      </c>
      <c r="H82" s="49">
        <f>'Avg Week Munyonyo-Kigo'!H82+'Avg Week Kigo-Munyonyo'!H82</f>
        <v>0</v>
      </c>
      <c r="I82" s="49">
        <f>'Avg Week Munyonyo-Kigo'!I82+'Avg Week Kigo-Munyonyo'!I82</f>
        <v>0</v>
      </c>
      <c r="J82" s="49">
        <f>'Avg Week Munyonyo-Kigo'!J82+'Avg Week Kigo-Munyonyo'!J82</f>
        <v>0</v>
      </c>
      <c r="K82" s="49">
        <f>'Avg Week Munyonyo-Kigo'!K82+'Avg Week Kigo-Munyonyo'!K82</f>
        <v>0</v>
      </c>
      <c r="L82" s="49">
        <f>'Avg Week Munyonyo-Kigo'!L82+'Avg Week Kigo-Munyonyo'!L82</f>
        <v>0</v>
      </c>
      <c r="M82" s="49">
        <f>'Avg Week Munyonyo-Kigo'!M82+'Avg Week Kigo-Munyonyo'!M82</f>
        <v>9</v>
      </c>
      <c r="N82" s="49">
        <f>'Avg Week Munyonyo-Kigo'!N82+'Avg Week Kigo-Munyonyo'!N82</f>
        <v>0</v>
      </c>
      <c r="O82" s="15">
        <f t="shared" si="35"/>
        <v>0.5</v>
      </c>
      <c r="P82" s="15">
        <f t="shared" si="36"/>
        <v>9.5</v>
      </c>
      <c r="R82" s="8"/>
      <c r="T82"/>
    </row>
    <row r="83" spans="2:20" ht="23.1" customHeight="1" x14ac:dyDescent="0.25">
      <c r="B83" s="23" t="s">
        <v>123</v>
      </c>
      <c r="C83" s="49">
        <f>'Avg Week Munyonyo-Kigo'!C83+'Avg Week Kigo-Munyonyo'!C83</f>
        <v>0.5</v>
      </c>
      <c r="D83" s="49">
        <f>'Avg Week Munyonyo-Kigo'!D83+'Avg Week Kigo-Munyonyo'!D83</f>
        <v>0</v>
      </c>
      <c r="E83" s="49">
        <f>'Avg Week Munyonyo-Kigo'!E83+'Avg Week Kigo-Munyonyo'!E83</f>
        <v>0</v>
      </c>
      <c r="F83" s="49">
        <f>'Avg Week Munyonyo-Kigo'!F83+'Avg Week Kigo-Munyonyo'!F83</f>
        <v>0</v>
      </c>
      <c r="G83" s="49">
        <f>'Avg Week Munyonyo-Kigo'!G83+'Avg Week Kigo-Munyonyo'!G83</f>
        <v>0</v>
      </c>
      <c r="H83" s="49">
        <f>'Avg Week Munyonyo-Kigo'!H83+'Avg Week Kigo-Munyonyo'!H83</f>
        <v>0</v>
      </c>
      <c r="I83" s="49">
        <f>'Avg Week Munyonyo-Kigo'!I83+'Avg Week Kigo-Munyonyo'!I83</f>
        <v>0</v>
      </c>
      <c r="J83" s="49">
        <f>'Avg Week Munyonyo-Kigo'!J83+'Avg Week Kigo-Munyonyo'!J83</f>
        <v>0</v>
      </c>
      <c r="K83" s="49">
        <f>'Avg Week Munyonyo-Kigo'!K83+'Avg Week Kigo-Munyonyo'!K83</f>
        <v>0</v>
      </c>
      <c r="L83" s="49">
        <f>'Avg Week Munyonyo-Kigo'!L83+'Avg Week Kigo-Munyonyo'!L83</f>
        <v>0</v>
      </c>
      <c r="M83" s="49">
        <f>'Avg Week Munyonyo-Kigo'!M83+'Avg Week Kigo-Munyonyo'!M83</f>
        <v>8</v>
      </c>
      <c r="N83" s="49">
        <f>'Avg Week Munyonyo-Kigo'!N83+'Avg Week Kigo-Munyonyo'!N83</f>
        <v>0</v>
      </c>
      <c r="O83" s="15">
        <f t="shared" si="35"/>
        <v>0.5</v>
      </c>
      <c r="P83" s="15">
        <f t="shared" si="36"/>
        <v>8.5</v>
      </c>
      <c r="R83" s="8"/>
      <c r="T83"/>
    </row>
    <row r="84" spans="2:20" ht="23.1" customHeight="1" x14ac:dyDescent="0.25">
      <c r="B84" s="25" t="s">
        <v>124</v>
      </c>
      <c r="C84" s="49">
        <f>'Avg Week Munyonyo-Kigo'!C84+'Avg Week Kigo-Munyonyo'!C84</f>
        <v>1</v>
      </c>
      <c r="D84" s="49">
        <f>'Avg Week Munyonyo-Kigo'!D84+'Avg Week Kigo-Munyonyo'!D84</f>
        <v>0</v>
      </c>
      <c r="E84" s="49">
        <f>'Avg Week Munyonyo-Kigo'!E84+'Avg Week Kigo-Munyonyo'!E84</f>
        <v>0</v>
      </c>
      <c r="F84" s="49">
        <f>'Avg Week Munyonyo-Kigo'!F84+'Avg Week Kigo-Munyonyo'!F84</f>
        <v>0</v>
      </c>
      <c r="G84" s="49">
        <f>'Avg Week Munyonyo-Kigo'!G84+'Avg Week Kigo-Munyonyo'!G84</f>
        <v>0</v>
      </c>
      <c r="H84" s="49">
        <f>'Avg Week Munyonyo-Kigo'!H84+'Avg Week Kigo-Munyonyo'!H84</f>
        <v>0</v>
      </c>
      <c r="I84" s="49">
        <f>'Avg Week Munyonyo-Kigo'!I84+'Avg Week Kigo-Munyonyo'!I84</f>
        <v>0</v>
      </c>
      <c r="J84" s="49">
        <f>'Avg Week Munyonyo-Kigo'!J84+'Avg Week Kigo-Munyonyo'!J84</f>
        <v>0</v>
      </c>
      <c r="K84" s="49">
        <f>'Avg Week Munyonyo-Kigo'!K84+'Avg Week Kigo-Munyonyo'!K84</f>
        <v>0</v>
      </c>
      <c r="L84" s="49">
        <f>'Avg Week Munyonyo-Kigo'!L84+'Avg Week Kigo-Munyonyo'!L84</f>
        <v>0</v>
      </c>
      <c r="M84" s="49">
        <f>'Avg Week Munyonyo-Kigo'!M84+'Avg Week Kigo-Munyonyo'!M84</f>
        <v>6</v>
      </c>
      <c r="N84" s="49">
        <f>'Avg Week Munyonyo-Kigo'!N84+'Avg Week Kigo-Munyonyo'!N84</f>
        <v>0</v>
      </c>
      <c r="O84" s="15">
        <f t="shared" si="35"/>
        <v>1</v>
      </c>
      <c r="P84" s="15">
        <f t="shared" si="36"/>
        <v>7</v>
      </c>
      <c r="R84" s="8"/>
      <c r="T84"/>
    </row>
    <row r="85" spans="2:20" ht="23.1" customHeight="1" x14ac:dyDescent="0.25">
      <c r="B85" s="23" t="s">
        <v>125</v>
      </c>
      <c r="C85" s="49">
        <f>'Avg Week Munyonyo-Kigo'!C85+'Avg Week Kigo-Munyonyo'!C85</f>
        <v>0.5</v>
      </c>
      <c r="D85" s="49">
        <f>'Avg Week Munyonyo-Kigo'!D85+'Avg Week Kigo-Munyonyo'!D85</f>
        <v>0</v>
      </c>
      <c r="E85" s="49">
        <f>'Avg Week Munyonyo-Kigo'!E85+'Avg Week Kigo-Munyonyo'!E85</f>
        <v>0</v>
      </c>
      <c r="F85" s="49">
        <f>'Avg Week Munyonyo-Kigo'!F85+'Avg Week Kigo-Munyonyo'!F85</f>
        <v>0</v>
      </c>
      <c r="G85" s="49">
        <f>'Avg Week Munyonyo-Kigo'!G85+'Avg Week Kigo-Munyonyo'!G85</f>
        <v>0</v>
      </c>
      <c r="H85" s="49">
        <f>'Avg Week Munyonyo-Kigo'!H85+'Avg Week Kigo-Munyonyo'!H85</f>
        <v>0</v>
      </c>
      <c r="I85" s="49">
        <f>'Avg Week Munyonyo-Kigo'!I85+'Avg Week Kigo-Munyonyo'!I85</f>
        <v>0</v>
      </c>
      <c r="J85" s="49">
        <f>'Avg Week Munyonyo-Kigo'!J85+'Avg Week Kigo-Munyonyo'!J85</f>
        <v>0</v>
      </c>
      <c r="K85" s="49">
        <f>'Avg Week Munyonyo-Kigo'!K85+'Avg Week Kigo-Munyonyo'!K85</f>
        <v>0</v>
      </c>
      <c r="L85" s="49">
        <f>'Avg Week Munyonyo-Kigo'!L85+'Avg Week Kigo-Munyonyo'!L85</f>
        <v>0</v>
      </c>
      <c r="M85" s="49">
        <f>'Avg Week Munyonyo-Kigo'!M85+'Avg Week Kigo-Munyonyo'!M85</f>
        <v>4</v>
      </c>
      <c r="N85" s="49">
        <f>'Avg Week Munyonyo-Kigo'!N85+'Avg Week Kigo-Munyonyo'!N85</f>
        <v>0</v>
      </c>
      <c r="O85" s="15">
        <f t="shared" si="35"/>
        <v>0.5</v>
      </c>
      <c r="P85" s="15">
        <f t="shared" si="36"/>
        <v>4.5</v>
      </c>
      <c r="R85" s="8"/>
      <c r="T85"/>
    </row>
    <row r="86" spans="2:20" ht="23.1" customHeight="1" x14ac:dyDescent="0.25">
      <c r="B86" s="24" t="s">
        <v>126</v>
      </c>
      <c r="C86" s="49">
        <f>'Avg Week Munyonyo-Kigo'!C86+'Avg Week Kigo-Munyonyo'!C86</f>
        <v>0.5</v>
      </c>
      <c r="D86" s="49">
        <f>'Avg Week Munyonyo-Kigo'!D86+'Avg Week Kigo-Munyonyo'!D86</f>
        <v>0</v>
      </c>
      <c r="E86" s="49">
        <f>'Avg Week Munyonyo-Kigo'!E86+'Avg Week Kigo-Munyonyo'!E86</f>
        <v>0</v>
      </c>
      <c r="F86" s="49">
        <f>'Avg Week Munyonyo-Kigo'!F86+'Avg Week Kigo-Munyonyo'!F86</f>
        <v>0</v>
      </c>
      <c r="G86" s="49">
        <f>'Avg Week Munyonyo-Kigo'!G86+'Avg Week Kigo-Munyonyo'!G86</f>
        <v>0</v>
      </c>
      <c r="H86" s="49">
        <f>'Avg Week Munyonyo-Kigo'!H86+'Avg Week Kigo-Munyonyo'!H86</f>
        <v>0</v>
      </c>
      <c r="I86" s="49">
        <f>'Avg Week Munyonyo-Kigo'!I86+'Avg Week Kigo-Munyonyo'!I86</f>
        <v>0</v>
      </c>
      <c r="J86" s="49">
        <f>'Avg Week Munyonyo-Kigo'!J86+'Avg Week Kigo-Munyonyo'!J86</f>
        <v>0</v>
      </c>
      <c r="K86" s="49">
        <f>'Avg Week Munyonyo-Kigo'!K86+'Avg Week Kigo-Munyonyo'!K86</f>
        <v>0</v>
      </c>
      <c r="L86" s="49">
        <f>'Avg Week Munyonyo-Kigo'!L86+'Avg Week Kigo-Munyonyo'!L86</f>
        <v>0</v>
      </c>
      <c r="M86" s="49">
        <f>'Avg Week Munyonyo-Kigo'!M86+'Avg Week Kigo-Munyonyo'!M86</f>
        <v>3</v>
      </c>
      <c r="N86" s="49">
        <f>'Avg Week Munyonyo-Kigo'!N86+'Avg Week Kigo-Munyonyo'!N86</f>
        <v>0</v>
      </c>
      <c r="O86" s="15">
        <f t="shared" si="35"/>
        <v>0.5</v>
      </c>
      <c r="P86" s="15">
        <f t="shared" si="36"/>
        <v>3.5</v>
      </c>
      <c r="R86" s="8"/>
      <c r="T86"/>
    </row>
    <row r="87" spans="2:20" ht="23.1" customHeight="1" x14ac:dyDescent="0.25">
      <c r="B87" s="23" t="s">
        <v>127</v>
      </c>
      <c r="C87" s="49">
        <f>'Avg Week Munyonyo-Kigo'!C87+'Avg Week Kigo-Munyonyo'!C87</f>
        <v>0</v>
      </c>
      <c r="D87" s="49">
        <f>'Avg Week Munyonyo-Kigo'!D87+'Avg Week Kigo-Munyonyo'!D87</f>
        <v>0.5</v>
      </c>
      <c r="E87" s="49">
        <f>'Avg Week Munyonyo-Kigo'!E87+'Avg Week Kigo-Munyonyo'!E87</f>
        <v>0</v>
      </c>
      <c r="F87" s="49">
        <f>'Avg Week Munyonyo-Kigo'!F87+'Avg Week Kigo-Munyonyo'!F87</f>
        <v>0</v>
      </c>
      <c r="G87" s="49">
        <f>'Avg Week Munyonyo-Kigo'!G87+'Avg Week Kigo-Munyonyo'!G87</f>
        <v>0</v>
      </c>
      <c r="H87" s="49">
        <f>'Avg Week Munyonyo-Kigo'!H87+'Avg Week Kigo-Munyonyo'!H87</f>
        <v>0</v>
      </c>
      <c r="I87" s="49">
        <f>'Avg Week Munyonyo-Kigo'!I87+'Avg Week Kigo-Munyonyo'!I87</f>
        <v>0</v>
      </c>
      <c r="J87" s="49">
        <f>'Avg Week Munyonyo-Kigo'!J87+'Avg Week Kigo-Munyonyo'!J87</f>
        <v>0</v>
      </c>
      <c r="K87" s="49">
        <f>'Avg Week Munyonyo-Kigo'!K87+'Avg Week Kigo-Munyonyo'!K87</f>
        <v>0</v>
      </c>
      <c r="L87" s="49">
        <f>'Avg Week Munyonyo-Kigo'!L87+'Avg Week Kigo-Munyonyo'!L87</f>
        <v>0</v>
      </c>
      <c r="M87" s="49">
        <f>'Avg Week Munyonyo-Kigo'!M87+'Avg Week Kigo-Munyonyo'!M87</f>
        <v>4</v>
      </c>
      <c r="N87" s="49">
        <f>'Avg Week Munyonyo-Kigo'!N87+'Avg Week Kigo-Munyonyo'!N87</f>
        <v>0</v>
      </c>
      <c r="O87" s="15">
        <f t="shared" si="35"/>
        <v>0.5</v>
      </c>
      <c r="P87" s="15">
        <f t="shared" si="36"/>
        <v>4.5</v>
      </c>
      <c r="R87" s="8"/>
      <c r="T87"/>
    </row>
    <row r="88" spans="2:20" ht="23.1" customHeight="1" x14ac:dyDescent="0.25">
      <c r="B88" s="25" t="s">
        <v>128</v>
      </c>
      <c r="C88" s="49">
        <f>'Avg Week Munyonyo-Kigo'!C88+'Avg Week Kigo-Munyonyo'!C88</f>
        <v>0</v>
      </c>
      <c r="D88" s="49">
        <f>'Avg Week Munyonyo-Kigo'!D88+'Avg Week Kigo-Munyonyo'!D88</f>
        <v>0</v>
      </c>
      <c r="E88" s="49">
        <f>'Avg Week Munyonyo-Kigo'!E88+'Avg Week Kigo-Munyonyo'!E88</f>
        <v>0</v>
      </c>
      <c r="F88" s="49">
        <f>'Avg Week Munyonyo-Kigo'!F88+'Avg Week Kigo-Munyonyo'!F88</f>
        <v>0</v>
      </c>
      <c r="G88" s="49">
        <f>'Avg Week Munyonyo-Kigo'!G88+'Avg Week Kigo-Munyonyo'!G88</f>
        <v>0</v>
      </c>
      <c r="H88" s="49">
        <f>'Avg Week Munyonyo-Kigo'!H88+'Avg Week Kigo-Munyonyo'!H88</f>
        <v>0</v>
      </c>
      <c r="I88" s="49">
        <f>'Avg Week Munyonyo-Kigo'!I88+'Avg Week Kigo-Munyonyo'!I88</f>
        <v>0</v>
      </c>
      <c r="J88" s="49">
        <f>'Avg Week Munyonyo-Kigo'!J88+'Avg Week Kigo-Munyonyo'!J88</f>
        <v>0</v>
      </c>
      <c r="K88" s="49">
        <f>'Avg Week Munyonyo-Kigo'!K88+'Avg Week Kigo-Munyonyo'!K88</f>
        <v>0</v>
      </c>
      <c r="L88" s="49">
        <f>'Avg Week Munyonyo-Kigo'!L88+'Avg Week Kigo-Munyonyo'!L88</f>
        <v>0</v>
      </c>
      <c r="M88" s="49">
        <f>'Avg Week Munyonyo-Kigo'!M88+'Avg Week Kigo-Munyonyo'!M88</f>
        <v>2</v>
      </c>
      <c r="N88" s="49">
        <f>'Avg Week Munyonyo-Kigo'!N88+'Avg Week Kigo-Munyonyo'!N88</f>
        <v>0</v>
      </c>
      <c r="O88" s="15">
        <f t="shared" si="35"/>
        <v>0</v>
      </c>
      <c r="P88" s="15">
        <f t="shared" si="36"/>
        <v>2</v>
      </c>
      <c r="R88" s="8"/>
      <c r="T88"/>
    </row>
    <row r="89" spans="2:20" ht="23.1" customHeight="1" x14ac:dyDescent="0.25">
      <c r="B89" s="23" t="s">
        <v>129</v>
      </c>
      <c r="C89" s="49">
        <f>'Avg Week Munyonyo-Kigo'!C89+'Avg Week Kigo-Munyonyo'!C89</f>
        <v>0.5</v>
      </c>
      <c r="D89" s="49">
        <f>'Avg Week Munyonyo-Kigo'!D89+'Avg Week Kigo-Munyonyo'!D89</f>
        <v>0</v>
      </c>
      <c r="E89" s="49">
        <f>'Avg Week Munyonyo-Kigo'!E89+'Avg Week Kigo-Munyonyo'!E89</f>
        <v>0</v>
      </c>
      <c r="F89" s="49">
        <f>'Avg Week Munyonyo-Kigo'!F89+'Avg Week Kigo-Munyonyo'!F89</f>
        <v>0</v>
      </c>
      <c r="G89" s="49">
        <f>'Avg Week Munyonyo-Kigo'!G89+'Avg Week Kigo-Munyonyo'!G89</f>
        <v>0</v>
      </c>
      <c r="H89" s="49">
        <f>'Avg Week Munyonyo-Kigo'!H89+'Avg Week Kigo-Munyonyo'!H89</f>
        <v>0</v>
      </c>
      <c r="I89" s="49">
        <f>'Avg Week Munyonyo-Kigo'!I89+'Avg Week Kigo-Munyonyo'!I89</f>
        <v>0</v>
      </c>
      <c r="J89" s="49">
        <f>'Avg Week Munyonyo-Kigo'!J89+'Avg Week Kigo-Munyonyo'!J89</f>
        <v>0</v>
      </c>
      <c r="K89" s="49">
        <f>'Avg Week Munyonyo-Kigo'!K89+'Avg Week Kigo-Munyonyo'!K89</f>
        <v>0</v>
      </c>
      <c r="L89" s="49">
        <f>'Avg Week Munyonyo-Kigo'!L89+'Avg Week Kigo-Munyonyo'!L89</f>
        <v>0</v>
      </c>
      <c r="M89" s="49">
        <f>'Avg Week Munyonyo-Kigo'!M89+'Avg Week Kigo-Munyonyo'!M89</f>
        <v>7</v>
      </c>
      <c r="N89" s="49">
        <f>'Avg Week Munyonyo-Kigo'!N89+'Avg Week Kigo-Munyonyo'!N89</f>
        <v>0</v>
      </c>
      <c r="O89" s="15">
        <f t="shared" si="35"/>
        <v>0.5</v>
      </c>
      <c r="P89" s="15">
        <f t="shared" si="36"/>
        <v>7.5</v>
      </c>
      <c r="R89" s="8"/>
      <c r="T89"/>
    </row>
    <row r="90" spans="2:20" ht="23.1" customHeight="1" x14ac:dyDescent="0.25">
      <c r="B90" s="24" t="s">
        <v>130</v>
      </c>
      <c r="C90" s="49">
        <f>'Avg Week Munyonyo-Kigo'!C90+'Avg Week Kigo-Munyonyo'!C90</f>
        <v>0</v>
      </c>
      <c r="D90" s="49">
        <f>'Avg Week Munyonyo-Kigo'!D90+'Avg Week Kigo-Munyonyo'!D90</f>
        <v>0</v>
      </c>
      <c r="E90" s="49">
        <f>'Avg Week Munyonyo-Kigo'!E90+'Avg Week Kigo-Munyonyo'!E90</f>
        <v>0</v>
      </c>
      <c r="F90" s="49">
        <f>'Avg Week Munyonyo-Kigo'!F90+'Avg Week Kigo-Munyonyo'!F90</f>
        <v>0</v>
      </c>
      <c r="G90" s="49">
        <f>'Avg Week Munyonyo-Kigo'!G90+'Avg Week Kigo-Munyonyo'!G90</f>
        <v>0</v>
      </c>
      <c r="H90" s="49">
        <f>'Avg Week Munyonyo-Kigo'!H90+'Avg Week Kigo-Munyonyo'!H90</f>
        <v>0</v>
      </c>
      <c r="I90" s="49">
        <f>'Avg Week Munyonyo-Kigo'!I90+'Avg Week Kigo-Munyonyo'!I90</f>
        <v>0</v>
      </c>
      <c r="J90" s="49">
        <f>'Avg Week Munyonyo-Kigo'!J90+'Avg Week Kigo-Munyonyo'!J90</f>
        <v>0</v>
      </c>
      <c r="K90" s="49">
        <f>'Avg Week Munyonyo-Kigo'!K90+'Avg Week Kigo-Munyonyo'!K90</f>
        <v>0</v>
      </c>
      <c r="L90" s="49">
        <f>'Avg Week Munyonyo-Kigo'!L90+'Avg Week Kigo-Munyonyo'!L90</f>
        <v>0</v>
      </c>
      <c r="M90" s="49">
        <f>'Avg Week Munyonyo-Kigo'!M90+'Avg Week Kigo-Munyonyo'!M90</f>
        <v>6</v>
      </c>
      <c r="N90" s="49">
        <f>'Avg Week Munyonyo-Kigo'!N90+'Avg Week Kigo-Munyonyo'!N90</f>
        <v>0</v>
      </c>
      <c r="O90" s="15">
        <f t="shared" si="35"/>
        <v>0</v>
      </c>
      <c r="P90" s="15">
        <f t="shared" si="36"/>
        <v>6</v>
      </c>
      <c r="R90" s="8"/>
      <c r="T90"/>
    </row>
    <row r="91" spans="2:20" ht="23.1" customHeight="1" x14ac:dyDescent="0.25">
      <c r="B91" s="23" t="s">
        <v>131</v>
      </c>
      <c r="C91" s="49">
        <f>'Avg Week Munyonyo-Kigo'!C91+'Avg Week Kigo-Munyonyo'!C91</f>
        <v>0</v>
      </c>
      <c r="D91" s="49">
        <f>'Avg Week Munyonyo-Kigo'!D91+'Avg Week Kigo-Munyonyo'!D91</f>
        <v>0</v>
      </c>
      <c r="E91" s="49">
        <f>'Avg Week Munyonyo-Kigo'!E91+'Avg Week Kigo-Munyonyo'!E91</f>
        <v>0</v>
      </c>
      <c r="F91" s="49">
        <f>'Avg Week Munyonyo-Kigo'!F91+'Avg Week Kigo-Munyonyo'!F91</f>
        <v>1.5</v>
      </c>
      <c r="G91" s="49">
        <f>'Avg Week Munyonyo-Kigo'!G91+'Avg Week Kigo-Munyonyo'!G91</f>
        <v>0</v>
      </c>
      <c r="H91" s="49">
        <f>'Avg Week Munyonyo-Kigo'!H91+'Avg Week Kigo-Munyonyo'!H91</f>
        <v>0</v>
      </c>
      <c r="I91" s="49">
        <f>'Avg Week Munyonyo-Kigo'!I91+'Avg Week Kigo-Munyonyo'!I91</f>
        <v>0</v>
      </c>
      <c r="J91" s="49">
        <f>'Avg Week Munyonyo-Kigo'!J91+'Avg Week Kigo-Munyonyo'!J91</f>
        <v>0</v>
      </c>
      <c r="K91" s="49">
        <f>'Avg Week Munyonyo-Kigo'!K91+'Avg Week Kigo-Munyonyo'!K91</f>
        <v>0</v>
      </c>
      <c r="L91" s="49">
        <f>'Avg Week Munyonyo-Kigo'!L91+'Avg Week Kigo-Munyonyo'!L91</f>
        <v>0</v>
      </c>
      <c r="M91" s="49">
        <f>'Avg Week Munyonyo-Kigo'!M91+'Avg Week Kigo-Munyonyo'!M91</f>
        <v>4</v>
      </c>
      <c r="N91" s="49">
        <f>'Avg Week Munyonyo-Kigo'!N91+'Avg Week Kigo-Munyonyo'!N91</f>
        <v>0</v>
      </c>
      <c r="O91" s="15">
        <f t="shared" si="35"/>
        <v>1.5</v>
      </c>
      <c r="P91" s="15">
        <f t="shared" si="36"/>
        <v>5.5</v>
      </c>
      <c r="R91" s="8"/>
      <c r="T91"/>
    </row>
    <row r="92" spans="2:20" ht="23.1" customHeight="1" x14ac:dyDescent="0.25">
      <c r="B92" s="25" t="s">
        <v>132</v>
      </c>
      <c r="C92" s="49">
        <f>'Avg Week Munyonyo-Kigo'!C92+'Avg Week Kigo-Munyonyo'!C92</f>
        <v>0.5</v>
      </c>
      <c r="D92" s="49">
        <f>'Avg Week Munyonyo-Kigo'!D92+'Avg Week Kigo-Munyonyo'!D92</f>
        <v>0</v>
      </c>
      <c r="E92" s="49">
        <f>'Avg Week Munyonyo-Kigo'!E92+'Avg Week Kigo-Munyonyo'!E92</f>
        <v>0</v>
      </c>
      <c r="F92" s="49">
        <f>'Avg Week Munyonyo-Kigo'!F92+'Avg Week Kigo-Munyonyo'!F92</f>
        <v>0</v>
      </c>
      <c r="G92" s="49">
        <f>'Avg Week Munyonyo-Kigo'!G92+'Avg Week Kigo-Munyonyo'!G92</f>
        <v>0</v>
      </c>
      <c r="H92" s="49">
        <f>'Avg Week Munyonyo-Kigo'!H92+'Avg Week Kigo-Munyonyo'!H92</f>
        <v>0</v>
      </c>
      <c r="I92" s="49">
        <f>'Avg Week Munyonyo-Kigo'!I92+'Avg Week Kigo-Munyonyo'!I92</f>
        <v>0</v>
      </c>
      <c r="J92" s="49">
        <f>'Avg Week Munyonyo-Kigo'!J92+'Avg Week Kigo-Munyonyo'!J92</f>
        <v>0</v>
      </c>
      <c r="K92" s="49">
        <f>'Avg Week Munyonyo-Kigo'!K92+'Avg Week Kigo-Munyonyo'!K92</f>
        <v>0</v>
      </c>
      <c r="L92" s="49">
        <f>'Avg Week Munyonyo-Kigo'!L92+'Avg Week Kigo-Munyonyo'!L92</f>
        <v>0</v>
      </c>
      <c r="M92" s="49">
        <f>'Avg Week Munyonyo-Kigo'!M92+'Avg Week Kigo-Munyonyo'!M92</f>
        <v>3.5</v>
      </c>
      <c r="N92" s="49">
        <f>'Avg Week Munyonyo-Kigo'!N92+'Avg Week Kigo-Munyonyo'!N92</f>
        <v>0</v>
      </c>
      <c r="O92" s="15">
        <f t="shared" si="35"/>
        <v>0.5</v>
      </c>
      <c r="P92" s="15">
        <f t="shared" si="36"/>
        <v>4</v>
      </c>
      <c r="R92" s="8"/>
      <c r="T92"/>
    </row>
    <row r="93" spans="2:20" ht="23.1" customHeight="1" x14ac:dyDescent="0.25">
      <c r="B93" s="23" t="s">
        <v>133</v>
      </c>
      <c r="C93" s="49">
        <f>'Avg Week Munyonyo-Kigo'!C93+'Avg Week Kigo-Munyonyo'!C93</f>
        <v>1</v>
      </c>
      <c r="D93" s="49">
        <f>'Avg Week Munyonyo-Kigo'!D93+'Avg Week Kigo-Munyonyo'!D93</f>
        <v>0</v>
      </c>
      <c r="E93" s="49">
        <f>'Avg Week Munyonyo-Kigo'!E93+'Avg Week Kigo-Munyonyo'!E93</f>
        <v>0</v>
      </c>
      <c r="F93" s="49">
        <f>'Avg Week Munyonyo-Kigo'!F93+'Avg Week Kigo-Munyonyo'!F93</f>
        <v>0</v>
      </c>
      <c r="G93" s="49">
        <f>'Avg Week Munyonyo-Kigo'!G93+'Avg Week Kigo-Munyonyo'!G93</f>
        <v>0</v>
      </c>
      <c r="H93" s="49">
        <f>'Avg Week Munyonyo-Kigo'!H93+'Avg Week Kigo-Munyonyo'!H93</f>
        <v>0</v>
      </c>
      <c r="I93" s="49">
        <f>'Avg Week Munyonyo-Kigo'!I93+'Avg Week Kigo-Munyonyo'!I93</f>
        <v>0</v>
      </c>
      <c r="J93" s="49">
        <f>'Avg Week Munyonyo-Kigo'!J93+'Avg Week Kigo-Munyonyo'!J93</f>
        <v>0</v>
      </c>
      <c r="K93" s="49">
        <f>'Avg Week Munyonyo-Kigo'!K93+'Avg Week Kigo-Munyonyo'!K93</f>
        <v>0</v>
      </c>
      <c r="L93" s="49">
        <f>'Avg Week Munyonyo-Kigo'!L93+'Avg Week Kigo-Munyonyo'!L93</f>
        <v>0</v>
      </c>
      <c r="M93" s="49">
        <f>'Avg Week Munyonyo-Kigo'!M93+'Avg Week Kigo-Munyonyo'!M93</f>
        <v>4</v>
      </c>
      <c r="N93" s="49">
        <f>'Avg Week Munyonyo-Kigo'!N93+'Avg Week Kigo-Munyonyo'!N93</f>
        <v>0</v>
      </c>
      <c r="O93" s="15">
        <f t="shared" si="35"/>
        <v>1</v>
      </c>
      <c r="P93" s="15">
        <f t="shared" si="36"/>
        <v>5</v>
      </c>
      <c r="R93" s="8"/>
      <c r="T93"/>
    </row>
    <row r="94" spans="2:20" ht="23.1" customHeight="1" x14ac:dyDescent="0.25">
      <c r="B94" s="24" t="s">
        <v>134</v>
      </c>
      <c r="C94" s="49">
        <f>'Avg Week Munyonyo-Kigo'!C94+'Avg Week Kigo-Munyonyo'!C94</f>
        <v>0</v>
      </c>
      <c r="D94" s="49">
        <f>'Avg Week Munyonyo-Kigo'!D94+'Avg Week Kigo-Munyonyo'!D94</f>
        <v>0</v>
      </c>
      <c r="E94" s="49">
        <f>'Avg Week Munyonyo-Kigo'!E94+'Avg Week Kigo-Munyonyo'!E94</f>
        <v>0</v>
      </c>
      <c r="F94" s="49">
        <f>'Avg Week Munyonyo-Kigo'!F94+'Avg Week Kigo-Munyonyo'!F94</f>
        <v>0</v>
      </c>
      <c r="G94" s="49">
        <f>'Avg Week Munyonyo-Kigo'!G94+'Avg Week Kigo-Munyonyo'!G94</f>
        <v>0</v>
      </c>
      <c r="H94" s="49">
        <f>'Avg Week Munyonyo-Kigo'!H94+'Avg Week Kigo-Munyonyo'!H94</f>
        <v>0</v>
      </c>
      <c r="I94" s="49">
        <f>'Avg Week Munyonyo-Kigo'!I94+'Avg Week Kigo-Munyonyo'!I94</f>
        <v>0</v>
      </c>
      <c r="J94" s="49">
        <f>'Avg Week Munyonyo-Kigo'!J94+'Avg Week Kigo-Munyonyo'!J94</f>
        <v>0</v>
      </c>
      <c r="K94" s="49">
        <f>'Avg Week Munyonyo-Kigo'!K94+'Avg Week Kigo-Munyonyo'!K94</f>
        <v>0</v>
      </c>
      <c r="L94" s="49">
        <f>'Avg Week Munyonyo-Kigo'!L94+'Avg Week Kigo-Munyonyo'!L94</f>
        <v>0</v>
      </c>
      <c r="M94" s="49">
        <f>'Avg Week Munyonyo-Kigo'!M94+'Avg Week Kigo-Munyonyo'!M94</f>
        <v>6</v>
      </c>
      <c r="N94" s="49">
        <f>'Avg Week Munyonyo-Kigo'!N94+'Avg Week Kigo-Munyonyo'!N94</f>
        <v>0</v>
      </c>
      <c r="O94" s="15">
        <f t="shared" si="35"/>
        <v>0</v>
      </c>
      <c r="P94" s="15">
        <f t="shared" si="36"/>
        <v>6</v>
      </c>
      <c r="R94" s="8"/>
      <c r="T94"/>
    </row>
    <row r="95" spans="2:20" ht="23.1" customHeight="1" x14ac:dyDescent="0.25">
      <c r="B95" s="23" t="s">
        <v>135</v>
      </c>
      <c r="C95" s="49">
        <f>'Avg Week Munyonyo-Kigo'!C95+'Avg Week Kigo-Munyonyo'!C95</f>
        <v>0.5</v>
      </c>
      <c r="D95" s="49">
        <f>'Avg Week Munyonyo-Kigo'!D95+'Avg Week Kigo-Munyonyo'!D95</f>
        <v>0</v>
      </c>
      <c r="E95" s="49">
        <f>'Avg Week Munyonyo-Kigo'!E95+'Avg Week Kigo-Munyonyo'!E95</f>
        <v>0</v>
      </c>
      <c r="F95" s="49">
        <f>'Avg Week Munyonyo-Kigo'!F95+'Avg Week Kigo-Munyonyo'!F95</f>
        <v>0</v>
      </c>
      <c r="G95" s="49">
        <f>'Avg Week Munyonyo-Kigo'!G95+'Avg Week Kigo-Munyonyo'!G95</f>
        <v>0</v>
      </c>
      <c r="H95" s="49">
        <f>'Avg Week Munyonyo-Kigo'!H95+'Avg Week Kigo-Munyonyo'!H95</f>
        <v>0</v>
      </c>
      <c r="I95" s="49">
        <f>'Avg Week Munyonyo-Kigo'!I95+'Avg Week Kigo-Munyonyo'!I95</f>
        <v>0</v>
      </c>
      <c r="J95" s="49">
        <f>'Avg Week Munyonyo-Kigo'!J95+'Avg Week Kigo-Munyonyo'!J95</f>
        <v>0</v>
      </c>
      <c r="K95" s="49">
        <f>'Avg Week Munyonyo-Kigo'!K95+'Avg Week Kigo-Munyonyo'!K95</f>
        <v>0</v>
      </c>
      <c r="L95" s="49">
        <f>'Avg Week Munyonyo-Kigo'!L95+'Avg Week Kigo-Munyonyo'!L95</f>
        <v>0</v>
      </c>
      <c r="M95" s="49">
        <f>'Avg Week Munyonyo-Kigo'!M95+'Avg Week Kigo-Munyonyo'!M95</f>
        <v>5</v>
      </c>
      <c r="N95" s="49">
        <f>'Avg Week Munyonyo-Kigo'!N95+'Avg Week Kigo-Munyonyo'!N95</f>
        <v>0</v>
      </c>
      <c r="O95" s="15">
        <f t="shared" si="35"/>
        <v>0.5</v>
      </c>
      <c r="P95" s="15">
        <f t="shared" si="36"/>
        <v>5.5</v>
      </c>
      <c r="R95" s="8"/>
      <c r="T95"/>
    </row>
    <row r="96" spans="2:20" ht="23.1" customHeight="1" x14ac:dyDescent="0.25">
      <c r="B96" s="25" t="s">
        <v>136</v>
      </c>
      <c r="C96" s="49">
        <f>'Avg Week Munyonyo-Kigo'!C96+'Avg Week Kigo-Munyonyo'!C96</f>
        <v>1</v>
      </c>
      <c r="D96" s="49">
        <f>'Avg Week Munyonyo-Kigo'!D96+'Avg Week Kigo-Munyonyo'!D96</f>
        <v>0</v>
      </c>
      <c r="E96" s="49">
        <f>'Avg Week Munyonyo-Kigo'!E96+'Avg Week Kigo-Munyonyo'!E96</f>
        <v>0</v>
      </c>
      <c r="F96" s="49">
        <f>'Avg Week Munyonyo-Kigo'!F96+'Avg Week Kigo-Munyonyo'!F96</f>
        <v>0</v>
      </c>
      <c r="G96" s="49">
        <f>'Avg Week Munyonyo-Kigo'!G96+'Avg Week Kigo-Munyonyo'!G96</f>
        <v>0</v>
      </c>
      <c r="H96" s="49">
        <f>'Avg Week Munyonyo-Kigo'!H96+'Avg Week Kigo-Munyonyo'!H96</f>
        <v>0</v>
      </c>
      <c r="I96" s="49">
        <f>'Avg Week Munyonyo-Kigo'!I96+'Avg Week Kigo-Munyonyo'!I96</f>
        <v>0</v>
      </c>
      <c r="J96" s="49">
        <f>'Avg Week Munyonyo-Kigo'!J96+'Avg Week Kigo-Munyonyo'!J96</f>
        <v>0</v>
      </c>
      <c r="K96" s="49">
        <f>'Avg Week Munyonyo-Kigo'!K96+'Avg Week Kigo-Munyonyo'!K96</f>
        <v>0</v>
      </c>
      <c r="L96" s="49">
        <f>'Avg Week Munyonyo-Kigo'!L96+'Avg Week Kigo-Munyonyo'!L96</f>
        <v>0</v>
      </c>
      <c r="M96" s="49">
        <f>'Avg Week Munyonyo-Kigo'!M96+'Avg Week Kigo-Munyonyo'!M96</f>
        <v>4</v>
      </c>
      <c r="N96" s="49">
        <f>'Avg Week Munyonyo-Kigo'!N96+'Avg Week Kigo-Munyonyo'!N96</f>
        <v>0</v>
      </c>
      <c r="O96" s="15">
        <f t="shared" si="35"/>
        <v>1</v>
      </c>
      <c r="P96" s="15">
        <f t="shared" si="36"/>
        <v>5</v>
      </c>
      <c r="R96" s="8"/>
      <c r="T96"/>
    </row>
    <row r="97" spans="2:20" ht="23.1" customHeight="1" x14ac:dyDescent="0.25">
      <c r="B97" s="23" t="s">
        <v>137</v>
      </c>
      <c r="C97" s="49">
        <f>'Avg Week Munyonyo-Kigo'!C97+'Avg Week Kigo-Munyonyo'!C97</f>
        <v>0.5</v>
      </c>
      <c r="D97" s="49">
        <f>'Avg Week Munyonyo-Kigo'!D97+'Avg Week Kigo-Munyonyo'!D97</f>
        <v>0</v>
      </c>
      <c r="E97" s="49">
        <f>'Avg Week Munyonyo-Kigo'!E97+'Avg Week Kigo-Munyonyo'!E97</f>
        <v>0</v>
      </c>
      <c r="F97" s="49">
        <f>'Avg Week Munyonyo-Kigo'!F97+'Avg Week Kigo-Munyonyo'!F97</f>
        <v>0.5</v>
      </c>
      <c r="G97" s="49">
        <f>'Avg Week Munyonyo-Kigo'!G97+'Avg Week Kigo-Munyonyo'!G97</f>
        <v>0</v>
      </c>
      <c r="H97" s="49">
        <f>'Avg Week Munyonyo-Kigo'!H97+'Avg Week Kigo-Munyonyo'!H97</f>
        <v>0</v>
      </c>
      <c r="I97" s="49">
        <f>'Avg Week Munyonyo-Kigo'!I97+'Avg Week Kigo-Munyonyo'!I97</f>
        <v>0</v>
      </c>
      <c r="J97" s="49">
        <f>'Avg Week Munyonyo-Kigo'!J97+'Avg Week Kigo-Munyonyo'!J97</f>
        <v>0</v>
      </c>
      <c r="K97" s="49">
        <f>'Avg Week Munyonyo-Kigo'!K97+'Avg Week Kigo-Munyonyo'!K97</f>
        <v>0</v>
      </c>
      <c r="L97" s="49">
        <f>'Avg Week Munyonyo-Kigo'!L97+'Avg Week Kigo-Munyonyo'!L97</f>
        <v>0</v>
      </c>
      <c r="M97" s="49">
        <f>'Avg Week Munyonyo-Kigo'!M97+'Avg Week Kigo-Munyonyo'!M97</f>
        <v>6</v>
      </c>
      <c r="N97" s="49">
        <f>'Avg Week Munyonyo-Kigo'!N97+'Avg Week Kigo-Munyonyo'!N97</f>
        <v>0</v>
      </c>
      <c r="O97" s="15">
        <f t="shared" si="35"/>
        <v>1</v>
      </c>
      <c r="P97" s="15">
        <f t="shared" si="36"/>
        <v>7</v>
      </c>
      <c r="R97" s="8"/>
      <c r="T97"/>
    </row>
    <row r="98" spans="2:20" ht="23.1" customHeight="1" x14ac:dyDescent="0.25">
      <c r="B98" s="24" t="s">
        <v>138</v>
      </c>
      <c r="C98" s="49">
        <f>'Avg Week Munyonyo-Kigo'!C98+'Avg Week Kigo-Munyonyo'!C98</f>
        <v>0</v>
      </c>
      <c r="D98" s="49">
        <f>'Avg Week Munyonyo-Kigo'!D98+'Avg Week Kigo-Munyonyo'!D98</f>
        <v>0</v>
      </c>
      <c r="E98" s="49">
        <f>'Avg Week Munyonyo-Kigo'!E98+'Avg Week Kigo-Munyonyo'!E98</f>
        <v>0</v>
      </c>
      <c r="F98" s="49">
        <f>'Avg Week Munyonyo-Kigo'!F98+'Avg Week Kigo-Munyonyo'!F98</f>
        <v>0</v>
      </c>
      <c r="G98" s="49">
        <f>'Avg Week Munyonyo-Kigo'!G98+'Avg Week Kigo-Munyonyo'!G98</f>
        <v>0</v>
      </c>
      <c r="H98" s="49">
        <f>'Avg Week Munyonyo-Kigo'!H98+'Avg Week Kigo-Munyonyo'!H98</f>
        <v>0</v>
      </c>
      <c r="I98" s="49">
        <f>'Avg Week Munyonyo-Kigo'!I98+'Avg Week Kigo-Munyonyo'!I98</f>
        <v>0</v>
      </c>
      <c r="J98" s="49">
        <f>'Avg Week Munyonyo-Kigo'!J98+'Avg Week Kigo-Munyonyo'!J98</f>
        <v>0</v>
      </c>
      <c r="K98" s="49">
        <f>'Avg Week Munyonyo-Kigo'!K98+'Avg Week Kigo-Munyonyo'!K98</f>
        <v>0</v>
      </c>
      <c r="L98" s="49">
        <f>'Avg Week Munyonyo-Kigo'!L98+'Avg Week Kigo-Munyonyo'!L98</f>
        <v>0</v>
      </c>
      <c r="M98" s="49">
        <f>'Avg Week Munyonyo-Kigo'!M98+'Avg Week Kigo-Munyonyo'!M98</f>
        <v>4.5</v>
      </c>
      <c r="N98" s="49">
        <f>'Avg Week Munyonyo-Kigo'!N98+'Avg Week Kigo-Munyonyo'!N98</f>
        <v>0</v>
      </c>
      <c r="O98" s="15">
        <f t="shared" si="35"/>
        <v>0</v>
      </c>
      <c r="P98" s="15">
        <f t="shared" si="36"/>
        <v>4.5</v>
      </c>
      <c r="R98" s="8"/>
      <c r="T98"/>
    </row>
    <row r="99" spans="2:20" ht="23.1" customHeight="1" x14ac:dyDescent="0.25">
      <c r="B99" s="23" t="s">
        <v>139</v>
      </c>
      <c r="C99" s="49">
        <f>'Avg Week Munyonyo-Kigo'!C99+'Avg Week Kigo-Munyonyo'!C99</f>
        <v>1.5</v>
      </c>
      <c r="D99" s="49">
        <f>'Avg Week Munyonyo-Kigo'!D99+'Avg Week Kigo-Munyonyo'!D99</f>
        <v>0</v>
      </c>
      <c r="E99" s="49">
        <f>'Avg Week Munyonyo-Kigo'!E99+'Avg Week Kigo-Munyonyo'!E99</f>
        <v>0</v>
      </c>
      <c r="F99" s="49">
        <f>'Avg Week Munyonyo-Kigo'!F99+'Avg Week Kigo-Munyonyo'!F99</f>
        <v>0</v>
      </c>
      <c r="G99" s="49">
        <f>'Avg Week Munyonyo-Kigo'!G99+'Avg Week Kigo-Munyonyo'!G99</f>
        <v>0</v>
      </c>
      <c r="H99" s="49">
        <f>'Avg Week Munyonyo-Kigo'!H99+'Avg Week Kigo-Munyonyo'!H99</f>
        <v>0</v>
      </c>
      <c r="I99" s="49">
        <f>'Avg Week Munyonyo-Kigo'!I99+'Avg Week Kigo-Munyonyo'!I99</f>
        <v>0</v>
      </c>
      <c r="J99" s="49">
        <f>'Avg Week Munyonyo-Kigo'!J99+'Avg Week Kigo-Munyonyo'!J99</f>
        <v>0</v>
      </c>
      <c r="K99" s="49">
        <f>'Avg Week Munyonyo-Kigo'!K99+'Avg Week Kigo-Munyonyo'!K99</f>
        <v>0</v>
      </c>
      <c r="L99" s="49">
        <f>'Avg Week Munyonyo-Kigo'!L99+'Avg Week Kigo-Munyonyo'!L99</f>
        <v>0</v>
      </c>
      <c r="M99" s="49">
        <f>'Avg Week Munyonyo-Kigo'!M99+'Avg Week Kigo-Munyonyo'!M99</f>
        <v>2</v>
      </c>
      <c r="N99" s="49">
        <f>'Avg Week Munyonyo-Kigo'!N99+'Avg Week Kigo-Munyonyo'!N99</f>
        <v>0</v>
      </c>
      <c r="O99" s="15">
        <f t="shared" si="35"/>
        <v>1.5</v>
      </c>
      <c r="P99" s="15">
        <f t="shared" si="36"/>
        <v>3.5</v>
      </c>
      <c r="R99" s="8"/>
      <c r="T99"/>
    </row>
    <row r="100" spans="2:20" ht="23.1" customHeight="1" x14ac:dyDescent="0.25">
      <c r="B100" s="25" t="s">
        <v>140</v>
      </c>
      <c r="C100" s="49">
        <f>'Avg Week Munyonyo-Kigo'!C100+'Avg Week Kigo-Munyonyo'!C100</f>
        <v>0</v>
      </c>
      <c r="D100" s="49">
        <f>'Avg Week Munyonyo-Kigo'!D100+'Avg Week Kigo-Munyonyo'!D100</f>
        <v>0</v>
      </c>
      <c r="E100" s="49">
        <f>'Avg Week Munyonyo-Kigo'!E100+'Avg Week Kigo-Munyonyo'!E100</f>
        <v>0</v>
      </c>
      <c r="F100" s="49">
        <f>'Avg Week Munyonyo-Kigo'!F100+'Avg Week Kigo-Munyonyo'!F100</f>
        <v>1.5</v>
      </c>
      <c r="G100" s="49">
        <f>'Avg Week Munyonyo-Kigo'!G100+'Avg Week Kigo-Munyonyo'!G100</f>
        <v>0</v>
      </c>
      <c r="H100" s="49">
        <f>'Avg Week Munyonyo-Kigo'!H100+'Avg Week Kigo-Munyonyo'!H100</f>
        <v>0</v>
      </c>
      <c r="I100" s="49">
        <f>'Avg Week Munyonyo-Kigo'!I100+'Avg Week Kigo-Munyonyo'!I100</f>
        <v>0</v>
      </c>
      <c r="J100" s="49">
        <f>'Avg Week Munyonyo-Kigo'!J100+'Avg Week Kigo-Munyonyo'!J100</f>
        <v>0</v>
      </c>
      <c r="K100" s="49">
        <f>'Avg Week Munyonyo-Kigo'!K100+'Avg Week Kigo-Munyonyo'!K100</f>
        <v>0</v>
      </c>
      <c r="L100" s="49">
        <f>'Avg Week Munyonyo-Kigo'!L100+'Avg Week Kigo-Munyonyo'!L100</f>
        <v>0</v>
      </c>
      <c r="M100" s="49">
        <f>'Avg Week Munyonyo-Kigo'!M100+'Avg Week Kigo-Munyonyo'!M100</f>
        <v>6.5</v>
      </c>
      <c r="N100" s="49">
        <f>'Avg Week Munyonyo-Kigo'!N100+'Avg Week Kigo-Munyonyo'!N100</f>
        <v>0</v>
      </c>
      <c r="O100" s="15">
        <f t="shared" si="35"/>
        <v>1.5</v>
      </c>
      <c r="P100" s="15">
        <f t="shared" si="36"/>
        <v>8</v>
      </c>
      <c r="R100" s="8"/>
      <c r="T100"/>
    </row>
    <row r="101" spans="2:20" ht="23.1" customHeight="1" x14ac:dyDescent="0.25">
      <c r="B101" s="23" t="s">
        <v>141</v>
      </c>
      <c r="C101" s="49">
        <f>'Avg Week Munyonyo-Kigo'!C101+'Avg Week Kigo-Munyonyo'!C101</f>
        <v>3</v>
      </c>
      <c r="D101" s="49">
        <f>'Avg Week Munyonyo-Kigo'!D101+'Avg Week Kigo-Munyonyo'!D101</f>
        <v>0</v>
      </c>
      <c r="E101" s="49">
        <f>'Avg Week Munyonyo-Kigo'!E101+'Avg Week Kigo-Munyonyo'!E101</f>
        <v>0</v>
      </c>
      <c r="F101" s="49">
        <f>'Avg Week Munyonyo-Kigo'!F101+'Avg Week Kigo-Munyonyo'!F101</f>
        <v>0.5</v>
      </c>
      <c r="G101" s="49">
        <f>'Avg Week Munyonyo-Kigo'!G101+'Avg Week Kigo-Munyonyo'!G101</f>
        <v>0</v>
      </c>
      <c r="H101" s="49">
        <f>'Avg Week Munyonyo-Kigo'!H101+'Avg Week Kigo-Munyonyo'!H101</f>
        <v>0</v>
      </c>
      <c r="I101" s="49">
        <f>'Avg Week Munyonyo-Kigo'!I101+'Avg Week Kigo-Munyonyo'!I101</f>
        <v>0</v>
      </c>
      <c r="J101" s="49">
        <f>'Avg Week Munyonyo-Kigo'!J101+'Avg Week Kigo-Munyonyo'!J101</f>
        <v>0</v>
      </c>
      <c r="K101" s="49">
        <f>'Avg Week Munyonyo-Kigo'!K101+'Avg Week Kigo-Munyonyo'!K101</f>
        <v>0</v>
      </c>
      <c r="L101" s="49">
        <f>'Avg Week Munyonyo-Kigo'!L101+'Avg Week Kigo-Munyonyo'!L101</f>
        <v>0</v>
      </c>
      <c r="M101" s="49">
        <f>'Avg Week Munyonyo-Kigo'!M101+'Avg Week Kigo-Munyonyo'!M101</f>
        <v>5</v>
      </c>
      <c r="N101" s="49">
        <f>'Avg Week Munyonyo-Kigo'!N101+'Avg Week Kigo-Munyonyo'!N101</f>
        <v>0</v>
      </c>
      <c r="O101" s="15">
        <f t="shared" si="35"/>
        <v>3.5</v>
      </c>
      <c r="P101" s="15">
        <f t="shared" si="36"/>
        <v>8.5</v>
      </c>
      <c r="R101" s="8"/>
      <c r="T101"/>
    </row>
    <row r="102" spans="2:20" ht="23.1" customHeight="1" x14ac:dyDescent="0.25">
      <c r="B102" s="24" t="s">
        <v>142</v>
      </c>
      <c r="C102" s="49">
        <f>'Avg Week Munyonyo-Kigo'!C102+'Avg Week Kigo-Munyonyo'!C102</f>
        <v>1</v>
      </c>
      <c r="D102" s="49">
        <f>'Avg Week Munyonyo-Kigo'!D102+'Avg Week Kigo-Munyonyo'!D102</f>
        <v>0</v>
      </c>
      <c r="E102" s="49">
        <f>'Avg Week Munyonyo-Kigo'!E102+'Avg Week Kigo-Munyonyo'!E102</f>
        <v>0</v>
      </c>
      <c r="F102" s="49">
        <f>'Avg Week Munyonyo-Kigo'!F102+'Avg Week Kigo-Munyonyo'!F102</f>
        <v>0.5</v>
      </c>
      <c r="G102" s="49">
        <f>'Avg Week Munyonyo-Kigo'!G102+'Avg Week Kigo-Munyonyo'!G102</f>
        <v>0</v>
      </c>
      <c r="H102" s="49">
        <f>'Avg Week Munyonyo-Kigo'!H102+'Avg Week Kigo-Munyonyo'!H102</f>
        <v>0</v>
      </c>
      <c r="I102" s="49">
        <f>'Avg Week Munyonyo-Kigo'!I102+'Avg Week Kigo-Munyonyo'!I102</f>
        <v>0</v>
      </c>
      <c r="J102" s="49">
        <f>'Avg Week Munyonyo-Kigo'!J102+'Avg Week Kigo-Munyonyo'!J102</f>
        <v>0</v>
      </c>
      <c r="K102" s="49">
        <f>'Avg Week Munyonyo-Kigo'!K102+'Avg Week Kigo-Munyonyo'!K102</f>
        <v>0</v>
      </c>
      <c r="L102" s="49">
        <f>'Avg Week Munyonyo-Kigo'!L102+'Avg Week Kigo-Munyonyo'!L102</f>
        <v>0</v>
      </c>
      <c r="M102" s="49">
        <f>'Avg Week Munyonyo-Kigo'!M102+'Avg Week Kigo-Munyonyo'!M102</f>
        <v>12.5</v>
      </c>
      <c r="N102" s="49">
        <f>'Avg Week Munyonyo-Kigo'!N102+'Avg Week Kigo-Munyonyo'!N102</f>
        <v>0</v>
      </c>
      <c r="O102" s="15">
        <f t="shared" si="35"/>
        <v>1.5</v>
      </c>
      <c r="P102" s="15">
        <f t="shared" si="36"/>
        <v>14</v>
      </c>
      <c r="R102" s="8"/>
      <c r="T102"/>
    </row>
    <row r="103" spans="2:20" ht="23.1" customHeight="1" x14ac:dyDescent="0.25">
      <c r="B103" s="23" t="s">
        <v>143</v>
      </c>
      <c r="C103" s="49">
        <f>'Avg Week Munyonyo-Kigo'!C103+'Avg Week Kigo-Munyonyo'!C103</f>
        <v>1</v>
      </c>
      <c r="D103" s="49">
        <f>'Avg Week Munyonyo-Kigo'!D103+'Avg Week Kigo-Munyonyo'!D103</f>
        <v>0</v>
      </c>
      <c r="E103" s="49">
        <f>'Avg Week Munyonyo-Kigo'!E103+'Avg Week Kigo-Munyonyo'!E103</f>
        <v>0.5</v>
      </c>
      <c r="F103" s="49">
        <f>'Avg Week Munyonyo-Kigo'!F103+'Avg Week Kigo-Munyonyo'!F103</f>
        <v>1.5</v>
      </c>
      <c r="G103" s="49">
        <f>'Avg Week Munyonyo-Kigo'!G103+'Avg Week Kigo-Munyonyo'!G103</f>
        <v>0</v>
      </c>
      <c r="H103" s="49">
        <f>'Avg Week Munyonyo-Kigo'!H103+'Avg Week Kigo-Munyonyo'!H103</f>
        <v>0</v>
      </c>
      <c r="I103" s="49">
        <f>'Avg Week Munyonyo-Kigo'!I103+'Avg Week Kigo-Munyonyo'!I103</f>
        <v>0</v>
      </c>
      <c r="J103" s="49">
        <f>'Avg Week Munyonyo-Kigo'!J103+'Avg Week Kigo-Munyonyo'!J103</f>
        <v>0.5</v>
      </c>
      <c r="K103" s="49">
        <f>'Avg Week Munyonyo-Kigo'!K103+'Avg Week Kigo-Munyonyo'!K103</f>
        <v>0</v>
      </c>
      <c r="L103" s="49">
        <f>'Avg Week Munyonyo-Kigo'!L103+'Avg Week Kigo-Munyonyo'!L103</f>
        <v>0</v>
      </c>
      <c r="M103" s="49">
        <f>'Avg Week Munyonyo-Kigo'!M103+'Avg Week Kigo-Munyonyo'!M103</f>
        <v>19.5</v>
      </c>
      <c r="N103" s="49">
        <f>'Avg Week Munyonyo-Kigo'!N103+'Avg Week Kigo-Munyonyo'!N103</f>
        <v>0</v>
      </c>
      <c r="O103" s="15">
        <f t="shared" si="35"/>
        <v>3.5</v>
      </c>
      <c r="P103" s="15">
        <f t="shared" si="36"/>
        <v>23</v>
      </c>
      <c r="R103" s="8"/>
      <c r="T103"/>
    </row>
    <row r="104" spans="2:20" ht="23.1" customHeight="1" x14ac:dyDescent="0.25">
      <c r="B104" s="25" t="s">
        <v>144</v>
      </c>
      <c r="C104" s="49">
        <f>'Avg Week Munyonyo-Kigo'!C104+'Avg Week Kigo-Munyonyo'!C104</f>
        <v>3.5</v>
      </c>
      <c r="D104" s="49">
        <f>'Avg Week Munyonyo-Kigo'!D104+'Avg Week Kigo-Munyonyo'!D104</f>
        <v>0</v>
      </c>
      <c r="E104" s="49">
        <f>'Avg Week Munyonyo-Kigo'!E104+'Avg Week Kigo-Munyonyo'!E104</f>
        <v>0</v>
      </c>
      <c r="F104" s="49">
        <f>'Avg Week Munyonyo-Kigo'!F104+'Avg Week Kigo-Munyonyo'!F104</f>
        <v>0</v>
      </c>
      <c r="G104" s="49">
        <f>'Avg Week Munyonyo-Kigo'!G104+'Avg Week Kigo-Munyonyo'!G104</f>
        <v>0</v>
      </c>
      <c r="H104" s="49">
        <f>'Avg Week Munyonyo-Kigo'!H104+'Avg Week Kigo-Munyonyo'!H104</f>
        <v>0</v>
      </c>
      <c r="I104" s="49">
        <f>'Avg Week Munyonyo-Kigo'!I104+'Avg Week Kigo-Munyonyo'!I104</f>
        <v>0</v>
      </c>
      <c r="J104" s="49">
        <f>'Avg Week Munyonyo-Kigo'!J104+'Avg Week Kigo-Munyonyo'!J104</f>
        <v>0</v>
      </c>
      <c r="K104" s="49">
        <f>'Avg Week Munyonyo-Kigo'!K104+'Avg Week Kigo-Munyonyo'!K104</f>
        <v>0</v>
      </c>
      <c r="L104" s="49">
        <f>'Avg Week Munyonyo-Kigo'!L104+'Avg Week Kigo-Munyonyo'!L104</f>
        <v>0</v>
      </c>
      <c r="M104" s="49">
        <f>'Avg Week Munyonyo-Kigo'!M104+'Avg Week Kigo-Munyonyo'!M104</f>
        <v>37.5</v>
      </c>
      <c r="N104" s="49">
        <f>'Avg Week Munyonyo-Kigo'!N104+'Avg Week Kigo-Munyonyo'!N104</f>
        <v>0</v>
      </c>
      <c r="O104" s="15">
        <f t="shared" si="35"/>
        <v>3.5</v>
      </c>
      <c r="P104" s="15">
        <f t="shared" si="36"/>
        <v>41</v>
      </c>
      <c r="R104" s="8"/>
      <c r="T104"/>
    </row>
    <row r="105" spans="2:20" ht="23.1" customHeight="1" x14ac:dyDescent="0.25">
      <c r="B105" s="23" t="s">
        <v>145</v>
      </c>
      <c r="C105" s="49">
        <f>'Avg Week Munyonyo-Kigo'!C105+'Avg Week Kigo-Munyonyo'!C105</f>
        <v>2.5</v>
      </c>
      <c r="D105" s="49">
        <f>'Avg Week Munyonyo-Kigo'!D105+'Avg Week Kigo-Munyonyo'!D105</f>
        <v>1</v>
      </c>
      <c r="E105" s="49">
        <f>'Avg Week Munyonyo-Kigo'!E105+'Avg Week Kigo-Munyonyo'!E105</f>
        <v>0</v>
      </c>
      <c r="F105" s="49">
        <f>'Avg Week Munyonyo-Kigo'!F105+'Avg Week Kigo-Munyonyo'!F105</f>
        <v>1</v>
      </c>
      <c r="G105" s="49">
        <f>'Avg Week Munyonyo-Kigo'!G105+'Avg Week Kigo-Munyonyo'!G105</f>
        <v>0</v>
      </c>
      <c r="H105" s="49">
        <f>'Avg Week Munyonyo-Kigo'!H105+'Avg Week Kigo-Munyonyo'!H105</f>
        <v>0</v>
      </c>
      <c r="I105" s="49">
        <f>'Avg Week Munyonyo-Kigo'!I105+'Avg Week Kigo-Munyonyo'!I105</f>
        <v>0</v>
      </c>
      <c r="J105" s="49">
        <f>'Avg Week Munyonyo-Kigo'!J105+'Avg Week Kigo-Munyonyo'!J105</f>
        <v>0</v>
      </c>
      <c r="K105" s="49">
        <f>'Avg Week Munyonyo-Kigo'!K105+'Avg Week Kigo-Munyonyo'!K105</f>
        <v>0</v>
      </c>
      <c r="L105" s="49">
        <f>'Avg Week Munyonyo-Kigo'!L105+'Avg Week Kigo-Munyonyo'!L105</f>
        <v>0</v>
      </c>
      <c r="M105" s="49">
        <f>'Avg Week Munyonyo-Kigo'!M105+'Avg Week Kigo-Munyonyo'!M105</f>
        <v>34.5</v>
      </c>
      <c r="N105" s="49">
        <f>'Avg Week Munyonyo-Kigo'!N105+'Avg Week Kigo-Munyonyo'!N105</f>
        <v>0</v>
      </c>
      <c r="O105" s="15">
        <f t="shared" si="35"/>
        <v>4.5</v>
      </c>
      <c r="P105" s="15">
        <f t="shared" si="36"/>
        <v>39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202.42857142857139</v>
      </c>
      <c r="D106" s="16">
        <f t="shared" ref="D106:P106" si="37">SUM(D10:D105)</f>
        <v>59.142857142857132</v>
      </c>
      <c r="E106" s="16">
        <f t="shared" si="37"/>
        <v>34.857142857142861</v>
      </c>
      <c r="F106" s="16">
        <f t="shared" si="37"/>
        <v>41.000000000000007</v>
      </c>
      <c r="G106" s="16">
        <f t="shared" si="37"/>
        <v>0.2857142857142857</v>
      </c>
      <c r="H106" s="16">
        <f t="shared" si="37"/>
        <v>0.7857142857142857</v>
      </c>
      <c r="I106" s="16">
        <f t="shared" si="37"/>
        <v>22.071428571428573</v>
      </c>
      <c r="J106" s="16">
        <f t="shared" si="37"/>
        <v>5.0714285714285703</v>
      </c>
      <c r="K106" s="16">
        <f t="shared" si="37"/>
        <v>4.428571428571427</v>
      </c>
      <c r="L106" s="16">
        <f t="shared" si="37"/>
        <v>0.85714285714285698</v>
      </c>
      <c r="M106" s="16">
        <f t="shared" si="37"/>
        <v>3064.2857142857138</v>
      </c>
      <c r="N106" s="16">
        <f t="shared" si="37"/>
        <v>0.14285714285714285</v>
      </c>
      <c r="O106" s="16">
        <f t="shared" si="37"/>
        <v>371.07142857142856</v>
      </c>
      <c r="P106" s="16">
        <f t="shared" si="37"/>
        <v>3435.3571428571427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5.8925044183387038E-2</v>
      </c>
      <c r="D107" s="43">
        <f t="shared" si="38"/>
        <v>1.7215926811518865E-2</v>
      </c>
      <c r="E107" s="43">
        <f t="shared" si="38"/>
        <v>1.0146584884083586E-2</v>
      </c>
      <c r="F107" s="43">
        <f t="shared" si="38"/>
        <v>1.1934712548081924E-2</v>
      </c>
      <c r="G107" s="43">
        <f t="shared" si="38"/>
        <v>8.3168728558062174E-5</v>
      </c>
      <c r="H107" s="43">
        <f t="shared" si="38"/>
        <v>2.2871400353467096E-4</v>
      </c>
      <c r="I107" s="43">
        <f t="shared" si="38"/>
        <v>6.4247842811103037E-3</v>
      </c>
      <c r="J107" s="43">
        <f t="shared" si="38"/>
        <v>1.4762449319056033E-3</v>
      </c>
      <c r="K107" s="43">
        <f t="shared" si="38"/>
        <v>1.2891152926499633E-3</v>
      </c>
      <c r="L107" s="43">
        <f t="shared" si="38"/>
        <v>2.4950618567418645E-4</v>
      </c>
      <c r="M107" s="43">
        <f t="shared" si="38"/>
        <v>0.89198461378521665</v>
      </c>
      <c r="N107" s="43">
        <f t="shared" si="38"/>
        <v>4.1584364279031087E-5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0.5455245428296438</v>
      </c>
      <c r="D108" s="44">
        <f t="shared" ref="D108:N108" si="39">D106/$O$106</f>
        <v>0.15938402309913377</v>
      </c>
      <c r="E108" s="44">
        <f t="shared" si="39"/>
        <v>9.3936477382098191E-2</v>
      </c>
      <c r="F108" s="44">
        <f t="shared" si="39"/>
        <v>0.11049085659287779</v>
      </c>
      <c r="G108" s="44">
        <f t="shared" si="39"/>
        <v>7.6997112608277187E-4</v>
      </c>
      <c r="H108" s="44">
        <f t="shared" si="39"/>
        <v>2.1174205967276227E-3</v>
      </c>
      <c r="I108" s="44">
        <f t="shared" si="39"/>
        <v>5.9480269489894134E-2</v>
      </c>
      <c r="J108" s="44">
        <f t="shared" si="39"/>
        <v>1.3666987487969198E-2</v>
      </c>
      <c r="K108" s="44">
        <f t="shared" si="39"/>
        <v>1.1934552454282961E-2</v>
      </c>
      <c r="L108" s="44">
        <f t="shared" si="39"/>
        <v>2.3099133782483153E-3</v>
      </c>
      <c r="M108" s="44"/>
      <c r="N108" s="44">
        <f t="shared" si="39"/>
        <v>3.8498556304138594E-4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23.09.19 -Munyonyo-Kigo</vt:lpstr>
      <vt:lpstr>23.09.19 -Kigo-Munyonyo</vt:lpstr>
      <vt:lpstr>24.09 Munyonyo-Kigo</vt:lpstr>
      <vt:lpstr>24.09 Kigo-Munyonyo</vt:lpstr>
      <vt:lpstr>25.09 Munyonyo-Kigo</vt:lpstr>
      <vt:lpstr>25.09 Kigo-Munyonyo</vt:lpstr>
      <vt:lpstr>26.09 Munyonyo-Kigo-24h</vt:lpstr>
      <vt:lpstr>26.09 Kigo-Munyonyo-24h</vt:lpstr>
      <vt:lpstr>27.09 Munyonyo-LWEZA</vt:lpstr>
      <vt:lpstr>27.09 LWEZA-Munyonyo</vt:lpstr>
      <vt:lpstr>28.09 Munyonyo-Kigo-24h</vt:lpstr>
      <vt:lpstr>28.09 Kigo-Munyonyo-24h</vt:lpstr>
      <vt:lpstr>29.09 Munyonyo-Kigo</vt:lpstr>
      <vt:lpstr>29.09 Kigo-Munyonyo</vt:lpstr>
      <vt:lpstr>Avg Week Munyonyo-Kigo</vt:lpstr>
      <vt:lpstr>Avg Week Kigo-Munyonyo</vt:lpstr>
      <vt:lpstr>Avg Week Munyonyo-Kigo-2Dir</vt:lpstr>
      <vt:lpstr>'23.09.19 -Kigo-Munyonyo'!Print_Area</vt:lpstr>
      <vt:lpstr>'23.09.19 -Munyonyo-Kigo'!Print_Area</vt:lpstr>
      <vt:lpstr>'24.09 Kigo-Munyonyo'!Print_Area</vt:lpstr>
      <vt:lpstr>'24.09 Munyonyo-Kigo'!Print_Area</vt:lpstr>
      <vt:lpstr>'25.09 Kigo-Munyonyo'!Print_Area</vt:lpstr>
      <vt:lpstr>'25.09 Munyonyo-Kigo'!Print_Area</vt:lpstr>
      <vt:lpstr>'26.09 Kigo-Munyonyo-24h'!Print_Area</vt:lpstr>
      <vt:lpstr>'26.09 Munyonyo-Kigo-24h'!Print_Area</vt:lpstr>
      <vt:lpstr>'27.09 LWEZA-Munyonyo'!Print_Area</vt:lpstr>
      <vt:lpstr>'27.09 Munyonyo-LWEZA'!Print_Area</vt:lpstr>
      <vt:lpstr>'28.09 Kigo-Munyonyo-24h'!Print_Area</vt:lpstr>
      <vt:lpstr>'28.09 Munyonyo-Kigo-24h'!Print_Area</vt:lpstr>
      <vt:lpstr>'29.09 Kigo-Munyonyo'!Print_Area</vt:lpstr>
      <vt:lpstr>'29.09 Munyonyo-Kigo'!Print_Area</vt:lpstr>
      <vt:lpstr>'Avg Week Kigo-Munyonyo'!Print_Area</vt:lpstr>
      <vt:lpstr>'Avg Week Munyonyo-Kigo'!Print_Area</vt:lpstr>
      <vt:lpstr>'Avg Week Munyonyo-Kigo-2Dir'!Print_Area</vt:lpstr>
      <vt:lpstr>'23.09.19 -Kigo-Munyonyo'!Print_Titles</vt:lpstr>
      <vt:lpstr>'23.09.19 -Munyonyo-Kigo'!Print_Titles</vt:lpstr>
      <vt:lpstr>'24.09 Kigo-Munyonyo'!Print_Titles</vt:lpstr>
      <vt:lpstr>'24.09 Munyonyo-Kigo'!Print_Titles</vt:lpstr>
      <vt:lpstr>'25.09 Kigo-Munyonyo'!Print_Titles</vt:lpstr>
      <vt:lpstr>'25.09 Munyonyo-Kigo'!Print_Titles</vt:lpstr>
      <vt:lpstr>'26.09 Kigo-Munyonyo-24h'!Print_Titles</vt:lpstr>
      <vt:lpstr>'26.09 Munyonyo-Kigo-24h'!Print_Titles</vt:lpstr>
      <vt:lpstr>'27.09 LWEZA-Munyonyo'!Print_Titles</vt:lpstr>
      <vt:lpstr>'27.09 Munyonyo-LWEZA'!Print_Titles</vt:lpstr>
      <vt:lpstr>'28.09 Kigo-Munyonyo-24h'!Print_Titles</vt:lpstr>
      <vt:lpstr>'28.09 Munyonyo-Kigo-24h'!Print_Titles</vt:lpstr>
      <vt:lpstr>'29.09 Kigo-Munyonyo'!Print_Titles</vt:lpstr>
      <vt:lpstr>'29.09 Munyonyo-Kigo'!Print_Titles</vt:lpstr>
      <vt:lpstr>'Avg Week Kigo-Munyonyo'!Print_Titles</vt:lpstr>
      <vt:lpstr>'Avg Week Munyonyo-Kigo'!Print_Titles</vt:lpstr>
      <vt:lpstr>'Avg Week Munyonyo-Kigo-2Dir'!Print_Titles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2020-04-08T12:15:28Z</dcterms:modified>
</cp:coreProperties>
</file>