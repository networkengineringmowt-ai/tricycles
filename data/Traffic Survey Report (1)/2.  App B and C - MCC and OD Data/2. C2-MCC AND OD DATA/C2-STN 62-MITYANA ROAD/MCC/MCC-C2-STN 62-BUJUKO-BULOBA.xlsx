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NT\Desktop\C-2 Analysis Complete-Clinton\C2-STN 62-MITYANA ROAD\MCC\"/>
    </mc:Choice>
  </mc:AlternateContent>
  <xr:revisionPtr revIDLastSave="0" documentId="13_ncr:1_{50EC4696-21AD-4EB7-866C-74EB94ABCC9B}" xr6:coauthVersionLast="45" xr6:coauthVersionMax="45" xr10:uidLastSave="{00000000-0000-0000-0000-000000000000}"/>
  <bookViews>
    <workbookView xWindow="-120" yWindow="-120" windowWidth="20730" windowHeight="11160" tabRatio="940" firstSheet="11" activeTab="16" xr2:uid="{00000000-000D-0000-FFFF-FFFF00000000}"/>
  </bookViews>
  <sheets>
    <sheet name="29.10 Bujuko-Buloba" sheetId="93" r:id="rId1"/>
    <sheet name="29.10 Buloba-Bujuko" sheetId="94" r:id="rId2"/>
    <sheet name="30.10 Bujuko-Buloba" sheetId="95" r:id="rId3"/>
    <sheet name="30.10 Buloba-Bujuko" sheetId="96" r:id="rId4"/>
    <sheet name="31.10 Bujuko-Buloba-24h" sheetId="101" r:id="rId5"/>
    <sheet name="31.10 Buloba-Bujuko-24h" sheetId="109" r:id="rId6"/>
    <sheet name="1.11 Bujuko-Buloba" sheetId="97" r:id="rId7"/>
    <sheet name="1.11 Buloba-Bujuko" sheetId="98" r:id="rId8"/>
    <sheet name="2.11 Bujuko-Buloba-24HR" sheetId="105" r:id="rId9"/>
    <sheet name="2.11 Buloba-Bujuko-24HR" sheetId="110" r:id="rId10"/>
    <sheet name="3.11 Bujuko-Buloba" sheetId="99" r:id="rId11"/>
    <sheet name="3.11 Buloba-Bujuko" sheetId="100" r:id="rId12"/>
    <sheet name="4.11 Bujuko-Buloba" sheetId="103" r:id="rId13"/>
    <sheet name="4.11.BULOBA-BUJUKO" sheetId="104" r:id="rId14"/>
    <sheet name="Avg Week BUJUKO-BULOBA" sheetId="107" r:id="rId15"/>
    <sheet name="Avg Week BULOBA-BUJUKO" sheetId="108" r:id="rId16"/>
    <sheet name="Avg Week BUJUKO-BULOBA-2Dir" sheetId="111" r:id="rId17"/>
  </sheets>
  <definedNames>
    <definedName name="_xlnm.Print_Area" localSheetId="6">'1.11 Bujuko-Buloba'!$A$1:$AF$60</definedName>
    <definedName name="_xlnm.Print_Area" localSheetId="7">'1.11 Buloba-Bujuko'!$A$1:$AF$60</definedName>
    <definedName name="_xlnm.Print_Area" localSheetId="8">'2.11 Bujuko-Buloba-24HR'!$A$1:$AF$108</definedName>
    <definedName name="_xlnm.Print_Area" localSheetId="9">'2.11 Buloba-Bujuko-24HR'!$A$1:$AF$108</definedName>
    <definedName name="_xlnm.Print_Area" localSheetId="0">'29.10 Bujuko-Buloba'!$A$1:$AF$60</definedName>
    <definedName name="_xlnm.Print_Area" localSheetId="1">'29.10 Buloba-Bujuko'!$A$1:$AF$60</definedName>
    <definedName name="_xlnm.Print_Area" localSheetId="10">'3.11 Bujuko-Buloba'!$A$1:$AF$60</definedName>
    <definedName name="_xlnm.Print_Area" localSheetId="11">'3.11 Buloba-Bujuko'!$A$1:$AF$60</definedName>
    <definedName name="_xlnm.Print_Area" localSheetId="2">'30.10 Bujuko-Buloba'!$A$1:$AF$60</definedName>
    <definedName name="_xlnm.Print_Area" localSheetId="3">'30.10 Buloba-Bujuko'!$A$1:$AF$60</definedName>
    <definedName name="_xlnm.Print_Area" localSheetId="4">'31.10 Bujuko-Buloba-24h'!$A$1:$AF$108</definedName>
    <definedName name="_xlnm.Print_Area" localSheetId="5">'31.10 Buloba-Bujuko-24h'!$A$1:$AF$108</definedName>
    <definedName name="_xlnm.Print_Area" localSheetId="12">'4.11 Bujuko-Buloba'!$A$1:$AF$60</definedName>
    <definedName name="_xlnm.Print_Area" localSheetId="13">'4.11.BULOBA-BUJUKO'!$A$1:$AF$60</definedName>
    <definedName name="_xlnm.Print_Area" localSheetId="14">'Avg Week BUJUKO-BULOBA'!$A$1:$AF$108</definedName>
    <definedName name="_xlnm.Print_Area" localSheetId="16">'Avg Week BUJUKO-BULOBA-2Dir'!$A$1:$AF$108</definedName>
    <definedName name="_xlnm.Print_Area" localSheetId="15">'Avg Week BULOBA-BUJUKO'!$A$1:$AF$108</definedName>
    <definedName name="_xlnm.Print_Titles" localSheetId="6">'1.11 Bujuko-Buloba'!$1:$8</definedName>
    <definedName name="_xlnm.Print_Titles" localSheetId="7">'1.11 Buloba-Bujuko'!$1:$8</definedName>
    <definedName name="_xlnm.Print_Titles" localSheetId="8">'2.11 Bujuko-Buloba-24HR'!$1:$8</definedName>
    <definedName name="_xlnm.Print_Titles" localSheetId="9">'2.11 Buloba-Bujuko-24HR'!$1:$8</definedName>
    <definedName name="_xlnm.Print_Titles" localSheetId="0">'29.10 Bujuko-Buloba'!$1:$8</definedName>
    <definedName name="_xlnm.Print_Titles" localSheetId="1">'29.10 Buloba-Bujuko'!$1:$8</definedName>
    <definedName name="_xlnm.Print_Titles" localSheetId="10">'3.11 Bujuko-Buloba'!$1:$8</definedName>
    <definedName name="_xlnm.Print_Titles" localSheetId="11">'3.11 Buloba-Bujuko'!$1:$8</definedName>
    <definedName name="_xlnm.Print_Titles" localSheetId="2">'30.10 Bujuko-Buloba'!$1:$8</definedName>
    <definedName name="_xlnm.Print_Titles" localSheetId="3">'30.10 Buloba-Bujuko'!$1:$8</definedName>
    <definedName name="_xlnm.Print_Titles" localSheetId="4">'31.10 Bujuko-Buloba-24h'!$1:$8</definedName>
    <definedName name="_xlnm.Print_Titles" localSheetId="5">'31.10 Buloba-Bujuko-24h'!$1:$8</definedName>
    <definedName name="_xlnm.Print_Titles" localSheetId="12">'4.11 Bujuko-Buloba'!$1:$8</definedName>
    <definedName name="_xlnm.Print_Titles" localSheetId="13">'4.11.BULOBA-BUJUKO'!$1:$8</definedName>
    <definedName name="_xlnm.Print_Titles" localSheetId="14">'Avg Week BUJUKO-BULOBA'!$1:$8</definedName>
    <definedName name="_xlnm.Print_Titles" localSheetId="16">'Avg Week BUJUKO-BULOBA-2Dir'!$1:$8</definedName>
    <definedName name="_xlnm.Print_Titles" localSheetId="15">'Avg Week BULOBA-BUJUKO'!$1:$8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37" i="108" l="1"/>
  <c r="W37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AF31" i="108"/>
  <c r="AE31" i="108"/>
  <c r="AD31" i="108"/>
  <c r="AC31" i="108"/>
  <c r="AB31" i="108"/>
  <c r="AA31" i="108"/>
  <c r="Z31" i="108"/>
  <c r="Y31" i="108"/>
  <c r="X31" i="108"/>
  <c r="W31" i="108"/>
  <c r="V31" i="108"/>
  <c r="U31" i="108"/>
  <c r="T31" i="108"/>
  <c r="S31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C20" i="108"/>
  <c r="AC36" i="108" s="1"/>
  <c r="AB20" i="108"/>
  <c r="AA20" i="108"/>
  <c r="Z20" i="108"/>
  <c r="Y20" i="108"/>
  <c r="X20" i="108"/>
  <c r="W20" i="108"/>
  <c r="V20" i="108"/>
  <c r="U20" i="108"/>
  <c r="U36" i="108" s="1"/>
  <c r="T20" i="108"/>
  <c r="S20" i="108"/>
  <c r="AF19" i="108"/>
  <c r="AF39" i="108" s="1"/>
  <c r="AE19" i="108"/>
  <c r="AE39" i="108" s="1"/>
  <c r="AD19" i="108"/>
  <c r="AD39" i="108" s="1"/>
  <c r="AC19" i="108"/>
  <c r="AC39" i="108" s="1"/>
  <c r="AB19" i="108"/>
  <c r="AB36" i="108" s="1"/>
  <c r="AA19" i="108"/>
  <c r="AA36" i="108" s="1"/>
  <c r="Z19" i="108"/>
  <c r="Z39" i="108" s="1"/>
  <c r="Y19" i="108"/>
  <c r="Y39" i="108" s="1"/>
  <c r="X19" i="108"/>
  <c r="X39" i="108" s="1"/>
  <c r="W19" i="108"/>
  <c r="W39" i="108" s="1"/>
  <c r="V19" i="108"/>
  <c r="V39" i="108" s="1"/>
  <c r="U19" i="108"/>
  <c r="U39" i="108" s="1"/>
  <c r="T19" i="108"/>
  <c r="T36" i="108" s="1"/>
  <c r="S19" i="108"/>
  <c r="S39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A15" i="108"/>
  <c r="AA35" i="108" s="1"/>
  <c r="Z15" i="108"/>
  <c r="Y15" i="108"/>
  <c r="X15" i="108"/>
  <c r="W15" i="108"/>
  <c r="V15" i="108"/>
  <c r="U15" i="108"/>
  <c r="T15" i="108"/>
  <c r="S15" i="108"/>
  <c r="S35" i="108" s="1"/>
  <c r="AF14" i="108"/>
  <c r="AE14" i="108"/>
  <c r="AD14" i="108"/>
  <c r="AC14" i="108"/>
  <c r="AB14" i="108"/>
  <c r="AA14" i="108"/>
  <c r="Z14" i="108"/>
  <c r="Y14" i="108"/>
  <c r="Y38" i="108" s="1"/>
  <c r="X14" i="108"/>
  <c r="W14" i="108"/>
  <c r="V14" i="108"/>
  <c r="U14" i="108"/>
  <c r="T14" i="108"/>
  <c r="S14" i="108"/>
  <c r="AF13" i="108"/>
  <c r="AF38" i="108" s="1"/>
  <c r="AE13" i="108"/>
  <c r="AE38" i="108" s="1"/>
  <c r="AD13" i="108"/>
  <c r="AD38" i="108" s="1"/>
  <c r="AC13" i="108"/>
  <c r="AC38" i="108" s="1"/>
  <c r="AB13" i="108"/>
  <c r="AB38" i="108" s="1"/>
  <c r="AA13" i="108"/>
  <c r="AA38" i="108" s="1"/>
  <c r="Z13" i="108"/>
  <c r="Z35" i="108" s="1"/>
  <c r="Y13" i="108"/>
  <c r="Y35" i="108" s="1"/>
  <c r="X13" i="108"/>
  <c r="X38" i="108" s="1"/>
  <c r="W13" i="108"/>
  <c r="W38" i="108" s="1"/>
  <c r="V13" i="108"/>
  <c r="V38" i="108" s="1"/>
  <c r="U13" i="108"/>
  <c r="U38" i="108" s="1"/>
  <c r="T13" i="108"/>
  <c r="T38" i="108" s="1"/>
  <c r="S13" i="108"/>
  <c r="S38" i="108" s="1"/>
  <c r="AF12" i="108"/>
  <c r="AE12" i="108"/>
  <c r="AD12" i="108"/>
  <c r="AC12" i="108"/>
  <c r="AC40" i="108" s="1"/>
  <c r="AB12" i="108"/>
  <c r="AA12" i="108"/>
  <c r="Z12" i="108"/>
  <c r="Y12" i="108"/>
  <c r="X12" i="108"/>
  <c r="W12" i="108"/>
  <c r="V12" i="108"/>
  <c r="U12" i="108"/>
  <c r="U40" i="108" s="1"/>
  <c r="T12" i="108"/>
  <c r="S12" i="108"/>
  <c r="AF11" i="108"/>
  <c r="AE11" i="108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AF10" i="108"/>
  <c r="AF34" i="108" s="1"/>
  <c r="AE10" i="108"/>
  <c r="AE34" i="108" s="1"/>
  <c r="AD10" i="108"/>
  <c r="AD41" i="108" s="1"/>
  <c r="AC10" i="108"/>
  <c r="AC41" i="108" s="1"/>
  <c r="AC42" i="108" s="1"/>
  <c r="AB10" i="108"/>
  <c r="AB40" i="108" s="1"/>
  <c r="AA10" i="108"/>
  <c r="AA40" i="108" s="1"/>
  <c r="Z10" i="108"/>
  <c r="Z40" i="108" s="1"/>
  <c r="Y10" i="108"/>
  <c r="Y34" i="108" s="1"/>
  <c r="X10" i="108"/>
  <c r="X34" i="108" s="1"/>
  <c r="W10" i="108"/>
  <c r="W34" i="108" s="1"/>
  <c r="V10" i="108"/>
  <c r="V41" i="108" s="1"/>
  <c r="U10" i="108"/>
  <c r="U41" i="108" s="1"/>
  <c r="U42" i="108" s="1"/>
  <c r="T10" i="108"/>
  <c r="T40" i="108" s="1"/>
  <c r="S10" i="108"/>
  <c r="S40" i="108" s="1"/>
  <c r="AE37" i="107"/>
  <c r="W37" i="107"/>
  <c r="AF33" i="107"/>
  <c r="AE33" i="107"/>
  <c r="AD33" i="107"/>
  <c r="AC33" i="107"/>
  <c r="AB33" i="107"/>
  <c r="AA33" i="107"/>
  <c r="Z33" i="107"/>
  <c r="Y33" i="107"/>
  <c r="X33" i="107"/>
  <c r="W33" i="107"/>
  <c r="V33" i="107"/>
  <c r="U33" i="107"/>
  <c r="T33" i="107"/>
  <c r="S33" i="107"/>
  <c r="AF32" i="107"/>
  <c r="AE32" i="107"/>
  <c r="AD32" i="107"/>
  <c r="AC32" i="107"/>
  <c r="AB32" i="107"/>
  <c r="AA32" i="107"/>
  <c r="Z32" i="107"/>
  <c r="Y32" i="107"/>
  <c r="X32" i="107"/>
  <c r="W32" i="107"/>
  <c r="V32" i="107"/>
  <c r="U32" i="107"/>
  <c r="T32" i="107"/>
  <c r="S32" i="107"/>
  <c r="AF31" i="107"/>
  <c r="AE31" i="107"/>
  <c r="AD31" i="107"/>
  <c r="AC31" i="107"/>
  <c r="AB31" i="107"/>
  <c r="AA31" i="107"/>
  <c r="Z31" i="107"/>
  <c r="Y31" i="107"/>
  <c r="X31" i="107"/>
  <c r="W31" i="107"/>
  <c r="V31" i="107"/>
  <c r="U31" i="107"/>
  <c r="T31" i="107"/>
  <c r="S31" i="107"/>
  <c r="AF30" i="107"/>
  <c r="AE30" i="107"/>
  <c r="AD30" i="107"/>
  <c r="AC30" i="107"/>
  <c r="AB30" i="107"/>
  <c r="AA30" i="107"/>
  <c r="Z30" i="107"/>
  <c r="Y30" i="107"/>
  <c r="X30" i="107"/>
  <c r="W30" i="107"/>
  <c r="V30" i="107"/>
  <c r="U30" i="107"/>
  <c r="T30" i="107"/>
  <c r="S30" i="107"/>
  <c r="AF29" i="107"/>
  <c r="AE29" i="107"/>
  <c r="AD29" i="107"/>
  <c r="AC29" i="107"/>
  <c r="AB29" i="107"/>
  <c r="AA29" i="107"/>
  <c r="Z29" i="107"/>
  <c r="Y29" i="107"/>
  <c r="X29" i="107"/>
  <c r="W29" i="107"/>
  <c r="V29" i="107"/>
  <c r="U29" i="107"/>
  <c r="T29" i="107"/>
  <c r="S29" i="107"/>
  <c r="AF28" i="107"/>
  <c r="AE28" i="107"/>
  <c r="AD28" i="107"/>
  <c r="AC28" i="107"/>
  <c r="AB28" i="107"/>
  <c r="AA28" i="107"/>
  <c r="Z28" i="107"/>
  <c r="Y28" i="107"/>
  <c r="X28" i="107"/>
  <c r="W28" i="107"/>
  <c r="V28" i="107"/>
  <c r="U28" i="107"/>
  <c r="T28" i="107"/>
  <c r="S28" i="107"/>
  <c r="AF27" i="107"/>
  <c r="AE27" i="107"/>
  <c r="AD27" i="107"/>
  <c r="AC27" i="107"/>
  <c r="AB27" i="107"/>
  <c r="AA27" i="107"/>
  <c r="Z27" i="107"/>
  <c r="Y27" i="107"/>
  <c r="X27" i="107"/>
  <c r="W27" i="107"/>
  <c r="V27" i="107"/>
  <c r="U27" i="107"/>
  <c r="T27" i="107"/>
  <c r="S27" i="107"/>
  <c r="AF26" i="107"/>
  <c r="AE26" i="107"/>
  <c r="AD26" i="107"/>
  <c r="AC26" i="107"/>
  <c r="AB26" i="107"/>
  <c r="AA26" i="107"/>
  <c r="Z26" i="107"/>
  <c r="Y26" i="107"/>
  <c r="X26" i="107"/>
  <c r="W26" i="107"/>
  <c r="V26" i="107"/>
  <c r="U26" i="107"/>
  <c r="T26" i="107"/>
  <c r="S26" i="107"/>
  <c r="AF25" i="107"/>
  <c r="AE25" i="107"/>
  <c r="AD25" i="107"/>
  <c r="AC25" i="107"/>
  <c r="AB25" i="107"/>
  <c r="AA25" i="107"/>
  <c r="Z25" i="107"/>
  <c r="Y25" i="107"/>
  <c r="X25" i="107"/>
  <c r="W25" i="107"/>
  <c r="V25" i="107"/>
  <c r="U25" i="107"/>
  <c r="T25" i="107"/>
  <c r="S25" i="107"/>
  <c r="AF24" i="107"/>
  <c r="AE24" i="107"/>
  <c r="AD24" i="107"/>
  <c r="AC24" i="107"/>
  <c r="AB24" i="107"/>
  <c r="AA24" i="107"/>
  <c r="Z24" i="107"/>
  <c r="Y24" i="107"/>
  <c r="X24" i="107"/>
  <c r="W24" i="107"/>
  <c r="V24" i="107"/>
  <c r="U24" i="107"/>
  <c r="T24" i="107"/>
  <c r="S24" i="107"/>
  <c r="AF23" i="107"/>
  <c r="AE23" i="107"/>
  <c r="AD23" i="107"/>
  <c r="AC23" i="107"/>
  <c r="AB23" i="107"/>
  <c r="AA23" i="107"/>
  <c r="Z23" i="107"/>
  <c r="Y23" i="107"/>
  <c r="X23" i="107"/>
  <c r="W23" i="107"/>
  <c r="V23" i="107"/>
  <c r="U23" i="107"/>
  <c r="T23" i="107"/>
  <c r="S23" i="107"/>
  <c r="AF22" i="107"/>
  <c r="AE22" i="107"/>
  <c r="AD22" i="107"/>
  <c r="AC22" i="107"/>
  <c r="AB22" i="107"/>
  <c r="AA22" i="107"/>
  <c r="Z22" i="107"/>
  <c r="Y22" i="107"/>
  <c r="X22" i="107"/>
  <c r="W22" i="107"/>
  <c r="V22" i="107"/>
  <c r="U22" i="107"/>
  <c r="T22" i="107"/>
  <c r="S22" i="107"/>
  <c r="AF21" i="107"/>
  <c r="AE21" i="107"/>
  <c r="AD21" i="107"/>
  <c r="AC21" i="107"/>
  <c r="AB21" i="107"/>
  <c r="AA21" i="107"/>
  <c r="Z21" i="107"/>
  <c r="Y21" i="107"/>
  <c r="X21" i="107"/>
  <c r="W21" i="107"/>
  <c r="V21" i="107"/>
  <c r="U21" i="107"/>
  <c r="T21" i="107"/>
  <c r="S21" i="107"/>
  <c r="AF20" i="107"/>
  <c r="AE20" i="107"/>
  <c r="AE36" i="107" s="1"/>
  <c r="AD20" i="107"/>
  <c r="AC20" i="107"/>
  <c r="AC36" i="107" s="1"/>
  <c r="AB20" i="107"/>
  <c r="AB36" i="107" s="1"/>
  <c r="AA20" i="107"/>
  <c r="Z20" i="107"/>
  <c r="Y20" i="107"/>
  <c r="X20" i="107"/>
  <c r="W20" i="107"/>
  <c r="W36" i="107" s="1"/>
  <c r="V20" i="107"/>
  <c r="U20" i="107"/>
  <c r="U36" i="107" s="1"/>
  <c r="T20" i="107"/>
  <c r="T36" i="107" s="1"/>
  <c r="S20" i="107"/>
  <c r="AF19" i="107"/>
  <c r="AF39" i="107" s="1"/>
  <c r="AE19" i="107"/>
  <c r="AE39" i="107" s="1"/>
  <c r="AD19" i="107"/>
  <c r="AD39" i="107" s="1"/>
  <c r="AC19" i="107"/>
  <c r="AC39" i="107" s="1"/>
  <c r="AB19" i="107"/>
  <c r="AB39" i="107" s="1"/>
  <c r="AA19" i="107"/>
  <c r="AA36" i="107" s="1"/>
  <c r="Z19" i="107"/>
  <c r="Z39" i="107" s="1"/>
  <c r="Y19" i="107"/>
  <c r="Y39" i="107" s="1"/>
  <c r="X19" i="107"/>
  <c r="X39" i="107" s="1"/>
  <c r="W19" i="107"/>
  <c r="W39" i="107" s="1"/>
  <c r="V19" i="107"/>
  <c r="V39" i="107" s="1"/>
  <c r="U19" i="107"/>
  <c r="U39" i="107" s="1"/>
  <c r="T19" i="107"/>
  <c r="T39" i="107" s="1"/>
  <c r="S19" i="107"/>
  <c r="S36" i="107" s="1"/>
  <c r="AF18" i="107"/>
  <c r="AE18" i="107"/>
  <c r="AD18" i="107"/>
  <c r="AC18" i="107"/>
  <c r="AB18" i="107"/>
  <c r="AA18" i="107"/>
  <c r="Z18" i="107"/>
  <c r="Y18" i="107"/>
  <c r="X18" i="107"/>
  <c r="W18" i="107"/>
  <c r="V18" i="107"/>
  <c r="U18" i="107"/>
  <c r="T18" i="107"/>
  <c r="S18" i="107"/>
  <c r="AF17" i="107"/>
  <c r="AE17" i="107"/>
  <c r="AD17" i="107"/>
  <c r="AC17" i="107"/>
  <c r="AB17" i="107"/>
  <c r="AA17" i="107"/>
  <c r="Z17" i="107"/>
  <c r="Y17" i="107"/>
  <c r="X17" i="107"/>
  <c r="W17" i="107"/>
  <c r="V17" i="107"/>
  <c r="U17" i="107"/>
  <c r="T17" i="107"/>
  <c r="S17" i="107"/>
  <c r="AF16" i="107"/>
  <c r="AE16" i="107"/>
  <c r="AD16" i="107"/>
  <c r="AC16" i="107"/>
  <c r="AB16" i="107"/>
  <c r="AA16" i="107"/>
  <c r="Z16" i="107"/>
  <c r="Y16" i="107"/>
  <c r="X16" i="107"/>
  <c r="W16" i="107"/>
  <c r="V16" i="107"/>
  <c r="U16" i="107"/>
  <c r="T16" i="107"/>
  <c r="S16" i="107"/>
  <c r="AF15" i="107"/>
  <c r="AE15" i="107"/>
  <c r="AD15" i="107"/>
  <c r="AC15" i="107"/>
  <c r="AC35" i="107" s="1"/>
  <c r="AB15" i="107"/>
  <c r="AA15" i="107"/>
  <c r="AA35" i="107" s="1"/>
  <c r="Z15" i="107"/>
  <c r="Z35" i="107" s="1"/>
  <c r="Y15" i="107"/>
  <c r="X15" i="107"/>
  <c r="W15" i="107"/>
  <c r="V15" i="107"/>
  <c r="U15" i="107"/>
  <c r="U35" i="107" s="1"/>
  <c r="T15" i="107"/>
  <c r="S15" i="107"/>
  <c r="S35" i="107" s="1"/>
  <c r="AF14" i="107"/>
  <c r="AE14" i="107"/>
  <c r="AD14" i="107"/>
  <c r="AC14" i="107"/>
  <c r="AB14" i="107"/>
  <c r="AA14" i="107"/>
  <c r="Z14" i="107"/>
  <c r="Y14" i="107"/>
  <c r="Y38" i="107" s="1"/>
  <c r="X14" i="107"/>
  <c r="W14" i="107"/>
  <c r="V14" i="107"/>
  <c r="U14" i="107"/>
  <c r="T14" i="107"/>
  <c r="S14" i="107"/>
  <c r="AF13" i="107"/>
  <c r="AF38" i="107" s="1"/>
  <c r="AE13" i="107"/>
  <c r="AE38" i="107" s="1"/>
  <c r="AD13" i="107"/>
  <c r="AD38" i="107" s="1"/>
  <c r="AC13" i="107"/>
  <c r="AC38" i="107" s="1"/>
  <c r="AB13" i="107"/>
  <c r="AB38" i="107" s="1"/>
  <c r="AA13" i="107"/>
  <c r="AA38" i="107" s="1"/>
  <c r="Z13" i="107"/>
  <c r="Z38" i="107" s="1"/>
  <c r="Y13" i="107"/>
  <c r="Y35" i="107" s="1"/>
  <c r="X13" i="107"/>
  <c r="X38" i="107" s="1"/>
  <c r="W13" i="107"/>
  <c r="W38" i="107" s="1"/>
  <c r="V13" i="107"/>
  <c r="V38" i="107" s="1"/>
  <c r="U13" i="107"/>
  <c r="U38" i="107" s="1"/>
  <c r="T13" i="107"/>
  <c r="T38" i="107" s="1"/>
  <c r="S13" i="107"/>
  <c r="S38" i="107" s="1"/>
  <c r="AF12" i="107"/>
  <c r="AE12" i="107"/>
  <c r="AD12" i="107"/>
  <c r="AC12" i="107"/>
  <c r="AC40" i="107" s="1"/>
  <c r="AB12" i="107"/>
  <c r="AA12" i="107"/>
  <c r="Z12" i="107"/>
  <c r="Y12" i="107"/>
  <c r="X12" i="107"/>
  <c r="W12" i="107"/>
  <c r="V12" i="107"/>
  <c r="U12" i="107"/>
  <c r="U40" i="107" s="1"/>
  <c r="T12" i="107"/>
  <c r="S12" i="107"/>
  <c r="AF11" i="107"/>
  <c r="AE11" i="107"/>
  <c r="AD11" i="107"/>
  <c r="AC11" i="107"/>
  <c r="AB11" i="107"/>
  <c r="AA11" i="107"/>
  <c r="Z11" i="107"/>
  <c r="Y11" i="107"/>
  <c r="X11" i="107"/>
  <c r="W11" i="107"/>
  <c r="V11" i="107"/>
  <c r="U11" i="107"/>
  <c r="T11" i="107"/>
  <c r="S11" i="107"/>
  <c r="AF10" i="107"/>
  <c r="AF34" i="107" s="1"/>
  <c r="AE10" i="107"/>
  <c r="AE34" i="107" s="1"/>
  <c r="AD10" i="107"/>
  <c r="AD41" i="107" s="1"/>
  <c r="AC10" i="107"/>
  <c r="AC41" i="107" s="1"/>
  <c r="AC42" i="107" s="1"/>
  <c r="AB10" i="107"/>
  <c r="AB40" i="107" s="1"/>
  <c r="AA10" i="107"/>
  <c r="AA40" i="107" s="1"/>
  <c r="Z10" i="107"/>
  <c r="Z40" i="107" s="1"/>
  <c r="Y10" i="107"/>
  <c r="Y40" i="107" s="1"/>
  <c r="X10" i="107"/>
  <c r="X34" i="107" s="1"/>
  <c r="W10" i="107"/>
  <c r="W34" i="107" s="1"/>
  <c r="V10" i="107"/>
  <c r="V41" i="107" s="1"/>
  <c r="U10" i="107"/>
  <c r="U41" i="107" s="1"/>
  <c r="U42" i="107" s="1"/>
  <c r="T10" i="107"/>
  <c r="T40" i="107" s="1"/>
  <c r="S10" i="107"/>
  <c r="S40" i="107" s="1"/>
  <c r="Z37" i="111"/>
  <c r="Y37" i="111"/>
  <c r="AF33" i="111"/>
  <c r="AE33" i="111"/>
  <c r="AD33" i="111"/>
  <c r="AC33" i="111"/>
  <c r="AB33" i="111"/>
  <c r="AA33" i="111"/>
  <c r="Z33" i="111"/>
  <c r="Y33" i="111"/>
  <c r="X33" i="111"/>
  <c r="W33" i="111"/>
  <c r="V33" i="111"/>
  <c r="U33" i="111"/>
  <c r="T33" i="111"/>
  <c r="S33" i="111"/>
  <c r="AF32" i="111"/>
  <c r="AE32" i="111"/>
  <c r="AD32" i="111"/>
  <c r="AC32" i="111"/>
  <c r="AB32" i="111"/>
  <c r="AA32" i="111"/>
  <c r="Z32" i="111"/>
  <c r="Y32" i="111"/>
  <c r="X32" i="111"/>
  <c r="W32" i="111"/>
  <c r="V32" i="111"/>
  <c r="U32" i="111"/>
  <c r="T32" i="111"/>
  <c r="S32" i="111"/>
  <c r="AF31" i="111"/>
  <c r="AE31" i="111"/>
  <c r="AD31" i="111"/>
  <c r="AC31" i="111"/>
  <c r="AB31" i="111"/>
  <c r="AA31" i="111"/>
  <c r="Z31" i="111"/>
  <c r="Y31" i="111"/>
  <c r="X31" i="111"/>
  <c r="W31" i="111"/>
  <c r="V31" i="111"/>
  <c r="U31" i="111"/>
  <c r="T31" i="111"/>
  <c r="S31" i="111"/>
  <c r="AF30" i="111"/>
  <c r="AE30" i="111"/>
  <c r="AD30" i="111"/>
  <c r="AC30" i="111"/>
  <c r="AB30" i="111"/>
  <c r="AA30" i="111"/>
  <c r="Z30" i="111"/>
  <c r="Y30" i="111"/>
  <c r="X30" i="111"/>
  <c r="W30" i="111"/>
  <c r="V30" i="111"/>
  <c r="U30" i="111"/>
  <c r="T30" i="111"/>
  <c r="S30" i="111"/>
  <c r="AF29" i="111"/>
  <c r="AE29" i="111"/>
  <c r="AD29" i="111"/>
  <c r="AC29" i="111"/>
  <c r="AB29" i="111"/>
  <c r="AA29" i="111"/>
  <c r="Z29" i="111"/>
  <c r="Y29" i="111"/>
  <c r="X29" i="111"/>
  <c r="W29" i="111"/>
  <c r="V29" i="111"/>
  <c r="U29" i="111"/>
  <c r="T29" i="111"/>
  <c r="S29" i="111"/>
  <c r="AF28" i="111"/>
  <c r="AE28" i="111"/>
  <c r="AD28" i="111"/>
  <c r="AC28" i="111"/>
  <c r="AB28" i="111"/>
  <c r="AA28" i="111"/>
  <c r="Z28" i="111"/>
  <c r="Y28" i="111"/>
  <c r="X28" i="111"/>
  <c r="W28" i="111"/>
  <c r="V28" i="111"/>
  <c r="U28" i="111"/>
  <c r="T28" i="111"/>
  <c r="S28" i="111"/>
  <c r="AF27" i="111"/>
  <c r="AE27" i="111"/>
  <c r="AD27" i="111"/>
  <c r="AC27" i="111"/>
  <c r="AB27" i="111"/>
  <c r="AA27" i="111"/>
  <c r="Z27" i="111"/>
  <c r="Y27" i="111"/>
  <c r="X27" i="111"/>
  <c r="W27" i="111"/>
  <c r="V27" i="111"/>
  <c r="U27" i="111"/>
  <c r="T27" i="111"/>
  <c r="S27" i="111"/>
  <c r="AF26" i="111"/>
  <c r="AE26" i="111"/>
  <c r="AD26" i="111"/>
  <c r="AC26" i="111"/>
  <c r="AB26" i="111"/>
  <c r="AA26" i="111"/>
  <c r="Z26" i="111"/>
  <c r="Y26" i="111"/>
  <c r="X26" i="111"/>
  <c r="W26" i="111"/>
  <c r="V26" i="111"/>
  <c r="U26" i="111"/>
  <c r="T26" i="111"/>
  <c r="S26" i="111"/>
  <c r="AF25" i="111"/>
  <c r="AE25" i="111"/>
  <c r="AD25" i="111"/>
  <c r="AC25" i="111"/>
  <c r="AB25" i="111"/>
  <c r="AA25" i="111"/>
  <c r="Z25" i="111"/>
  <c r="Y25" i="111"/>
  <c r="X25" i="111"/>
  <c r="W25" i="111"/>
  <c r="V25" i="111"/>
  <c r="U25" i="111"/>
  <c r="T25" i="111"/>
  <c r="S25" i="111"/>
  <c r="AF24" i="111"/>
  <c r="AE24" i="111"/>
  <c r="AD24" i="111"/>
  <c r="AC24" i="111"/>
  <c r="AB24" i="111"/>
  <c r="AA24" i="111"/>
  <c r="Z24" i="111"/>
  <c r="Y24" i="111"/>
  <c r="X24" i="111"/>
  <c r="W24" i="111"/>
  <c r="V24" i="111"/>
  <c r="U24" i="111"/>
  <c r="T24" i="111"/>
  <c r="S24" i="111"/>
  <c r="AF23" i="111"/>
  <c r="AE23" i="111"/>
  <c r="AD23" i="111"/>
  <c r="AC23" i="111"/>
  <c r="AB23" i="111"/>
  <c r="AA23" i="111"/>
  <c r="Z23" i="111"/>
  <c r="Y23" i="111"/>
  <c r="X23" i="111"/>
  <c r="W23" i="111"/>
  <c r="V23" i="111"/>
  <c r="U23" i="111"/>
  <c r="T23" i="111"/>
  <c r="S23" i="111"/>
  <c r="AF22" i="111"/>
  <c r="AE22" i="111"/>
  <c r="AD22" i="111"/>
  <c r="AC22" i="111"/>
  <c r="AB22" i="111"/>
  <c r="AA22" i="111"/>
  <c r="Z22" i="111"/>
  <c r="Y22" i="111"/>
  <c r="X22" i="111"/>
  <c r="W22" i="111"/>
  <c r="V22" i="111"/>
  <c r="U22" i="111"/>
  <c r="T22" i="111"/>
  <c r="S22" i="111"/>
  <c r="AF21" i="111"/>
  <c r="AE21" i="111"/>
  <c r="AD21" i="111"/>
  <c r="AC21" i="111"/>
  <c r="AB21" i="111"/>
  <c r="AA21" i="111"/>
  <c r="Z21" i="111"/>
  <c r="Y21" i="111"/>
  <c r="X21" i="111"/>
  <c r="W21" i="111"/>
  <c r="V21" i="111"/>
  <c r="U21" i="111"/>
  <c r="T21" i="111"/>
  <c r="S21" i="111"/>
  <c r="AF20" i="111"/>
  <c r="AF36" i="111" s="1"/>
  <c r="AE20" i="111"/>
  <c r="AE36" i="111" s="1"/>
  <c r="AD20" i="111"/>
  <c r="AC20" i="111"/>
  <c r="AB20" i="111"/>
  <c r="AA20" i="111"/>
  <c r="Z20" i="111"/>
  <c r="Y20" i="111"/>
  <c r="X20" i="111"/>
  <c r="X36" i="111" s="1"/>
  <c r="W20" i="111"/>
  <c r="W36" i="111" s="1"/>
  <c r="V20" i="111"/>
  <c r="U20" i="111"/>
  <c r="T20" i="111"/>
  <c r="S20" i="111"/>
  <c r="AF19" i="111"/>
  <c r="AF39" i="111" s="1"/>
  <c r="AE19" i="111"/>
  <c r="AE39" i="111" s="1"/>
  <c r="AD19" i="111"/>
  <c r="AD36" i="111" s="1"/>
  <c r="AC19" i="111"/>
  <c r="AC39" i="111" s="1"/>
  <c r="AB19" i="111"/>
  <c r="AB36" i="111" s="1"/>
  <c r="AA19" i="111"/>
  <c r="AA36" i="111" s="1"/>
  <c r="Z19" i="111"/>
  <c r="Z39" i="111" s="1"/>
  <c r="Y19" i="111"/>
  <c r="Y39" i="111" s="1"/>
  <c r="X19" i="111"/>
  <c r="X39" i="111" s="1"/>
  <c r="W19" i="111"/>
  <c r="W39" i="111" s="1"/>
  <c r="V19" i="111"/>
  <c r="V36" i="111" s="1"/>
  <c r="U19" i="111"/>
  <c r="U36" i="111" s="1"/>
  <c r="T19" i="111"/>
  <c r="T36" i="111" s="1"/>
  <c r="S19" i="111"/>
  <c r="S36" i="111" s="1"/>
  <c r="AF18" i="111"/>
  <c r="AE18" i="111"/>
  <c r="AD18" i="111"/>
  <c r="AC18" i="111"/>
  <c r="AB18" i="111"/>
  <c r="AA18" i="111"/>
  <c r="Z18" i="111"/>
  <c r="Y18" i="111"/>
  <c r="X18" i="111"/>
  <c r="W18" i="111"/>
  <c r="V18" i="111"/>
  <c r="U18" i="111"/>
  <c r="T18" i="111"/>
  <c r="S18" i="111"/>
  <c r="AF17" i="111"/>
  <c r="AE17" i="111"/>
  <c r="AD17" i="111"/>
  <c r="AC17" i="111"/>
  <c r="AB17" i="111"/>
  <c r="AA17" i="111"/>
  <c r="Z17" i="111"/>
  <c r="Y17" i="111"/>
  <c r="X17" i="111"/>
  <c r="W17" i="111"/>
  <c r="V17" i="111"/>
  <c r="U17" i="111"/>
  <c r="T17" i="111"/>
  <c r="S17" i="111"/>
  <c r="AF16" i="111"/>
  <c r="AE16" i="111"/>
  <c r="AD16" i="111"/>
  <c r="AC16" i="111"/>
  <c r="AB16" i="111"/>
  <c r="AA16" i="111"/>
  <c r="Z16" i="111"/>
  <c r="Y16" i="111"/>
  <c r="X16" i="111"/>
  <c r="W16" i="111"/>
  <c r="V16" i="111"/>
  <c r="U16" i="111"/>
  <c r="T16" i="111"/>
  <c r="S16" i="111"/>
  <c r="AF15" i="111"/>
  <c r="AE15" i="111"/>
  <c r="AD15" i="111"/>
  <c r="AD35" i="111" s="1"/>
  <c r="AC15" i="111"/>
  <c r="AC35" i="111" s="1"/>
  <c r="AB15" i="111"/>
  <c r="AA15" i="111"/>
  <c r="Z15" i="111"/>
  <c r="Y15" i="111"/>
  <c r="X15" i="111"/>
  <c r="W15" i="111"/>
  <c r="V15" i="111"/>
  <c r="V35" i="111" s="1"/>
  <c r="U15" i="111"/>
  <c r="U35" i="111" s="1"/>
  <c r="T15" i="111"/>
  <c r="S15" i="111"/>
  <c r="AF14" i="111"/>
  <c r="AE14" i="111"/>
  <c r="AD14" i="111"/>
  <c r="AC14" i="111"/>
  <c r="AB14" i="111"/>
  <c r="AB38" i="111" s="1"/>
  <c r="AA14" i="111"/>
  <c r="AA38" i="111" s="1"/>
  <c r="Z14" i="111"/>
  <c r="Y14" i="111"/>
  <c r="X14" i="111"/>
  <c r="W14" i="111"/>
  <c r="V14" i="111"/>
  <c r="U14" i="111"/>
  <c r="T14" i="111"/>
  <c r="T38" i="111" s="1"/>
  <c r="S14" i="111"/>
  <c r="S38" i="111" s="1"/>
  <c r="AF13" i="111"/>
  <c r="AF38" i="111" s="1"/>
  <c r="AE13" i="111"/>
  <c r="AE38" i="111" s="1"/>
  <c r="AD13" i="111"/>
  <c r="AD38" i="111" s="1"/>
  <c r="AC13" i="111"/>
  <c r="AC38" i="111" s="1"/>
  <c r="AB13" i="111"/>
  <c r="AB35" i="111" s="1"/>
  <c r="AA13" i="111"/>
  <c r="AA35" i="111" s="1"/>
  <c r="Z13" i="111"/>
  <c r="Z35" i="111" s="1"/>
  <c r="Y13" i="111"/>
  <c r="Y35" i="111" s="1"/>
  <c r="X13" i="111"/>
  <c r="X38" i="111" s="1"/>
  <c r="W13" i="111"/>
  <c r="W38" i="111" s="1"/>
  <c r="V13" i="111"/>
  <c r="V38" i="111" s="1"/>
  <c r="U13" i="111"/>
  <c r="U38" i="111" s="1"/>
  <c r="T13" i="111"/>
  <c r="T35" i="111" s="1"/>
  <c r="S13" i="111"/>
  <c r="S35" i="111" s="1"/>
  <c r="AF12" i="111"/>
  <c r="AF40" i="111" s="1"/>
  <c r="AE12" i="111"/>
  <c r="AE40" i="111" s="1"/>
  <c r="AD12" i="111"/>
  <c r="AC12" i="111"/>
  <c r="AB12" i="111"/>
  <c r="AA12" i="111"/>
  <c r="Z12" i="111"/>
  <c r="Y12" i="111"/>
  <c r="X12" i="111"/>
  <c r="X40" i="111" s="1"/>
  <c r="W12" i="111"/>
  <c r="W40" i="111" s="1"/>
  <c r="V12" i="111"/>
  <c r="U12" i="111"/>
  <c r="T12" i="111"/>
  <c r="S12" i="111"/>
  <c r="AF11" i="111"/>
  <c r="AE11" i="111"/>
  <c r="AD11" i="111"/>
  <c r="AC11" i="111"/>
  <c r="AB11" i="111"/>
  <c r="AA11" i="111"/>
  <c r="Z11" i="111"/>
  <c r="Y11" i="111"/>
  <c r="X11" i="111"/>
  <c r="W11" i="111"/>
  <c r="V11" i="111"/>
  <c r="U11" i="111"/>
  <c r="T11" i="111"/>
  <c r="S11" i="111"/>
  <c r="AF10" i="111"/>
  <c r="AF34" i="111" s="1"/>
  <c r="AE10" i="111"/>
  <c r="AE34" i="111" s="1"/>
  <c r="AD10" i="111"/>
  <c r="AD41" i="111" s="1"/>
  <c r="AC10" i="111"/>
  <c r="AC41" i="111" s="1"/>
  <c r="AB10" i="111"/>
  <c r="AB40" i="111" s="1"/>
  <c r="AA10" i="111"/>
  <c r="AA40" i="111" s="1"/>
  <c r="Z10" i="111"/>
  <c r="Z40" i="111" s="1"/>
  <c r="Y10" i="111"/>
  <c r="Y40" i="111" s="1"/>
  <c r="X10" i="111"/>
  <c r="X34" i="111" s="1"/>
  <c r="W10" i="111"/>
  <c r="W34" i="111" s="1"/>
  <c r="V10" i="111"/>
  <c r="V41" i="111" s="1"/>
  <c r="U10" i="111"/>
  <c r="U41" i="111" s="1"/>
  <c r="T10" i="111"/>
  <c r="T40" i="111" s="1"/>
  <c r="S10" i="111"/>
  <c r="S40" i="111" s="1"/>
  <c r="P58" i="107"/>
  <c r="P59" i="107"/>
  <c r="P60" i="107"/>
  <c r="P61" i="107"/>
  <c r="P62" i="107"/>
  <c r="P63" i="107"/>
  <c r="P64" i="107"/>
  <c r="P65" i="107"/>
  <c r="P106" i="107" s="1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O58" i="107"/>
  <c r="O59" i="107"/>
  <c r="O60" i="107"/>
  <c r="O61" i="107"/>
  <c r="O62" i="107"/>
  <c r="O63" i="107"/>
  <c r="O64" i="107"/>
  <c r="O65" i="107"/>
  <c r="O106" i="107" s="1"/>
  <c r="O66" i="107"/>
  <c r="O67" i="107"/>
  <c r="O68" i="107"/>
  <c r="O69" i="107"/>
  <c r="O70" i="107"/>
  <c r="O71" i="107"/>
  <c r="O72" i="107"/>
  <c r="O73" i="107"/>
  <c r="O74" i="107"/>
  <c r="O75" i="107"/>
  <c r="O76" i="107"/>
  <c r="O77" i="107"/>
  <c r="O78" i="107"/>
  <c r="O79" i="107"/>
  <c r="O80" i="107"/>
  <c r="O81" i="107"/>
  <c r="O82" i="107"/>
  <c r="O83" i="107"/>
  <c r="O84" i="107"/>
  <c r="O85" i="107"/>
  <c r="O86" i="107"/>
  <c r="O87" i="107"/>
  <c r="O88" i="107"/>
  <c r="O89" i="107"/>
  <c r="O90" i="107"/>
  <c r="O91" i="107"/>
  <c r="O92" i="107"/>
  <c r="O93" i="107"/>
  <c r="O94" i="107"/>
  <c r="O95" i="107"/>
  <c r="O96" i="107"/>
  <c r="O97" i="107"/>
  <c r="O98" i="107"/>
  <c r="O99" i="107"/>
  <c r="O100" i="107"/>
  <c r="O101" i="107"/>
  <c r="O102" i="107"/>
  <c r="O103" i="107"/>
  <c r="O104" i="107"/>
  <c r="O105" i="107"/>
  <c r="D58" i="107"/>
  <c r="E58" i="107"/>
  <c r="F58" i="107"/>
  <c r="G58" i="107"/>
  <c r="H58" i="107"/>
  <c r="I58" i="107"/>
  <c r="J58" i="107"/>
  <c r="K58" i="107"/>
  <c r="L58" i="107"/>
  <c r="M58" i="107"/>
  <c r="N58" i="107"/>
  <c r="D59" i="107"/>
  <c r="E59" i="107"/>
  <c r="F59" i="107"/>
  <c r="G59" i="107"/>
  <c r="H59" i="107"/>
  <c r="H106" i="107" s="1"/>
  <c r="I59" i="107"/>
  <c r="J59" i="107"/>
  <c r="K59" i="107"/>
  <c r="L59" i="107"/>
  <c r="M59" i="107"/>
  <c r="N59" i="107"/>
  <c r="D60" i="107"/>
  <c r="E60" i="107"/>
  <c r="E106" i="107" s="1"/>
  <c r="F60" i="107"/>
  <c r="G60" i="107"/>
  <c r="H60" i="107"/>
  <c r="I60" i="107"/>
  <c r="J60" i="107"/>
  <c r="K60" i="107"/>
  <c r="L60" i="107"/>
  <c r="M60" i="107"/>
  <c r="M106" i="107" s="1"/>
  <c r="N60" i="107"/>
  <c r="D61" i="107"/>
  <c r="E61" i="107"/>
  <c r="F61" i="107"/>
  <c r="G61" i="107"/>
  <c r="H61" i="107"/>
  <c r="I61" i="107"/>
  <c r="J61" i="107"/>
  <c r="J106" i="107" s="1"/>
  <c r="K61" i="107"/>
  <c r="L61" i="107"/>
  <c r="M61" i="107"/>
  <c r="N61" i="107"/>
  <c r="D62" i="107"/>
  <c r="E62" i="107"/>
  <c r="F62" i="107"/>
  <c r="G62" i="107"/>
  <c r="G106" i="107" s="1"/>
  <c r="H62" i="107"/>
  <c r="I62" i="107"/>
  <c r="J62" i="107"/>
  <c r="K62" i="107"/>
  <c r="L62" i="107"/>
  <c r="M62" i="107"/>
  <c r="N62" i="107"/>
  <c r="D63" i="107"/>
  <c r="D106" i="107" s="1"/>
  <c r="E63" i="107"/>
  <c r="F63" i="107"/>
  <c r="G63" i="107"/>
  <c r="H63" i="107"/>
  <c r="I63" i="107"/>
  <c r="J63" i="107"/>
  <c r="K63" i="107"/>
  <c r="L63" i="107"/>
  <c r="L106" i="107" s="1"/>
  <c r="M63" i="107"/>
  <c r="N63" i="107"/>
  <c r="D64" i="107"/>
  <c r="E64" i="107"/>
  <c r="F64" i="107"/>
  <c r="G64" i="107"/>
  <c r="H64" i="107"/>
  <c r="I64" i="107"/>
  <c r="I106" i="107" s="1"/>
  <c r="J64" i="107"/>
  <c r="K64" i="107"/>
  <c r="L64" i="107"/>
  <c r="M64" i="107"/>
  <c r="N64" i="107"/>
  <c r="D65" i="107"/>
  <c r="E65" i="107"/>
  <c r="F65" i="107"/>
  <c r="F106" i="107" s="1"/>
  <c r="G65" i="107"/>
  <c r="H65" i="107"/>
  <c r="I65" i="107"/>
  <c r="J65" i="107"/>
  <c r="K65" i="107"/>
  <c r="L65" i="107"/>
  <c r="M65" i="107"/>
  <c r="N65" i="107"/>
  <c r="N106" i="107" s="1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E67" i="107"/>
  <c r="F67" i="107"/>
  <c r="G67" i="107"/>
  <c r="H67" i="107"/>
  <c r="I67" i="107"/>
  <c r="J67" i="107"/>
  <c r="K67" i="107"/>
  <c r="L67" i="107"/>
  <c r="M67" i="107"/>
  <c r="N67" i="107"/>
  <c r="D68" i="107"/>
  <c r="E68" i="107"/>
  <c r="F68" i="107"/>
  <c r="G68" i="107"/>
  <c r="H68" i="107"/>
  <c r="I68" i="107"/>
  <c r="J68" i="107"/>
  <c r="K68" i="107"/>
  <c r="L68" i="107"/>
  <c r="M68" i="107"/>
  <c r="N68" i="107"/>
  <c r="D69" i="107"/>
  <c r="E69" i="107"/>
  <c r="F69" i="107"/>
  <c r="G69" i="107"/>
  <c r="H69" i="107"/>
  <c r="I69" i="107"/>
  <c r="J69" i="107"/>
  <c r="K69" i="107"/>
  <c r="L69" i="107"/>
  <c r="M69" i="107"/>
  <c r="N69" i="107"/>
  <c r="D70" i="107"/>
  <c r="E70" i="107"/>
  <c r="F70" i="107"/>
  <c r="G70" i="107"/>
  <c r="H70" i="107"/>
  <c r="I70" i="107"/>
  <c r="J70" i="107"/>
  <c r="K70" i="107"/>
  <c r="L70" i="107"/>
  <c r="M70" i="107"/>
  <c r="N70" i="107"/>
  <c r="D71" i="107"/>
  <c r="E71" i="107"/>
  <c r="F71" i="107"/>
  <c r="G71" i="107"/>
  <c r="H71" i="107"/>
  <c r="I71" i="107"/>
  <c r="J71" i="107"/>
  <c r="K71" i="107"/>
  <c r="L71" i="107"/>
  <c r="M71" i="107"/>
  <c r="N71" i="107"/>
  <c r="D72" i="107"/>
  <c r="E72" i="107"/>
  <c r="F72" i="107"/>
  <c r="G72" i="107"/>
  <c r="H72" i="107"/>
  <c r="I72" i="107"/>
  <c r="J72" i="107"/>
  <c r="K72" i="107"/>
  <c r="L72" i="107"/>
  <c r="M72" i="107"/>
  <c r="N72" i="107"/>
  <c r="D73" i="107"/>
  <c r="E73" i="107"/>
  <c r="F73" i="107"/>
  <c r="G73" i="107"/>
  <c r="H73" i="107"/>
  <c r="I73" i="107"/>
  <c r="J73" i="107"/>
  <c r="K73" i="107"/>
  <c r="L73" i="107"/>
  <c r="M73" i="107"/>
  <c r="N73" i="107"/>
  <c r="D74" i="107"/>
  <c r="E74" i="107"/>
  <c r="F74" i="107"/>
  <c r="G74" i="107"/>
  <c r="H74" i="107"/>
  <c r="I74" i="107"/>
  <c r="J74" i="107"/>
  <c r="K74" i="107"/>
  <c r="L74" i="107"/>
  <c r="M74" i="107"/>
  <c r="N74" i="107"/>
  <c r="D75" i="107"/>
  <c r="E75" i="107"/>
  <c r="F75" i="107"/>
  <c r="G75" i="107"/>
  <c r="H75" i="107"/>
  <c r="I75" i="107"/>
  <c r="J75" i="107"/>
  <c r="K75" i="107"/>
  <c r="L75" i="107"/>
  <c r="M75" i="107"/>
  <c r="N75" i="107"/>
  <c r="D76" i="107"/>
  <c r="E76" i="107"/>
  <c r="F76" i="107"/>
  <c r="G76" i="107"/>
  <c r="H76" i="107"/>
  <c r="I76" i="107"/>
  <c r="J76" i="107"/>
  <c r="K76" i="107"/>
  <c r="L76" i="107"/>
  <c r="M76" i="107"/>
  <c r="N76" i="107"/>
  <c r="D77" i="107"/>
  <c r="E77" i="107"/>
  <c r="F77" i="107"/>
  <c r="G77" i="107"/>
  <c r="H77" i="107"/>
  <c r="I77" i="107"/>
  <c r="J77" i="107"/>
  <c r="K77" i="107"/>
  <c r="L77" i="107"/>
  <c r="M77" i="107"/>
  <c r="N77" i="107"/>
  <c r="D78" i="107"/>
  <c r="E78" i="107"/>
  <c r="F78" i="107"/>
  <c r="G78" i="107"/>
  <c r="H78" i="107"/>
  <c r="I78" i="107"/>
  <c r="J78" i="107"/>
  <c r="K78" i="107"/>
  <c r="L78" i="107"/>
  <c r="M78" i="107"/>
  <c r="N78" i="107"/>
  <c r="D79" i="107"/>
  <c r="E79" i="107"/>
  <c r="F79" i="107"/>
  <c r="G79" i="107"/>
  <c r="H79" i="107"/>
  <c r="I79" i="107"/>
  <c r="J79" i="107"/>
  <c r="K79" i="107"/>
  <c r="L79" i="107"/>
  <c r="M79" i="107"/>
  <c r="N79" i="107"/>
  <c r="D80" i="107"/>
  <c r="E80" i="107"/>
  <c r="F80" i="107"/>
  <c r="G80" i="107"/>
  <c r="H80" i="107"/>
  <c r="I80" i="107"/>
  <c r="J80" i="107"/>
  <c r="K80" i="107"/>
  <c r="L80" i="107"/>
  <c r="M80" i="107"/>
  <c r="N80" i="107"/>
  <c r="D81" i="107"/>
  <c r="E81" i="107"/>
  <c r="F81" i="107"/>
  <c r="G81" i="107"/>
  <c r="H81" i="107"/>
  <c r="I81" i="107"/>
  <c r="J81" i="107"/>
  <c r="K81" i="107"/>
  <c r="L81" i="107"/>
  <c r="M81" i="107"/>
  <c r="N81" i="107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E83" i="107"/>
  <c r="F83" i="107"/>
  <c r="G83" i="107"/>
  <c r="H83" i="107"/>
  <c r="I83" i="107"/>
  <c r="J83" i="107"/>
  <c r="K83" i="107"/>
  <c r="L83" i="107"/>
  <c r="M83" i="107"/>
  <c r="N83" i="107"/>
  <c r="D84" i="107"/>
  <c r="E84" i="107"/>
  <c r="F84" i="107"/>
  <c r="G84" i="107"/>
  <c r="H84" i="107"/>
  <c r="I84" i="107"/>
  <c r="J84" i="107"/>
  <c r="K84" i="107"/>
  <c r="L84" i="107"/>
  <c r="M84" i="107"/>
  <c r="N84" i="107"/>
  <c r="D85" i="107"/>
  <c r="E85" i="107"/>
  <c r="F85" i="107"/>
  <c r="G85" i="107"/>
  <c r="H85" i="107"/>
  <c r="I85" i="107"/>
  <c r="J85" i="107"/>
  <c r="K85" i="107"/>
  <c r="L85" i="107"/>
  <c r="M85" i="107"/>
  <c r="N85" i="107"/>
  <c r="D86" i="107"/>
  <c r="E86" i="107"/>
  <c r="F86" i="107"/>
  <c r="G86" i="107"/>
  <c r="H86" i="107"/>
  <c r="I86" i="107"/>
  <c r="J86" i="107"/>
  <c r="K86" i="107"/>
  <c r="L86" i="107"/>
  <c r="M86" i="107"/>
  <c r="N86" i="107"/>
  <c r="D87" i="107"/>
  <c r="E87" i="107"/>
  <c r="F87" i="107"/>
  <c r="G87" i="107"/>
  <c r="H87" i="107"/>
  <c r="I87" i="107"/>
  <c r="J87" i="107"/>
  <c r="K87" i="107"/>
  <c r="L87" i="107"/>
  <c r="M87" i="107"/>
  <c r="N87" i="107"/>
  <c r="D88" i="107"/>
  <c r="E88" i="107"/>
  <c r="F88" i="107"/>
  <c r="G88" i="107"/>
  <c r="H88" i="107"/>
  <c r="I88" i="107"/>
  <c r="J88" i="107"/>
  <c r="K88" i="107"/>
  <c r="L88" i="107"/>
  <c r="M88" i="107"/>
  <c r="N88" i="107"/>
  <c r="D89" i="107"/>
  <c r="E89" i="107"/>
  <c r="F89" i="107"/>
  <c r="G89" i="107"/>
  <c r="H89" i="107"/>
  <c r="I89" i="107"/>
  <c r="J89" i="107"/>
  <c r="K89" i="107"/>
  <c r="L89" i="107"/>
  <c r="M89" i="107"/>
  <c r="N89" i="107"/>
  <c r="D90" i="107"/>
  <c r="E90" i="107"/>
  <c r="F90" i="107"/>
  <c r="G90" i="107"/>
  <c r="H90" i="107"/>
  <c r="I90" i="107"/>
  <c r="J90" i="107"/>
  <c r="K90" i="107"/>
  <c r="L90" i="107"/>
  <c r="M90" i="107"/>
  <c r="N90" i="107"/>
  <c r="D91" i="107"/>
  <c r="E91" i="107"/>
  <c r="F91" i="107"/>
  <c r="G91" i="107"/>
  <c r="H91" i="107"/>
  <c r="I91" i="107"/>
  <c r="J91" i="107"/>
  <c r="K91" i="107"/>
  <c r="L91" i="107"/>
  <c r="M91" i="107"/>
  <c r="N91" i="107"/>
  <c r="D92" i="107"/>
  <c r="E92" i="107"/>
  <c r="F92" i="107"/>
  <c r="G92" i="107"/>
  <c r="H92" i="107"/>
  <c r="I92" i="107"/>
  <c r="J92" i="107"/>
  <c r="K92" i="107"/>
  <c r="L92" i="107"/>
  <c r="M92" i="107"/>
  <c r="N92" i="107"/>
  <c r="D93" i="107"/>
  <c r="E93" i="107"/>
  <c r="F93" i="107"/>
  <c r="G93" i="107"/>
  <c r="H93" i="107"/>
  <c r="I93" i="107"/>
  <c r="J93" i="107"/>
  <c r="K93" i="107"/>
  <c r="L93" i="107"/>
  <c r="M93" i="107"/>
  <c r="N93" i="107"/>
  <c r="D94" i="107"/>
  <c r="E94" i="107"/>
  <c r="F94" i="107"/>
  <c r="G94" i="107"/>
  <c r="H94" i="107"/>
  <c r="I94" i="107"/>
  <c r="J94" i="107"/>
  <c r="K94" i="107"/>
  <c r="L94" i="107"/>
  <c r="M94" i="107"/>
  <c r="N94" i="107"/>
  <c r="D95" i="107"/>
  <c r="E95" i="107"/>
  <c r="F95" i="107"/>
  <c r="G95" i="107"/>
  <c r="H95" i="107"/>
  <c r="I95" i="107"/>
  <c r="J95" i="107"/>
  <c r="K95" i="107"/>
  <c r="L95" i="107"/>
  <c r="M95" i="107"/>
  <c r="N95" i="107"/>
  <c r="D96" i="107"/>
  <c r="E96" i="107"/>
  <c r="F96" i="107"/>
  <c r="G96" i="107"/>
  <c r="H96" i="107"/>
  <c r="I96" i="107"/>
  <c r="J96" i="107"/>
  <c r="K96" i="107"/>
  <c r="L96" i="107"/>
  <c r="M96" i="107"/>
  <c r="N96" i="107"/>
  <c r="D97" i="107"/>
  <c r="E97" i="107"/>
  <c r="F97" i="107"/>
  <c r="G97" i="107"/>
  <c r="H97" i="107"/>
  <c r="I97" i="107"/>
  <c r="J97" i="107"/>
  <c r="K97" i="107"/>
  <c r="L97" i="107"/>
  <c r="M97" i="107"/>
  <c r="N97" i="107"/>
  <c r="D98" i="107"/>
  <c r="E98" i="107"/>
  <c r="F98" i="107"/>
  <c r="G98" i="107"/>
  <c r="H98" i="107"/>
  <c r="I98" i="107"/>
  <c r="J98" i="107"/>
  <c r="K98" i="107"/>
  <c r="L98" i="107"/>
  <c r="M98" i="107"/>
  <c r="N98" i="107"/>
  <c r="D99" i="107"/>
  <c r="E99" i="107"/>
  <c r="F99" i="107"/>
  <c r="G99" i="107"/>
  <c r="H99" i="107"/>
  <c r="I99" i="107"/>
  <c r="J99" i="107"/>
  <c r="K99" i="107"/>
  <c r="L99" i="107"/>
  <c r="M99" i="107"/>
  <c r="N99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C59" i="107"/>
  <c r="C60" i="107"/>
  <c r="C61" i="107"/>
  <c r="C62" i="107"/>
  <c r="C63" i="107"/>
  <c r="C64" i="107"/>
  <c r="C65" i="107"/>
  <c r="C66" i="107"/>
  <c r="C66" i="111" s="1"/>
  <c r="C67" i="107"/>
  <c r="C68" i="107"/>
  <c r="C69" i="107"/>
  <c r="C70" i="107"/>
  <c r="C71" i="107"/>
  <c r="C72" i="107"/>
  <c r="C73" i="107"/>
  <c r="C74" i="107"/>
  <c r="C74" i="111" s="1"/>
  <c r="C75" i="107"/>
  <c r="C76" i="107"/>
  <c r="C77" i="107"/>
  <c r="C78" i="107"/>
  <c r="C79" i="107"/>
  <c r="C80" i="107"/>
  <c r="C81" i="107"/>
  <c r="C82" i="107"/>
  <c r="C82" i="111" s="1"/>
  <c r="C83" i="107"/>
  <c r="C84" i="107"/>
  <c r="C85" i="107"/>
  <c r="C86" i="107"/>
  <c r="C87" i="107"/>
  <c r="C88" i="107"/>
  <c r="C89" i="107"/>
  <c r="C90" i="107"/>
  <c r="C90" i="111" s="1"/>
  <c r="C91" i="107"/>
  <c r="C92" i="107"/>
  <c r="C93" i="107"/>
  <c r="C94" i="107"/>
  <c r="C95" i="107"/>
  <c r="C96" i="107"/>
  <c r="C97" i="107"/>
  <c r="C98" i="107"/>
  <c r="C98" i="111" s="1"/>
  <c r="C99" i="107"/>
  <c r="C100" i="107"/>
  <c r="C101" i="107"/>
  <c r="C102" i="107"/>
  <c r="C103" i="107"/>
  <c r="C104" i="107"/>
  <c r="C105" i="107"/>
  <c r="C58" i="107"/>
  <c r="P58" i="108"/>
  <c r="P59" i="108"/>
  <c r="P60" i="108"/>
  <c r="P61" i="108"/>
  <c r="P62" i="108"/>
  <c r="P63" i="108"/>
  <c r="P64" i="108"/>
  <c r="P65" i="108"/>
  <c r="P106" i="108" s="1"/>
  <c r="P66" i="108"/>
  <c r="P67" i="108"/>
  <c r="P68" i="108"/>
  <c r="P69" i="108"/>
  <c r="P70" i="108"/>
  <c r="P71" i="108"/>
  <c r="P72" i="108"/>
  <c r="P73" i="108"/>
  <c r="P74" i="108"/>
  <c r="P75" i="108"/>
  <c r="P76" i="108"/>
  <c r="P77" i="108"/>
  <c r="P78" i="108"/>
  <c r="P79" i="108"/>
  <c r="P80" i="108"/>
  <c r="P81" i="108"/>
  <c r="P82" i="108"/>
  <c r="P83" i="108"/>
  <c r="P84" i="108"/>
  <c r="P85" i="108"/>
  <c r="P86" i="108"/>
  <c r="P87" i="108"/>
  <c r="P88" i="108"/>
  <c r="P89" i="108"/>
  <c r="P90" i="108"/>
  <c r="P91" i="108"/>
  <c r="P92" i="108"/>
  <c r="P93" i="108"/>
  <c r="P94" i="108"/>
  <c r="P95" i="108"/>
  <c r="P96" i="108"/>
  <c r="P97" i="108"/>
  <c r="P98" i="108"/>
  <c r="P99" i="108"/>
  <c r="P100" i="108"/>
  <c r="P101" i="108"/>
  <c r="P102" i="108"/>
  <c r="P103" i="108"/>
  <c r="P104" i="108"/>
  <c r="P105" i="108"/>
  <c r="O58" i="108"/>
  <c r="O59" i="108"/>
  <c r="O60" i="108"/>
  <c r="O61" i="108"/>
  <c r="O62" i="108"/>
  <c r="O63" i="108"/>
  <c r="O64" i="108"/>
  <c r="O65" i="108"/>
  <c r="O66" i="108"/>
  <c r="O67" i="108"/>
  <c r="O68" i="108"/>
  <c r="O69" i="108"/>
  <c r="O70" i="108"/>
  <c r="O71" i="108"/>
  <c r="O72" i="108"/>
  <c r="O73" i="108"/>
  <c r="O74" i="108"/>
  <c r="O75" i="108"/>
  <c r="O76" i="108"/>
  <c r="O77" i="108"/>
  <c r="O78" i="108"/>
  <c r="O79" i="108"/>
  <c r="O80" i="108"/>
  <c r="O81" i="108"/>
  <c r="O82" i="108"/>
  <c r="O83" i="108"/>
  <c r="O84" i="108"/>
  <c r="O85" i="108"/>
  <c r="O86" i="108"/>
  <c r="O87" i="108"/>
  <c r="O88" i="108"/>
  <c r="O89" i="108"/>
  <c r="O90" i="108"/>
  <c r="O91" i="108"/>
  <c r="O92" i="108"/>
  <c r="O93" i="108"/>
  <c r="O94" i="108"/>
  <c r="O95" i="108"/>
  <c r="O96" i="108"/>
  <c r="O97" i="108"/>
  <c r="O98" i="108"/>
  <c r="O99" i="108"/>
  <c r="O100" i="108"/>
  <c r="O101" i="108"/>
  <c r="O102" i="108"/>
  <c r="O103" i="108"/>
  <c r="O104" i="108"/>
  <c r="O105" i="108"/>
  <c r="D58" i="108"/>
  <c r="E58" i="108"/>
  <c r="F58" i="108"/>
  <c r="G58" i="108"/>
  <c r="H58" i="108"/>
  <c r="I58" i="108"/>
  <c r="J58" i="108"/>
  <c r="K58" i="108"/>
  <c r="K58" i="111" s="1"/>
  <c r="L58" i="108"/>
  <c r="M58" i="108"/>
  <c r="N58" i="108"/>
  <c r="D59" i="108"/>
  <c r="E59" i="108"/>
  <c r="F59" i="108"/>
  <c r="G59" i="108"/>
  <c r="H59" i="108"/>
  <c r="H106" i="108" s="1"/>
  <c r="I59" i="108"/>
  <c r="J59" i="108"/>
  <c r="K59" i="108"/>
  <c r="L59" i="108"/>
  <c r="M59" i="108"/>
  <c r="N59" i="108"/>
  <c r="D60" i="108"/>
  <c r="E60" i="108"/>
  <c r="E60" i="111" s="1"/>
  <c r="F60" i="108"/>
  <c r="G60" i="108"/>
  <c r="H60" i="108"/>
  <c r="I60" i="108"/>
  <c r="J60" i="108"/>
  <c r="K60" i="108"/>
  <c r="L60" i="108"/>
  <c r="M60" i="108"/>
  <c r="M60" i="111" s="1"/>
  <c r="N60" i="108"/>
  <c r="D61" i="108"/>
  <c r="E61" i="108"/>
  <c r="F61" i="108"/>
  <c r="G61" i="108"/>
  <c r="H61" i="108"/>
  <c r="I61" i="108"/>
  <c r="J61" i="108"/>
  <c r="J61" i="111" s="1"/>
  <c r="K61" i="108"/>
  <c r="L61" i="108"/>
  <c r="M61" i="108"/>
  <c r="N61" i="108"/>
  <c r="D62" i="108"/>
  <c r="E62" i="108"/>
  <c r="F62" i="108"/>
  <c r="G62" i="108"/>
  <c r="G106" i="108" s="1"/>
  <c r="H62" i="108"/>
  <c r="I62" i="108"/>
  <c r="J62" i="108"/>
  <c r="K62" i="108"/>
  <c r="L62" i="108"/>
  <c r="M62" i="108"/>
  <c r="N62" i="108"/>
  <c r="D63" i="108"/>
  <c r="D63" i="111" s="1"/>
  <c r="E63" i="108"/>
  <c r="F63" i="108"/>
  <c r="G63" i="108"/>
  <c r="H63" i="108"/>
  <c r="I63" i="108"/>
  <c r="J63" i="108"/>
  <c r="K63" i="108"/>
  <c r="L63" i="108"/>
  <c r="L63" i="111" s="1"/>
  <c r="M63" i="108"/>
  <c r="N63" i="108"/>
  <c r="D64" i="108"/>
  <c r="E64" i="108"/>
  <c r="F64" i="108"/>
  <c r="G64" i="108"/>
  <c r="H64" i="108"/>
  <c r="I64" i="108"/>
  <c r="I64" i="111" s="1"/>
  <c r="J64" i="108"/>
  <c r="K64" i="108"/>
  <c r="L64" i="108"/>
  <c r="M64" i="108"/>
  <c r="N64" i="108"/>
  <c r="D65" i="108"/>
  <c r="E65" i="108"/>
  <c r="F65" i="108"/>
  <c r="F65" i="111" s="1"/>
  <c r="G65" i="108"/>
  <c r="H65" i="108"/>
  <c r="I65" i="108"/>
  <c r="J65" i="108"/>
  <c r="K65" i="108"/>
  <c r="L65" i="108"/>
  <c r="M65" i="108"/>
  <c r="N65" i="108"/>
  <c r="N65" i="111" s="1"/>
  <c r="D66" i="108"/>
  <c r="E66" i="108"/>
  <c r="F66" i="108"/>
  <c r="G66" i="108"/>
  <c r="H66" i="108"/>
  <c r="I66" i="108"/>
  <c r="J66" i="108"/>
  <c r="K66" i="108"/>
  <c r="K66" i="111" s="1"/>
  <c r="L66" i="108"/>
  <c r="M66" i="108"/>
  <c r="N66" i="108"/>
  <c r="D67" i="108"/>
  <c r="E67" i="108"/>
  <c r="F67" i="108"/>
  <c r="G67" i="108"/>
  <c r="H67" i="108"/>
  <c r="H67" i="111" s="1"/>
  <c r="I67" i="108"/>
  <c r="J67" i="108"/>
  <c r="K67" i="108"/>
  <c r="L67" i="108"/>
  <c r="M67" i="108"/>
  <c r="N67" i="108"/>
  <c r="D68" i="108"/>
  <c r="E68" i="108"/>
  <c r="E68" i="111" s="1"/>
  <c r="F68" i="108"/>
  <c r="G68" i="108"/>
  <c r="H68" i="108"/>
  <c r="I68" i="108"/>
  <c r="J68" i="108"/>
  <c r="K68" i="108"/>
  <c r="L68" i="108"/>
  <c r="M68" i="108"/>
  <c r="M68" i="111" s="1"/>
  <c r="N68" i="108"/>
  <c r="D69" i="108"/>
  <c r="E69" i="108"/>
  <c r="F69" i="108"/>
  <c r="G69" i="108"/>
  <c r="H69" i="108"/>
  <c r="I69" i="108"/>
  <c r="J69" i="108"/>
  <c r="J69" i="111" s="1"/>
  <c r="K69" i="108"/>
  <c r="L69" i="108"/>
  <c r="M69" i="108"/>
  <c r="N69" i="108"/>
  <c r="D70" i="108"/>
  <c r="E70" i="108"/>
  <c r="F70" i="108"/>
  <c r="G70" i="108"/>
  <c r="G70" i="111" s="1"/>
  <c r="H70" i="108"/>
  <c r="I70" i="108"/>
  <c r="J70" i="108"/>
  <c r="K70" i="108"/>
  <c r="L70" i="108"/>
  <c r="M70" i="108"/>
  <c r="N70" i="108"/>
  <c r="D71" i="108"/>
  <c r="D71" i="111" s="1"/>
  <c r="E71" i="108"/>
  <c r="F71" i="108"/>
  <c r="G71" i="108"/>
  <c r="H71" i="108"/>
  <c r="I71" i="108"/>
  <c r="J71" i="108"/>
  <c r="K71" i="108"/>
  <c r="L71" i="108"/>
  <c r="L71" i="111" s="1"/>
  <c r="M71" i="108"/>
  <c r="N71" i="108"/>
  <c r="D72" i="108"/>
  <c r="E72" i="108"/>
  <c r="F72" i="108"/>
  <c r="G72" i="108"/>
  <c r="H72" i="108"/>
  <c r="I72" i="108"/>
  <c r="I72" i="111" s="1"/>
  <c r="J72" i="108"/>
  <c r="K72" i="108"/>
  <c r="L72" i="108"/>
  <c r="M72" i="108"/>
  <c r="N72" i="108"/>
  <c r="D73" i="108"/>
  <c r="E73" i="108"/>
  <c r="F73" i="108"/>
  <c r="F73" i="111" s="1"/>
  <c r="G73" i="108"/>
  <c r="H73" i="108"/>
  <c r="I73" i="108"/>
  <c r="J73" i="108"/>
  <c r="K73" i="108"/>
  <c r="L73" i="108"/>
  <c r="M73" i="108"/>
  <c r="N73" i="108"/>
  <c r="N73" i="111" s="1"/>
  <c r="D74" i="108"/>
  <c r="E74" i="108"/>
  <c r="F74" i="108"/>
  <c r="G74" i="108"/>
  <c r="H74" i="108"/>
  <c r="I74" i="108"/>
  <c r="J74" i="108"/>
  <c r="K74" i="108"/>
  <c r="K74" i="111" s="1"/>
  <c r="L74" i="108"/>
  <c r="M74" i="108"/>
  <c r="N74" i="108"/>
  <c r="D75" i="108"/>
  <c r="E75" i="108"/>
  <c r="F75" i="108"/>
  <c r="G75" i="108"/>
  <c r="H75" i="108"/>
  <c r="H75" i="111" s="1"/>
  <c r="I75" i="108"/>
  <c r="J75" i="108"/>
  <c r="K75" i="108"/>
  <c r="L75" i="108"/>
  <c r="M75" i="108"/>
  <c r="N75" i="108"/>
  <c r="D76" i="108"/>
  <c r="E76" i="108"/>
  <c r="E76" i="111" s="1"/>
  <c r="F76" i="108"/>
  <c r="G76" i="108"/>
  <c r="H76" i="108"/>
  <c r="I76" i="108"/>
  <c r="J76" i="108"/>
  <c r="K76" i="108"/>
  <c r="L76" i="108"/>
  <c r="M76" i="108"/>
  <c r="M76" i="111" s="1"/>
  <c r="N76" i="108"/>
  <c r="D77" i="108"/>
  <c r="E77" i="108"/>
  <c r="F77" i="108"/>
  <c r="G77" i="108"/>
  <c r="H77" i="108"/>
  <c r="I77" i="108"/>
  <c r="J77" i="108"/>
  <c r="J77" i="111" s="1"/>
  <c r="K77" i="108"/>
  <c r="L77" i="108"/>
  <c r="M77" i="108"/>
  <c r="N77" i="108"/>
  <c r="D78" i="108"/>
  <c r="E78" i="108"/>
  <c r="F78" i="108"/>
  <c r="G78" i="108"/>
  <c r="G78" i="111" s="1"/>
  <c r="H78" i="108"/>
  <c r="I78" i="108"/>
  <c r="J78" i="108"/>
  <c r="K78" i="108"/>
  <c r="L78" i="108"/>
  <c r="M78" i="108"/>
  <c r="N78" i="108"/>
  <c r="D79" i="108"/>
  <c r="D79" i="111" s="1"/>
  <c r="E79" i="108"/>
  <c r="F79" i="108"/>
  <c r="G79" i="108"/>
  <c r="H79" i="108"/>
  <c r="I79" i="108"/>
  <c r="J79" i="108"/>
  <c r="K79" i="108"/>
  <c r="L79" i="108"/>
  <c r="L79" i="111" s="1"/>
  <c r="M79" i="108"/>
  <c r="N79" i="108"/>
  <c r="D80" i="108"/>
  <c r="E80" i="108"/>
  <c r="F80" i="108"/>
  <c r="G80" i="108"/>
  <c r="H80" i="108"/>
  <c r="I80" i="108"/>
  <c r="I80" i="111" s="1"/>
  <c r="J80" i="108"/>
  <c r="K80" i="108"/>
  <c r="L80" i="108"/>
  <c r="M80" i="108"/>
  <c r="N80" i="108"/>
  <c r="D81" i="108"/>
  <c r="E81" i="108"/>
  <c r="F81" i="108"/>
  <c r="F81" i="111" s="1"/>
  <c r="G81" i="108"/>
  <c r="H81" i="108"/>
  <c r="I81" i="108"/>
  <c r="J81" i="108"/>
  <c r="K81" i="108"/>
  <c r="L81" i="108"/>
  <c r="M81" i="108"/>
  <c r="N81" i="108"/>
  <c r="N81" i="111" s="1"/>
  <c r="D82" i="108"/>
  <c r="E82" i="108"/>
  <c r="F82" i="108"/>
  <c r="G82" i="108"/>
  <c r="H82" i="108"/>
  <c r="I82" i="108"/>
  <c r="J82" i="108"/>
  <c r="K82" i="108"/>
  <c r="K82" i="111" s="1"/>
  <c r="L82" i="108"/>
  <c r="M82" i="108"/>
  <c r="N82" i="108"/>
  <c r="D83" i="108"/>
  <c r="E83" i="108"/>
  <c r="F83" i="108"/>
  <c r="G83" i="108"/>
  <c r="H83" i="108"/>
  <c r="H83" i="111" s="1"/>
  <c r="I83" i="108"/>
  <c r="J83" i="108"/>
  <c r="K83" i="108"/>
  <c r="L83" i="108"/>
  <c r="M83" i="108"/>
  <c r="N83" i="108"/>
  <c r="D84" i="108"/>
  <c r="E84" i="108"/>
  <c r="E84" i="111" s="1"/>
  <c r="F84" i="108"/>
  <c r="G84" i="108"/>
  <c r="H84" i="108"/>
  <c r="I84" i="108"/>
  <c r="J84" i="108"/>
  <c r="K84" i="108"/>
  <c r="L84" i="108"/>
  <c r="M84" i="108"/>
  <c r="M84" i="111" s="1"/>
  <c r="N84" i="108"/>
  <c r="D85" i="108"/>
  <c r="E85" i="108"/>
  <c r="F85" i="108"/>
  <c r="G85" i="108"/>
  <c r="H85" i="108"/>
  <c r="I85" i="108"/>
  <c r="J85" i="108"/>
  <c r="J85" i="111" s="1"/>
  <c r="K85" i="108"/>
  <c r="L85" i="108"/>
  <c r="M85" i="108"/>
  <c r="N85" i="108"/>
  <c r="D86" i="108"/>
  <c r="E86" i="108"/>
  <c r="F86" i="108"/>
  <c r="G86" i="108"/>
  <c r="G86" i="111" s="1"/>
  <c r="H86" i="108"/>
  <c r="I86" i="108"/>
  <c r="J86" i="108"/>
  <c r="K86" i="108"/>
  <c r="L86" i="108"/>
  <c r="M86" i="108"/>
  <c r="N86" i="108"/>
  <c r="D87" i="108"/>
  <c r="D87" i="111" s="1"/>
  <c r="E87" i="108"/>
  <c r="F87" i="108"/>
  <c r="G87" i="108"/>
  <c r="H87" i="108"/>
  <c r="I87" i="108"/>
  <c r="J87" i="108"/>
  <c r="K87" i="108"/>
  <c r="L87" i="108"/>
  <c r="L87" i="111" s="1"/>
  <c r="M87" i="108"/>
  <c r="N87" i="108"/>
  <c r="D88" i="108"/>
  <c r="E88" i="108"/>
  <c r="F88" i="108"/>
  <c r="G88" i="108"/>
  <c r="H88" i="108"/>
  <c r="I88" i="108"/>
  <c r="I88" i="111" s="1"/>
  <c r="J88" i="108"/>
  <c r="K88" i="108"/>
  <c r="L88" i="108"/>
  <c r="M88" i="108"/>
  <c r="N88" i="108"/>
  <c r="D89" i="108"/>
  <c r="E89" i="108"/>
  <c r="F89" i="108"/>
  <c r="F89" i="111" s="1"/>
  <c r="G89" i="108"/>
  <c r="H89" i="108"/>
  <c r="I89" i="108"/>
  <c r="J89" i="108"/>
  <c r="K89" i="108"/>
  <c r="L89" i="108"/>
  <c r="M89" i="108"/>
  <c r="N89" i="108"/>
  <c r="N89" i="111" s="1"/>
  <c r="D90" i="108"/>
  <c r="E90" i="108"/>
  <c r="F90" i="108"/>
  <c r="G90" i="108"/>
  <c r="H90" i="108"/>
  <c r="I90" i="108"/>
  <c r="J90" i="108"/>
  <c r="K90" i="108"/>
  <c r="K90" i="111" s="1"/>
  <c r="L90" i="108"/>
  <c r="M90" i="108"/>
  <c r="N90" i="108"/>
  <c r="D91" i="108"/>
  <c r="E91" i="108"/>
  <c r="F91" i="108"/>
  <c r="G91" i="108"/>
  <c r="H91" i="108"/>
  <c r="H91" i="111" s="1"/>
  <c r="I91" i="108"/>
  <c r="J91" i="108"/>
  <c r="K91" i="108"/>
  <c r="L91" i="108"/>
  <c r="M91" i="108"/>
  <c r="N91" i="108"/>
  <c r="D92" i="108"/>
  <c r="E92" i="108"/>
  <c r="E92" i="111" s="1"/>
  <c r="F92" i="108"/>
  <c r="G92" i="108"/>
  <c r="H92" i="108"/>
  <c r="I92" i="108"/>
  <c r="J92" i="108"/>
  <c r="K92" i="108"/>
  <c r="L92" i="108"/>
  <c r="M92" i="108"/>
  <c r="M92" i="111" s="1"/>
  <c r="N92" i="108"/>
  <c r="D93" i="108"/>
  <c r="E93" i="108"/>
  <c r="F93" i="108"/>
  <c r="G93" i="108"/>
  <c r="H93" i="108"/>
  <c r="I93" i="108"/>
  <c r="J93" i="108"/>
  <c r="J93" i="111" s="1"/>
  <c r="K93" i="108"/>
  <c r="L93" i="108"/>
  <c r="M93" i="108"/>
  <c r="N93" i="108"/>
  <c r="D94" i="108"/>
  <c r="E94" i="108"/>
  <c r="F94" i="108"/>
  <c r="G94" i="108"/>
  <c r="G94" i="111" s="1"/>
  <c r="H94" i="108"/>
  <c r="I94" i="108"/>
  <c r="J94" i="108"/>
  <c r="K94" i="108"/>
  <c r="L94" i="108"/>
  <c r="M94" i="108"/>
  <c r="N94" i="108"/>
  <c r="D95" i="108"/>
  <c r="D95" i="111" s="1"/>
  <c r="E95" i="108"/>
  <c r="F95" i="108"/>
  <c r="G95" i="108"/>
  <c r="H95" i="108"/>
  <c r="I95" i="108"/>
  <c r="J95" i="108"/>
  <c r="K95" i="108"/>
  <c r="L95" i="108"/>
  <c r="L95" i="111" s="1"/>
  <c r="M95" i="108"/>
  <c r="N95" i="108"/>
  <c r="D96" i="108"/>
  <c r="E96" i="108"/>
  <c r="F96" i="108"/>
  <c r="G96" i="108"/>
  <c r="H96" i="108"/>
  <c r="I96" i="108"/>
  <c r="I96" i="111" s="1"/>
  <c r="J96" i="108"/>
  <c r="K96" i="108"/>
  <c r="L96" i="108"/>
  <c r="M96" i="108"/>
  <c r="N96" i="108"/>
  <c r="D97" i="108"/>
  <c r="E97" i="108"/>
  <c r="F97" i="108"/>
  <c r="F97" i="111" s="1"/>
  <c r="G97" i="108"/>
  <c r="H97" i="108"/>
  <c r="I97" i="108"/>
  <c r="J97" i="108"/>
  <c r="K97" i="108"/>
  <c r="L97" i="108"/>
  <c r="M97" i="108"/>
  <c r="N97" i="108"/>
  <c r="N97" i="111" s="1"/>
  <c r="D98" i="108"/>
  <c r="E98" i="108"/>
  <c r="F98" i="108"/>
  <c r="G98" i="108"/>
  <c r="H98" i="108"/>
  <c r="I98" i="108"/>
  <c r="J98" i="108"/>
  <c r="K98" i="108"/>
  <c r="K98" i="111" s="1"/>
  <c r="L98" i="108"/>
  <c r="M98" i="108"/>
  <c r="N98" i="108"/>
  <c r="D99" i="108"/>
  <c r="E99" i="108"/>
  <c r="F99" i="108"/>
  <c r="G99" i="108"/>
  <c r="H99" i="108"/>
  <c r="H99" i="111" s="1"/>
  <c r="I99" i="108"/>
  <c r="J99" i="108"/>
  <c r="K99" i="108"/>
  <c r="L99" i="108"/>
  <c r="M99" i="108"/>
  <c r="N99" i="108"/>
  <c r="D100" i="108"/>
  <c r="E100" i="108"/>
  <c r="E100" i="111" s="1"/>
  <c r="F100" i="108"/>
  <c r="G100" i="108"/>
  <c r="H100" i="108"/>
  <c r="I100" i="108"/>
  <c r="J100" i="108"/>
  <c r="K100" i="108"/>
  <c r="L100" i="108"/>
  <c r="M100" i="108"/>
  <c r="M100" i="111" s="1"/>
  <c r="N100" i="108"/>
  <c r="D101" i="108"/>
  <c r="E101" i="108"/>
  <c r="F101" i="108"/>
  <c r="G101" i="108"/>
  <c r="H101" i="108"/>
  <c r="I101" i="108"/>
  <c r="J101" i="108"/>
  <c r="J101" i="111" s="1"/>
  <c r="K101" i="108"/>
  <c r="L101" i="108"/>
  <c r="M101" i="108"/>
  <c r="N101" i="108"/>
  <c r="D102" i="108"/>
  <c r="E102" i="108"/>
  <c r="F102" i="108"/>
  <c r="G102" i="108"/>
  <c r="G102" i="111" s="1"/>
  <c r="H102" i="108"/>
  <c r="I102" i="108"/>
  <c r="J102" i="108"/>
  <c r="K102" i="108"/>
  <c r="L102" i="108"/>
  <c r="M102" i="108"/>
  <c r="N102" i="108"/>
  <c r="D103" i="108"/>
  <c r="D103" i="111" s="1"/>
  <c r="E103" i="108"/>
  <c r="F103" i="108"/>
  <c r="G103" i="108"/>
  <c r="H103" i="108"/>
  <c r="I103" i="108"/>
  <c r="J103" i="108"/>
  <c r="K103" i="108"/>
  <c r="L103" i="108"/>
  <c r="L103" i="111" s="1"/>
  <c r="M103" i="108"/>
  <c r="N103" i="108"/>
  <c r="D104" i="108"/>
  <c r="E104" i="108"/>
  <c r="F104" i="108"/>
  <c r="G104" i="108"/>
  <c r="H104" i="108"/>
  <c r="I104" i="108"/>
  <c r="I104" i="111" s="1"/>
  <c r="J104" i="108"/>
  <c r="K104" i="108"/>
  <c r="L104" i="108"/>
  <c r="M104" i="108"/>
  <c r="N104" i="108"/>
  <c r="D105" i="108"/>
  <c r="E105" i="108"/>
  <c r="F105" i="108"/>
  <c r="F105" i="111" s="1"/>
  <c r="G105" i="108"/>
  <c r="H105" i="108"/>
  <c r="I105" i="108"/>
  <c r="J105" i="108"/>
  <c r="K105" i="108"/>
  <c r="L105" i="108"/>
  <c r="M105" i="108"/>
  <c r="N105" i="108"/>
  <c r="N105" i="111" s="1"/>
  <c r="C59" i="108"/>
  <c r="C60" i="108"/>
  <c r="C61" i="108"/>
  <c r="C62" i="108"/>
  <c r="C63" i="108"/>
  <c r="C64" i="108"/>
  <c r="C64" i="111" s="1"/>
  <c r="C65" i="108"/>
  <c r="C66" i="108"/>
  <c r="C67" i="108"/>
  <c r="C68" i="108"/>
  <c r="C69" i="108"/>
  <c r="C70" i="108"/>
  <c r="C71" i="108"/>
  <c r="C72" i="108"/>
  <c r="C72" i="111" s="1"/>
  <c r="C73" i="108"/>
  <c r="C74" i="108"/>
  <c r="C75" i="108"/>
  <c r="C76" i="108"/>
  <c r="C77" i="108"/>
  <c r="C78" i="108"/>
  <c r="C79" i="108"/>
  <c r="C80" i="108"/>
  <c r="C80" i="111" s="1"/>
  <c r="C81" i="108"/>
  <c r="C82" i="108"/>
  <c r="C83" i="108"/>
  <c r="C84" i="108"/>
  <c r="C85" i="108"/>
  <c r="C86" i="108"/>
  <c r="C87" i="108"/>
  <c r="C88" i="108"/>
  <c r="C88" i="111" s="1"/>
  <c r="C89" i="108"/>
  <c r="C90" i="108"/>
  <c r="C91" i="108"/>
  <c r="C92" i="108"/>
  <c r="C93" i="108"/>
  <c r="C94" i="108"/>
  <c r="C95" i="108"/>
  <c r="C96" i="108"/>
  <c r="C96" i="111" s="1"/>
  <c r="C97" i="108"/>
  <c r="C98" i="108"/>
  <c r="C99" i="108"/>
  <c r="C100" i="108"/>
  <c r="C101" i="108"/>
  <c r="C102" i="108"/>
  <c r="C103" i="108"/>
  <c r="C104" i="108"/>
  <c r="C104" i="111" s="1"/>
  <c r="C105" i="108"/>
  <c r="C58" i="108"/>
  <c r="K106" i="107"/>
  <c r="F106" i="108"/>
  <c r="N106" i="108"/>
  <c r="O106" i="108"/>
  <c r="D58" i="111"/>
  <c r="E58" i="111"/>
  <c r="F58" i="111"/>
  <c r="G58" i="111"/>
  <c r="H58" i="111"/>
  <c r="I58" i="111"/>
  <c r="J58" i="111"/>
  <c r="L58" i="111"/>
  <c r="M58" i="111"/>
  <c r="N58" i="111"/>
  <c r="D59" i="111"/>
  <c r="E59" i="111"/>
  <c r="F59" i="111"/>
  <c r="G59" i="111"/>
  <c r="I59" i="111"/>
  <c r="J59" i="111"/>
  <c r="K59" i="111"/>
  <c r="L59" i="111"/>
  <c r="M59" i="111"/>
  <c r="N59" i="111"/>
  <c r="D60" i="111"/>
  <c r="F60" i="111"/>
  <c r="G60" i="111"/>
  <c r="H60" i="111"/>
  <c r="I60" i="111"/>
  <c r="J60" i="111"/>
  <c r="K60" i="111"/>
  <c r="L60" i="111"/>
  <c r="N60" i="111"/>
  <c r="D61" i="111"/>
  <c r="E61" i="111"/>
  <c r="F61" i="111"/>
  <c r="G61" i="111"/>
  <c r="H61" i="111"/>
  <c r="I61" i="111"/>
  <c r="K61" i="111"/>
  <c r="L61" i="111"/>
  <c r="M61" i="111"/>
  <c r="N61" i="111"/>
  <c r="D62" i="111"/>
  <c r="E62" i="111"/>
  <c r="F62" i="111"/>
  <c r="H62" i="111"/>
  <c r="I62" i="111"/>
  <c r="J62" i="111"/>
  <c r="K62" i="111"/>
  <c r="L62" i="111"/>
  <c r="M62" i="111"/>
  <c r="N62" i="111"/>
  <c r="E63" i="111"/>
  <c r="F63" i="111"/>
  <c r="G63" i="111"/>
  <c r="H63" i="111"/>
  <c r="I63" i="111"/>
  <c r="J63" i="111"/>
  <c r="K63" i="111"/>
  <c r="M63" i="111"/>
  <c r="N63" i="111"/>
  <c r="D64" i="111"/>
  <c r="E64" i="111"/>
  <c r="F64" i="111"/>
  <c r="G64" i="111"/>
  <c r="H64" i="111"/>
  <c r="J64" i="111"/>
  <c r="K64" i="111"/>
  <c r="L64" i="111"/>
  <c r="M64" i="111"/>
  <c r="N64" i="111"/>
  <c r="D65" i="111"/>
  <c r="E65" i="111"/>
  <c r="G65" i="111"/>
  <c r="H65" i="111"/>
  <c r="I65" i="111"/>
  <c r="J65" i="111"/>
  <c r="K65" i="111"/>
  <c r="L65" i="111"/>
  <c r="M65" i="111"/>
  <c r="D66" i="111"/>
  <c r="E66" i="111"/>
  <c r="F66" i="111"/>
  <c r="G66" i="111"/>
  <c r="H66" i="111"/>
  <c r="I66" i="111"/>
  <c r="J66" i="111"/>
  <c r="L66" i="111"/>
  <c r="M66" i="111"/>
  <c r="N66" i="111"/>
  <c r="D67" i="111"/>
  <c r="E67" i="111"/>
  <c r="F67" i="111"/>
  <c r="G67" i="111"/>
  <c r="I67" i="111"/>
  <c r="J67" i="111"/>
  <c r="K67" i="111"/>
  <c r="L67" i="111"/>
  <c r="M67" i="111"/>
  <c r="N67" i="111"/>
  <c r="D68" i="111"/>
  <c r="F68" i="111"/>
  <c r="G68" i="111"/>
  <c r="H68" i="111"/>
  <c r="I68" i="111"/>
  <c r="J68" i="111"/>
  <c r="K68" i="111"/>
  <c r="L68" i="111"/>
  <c r="N68" i="111"/>
  <c r="D69" i="111"/>
  <c r="E69" i="111"/>
  <c r="F69" i="111"/>
  <c r="G69" i="111"/>
  <c r="H69" i="111"/>
  <c r="I69" i="111"/>
  <c r="K69" i="111"/>
  <c r="L69" i="111"/>
  <c r="M69" i="111"/>
  <c r="N69" i="111"/>
  <c r="D70" i="111"/>
  <c r="E70" i="111"/>
  <c r="F70" i="111"/>
  <c r="H70" i="111"/>
  <c r="I70" i="111"/>
  <c r="J70" i="111"/>
  <c r="K70" i="111"/>
  <c r="L70" i="111"/>
  <c r="M70" i="111"/>
  <c r="N70" i="111"/>
  <c r="E71" i="111"/>
  <c r="F71" i="111"/>
  <c r="G71" i="111"/>
  <c r="H71" i="111"/>
  <c r="I71" i="111"/>
  <c r="J71" i="111"/>
  <c r="K71" i="111"/>
  <c r="M71" i="111"/>
  <c r="N71" i="111"/>
  <c r="D72" i="111"/>
  <c r="E72" i="111"/>
  <c r="F72" i="111"/>
  <c r="G72" i="111"/>
  <c r="H72" i="111"/>
  <c r="J72" i="111"/>
  <c r="K72" i="111"/>
  <c r="L72" i="111"/>
  <c r="M72" i="111"/>
  <c r="N72" i="111"/>
  <c r="D73" i="111"/>
  <c r="E73" i="111"/>
  <c r="G73" i="111"/>
  <c r="H73" i="111"/>
  <c r="I73" i="111"/>
  <c r="J73" i="111"/>
  <c r="K73" i="111"/>
  <c r="L73" i="111"/>
  <c r="M73" i="111"/>
  <c r="D74" i="111"/>
  <c r="E74" i="111"/>
  <c r="F74" i="111"/>
  <c r="G74" i="111"/>
  <c r="H74" i="111"/>
  <c r="I74" i="111"/>
  <c r="J74" i="111"/>
  <c r="L74" i="111"/>
  <c r="M74" i="111"/>
  <c r="N74" i="111"/>
  <c r="D75" i="111"/>
  <c r="E75" i="111"/>
  <c r="F75" i="111"/>
  <c r="G75" i="111"/>
  <c r="I75" i="111"/>
  <c r="J75" i="111"/>
  <c r="K75" i="111"/>
  <c r="L75" i="111"/>
  <c r="M75" i="111"/>
  <c r="N75" i="111"/>
  <c r="D76" i="111"/>
  <c r="F76" i="111"/>
  <c r="G76" i="111"/>
  <c r="H76" i="111"/>
  <c r="I76" i="111"/>
  <c r="J76" i="111"/>
  <c r="K76" i="111"/>
  <c r="L76" i="111"/>
  <c r="N76" i="111"/>
  <c r="D77" i="111"/>
  <c r="E77" i="111"/>
  <c r="F77" i="111"/>
  <c r="G77" i="111"/>
  <c r="H77" i="111"/>
  <c r="I77" i="111"/>
  <c r="K77" i="111"/>
  <c r="L77" i="111"/>
  <c r="M77" i="111"/>
  <c r="N77" i="111"/>
  <c r="D78" i="111"/>
  <c r="E78" i="111"/>
  <c r="F78" i="111"/>
  <c r="H78" i="111"/>
  <c r="I78" i="111"/>
  <c r="J78" i="111"/>
  <c r="K78" i="111"/>
  <c r="L78" i="111"/>
  <c r="M78" i="111"/>
  <c r="N78" i="111"/>
  <c r="E79" i="111"/>
  <c r="F79" i="111"/>
  <c r="G79" i="111"/>
  <c r="H79" i="111"/>
  <c r="I79" i="111"/>
  <c r="J79" i="111"/>
  <c r="K79" i="111"/>
  <c r="M79" i="111"/>
  <c r="N79" i="111"/>
  <c r="D80" i="111"/>
  <c r="E80" i="111"/>
  <c r="F80" i="111"/>
  <c r="G80" i="111"/>
  <c r="H80" i="111"/>
  <c r="J80" i="111"/>
  <c r="K80" i="111"/>
  <c r="L80" i="111"/>
  <c r="M80" i="111"/>
  <c r="N80" i="111"/>
  <c r="D81" i="111"/>
  <c r="E81" i="111"/>
  <c r="G81" i="111"/>
  <c r="H81" i="111"/>
  <c r="I81" i="111"/>
  <c r="J81" i="111"/>
  <c r="K81" i="111"/>
  <c r="L81" i="111"/>
  <c r="M81" i="111"/>
  <c r="D82" i="111"/>
  <c r="E82" i="111"/>
  <c r="F82" i="111"/>
  <c r="G82" i="111"/>
  <c r="H82" i="111"/>
  <c r="I82" i="111"/>
  <c r="J82" i="111"/>
  <c r="L82" i="111"/>
  <c r="M82" i="111"/>
  <c r="N82" i="111"/>
  <c r="D83" i="111"/>
  <c r="E83" i="111"/>
  <c r="F83" i="111"/>
  <c r="G83" i="111"/>
  <c r="I83" i="111"/>
  <c r="J83" i="111"/>
  <c r="K83" i="111"/>
  <c r="L83" i="111"/>
  <c r="M83" i="111"/>
  <c r="N83" i="111"/>
  <c r="D84" i="111"/>
  <c r="F84" i="111"/>
  <c r="G84" i="111"/>
  <c r="H84" i="111"/>
  <c r="I84" i="111"/>
  <c r="J84" i="111"/>
  <c r="K84" i="111"/>
  <c r="L84" i="111"/>
  <c r="N84" i="111"/>
  <c r="D85" i="111"/>
  <c r="E85" i="111"/>
  <c r="F85" i="111"/>
  <c r="G85" i="111"/>
  <c r="H85" i="111"/>
  <c r="I85" i="111"/>
  <c r="K85" i="111"/>
  <c r="L85" i="111"/>
  <c r="M85" i="111"/>
  <c r="N85" i="111"/>
  <c r="D86" i="111"/>
  <c r="E86" i="111"/>
  <c r="F86" i="111"/>
  <c r="H86" i="111"/>
  <c r="I86" i="111"/>
  <c r="J86" i="111"/>
  <c r="K86" i="111"/>
  <c r="L86" i="111"/>
  <c r="M86" i="111"/>
  <c r="N86" i="111"/>
  <c r="E87" i="111"/>
  <c r="F87" i="111"/>
  <c r="G87" i="111"/>
  <c r="H87" i="111"/>
  <c r="I87" i="111"/>
  <c r="J87" i="111"/>
  <c r="K87" i="111"/>
  <c r="M87" i="111"/>
  <c r="N87" i="111"/>
  <c r="D88" i="111"/>
  <c r="E88" i="111"/>
  <c r="F88" i="111"/>
  <c r="G88" i="111"/>
  <c r="H88" i="111"/>
  <c r="J88" i="111"/>
  <c r="K88" i="111"/>
  <c r="L88" i="111"/>
  <c r="M88" i="111"/>
  <c r="N88" i="111"/>
  <c r="D89" i="111"/>
  <c r="E89" i="111"/>
  <c r="G89" i="111"/>
  <c r="H89" i="111"/>
  <c r="I89" i="111"/>
  <c r="J89" i="111"/>
  <c r="K89" i="111"/>
  <c r="L89" i="111"/>
  <c r="M89" i="111"/>
  <c r="D90" i="111"/>
  <c r="E90" i="111"/>
  <c r="F90" i="111"/>
  <c r="G90" i="111"/>
  <c r="H90" i="111"/>
  <c r="I90" i="111"/>
  <c r="J90" i="111"/>
  <c r="L90" i="111"/>
  <c r="M90" i="111"/>
  <c r="N90" i="111"/>
  <c r="D91" i="111"/>
  <c r="E91" i="111"/>
  <c r="F91" i="111"/>
  <c r="G91" i="111"/>
  <c r="I91" i="111"/>
  <c r="J91" i="111"/>
  <c r="K91" i="111"/>
  <c r="L91" i="111"/>
  <c r="M91" i="111"/>
  <c r="N91" i="111"/>
  <c r="D92" i="111"/>
  <c r="F92" i="111"/>
  <c r="G92" i="111"/>
  <c r="H92" i="111"/>
  <c r="I92" i="111"/>
  <c r="J92" i="111"/>
  <c r="K92" i="111"/>
  <c r="L92" i="111"/>
  <c r="N92" i="111"/>
  <c r="D93" i="111"/>
  <c r="E93" i="111"/>
  <c r="F93" i="111"/>
  <c r="G93" i="111"/>
  <c r="H93" i="111"/>
  <c r="I93" i="111"/>
  <c r="K93" i="111"/>
  <c r="L93" i="111"/>
  <c r="M93" i="111"/>
  <c r="N93" i="111"/>
  <c r="D94" i="111"/>
  <c r="E94" i="111"/>
  <c r="F94" i="111"/>
  <c r="H94" i="111"/>
  <c r="I94" i="111"/>
  <c r="J94" i="111"/>
  <c r="K94" i="111"/>
  <c r="L94" i="111"/>
  <c r="M94" i="111"/>
  <c r="N94" i="111"/>
  <c r="E95" i="111"/>
  <c r="F95" i="111"/>
  <c r="G95" i="111"/>
  <c r="H95" i="111"/>
  <c r="I95" i="111"/>
  <c r="J95" i="111"/>
  <c r="K95" i="111"/>
  <c r="M95" i="111"/>
  <c r="N95" i="111"/>
  <c r="D96" i="111"/>
  <c r="E96" i="111"/>
  <c r="F96" i="111"/>
  <c r="G96" i="111"/>
  <c r="H96" i="111"/>
  <c r="J96" i="111"/>
  <c r="K96" i="111"/>
  <c r="L96" i="111"/>
  <c r="M96" i="111"/>
  <c r="N96" i="111"/>
  <c r="D97" i="111"/>
  <c r="E97" i="111"/>
  <c r="G97" i="111"/>
  <c r="H97" i="111"/>
  <c r="I97" i="111"/>
  <c r="J97" i="111"/>
  <c r="K97" i="111"/>
  <c r="L97" i="111"/>
  <c r="M97" i="111"/>
  <c r="D98" i="111"/>
  <c r="E98" i="111"/>
  <c r="F98" i="111"/>
  <c r="G98" i="111"/>
  <c r="H98" i="111"/>
  <c r="I98" i="111"/>
  <c r="J98" i="111"/>
  <c r="L98" i="111"/>
  <c r="M98" i="111"/>
  <c r="N98" i="111"/>
  <c r="D99" i="111"/>
  <c r="E99" i="111"/>
  <c r="F99" i="111"/>
  <c r="G99" i="111"/>
  <c r="I99" i="111"/>
  <c r="J99" i="111"/>
  <c r="K99" i="111"/>
  <c r="L99" i="111"/>
  <c r="M99" i="111"/>
  <c r="N99" i="111"/>
  <c r="D100" i="111"/>
  <c r="F100" i="111"/>
  <c r="G100" i="111"/>
  <c r="H100" i="111"/>
  <c r="I100" i="111"/>
  <c r="J100" i="111"/>
  <c r="K100" i="111"/>
  <c r="L100" i="111"/>
  <c r="N100" i="111"/>
  <c r="D101" i="111"/>
  <c r="E101" i="111"/>
  <c r="F101" i="111"/>
  <c r="G101" i="111"/>
  <c r="H101" i="111"/>
  <c r="I101" i="111"/>
  <c r="K101" i="111"/>
  <c r="L101" i="111"/>
  <c r="M101" i="111"/>
  <c r="N101" i="111"/>
  <c r="D102" i="111"/>
  <c r="E102" i="111"/>
  <c r="F102" i="111"/>
  <c r="H102" i="111"/>
  <c r="I102" i="111"/>
  <c r="J102" i="111"/>
  <c r="K102" i="111"/>
  <c r="L102" i="111"/>
  <c r="M102" i="111"/>
  <c r="N102" i="111"/>
  <c r="E103" i="111"/>
  <c r="F103" i="111"/>
  <c r="G103" i="111"/>
  <c r="H103" i="111"/>
  <c r="I103" i="111"/>
  <c r="J103" i="111"/>
  <c r="K103" i="111"/>
  <c r="M103" i="111"/>
  <c r="N103" i="111"/>
  <c r="D104" i="111"/>
  <c r="E104" i="111"/>
  <c r="F104" i="111"/>
  <c r="G104" i="111"/>
  <c r="H104" i="111"/>
  <c r="J104" i="111"/>
  <c r="K104" i="111"/>
  <c r="L104" i="111"/>
  <c r="M104" i="111"/>
  <c r="N104" i="111"/>
  <c r="D105" i="111"/>
  <c r="E105" i="111"/>
  <c r="G105" i="111"/>
  <c r="H105" i="111"/>
  <c r="I105" i="111"/>
  <c r="J105" i="111"/>
  <c r="K105" i="111"/>
  <c r="L105" i="111"/>
  <c r="M105" i="111"/>
  <c r="C59" i="111"/>
  <c r="C60" i="111"/>
  <c r="C61" i="111"/>
  <c r="C62" i="111"/>
  <c r="C63" i="111"/>
  <c r="C65" i="111"/>
  <c r="C67" i="111"/>
  <c r="C68" i="111"/>
  <c r="C69" i="111"/>
  <c r="C70" i="111"/>
  <c r="C71" i="111"/>
  <c r="C73" i="111"/>
  <c r="C75" i="111"/>
  <c r="C76" i="111"/>
  <c r="C77" i="111"/>
  <c r="C78" i="111"/>
  <c r="C79" i="111"/>
  <c r="C81" i="111"/>
  <c r="C83" i="111"/>
  <c r="C84" i="111"/>
  <c r="C85" i="111"/>
  <c r="C86" i="111"/>
  <c r="C87" i="111"/>
  <c r="C89" i="111"/>
  <c r="C91" i="111"/>
  <c r="C92" i="111"/>
  <c r="C93" i="111"/>
  <c r="C94" i="111"/>
  <c r="C95" i="111"/>
  <c r="C97" i="111"/>
  <c r="C99" i="111"/>
  <c r="C100" i="111"/>
  <c r="C101" i="111"/>
  <c r="C102" i="111"/>
  <c r="C103" i="111"/>
  <c r="C105" i="111"/>
  <c r="C106" i="107"/>
  <c r="Z34" i="108" l="1"/>
  <c r="T35" i="108"/>
  <c r="AB35" i="108"/>
  <c r="V36" i="108"/>
  <c r="AD36" i="108"/>
  <c r="X37" i="108"/>
  <c r="AF37" i="108"/>
  <c r="Z38" i="108"/>
  <c r="T39" i="108"/>
  <c r="AB39" i="108"/>
  <c r="V40" i="108"/>
  <c r="V42" i="108" s="1"/>
  <c r="AD40" i="108"/>
  <c r="AD42" i="108" s="1"/>
  <c r="X41" i="108"/>
  <c r="X42" i="108" s="1"/>
  <c r="AF41" i="108"/>
  <c r="AF42" i="108" s="1"/>
  <c r="AE41" i="108"/>
  <c r="AE42" i="108" s="1"/>
  <c r="S34" i="108"/>
  <c r="AA34" i="108"/>
  <c r="U35" i="108"/>
  <c r="AC35" i="108"/>
  <c r="W36" i="108"/>
  <c r="AE36" i="108"/>
  <c r="Y37" i="108"/>
  <c r="W40" i="108"/>
  <c r="AE40" i="108"/>
  <c r="Y41" i="108"/>
  <c r="W41" i="108"/>
  <c r="T34" i="108"/>
  <c r="AB34" i="108"/>
  <c r="V35" i="108"/>
  <c r="AD35" i="108"/>
  <c r="X36" i="108"/>
  <c r="AF36" i="108"/>
  <c r="Z37" i="108"/>
  <c r="X40" i="108"/>
  <c r="AF40" i="108"/>
  <c r="Z41" i="108"/>
  <c r="Z42" i="108" s="1"/>
  <c r="U34" i="108"/>
  <c r="AC34" i="108"/>
  <c r="W35" i="108"/>
  <c r="AE35" i="108"/>
  <c r="Y36" i="108"/>
  <c r="S37" i="108"/>
  <c r="AA37" i="108"/>
  <c r="Y40" i="108"/>
  <c r="S41" i="108"/>
  <c r="S42" i="108" s="1"/>
  <c r="AA41" i="108"/>
  <c r="AA42" i="108" s="1"/>
  <c r="V34" i="108"/>
  <c r="AD34" i="108"/>
  <c r="X35" i="108"/>
  <c r="AF35" i="108"/>
  <c r="Z36" i="108"/>
  <c r="T37" i="108"/>
  <c r="AB37" i="108"/>
  <c r="T41" i="108"/>
  <c r="T42" i="108" s="1"/>
  <c r="AB41" i="108"/>
  <c r="AB42" i="108" s="1"/>
  <c r="AA39" i="108"/>
  <c r="S36" i="108"/>
  <c r="U37" i="108"/>
  <c r="AC37" i="108"/>
  <c r="V37" i="108"/>
  <c r="AD37" i="108"/>
  <c r="Z34" i="107"/>
  <c r="T35" i="107"/>
  <c r="AB35" i="107"/>
  <c r="V36" i="107"/>
  <c r="AD36" i="107"/>
  <c r="X37" i="107"/>
  <c r="AF37" i="107"/>
  <c r="V40" i="107"/>
  <c r="V42" i="107" s="1"/>
  <c r="AD40" i="107"/>
  <c r="AD42" i="107" s="1"/>
  <c r="X41" i="107"/>
  <c r="AF41" i="107"/>
  <c r="Y34" i="107"/>
  <c r="AE41" i="107"/>
  <c r="AE42" i="107" s="1"/>
  <c r="S34" i="107"/>
  <c r="AA34" i="107"/>
  <c r="Y37" i="107"/>
  <c r="W40" i="107"/>
  <c r="AE40" i="107"/>
  <c r="Y41" i="107"/>
  <c r="Y42" i="107" s="1"/>
  <c r="W41" i="107"/>
  <c r="T34" i="107"/>
  <c r="AB34" i="107"/>
  <c r="V35" i="107"/>
  <c r="AD35" i="107"/>
  <c r="X36" i="107"/>
  <c r="AF36" i="107"/>
  <c r="Z37" i="107"/>
  <c r="X40" i="107"/>
  <c r="AF40" i="107"/>
  <c r="Z41" i="107"/>
  <c r="Z42" i="107" s="1"/>
  <c r="U34" i="107"/>
  <c r="AC34" i="107"/>
  <c r="W35" i="107"/>
  <c r="AE35" i="107"/>
  <c r="Y36" i="107"/>
  <c r="S37" i="107"/>
  <c r="AA37" i="107"/>
  <c r="S41" i="107"/>
  <c r="S42" i="107" s="1"/>
  <c r="AA41" i="107"/>
  <c r="AA42" i="107" s="1"/>
  <c r="AA39" i="107"/>
  <c r="V34" i="107"/>
  <c r="AD34" i="107"/>
  <c r="X35" i="107"/>
  <c r="AF35" i="107"/>
  <c r="Z36" i="107"/>
  <c r="T37" i="107"/>
  <c r="AB37" i="107"/>
  <c r="T41" i="107"/>
  <c r="T42" i="107" s="1"/>
  <c r="AB41" i="107"/>
  <c r="AB42" i="107" s="1"/>
  <c r="S39" i="107"/>
  <c r="U37" i="107"/>
  <c r="AC37" i="107"/>
  <c r="V37" i="107"/>
  <c r="AD37" i="107"/>
  <c r="U42" i="111"/>
  <c r="S34" i="111"/>
  <c r="U39" i="111"/>
  <c r="AB34" i="111"/>
  <c r="V39" i="111"/>
  <c r="Y34" i="111"/>
  <c r="AC36" i="111"/>
  <c r="W37" i="111"/>
  <c r="AE37" i="111"/>
  <c r="Y38" i="111"/>
  <c r="S39" i="111"/>
  <c r="AA39" i="111"/>
  <c r="U40" i="111"/>
  <c r="AC40" i="111"/>
  <c r="AC42" i="111" s="1"/>
  <c r="W41" i="111"/>
  <c r="W42" i="111" s="1"/>
  <c r="AE41" i="111"/>
  <c r="AE42" i="111" s="1"/>
  <c r="AD39" i="111"/>
  <c r="Z34" i="111"/>
  <c r="X37" i="111"/>
  <c r="AF37" i="111"/>
  <c r="Z38" i="111"/>
  <c r="T39" i="111"/>
  <c r="AB39" i="111"/>
  <c r="V40" i="111"/>
  <c r="V42" i="111" s="1"/>
  <c r="AD40" i="111"/>
  <c r="AD42" i="111" s="1"/>
  <c r="X41" i="111"/>
  <c r="X42" i="111" s="1"/>
  <c r="AF41" i="111"/>
  <c r="AF42" i="111" s="1"/>
  <c r="T34" i="111"/>
  <c r="U34" i="111"/>
  <c r="AC34" i="111"/>
  <c r="W35" i="111"/>
  <c r="AE35" i="111"/>
  <c r="Y36" i="111"/>
  <c r="S37" i="111"/>
  <c r="AA37" i="111"/>
  <c r="S41" i="111"/>
  <c r="S42" i="111" s="1"/>
  <c r="AA41" i="111"/>
  <c r="AA42" i="111" s="1"/>
  <c r="Z41" i="111"/>
  <c r="Z42" i="111" s="1"/>
  <c r="V34" i="111"/>
  <c r="AD34" i="111"/>
  <c r="X35" i="111"/>
  <c r="AF35" i="111"/>
  <c r="Z36" i="111"/>
  <c r="T37" i="111"/>
  <c r="AB37" i="111"/>
  <c r="T41" i="111"/>
  <c r="T42" i="111" s="1"/>
  <c r="AB41" i="111"/>
  <c r="AB42" i="111" s="1"/>
  <c r="AA34" i="111"/>
  <c r="Y41" i="111"/>
  <c r="Y42" i="111" s="1"/>
  <c r="U37" i="111"/>
  <c r="AC37" i="111"/>
  <c r="V37" i="111"/>
  <c r="AD37" i="111"/>
  <c r="O76" i="111"/>
  <c r="J106" i="111"/>
  <c r="O91" i="111"/>
  <c r="O86" i="111"/>
  <c r="P74" i="111"/>
  <c r="O78" i="111"/>
  <c r="O68" i="111"/>
  <c r="I106" i="111"/>
  <c r="K106" i="111"/>
  <c r="O100" i="111"/>
  <c r="O99" i="111"/>
  <c r="O70" i="111"/>
  <c r="P66" i="111"/>
  <c r="P90" i="111"/>
  <c r="P75" i="111"/>
  <c r="O60" i="111"/>
  <c r="O94" i="111"/>
  <c r="O84" i="111"/>
  <c r="F106" i="111"/>
  <c r="O83" i="111"/>
  <c r="E106" i="111"/>
  <c r="P98" i="111"/>
  <c r="P67" i="111"/>
  <c r="O102" i="111"/>
  <c r="O92" i="111"/>
  <c r="M106" i="111"/>
  <c r="D106" i="111"/>
  <c r="N106" i="111"/>
  <c r="P82" i="111"/>
  <c r="O67" i="111"/>
  <c r="L106" i="111"/>
  <c r="P92" i="111"/>
  <c r="P100" i="111"/>
  <c r="O82" i="111"/>
  <c r="O73" i="111"/>
  <c r="O63" i="111"/>
  <c r="O75" i="111"/>
  <c r="M106" i="108"/>
  <c r="E106" i="108"/>
  <c r="O101" i="111"/>
  <c r="O90" i="111"/>
  <c r="O81" i="111"/>
  <c r="O71" i="111"/>
  <c r="P91" i="111"/>
  <c r="L106" i="108"/>
  <c r="D106" i="108"/>
  <c r="O74" i="111"/>
  <c r="P99" i="111"/>
  <c r="O98" i="111"/>
  <c r="O89" i="111"/>
  <c r="O79" i="111"/>
  <c r="P70" i="111"/>
  <c r="O61" i="111"/>
  <c r="K106" i="108"/>
  <c r="O65" i="111"/>
  <c r="O97" i="111"/>
  <c r="O87" i="111"/>
  <c r="P78" i="111"/>
  <c r="O69" i="111"/>
  <c r="P60" i="111"/>
  <c r="P83" i="111"/>
  <c r="J106" i="108"/>
  <c r="O105" i="111"/>
  <c r="O95" i="111"/>
  <c r="P86" i="111"/>
  <c r="O77" i="111"/>
  <c r="P68" i="111"/>
  <c r="I106" i="108"/>
  <c r="O103" i="111"/>
  <c r="P94" i="111"/>
  <c r="O85" i="111"/>
  <c r="P76" i="111"/>
  <c r="G62" i="111"/>
  <c r="P62" i="111" s="1"/>
  <c r="H59" i="111"/>
  <c r="H106" i="111" s="1"/>
  <c r="P102" i="111"/>
  <c r="O93" i="111"/>
  <c r="P84" i="111"/>
  <c r="O66" i="111"/>
  <c r="O104" i="111"/>
  <c r="P104" i="111"/>
  <c r="O96" i="111"/>
  <c r="P96" i="111"/>
  <c r="O88" i="111"/>
  <c r="P88" i="111"/>
  <c r="O80" i="111"/>
  <c r="P80" i="111"/>
  <c r="O72" i="111"/>
  <c r="P72" i="111"/>
  <c r="O64" i="111"/>
  <c r="P64" i="111"/>
  <c r="P101" i="111"/>
  <c r="P93" i="111"/>
  <c r="P85" i="111"/>
  <c r="P77" i="111"/>
  <c r="P69" i="111"/>
  <c r="P61" i="111"/>
  <c r="C106" i="108"/>
  <c r="P105" i="111"/>
  <c r="P97" i="111"/>
  <c r="P89" i="111"/>
  <c r="P81" i="111"/>
  <c r="P73" i="111"/>
  <c r="P65" i="111"/>
  <c r="P103" i="111"/>
  <c r="P95" i="111"/>
  <c r="P87" i="111"/>
  <c r="P79" i="111"/>
  <c r="P71" i="111"/>
  <c r="P63" i="111"/>
  <c r="C58" i="111"/>
  <c r="O48" i="104"/>
  <c r="D5" i="104"/>
  <c r="D5" i="100"/>
  <c r="W42" i="108" l="1"/>
  <c r="Y42" i="108"/>
  <c r="W42" i="107"/>
  <c r="AF42" i="107"/>
  <c r="X42" i="107"/>
  <c r="O59" i="111"/>
  <c r="G106" i="111"/>
  <c r="P59" i="111"/>
  <c r="O62" i="111"/>
  <c r="C106" i="111"/>
  <c r="O58" i="111"/>
  <c r="O106" i="111" s="1"/>
  <c r="P58" i="111"/>
  <c r="P106" i="111" s="1"/>
  <c r="O16" i="104"/>
  <c r="P16" i="104"/>
  <c r="S16" i="104"/>
  <c r="T16" i="104"/>
  <c r="V16" i="104"/>
  <c r="W16" i="104"/>
  <c r="O57" i="105"/>
  <c r="P57" i="105"/>
  <c r="K6" i="99"/>
  <c r="O51" i="94"/>
  <c r="P33" i="93"/>
  <c r="C3" i="94" l="1"/>
  <c r="K6" i="98" l="1"/>
  <c r="K6" i="100" s="1"/>
  <c r="K6" i="101" s="1"/>
  <c r="K6" i="109" s="1"/>
  <c r="K6" i="105" s="1"/>
  <c r="K6" i="110" s="1"/>
  <c r="K6" i="103" s="1"/>
  <c r="K5" i="103"/>
  <c r="G5" i="98"/>
  <c r="G5" i="99" s="1"/>
  <c r="G5" i="100" s="1"/>
  <c r="G5" i="101" s="1"/>
  <c r="G5" i="109" s="1"/>
  <c r="G5" i="105" s="1"/>
  <c r="G5" i="110" s="1"/>
  <c r="G5" i="103" s="1"/>
  <c r="K6" i="97"/>
  <c r="G5" i="97"/>
  <c r="K6" i="96"/>
  <c r="G5" i="96"/>
  <c r="K6" i="95"/>
  <c r="K5" i="95"/>
  <c r="G5" i="95"/>
  <c r="K6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10"/>
  <c r="D5" i="109"/>
  <c r="D5" i="98"/>
  <c r="D5" i="96"/>
  <c r="D5" i="94"/>
  <c r="K5" i="104" l="1"/>
  <c r="K5" i="108" s="1"/>
  <c r="K5" i="111" s="1"/>
  <c r="K5" i="107"/>
  <c r="K6" i="107"/>
  <c r="K6" i="104"/>
  <c r="K6" i="108" s="1"/>
  <c r="K6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Y39" i="109" s="1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Z39" i="105" s="1"/>
  <c r="Y19" i="105"/>
  <c r="X19" i="105"/>
  <c r="X39" i="105" s="1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AA27" i="99" s="1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Z27" i="103" l="1"/>
  <c r="X26" i="98"/>
  <c r="AA26" i="95"/>
  <c r="AA39" i="101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U38" i="109" s="1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Y38" i="105" s="1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9" i="104"/>
  <c r="P20" i="104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AF28" i="101" l="1"/>
  <c r="X26" i="103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E24" i="98" l="1"/>
  <c r="S42" i="110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F107" i="105"/>
  <c r="E107" i="105"/>
  <c r="D107" i="105"/>
  <c r="C107" i="105"/>
  <c r="AF35" i="105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H108" i="108" l="1"/>
  <c r="H107" i="108"/>
  <c r="C107" i="107"/>
  <c r="H108" i="107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N107" i="111" l="1"/>
  <c r="K108" i="111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</calcChain>
</file>

<file path=xl/sharedStrings.xml><?xml version="1.0" encoding="utf-8"?>
<sst xmlns="http://schemas.openxmlformats.org/spreadsheetml/2006/main" count="2335" uniqueCount="186">
  <si>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</si>
  <si>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</si>
  <si>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</si>
  <si>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</si>
  <si>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</si>
  <si>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</si>
  <si>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</si>
  <si>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</si>
  <si>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</si>
  <si>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</si>
  <si>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</si>
  <si>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</si>
  <si>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</si>
  <si>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</si>
  <si>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</si>
  <si>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</si>
  <si>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</si>
  <si>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</si>
  <si>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</si>
  <si>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</si>
  <si>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</si>
  <si>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</si>
  <si>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</si>
  <si>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</si>
  <si>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</si>
  <si>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</si>
  <si>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</si>
  <si>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</si>
  <si>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</si>
  <si>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</si>
  <si>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</si>
  <si>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</si>
  <si>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</si>
  <si>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</si>
  <si>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</si>
  <si>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</si>
  <si>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</si>
  <si>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</si>
  <si>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</si>
  <si>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</si>
  <si>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</si>
  <si>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</si>
  <si>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</si>
  <si>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</si>
  <si>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</si>
  <si>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</si>
  <si>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</si>
  <si>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</si>
  <si>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</si>
  <si>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</si>
  <si>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</si>
  <si>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</si>
  <si>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</si>
  <si>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</si>
  <si>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</si>
  <si>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</si>
  <si>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</si>
  <si>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</si>
  <si>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</si>
  <si>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</si>
  <si>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</si>
  <si>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</si>
  <si>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</si>
  <si>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</si>
  <si>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</si>
  <si>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</si>
  <si>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</si>
  <si>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</si>
  <si>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</si>
  <si>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</si>
  <si>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</si>
  <si>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</si>
  <si>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</si>
  <si>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</si>
  <si>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</si>
  <si>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</si>
  <si>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</si>
  <si>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</si>
  <si>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</si>
  <si>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</si>
  <si>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</si>
  <si>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</si>
  <si>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</si>
  <si>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</si>
  <si>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</si>
  <si>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</si>
  <si>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</si>
  <si>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</si>
  <si>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</si>
  <si>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</si>
  <si>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</si>
  <si>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</si>
  <si>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</si>
  <si>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</si>
  <si>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</si>
  <si>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</si>
  <si>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</si>
  <si>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</si>
  <si>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</si>
  <si>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</si>
  <si>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</si>
  <si>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</si>
  <si>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</si>
  <si>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</si>
  <si>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</si>
  <si>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</si>
  <si>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</si>
  <si>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</si>
  <si>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</si>
  <si>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</si>
  <si>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</si>
  <si>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</si>
  <si>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</si>
  <si>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</si>
  <si>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</si>
  <si>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</si>
  <si>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</si>
  <si>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</si>
  <si>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</si>
  <si>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</si>
  <si>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</si>
  <si>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</si>
  <si>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</si>
  <si>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</si>
  <si>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</si>
  <si>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</si>
  <si>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</si>
  <si>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</si>
  <si>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</si>
  <si>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</si>
  <si>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</si>
  <si>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</si>
  <si>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</si>
  <si>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</si>
  <si>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</si>
  <si>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</si>
  <si>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</si>
  <si>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</si>
  <si>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</si>
  <si>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</si>
  <si>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</si>
  <si>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</si>
  <si>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</si>
  <si>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</si>
  <si>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</si>
  <si>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</si>
  <si>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</si>
  <si>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</si>
  <si>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</si>
  <si>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</si>
  <si>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</si>
  <si>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</si>
  <si>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</si>
  <si>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</si>
  <si>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</si>
  <si>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</si>
  <si>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</si>
  <si>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</si>
  <si>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</si>
  <si>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</si>
  <si>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</si>
  <si>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</si>
  <si>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</si>
  <si>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29.10.19</t>
  </si>
  <si>
    <t>Buloba Pop Oil</t>
  </si>
  <si>
    <t>Bujuko</t>
  </si>
  <si>
    <t>Nakiwuge A</t>
  </si>
  <si>
    <t>Godfrey</t>
  </si>
  <si>
    <t xml:space="preserve">Buloba </t>
  </si>
  <si>
    <t>Buloba</t>
  </si>
  <si>
    <t>Doreen</t>
  </si>
  <si>
    <t>MCC - C2 - STN62 - BUJUKO-BULOBA ROAD</t>
  </si>
  <si>
    <t>30.10.19</t>
  </si>
  <si>
    <t>31.10.19</t>
  </si>
  <si>
    <t>Susan, Nakizito</t>
  </si>
  <si>
    <t>Mukasa J, Doreen</t>
  </si>
  <si>
    <t>1.11.19</t>
  </si>
  <si>
    <t>Ritah</t>
  </si>
  <si>
    <t>2.11.19</t>
  </si>
  <si>
    <t>Suzan, Nakizito</t>
  </si>
  <si>
    <t>Doreen Geofrey</t>
  </si>
  <si>
    <t>3.11.19</t>
  </si>
  <si>
    <t>Mukasa</t>
  </si>
  <si>
    <t>4.11.19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</si>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</sst>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Bujuko-Buloba'!$AE$9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'29.10 Bujuko-Buloba'!$R$10:$R$21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Bujuko-Buloba'!$AE$10:$AE$21</c:f>
              <c:numCache>
                <c:formatCode>0</c:formatCode>
                <c:ptCount val="12"/>
                <c:pt idx="0">
                  <c:v>162</c:v>
                </c:pt>
                <c:pt idx="1">
                  <c:v>170</c:v>
                </c:pt>
                <c:pt idx="2">
                  <c:v>128</c:v>
                </c:pt>
                <c:pt idx="3">
                  <c:v>149</c:v>
                </c:pt>
                <c:pt idx="4">
                  <c:v>174</c:v>
                </c:pt>
                <c:pt idx="5">
                  <c:v>147</c:v>
                </c:pt>
                <c:pt idx="6">
                  <c:v>204</c:v>
                </c:pt>
                <c:pt idx="7">
                  <c:v>182</c:v>
                </c:pt>
                <c:pt idx="8">
                  <c:v>223</c:v>
                </c:pt>
                <c:pt idx="9">
                  <c:v>231</c:v>
                </c:pt>
                <c:pt idx="10">
                  <c:v>239</c:v>
                </c:pt>
                <c:pt idx="11">
                  <c:v>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'29.10 Bujuko-Buloba'!$AF$9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'29.10 Bujuko-Buloba'!$R$10:$R$21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Bujuko-Buloba'!$AF$10:$AF$21</c:f>
              <c:numCache>
                <c:formatCode>0</c:formatCode>
                <c:ptCount val="12"/>
                <c:pt idx="0">
                  <c:v>256</c:v>
                </c:pt>
                <c:pt idx="1">
                  <c:v>261</c:v>
                </c:pt>
                <c:pt idx="2">
                  <c:v>215</c:v>
                </c:pt>
                <c:pt idx="3">
                  <c:v>224</c:v>
                </c:pt>
                <c:pt idx="4">
                  <c:v>256</c:v>
                </c:pt>
                <c:pt idx="5">
                  <c:v>200</c:v>
                </c:pt>
                <c:pt idx="6">
                  <c:v>276</c:v>
                </c:pt>
                <c:pt idx="7">
                  <c:v>273</c:v>
                </c:pt>
                <c:pt idx="8">
                  <c:v>309</c:v>
                </c:pt>
                <c:pt idx="9">
                  <c:v>333</c:v>
                </c:pt>
                <c:pt idx="10">
                  <c:v>320</c:v>
                </c:pt>
                <c:pt idx="11">
                  <c:v>431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6697856"/>
        <c:axId val="1986707648"/>
      </c:lineChart>
      <c:catAx>
        <c:axId val="19866978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6707648"/>
        <c:crosses val="autoZero"/>
        <c:auto val="1"/>
        <c:lblAlgn val="ctr"/>
        <c:lblOffset val="100"/>
        <c:noMultiLvlLbl val="0"/>
      </c:catAx>
      <c:valAx>
        <c:axId val="1986707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669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Bujuko-Buloba'!$C$9:$N$9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Bujuko-Buloba'!$C$59:$N$59</c:f>
              <c:numCache>
                <c:formatCode>0.0%</c:formatCode>
                <c:ptCount val="12"/>
                <c:pt idx="0">
                  <c:v>0.25491949910554562</c:v>
                </c:pt>
                <c:pt idx="1">
                  <c:v>3.9355992844364938E-2</c:v>
                </c:pt>
                <c:pt idx="2">
                  <c:v>4.2039355992844363E-2</c:v>
                </c:pt>
                <c:pt idx="3">
                  <c:v>0.21556350626118068</c:v>
                </c:pt>
                <c:pt idx="4">
                  <c:v>4.1741204531902205E-3</c:v>
                </c:pt>
                <c:pt idx="5">
                  <c:v>5.3667262969588547E-3</c:v>
                </c:pt>
                <c:pt idx="6">
                  <c:v>7.7221228384019083E-2</c:v>
                </c:pt>
                <c:pt idx="7">
                  <c:v>3.2200357781753133E-2</c:v>
                </c:pt>
                <c:pt idx="8">
                  <c:v>5.0685748360166961E-3</c:v>
                </c:pt>
                <c:pt idx="9">
                  <c:v>1.3416815742397137E-2</c:v>
                </c:pt>
                <c:pt idx="10">
                  <c:v>0.3103756708407871</c:v>
                </c:pt>
                <c:pt idx="11">
                  <c:v>2.981514609421586E-4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Bujuko-Buloba'!$C$9:$N$9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Bujuko-Buloba'!$C$60:$N$60</c:f>
              <c:numCache>
                <c:formatCode>0.00%</c:formatCode>
                <c:ptCount val="12"/>
                <c:pt idx="0">
                  <c:v>0.36964980544747084</c:v>
                </c:pt>
                <c:pt idx="1">
                  <c:v>5.7068741893644616E-2</c:v>
                </c:pt>
                <c:pt idx="2">
                  <c:v>6.0959792477302203E-2</c:v>
                </c:pt>
                <c:pt idx="3">
                  <c:v>0.3125810635538262</c:v>
                </c:pt>
                <c:pt idx="4">
                  <c:v>6.0527453523562475E-3</c:v>
                </c:pt>
                <c:pt idx="5">
                  <c:v>7.7821011673151752E-3</c:v>
                </c:pt>
                <c:pt idx="6">
                  <c:v>0.11197578901859058</c:v>
                </c:pt>
                <c:pt idx="7">
                  <c:v>4.6692607003891051E-2</c:v>
                </c:pt>
                <c:pt idx="8">
                  <c:v>7.3497622135754431E-3</c:v>
                </c:pt>
                <c:pt idx="9">
                  <c:v>1.9455252918287938E-2</c:v>
                </c:pt>
                <c:pt idx="11">
                  <c:v>4.3233895373973193E-4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Buloba-Bujuko'!$AE$9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'29.10 Buloba-Bujuko'!$R$10:$R$21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Buloba-Bujuko'!$AE$10:$AE$21</c:f>
              <c:numCache>
                <c:formatCode>0</c:formatCode>
                <c:ptCount val="12"/>
                <c:pt idx="0">
                  <c:v>135</c:v>
                </c:pt>
                <c:pt idx="1">
                  <c:v>185</c:v>
                </c:pt>
                <c:pt idx="2">
                  <c:v>184</c:v>
                </c:pt>
                <c:pt idx="3">
                  <c:v>222</c:v>
                </c:pt>
                <c:pt idx="4">
                  <c:v>249</c:v>
                </c:pt>
                <c:pt idx="5">
                  <c:v>231</c:v>
                </c:pt>
                <c:pt idx="6">
                  <c:v>219</c:v>
                </c:pt>
                <c:pt idx="7">
                  <c:v>225</c:v>
                </c:pt>
                <c:pt idx="8">
                  <c:v>204</c:v>
                </c:pt>
                <c:pt idx="9">
                  <c:v>210</c:v>
                </c:pt>
                <c:pt idx="10">
                  <c:v>193</c:v>
                </c:pt>
                <c:pt idx="11">
                  <c:v>178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'29.10 Buloba-Bujuko'!$AF$9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'29.10 Buloba-Bujuko'!$R$10:$R$21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Buloba-Bujuko'!$AF$10:$AF$21</c:f>
              <c:numCache>
                <c:formatCode>0</c:formatCode>
                <c:ptCount val="12"/>
                <c:pt idx="0">
                  <c:v>166</c:v>
                </c:pt>
                <c:pt idx="1">
                  <c:v>239</c:v>
                </c:pt>
                <c:pt idx="2">
                  <c:v>237</c:v>
                </c:pt>
                <c:pt idx="3">
                  <c:v>292</c:v>
                </c:pt>
                <c:pt idx="4">
                  <c:v>335</c:v>
                </c:pt>
                <c:pt idx="5">
                  <c:v>300</c:v>
                </c:pt>
                <c:pt idx="6">
                  <c:v>292</c:v>
                </c:pt>
                <c:pt idx="7">
                  <c:v>296</c:v>
                </c:pt>
                <c:pt idx="8">
                  <c:v>278</c:v>
                </c:pt>
                <c:pt idx="9">
                  <c:v>266</c:v>
                </c:pt>
                <c:pt idx="10">
                  <c:v>265</c:v>
                </c:pt>
                <c:pt idx="11">
                  <c:v>234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6698944"/>
        <c:axId val="1986701120"/>
      </c:lineChart>
      <c:catAx>
        <c:axId val="1986698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6701120"/>
        <c:crosses val="autoZero"/>
        <c:auto val="1"/>
        <c:lblAlgn val="ctr"/>
        <c:lblOffset val="100"/>
        <c:noMultiLvlLbl val="0"/>
      </c:catAx>
      <c:valAx>
        <c:axId val="19867011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669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Buloba-Bujuko'!$C$9:$N$9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Buloba-Bujuko'!$C$59:$N$59</c:f>
              <c:numCache>
                <c:formatCode>0.0%</c:formatCode>
                <c:ptCount val="12"/>
                <c:pt idx="0">
                  <c:v>0.19437499999999999</c:v>
                </c:pt>
                <c:pt idx="1">
                  <c:v>8.5625000000000007E-2</c:v>
                </c:pt>
                <c:pt idx="2">
                  <c:v>6.1562499999999999E-2</c:v>
                </c:pt>
                <c:pt idx="3">
                  <c:v>0.21656249999999999</c:v>
                </c:pt>
                <c:pt idx="4">
                  <c:v>7.1875000000000003E-3</c:v>
                </c:pt>
                <c:pt idx="5">
                  <c:v>6.875E-3</c:v>
                </c:pt>
                <c:pt idx="6">
                  <c:v>0.11375</c:v>
                </c:pt>
                <c:pt idx="7">
                  <c:v>1.7500000000000002E-2</c:v>
                </c:pt>
                <c:pt idx="8">
                  <c:v>4.0625000000000001E-2</c:v>
                </c:pt>
                <c:pt idx="9">
                  <c:v>1.4687499999999999E-2</c:v>
                </c:pt>
                <c:pt idx="10">
                  <c:v>0.23906250000000001</c:v>
                </c:pt>
                <c:pt idx="11">
                  <c:v>2.1875000000000002E-3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Buloba-Bujuko'!$S$9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'29.10 Buloba-Bujuko'!$R$10:$R$21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Buloba-Bujuko'!$S$10:$S$21</c:f>
              <c:numCache>
                <c:formatCode>0</c:formatCode>
                <c:ptCount val="12"/>
                <c:pt idx="0">
                  <c:v>41</c:v>
                </c:pt>
                <c:pt idx="1">
                  <c:v>61</c:v>
                </c:pt>
                <c:pt idx="2">
                  <c:v>76</c:v>
                </c:pt>
                <c:pt idx="3">
                  <c:v>76</c:v>
                </c:pt>
                <c:pt idx="4">
                  <c:v>61</c:v>
                </c:pt>
                <c:pt idx="5">
                  <c:v>49</c:v>
                </c:pt>
                <c:pt idx="6">
                  <c:v>54</c:v>
                </c:pt>
                <c:pt idx="7">
                  <c:v>43</c:v>
                </c:pt>
                <c:pt idx="8">
                  <c:v>39</c:v>
                </c:pt>
                <c:pt idx="9">
                  <c:v>54</c:v>
                </c:pt>
                <c:pt idx="10">
                  <c:v>35</c:v>
                </c:pt>
                <c:pt idx="11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'29.10 Buloba-Bujuko'!$T$9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'29.10 Buloba-Bujuko'!$R$10:$R$21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Buloba-Bujuko'!$T$10:$T$21</c:f>
              <c:numCache>
                <c:formatCode>0</c:formatCode>
                <c:ptCount val="12"/>
                <c:pt idx="0">
                  <c:v>14</c:v>
                </c:pt>
                <c:pt idx="1">
                  <c:v>15</c:v>
                </c:pt>
                <c:pt idx="2">
                  <c:v>13</c:v>
                </c:pt>
                <c:pt idx="3">
                  <c:v>15</c:v>
                </c:pt>
                <c:pt idx="4">
                  <c:v>33</c:v>
                </c:pt>
                <c:pt idx="5">
                  <c:v>40</c:v>
                </c:pt>
                <c:pt idx="6">
                  <c:v>25</c:v>
                </c:pt>
                <c:pt idx="7">
                  <c:v>21</c:v>
                </c:pt>
                <c:pt idx="8">
                  <c:v>22</c:v>
                </c:pt>
                <c:pt idx="9">
                  <c:v>18</c:v>
                </c:pt>
                <c:pt idx="10">
                  <c:v>26</c:v>
                </c:pt>
                <c:pt idx="11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'29.10 Buloba-Bujuko'!$U$9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'29.10 Buloba-Bujuko'!$U$10:$U$21</c:f>
              <c:numCache>
                <c:formatCode>0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9</c:v>
                </c:pt>
                <c:pt idx="3">
                  <c:v>21</c:v>
                </c:pt>
                <c:pt idx="4">
                  <c:v>26</c:v>
                </c:pt>
                <c:pt idx="5">
                  <c:v>19</c:v>
                </c:pt>
                <c:pt idx="6">
                  <c:v>25</c:v>
                </c:pt>
                <c:pt idx="7">
                  <c:v>18</c:v>
                </c:pt>
                <c:pt idx="8">
                  <c:v>11</c:v>
                </c:pt>
                <c:pt idx="9">
                  <c:v>22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'29.10 Buloba-Bujuko'!$V$9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'29.10 Buloba-Bujuko'!$V$10:$V$21</c:f>
              <c:numCache>
                <c:formatCode>0</c:formatCode>
                <c:ptCount val="12"/>
                <c:pt idx="0">
                  <c:v>37</c:v>
                </c:pt>
                <c:pt idx="1">
                  <c:v>59</c:v>
                </c:pt>
                <c:pt idx="2">
                  <c:v>52</c:v>
                </c:pt>
                <c:pt idx="3">
                  <c:v>58</c:v>
                </c:pt>
                <c:pt idx="4">
                  <c:v>68</c:v>
                </c:pt>
                <c:pt idx="5">
                  <c:v>58</c:v>
                </c:pt>
                <c:pt idx="6">
                  <c:v>68</c:v>
                </c:pt>
                <c:pt idx="7">
                  <c:v>60</c:v>
                </c:pt>
                <c:pt idx="8">
                  <c:v>69</c:v>
                </c:pt>
                <c:pt idx="9">
                  <c:v>65</c:v>
                </c:pt>
                <c:pt idx="10">
                  <c:v>55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'29.10 Buloba-Bujuko'!$W$9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'29.10 Buloba-Bujuko'!$W$10:$W$21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'29.10 Buloba-Bujuko'!$X$9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'29.10 Buloba-Bujuko'!$X$10:$X$21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'29.10 Buloba-Bujuko'!$Y$9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Buloba-Bujuko'!$Y$10:$Y$21</c:f>
              <c:numCache>
                <c:formatCode>0</c:formatCode>
                <c:ptCount val="12"/>
                <c:pt idx="0">
                  <c:v>15</c:v>
                </c:pt>
                <c:pt idx="1">
                  <c:v>17</c:v>
                </c:pt>
                <c:pt idx="2">
                  <c:v>23</c:v>
                </c:pt>
                <c:pt idx="3">
                  <c:v>26</c:v>
                </c:pt>
                <c:pt idx="4">
                  <c:v>34</c:v>
                </c:pt>
                <c:pt idx="5">
                  <c:v>28</c:v>
                </c:pt>
                <c:pt idx="6">
                  <c:v>17</c:v>
                </c:pt>
                <c:pt idx="7">
                  <c:v>38</c:v>
                </c:pt>
                <c:pt idx="8">
                  <c:v>33</c:v>
                </c:pt>
                <c:pt idx="9">
                  <c:v>32</c:v>
                </c:pt>
                <c:pt idx="10">
                  <c:v>50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'29.10 Buloba-Bujuko'!$Z$9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Buloba-Bujuko'!$Z$10:$Z$21</c:f>
              <c:numCache>
                <c:formatCode>0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6</c:v>
                </c:pt>
                <c:pt idx="3">
                  <c:v>9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6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'29.10 Buloba-Bujuko'!$AA$9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Buloba-Bujuko'!$AA$10:$AA$21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11</c:v>
                </c:pt>
                <c:pt idx="4">
                  <c:v>17</c:v>
                </c:pt>
                <c:pt idx="5">
                  <c:v>21</c:v>
                </c:pt>
                <c:pt idx="6">
                  <c:v>20</c:v>
                </c:pt>
                <c:pt idx="7">
                  <c:v>24</c:v>
                </c:pt>
                <c:pt idx="8">
                  <c:v>18</c:v>
                </c:pt>
                <c:pt idx="9">
                  <c:v>9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'29.10 Buloba-Bujuko'!$AB$9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Buloba-Bujuko'!$AB$10:$AB$21</c:f>
              <c:numCache>
                <c:formatCode>0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9</c:v>
                </c:pt>
                <c:pt idx="6">
                  <c:v>3</c:v>
                </c:pt>
                <c:pt idx="7">
                  <c:v>10</c:v>
                </c:pt>
                <c:pt idx="8">
                  <c:v>5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'29.10 Buloba-Bujuko'!$AC$9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Buloba-Bujuko'!$AC$10:$AC$21</c:f>
              <c:numCache>
                <c:formatCode>0</c:formatCode>
                <c:ptCount val="12"/>
                <c:pt idx="0">
                  <c:v>31</c:v>
                </c:pt>
                <c:pt idx="1">
                  <c:v>54</c:v>
                </c:pt>
                <c:pt idx="2">
                  <c:v>53</c:v>
                </c:pt>
                <c:pt idx="3">
                  <c:v>70</c:v>
                </c:pt>
                <c:pt idx="4">
                  <c:v>86</c:v>
                </c:pt>
                <c:pt idx="5">
                  <c:v>69</c:v>
                </c:pt>
                <c:pt idx="6">
                  <c:v>73</c:v>
                </c:pt>
                <c:pt idx="7">
                  <c:v>71</c:v>
                </c:pt>
                <c:pt idx="8">
                  <c:v>74</c:v>
                </c:pt>
                <c:pt idx="9">
                  <c:v>56</c:v>
                </c:pt>
                <c:pt idx="10">
                  <c:v>72</c:v>
                </c:pt>
                <c:pt idx="1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'29.10 Buloba-Bujuko'!$AD$9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Buloba-Bujuko'!$AD$10:$AD$21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707104"/>
        <c:axId val="1986703840"/>
      </c:lineChart>
      <c:catAx>
        <c:axId val="198670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6703840"/>
        <c:crosses val="autoZero"/>
        <c:auto val="1"/>
        <c:lblAlgn val="ctr"/>
        <c:lblOffset val="100"/>
        <c:noMultiLvlLbl val="0"/>
      </c:catAx>
      <c:valAx>
        <c:axId val="198670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670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Buloba-Bujuko'!$C$9:$N$9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Buloba-Bujuko'!$C$60:$N$60</c:f>
              <c:numCache>
                <c:formatCode>0.00%</c:formatCode>
                <c:ptCount val="12"/>
                <c:pt idx="0">
                  <c:v>0.25544147843942505</c:v>
                </c:pt>
                <c:pt idx="1">
                  <c:v>0.11252566735112936</c:v>
                </c:pt>
                <c:pt idx="2">
                  <c:v>8.0903490759753588E-2</c:v>
                </c:pt>
                <c:pt idx="3">
                  <c:v>0.28459958932238194</c:v>
                </c:pt>
                <c:pt idx="4">
                  <c:v>9.4455852156057497E-3</c:v>
                </c:pt>
                <c:pt idx="5">
                  <c:v>9.0349075975359339E-3</c:v>
                </c:pt>
                <c:pt idx="6">
                  <c:v>0.14948665297741273</c:v>
                </c:pt>
                <c:pt idx="7">
                  <c:v>2.299794661190965E-2</c:v>
                </c:pt>
                <c:pt idx="8">
                  <c:v>5.3388090349075976E-2</c:v>
                </c:pt>
                <c:pt idx="9">
                  <c:v>1.9301848049281315E-2</c:v>
                </c:pt>
                <c:pt idx="11">
                  <c:v>2.8747433264887062E-3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Bujuko-Buloba'!$AE$9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'30.10 Bujuko-Buloba'!$R$10:$R$21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Bujuko-Buloba'!$AE$10:$AE$21</c:f>
              <c:numCache>
                <c:formatCode>0</c:formatCode>
                <c:ptCount val="12"/>
                <c:pt idx="0">
                  <c:v>181</c:v>
                </c:pt>
                <c:pt idx="1">
                  <c:v>187</c:v>
                </c:pt>
                <c:pt idx="2">
                  <c:v>146</c:v>
                </c:pt>
                <c:pt idx="3">
                  <c:v>164</c:v>
                </c:pt>
                <c:pt idx="4">
                  <c:v>145</c:v>
                </c:pt>
                <c:pt idx="5">
                  <c:v>182</c:v>
                </c:pt>
                <c:pt idx="6">
                  <c:v>175</c:v>
                </c:pt>
                <c:pt idx="7">
                  <c:v>191</c:v>
                </c:pt>
                <c:pt idx="8">
                  <c:v>198</c:v>
                </c:pt>
                <c:pt idx="9">
                  <c:v>257</c:v>
                </c:pt>
                <c:pt idx="10">
                  <c:v>269</c:v>
                </c:pt>
                <c:pt idx="11">
                  <c:v>307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'30.10 Bujuko-Buloba'!$AF$9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'30.10 Bujuko-Buloba'!$R$10:$R$21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Bujuko-Buloba'!$AF$10:$AF$21</c:f>
              <c:numCache>
                <c:formatCode>0</c:formatCode>
                <c:ptCount val="12"/>
                <c:pt idx="0">
                  <c:v>267</c:v>
                </c:pt>
                <c:pt idx="1">
                  <c:v>284</c:v>
                </c:pt>
                <c:pt idx="2">
                  <c:v>225</c:v>
                </c:pt>
                <c:pt idx="3">
                  <c:v>247</c:v>
                </c:pt>
                <c:pt idx="4">
                  <c:v>206</c:v>
                </c:pt>
                <c:pt idx="5">
                  <c:v>239</c:v>
                </c:pt>
                <c:pt idx="6">
                  <c:v>261</c:v>
                </c:pt>
                <c:pt idx="7">
                  <c:v>271</c:v>
                </c:pt>
                <c:pt idx="8">
                  <c:v>262</c:v>
                </c:pt>
                <c:pt idx="9">
                  <c:v>348</c:v>
                </c:pt>
                <c:pt idx="10">
                  <c:v>379</c:v>
                </c:pt>
                <c:pt idx="11">
                  <c:v>442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6694048"/>
        <c:axId val="1986695136"/>
      </c:lineChart>
      <c:catAx>
        <c:axId val="1986694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6695136"/>
        <c:crosses val="autoZero"/>
        <c:auto val="1"/>
        <c:lblAlgn val="ctr"/>
        <c:lblOffset val="100"/>
        <c:noMultiLvlLbl val="0"/>
      </c:catAx>
      <c:valAx>
        <c:axId val="19866951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669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Bujuko-Buloba'!$C$9:$N$9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Bujuko-Buloba'!$C$59:$N$59</c:f>
              <c:numCache>
                <c:formatCode>0.0%</c:formatCode>
                <c:ptCount val="12"/>
                <c:pt idx="0">
                  <c:v>0.26435441562226758</c:v>
                </c:pt>
                <c:pt idx="1">
                  <c:v>3.9055668901194988E-2</c:v>
                </c:pt>
                <c:pt idx="2">
                  <c:v>5.1005537744097933E-2</c:v>
                </c:pt>
                <c:pt idx="3">
                  <c:v>0.20169046925094725</c:v>
                </c:pt>
                <c:pt idx="4">
                  <c:v>5.8292043136111919E-3</c:v>
                </c:pt>
                <c:pt idx="5">
                  <c:v>4.3719032352083943E-3</c:v>
                </c:pt>
                <c:pt idx="6">
                  <c:v>7.1407752841737102E-2</c:v>
                </c:pt>
                <c:pt idx="7">
                  <c:v>4.2553191489361701E-2</c:v>
                </c:pt>
                <c:pt idx="8">
                  <c:v>5.5377440979306322E-3</c:v>
                </c:pt>
                <c:pt idx="9">
                  <c:v>1.428155056834742E-2</c:v>
                </c:pt>
                <c:pt idx="10">
                  <c:v>0.29991256193529581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Bujuko-Buloba'!$S$9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'30.10 Bujuko-Buloba'!$R$10:$R$21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Bujuko-Buloba'!$S$10:$S$21</c:f>
              <c:numCache>
                <c:formatCode>0</c:formatCode>
                <c:ptCount val="12"/>
                <c:pt idx="0">
                  <c:v>77</c:v>
                </c:pt>
                <c:pt idx="1">
                  <c:v>71</c:v>
                </c:pt>
                <c:pt idx="2">
                  <c:v>62</c:v>
                </c:pt>
                <c:pt idx="3">
                  <c:v>63</c:v>
                </c:pt>
                <c:pt idx="4">
                  <c:v>45</c:v>
                </c:pt>
                <c:pt idx="5">
                  <c:v>69</c:v>
                </c:pt>
                <c:pt idx="6">
                  <c:v>59</c:v>
                </c:pt>
                <c:pt idx="7">
                  <c:v>66</c:v>
                </c:pt>
                <c:pt idx="8">
                  <c:v>76</c:v>
                </c:pt>
                <c:pt idx="9">
                  <c:v>98</c:v>
                </c:pt>
                <c:pt idx="10">
                  <c:v>108</c:v>
                </c:pt>
                <c:pt idx="11">
                  <c:v>113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'30.10 Bujuko-Buloba'!$T$9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'30.10 Bujuko-Buloba'!$R$10:$R$21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Bujuko-Buloba'!$T$10:$T$21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17</c:v>
                </c:pt>
                <c:pt idx="7">
                  <c:v>14</c:v>
                </c:pt>
                <c:pt idx="8">
                  <c:v>12</c:v>
                </c:pt>
                <c:pt idx="9">
                  <c:v>20</c:v>
                </c:pt>
                <c:pt idx="10">
                  <c:v>16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'30.10 Bujuko-Buloba'!$U$9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'30.10 Bujuko-Buloba'!$U$10:$U$21</c:f>
              <c:numCache>
                <c:formatCode>0</c:formatCode>
                <c:ptCount val="12"/>
                <c:pt idx="0">
                  <c:v>6</c:v>
                </c:pt>
                <c:pt idx="1">
                  <c:v>10</c:v>
                </c:pt>
                <c:pt idx="2">
                  <c:v>7</c:v>
                </c:pt>
                <c:pt idx="3">
                  <c:v>12</c:v>
                </c:pt>
                <c:pt idx="4">
                  <c:v>7</c:v>
                </c:pt>
                <c:pt idx="5">
                  <c:v>9</c:v>
                </c:pt>
                <c:pt idx="6">
                  <c:v>23</c:v>
                </c:pt>
                <c:pt idx="7">
                  <c:v>14</c:v>
                </c:pt>
                <c:pt idx="8">
                  <c:v>16</c:v>
                </c:pt>
                <c:pt idx="9">
                  <c:v>24</c:v>
                </c:pt>
                <c:pt idx="10">
                  <c:v>24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'30.10 Bujuko-Buloba'!$V$9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'30.10 Bujuko-Buloba'!$V$10:$V$21</c:f>
              <c:numCache>
                <c:formatCode>0</c:formatCode>
                <c:ptCount val="12"/>
                <c:pt idx="0">
                  <c:v>66</c:v>
                </c:pt>
                <c:pt idx="1">
                  <c:v>65</c:v>
                </c:pt>
                <c:pt idx="2">
                  <c:v>59</c:v>
                </c:pt>
                <c:pt idx="3">
                  <c:v>57</c:v>
                </c:pt>
                <c:pt idx="4">
                  <c:v>46</c:v>
                </c:pt>
                <c:pt idx="5">
                  <c:v>46</c:v>
                </c:pt>
                <c:pt idx="6">
                  <c:v>42</c:v>
                </c:pt>
                <c:pt idx="7">
                  <c:v>53</c:v>
                </c:pt>
                <c:pt idx="8">
                  <c:v>50</c:v>
                </c:pt>
                <c:pt idx="9">
                  <c:v>54</c:v>
                </c:pt>
                <c:pt idx="10">
                  <c:v>66</c:v>
                </c:pt>
                <c:pt idx="11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'30.10 Bujuko-Buloba'!$W$9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'30.10 Bujuko-Buloba'!$W$10:$W$21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'30.10 Bujuko-Buloba'!$X$9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'30.10 Bujuko-Buloba'!$X$10:$X$21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'30.10 Bujuko-Buloba'!$Y$9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Bujuko-Buloba'!$Y$10:$Y$21</c:f>
              <c:numCache>
                <c:formatCode>0</c:formatCode>
                <c:ptCount val="12"/>
                <c:pt idx="0">
                  <c:v>10</c:v>
                </c:pt>
                <c:pt idx="1">
                  <c:v>23</c:v>
                </c:pt>
                <c:pt idx="2">
                  <c:v>5</c:v>
                </c:pt>
                <c:pt idx="3">
                  <c:v>11</c:v>
                </c:pt>
                <c:pt idx="4">
                  <c:v>21</c:v>
                </c:pt>
                <c:pt idx="5">
                  <c:v>26</c:v>
                </c:pt>
                <c:pt idx="6">
                  <c:v>13</c:v>
                </c:pt>
                <c:pt idx="7">
                  <c:v>24</c:v>
                </c:pt>
                <c:pt idx="8">
                  <c:v>23</c:v>
                </c:pt>
                <c:pt idx="9">
                  <c:v>35</c:v>
                </c:pt>
                <c:pt idx="10">
                  <c:v>30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'30.10 Bujuko-Buloba'!$Z$9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Bujuko-Buloba'!$Z$10:$Z$21</c:f>
              <c:numCache>
                <c:formatCode>0</c:formatCode>
                <c:ptCount val="12"/>
                <c:pt idx="0">
                  <c:v>12</c:v>
                </c:pt>
                <c:pt idx="1">
                  <c:v>8</c:v>
                </c:pt>
                <c:pt idx="2">
                  <c:v>4</c:v>
                </c:pt>
                <c:pt idx="3">
                  <c:v>10</c:v>
                </c:pt>
                <c:pt idx="4">
                  <c:v>6</c:v>
                </c:pt>
                <c:pt idx="5">
                  <c:v>12</c:v>
                </c:pt>
                <c:pt idx="6">
                  <c:v>15</c:v>
                </c:pt>
                <c:pt idx="7">
                  <c:v>17</c:v>
                </c:pt>
                <c:pt idx="8">
                  <c:v>13</c:v>
                </c:pt>
                <c:pt idx="9">
                  <c:v>20</c:v>
                </c:pt>
                <c:pt idx="10">
                  <c:v>13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'30.10 Bujuko-Buloba'!$AA$9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Bujuko-Buloba'!$AA$10:$AA$21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'30.10 Bujuko-Buloba'!$AB$9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Bujuko-Buloba'!$AB$10:$AB$21</c:f>
              <c:numCache>
                <c:formatCode>0</c:formatCode>
                <c:ptCount val="12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1</c:v>
                </c:pt>
                <c:pt idx="8">
                  <c:v>5</c:v>
                </c:pt>
                <c:pt idx="9">
                  <c:v>2</c:v>
                </c:pt>
                <c:pt idx="10">
                  <c:v>5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'30.10 Bujuko-Buloba'!$AC$9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Bujuko-Buloba'!$AC$10:$AC$21</c:f>
              <c:numCache>
                <c:formatCode>0</c:formatCode>
                <c:ptCount val="12"/>
                <c:pt idx="0">
                  <c:v>86</c:v>
                </c:pt>
                <c:pt idx="1">
                  <c:v>97</c:v>
                </c:pt>
                <c:pt idx="2">
                  <c:v>79</c:v>
                </c:pt>
                <c:pt idx="3">
                  <c:v>83</c:v>
                </c:pt>
                <c:pt idx="4">
                  <c:v>61</c:v>
                </c:pt>
                <c:pt idx="5">
                  <c:v>57</c:v>
                </c:pt>
                <c:pt idx="6">
                  <c:v>86</c:v>
                </c:pt>
                <c:pt idx="7">
                  <c:v>80</c:v>
                </c:pt>
                <c:pt idx="8">
                  <c:v>64</c:v>
                </c:pt>
                <c:pt idx="9">
                  <c:v>91</c:v>
                </c:pt>
                <c:pt idx="10">
                  <c:v>110</c:v>
                </c:pt>
                <c:pt idx="11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'30.10 Bujuko-Buloba'!$AD$9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Bujuko-Buloba'!$AD$10:$AD$21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3274336"/>
        <c:axId val="2123260192"/>
      </c:lineChart>
      <c:catAx>
        <c:axId val="212327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3260192"/>
        <c:crosses val="autoZero"/>
        <c:auto val="1"/>
        <c:lblAlgn val="ctr"/>
        <c:lblOffset val="100"/>
        <c:noMultiLvlLbl val="0"/>
      </c:catAx>
      <c:valAx>
        <c:axId val="212326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327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Bujuko-Buloba'!$C$9:$N$9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Bujuko-Buloba'!$C$60:$N$60</c:f>
              <c:numCache>
                <c:formatCode>0.00%</c:formatCode>
                <c:ptCount val="12"/>
                <c:pt idx="0">
                  <c:v>0.37760199833472108</c:v>
                </c:pt>
                <c:pt idx="1">
                  <c:v>5.5786844296419648E-2</c:v>
                </c:pt>
                <c:pt idx="2">
                  <c:v>7.2855953372189836E-2</c:v>
                </c:pt>
                <c:pt idx="3">
                  <c:v>0.2880932556203164</c:v>
                </c:pt>
                <c:pt idx="4">
                  <c:v>8.3263946711074101E-3</c:v>
                </c:pt>
                <c:pt idx="5">
                  <c:v>6.2447960033305576E-3</c:v>
                </c:pt>
                <c:pt idx="6">
                  <c:v>0.10199833472106577</c:v>
                </c:pt>
                <c:pt idx="7">
                  <c:v>6.0782681099084093E-2</c:v>
                </c:pt>
                <c:pt idx="8">
                  <c:v>7.9100749375520408E-3</c:v>
                </c:pt>
                <c:pt idx="9">
                  <c:v>2.0399666944213156E-2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Buloba-Bujuko'!$AE$9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'30.10 Buloba-Bujuko'!$R$10:$R$21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Buloba-Bujuko'!$AE$10:$AE$21</c:f>
              <c:numCache>
                <c:formatCode>0</c:formatCode>
                <c:ptCount val="12"/>
                <c:pt idx="0">
                  <c:v>176</c:v>
                </c:pt>
                <c:pt idx="1">
                  <c:v>180</c:v>
                </c:pt>
                <c:pt idx="2">
                  <c:v>182</c:v>
                </c:pt>
                <c:pt idx="3">
                  <c:v>170</c:v>
                </c:pt>
                <c:pt idx="4">
                  <c:v>251</c:v>
                </c:pt>
                <c:pt idx="5">
                  <c:v>216</c:v>
                </c:pt>
                <c:pt idx="6">
                  <c:v>193</c:v>
                </c:pt>
                <c:pt idx="7">
                  <c:v>206</c:v>
                </c:pt>
                <c:pt idx="8">
                  <c:v>226</c:v>
                </c:pt>
                <c:pt idx="9">
                  <c:v>204</c:v>
                </c:pt>
                <c:pt idx="10">
                  <c:v>178</c:v>
                </c:pt>
                <c:pt idx="11">
                  <c:v>188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'30.10 Buloba-Bujuko'!$AF$9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'30.10 Buloba-Bujuko'!$R$10:$R$21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Buloba-Bujuko'!$AF$10:$AF$21</c:f>
              <c:numCache>
                <c:formatCode>0</c:formatCode>
                <c:ptCount val="12"/>
                <c:pt idx="0">
                  <c:v>232</c:v>
                </c:pt>
                <c:pt idx="1">
                  <c:v>252</c:v>
                </c:pt>
                <c:pt idx="2">
                  <c:v>263</c:v>
                </c:pt>
                <c:pt idx="3">
                  <c:v>209</c:v>
                </c:pt>
                <c:pt idx="4">
                  <c:v>327</c:v>
                </c:pt>
                <c:pt idx="5">
                  <c:v>277</c:v>
                </c:pt>
                <c:pt idx="6">
                  <c:v>242</c:v>
                </c:pt>
                <c:pt idx="7">
                  <c:v>259</c:v>
                </c:pt>
                <c:pt idx="8">
                  <c:v>271</c:v>
                </c:pt>
                <c:pt idx="9">
                  <c:v>270</c:v>
                </c:pt>
                <c:pt idx="10">
                  <c:v>211</c:v>
                </c:pt>
                <c:pt idx="11">
                  <c:v>232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3273248"/>
        <c:axId val="2123260736"/>
      </c:lineChart>
      <c:catAx>
        <c:axId val="21232732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3260736"/>
        <c:crosses val="autoZero"/>
        <c:auto val="1"/>
        <c:lblAlgn val="ctr"/>
        <c:lblOffset val="100"/>
        <c:noMultiLvlLbl val="0"/>
      </c:catAx>
      <c:valAx>
        <c:axId val="2123260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327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Buloba-Bujuko'!$C$9:$N$9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Buloba-Bujuko'!$C$59:$N$59</c:f>
              <c:numCache>
                <c:formatCode>0.0%</c:formatCode>
                <c:ptCount val="12"/>
                <c:pt idx="0">
                  <c:v>0.24532019704433497</c:v>
                </c:pt>
                <c:pt idx="1">
                  <c:v>5.7142857142857141E-2</c:v>
                </c:pt>
                <c:pt idx="2">
                  <c:v>5.6157635467980298E-2</c:v>
                </c:pt>
                <c:pt idx="3">
                  <c:v>0.21904761904761905</c:v>
                </c:pt>
                <c:pt idx="4">
                  <c:v>7.5533661740558294E-3</c:v>
                </c:pt>
                <c:pt idx="5">
                  <c:v>7.2249589490968802E-3</c:v>
                </c:pt>
                <c:pt idx="6">
                  <c:v>0.10279146141215106</c:v>
                </c:pt>
                <c:pt idx="7">
                  <c:v>5.3858784893267654E-2</c:v>
                </c:pt>
                <c:pt idx="8">
                  <c:v>1.6091954022988506E-2</c:v>
                </c:pt>
                <c:pt idx="9">
                  <c:v>1.3136288998357963E-2</c:v>
                </c:pt>
                <c:pt idx="10">
                  <c:v>0.22167487684729065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Buloba-Bujuko'!$S$9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'30.10 Buloba-Bujuko'!$R$10:$R$21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Buloba-Bujuko'!$S$10:$S$21</c:f>
              <c:numCache>
                <c:formatCode>0</c:formatCode>
                <c:ptCount val="12"/>
                <c:pt idx="0">
                  <c:v>62</c:v>
                </c:pt>
                <c:pt idx="1">
                  <c:v>67</c:v>
                </c:pt>
                <c:pt idx="2">
                  <c:v>33</c:v>
                </c:pt>
                <c:pt idx="3">
                  <c:v>45</c:v>
                </c:pt>
                <c:pt idx="4">
                  <c:v>90</c:v>
                </c:pt>
                <c:pt idx="5">
                  <c:v>63</c:v>
                </c:pt>
                <c:pt idx="6">
                  <c:v>63</c:v>
                </c:pt>
                <c:pt idx="7">
                  <c:v>62</c:v>
                </c:pt>
                <c:pt idx="8">
                  <c:v>73</c:v>
                </c:pt>
                <c:pt idx="9">
                  <c:v>70</c:v>
                </c:pt>
                <c:pt idx="10">
                  <c:v>54</c:v>
                </c:pt>
                <c:pt idx="11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'30.10 Buloba-Bujuko'!$T$9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'30.10 Buloba-Bujuko'!$R$10:$R$21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Buloba-Bujuko'!$T$10:$T$21</c:f>
              <c:numCache>
                <c:formatCode>0</c:formatCode>
                <c:ptCount val="12"/>
                <c:pt idx="0">
                  <c:v>8</c:v>
                </c:pt>
                <c:pt idx="1">
                  <c:v>12</c:v>
                </c:pt>
                <c:pt idx="2">
                  <c:v>29</c:v>
                </c:pt>
                <c:pt idx="3">
                  <c:v>17</c:v>
                </c:pt>
                <c:pt idx="4">
                  <c:v>13</c:v>
                </c:pt>
                <c:pt idx="5">
                  <c:v>25</c:v>
                </c:pt>
                <c:pt idx="6">
                  <c:v>14</c:v>
                </c:pt>
                <c:pt idx="7">
                  <c:v>18</c:v>
                </c:pt>
                <c:pt idx="8">
                  <c:v>8</c:v>
                </c:pt>
                <c:pt idx="9">
                  <c:v>11</c:v>
                </c:pt>
                <c:pt idx="10">
                  <c:v>13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'30.10 Buloba-Bujuko'!$U$9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'30.10 Buloba-Bujuko'!$U$10:$U$21</c:f>
              <c:numCache>
                <c:formatCode>0</c:formatCode>
                <c:ptCount val="12"/>
                <c:pt idx="0">
                  <c:v>13</c:v>
                </c:pt>
                <c:pt idx="1">
                  <c:v>13</c:v>
                </c:pt>
                <c:pt idx="2">
                  <c:v>18</c:v>
                </c:pt>
                <c:pt idx="3">
                  <c:v>15</c:v>
                </c:pt>
                <c:pt idx="4">
                  <c:v>16</c:v>
                </c:pt>
                <c:pt idx="5">
                  <c:v>20</c:v>
                </c:pt>
                <c:pt idx="6">
                  <c:v>14</c:v>
                </c:pt>
                <c:pt idx="7">
                  <c:v>15</c:v>
                </c:pt>
                <c:pt idx="8">
                  <c:v>10</c:v>
                </c:pt>
                <c:pt idx="9">
                  <c:v>13</c:v>
                </c:pt>
                <c:pt idx="10">
                  <c:v>14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'30.10 Buloba-Bujuko'!$V$9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'30.10 Buloba-Bujuko'!$V$10:$V$21</c:f>
              <c:numCache>
                <c:formatCode>0</c:formatCode>
                <c:ptCount val="12"/>
                <c:pt idx="0">
                  <c:v>47</c:v>
                </c:pt>
                <c:pt idx="1">
                  <c:v>45</c:v>
                </c:pt>
                <c:pt idx="2">
                  <c:v>53</c:v>
                </c:pt>
                <c:pt idx="3">
                  <c:v>45</c:v>
                </c:pt>
                <c:pt idx="4">
                  <c:v>68</c:v>
                </c:pt>
                <c:pt idx="5">
                  <c:v>65</c:v>
                </c:pt>
                <c:pt idx="6">
                  <c:v>47</c:v>
                </c:pt>
                <c:pt idx="7">
                  <c:v>67</c:v>
                </c:pt>
                <c:pt idx="8">
                  <c:v>65</c:v>
                </c:pt>
                <c:pt idx="9">
                  <c:v>49</c:v>
                </c:pt>
                <c:pt idx="10">
                  <c:v>56</c:v>
                </c:pt>
                <c:pt idx="1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'30.10 Buloba-Bujuko'!$W$9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'30.10 Buloba-Bujuko'!$W$10:$W$21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'30.10 Buloba-Bujuko'!$X$9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'30.10 Buloba-Bujuko'!$X$10:$X$21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'30.10 Buloba-Bujuko'!$Y$9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Buloba-Bujuko'!$Y$10:$Y$21</c:f>
              <c:numCache>
                <c:formatCode>0</c:formatCode>
                <c:ptCount val="12"/>
                <c:pt idx="0">
                  <c:v>24</c:v>
                </c:pt>
                <c:pt idx="1">
                  <c:v>31</c:v>
                </c:pt>
                <c:pt idx="2">
                  <c:v>32</c:v>
                </c:pt>
                <c:pt idx="3">
                  <c:v>22</c:v>
                </c:pt>
                <c:pt idx="4">
                  <c:v>30</c:v>
                </c:pt>
                <c:pt idx="5">
                  <c:v>21</c:v>
                </c:pt>
                <c:pt idx="6">
                  <c:v>26</c:v>
                </c:pt>
                <c:pt idx="7">
                  <c:v>20</c:v>
                </c:pt>
                <c:pt idx="8">
                  <c:v>33</c:v>
                </c:pt>
                <c:pt idx="9">
                  <c:v>30</c:v>
                </c:pt>
                <c:pt idx="10">
                  <c:v>21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'30.10 Buloba-Bujuko'!$Z$9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Buloba-Bujuko'!$Z$10:$Z$21</c:f>
              <c:numCache>
                <c:formatCode>0</c:formatCode>
                <c:ptCount val="12"/>
                <c:pt idx="0">
                  <c:v>14</c:v>
                </c:pt>
                <c:pt idx="1">
                  <c:v>6</c:v>
                </c:pt>
                <c:pt idx="2">
                  <c:v>12</c:v>
                </c:pt>
                <c:pt idx="3">
                  <c:v>15</c:v>
                </c:pt>
                <c:pt idx="4">
                  <c:v>17</c:v>
                </c:pt>
                <c:pt idx="5">
                  <c:v>12</c:v>
                </c:pt>
                <c:pt idx="6">
                  <c:v>11</c:v>
                </c:pt>
                <c:pt idx="7">
                  <c:v>13</c:v>
                </c:pt>
                <c:pt idx="8">
                  <c:v>21</c:v>
                </c:pt>
                <c:pt idx="9">
                  <c:v>17</c:v>
                </c:pt>
                <c:pt idx="10">
                  <c:v>13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'30.10 Buloba-Bujuko'!$AA$9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Buloba-Bujuko'!$AA$10:$AA$21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12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'30.10 Buloba-Bujuko'!$AB$9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Buloba-Bujuko'!$AB$10:$AB$21</c:f>
              <c:numCache>
                <c:formatCode>0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8</c:v>
                </c:pt>
                <c:pt idx="5">
                  <c:v>2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  <c:pt idx="9">
                  <c:v>6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'30.10 Buloba-Bujuko'!$AC$9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Buloba-Bujuko'!$AC$10:$AC$21</c:f>
              <c:numCache>
                <c:formatCode>0</c:formatCode>
                <c:ptCount val="12"/>
                <c:pt idx="0">
                  <c:v>56</c:v>
                </c:pt>
                <c:pt idx="1">
                  <c:v>72</c:v>
                </c:pt>
                <c:pt idx="2">
                  <c:v>81</c:v>
                </c:pt>
                <c:pt idx="3">
                  <c:v>39</c:v>
                </c:pt>
                <c:pt idx="4">
                  <c:v>76</c:v>
                </c:pt>
                <c:pt idx="5">
                  <c:v>61</c:v>
                </c:pt>
                <c:pt idx="6">
                  <c:v>49</c:v>
                </c:pt>
                <c:pt idx="7">
                  <c:v>53</c:v>
                </c:pt>
                <c:pt idx="8">
                  <c:v>45</c:v>
                </c:pt>
                <c:pt idx="9">
                  <c:v>66</c:v>
                </c:pt>
                <c:pt idx="10">
                  <c:v>33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'30.10 Buloba-Bujuko'!$AD$9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Buloba-Bujuko'!$AD$10:$AD$21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3266176"/>
        <c:axId val="2123261280"/>
      </c:lineChart>
      <c:catAx>
        <c:axId val="212326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3261280"/>
        <c:crosses val="autoZero"/>
        <c:auto val="1"/>
        <c:lblAlgn val="ctr"/>
        <c:lblOffset val="100"/>
        <c:noMultiLvlLbl val="0"/>
      </c:catAx>
      <c:valAx>
        <c:axId val="212326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326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Buloba-Bujuko'!$C$9:$N$9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Buloba-Bujuko'!$C$60:$N$60</c:f>
              <c:numCache>
                <c:formatCode>0.00%</c:formatCode>
                <c:ptCount val="12"/>
                <c:pt idx="0">
                  <c:v>0.31518987341772153</c:v>
                </c:pt>
                <c:pt idx="1">
                  <c:v>7.3417721518987344E-2</c:v>
                </c:pt>
                <c:pt idx="2">
                  <c:v>7.2151898734177211E-2</c:v>
                </c:pt>
                <c:pt idx="3">
                  <c:v>0.28143459915611813</c:v>
                </c:pt>
                <c:pt idx="4">
                  <c:v>9.7046413502109713E-3</c:v>
                </c:pt>
                <c:pt idx="5">
                  <c:v>9.282700421940928E-3</c:v>
                </c:pt>
                <c:pt idx="6">
                  <c:v>0.1320675105485232</c:v>
                </c:pt>
                <c:pt idx="7">
                  <c:v>6.9198312236286919E-2</c:v>
                </c:pt>
                <c:pt idx="8">
                  <c:v>2.0675105485232069E-2</c:v>
                </c:pt>
                <c:pt idx="9">
                  <c:v>1.6877637130801686E-2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Bujuko-Buloba-24h'!$AE$9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'31.10 Bujuko-Buloba-24h'!$R$10:$R$33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'31.10 Bujuko-Buloba-24h'!$AE$10:$AE$33</c:f>
              <c:numCache>
                <c:formatCode>0</c:formatCode>
                <c:ptCount val="24"/>
                <c:pt idx="0">
                  <c:v>136</c:v>
                </c:pt>
                <c:pt idx="1">
                  <c:v>157</c:v>
                </c:pt>
                <c:pt idx="2">
                  <c:v>111</c:v>
                </c:pt>
                <c:pt idx="3">
                  <c:v>127</c:v>
                </c:pt>
                <c:pt idx="4">
                  <c:v>93</c:v>
                </c:pt>
                <c:pt idx="5">
                  <c:v>105</c:v>
                </c:pt>
                <c:pt idx="6">
                  <c:v>128</c:v>
                </c:pt>
                <c:pt idx="7">
                  <c:v>173</c:v>
                </c:pt>
                <c:pt idx="8">
                  <c:v>154</c:v>
                </c:pt>
                <c:pt idx="9">
                  <c:v>207</c:v>
                </c:pt>
                <c:pt idx="10">
                  <c:v>306</c:v>
                </c:pt>
                <c:pt idx="11">
                  <c:v>213</c:v>
                </c:pt>
                <c:pt idx="12">
                  <c:v>299</c:v>
                </c:pt>
                <c:pt idx="13">
                  <c:v>165</c:v>
                </c:pt>
                <c:pt idx="14">
                  <c:v>165</c:v>
                </c:pt>
                <c:pt idx="15">
                  <c:v>121</c:v>
                </c:pt>
                <c:pt idx="16">
                  <c:v>60</c:v>
                </c:pt>
                <c:pt idx="17">
                  <c:v>42</c:v>
                </c:pt>
                <c:pt idx="18">
                  <c:v>29</c:v>
                </c:pt>
                <c:pt idx="19">
                  <c:v>15</c:v>
                </c:pt>
                <c:pt idx="20">
                  <c:v>21</c:v>
                </c:pt>
                <c:pt idx="21">
                  <c:v>26</c:v>
                </c:pt>
                <c:pt idx="22">
                  <c:v>71</c:v>
                </c:pt>
                <c:pt idx="23">
                  <c:v>110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'31.10 Bujuko-Buloba-24h'!$AF$9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'31.10 Bujuko-Buloba-24h'!$R$10:$R$33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'31.10 Bujuko-Buloba-24h'!$AF$10:$AF$33</c:f>
              <c:numCache>
                <c:formatCode>0</c:formatCode>
                <c:ptCount val="24"/>
                <c:pt idx="0">
                  <c:v>215</c:v>
                </c:pt>
                <c:pt idx="1">
                  <c:v>268</c:v>
                </c:pt>
                <c:pt idx="2">
                  <c:v>179</c:v>
                </c:pt>
                <c:pt idx="3">
                  <c:v>204</c:v>
                </c:pt>
                <c:pt idx="4">
                  <c:v>119</c:v>
                </c:pt>
                <c:pt idx="5">
                  <c:v>145</c:v>
                </c:pt>
                <c:pt idx="6">
                  <c:v>166</c:v>
                </c:pt>
                <c:pt idx="7">
                  <c:v>196</c:v>
                </c:pt>
                <c:pt idx="8">
                  <c:v>206</c:v>
                </c:pt>
                <c:pt idx="9">
                  <c:v>254</c:v>
                </c:pt>
                <c:pt idx="10">
                  <c:v>381</c:v>
                </c:pt>
                <c:pt idx="11">
                  <c:v>277</c:v>
                </c:pt>
                <c:pt idx="12">
                  <c:v>399</c:v>
                </c:pt>
                <c:pt idx="13">
                  <c:v>268</c:v>
                </c:pt>
                <c:pt idx="14">
                  <c:v>225</c:v>
                </c:pt>
                <c:pt idx="15">
                  <c:v>177</c:v>
                </c:pt>
                <c:pt idx="16">
                  <c:v>92</c:v>
                </c:pt>
                <c:pt idx="17">
                  <c:v>51</c:v>
                </c:pt>
                <c:pt idx="18">
                  <c:v>36</c:v>
                </c:pt>
                <c:pt idx="19">
                  <c:v>28</c:v>
                </c:pt>
                <c:pt idx="20">
                  <c:v>32</c:v>
                </c:pt>
                <c:pt idx="21">
                  <c:v>36</c:v>
                </c:pt>
                <c:pt idx="22">
                  <c:v>94</c:v>
                </c:pt>
                <c:pt idx="23">
                  <c:v>131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6790192"/>
        <c:axId val="2126786928"/>
      </c:lineChart>
      <c:catAx>
        <c:axId val="21267901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6786928"/>
        <c:crosses val="autoZero"/>
        <c:auto val="1"/>
        <c:lblAlgn val="ctr"/>
        <c:lblOffset val="100"/>
        <c:noMultiLvlLbl val="0"/>
      </c:catAx>
      <c:valAx>
        <c:axId val="21267869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679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Bujuko-Buloba-24h'!$C$9:$N$9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Bujuko-Buloba-24h'!$C$107:$N$107</c:f>
              <c:numCache>
                <c:formatCode>0.0%</c:formatCode>
                <c:ptCount val="12"/>
                <c:pt idx="0">
                  <c:v>0.23187365398420676</c:v>
                </c:pt>
                <c:pt idx="1">
                  <c:v>7.2505384063173015E-2</c:v>
                </c:pt>
                <c:pt idx="2">
                  <c:v>3.8765254845656856E-2</c:v>
                </c:pt>
                <c:pt idx="3">
                  <c:v>0.20052644173247189</c:v>
                </c:pt>
                <c:pt idx="4">
                  <c:v>4.7858339315625751E-3</c:v>
                </c:pt>
                <c:pt idx="5">
                  <c:v>7.1787508973438618E-3</c:v>
                </c:pt>
                <c:pt idx="6">
                  <c:v>8.6145010768126348E-2</c:v>
                </c:pt>
                <c:pt idx="7">
                  <c:v>4.9533381191672651E-2</c:v>
                </c:pt>
                <c:pt idx="8">
                  <c:v>2.0339794209140942E-2</c:v>
                </c:pt>
                <c:pt idx="9">
                  <c:v>1.4357501794687724E-2</c:v>
                </c:pt>
                <c:pt idx="10">
                  <c:v>0.27398899258195741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Bujuko-Buloba-24h'!$C$9:$N$9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Bujuko-Buloba-24h'!$C$108:$N$108</c:f>
              <c:numCache>
                <c:formatCode>0.00%</c:formatCode>
                <c:ptCount val="12"/>
                <c:pt idx="0">
                  <c:v>0.31938035596572184</c:v>
                </c:pt>
                <c:pt idx="1">
                  <c:v>9.9868160843770606E-2</c:v>
                </c:pt>
                <c:pt idx="2">
                  <c:v>5.3394858272907054E-2</c:v>
                </c:pt>
                <c:pt idx="3">
                  <c:v>0.27620303230059329</c:v>
                </c:pt>
                <c:pt idx="4">
                  <c:v>6.5919578114700065E-3</c:v>
                </c:pt>
                <c:pt idx="5">
                  <c:v>9.8879367172050106E-3</c:v>
                </c:pt>
                <c:pt idx="6">
                  <c:v>0.11865524060646011</c:v>
                </c:pt>
                <c:pt idx="7">
                  <c:v>6.8226763348714567E-2</c:v>
                </c:pt>
                <c:pt idx="8">
                  <c:v>2.8015820698747529E-2</c:v>
                </c:pt>
                <c:pt idx="9">
                  <c:v>1.9775873434410021E-2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Buloba-Bujuko-24h'!$AE$9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'31.10 Buloba-Bujuko-24h'!$R$10:$R$33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'31.10 Buloba-Bujuko-24h'!$AE$10:$AE$33</c:f>
              <c:numCache>
                <c:formatCode>0</c:formatCode>
                <c:ptCount val="24"/>
                <c:pt idx="0">
                  <c:v>116</c:v>
                </c:pt>
                <c:pt idx="1">
                  <c:v>227</c:v>
                </c:pt>
                <c:pt idx="2">
                  <c:v>183</c:v>
                </c:pt>
                <c:pt idx="3">
                  <c:v>241</c:v>
                </c:pt>
                <c:pt idx="4">
                  <c:v>197</c:v>
                </c:pt>
                <c:pt idx="5">
                  <c:v>155</c:v>
                </c:pt>
                <c:pt idx="6">
                  <c:v>216</c:v>
                </c:pt>
                <c:pt idx="7">
                  <c:v>175</c:v>
                </c:pt>
                <c:pt idx="8">
                  <c:v>204</c:v>
                </c:pt>
                <c:pt idx="9">
                  <c:v>173</c:v>
                </c:pt>
                <c:pt idx="10">
                  <c:v>204</c:v>
                </c:pt>
                <c:pt idx="11">
                  <c:v>138</c:v>
                </c:pt>
                <c:pt idx="12">
                  <c:v>204</c:v>
                </c:pt>
                <c:pt idx="13">
                  <c:v>184</c:v>
                </c:pt>
                <c:pt idx="14">
                  <c:v>147</c:v>
                </c:pt>
                <c:pt idx="15">
                  <c:v>99</c:v>
                </c:pt>
                <c:pt idx="16">
                  <c:v>62</c:v>
                </c:pt>
                <c:pt idx="17">
                  <c:v>61</c:v>
                </c:pt>
                <c:pt idx="18">
                  <c:v>16</c:v>
                </c:pt>
                <c:pt idx="19">
                  <c:v>12</c:v>
                </c:pt>
                <c:pt idx="20">
                  <c:v>19</c:v>
                </c:pt>
                <c:pt idx="21">
                  <c:v>16</c:v>
                </c:pt>
                <c:pt idx="22">
                  <c:v>17</c:v>
                </c:pt>
                <c:pt idx="23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'31.10 Buloba-Bujuko-24h'!$AF$9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'31.10 Buloba-Bujuko-24h'!$R$10:$R$33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'31.10 Buloba-Bujuko-24h'!$AF$10:$AF$33</c:f>
              <c:numCache>
                <c:formatCode>0</c:formatCode>
                <c:ptCount val="24"/>
                <c:pt idx="0">
                  <c:v>153</c:v>
                </c:pt>
                <c:pt idx="1">
                  <c:v>288</c:v>
                </c:pt>
                <c:pt idx="2">
                  <c:v>234</c:v>
                </c:pt>
                <c:pt idx="3">
                  <c:v>309</c:v>
                </c:pt>
                <c:pt idx="4">
                  <c:v>243</c:v>
                </c:pt>
                <c:pt idx="5">
                  <c:v>194</c:v>
                </c:pt>
                <c:pt idx="6">
                  <c:v>262</c:v>
                </c:pt>
                <c:pt idx="7">
                  <c:v>206</c:v>
                </c:pt>
                <c:pt idx="8">
                  <c:v>263</c:v>
                </c:pt>
                <c:pt idx="9">
                  <c:v>200</c:v>
                </c:pt>
                <c:pt idx="10">
                  <c:v>239</c:v>
                </c:pt>
                <c:pt idx="11">
                  <c:v>179</c:v>
                </c:pt>
                <c:pt idx="12">
                  <c:v>297</c:v>
                </c:pt>
                <c:pt idx="13">
                  <c:v>252</c:v>
                </c:pt>
                <c:pt idx="14">
                  <c:v>184</c:v>
                </c:pt>
                <c:pt idx="15">
                  <c:v>136</c:v>
                </c:pt>
                <c:pt idx="16">
                  <c:v>76</c:v>
                </c:pt>
                <c:pt idx="17">
                  <c:v>70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31</c:v>
                </c:pt>
                <c:pt idx="23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6783120"/>
        <c:axId val="2126787472"/>
      </c:lineChart>
      <c:catAx>
        <c:axId val="21267831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6787472"/>
        <c:crosses val="autoZero"/>
        <c:auto val="1"/>
        <c:lblAlgn val="ctr"/>
        <c:lblOffset val="100"/>
        <c:noMultiLvlLbl val="0"/>
      </c:catAx>
      <c:valAx>
        <c:axId val="2126787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678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Buloba-Bujuko-24h'!$C$9:$N$9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Buloba-Bujuko-24h'!$C$107:$N$107</c:f>
              <c:numCache>
                <c:formatCode>0.0%</c:formatCode>
                <c:ptCount val="12"/>
                <c:pt idx="0">
                  <c:v>0.24962102071753411</c:v>
                </c:pt>
                <c:pt idx="1">
                  <c:v>5.4825669530065686E-2</c:v>
                </c:pt>
                <c:pt idx="2">
                  <c:v>5.28044466902476E-2</c:v>
                </c:pt>
                <c:pt idx="3">
                  <c:v>0.21601819100555836</c:v>
                </c:pt>
                <c:pt idx="4">
                  <c:v>3.2844871147043962E-3</c:v>
                </c:pt>
                <c:pt idx="5">
                  <c:v>6.0636685194542699E-3</c:v>
                </c:pt>
                <c:pt idx="6">
                  <c:v>9.272359777665487E-2</c:v>
                </c:pt>
                <c:pt idx="7">
                  <c:v>6.9226882263769579E-2</c:v>
                </c:pt>
                <c:pt idx="8">
                  <c:v>2.1475492673067205E-2</c:v>
                </c:pt>
                <c:pt idx="9">
                  <c:v>1.6422435573521982E-2</c:v>
                </c:pt>
                <c:pt idx="10">
                  <c:v>0.21677614957049016</c:v>
                </c:pt>
                <c:pt idx="11">
                  <c:v>7.5795856493178374E-4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Buloba-Bujuko-24h'!$C$9:$N$9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Buloba-Bujuko-24h'!$C$108:$N$108</c:f>
              <c:numCache>
                <c:formatCode>0.00%</c:formatCode>
                <c:ptCount val="12"/>
                <c:pt idx="0">
                  <c:v>0.31870967741935485</c:v>
                </c:pt>
                <c:pt idx="1">
                  <c:v>7.0000000000000007E-2</c:v>
                </c:pt>
                <c:pt idx="2">
                  <c:v>6.7419354838709672E-2</c:v>
                </c:pt>
                <c:pt idx="3">
                  <c:v>0.27580645161290324</c:v>
                </c:pt>
                <c:pt idx="4">
                  <c:v>4.193548387096774E-3</c:v>
                </c:pt>
                <c:pt idx="5">
                  <c:v>7.7419354838709677E-3</c:v>
                </c:pt>
                <c:pt idx="6">
                  <c:v>0.11838709677419355</c:v>
                </c:pt>
                <c:pt idx="7">
                  <c:v>8.8387096774193555E-2</c:v>
                </c:pt>
                <c:pt idx="8">
                  <c:v>2.7419354838709678E-2</c:v>
                </c:pt>
                <c:pt idx="9">
                  <c:v>2.0967741935483872E-2</c:v>
                </c:pt>
                <c:pt idx="11">
                  <c:v>9.6774193548387097E-4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'1.11 Bujuko-Buloba'!$AE$9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'1.11 Bujuko-Buloba'!$R$10:$R$21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'1.11 Bujuko-Buloba'!$AE$10:$AE$21</c:f>
              <c:numCache>
                <c:formatCode>0</c:formatCode>
                <c:ptCount val="12"/>
                <c:pt idx="0">
                  <c:v>151</c:v>
                </c:pt>
                <c:pt idx="1">
                  <c:v>191</c:v>
                </c:pt>
                <c:pt idx="2">
                  <c:v>211</c:v>
                </c:pt>
                <c:pt idx="3">
                  <c:v>168</c:v>
                </c:pt>
                <c:pt idx="4">
                  <c:v>194</c:v>
                </c:pt>
                <c:pt idx="5">
                  <c:v>183</c:v>
                </c:pt>
                <c:pt idx="6">
                  <c:v>190</c:v>
                </c:pt>
                <c:pt idx="7">
                  <c:v>188</c:v>
                </c:pt>
                <c:pt idx="8">
                  <c:v>249</c:v>
                </c:pt>
                <c:pt idx="9">
                  <c:v>262</c:v>
                </c:pt>
                <c:pt idx="10">
                  <c:v>281</c:v>
                </c:pt>
                <c:pt idx="11">
                  <c:v>378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'1.11 Bujuko-Buloba'!$AF$9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'1.11 Bujuko-Buloba'!$R$10:$R$21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'1.11 Bujuko-Buloba'!$AF$10:$AF$21</c:f>
              <c:numCache>
                <c:formatCode>0</c:formatCode>
                <c:ptCount val="12"/>
                <c:pt idx="0">
                  <c:v>204</c:v>
                </c:pt>
                <c:pt idx="1">
                  <c:v>290</c:v>
                </c:pt>
                <c:pt idx="2">
                  <c:v>316</c:v>
                </c:pt>
                <c:pt idx="3">
                  <c:v>250</c:v>
                </c:pt>
                <c:pt idx="4">
                  <c:v>281</c:v>
                </c:pt>
                <c:pt idx="5">
                  <c:v>252</c:v>
                </c:pt>
                <c:pt idx="6">
                  <c:v>253</c:v>
                </c:pt>
                <c:pt idx="7">
                  <c:v>198</c:v>
                </c:pt>
                <c:pt idx="8">
                  <c:v>301</c:v>
                </c:pt>
                <c:pt idx="9">
                  <c:v>361</c:v>
                </c:pt>
                <c:pt idx="10">
                  <c:v>370</c:v>
                </c:pt>
                <c:pt idx="11">
                  <c:v>475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3264544"/>
        <c:axId val="2123266720"/>
      </c:lineChart>
      <c:catAx>
        <c:axId val="21232645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3266720"/>
        <c:crosses val="autoZero"/>
        <c:auto val="1"/>
        <c:lblAlgn val="ctr"/>
        <c:lblOffset val="100"/>
        <c:noMultiLvlLbl val="0"/>
      </c:catAx>
      <c:valAx>
        <c:axId val="2123266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326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'1.11 Bujuko-Buloba'!$C$9:$N$9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'1.11 Bujuko-Buloba'!$C$59:$N$59</c:f>
              <c:numCache>
                <c:formatCode>0.0%</c:formatCode>
                <c:ptCount val="12"/>
                <c:pt idx="0">
                  <c:v>0.27428893269501547</c:v>
                </c:pt>
                <c:pt idx="1">
                  <c:v>5.3506054632497885E-2</c:v>
                </c:pt>
                <c:pt idx="2">
                  <c:v>5.6603773584905662E-2</c:v>
                </c:pt>
                <c:pt idx="3">
                  <c:v>0.23570825119684596</c:v>
                </c:pt>
                <c:pt idx="4">
                  <c:v>5.0689946493945367E-3</c:v>
                </c:pt>
                <c:pt idx="5">
                  <c:v>3.942551393973529E-3</c:v>
                </c:pt>
                <c:pt idx="6">
                  <c:v>6.5333708814418467E-2</c:v>
                </c:pt>
                <c:pt idx="7">
                  <c:v>3.2666854407209234E-2</c:v>
                </c:pt>
                <c:pt idx="8">
                  <c:v>9.8563784849338212E-3</c:v>
                </c:pt>
                <c:pt idx="9">
                  <c:v>8.1667136018023084E-3</c:v>
                </c:pt>
                <c:pt idx="10">
                  <c:v>0.25485778653900309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'1.11 Bujuko-Buloba'!$S$9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'1.11 Bujuko-Buloba'!$R$10:$R$21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'1.11 Bujuko-Buloba'!$S$10:$S$21</c:f>
              <c:numCache>
                <c:formatCode>0</c:formatCode>
                <c:ptCount val="12"/>
                <c:pt idx="0">
                  <c:v>61</c:v>
                </c:pt>
                <c:pt idx="1">
                  <c:v>74</c:v>
                </c:pt>
                <c:pt idx="2">
                  <c:v>80</c:v>
                </c:pt>
                <c:pt idx="3">
                  <c:v>70</c:v>
                </c:pt>
                <c:pt idx="4">
                  <c:v>68</c:v>
                </c:pt>
                <c:pt idx="5">
                  <c:v>58</c:v>
                </c:pt>
                <c:pt idx="6">
                  <c:v>82</c:v>
                </c:pt>
                <c:pt idx="7">
                  <c:v>56</c:v>
                </c:pt>
                <c:pt idx="8">
                  <c:v>87</c:v>
                </c:pt>
                <c:pt idx="9">
                  <c:v>96</c:v>
                </c:pt>
                <c:pt idx="10">
                  <c:v>104</c:v>
                </c:pt>
                <c:pt idx="11">
                  <c:v>138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'1.11 Bujuko-Buloba'!$T$9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'1.11 Bujuko-Buloba'!$R$10:$R$21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'1.11 Bujuko-Buloba'!$T$10:$T$21</c:f>
              <c:numCache>
                <c:formatCode>0</c:formatCode>
                <c:ptCount val="12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12</c:v>
                </c:pt>
                <c:pt idx="4">
                  <c:v>15</c:v>
                </c:pt>
                <c:pt idx="5">
                  <c:v>13</c:v>
                </c:pt>
                <c:pt idx="6">
                  <c:v>15</c:v>
                </c:pt>
                <c:pt idx="7">
                  <c:v>12</c:v>
                </c:pt>
                <c:pt idx="8">
                  <c:v>13</c:v>
                </c:pt>
                <c:pt idx="9">
                  <c:v>24</c:v>
                </c:pt>
                <c:pt idx="10">
                  <c:v>35</c:v>
                </c:pt>
                <c:pt idx="11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'1.11 Bujuko-Buloba'!$U$9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'1.11 Bujuko-Buloba'!$U$10:$U$21</c:f>
              <c:numCache>
                <c:formatCode>0</c:formatCode>
                <c:ptCount val="12"/>
                <c:pt idx="0">
                  <c:v>7</c:v>
                </c:pt>
                <c:pt idx="1">
                  <c:v>14</c:v>
                </c:pt>
                <c:pt idx="2">
                  <c:v>15</c:v>
                </c:pt>
                <c:pt idx="3">
                  <c:v>14</c:v>
                </c:pt>
                <c:pt idx="4">
                  <c:v>12</c:v>
                </c:pt>
                <c:pt idx="5">
                  <c:v>13</c:v>
                </c:pt>
                <c:pt idx="6">
                  <c:v>15</c:v>
                </c:pt>
                <c:pt idx="7">
                  <c:v>23</c:v>
                </c:pt>
                <c:pt idx="8">
                  <c:v>27</c:v>
                </c:pt>
                <c:pt idx="9">
                  <c:v>18</c:v>
                </c:pt>
                <c:pt idx="10">
                  <c:v>18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'1.11 Bujuko-Buloba'!$V$9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'1.11 Bujuko-Buloba'!$V$10:$V$21</c:f>
              <c:numCache>
                <c:formatCode>0</c:formatCode>
                <c:ptCount val="12"/>
                <c:pt idx="0">
                  <c:v>61</c:v>
                </c:pt>
                <c:pt idx="1">
                  <c:v>72</c:v>
                </c:pt>
                <c:pt idx="2">
                  <c:v>83</c:v>
                </c:pt>
                <c:pt idx="3">
                  <c:v>56</c:v>
                </c:pt>
                <c:pt idx="4">
                  <c:v>63</c:v>
                </c:pt>
                <c:pt idx="5">
                  <c:v>58</c:v>
                </c:pt>
                <c:pt idx="6">
                  <c:v>50</c:v>
                </c:pt>
                <c:pt idx="7">
                  <c:v>50</c:v>
                </c:pt>
                <c:pt idx="8">
                  <c:v>75</c:v>
                </c:pt>
                <c:pt idx="9">
                  <c:v>69</c:v>
                </c:pt>
                <c:pt idx="10">
                  <c:v>80</c:v>
                </c:pt>
                <c:pt idx="11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'1.11 Bujuko-Buloba'!$W$9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'1.11 Bujuko-Buloba'!$W$10:$W$21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'1.11 Bujuko-Buloba'!$X$9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'1.11 Bujuko-Buloba'!$X$10:$X$21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'1.11 Bujuko-Buloba'!$Y$9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'1.11 Bujuko-Buloba'!$Y$10:$Y$21</c:f>
              <c:numCache>
                <c:formatCode>0</c:formatCode>
                <c:ptCount val="12"/>
                <c:pt idx="0">
                  <c:v>5</c:v>
                </c:pt>
                <c:pt idx="1">
                  <c:v>11</c:v>
                </c:pt>
                <c:pt idx="2">
                  <c:v>16</c:v>
                </c:pt>
                <c:pt idx="3">
                  <c:v>6</c:v>
                </c:pt>
                <c:pt idx="4">
                  <c:v>18</c:v>
                </c:pt>
                <c:pt idx="5">
                  <c:v>26</c:v>
                </c:pt>
                <c:pt idx="6">
                  <c:v>19</c:v>
                </c:pt>
                <c:pt idx="7">
                  <c:v>26</c:v>
                </c:pt>
                <c:pt idx="8">
                  <c:v>28</c:v>
                </c:pt>
                <c:pt idx="9">
                  <c:v>27</c:v>
                </c:pt>
                <c:pt idx="10">
                  <c:v>19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'1.11 Bujuko-Buloba'!$Z$9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'1.11 Bujuko-Buloba'!$Z$10:$Z$21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10</c:v>
                </c:pt>
                <c:pt idx="5">
                  <c:v>8</c:v>
                </c:pt>
                <c:pt idx="6">
                  <c:v>3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11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'1.11 Bujuko-Buloba'!$AA$9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'1.11 Bujuko-Buloba'!$AA$10:$AA$21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6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'1.11 Bujuko-Buloba'!$AB$9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'1.11 Bujuko-Buloba'!$AB$10:$AB$21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0</c:v>
                </c:pt>
                <c:pt idx="9">
                  <c:v>6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'1.11 Bujuko-Buloba'!$AC$9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'1.11 Bujuko-Buloba'!$AC$10:$AC$21</c:f>
              <c:numCache>
                <c:formatCode>0</c:formatCode>
                <c:ptCount val="12"/>
                <c:pt idx="0">
                  <c:v>53</c:v>
                </c:pt>
                <c:pt idx="1">
                  <c:v>99</c:v>
                </c:pt>
                <c:pt idx="2">
                  <c:v>105</c:v>
                </c:pt>
                <c:pt idx="3">
                  <c:v>82</c:v>
                </c:pt>
                <c:pt idx="4">
                  <c:v>87</c:v>
                </c:pt>
                <c:pt idx="5">
                  <c:v>69</c:v>
                </c:pt>
                <c:pt idx="6">
                  <c:v>63</c:v>
                </c:pt>
                <c:pt idx="7">
                  <c:v>10</c:v>
                </c:pt>
                <c:pt idx="8">
                  <c:v>52</c:v>
                </c:pt>
                <c:pt idx="9">
                  <c:v>99</c:v>
                </c:pt>
                <c:pt idx="10">
                  <c:v>89</c:v>
                </c:pt>
                <c:pt idx="1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'1.11 Bujuko-Buloba'!$AD$9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'1.11 Bujuko-Buloba'!$AD$10:$AD$21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3269440"/>
        <c:axId val="2123272160"/>
      </c:lineChart>
      <c:catAx>
        <c:axId val="212326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3272160"/>
        <c:crosses val="autoZero"/>
        <c:auto val="1"/>
        <c:lblAlgn val="ctr"/>
        <c:lblOffset val="100"/>
        <c:noMultiLvlLbl val="0"/>
      </c:catAx>
      <c:valAx>
        <c:axId val="212327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326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'1.11 Bujuko-Buloba'!$C$9:$N$9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'1.11 Bujuko-Buloba'!$C$60:$N$60</c:f>
              <c:numCache>
                <c:formatCode>0.00%</c:formatCode>
                <c:ptCount val="12"/>
                <c:pt idx="0">
                  <c:v>0.36810279667422524</c:v>
                </c:pt>
                <c:pt idx="1">
                  <c:v>7.1806500377928947E-2</c:v>
                </c:pt>
                <c:pt idx="2">
                  <c:v>7.5963718820861684E-2</c:v>
                </c:pt>
                <c:pt idx="3">
                  <c:v>0.31632653061224492</c:v>
                </c:pt>
                <c:pt idx="4">
                  <c:v>6.8027210884353739E-3</c:v>
                </c:pt>
                <c:pt idx="5">
                  <c:v>5.2910052910052907E-3</c:v>
                </c:pt>
                <c:pt idx="6">
                  <c:v>8.7679516250944819E-2</c:v>
                </c:pt>
                <c:pt idx="7">
                  <c:v>4.383975812547241E-2</c:v>
                </c:pt>
                <c:pt idx="8">
                  <c:v>1.3227513227513227E-2</c:v>
                </c:pt>
                <c:pt idx="9">
                  <c:v>1.0959939531368102E-2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'1.11 Buloba-Bujuko'!$AE$9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'1.11 Buloba-Bujuko'!$R$10:$R$21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'1.11 Buloba-Bujuko'!$AE$10:$AE$21</c:f>
              <c:numCache>
                <c:formatCode>0</c:formatCode>
                <c:ptCount val="12"/>
                <c:pt idx="0">
                  <c:v>144</c:v>
                </c:pt>
                <c:pt idx="1">
                  <c:v>151</c:v>
                </c:pt>
                <c:pt idx="2">
                  <c:v>97</c:v>
                </c:pt>
                <c:pt idx="3">
                  <c:v>195</c:v>
                </c:pt>
                <c:pt idx="4">
                  <c:v>178</c:v>
                </c:pt>
                <c:pt idx="5">
                  <c:v>147</c:v>
                </c:pt>
                <c:pt idx="6">
                  <c:v>228</c:v>
                </c:pt>
                <c:pt idx="7">
                  <c:v>178</c:v>
                </c:pt>
                <c:pt idx="8">
                  <c:v>227</c:v>
                </c:pt>
                <c:pt idx="9">
                  <c:v>220</c:v>
                </c:pt>
                <c:pt idx="10">
                  <c:v>172</c:v>
                </c:pt>
                <c:pt idx="11">
                  <c:v>197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'1.11 Buloba-Bujuko'!$AF$9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'1.11 Buloba-Bujuko'!$R$10:$R$21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'1.11 Buloba-Bujuko'!$AF$10:$AF$21</c:f>
              <c:numCache>
                <c:formatCode>0</c:formatCode>
                <c:ptCount val="12"/>
                <c:pt idx="0">
                  <c:v>190</c:v>
                </c:pt>
                <c:pt idx="1">
                  <c:v>204</c:v>
                </c:pt>
                <c:pt idx="2">
                  <c:v>133</c:v>
                </c:pt>
                <c:pt idx="3">
                  <c:v>277</c:v>
                </c:pt>
                <c:pt idx="4">
                  <c:v>270</c:v>
                </c:pt>
                <c:pt idx="5">
                  <c:v>212</c:v>
                </c:pt>
                <c:pt idx="6">
                  <c:v>277</c:v>
                </c:pt>
                <c:pt idx="7">
                  <c:v>188</c:v>
                </c:pt>
                <c:pt idx="8">
                  <c:v>272</c:v>
                </c:pt>
                <c:pt idx="9">
                  <c:v>270</c:v>
                </c:pt>
                <c:pt idx="10">
                  <c:v>205</c:v>
                </c:pt>
                <c:pt idx="11">
                  <c:v>263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742848"/>
        <c:axId val="2124743392"/>
      </c:lineChart>
      <c:catAx>
        <c:axId val="2124742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4743392"/>
        <c:crosses val="autoZero"/>
        <c:auto val="1"/>
        <c:lblAlgn val="ctr"/>
        <c:lblOffset val="100"/>
        <c:noMultiLvlLbl val="0"/>
      </c:catAx>
      <c:valAx>
        <c:axId val="21247433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474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'1.11 Buloba-Bujuko'!$C$9:$N$9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'1.11 Buloba-Bujuko'!$C$59:$N$59</c:f>
              <c:numCache>
                <c:formatCode>0.0%</c:formatCode>
                <c:ptCount val="12"/>
                <c:pt idx="0">
                  <c:v>0.23071350959797174</c:v>
                </c:pt>
                <c:pt idx="1">
                  <c:v>6.5193770373053239E-2</c:v>
                </c:pt>
                <c:pt idx="2">
                  <c:v>4.4549076421586384E-2</c:v>
                </c:pt>
                <c:pt idx="3">
                  <c:v>0.24809851503078595</c:v>
                </c:pt>
                <c:pt idx="4">
                  <c:v>2.897500905469033E-3</c:v>
                </c:pt>
                <c:pt idx="5">
                  <c:v>8.3303151032234693E-3</c:v>
                </c:pt>
                <c:pt idx="6">
                  <c:v>8.6562839550887366E-2</c:v>
                </c:pt>
                <c:pt idx="7">
                  <c:v>6.1209706628033322E-2</c:v>
                </c:pt>
                <c:pt idx="8">
                  <c:v>1.4487504527345164E-2</c:v>
                </c:pt>
                <c:pt idx="9">
                  <c:v>1.0865628395508874E-2</c:v>
                </c:pt>
                <c:pt idx="10">
                  <c:v>0.22709163346613545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'1.11 Buloba-Bujuko'!$C$9:$N$9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'1.11 Buloba-Bujuko'!$C$60:$N$60</c:f>
              <c:numCache>
                <c:formatCode>0.00%</c:formatCode>
                <c:ptCount val="12"/>
                <c:pt idx="0">
                  <c:v>0.29850046860356139</c:v>
                </c:pt>
                <c:pt idx="1">
                  <c:v>8.4348641049671977E-2</c:v>
                </c:pt>
                <c:pt idx="2">
                  <c:v>5.7638238050609185E-2</c:v>
                </c:pt>
                <c:pt idx="3">
                  <c:v>0.32099343955014059</c:v>
                </c:pt>
                <c:pt idx="4">
                  <c:v>3.7488284910965324E-3</c:v>
                </c:pt>
                <c:pt idx="5">
                  <c:v>1.077788191190253E-2</c:v>
                </c:pt>
                <c:pt idx="6">
                  <c:v>0.11199625117150891</c:v>
                </c:pt>
                <c:pt idx="7">
                  <c:v>7.9194001874414249E-2</c:v>
                </c:pt>
                <c:pt idx="8">
                  <c:v>1.874414245548266E-2</c:v>
                </c:pt>
                <c:pt idx="9">
                  <c:v>1.4058106841611996E-2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'2.11 Bujuko-Buloba-24HR'!$AE$9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'2.11 Bujuko-Buloba-24HR'!$R$10:$R$33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'2.11 Bujuko-Buloba-24HR'!$AE$10:$AE$33</c:f>
              <c:numCache>
                <c:formatCode>0</c:formatCode>
                <c:ptCount val="24"/>
                <c:pt idx="0">
                  <c:v>111</c:v>
                </c:pt>
                <c:pt idx="1">
                  <c:v>132</c:v>
                </c:pt>
                <c:pt idx="2">
                  <c:v>166</c:v>
                </c:pt>
                <c:pt idx="3">
                  <c:v>120</c:v>
                </c:pt>
                <c:pt idx="4">
                  <c:v>120</c:v>
                </c:pt>
                <c:pt idx="5">
                  <c:v>146</c:v>
                </c:pt>
                <c:pt idx="6">
                  <c:v>152</c:v>
                </c:pt>
                <c:pt idx="7">
                  <c:v>156</c:v>
                </c:pt>
                <c:pt idx="8">
                  <c:v>137</c:v>
                </c:pt>
                <c:pt idx="9">
                  <c:v>65</c:v>
                </c:pt>
                <c:pt idx="10">
                  <c:v>63</c:v>
                </c:pt>
                <c:pt idx="11">
                  <c:v>191</c:v>
                </c:pt>
                <c:pt idx="12">
                  <c:v>350</c:v>
                </c:pt>
                <c:pt idx="13">
                  <c:v>224</c:v>
                </c:pt>
                <c:pt idx="14">
                  <c:v>194</c:v>
                </c:pt>
                <c:pt idx="15">
                  <c:v>115</c:v>
                </c:pt>
                <c:pt idx="16">
                  <c:v>85</c:v>
                </c:pt>
                <c:pt idx="17">
                  <c:v>43</c:v>
                </c:pt>
                <c:pt idx="18">
                  <c:v>50</c:v>
                </c:pt>
                <c:pt idx="19">
                  <c:v>32</c:v>
                </c:pt>
                <c:pt idx="20">
                  <c:v>14</c:v>
                </c:pt>
                <c:pt idx="21">
                  <c:v>39</c:v>
                </c:pt>
                <c:pt idx="22">
                  <c:v>76</c:v>
                </c:pt>
                <c:pt idx="23">
                  <c:v>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'2.11 Bujuko-Buloba-24HR'!$AF$9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'2.11 Bujuko-Buloba-24HR'!$R$10:$R$33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'2.11 Bujuko-Buloba-24HR'!$AF$10:$AF$33</c:f>
              <c:numCache>
                <c:formatCode>0</c:formatCode>
                <c:ptCount val="24"/>
                <c:pt idx="0">
                  <c:v>161</c:v>
                </c:pt>
                <c:pt idx="1">
                  <c:v>189</c:v>
                </c:pt>
                <c:pt idx="2">
                  <c:v>236</c:v>
                </c:pt>
                <c:pt idx="3">
                  <c:v>181</c:v>
                </c:pt>
                <c:pt idx="4">
                  <c:v>154</c:v>
                </c:pt>
                <c:pt idx="5">
                  <c:v>205</c:v>
                </c:pt>
                <c:pt idx="6">
                  <c:v>213</c:v>
                </c:pt>
                <c:pt idx="7">
                  <c:v>207</c:v>
                </c:pt>
                <c:pt idx="8">
                  <c:v>176</c:v>
                </c:pt>
                <c:pt idx="9">
                  <c:v>84</c:v>
                </c:pt>
                <c:pt idx="10">
                  <c:v>94</c:v>
                </c:pt>
                <c:pt idx="11">
                  <c:v>240</c:v>
                </c:pt>
                <c:pt idx="12">
                  <c:v>451</c:v>
                </c:pt>
                <c:pt idx="13">
                  <c:v>264</c:v>
                </c:pt>
                <c:pt idx="14">
                  <c:v>235</c:v>
                </c:pt>
                <c:pt idx="15">
                  <c:v>147</c:v>
                </c:pt>
                <c:pt idx="16">
                  <c:v>111</c:v>
                </c:pt>
                <c:pt idx="17">
                  <c:v>56</c:v>
                </c:pt>
                <c:pt idx="18">
                  <c:v>64</c:v>
                </c:pt>
                <c:pt idx="19">
                  <c:v>49</c:v>
                </c:pt>
                <c:pt idx="20">
                  <c:v>20</c:v>
                </c:pt>
                <c:pt idx="21">
                  <c:v>50</c:v>
                </c:pt>
                <c:pt idx="22">
                  <c:v>113</c:v>
                </c:pt>
                <c:pt idx="23">
                  <c:v>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6784752"/>
        <c:axId val="2126785840"/>
      </c:lineChart>
      <c:catAx>
        <c:axId val="21267847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6785840"/>
        <c:crosses val="autoZero"/>
        <c:auto val="1"/>
        <c:lblAlgn val="ctr"/>
        <c:lblOffset val="100"/>
        <c:noMultiLvlLbl val="0"/>
      </c:catAx>
      <c:valAx>
        <c:axId val="2126785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678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'2.11 Bujuko-Buloba-24HR'!$C$9:$N$9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'2.11 Bujuko-Buloba-24HR'!$C$107:$N$107</c:f>
              <c:numCache>
                <c:formatCode>0.0%</c:formatCode>
                <c:ptCount val="12"/>
                <c:pt idx="0">
                  <c:v>0.24191427820141992</c:v>
                </c:pt>
                <c:pt idx="1">
                  <c:v>7.178543255324743E-2</c:v>
                </c:pt>
                <c:pt idx="2">
                  <c:v>4.9171706547462529E-2</c:v>
                </c:pt>
                <c:pt idx="3">
                  <c:v>0.20194583223770707</c:v>
                </c:pt>
                <c:pt idx="4">
                  <c:v>3.6813042334998686E-3</c:v>
                </c:pt>
                <c:pt idx="5">
                  <c:v>5.2590060478569546E-3</c:v>
                </c:pt>
                <c:pt idx="6">
                  <c:v>9.9132264002103607E-2</c:v>
                </c:pt>
                <c:pt idx="7">
                  <c:v>4.5490402313962661E-2</c:v>
                </c:pt>
                <c:pt idx="8">
                  <c:v>1.630291874835656E-2</c:v>
                </c:pt>
                <c:pt idx="9">
                  <c:v>1.6039968445963712E-2</c:v>
                </c:pt>
                <c:pt idx="10">
                  <c:v>0.24927688666841966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'2.11 Bujuko-Buloba-24HR'!$C$9:$N$9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'2.11 Bujuko-Buloba-24HR'!$C$108:$N$108</c:f>
              <c:numCache>
                <c:formatCode>0.00%</c:formatCode>
                <c:ptCount val="12"/>
                <c:pt idx="0">
                  <c:v>0.32224168126094571</c:v>
                </c:pt>
                <c:pt idx="1">
                  <c:v>9.5621716287215414E-2</c:v>
                </c:pt>
                <c:pt idx="2">
                  <c:v>6.5499124343257442E-2</c:v>
                </c:pt>
                <c:pt idx="3">
                  <c:v>0.26900175131348514</c:v>
                </c:pt>
                <c:pt idx="4">
                  <c:v>4.9036777583187389E-3</c:v>
                </c:pt>
                <c:pt idx="5">
                  <c:v>7.0052539404553416E-3</c:v>
                </c:pt>
                <c:pt idx="6">
                  <c:v>0.1320490367775832</c:v>
                </c:pt>
                <c:pt idx="7">
                  <c:v>6.0595446584938706E-2</c:v>
                </c:pt>
                <c:pt idx="8">
                  <c:v>2.1716287215411557E-2</c:v>
                </c:pt>
                <c:pt idx="9">
                  <c:v>2.1366024518388791E-2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'2.11 Buloba-Bujuko-24HR'!$AE$9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'2.11 Buloba-Bujuko-24HR'!$R$10:$R$33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'2.11 Buloba-Bujuko-24HR'!$AE$10:$AE$33</c:f>
              <c:numCache>
                <c:formatCode>0</c:formatCode>
                <c:ptCount val="24"/>
                <c:pt idx="0">
                  <c:v>134</c:v>
                </c:pt>
                <c:pt idx="1">
                  <c:v>194</c:v>
                </c:pt>
                <c:pt idx="2">
                  <c:v>256</c:v>
                </c:pt>
                <c:pt idx="3">
                  <c:v>331</c:v>
                </c:pt>
                <c:pt idx="4">
                  <c:v>256</c:v>
                </c:pt>
                <c:pt idx="5">
                  <c:v>289</c:v>
                </c:pt>
                <c:pt idx="6">
                  <c:v>234</c:v>
                </c:pt>
                <c:pt idx="7">
                  <c:v>355</c:v>
                </c:pt>
                <c:pt idx="8">
                  <c:v>277</c:v>
                </c:pt>
                <c:pt idx="9">
                  <c:v>237</c:v>
                </c:pt>
                <c:pt idx="10">
                  <c:v>329</c:v>
                </c:pt>
                <c:pt idx="11">
                  <c:v>305</c:v>
                </c:pt>
                <c:pt idx="12">
                  <c:v>158</c:v>
                </c:pt>
                <c:pt idx="13">
                  <c:v>78</c:v>
                </c:pt>
                <c:pt idx="14">
                  <c:v>99</c:v>
                </c:pt>
                <c:pt idx="15">
                  <c:v>115</c:v>
                </c:pt>
                <c:pt idx="16">
                  <c:v>127</c:v>
                </c:pt>
                <c:pt idx="17">
                  <c:v>81</c:v>
                </c:pt>
                <c:pt idx="18">
                  <c:v>44</c:v>
                </c:pt>
                <c:pt idx="19">
                  <c:v>32</c:v>
                </c:pt>
                <c:pt idx="20">
                  <c:v>22</c:v>
                </c:pt>
                <c:pt idx="21">
                  <c:v>22</c:v>
                </c:pt>
                <c:pt idx="22">
                  <c:v>44</c:v>
                </c:pt>
                <c:pt idx="23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'2.11 Buloba-Bujuko-24HR'!$AF$9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'2.11 Buloba-Bujuko-24HR'!$R$10:$R$33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'2.11 Buloba-Bujuko-24HR'!$AF$10:$AF$33</c:f>
              <c:numCache>
                <c:formatCode>0</c:formatCode>
                <c:ptCount val="24"/>
                <c:pt idx="0">
                  <c:v>188</c:v>
                </c:pt>
                <c:pt idx="1">
                  <c:v>286</c:v>
                </c:pt>
                <c:pt idx="2">
                  <c:v>370</c:v>
                </c:pt>
                <c:pt idx="3">
                  <c:v>433</c:v>
                </c:pt>
                <c:pt idx="4">
                  <c:v>329</c:v>
                </c:pt>
                <c:pt idx="5">
                  <c:v>377</c:v>
                </c:pt>
                <c:pt idx="6">
                  <c:v>330</c:v>
                </c:pt>
                <c:pt idx="7">
                  <c:v>449</c:v>
                </c:pt>
                <c:pt idx="8">
                  <c:v>342</c:v>
                </c:pt>
                <c:pt idx="9">
                  <c:v>304</c:v>
                </c:pt>
                <c:pt idx="10">
                  <c:v>412</c:v>
                </c:pt>
                <c:pt idx="11">
                  <c:v>381</c:v>
                </c:pt>
                <c:pt idx="12">
                  <c:v>230</c:v>
                </c:pt>
                <c:pt idx="13">
                  <c:v>115</c:v>
                </c:pt>
                <c:pt idx="14">
                  <c:v>125</c:v>
                </c:pt>
                <c:pt idx="15">
                  <c:v>152</c:v>
                </c:pt>
                <c:pt idx="16">
                  <c:v>156</c:v>
                </c:pt>
                <c:pt idx="17">
                  <c:v>101</c:v>
                </c:pt>
                <c:pt idx="18">
                  <c:v>55</c:v>
                </c:pt>
                <c:pt idx="19">
                  <c:v>37</c:v>
                </c:pt>
                <c:pt idx="20">
                  <c:v>26</c:v>
                </c:pt>
                <c:pt idx="21">
                  <c:v>34</c:v>
                </c:pt>
                <c:pt idx="22">
                  <c:v>68</c:v>
                </c:pt>
                <c:pt idx="23">
                  <c:v>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340096"/>
        <c:axId val="2128331392"/>
      </c:lineChart>
      <c:catAx>
        <c:axId val="21283400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31392"/>
        <c:crosses val="autoZero"/>
        <c:auto val="1"/>
        <c:lblAlgn val="ctr"/>
        <c:lblOffset val="100"/>
        <c:noMultiLvlLbl val="0"/>
      </c:catAx>
      <c:valAx>
        <c:axId val="21283313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4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'2.11 Buloba-Bujuko-24HR'!$C$9:$N$9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'2.11 Buloba-Bujuko-24HR'!$C$107:$N$107</c:f>
              <c:numCache>
                <c:formatCode>0.0%</c:formatCode>
                <c:ptCount val="12"/>
                <c:pt idx="0">
                  <c:v>0.20530048525569242</c:v>
                </c:pt>
                <c:pt idx="1">
                  <c:v>0.11552818215752146</c:v>
                </c:pt>
                <c:pt idx="2">
                  <c:v>7.9880552444942146E-2</c:v>
                </c:pt>
                <c:pt idx="3">
                  <c:v>0.20044792833146696</c:v>
                </c:pt>
                <c:pt idx="4">
                  <c:v>5.412467338559164E-3</c:v>
                </c:pt>
                <c:pt idx="5">
                  <c:v>4.6659201194475548E-3</c:v>
                </c:pt>
                <c:pt idx="6">
                  <c:v>9.7797685703620754E-2</c:v>
                </c:pt>
                <c:pt idx="7">
                  <c:v>2.0903322135125045E-2</c:v>
                </c:pt>
                <c:pt idx="8">
                  <c:v>1.7543859649122806E-2</c:v>
                </c:pt>
                <c:pt idx="9">
                  <c:v>8.585293019783502E-3</c:v>
                </c:pt>
                <c:pt idx="10">
                  <c:v>0.24374766703994027</c:v>
                </c:pt>
                <c:pt idx="11">
                  <c:v>1.866368047779022E-4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'2.11 Buloba-Bujuko-24HR'!$C$9:$N$9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'2.11 Buloba-Bujuko-24HR'!$C$108:$N$108</c:f>
              <c:numCache>
                <c:formatCode>0.00%</c:formatCode>
                <c:ptCount val="12"/>
                <c:pt idx="0">
                  <c:v>0.27147087857847979</c:v>
                </c:pt>
                <c:pt idx="1">
                  <c:v>0.15276406712734453</c:v>
                </c:pt>
                <c:pt idx="2">
                  <c:v>0.10562685093780849</c:v>
                </c:pt>
                <c:pt idx="3">
                  <c:v>0.26505429417571569</c:v>
                </c:pt>
                <c:pt idx="4">
                  <c:v>7.1569595261599213E-3</c:v>
                </c:pt>
                <c:pt idx="5">
                  <c:v>6.1697926949654492E-3</c:v>
                </c:pt>
                <c:pt idx="6">
                  <c:v>0.12931885488647582</c:v>
                </c:pt>
                <c:pt idx="7">
                  <c:v>2.7640671273445213E-2</c:v>
                </c:pt>
                <c:pt idx="8">
                  <c:v>2.3198420533070089E-2</c:v>
                </c:pt>
                <c:pt idx="9">
                  <c:v>1.1352418558736426E-2</c:v>
                </c:pt>
                <c:pt idx="11">
                  <c:v>2.4679170779861795E-4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'3.11 Bujuko-Buloba'!$AE$9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'3.11 Bujuko-Buloba'!$R$10:$R$21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'3.11 Bujuko-Buloba'!$AE$10:$AE$21</c:f>
              <c:numCache>
                <c:formatCode>0</c:formatCode>
                <c:ptCount val="12"/>
                <c:pt idx="0">
                  <c:v>121</c:v>
                </c:pt>
                <c:pt idx="1">
                  <c:v>137</c:v>
                </c:pt>
                <c:pt idx="2">
                  <c:v>161</c:v>
                </c:pt>
                <c:pt idx="3">
                  <c:v>143</c:v>
                </c:pt>
                <c:pt idx="4">
                  <c:v>168</c:v>
                </c:pt>
                <c:pt idx="5">
                  <c:v>198</c:v>
                </c:pt>
                <c:pt idx="6">
                  <c:v>218</c:v>
                </c:pt>
                <c:pt idx="7">
                  <c:v>260</c:v>
                </c:pt>
                <c:pt idx="8">
                  <c:v>271</c:v>
                </c:pt>
                <c:pt idx="9">
                  <c:v>332</c:v>
                </c:pt>
                <c:pt idx="10">
                  <c:v>384</c:v>
                </c:pt>
                <c:pt idx="11">
                  <c:v>464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'3.11 Bujuko-Buloba'!$AF$9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'3.11 Bujuko-Buloba'!$R$10:$R$21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'3.11 Bujuko-Buloba'!$AF$10:$AF$21</c:f>
              <c:numCache>
                <c:formatCode>0</c:formatCode>
                <c:ptCount val="12"/>
                <c:pt idx="0">
                  <c:v>153</c:v>
                </c:pt>
                <c:pt idx="1">
                  <c:v>203</c:v>
                </c:pt>
                <c:pt idx="2">
                  <c:v>257</c:v>
                </c:pt>
                <c:pt idx="3">
                  <c:v>220</c:v>
                </c:pt>
                <c:pt idx="4">
                  <c:v>263</c:v>
                </c:pt>
                <c:pt idx="5">
                  <c:v>283</c:v>
                </c:pt>
                <c:pt idx="6">
                  <c:v>286</c:v>
                </c:pt>
                <c:pt idx="7">
                  <c:v>349</c:v>
                </c:pt>
                <c:pt idx="8">
                  <c:v>350</c:v>
                </c:pt>
                <c:pt idx="9">
                  <c:v>441</c:v>
                </c:pt>
                <c:pt idx="10">
                  <c:v>507</c:v>
                </c:pt>
                <c:pt idx="11">
                  <c:v>609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745024"/>
        <c:axId val="2124735776"/>
      </c:lineChart>
      <c:catAx>
        <c:axId val="21247450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4735776"/>
        <c:crosses val="autoZero"/>
        <c:auto val="1"/>
        <c:lblAlgn val="ctr"/>
        <c:lblOffset val="100"/>
        <c:noMultiLvlLbl val="0"/>
      </c:catAx>
      <c:valAx>
        <c:axId val="2124735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474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'3.11 Bujuko-Buloba'!$C$9:$N$9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'3.11 Bujuko-Buloba'!$C$59:$N$59</c:f>
              <c:numCache>
                <c:formatCode>0.0%</c:formatCode>
                <c:ptCount val="12"/>
                <c:pt idx="0">
                  <c:v>0.29992348890589138</c:v>
                </c:pt>
                <c:pt idx="1">
                  <c:v>5.4067839836776335E-2</c:v>
                </c:pt>
                <c:pt idx="2">
                  <c:v>4.6161693445549608E-2</c:v>
                </c:pt>
                <c:pt idx="3">
                  <c:v>0.21423106350420812</c:v>
                </c:pt>
                <c:pt idx="4">
                  <c:v>1.0711553175210406E-2</c:v>
                </c:pt>
                <c:pt idx="5">
                  <c:v>4.3356286661565928E-3</c:v>
                </c:pt>
                <c:pt idx="6">
                  <c:v>6.171894924764091E-2</c:v>
                </c:pt>
                <c:pt idx="7">
                  <c:v>1.9127773527161437E-2</c:v>
                </c:pt>
                <c:pt idx="8">
                  <c:v>6.3759245090538128E-3</c:v>
                </c:pt>
                <c:pt idx="9">
                  <c:v>1.1986738077021167E-2</c:v>
                </c:pt>
                <c:pt idx="10">
                  <c:v>0.27135934710533027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'3.11 Bujuko-Buloba'!$S$9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'3.11 Bujuko-Buloba'!$R$10:$R$21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'3.11 Bujuko-Buloba'!$S$10:$S$21</c:f>
              <c:numCache>
                <c:formatCode>0</c:formatCode>
                <c:ptCount val="12"/>
                <c:pt idx="0">
                  <c:v>25</c:v>
                </c:pt>
                <c:pt idx="1">
                  <c:v>58</c:v>
                </c:pt>
                <c:pt idx="2">
                  <c:v>64</c:v>
                </c:pt>
                <c:pt idx="3">
                  <c:v>55</c:v>
                </c:pt>
                <c:pt idx="4">
                  <c:v>73</c:v>
                </c:pt>
                <c:pt idx="5">
                  <c:v>86</c:v>
                </c:pt>
                <c:pt idx="6">
                  <c:v>84</c:v>
                </c:pt>
                <c:pt idx="7">
                  <c:v>107</c:v>
                </c:pt>
                <c:pt idx="8">
                  <c:v>105</c:v>
                </c:pt>
                <c:pt idx="9">
                  <c:v>139</c:v>
                </c:pt>
                <c:pt idx="10">
                  <c:v>173</c:v>
                </c:pt>
                <c:pt idx="11">
                  <c:v>207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'3.11 Bujuko-Buloba'!$T$9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'3.11 Bujuko-Buloba'!$R$10:$R$21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'3.11 Bujuko-Buloba'!$T$10:$T$21</c:f>
              <c:numCache>
                <c:formatCode>0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7</c:v>
                </c:pt>
                <c:pt idx="3">
                  <c:v>4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21</c:v>
                </c:pt>
                <c:pt idx="8">
                  <c:v>22</c:v>
                </c:pt>
                <c:pt idx="9">
                  <c:v>20</c:v>
                </c:pt>
                <c:pt idx="10">
                  <c:v>33</c:v>
                </c:pt>
                <c:pt idx="11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'3.11 Bujuko-Buloba'!$U$9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'3.11 Bujuko-Buloba'!$U$10:$U$21</c:f>
              <c:numCache>
                <c:formatCode>0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8</c:v>
                </c:pt>
                <c:pt idx="3">
                  <c:v>3</c:v>
                </c:pt>
                <c:pt idx="4">
                  <c:v>10</c:v>
                </c:pt>
                <c:pt idx="5">
                  <c:v>11</c:v>
                </c:pt>
                <c:pt idx="6">
                  <c:v>9</c:v>
                </c:pt>
                <c:pt idx="7">
                  <c:v>21</c:v>
                </c:pt>
                <c:pt idx="8">
                  <c:v>20</c:v>
                </c:pt>
                <c:pt idx="9">
                  <c:v>26</c:v>
                </c:pt>
                <c:pt idx="10">
                  <c:v>29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'3.11 Bujuko-Buloba'!$V$9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'3.11 Bujuko-Buloba'!$V$10:$V$21</c:f>
              <c:numCache>
                <c:formatCode>0</c:formatCode>
                <c:ptCount val="12"/>
                <c:pt idx="0">
                  <c:v>59</c:v>
                </c:pt>
                <c:pt idx="1">
                  <c:v>51</c:v>
                </c:pt>
                <c:pt idx="2">
                  <c:v>53</c:v>
                </c:pt>
                <c:pt idx="3">
                  <c:v>54</c:v>
                </c:pt>
                <c:pt idx="4">
                  <c:v>54</c:v>
                </c:pt>
                <c:pt idx="5">
                  <c:v>57</c:v>
                </c:pt>
                <c:pt idx="6">
                  <c:v>68</c:v>
                </c:pt>
                <c:pt idx="7">
                  <c:v>77</c:v>
                </c:pt>
                <c:pt idx="8">
                  <c:v>75</c:v>
                </c:pt>
                <c:pt idx="9">
                  <c:v>95</c:v>
                </c:pt>
                <c:pt idx="10">
                  <c:v>91</c:v>
                </c:pt>
                <c:pt idx="11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'3.11 Bujuko-Buloba'!$W$9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'3.11 Bujuko-Buloba'!$W$10:$W$21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10</c:v>
                </c:pt>
                <c:pt idx="10">
                  <c:v>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'3.11 Bujuko-Buloba'!$X$9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'3.11 Bujuko-Buloba'!$X$10:$X$21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'3.11 Bujuko-Buloba'!$Y$9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Bujuko-Buloba'!$Y$10:$Y$21</c:f>
              <c:numCache>
                <c:formatCode>0</c:formatCode>
                <c:ptCount val="12"/>
                <c:pt idx="0">
                  <c:v>13</c:v>
                </c:pt>
                <c:pt idx="1">
                  <c:v>8</c:v>
                </c:pt>
                <c:pt idx="2">
                  <c:v>19</c:v>
                </c:pt>
                <c:pt idx="3">
                  <c:v>12</c:v>
                </c:pt>
                <c:pt idx="4">
                  <c:v>10</c:v>
                </c:pt>
                <c:pt idx="5">
                  <c:v>20</c:v>
                </c:pt>
                <c:pt idx="6">
                  <c:v>28</c:v>
                </c:pt>
                <c:pt idx="7">
                  <c:v>14</c:v>
                </c:pt>
                <c:pt idx="8">
                  <c:v>31</c:v>
                </c:pt>
                <c:pt idx="9">
                  <c:v>25</c:v>
                </c:pt>
                <c:pt idx="10">
                  <c:v>37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'3.11 Bujuko-Buloba'!$Z$9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Bujuko-Buloba'!$Z$10:$Z$21</c:f>
              <c:numCache>
                <c:formatCode>0</c:formatCode>
                <c:ptCount val="12"/>
                <c:pt idx="0">
                  <c:v>10</c:v>
                </c:pt>
                <c:pt idx="1">
                  <c:v>1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4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4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'3.11 Bujuko-Buloba'!$AA$9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Bujuko-Buloba'!$AA$10:$AA$21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6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'3.11 Bujuko-Buloba'!$AB$9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Bujuko-Buloba'!$AB$10:$AB$21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'3.11 Bujuko-Buloba'!$AC$9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Bujuko-Buloba'!$AC$10:$AC$21</c:f>
              <c:numCache>
                <c:formatCode>0</c:formatCode>
                <c:ptCount val="12"/>
                <c:pt idx="0">
                  <c:v>32</c:v>
                </c:pt>
                <c:pt idx="1">
                  <c:v>66</c:v>
                </c:pt>
                <c:pt idx="2">
                  <c:v>96</c:v>
                </c:pt>
                <c:pt idx="3">
                  <c:v>77</c:v>
                </c:pt>
                <c:pt idx="4">
                  <c:v>95</c:v>
                </c:pt>
                <c:pt idx="5">
                  <c:v>85</c:v>
                </c:pt>
                <c:pt idx="6">
                  <c:v>68</c:v>
                </c:pt>
                <c:pt idx="7">
                  <c:v>89</c:v>
                </c:pt>
                <c:pt idx="8">
                  <c:v>79</c:v>
                </c:pt>
                <c:pt idx="9">
                  <c:v>109</c:v>
                </c:pt>
                <c:pt idx="10">
                  <c:v>123</c:v>
                </c:pt>
                <c:pt idx="11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'3.11 Bujuko-Buloba'!$AD$9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Bujuko-Buloba'!$AD$10:$AD$21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737408"/>
        <c:axId val="2124745568"/>
      </c:lineChart>
      <c:catAx>
        <c:axId val="212473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4745568"/>
        <c:crosses val="autoZero"/>
        <c:auto val="1"/>
        <c:lblAlgn val="ctr"/>
        <c:lblOffset val="100"/>
        <c:noMultiLvlLbl val="0"/>
      </c:catAx>
      <c:valAx>
        <c:axId val="212474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473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'3.11 Bujuko-Buloba'!$C$9:$N$9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'3.11 Bujuko-Buloba'!$C$60:$N$60</c:f>
              <c:numCache>
                <c:formatCode>0.00%</c:formatCode>
                <c:ptCount val="12"/>
                <c:pt idx="0">
                  <c:v>0.41162058102905147</c:v>
                </c:pt>
                <c:pt idx="1">
                  <c:v>7.4203710185509281E-2</c:v>
                </c:pt>
                <c:pt idx="2">
                  <c:v>6.335316765838292E-2</c:v>
                </c:pt>
                <c:pt idx="3">
                  <c:v>0.29401470073503677</c:v>
                </c:pt>
                <c:pt idx="4">
                  <c:v>1.4700735036751837E-2</c:v>
                </c:pt>
                <c:pt idx="5">
                  <c:v>5.9502975148757438E-3</c:v>
                </c:pt>
                <c:pt idx="6">
                  <c:v>8.4704235211760584E-2</c:v>
                </c:pt>
                <c:pt idx="7">
                  <c:v>2.6251312565628283E-2</c:v>
                </c:pt>
                <c:pt idx="8">
                  <c:v>8.7504375218760942E-3</c:v>
                </c:pt>
                <c:pt idx="9">
                  <c:v>1.6450822541127057E-2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'3.11 Buloba-Bujuko'!$AE$9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'3.11 Buloba-Bujuko'!$R$10:$R$21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'3.11 Buloba-Bujuko'!$AE$10:$AE$21</c:f>
              <c:numCache>
                <c:formatCode>0</c:formatCode>
                <c:ptCount val="12"/>
                <c:pt idx="0">
                  <c:v>64</c:v>
                </c:pt>
                <c:pt idx="1">
                  <c:v>110</c:v>
                </c:pt>
                <c:pt idx="2">
                  <c:v>182</c:v>
                </c:pt>
                <c:pt idx="3">
                  <c:v>216</c:v>
                </c:pt>
                <c:pt idx="4">
                  <c:v>257</c:v>
                </c:pt>
                <c:pt idx="5">
                  <c:v>305</c:v>
                </c:pt>
                <c:pt idx="6">
                  <c:v>288</c:v>
                </c:pt>
                <c:pt idx="7">
                  <c:v>428</c:v>
                </c:pt>
                <c:pt idx="8">
                  <c:v>266</c:v>
                </c:pt>
                <c:pt idx="9">
                  <c:v>252</c:v>
                </c:pt>
                <c:pt idx="10">
                  <c:v>201</c:v>
                </c:pt>
                <c:pt idx="11">
                  <c:v>187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'3.11 Buloba-Bujuko'!$AF$9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'3.11 Buloba-Bujuko'!$R$10:$R$21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'3.11 Buloba-Bujuko'!$AF$10:$AF$21</c:f>
              <c:numCache>
                <c:formatCode>0</c:formatCode>
                <c:ptCount val="12"/>
                <c:pt idx="0">
                  <c:v>80</c:v>
                </c:pt>
                <c:pt idx="1">
                  <c:v>144</c:v>
                </c:pt>
                <c:pt idx="2">
                  <c:v>216</c:v>
                </c:pt>
                <c:pt idx="3">
                  <c:v>284</c:v>
                </c:pt>
                <c:pt idx="4">
                  <c:v>311</c:v>
                </c:pt>
                <c:pt idx="5">
                  <c:v>374</c:v>
                </c:pt>
                <c:pt idx="6">
                  <c:v>355</c:v>
                </c:pt>
                <c:pt idx="7">
                  <c:v>535</c:v>
                </c:pt>
                <c:pt idx="8">
                  <c:v>329</c:v>
                </c:pt>
                <c:pt idx="9">
                  <c:v>303</c:v>
                </c:pt>
                <c:pt idx="10">
                  <c:v>245</c:v>
                </c:pt>
                <c:pt idx="11">
                  <c:v>223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746112"/>
        <c:axId val="2124747200"/>
      </c:lineChart>
      <c:catAx>
        <c:axId val="2124746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4747200"/>
        <c:crosses val="autoZero"/>
        <c:auto val="1"/>
        <c:lblAlgn val="ctr"/>
        <c:lblOffset val="100"/>
        <c:noMultiLvlLbl val="0"/>
      </c:catAx>
      <c:valAx>
        <c:axId val="2124747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474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'3.11 Buloba-Bujuko'!$C$9:$N$9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'3.11 Buloba-Bujuko'!$C$59:$N$59</c:f>
              <c:numCache>
                <c:formatCode>0.0%</c:formatCode>
                <c:ptCount val="12"/>
                <c:pt idx="0">
                  <c:v>0.31597528684907328</c:v>
                </c:pt>
                <c:pt idx="1">
                  <c:v>6.1782877316857901E-2</c:v>
                </c:pt>
                <c:pt idx="2">
                  <c:v>5.1191526919682262E-2</c:v>
                </c:pt>
                <c:pt idx="3">
                  <c:v>0.23683436304795527</c:v>
                </c:pt>
                <c:pt idx="4">
                  <c:v>1.0002942041776992E-2</c:v>
                </c:pt>
                <c:pt idx="5">
                  <c:v>6.4724919093851136E-3</c:v>
                </c:pt>
                <c:pt idx="6">
                  <c:v>8.2965578111209179E-2</c:v>
                </c:pt>
                <c:pt idx="7">
                  <c:v>3.0597234480729627E-2</c:v>
                </c:pt>
                <c:pt idx="8">
                  <c:v>8.2377169755810525E-3</c:v>
                </c:pt>
                <c:pt idx="9">
                  <c:v>6.7666960870844369E-3</c:v>
                </c:pt>
                <c:pt idx="10">
                  <c:v>0.1891732862606649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'3.11 Buloba-Bujuko'!$S$9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'3.11 Buloba-Bujuko'!$R$10:$R$21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'3.11 Buloba-Bujuko'!$S$10:$S$21</c:f>
              <c:numCache>
                <c:formatCode>0</c:formatCode>
                <c:ptCount val="12"/>
                <c:pt idx="0">
                  <c:v>26</c:v>
                </c:pt>
                <c:pt idx="1">
                  <c:v>36</c:v>
                </c:pt>
                <c:pt idx="2">
                  <c:v>73</c:v>
                </c:pt>
                <c:pt idx="3">
                  <c:v>87</c:v>
                </c:pt>
                <c:pt idx="4">
                  <c:v>114</c:v>
                </c:pt>
                <c:pt idx="5">
                  <c:v>138</c:v>
                </c:pt>
                <c:pt idx="6">
                  <c:v>102</c:v>
                </c:pt>
                <c:pt idx="7">
                  <c:v>145</c:v>
                </c:pt>
                <c:pt idx="8">
                  <c:v>100</c:v>
                </c:pt>
                <c:pt idx="9">
                  <c:v>105</c:v>
                </c:pt>
                <c:pt idx="10">
                  <c:v>82</c:v>
                </c:pt>
                <c:pt idx="11">
                  <c:v>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'3.11 Buloba-Bujuko'!$T$9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'3.11 Buloba-Bujuko'!$R$10:$R$21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'3.11 Buloba-Bujuko'!$T$10:$T$21</c:f>
              <c:numCache>
                <c:formatCode>0</c:formatCode>
                <c:ptCount val="12"/>
                <c:pt idx="0">
                  <c:v>1</c:v>
                </c:pt>
                <c:pt idx="1">
                  <c:v>7</c:v>
                </c:pt>
                <c:pt idx="2">
                  <c:v>14</c:v>
                </c:pt>
                <c:pt idx="3">
                  <c:v>21</c:v>
                </c:pt>
                <c:pt idx="4">
                  <c:v>22</c:v>
                </c:pt>
                <c:pt idx="5">
                  <c:v>32</c:v>
                </c:pt>
                <c:pt idx="6">
                  <c:v>25</c:v>
                </c:pt>
                <c:pt idx="7">
                  <c:v>39</c:v>
                </c:pt>
                <c:pt idx="8">
                  <c:v>20</c:v>
                </c:pt>
                <c:pt idx="9">
                  <c:v>15</c:v>
                </c:pt>
                <c:pt idx="10">
                  <c:v>8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'3.11 Buloba-Bujuko'!$U$9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'3.11 Buloba-Bujuko'!$U$10:$U$21</c:f>
              <c:numCache>
                <c:formatCode>0</c:formatCode>
                <c:ptCount val="12"/>
                <c:pt idx="0">
                  <c:v>3</c:v>
                </c:pt>
                <c:pt idx="1">
                  <c:v>10</c:v>
                </c:pt>
                <c:pt idx="2">
                  <c:v>9</c:v>
                </c:pt>
                <c:pt idx="3">
                  <c:v>10</c:v>
                </c:pt>
                <c:pt idx="4">
                  <c:v>16</c:v>
                </c:pt>
                <c:pt idx="5">
                  <c:v>19</c:v>
                </c:pt>
                <c:pt idx="6">
                  <c:v>23</c:v>
                </c:pt>
                <c:pt idx="7">
                  <c:v>30</c:v>
                </c:pt>
                <c:pt idx="8">
                  <c:v>20</c:v>
                </c:pt>
                <c:pt idx="9">
                  <c:v>9</c:v>
                </c:pt>
                <c:pt idx="10">
                  <c:v>10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'3.11 Buloba-Bujuko'!$V$9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'3.11 Buloba-Bujuko'!$V$10:$V$21</c:f>
              <c:numCache>
                <c:formatCode>0</c:formatCode>
                <c:ptCount val="12"/>
                <c:pt idx="0">
                  <c:v>20</c:v>
                </c:pt>
                <c:pt idx="1">
                  <c:v>37</c:v>
                </c:pt>
                <c:pt idx="2">
                  <c:v>57</c:v>
                </c:pt>
                <c:pt idx="3">
                  <c:v>69</c:v>
                </c:pt>
                <c:pt idx="4">
                  <c:v>57</c:v>
                </c:pt>
                <c:pt idx="5">
                  <c:v>72</c:v>
                </c:pt>
                <c:pt idx="6">
                  <c:v>83</c:v>
                </c:pt>
                <c:pt idx="7">
                  <c:v>122</c:v>
                </c:pt>
                <c:pt idx="8">
                  <c:v>85</c:v>
                </c:pt>
                <c:pt idx="9">
                  <c:v>74</c:v>
                </c:pt>
                <c:pt idx="10">
                  <c:v>61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'3.11 Buloba-Bujuko'!$W$9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'3.11 Buloba-Bujuko'!$W$10:$W$21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5</c:v>
                </c:pt>
                <c:pt idx="6">
                  <c:v>11</c:v>
                </c:pt>
                <c:pt idx="7">
                  <c:v>6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'3.11 Buloba-Bujuko'!$X$9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'3.11 Buloba-Bujuko'!$X$10:$X$21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'3.11 Buloba-Bujuko'!$Y$9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Buloba-Bujuko'!$Y$10:$Y$21</c:f>
              <c:numCache>
                <c:formatCode>0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18</c:v>
                </c:pt>
                <c:pt idx="3">
                  <c:v>18</c:v>
                </c:pt>
                <c:pt idx="4">
                  <c:v>33</c:v>
                </c:pt>
                <c:pt idx="5">
                  <c:v>21</c:v>
                </c:pt>
                <c:pt idx="6">
                  <c:v>31</c:v>
                </c:pt>
                <c:pt idx="7">
                  <c:v>55</c:v>
                </c:pt>
                <c:pt idx="8">
                  <c:v>28</c:v>
                </c:pt>
                <c:pt idx="9">
                  <c:v>28</c:v>
                </c:pt>
                <c:pt idx="10">
                  <c:v>19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'3.11 Buloba-Bujuko'!$Z$9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Buloba-Bujuko'!$Z$10:$Z$21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6</c:v>
                </c:pt>
                <c:pt idx="7">
                  <c:v>16</c:v>
                </c:pt>
                <c:pt idx="8">
                  <c:v>8</c:v>
                </c:pt>
                <c:pt idx="9">
                  <c:v>15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'3.11 Buloba-Bujuko'!$AA$9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Buloba-Bujuko'!$AA$10:$AA$21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8</c:v>
                </c:pt>
                <c:pt idx="8">
                  <c:v>2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'3.11 Buloba-Bujuko'!$AB$9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Buloba-Bujuko'!$AB$10:$AB$21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'3.11 Buloba-Bujuko'!$AC$9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Buloba-Bujuko'!$AC$10:$AC$21</c:f>
              <c:numCache>
                <c:formatCode>0</c:formatCode>
                <c:ptCount val="12"/>
                <c:pt idx="0">
                  <c:v>16</c:v>
                </c:pt>
                <c:pt idx="1">
                  <c:v>34</c:v>
                </c:pt>
                <c:pt idx="2">
                  <c:v>34</c:v>
                </c:pt>
                <c:pt idx="3">
                  <c:v>68</c:v>
                </c:pt>
                <c:pt idx="4">
                  <c:v>54</c:v>
                </c:pt>
                <c:pt idx="5">
                  <c:v>69</c:v>
                </c:pt>
                <c:pt idx="6">
                  <c:v>67</c:v>
                </c:pt>
                <c:pt idx="7">
                  <c:v>107</c:v>
                </c:pt>
                <c:pt idx="8">
                  <c:v>63</c:v>
                </c:pt>
                <c:pt idx="9">
                  <c:v>51</c:v>
                </c:pt>
                <c:pt idx="10">
                  <c:v>44</c:v>
                </c:pt>
                <c:pt idx="1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'3.11 Buloba-Bujuko'!$AD$9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'3.11 Buloba-Bujuko'!$AD$10:$AD$21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790736"/>
        <c:axId val="2126789648"/>
      </c:lineChart>
      <c:catAx>
        <c:axId val="2126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6789648"/>
        <c:crosses val="autoZero"/>
        <c:auto val="1"/>
        <c:lblAlgn val="ctr"/>
        <c:lblOffset val="100"/>
        <c:noMultiLvlLbl val="0"/>
      </c:catAx>
      <c:valAx>
        <c:axId val="212678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679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'3.11 Buloba-Bujuko'!$C$9:$N$9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'3.11 Buloba-Bujuko'!$C$60:$N$60</c:f>
              <c:numCache>
                <c:formatCode>0.00%</c:formatCode>
                <c:ptCount val="12"/>
                <c:pt idx="0">
                  <c:v>0.38969521044992744</c:v>
                </c:pt>
                <c:pt idx="1">
                  <c:v>7.6197387518142229E-2</c:v>
                </c:pt>
                <c:pt idx="2">
                  <c:v>6.3134978229317851E-2</c:v>
                </c:pt>
                <c:pt idx="3">
                  <c:v>0.2920899854862119</c:v>
                </c:pt>
                <c:pt idx="4">
                  <c:v>1.2336719883889695E-2</c:v>
                </c:pt>
                <c:pt idx="5">
                  <c:v>7.9825834542815669E-3</c:v>
                </c:pt>
                <c:pt idx="6">
                  <c:v>0.102322206095791</c:v>
                </c:pt>
                <c:pt idx="7">
                  <c:v>3.7735849056603772E-2</c:v>
                </c:pt>
                <c:pt idx="8">
                  <c:v>1.0159651669085631E-2</c:v>
                </c:pt>
                <c:pt idx="9">
                  <c:v>8.3454281567489109E-3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'4.11 Bujuko-Buloba'!$AE$9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'4.11 Bujuko-Buloba'!$R$10:$R$21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'4.11 Bujuko-Buloba'!$AE$10:$AE$21</c:f>
              <c:numCache>
                <c:formatCode>0</c:formatCode>
                <c:ptCount val="12"/>
                <c:pt idx="0">
                  <c:v>199</c:v>
                </c:pt>
                <c:pt idx="1">
                  <c:v>207</c:v>
                </c:pt>
                <c:pt idx="2">
                  <c:v>196</c:v>
                </c:pt>
                <c:pt idx="3">
                  <c:v>170</c:v>
                </c:pt>
                <c:pt idx="4">
                  <c:v>156</c:v>
                </c:pt>
                <c:pt idx="5">
                  <c:v>145</c:v>
                </c:pt>
                <c:pt idx="6">
                  <c:v>156</c:v>
                </c:pt>
                <c:pt idx="7">
                  <c:v>166</c:v>
                </c:pt>
                <c:pt idx="8">
                  <c:v>209</c:v>
                </c:pt>
                <c:pt idx="9">
                  <c:v>240</c:v>
                </c:pt>
                <c:pt idx="10">
                  <c:v>279</c:v>
                </c:pt>
                <c:pt idx="11">
                  <c:v>349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'4.11 Bujuko-Buloba'!$AF$9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'4.11 Bujuko-Buloba'!$R$10:$R$21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'4.11 Bujuko-Buloba'!$AF$10:$AF$21</c:f>
              <c:numCache>
                <c:formatCode>0</c:formatCode>
                <c:ptCount val="12"/>
                <c:pt idx="0">
                  <c:v>327</c:v>
                </c:pt>
                <c:pt idx="1">
                  <c:v>333</c:v>
                </c:pt>
                <c:pt idx="2">
                  <c:v>271</c:v>
                </c:pt>
                <c:pt idx="3">
                  <c:v>257</c:v>
                </c:pt>
                <c:pt idx="4">
                  <c:v>229</c:v>
                </c:pt>
                <c:pt idx="5">
                  <c:v>218</c:v>
                </c:pt>
                <c:pt idx="6">
                  <c:v>235</c:v>
                </c:pt>
                <c:pt idx="7">
                  <c:v>247</c:v>
                </c:pt>
                <c:pt idx="8">
                  <c:v>298</c:v>
                </c:pt>
                <c:pt idx="9">
                  <c:v>323</c:v>
                </c:pt>
                <c:pt idx="10">
                  <c:v>389</c:v>
                </c:pt>
                <c:pt idx="11">
                  <c:v>447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339008"/>
        <c:axId val="2128343360"/>
      </c:lineChart>
      <c:catAx>
        <c:axId val="21283390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43360"/>
        <c:crosses val="autoZero"/>
        <c:auto val="1"/>
        <c:lblAlgn val="ctr"/>
        <c:lblOffset val="100"/>
        <c:noMultiLvlLbl val="0"/>
      </c:catAx>
      <c:valAx>
        <c:axId val="2128343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3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'4.11 Bujuko-Buloba'!$C$9:$N$9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'4.11 Bujuko-Buloba'!$C$59:$N$59</c:f>
              <c:numCache>
                <c:formatCode>0.0%</c:formatCode>
                <c:ptCount val="12"/>
                <c:pt idx="0">
                  <c:v>0.26189143816452154</c:v>
                </c:pt>
                <c:pt idx="1">
                  <c:v>4.0011191941801902E-2</c:v>
                </c:pt>
                <c:pt idx="2">
                  <c:v>4.6166759932848349E-2</c:v>
                </c:pt>
                <c:pt idx="3">
                  <c:v>0.22467823167319531</c:v>
                </c:pt>
                <c:pt idx="4">
                  <c:v>2.7979854504756574E-3</c:v>
                </c:pt>
                <c:pt idx="5">
                  <c:v>5.5959709009513149E-3</c:v>
                </c:pt>
                <c:pt idx="6">
                  <c:v>7.3866815892557364E-2</c:v>
                </c:pt>
                <c:pt idx="7">
                  <c:v>2.3782876329043089E-2</c:v>
                </c:pt>
                <c:pt idx="8">
                  <c:v>5.0363738108561837E-3</c:v>
                </c:pt>
                <c:pt idx="9">
                  <c:v>7.8343592613318407E-3</c:v>
                </c:pt>
                <c:pt idx="10">
                  <c:v>0.30833799664241746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'4.11 Bujuko-Buloba'!$S$9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'4.11 Bujuko-Buloba'!$R$10:$R$21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'4.11 Bujuko-Buloba'!$S$10:$S$21</c:f>
              <c:numCache>
                <c:formatCode>0</c:formatCode>
                <c:ptCount val="12"/>
                <c:pt idx="0">
                  <c:v>90</c:v>
                </c:pt>
                <c:pt idx="1">
                  <c:v>88</c:v>
                </c:pt>
                <c:pt idx="2">
                  <c:v>70</c:v>
                </c:pt>
                <c:pt idx="3">
                  <c:v>58</c:v>
                </c:pt>
                <c:pt idx="4">
                  <c:v>42</c:v>
                </c:pt>
                <c:pt idx="5">
                  <c:v>39</c:v>
                </c:pt>
                <c:pt idx="6">
                  <c:v>53</c:v>
                </c:pt>
                <c:pt idx="7">
                  <c:v>60</c:v>
                </c:pt>
                <c:pt idx="8">
                  <c:v>68</c:v>
                </c:pt>
                <c:pt idx="9">
                  <c:v>91</c:v>
                </c:pt>
                <c:pt idx="10">
                  <c:v>110</c:v>
                </c:pt>
                <c:pt idx="11">
                  <c:v>167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'4.11 Bujuko-Buloba'!$T$9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'4.11 Bujuko-Buloba'!$R$10:$R$21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'4.11 Bujuko-Buloba'!$T$10:$T$21</c:f>
              <c:numCache>
                <c:formatCode>0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6</c:v>
                </c:pt>
                <c:pt idx="3">
                  <c:v>11</c:v>
                </c:pt>
                <c:pt idx="4">
                  <c:v>12</c:v>
                </c:pt>
                <c:pt idx="5">
                  <c:v>8</c:v>
                </c:pt>
                <c:pt idx="6">
                  <c:v>6</c:v>
                </c:pt>
                <c:pt idx="7">
                  <c:v>10</c:v>
                </c:pt>
                <c:pt idx="8">
                  <c:v>17</c:v>
                </c:pt>
                <c:pt idx="9">
                  <c:v>13</c:v>
                </c:pt>
                <c:pt idx="10">
                  <c:v>20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'4.11 Bujuko-Buloba'!$U$9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'4.11 Bujuko-Buloba'!$U$10:$U$21</c:f>
              <c:numCache>
                <c:formatCode>0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14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11</c:v>
                </c:pt>
                <c:pt idx="7">
                  <c:v>13</c:v>
                </c:pt>
                <c:pt idx="8">
                  <c:v>25</c:v>
                </c:pt>
                <c:pt idx="9">
                  <c:v>13</c:v>
                </c:pt>
                <c:pt idx="10">
                  <c:v>19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'4.11 Bujuko-Buloba'!$V$9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'4.11 Bujuko-Buloba'!$V$10:$V$21</c:f>
              <c:numCache>
                <c:formatCode>0</c:formatCode>
                <c:ptCount val="12"/>
                <c:pt idx="0">
                  <c:v>65</c:v>
                </c:pt>
                <c:pt idx="1">
                  <c:v>77</c:v>
                </c:pt>
                <c:pt idx="2">
                  <c:v>74</c:v>
                </c:pt>
                <c:pt idx="3">
                  <c:v>62</c:v>
                </c:pt>
                <c:pt idx="4">
                  <c:v>64</c:v>
                </c:pt>
                <c:pt idx="5">
                  <c:v>56</c:v>
                </c:pt>
                <c:pt idx="6">
                  <c:v>61</c:v>
                </c:pt>
                <c:pt idx="7">
                  <c:v>57</c:v>
                </c:pt>
                <c:pt idx="8">
                  <c:v>58</c:v>
                </c:pt>
                <c:pt idx="9">
                  <c:v>66</c:v>
                </c:pt>
                <c:pt idx="10">
                  <c:v>78</c:v>
                </c:pt>
                <c:pt idx="1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'4.11 Bujuko-Buloba'!$W$9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'4.11 Bujuko-Buloba'!$W$10:$W$21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'4.11 Bujuko-Buloba'!$X$9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'4.11 Bujuko-Buloba'!$X$10:$X$21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'4.11 Bujuko-Buloba'!$Y$9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 Bujuko-Buloba'!$Y$10:$Y$21</c:f>
              <c:numCache>
                <c:formatCode>0</c:formatCode>
                <c:ptCount val="12"/>
                <c:pt idx="0">
                  <c:v>8</c:v>
                </c:pt>
                <c:pt idx="1">
                  <c:v>15</c:v>
                </c:pt>
                <c:pt idx="2">
                  <c:v>15</c:v>
                </c:pt>
                <c:pt idx="3">
                  <c:v>25</c:v>
                </c:pt>
                <c:pt idx="4">
                  <c:v>26</c:v>
                </c:pt>
                <c:pt idx="5">
                  <c:v>25</c:v>
                </c:pt>
                <c:pt idx="6">
                  <c:v>18</c:v>
                </c:pt>
                <c:pt idx="7">
                  <c:v>17</c:v>
                </c:pt>
                <c:pt idx="8">
                  <c:v>25</c:v>
                </c:pt>
                <c:pt idx="9">
                  <c:v>31</c:v>
                </c:pt>
                <c:pt idx="10">
                  <c:v>33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'4.11 Bujuko-Buloba'!$Z$9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 Bujuko-Buloba'!$Z$10:$Z$21</c:f>
              <c:numCache>
                <c:formatCode>0</c:formatCode>
                <c:ptCount val="12"/>
                <c:pt idx="0">
                  <c:v>11</c:v>
                </c:pt>
                <c:pt idx="1">
                  <c:v>3</c:v>
                </c:pt>
                <c:pt idx="2">
                  <c:v>11</c:v>
                </c:pt>
                <c:pt idx="3">
                  <c:v>2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  <c:pt idx="9">
                  <c:v>12</c:v>
                </c:pt>
                <c:pt idx="10">
                  <c:v>11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'4.11 Bujuko-Buloba'!$AA$9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 Bujuko-Buloba'!$AA$10:$AA$21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'4.11 Bujuko-Buloba'!$AB$9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 Bujuko-Buloba'!$AB$10:$AB$21</c:f>
              <c:numCache>
                <c:formatCode>0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'4.11 Bujuko-Buloba'!$AC$9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 Bujuko-Buloba'!$AC$10:$AC$21</c:f>
              <c:numCache>
                <c:formatCode>0</c:formatCode>
                <c:ptCount val="12"/>
                <c:pt idx="0">
                  <c:v>128</c:v>
                </c:pt>
                <c:pt idx="1">
                  <c:v>126</c:v>
                </c:pt>
                <c:pt idx="2">
                  <c:v>75</c:v>
                </c:pt>
                <c:pt idx="3">
                  <c:v>87</c:v>
                </c:pt>
                <c:pt idx="4">
                  <c:v>73</c:v>
                </c:pt>
                <c:pt idx="5">
                  <c:v>73</c:v>
                </c:pt>
                <c:pt idx="6">
                  <c:v>79</c:v>
                </c:pt>
                <c:pt idx="7">
                  <c:v>81</c:v>
                </c:pt>
                <c:pt idx="8">
                  <c:v>89</c:v>
                </c:pt>
                <c:pt idx="9">
                  <c:v>83</c:v>
                </c:pt>
                <c:pt idx="10">
                  <c:v>110</c:v>
                </c:pt>
                <c:pt idx="11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'4.11 Bujuko-Buloba'!$AD$9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 Bujuko-Buloba'!$AD$10:$AD$21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341728"/>
        <c:axId val="2128342272"/>
      </c:lineChart>
      <c:catAx>
        <c:axId val="212834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42272"/>
        <c:crosses val="autoZero"/>
        <c:auto val="1"/>
        <c:lblAlgn val="ctr"/>
        <c:lblOffset val="100"/>
        <c:noMultiLvlLbl val="0"/>
      </c:catAx>
      <c:valAx>
        <c:axId val="212834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4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'4.11 Bujuko-Buloba'!$C$9:$N$9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'4.11 Bujuko-Buloba'!$C$60:$N$60</c:f>
              <c:numCache>
                <c:formatCode>0.00%</c:formatCode>
                <c:ptCount val="12"/>
                <c:pt idx="0">
                  <c:v>0.37864077669902912</c:v>
                </c:pt>
                <c:pt idx="1">
                  <c:v>5.784789644012945E-2</c:v>
                </c:pt>
                <c:pt idx="2">
                  <c:v>6.6747572815533979E-2</c:v>
                </c:pt>
                <c:pt idx="3">
                  <c:v>0.32483818770226536</c:v>
                </c:pt>
                <c:pt idx="4">
                  <c:v>4.0453074433656954E-3</c:v>
                </c:pt>
                <c:pt idx="5">
                  <c:v>8.0906148867313909E-3</c:v>
                </c:pt>
                <c:pt idx="6">
                  <c:v>0.10679611650485436</c:v>
                </c:pt>
                <c:pt idx="7">
                  <c:v>3.4385113268608415E-2</c:v>
                </c:pt>
                <c:pt idx="8">
                  <c:v>7.2815533980582527E-3</c:v>
                </c:pt>
                <c:pt idx="9">
                  <c:v>1.1326860841423949E-2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'4.11.BULOBA-BUJUKO'!$AE$9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'4.11.BULOBA-BUJUKO'!$R$10:$R$21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'4.11.BULOBA-BUJUKO'!$AE$10:$AE$21</c:f>
              <c:numCache>
                <c:formatCode>0</c:formatCode>
                <c:ptCount val="12"/>
                <c:pt idx="0">
                  <c:v>186</c:v>
                </c:pt>
                <c:pt idx="1">
                  <c:v>220</c:v>
                </c:pt>
                <c:pt idx="2">
                  <c:v>229</c:v>
                </c:pt>
                <c:pt idx="3">
                  <c:v>262</c:v>
                </c:pt>
                <c:pt idx="4">
                  <c:v>219</c:v>
                </c:pt>
                <c:pt idx="5">
                  <c:v>252</c:v>
                </c:pt>
                <c:pt idx="6">
                  <c:v>287</c:v>
                </c:pt>
                <c:pt idx="7">
                  <c:v>184</c:v>
                </c:pt>
                <c:pt idx="8">
                  <c:v>172</c:v>
                </c:pt>
                <c:pt idx="9">
                  <c:v>189</c:v>
                </c:pt>
                <c:pt idx="10">
                  <c:v>120</c:v>
                </c:pt>
                <c:pt idx="11">
                  <c:v>206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'4.11.BULOBA-BUJUKO'!$AF$9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'4.11.BULOBA-BUJUKO'!$R$10:$R$21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'4.11.BULOBA-BUJUKO'!$AF$10:$AF$21</c:f>
              <c:numCache>
                <c:formatCode>0</c:formatCode>
                <c:ptCount val="12"/>
                <c:pt idx="0">
                  <c:v>230</c:v>
                </c:pt>
                <c:pt idx="1">
                  <c:v>255</c:v>
                </c:pt>
                <c:pt idx="2">
                  <c:v>270</c:v>
                </c:pt>
                <c:pt idx="3">
                  <c:v>303</c:v>
                </c:pt>
                <c:pt idx="4">
                  <c:v>252</c:v>
                </c:pt>
                <c:pt idx="5">
                  <c:v>321</c:v>
                </c:pt>
                <c:pt idx="6">
                  <c:v>341</c:v>
                </c:pt>
                <c:pt idx="7">
                  <c:v>257</c:v>
                </c:pt>
                <c:pt idx="8">
                  <c:v>202</c:v>
                </c:pt>
                <c:pt idx="9">
                  <c:v>224</c:v>
                </c:pt>
                <c:pt idx="10">
                  <c:v>152</c:v>
                </c:pt>
                <c:pt idx="11">
                  <c:v>226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330848"/>
        <c:axId val="2128333568"/>
      </c:lineChart>
      <c:catAx>
        <c:axId val="2128330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33568"/>
        <c:crosses val="autoZero"/>
        <c:auto val="1"/>
        <c:lblAlgn val="ctr"/>
        <c:lblOffset val="100"/>
        <c:noMultiLvlLbl val="0"/>
      </c:catAx>
      <c:valAx>
        <c:axId val="21283335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3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'4.11.BULOBA-BUJUKO'!$C$9:$N$9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'4.11.BULOBA-BUJUKO'!$C$59:$N$59</c:f>
              <c:numCache>
                <c:formatCode>0.0%</c:formatCode>
                <c:ptCount val="12"/>
                <c:pt idx="0">
                  <c:v>0.27629409825255524</c:v>
                </c:pt>
                <c:pt idx="1">
                  <c:v>5.6050115397296409E-2</c:v>
                </c:pt>
                <c:pt idx="2">
                  <c:v>5.2093636663369601E-2</c:v>
                </c:pt>
                <c:pt idx="3">
                  <c:v>0.23837784371909002</c:v>
                </c:pt>
                <c:pt idx="4">
                  <c:v>3.6267721727662378E-3</c:v>
                </c:pt>
                <c:pt idx="5">
                  <c:v>8.9020771513353119E-3</c:v>
                </c:pt>
                <c:pt idx="6">
                  <c:v>0.12528849324101549</c:v>
                </c:pt>
                <c:pt idx="7">
                  <c:v>4.1213320145070884E-2</c:v>
                </c:pt>
                <c:pt idx="8">
                  <c:v>2.1430926475436859E-2</c:v>
                </c:pt>
                <c:pt idx="9">
                  <c:v>9.5614902736564453E-3</c:v>
                </c:pt>
                <c:pt idx="10">
                  <c:v>0.16716122650840751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'4.11.BULOBA-BUJUKO'!$S$9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'4.11.BULOBA-BUJUKO'!$R$10:$R$21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'4.11.BULOBA-BUJUKO'!$S$10:$S$21</c:f>
              <c:numCache>
                <c:formatCode>0</c:formatCode>
                <c:ptCount val="12"/>
                <c:pt idx="0">
                  <c:v>67</c:v>
                </c:pt>
                <c:pt idx="1">
                  <c:v>78</c:v>
                </c:pt>
                <c:pt idx="2">
                  <c:v>62</c:v>
                </c:pt>
                <c:pt idx="3">
                  <c:v>76</c:v>
                </c:pt>
                <c:pt idx="4">
                  <c:v>70</c:v>
                </c:pt>
                <c:pt idx="5">
                  <c:v>81</c:v>
                </c:pt>
                <c:pt idx="6">
                  <c:v>96</c:v>
                </c:pt>
                <c:pt idx="7">
                  <c:v>51</c:v>
                </c:pt>
                <c:pt idx="8">
                  <c:v>58</c:v>
                </c:pt>
                <c:pt idx="9">
                  <c:v>59</c:v>
                </c:pt>
                <c:pt idx="10">
                  <c:v>51</c:v>
                </c:pt>
                <c:pt idx="11">
                  <c:v>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'4.11.BULOBA-BUJUKO'!$T$9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'4.11.BULOBA-BUJUKO'!$R$10:$R$21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'4.11.BULOBA-BUJUKO'!$T$10:$T$21</c:f>
              <c:numCache>
                <c:formatCode>0</c:formatCode>
                <c:ptCount val="12"/>
                <c:pt idx="0">
                  <c:v>10</c:v>
                </c:pt>
                <c:pt idx="1">
                  <c:v>12</c:v>
                </c:pt>
                <c:pt idx="2">
                  <c:v>26</c:v>
                </c:pt>
                <c:pt idx="3">
                  <c:v>14</c:v>
                </c:pt>
                <c:pt idx="4">
                  <c:v>15</c:v>
                </c:pt>
                <c:pt idx="5">
                  <c:v>17</c:v>
                </c:pt>
                <c:pt idx="6">
                  <c:v>22</c:v>
                </c:pt>
                <c:pt idx="7">
                  <c:v>11</c:v>
                </c:pt>
                <c:pt idx="8">
                  <c:v>14</c:v>
                </c:pt>
                <c:pt idx="9">
                  <c:v>12</c:v>
                </c:pt>
                <c:pt idx="10">
                  <c:v>14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'4.11.BULOBA-BUJUKO'!$U$9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'4.11.BULOBA-BUJUKO'!$U$10:$U$21</c:f>
              <c:numCache>
                <c:formatCode>0</c:formatCode>
                <c:ptCount val="12"/>
                <c:pt idx="0">
                  <c:v>9</c:v>
                </c:pt>
                <c:pt idx="1">
                  <c:v>12</c:v>
                </c:pt>
                <c:pt idx="2">
                  <c:v>14</c:v>
                </c:pt>
                <c:pt idx="3">
                  <c:v>13</c:v>
                </c:pt>
                <c:pt idx="4">
                  <c:v>20</c:v>
                </c:pt>
                <c:pt idx="5">
                  <c:v>12</c:v>
                </c:pt>
                <c:pt idx="6">
                  <c:v>15</c:v>
                </c:pt>
                <c:pt idx="7">
                  <c:v>16</c:v>
                </c:pt>
                <c:pt idx="8">
                  <c:v>14</c:v>
                </c:pt>
                <c:pt idx="9">
                  <c:v>19</c:v>
                </c:pt>
                <c:pt idx="10">
                  <c:v>5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'4.11.BULOBA-BUJUKO'!$V$9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'4.11.BULOBA-BUJUKO'!$V$10:$V$21</c:f>
              <c:numCache>
                <c:formatCode>0</c:formatCode>
                <c:ptCount val="12"/>
                <c:pt idx="0">
                  <c:v>57</c:v>
                </c:pt>
                <c:pt idx="1">
                  <c:v>60</c:v>
                </c:pt>
                <c:pt idx="2">
                  <c:v>65</c:v>
                </c:pt>
                <c:pt idx="3">
                  <c:v>59</c:v>
                </c:pt>
                <c:pt idx="4">
                  <c:v>66</c:v>
                </c:pt>
                <c:pt idx="5">
                  <c:v>76</c:v>
                </c:pt>
                <c:pt idx="6">
                  <c:v>82</c:v>
                </c:pt>
                <c:pt idx="7">
                  <c:v>55</c:v>
                </c:pt>
                <c:pt idx="8">
                  <c:v>58</c:v>
                </c:pt>
                <c:pt idx="9">
                  <c:v>54</c:v>
                </c:pt>
                <c:pt idx="10">
                  <c:v>33</c:v>
                </c:pt>
                <c:pt idx="11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'4.11.BULOBA-BUJUKO'!$W$9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'4.11.BULOBA-BUJUKO'!$W$10:$W$21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'4.11.BULOBA-BUJUKO'!$X$9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'4.11.BULOBA-BUJUKO'!$X$10:$X$21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'4.11.BULOBA-BUJUKO'!$Y$9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'4.11.BULOBA-BUJUKO'!$Y$10:$Y$21</c:f>
              <c:numCache>
                <c:formatCode>0</c:formatCode>
                <c:ptCount val="12"/>
                <c:pt idx="0">
                  <c:v>18</c:v>
                </c:pt>
                <c:pt idx="1">
                  <c:v>37</c:v>
                </c:pt>
                <c:pt idx="2">
                  <c:v>33</c:v>
                </c:pt>
                <c:pt idx="3">
                  <c:v>57</c:v>
                </c:pt>
                <c:pt idx="4">
                  <c:v>27</c:v>
                </c:pt>
                <c:pt idx="5">
                  <c:v>48</c:v>
                </c:pt>
                <c:pt idx="6">
                  <c:v>40</c:v>
                </c:pt>
                <c:pt idx="7">
                  <c:v>30</c:v>
                </c:pt>
                <c:pt idx="8">
                  <c:v>19</c:v>
                </c:pt>
                <c:pt idx="9">
                  <c:v>28</c:v>
                </c:pt>
                <c:pt idx="10">
                  <c:v>12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'4.11.BULOBA-BUJUKO'!$Z$9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'4.11.BULOBA-BUJUKO'!$Z$10:$Z$21</c:f>
              <c:numCache>
                <c:formatCode>0</c:formatCode>
                <c:ptCount val="12"/>
                <c:pt idx="0">
                  <c:v>16</c:v>
                </c:pt>
                <c:pt idx="1">
                  <c:v>9</c:v>
                </c:pt>
                <c:pt idx="2">
                  <c:v>10</c:v>
                </c:pt>
                <c:pt idx="3">
                  <c:v>21</c:v>
                </c:pt>
                <c:pt idx="4">
                  <c:v>11</c:v>
                </c:pt>
                <c:pt idx="5">
                  <c:v>11</c:v>
                </c:pt>
                <c:pt idx="6">
                  <c:v>14</c:v>
                </c:pt>
                <c:pt idx="7">
                  <c:v>11</c:v>
                </c:pt>
                <c:pt idx="8">
                  <c:v>4</c:v>
                </c:pt>
                <c:pt idx="9">
                  <c:v>11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'4.11.BULOBA-BUJUKO'!$AA$9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'4.11.BULOBA-BUJUKO'!$AA$10:$AA$21</c:f>
              <c:numCache>
                <c:formatCode>0</c:formatCode>
                <c:ptCount val="12"/>
                <c:pt idx="0">
                  <c:v>5</c:v>
                </c:pt>
                <c:pt idx="1">
                  <c:v>8</c:v>
                </c:pt>
                <c:pt idx="2">
                  <c:v>6</c:v>
                </c:pt>
                <c:pt idx="3">
                  <c:v>13</c:v>
                </c:pt>
                <c:pt idx="4">
                  <c:v>5</c:v>
                </c:pt>
                <c:pt idx="5">
                  <c:v>2</c:v>
                </c:pt>
                <c:pt idx="6">
                  <c:v>8</c:v>
                </c:pt>
                <c:pt idx="7">
                  <c:v>7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'4.11.BULOBA-BUJUKO'!$AB$9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'4.11.BULOBA-BUJUKO'!$AB$10:$AB$21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8</c:v>
                </c:pt>
                <c:pt idx="3">
                  <c:v>5</c:v>
                </c:pt>
                <c:pt idx="4">
                  <c:v>0</c:v>
                </c:pt>
                <c:pt idx="5">
                  <c:v>2</c:v>
                </c:pt>
                <c:pt idx="6">
                  <c:v>6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'4.11.BULOBA-BUJUKO'!$AC$9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'4.11.BULOBA-BUJUKO'!$AC$10:$AC$21</c:f>
              <c:numCache>
                <c:formatCode>0</c:formatCode>
                <c:ptCount val="12"/>
                <c:pt idx="0">
                  <c:v>44</c:v>
                </c:pt>
                <c:pt idx="1">
                  <c:v>35</c:v>
                </c:pt>
                <c:pt idx="2">
                  <c:v>41</c:v>
                </c:pt>
                <c:pt idx="3">
                  <c:v>41</c:v>
                </c:pt>
                <c:pt idx="4">
                  <c:v>33</c:v>
                </c:pt>
                <c:pt idx="5">
                  <c:v>69</c:v>
                </c:pt>
                <c:pt idx="6">
                  <c:v>54</c:v>
                </c:pt>
                <c:pt idx="7">
                  <c:v>73</c:v>
                </c:pt>
                <c:pt idx="8">
                  <c:v>30</c:v>
                </c:pt>
                <c:pt idx="9">
                  <c:v>35</c:v>
                </c:pt>
                <c:pt idx="10">
                  <c:v>32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'4.11.BULOBA-BUJUKO'!$AD$9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'4.11.BULOBA-BUJUKO'!$AD$10:$AD$21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332480"/>
        <c:axId val="2128335200"/>
      </c:lineChart>
      <c:catAx>
        <c:axId val="212833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35200"/>
        <c:crosses val="autoZero"/>
        <c:auto val="1"/>
        <c:lblAlgn val="ctr"/>
        <c:lblOffset val="100"/>
        <c:noMultiLvlLbl val="0"/>
      </c:catAx>
      <c:valAx>
        <c:axId val="212833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833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'4.11.BULOBA-BUJUKO'!$C$9:$N$9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'4.11.BULOBA-BUJUKO'!$C$60:$N$60</c:f>
              <c:numCache>
                <c:formatCode>0.00%</c:formatCode>
                <c:ptCount val="12"/>
                <c:pt idx="0">
                  <c:v>0.33174980205859067</c:v>
                </c:pt>
                <c:pt idx="1">
                  <c:v>6.7300079176563735E-2</c:v>
                </c:pt>
                <c:pt idx="2">
                  <c:v>6.2549485352335704E-2</c:v>
                </c:pt>
                <c:pt idx="3">
                  <c:v>0.28622327790973873</c:v>
                </c:pt>
                <c:pt idx="4">
                  <c:v>4.3547110055423598E-3</c:v>
                </c:pt>
                <c:pt idx="5">
                  <c:v>1.0688836104513063E-2</c:v>
                </c:pt>
                <c:pt idx="6">
                  <c:v>0.15043547110055425</c:v>
                </c:pt>
                <c:pt idx="7">
                  <c:v>4.9485352335708631E-2</c:v>
                </c:pt>
                <c:pt idx="8">
                  <c:v>2.5732383214568489E-2</c:v>
                </c:pt>
                <c:pt idx="9">
                  <c:v>1.1480601741884403E-2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BUJUKO-BULOBA'!$AE$9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BUJUKO-BULOBA'!$R$10:$R$33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BUJUKO-BULOBA'!$AE$10:$AE$33</c:f>
              <c:numCache>
                <c:formatCode>0</c:formatCode>
                <c:ptCount val="24"/>
                <c:pt idx="0">
                  <c:v>151.57142857142856</c:v>
                </c:pt>
                <c:pt idx="1">
                  <c:v>168.71428571428572</c:v>
                </c:pt>
                <c:pt idx="2">
                  <c:v>159.85714285714286</c:v>
                </c:pt>
                <c:pt idx="3">
                  <c:v>148.71428571428569</c:v>
                </c:pt>
                <c:pt idx="4">
                  <c:v>150</c:v>
                </c:pt>
                <c:pt idx="5">
                  <c:v>158</c:v>
                </c:pt>
                <c:pt idx="6">
                  <c:v>174.71428571428572</c:v>
                </c:pt>
                <c:pt idx="7">
                  <c:v>187.99999999999997</c:v>
                </c:pt>
                <c:pt idx="8">
                  <c:v>205.85714285714283</c:v>
                </c:pt>
                <c:pt idx="9">
                  <c:v>227.71428571428575</c:v>
                </c:pt>
                <c:pt idx="10">
                  <c:v>260.14285714285717</c:v>
                </c:pt>
                <c:pt idx="11">
                  <c:v>315.14285714285711</c:v>
                </c:pt>
                <c:pt idx="12">
                  <c:v>324.5</c:v>
                </c:pt>
                <c:pt idx="13">
                  <c:v>194.5</c:v>
                </c:pt>
                <c:pt idx="14">
                  <c:v>179.5</c:v>
                </c:pt>
                <c:pt idx="15">
                  <c:v>118</c:v>
                </c:pt>
                <c:pt idx="16">
                  <c:v>72.5</c:v>
                </c:pt>
                <c:pt idx="17">
                  <c:v>42.5</c:v>
                </c:pt>
                <c:pt idx="18">
                  <c:v>39.5</c:v>
                </c:pt>
                <c:pt idx="19">
                  <c:v>23.5</c:v>
                </c:pt>
                <c:pt idx="20">
                  <c:v>17.5</c:v>
                </c:pt>
                <c:pt idx="21">
                  <c:v>32.5</c:v>
                </c:pt>
                <c:pt idx="22">
                  <c:v>73.5</c:v>
                </c:pt>
                <c:pt idx="23">
                  <c:v>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BUJUKO-BULOBA'!$AF$9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BUJUKO-BULOBA'!$R$10:$R$33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BUJUKO-BULOBA'!$AF$10:$AF$33</c:f>
              <c:numCache>
                <c:formatCode>0</c:formatCode>
                <c:ptCount val="24"/>
                <c:pt idx="0">
                  <c:v>226.14285714285711</c:v>
                </c:pt>
                <c:pt idx="1">
                  <c:v>261.14285714285711</c:v>
                </c:pt>
                <c:pt idx="2">
                  <c:v>242.71428571428575</c:v>
                </c:pt>
                <c:pt idx="3">
                  <c:v>226.14285714285717</c:v>
                </c:pt>
                <c:pt idx="4">
                  <c:v>215.42857142857139</c:v>
                </c:pt>
                <c:pt idx="5">
                  <c:v>220.28571428571425</c:v>
                </c:pt>
                <c:pt idx="6">
                  <c:v>241.42857142857144</c:v>
                </c:pt>
                <c:pt idx="7">
                  <c:v>248.71428571428572</c:v>
                </c:pt>
                <c:pt idx="8">
                  <c:v>271.71428571428567</c:v>
                </c:pt>
                <c:pt idx="9">
                  <c:v>306.28571428571428</c:v>
                </c:pt>
                <c:pt idx="10">
                  <c:v>348.57142857142856</c:v>
                </c:pt>
                <c:pt idx="11">
                  <c:v>417.28571428571428</c:v>
                </c:pt>
                <c:pt idx="12">
                  <c:v>425</c:v>
                </c:pt>
                <c:pt idx="13">
                  <c:v>266</c:v>
                </c:pt>
                <c:pt idx="14">
                  <c:v>230</c:v>
                </c:pt>
                <c:pt idx="15">
                  <c:v>162</c:v>
                </c:pt>
                <c:pt idx="16">
                  <c:v>101.5</c:v>
                </c:pt>
                <c:pt idx="17">
                  <c:v>53.5</c:v>
                </c:pt>
                <c:pt idx="18">
                  <c:v>50</c:v>
                </c:pt>
                <c:pt idx="19">
                  <c:v>38.5</c:v>
                </c:pt>
                <c:pt idx="20">
                  <c:v>26</c:v>
                </c:pt>
                <c:pt idx="21">
                  <c:v>43</c:v>
                </c:pt>
                <c:pt idx="22">
                  <c:v>103.5</c:v>
                </c:pt>
                <c:pt idx="23">
                  <c:v>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9458912"/>
        <c:axId val="2129463808"/>
      </c:lineChart>
      <c:catAx>
        <c:axId val="21294589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9463808"/>
        <c:crosses val="autoZero"/>
        <c:auto val="1"/>
        <c:lblAlgn val="ctr"/>
        <c:lblOffset val="100"/>
        <c:noMultiLvlLbl val="0"/>
      </c:catAx>
      <c:valAx>
        <c:axId val="21294638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945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BUJUKO-BULOBA'!$C$9:$N$9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BUJUKO-BULOBA'!$C$107:$N$107</c:f>
              <c:numCache>
                <c:formatCode>0.0%</c:formatCode>
                <c:ptCount val="12"/>
                <c:pt idx="0">
                  <c:v>0.2646416664207949</c:v>
                </c:pt>
                <c:pt idx="1">
                  <c:v>5.2798512967279367E-2</c:v>
                </c:pt>
                <c:pt idx="2">
                  <c:v>4.6897589472752479E-2</c:v>
                </c:pt>
                <c:pt idx="3">
                  <c:v>0.20147228041188447</c:v>
                </c:pt>
                <c:pt idx="4">
                  <c:v>5.0305372790841766E-3</c:v>
                </c:pt>
                <c:pt idx="5">
                  <c:v>5.7238957896910865E-3</c:v>
                </c:pt>
                <c:pt idx="6">
                  <c:v>8.0370577995456272E-2</c:v>
                </c:pt>
                <c:pt idx="7">
                  <c:v>4.270793379163839E-2</c:v>
                </c:pt>
                <c:pt idx="8">
                  <c:v>1.2937774761750214E-2</c:v>
                </c:pt>
                <c:pt idx="9">
                  <c:v>1.4058950225710323E-2</c:v>
                </c:pt>
                <c:pt idx="10">
                  <c:v>0.27333077626648566</c:v>
                </c:pt>
                <c:pt idx="11">
                  <c:v>2.9504617472634463E-5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BUJUKO-BULOBA'!$C$9:$N$9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BUJUKO-BULOBA'!$C$108:$N$108</c:f>
              <c:numCache>
                <c:formatCode>0.00%</c:formatCode>
                <c:ptCount val="12"/>
                <c:pt idx="0">
                  <c:v>0.36418449794957164</c:v>
                </c:pt>
                <c:pt idx="1">
                  <c:v>7.2658248406350212E-2</c:v>
                </c:pt>
                <c:pt idx="2">
                  <c:v>6.4537740062527896E-2</c:v>
                </c:pt>
                <c:pt idx="3">
                  <c:v>0.27725445612895366</c:v>
                </c:pt>
                <c:pt idx="4">
                  <c:v>6.9227333631085297E-3</c:v>
                </c:pt>
                <c:pt idx="5">
                  <c:v>7.8768930935076524E-3</c:v>
                </c:pt>
                <c:pt idx="6">
                  <c:v>0.11060132364286</c:v>
                </c:pt>
                <c:pt idx="7">
                  <c:v>5.8772179138414052E-2</c:v>
                </c:pt>
                <c:pt idx="8">
                  <c:v>1.7804214543830441E-2</c:v>
                </c:pt>
                <c:pt idx="9">
                  <c:v>1.9347111129156682E-2</c:v>
                </c:pt>
                <c:pt idx="11">
                  <c:v>4.0602541719111607E-5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BULOBA-BUJUKO'!$AE$9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BULOBA-BUJUKO'!$R$10:$R$33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BULOBA-BUJUKO'!$AE$10:$AE$33</c:f>
              <c:numCache>
                <c:formatCode>0</c:formatCode>
                <c:ptCount val="24"/>
                <c:pt idx="0">
                  <c:v>136.42857142857142</c:v>
                </c:pt>
                <c:pt idx="1">
                  <c:v>180.99999999999997</c:v>
                </c:pt>
                <c:pt idx="2">
                  <c:v>187.57142857142856</c:v>
                </c:pt>
                <c:pt idx="3">
                  <c:v>233.85714285714289</c:v>
                </c:pt>
                <c:pt idx="4">
                  <c:v>229.57142857142856</c:v>
                </c:pt>
                <c:pt idx="5">
                  <c:v>227.85714285714283</c:v>
                </c:pt>
                <c:pt idx="6">
                  <c:v>237.85714285714289</c:v>
                </c:pt>
                <c:pt idx="7">
                  <c:v>250.14285714285714</c:v>
                </c:pt>
                <c:pt idx="8">
                  <c:v>225.14285714285714</c:v>
                </c:pt>
                <c:pt idx="9">
                  <c:v>212.14285714285717</c:v>
                </c:pt>
                <c:pt idx="10">
                  <c:v>199.57142857142856</c:v>
                </c:pt>
                <c:pt idx="11">
                  <c:v>199.85714285714283</c:v>
                </c:pt>
                <c:pt idx="12">
                  <c:v>181</c:v>
                </c:pt>
                <c:pt idx="13">
                  <c:v>131</c:v>
                </c:pt>
                <c:pt idx="14">
                  <c:v>123</c:v>
                </c:pt>
                <c:pt idx="15">
                  <c:v>107</c:v>
                </c:pt>
                <c:pt idx="16">
                  <c:v>94.5</c:v>
                </c:pt>
                <c:pt idx="17">
                  <c:v>71</c:v>
                </c:pt>
                <c:pt idx="18">
                  <c:v>30</c:v>
                </c:pt>
                <c:pt idx="19">
                  <c:v>22</c:v>
                </c:pt>
                <c:pt idx="20">
                  <c:v>20.5</c:v>
                </c:pt>
                <c:pt idx="21">
                  <c:v>19</c:v>
                </c:pt>
                <c:pt idx="22">
                  <c:v>30.5</c:v>
                </c:pt>
                <c:pt idx="23">
                  <c:v>33.5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BULOBA-BUJUKO'!$AF$9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BULOBA-BUJUKO'!$R$10:$R$33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BULOBA-BUJUKO'!$AF$10:$AF$33</c:f>
              <c:numCache>
                <c:formatCode>0</c:formatCode>
                <c:ptCount val="24"/>
                <c:pt idx="0">
                  <c:v>177</c:v>
                </c:pt>
                <c:pt idx="1">
                  <c:v>238.28571428571428</c:v>
                </c:pt>
                <c:pt idx="2">
                  <c:v>246.14285714285714</c:v>
                </c:pt>
                <c:pt idx="3">
                  <c:v>301</c:v>
                </c:pt>
                <c:pt idx="4">
                  <c:v>295.28571428571428</c:v>
                </c:pt>
                <c:pt idx="5">
                  <c:v>293.57142857142856</c:v>
                </c:pt>
                <c:pt idx="6">
                  <c:v>299.85714285714283</c:v>
                </c:pt>
                <c:pt idx="7">
                  <c:v>312.85714285714283</c:v>
                </c:pt>
                <c:pt idx="8">
                  <c:v>279.57142857142856</c:v>
                </c:pt>
                <c:pt idx="9">
                  <c:v>262.42857142857144</c:v>
                </c:pt>
                <c:pt idx="10">
                  <c:v>247</c:v>
                </c:pt>
                <c:pt idx="11">
                  <c:v>250.3095238095238</c:v>
                </c:pt>
                <c:pt idx="12">
                  <c:v>263.5</c:v>
                </c:pt>
                <c:pt idx="13">
                  <c:v>183.5</c:v>
                </c:pt>
                <c:pt idx="14">
                  <c:v>154.5</c:v>
                </c:pt>
                <c:pt idx="15">
                  <c:v>144</c:v>
                </c:pt>
                <c:pt idx="16">
                  <c:v>116</c:v>
                </c:pt>
                <c:pt idx="17">
                  <c:v>85.5</c:v>
                </c:pt>
                <c:pt idx="18">
                  <c:v>39</c:v>
                </c:pt>
                <c:pt idx="19">
                  <c:v>30</c:v>
                </c:pt>
                <c:pt idx="20">
                  <c:v>24.5</c:v>
                </c:pt>
                <c:pt idx="21">
                  <c:v>28.5</c:v>
                </c:pt>
                <c:pt idx="22">
                  <c:v>49.5</c:v>
                </c:pt>
                <c:pt idx="23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056"/>
        <c:axId val="770704"/>
      </c:lineChart>
      <c:catAx>
        <c:axId val="7750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70704"/>
        <c:crosses val="autoZero"/>
        <c:auto val="1"/>
        <c:lblAlgn val="ctr"/>
        <c:lblOffset val="100"/>
        <c:noMultiLvlLbl val="0"/>
      </c:catAx>
      <c:valAx>
        <c:axId val="7707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7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BULOBA-BUJUKO'!$C$9:$N$9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BULOBA-BUJUKO'!$C$107:$N$107</c:f>
              <c:numCache>
                <c:formatCode>0.0%</c:formatCode>
                <c:ptCount val="12"/>
                <c:pt idx="0">
                  <c:v>0.2421103033996431</c:v>
                </c:pt>
                <c:pt idx="1">
                  <c:v>6.9342271362033692E-2</c:v>
                </c:pt>
                <c:pt idx="2">
                  <c:v>5.5581552256997332E-2</c:v>
                </c:pt>
                <c:pt idx="3">
                  <c:v>0.21080181082139907</c:v>
                </c:pt>
                <c:pt idx="4">
                  <c:v>4.9297000827057836E-3</c:v>
                </c:pt>
                <c:pt idx="5">
                  <c:v>6.6110216340921962E-3</c:v>
                </c:pt>
                <c:pt idx="6">
                  <c:v>9.9295912593044003E-2</c:v>
                </c:pt>
                <c:pt idx="7">
                  <c:v>4.7958472990031774E-2</c:v>
                </c:pt>
                <c:pt idx="8">
                  <c:v>2.1987768249684413E-2</c:v>
                </c:pt>
                <c:pt idx="9">
                  <c:v>1.4364688982718841E-2</c:v>
                </c:pt>
                <c:pt idx="10">
                  <c:v>0.22665738040308189</c:v>
                </c:pt>
                <c:pt idx="11">
                  <c:v>3.591172245679711E-4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BULOBA-BUJUKO'!$C$9:$N$9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BULOBA-BUJUKO'!$C$108:$N$108</c:f>
              <c:numCache>
                <c:formatCode>0.00%</c:formatCode>
                <c:ptCount val="12"/>
                <c:pt idx="0">
                  <c:v>0.31306990881458963</c:v>
                </c:pt>
                <c:pt idx="1">
                  <c:v>8.9665653495440714E-2</c:v>
                </c:pt>
                <c:pt idx="2">
                  <c:v>7.1871833839918908E-2</c:v>
                </c:pt>
                <c:pt idx="3">
                  <c:v>0.27258527524484966</c:v>
                </c:pt>
                <c:pt idx="4">
                  <c:v>6.3745356298547757E-3</c:v>
                </c:pt>
                <c:pt idx="5">
                  <c:v>8.5486322188449843E-3</c:v>
                </c:pt>
                <c:pt idx="6">
                  <c:v>0.12839834515366427</c:v>
                </c:pt>
                <c:pt idx="7">
                  <c:v>6.2014522120905073E-2</c:v>
                </c:pt>
                <c:pt idx="8">
                  <c:v>2.8432117527862205E-2</c:v>
                </c:pt>
                <c:pt idx="9">
                  <c:v>1.8574805808848353E-2</c:v>
                </c:pt>
                <c:pt idx="11">
                  <c:v>4.6437014522120889E-4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BUJUKO-BULOBA-2Dir'!$C$9:$N$9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BUJUKO-BULOBA-2Dir'!$C$107:$N$107</c:f>
              <c:numCache>
                <c:formatCode>0.0%</c:formatCode>
                <c:ptCount val="12"/>
                <c:pt idx="0">
                  <c:v>0.25394558069132261</c:v>
                </c:pt>
                <c:pt idx="1">
                  <c:v>6.0652163805528722E-2</c:v>
                </c:pt>
                <c:pt idx="2">
                  <c:v>5.1020039158758287E-2</c:v>
                </c:pt>
                <c:pt idx="3">
                  <c:v>0.20590119387718203</c:v>
                </c:pt>
                <c:pt idx="4">
                  <c:v>4.9826678583052217E-3</c:v>
                </c:pt>
                <c:pt idx="5">
                  <c:v>6.1450320554215267E-3</c:v>
                </c:pt>
                <c:pt idx="6">
                  <c:v>8.9354810379653968E-2</c:v>
                </c:pt>
                <c:pt idx="7">
                  <c:v>4.5200469078529322E-2</c:v>
                </c:pt>
                <c:pt idx="8">
                  <c:v>1.7233986495911065E-2</c:v>
                </c:pt>
                <c:pt idx="9">
                  <c:v>1.4204090488761228E-2</c:v>
                </c:pt>
                <c:pt idx="10">
                  <c:v>0.25117398783908751</c:v>
                </c:pt>
                <c:pt idx="11">
                  <c:v>1.8597827153860857E-4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BUJUKO-BULOBA-2Dir'!$S$9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Week BUJUKO-BULOBA-2Dir'!$R$10:$R$21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BUJUKO-BULOBA-2Dir'!$S$10:$S$21</c:f>
              <c:numCache>
                <c:formatCode>0</c:formatCode>
                <c:ptCount val="12"/>
                <c:pt idx="0">
                  <c:v>105.71428571428572</c:v>
                </c:pt>
                <c:pt idx="1">
                  <c:v>121.85714285714286</c:v>
                </c:pt>
                <c:pt idx="2">
                  <c:v>111</c:v>
                </c:pt>
                <c:pt idx="3">
                  <c:v>124.71428571428572</c:v>
                </c:pt>
                <c:pt idx="4">
                  <c:v>128.42857142857144</c:v>
                </c:pt>
                <c:pt idx="5">
                  <c:v>121.14285714285714</c:v>
                </c:pt>
                <c:pt idx="6">
                  <c:v>130.57142857142858</c:v>
                </c:pt>
                <c:pt idx="7">
                  <c:v>133.42857142857142</c:v>
                </c:pt>
                <c:pt idx="8">
                  <c:v>141</c:v>
                </c:pt>
                <c:pt idx="9">
                  <c:v>149.71428571428572</c:v>
                </c:pt>
                <c:pt idx="10">
                  <c:v>159.14285714285714</c:v>
                </c:pt>
                <c:pt idx="11">
                  <c:v>185.57142857142856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E8-49CE-9A67-22D6951BE8EE}"/>
            </c:ext>
          </c:extLst>
        </c:ser>
        <c:ser>
          <c:idx val="1"/>
          <c:order val="1"/>
          <c:tx>
            <c:strRef>
              <c:f>'Avg Week BUJUKO-BULOBA-2Dir'!$T$9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Week BUJUKO-BULOBA-2Dir'!$R$10:$R$21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BUJUKO-BULOBA-2Dir'!$T$10:$T$21</c:f>
              <c:numCache>
                <c:formatCode>0</c:formatCode>
                <c:ptCount val="12"/>
                <c:pt idx="0">
                  <c:v>17.285714285714285</c:v>
                </c:pt>
                <c:pt idx="1">
                  <c:v>27.857142857142854</c:v>
                </c:pt>
                <c:pt idx="2">
                  <c:v>30.571428571428573</c:v>
                </c:pt>
                <c:pt idx="3">
                  <c:v>30.857142857142858</c:v>
                </c:pt>
                <c:pt idx="4">
                  <c:v>33.857142857142861</c:v>
                </c:pt>
                <c:pt idx="5">
                  <c:v>38.428571428571431</c:v>
                </c:pt>
                <c:pt idx="6">
                  <c:v>37.142857142857139</c:v>
                </c:pt>
                <c:pt idx="7">
                  <c:v>38.285714285714292</c:v>
                </c:pt>
                <c:pt idx="8">
                  <c:v>36</c:v>
                </c:pt>
                <c:pt idx="9">
                  <c:v>38.428571428571431</c:v>
                </c:pt>
                <c:pt idx="10">
                  <c:v>49</c:v>
                </c:pt>
                <c:pt idx="11">
                  <c:v>44.857142857142861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6E8-49CE-9A67-22D6951BE8EE}"/>
            </c:ext>
          </c:extLst>
        </c:ser>
        <c:ser>
          <c:idx val="2"/>
          <c:order val="2"/>
          <c:tx>
            <c:strRef>
              <c:f>'Avg Week BUJUKO-BULOBA-2Dir'!$U$9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'Avg Week BUJUKO-BULOBA-2Dir'!$U$10:$U$21</c:f>
              <c:numCache>
                <c:formatCode>0</c:formatCode>
                <c:ptCount val="12"/>
                <c:pt idx="0">
                  <c:v>16.285714285714285</c:v>
                </c:pt>
                <c:pt idx="1">
                  <c:v>23.428571428571431</c:v>
                </c:pt>
                <c:pt idx="2">
                  <c:v>22.714285714285715</c:v>
                </c:pt>
                <c:pt idx="3">
                  <c:v>25.428571428571427</c:v>
                </c:pt>
                <c:pt idx="4">
                  <c:v>24.285714285714288</c:v>
                </c:pt>
                <c:pt idx="5">
                  <c:v>25.428571428571431</c:v>
                </c:pt>
                <c:pt idx="6">
                  <c:v>33.285714285714292</c:v>
                </c:pt>
                <c:pt idx="7">
                  <c:v>36.142857142857139</c:v>
                </c:pt>
                <c:pt idx="8">
                  <c:v>32</c:v>
                </c:pt>
                <c:pt idx="9">
                  <c:v>32.857142857142861</c:v>
                </c:pt>
                <c:pt idx="10">
                  <c:v>35.857142857142854</c:v>
                </c:pt>
                <c:pt idx="11">
                  <c:v>38.571428571428569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E8-49CE-9A67-22D6951BE8EE}"/>
            </c:ext>
          </c:extLst>
        </c:ser>
        <c:ser>
          <c:idx val="3"/>
          <c:order val="3"/>
          <c:tx>
            <c:strRef>
              <c:f>'Avg Week BUJUKO-BULOBA-2Dir'!$V$9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'Avg Week BUJUKO-BULOBA-2Dir'!$V$10:$V$21</c:f>
              <c:numCache>
                <c:formatCode>0</c:formatCode>
                <c:ptCount val="12"/>
                <c:pt idx="0">
                  <c:v>96.428571428571416</c:v>
                </c:pt>
                <c:pt idx="1">
                  <c:v>115.42857142857143</c:v>
                </c:pt>
                <c:pt idx="2">
                  <c:v>117.42857142857142</c:v>
                </c:pt>
                <c:pt idx="3">
                  <c:v>119.57142857142857</c:v>
                </c:pt>
                <c:pt idx="4">
                  <c:v>116.14285714285714</c:v>
                </c:pt>
                <c:pt idx="5">
                  <c:v>110</c:v>
                </c:pt>
                <c:pt idx="6">
                  <c:v>121.57142857142858</c:v>
                </c:pt>
                <c:pt idx="7">
                  <c:v>131.57142857142856</c:v>
                </c:pt>
                <c:pt idx="8">
                  <c:v>125.85714285714285</c:v>
                </c:pt>
                <c:pt idx="9">
                  <c:v>117.14285714285714</c:v>
                </c:pt>
                <c:pt idx="10">
                  <c:v>125.14285714285714</c:v>
                </c:pt>
                <c:pt idx="11">
                  <c:v>145.14285714285717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E8-49CE-9A67-22D6951BE8EE}"/>
            </c:ext>
          </c:extLst>
        </c:ser>
        <c:ser>
          <c:idx val="4"/>
          <c:order val="4"/>
          <c:tx>
            <c:strRef>
              <c:f>'Avg Week BUJUKO-BULOBA-2Dir'!$W$9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'Avg Week BUJUKO-BULOBA-2Dir'!$W$10:$W$21</c:f>
              <c:numCache>
                <c:formatCode>0</c:formatCode>
                <c:ptCount val="12"/>
                <c:pt idx="0">
                  <c:v>2.8571428571428568</c:v>
                </c:pt>
                <c:pt idx="1">
                  <c:v>1.857142857142857</c:v>
                </c:pt>
                <c:pt idx="2">
                  <c:v>1.2857142857142856</c:v>
                </c:pt>
                <c:pt idx="3">
                  <c:v>2.4285714285714284</c:v>
                </c:pt>
                <c:pt idx="4">
                  <c:v>2.1428571428571423</c:v>
                </c:pt>
                <c:pt idx="5">
                  <c:v>3.1428571428571432</c:v>
                </c:pt>
                <c:pt idx="6">
                  <c:v>4</c:v>
                </c:pt>
                <c:pt idx="7">
                  <c:v>2.4285714285714288</c:v>
                </c:pt>
                <c:pt idx="8">
                  <c:v>1.5714285714285712</c:v>
                </c:pt>
                <c:pt idx="9">
                  <c:v>3.8571428571428572</c:v>
                </c:pt>
                <c:pt idx="10">
                  <c:v>3.4285714285714284</c:v>
                </c:pt>
                <c:pt idx="11">
                  <c:v>8.4285714285714288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E8-49CE-9A67-22D6951BE8EE}"/>
            </c:ext>
          </c:extLst>
        </c:ser>
        <c:ser>
          <c:idx val="5"/>
          <c:order val="5"/>
          <c:tx>
            <c:strRef>
              <c:f>'Avg Week BUJUKO-BULOBA-2Dir'!$X$9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'Avg Week BUJUKO-BULOBA-2Dir'!$X$10:$X$21</c:f>
              <c:numCache>
                <c:formatCode>0</c:formatCode>
                <c:ptCount val="12"/>
                <c:pt idx="0">
                  <c:v>0.71428571428571419</c:v>
                </c:pt>
                <c:pt idx="1">
                  <c:v>1.5714285714285712</c:v>
                </c:pt>
                <c:pt idx="2">
                  <c:v>1.9999999999999998</c:v>
                </c:pt>
                <c:pt idx="3">
                  <c:v>2.2857142857142856</c:v>
                </c:pt>
                <c:pt idx="4">
                  <c:v>3.8571428571428568</c:v>
                </c:pt>
                <c:pt idx="5">
                  <c:v>2.4285714285714284</c:v>
                </c:pt>
                <c:pt idx="6">
                  <c:v>4.1428571428571423</c:v>
                </c:pt>
                <c:pt idx="7">
                  <c:v>2.8571428571428572</c:v>
                </c:pt>
                <c:pt idx="8">
                  <c:v>4.5714285714285712</c:v>
                </c:pt>
                <c:pt idx="9">
                  <c:v>4.7142857142857144</c:v>
                </c:pt>
                <c:pt idx="10">
                  <c:v>3.5714285714285712</c:v>
                </c:pt>
                <c:pt idx="11">
                  <c:v>4.4285714285714288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E8-49CE-9A67-22D6951BE8EE}"/>
            </c:ext>
          </c:extLst>
        </c:ser>
        <c:ser>
          <c:idx val="6"/>
          <c:order val="6"/>
          <c:tx>
            <c:strRef>
              <c:f>'Avg Week BUJUKO-BULOBA-2Dir'!$Y$9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BUJUKO-BULOBA-2Dir'!$Y$10:$Y$21</c:f>
              <c:numCache>
                <c:formatCode>0</c:formatCode>
                <c:ptCount val="12"/>
                <c:pt idx="0">
                  <c:v>25</c:v>
                </c:pt>
                <c:pt idx="1">
                  <c:v>35.142857142857146</c:v>
                </c:pt>
                <c:pt idx="2">
                  <c:v>38.571428571428569</c:v>
                </c:pt>
                <c:pt idx="3">
                  <c:v>45.142857142857146</c:v>
                </c:pt>
                <c:pt idx="4">
                  <c:v>45.142857142857139</c:v>
                </c:pt>
                <c:pt idx="5">
                  <c:v>54.285714285714278</c:v>
                </c:pt>
                <c:pt idx="6">
                  <c:v>48.142857142857139</c:v>
                </c:pt>
                <c:pt idx="7">
                  <c:v>53.142857142857139</c:v>
                </c:pt>
                <c:pt idx="8">
                  <c:v>54.142857142857146</c:v>
                </c:pt>
                <c:pt idx="9">
                  <c:v>55.142857142857139</c:v>
                </c:pt>
                <c:pt idx="10">
                  <c:v>52.142857142857139</c:v>
                </c:pt>
                <c:pt idx="11">
                  <c:v>54.142857142857139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E8-49CE-9A67-22D6951BE8EE}"/>
            </c:ext>
          </c:extLst>
        </c:ser>
        <c:ser>
          <c:idx val="7"/>
          <c:order val="7"/>
          <c:tx>
            <c:strRef>
              <c:f>'Avg Week BUJUKO-BULOBA-2Dir'!$Z$9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BUJUKO-BULOBA-2Dir'!$Z$10:$Z$21</c:f>
              <c:numCache>
                <c:formatCode>0</c:formatCode>
                <c:ptCount val="12"/>
                <c:pt idx="0">
                  <c:v>16.285714285714285</c:v>
                </c:pt>
                <c:pt idx="1">
                  <c:v>14.285714285714285</c:v>
                </c:pt>
                <c:pt idx="2">
                  <c:v>14.571428571428571</c:v>
                </c:pt>
                <c:pt idx="3">
                  <c:v>18.285714285714285</c:v>
                </c:pt>
                <c:pt idx="4">
                  <c:v>13.857142857142858</c:v>
                </c:pt>
                <c:pt idx="5">
                  <c:v>17.571428571428573</c:v>
                </c:pt>
                <c:pt idx="6">
                  <c:v>18.142857142857142</c:v>
                </c:pt>
                <c:pt idx="7">
                  <c:v>21.857142857142858</c:v>
                </c:pt>
                <c:pt idx="8">
                  <c:v>20.285714285714285</c:v>
                </c:pt>
                <c:pt idx="9">
                  <c:v>22.142857142857139</c:v>
                </c:pt>
                <c:pt idx="10">
                  <c:v>19</c:v>
                </c:pt>
                <c:pt idx="11">
                  <c:v>19.857142857142854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E8-49CE-9A67-22D6951BE8EE}"/>
            </c:ext>
          </c:extLst>
        </c:ser>
        <c:ser>
          <c:idx val="8"/>
          <c:order val="8"/>
          <c:tx>
            <c:strRef>
              <c:f>'Avg Week BUJUKO-BULOBA-2Dir'!$AA$9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BUJUKO-BULOBA-2Dir'!$AA$10:$AA$21</c:f>
              <c:numCache>
                <c:formatCode>0</c:formatCode>
                <c:ptCount val="12"/>
                <c:pt idx="0">
                  <c:v>3.1428571428571428</c:v>
                </c:pt>
                <c:pt idx="1">
                  <c:v>5</c:v>
                </c:pt>
                <c:pt idx="2">
                  <c:v>5.9999999999999991</c:v>
                </c:pt>
                <c:pt idx="3">
                  <c:v>8.1428571428571423</c:v>
                </c:pt>
                <c:pt idx="4">
                  <c:v>6.7142857142857135</c:v>
                </c:pt>
                <c:pt idx="5">
                  <c:v>8</c:v>
                </c:pt>
                <c:pt idx="6">
                  <c:v>8.2857142857142865</c:v>
                </c:pt>
                <c:pt idx="7">
                  <c:v>11.428571428571427</c:v>
                </c:pt>
                <c:pt idx="8">
                  <c:v>10.571428571428569</c:v>
                </c:pt>
                <c:pt idx="9">
                  <c:v>7.7142857142857135</c:v>
                </c:pt>
                <c:pt idx="10">
                  <c:v>5.8571428571428577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E8-49CE-9A67-22D6951BE8EE}"/>
            </c:ext>
          </c:extLst>
        </c:ser>
        <c:ser>
          <c:idx val="9"/>
          <c:order val="9"/>
          <c:tx>
            <c:strRef>
              <c:f>'Avg Week BUJUKO-BULOBA-2Dir'!$AB$9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BUJUKO-BULOBA-2Dir'!$AB$10:$AB$21</c:f>
              <c:numCache>
                <c:formatCode>0</c:formatCode>
                <c:ptCount val="12"/>
                <c:pt idx="0">
                  <c:v>4.2857142857142847</c:v>
                </c:pt>
                <c:pt idx="1">
                  <c:v>3.2857142857142856</c:v>
                </c:pt>
                <c:pt idx="2">
                  <c:v>3.2857142857142856</c:v>
                </c:pt>
                <c:pt idx="3">
                  <c:v>5.5714285714285712</c:v>
                </c:pt>
                <c:pt idx="4">
                  <c:v>5.1428571428571423</c:v>
                </c:pt>
                <c:pt idx="5">
                  <c:v>5.4285714285714288</c:v>
                </c:pt>
                <c:pt idx="6">
                  <c:v>7</c:v>
                </c:pt>
                <c:pt idx="7">
                  <c:v>6.8571428571428568</c:v>
                </c:pt>
                <c:pt idx="8">
                  <c:v>4.8571428571428568</c:v>
                </c:pt>
                <c:pt idx="9">
                  <c:v>8</c:v>
                </c:pt>
                <c:pt idx="10">
                  <c:v>6.1428571428571423</c:v>
                </c:pt>
                <c:pt idx="11">
                  <c:v>7.5714285714285712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6E8-49CE-9A67-22D6951BE8EE}"/>
            </c:ext>
          </c:extLst>
        </c:ser>
        <c:ser>
          <c:idx val="10"/>
          <c:order val="10"/>
          <c:tx>
            <c:strRef>
              <c:f>'Avg Week BUJUKO-BULOBA-2Dir'!$AC$9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BUJUKO-BULOBA-2Dir'!$AC$10:$AC$21</c:f>
              <c:numCache>
                <c:formatCode>0</c:formatCode>
                <c:ptCount val="12"/>
                <c:pt idx="0">
                  <c:v>115.14285714285714</c:v>
                </c:pt>
                <c:pt idx="1">
                  <c:v>149.71428571428572</c:v>
                </c:pt>
                <c:pt idx="2">
                  <c:v>141.42857142857142</c:v>
                </c:pt>
                <c:pt idx="3">
                  <c:v>144.57142857142856</c:v>
                </c:pt>
                <c:pt idx="4">
                  <c:v>131.14285714285714</c:v>
                </c:pt>
                <c:pt idx="5">
                  <c:v>128</c:v>
                </c:pt>
                <c:pt idx="6">
                  <c:v>128.71428571428572</c:v>
                </c:pt>
                <c:pt idx="7">
                  <c:v>123.42857142857142</c:v>
                </c:pt>
                <c:pt idx="8">
                  <c:v>120.28571428571428</c:v>
                </c:pt>
                <c:pt idx="9">
                  <c:v>128.85714285714286</c:v>
                </c:pt>
                <c:pt idx="10">
                  <c:v>135.85714285714286</c:v>
                </c:pt>
                <c:pt idx="11">
                  <c:v>152.59523809523807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6E8-49CE-9A67-22D6951BE8EE}"/>
            </c:ext>
          </c:extLst>
        </c:ser>
        <c:ser>
          <c:idx val="11"/>
          <c:order val="11"/>
          <c:tx>
            <c:strRef>
              <c:f>'Avg Week BUJUKO-BULOBA-2Dir'!$AD$9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BUJUKO-BULOBA-2Dir'!$AD$10:$AD$21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0</c:v>
                </c:pt>
                <c:pt idx="5">
                  <c:v>0</c:v>
                </c:pt>
                <c:pt idx="6">
                  <c:v>0.2857142857142857</c:v>
                </c:pt>
                <c:pt idx="7">
                  <c:v>0.14285714285714285</c:v>
                </c:pt>
                <c:pt idx="8">
                  <c:v>0.14285714285714285</c:v>
                </c:pt>
                <c:pt idx="9">
                  <c:v>0.14285714285714285</c:v>
                </c:pt>
                <c:pt idx="10">
                  <c:v>0.42857142857142855</c:v>
                </c:pt>
                <c:pt idx="11">
                  <c:v>0.42857142857142855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6E8-49CE-9A67-22D6951BE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0496"/>
        <c:axId val="779408"/>
      </c:lineChart>
      <c:catAx>
        <c:axId val="78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79408"/>
        <c:crosses val="autoZero"/>
        <c:auto val="1"/>
        <c:lblAlgn val="ctr"/>
        <c:lblOffset val="100"/>
        <c:noMultiLvlLbl val="0"/>
      </c:catAx>
      <c:valAx>
        <c:axId val="77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8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BUJUKO-BULOBA-2Dir'!$C$9:$N$9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BUJUKO-BULOBA-2Dir'!$C$108:$N$108</c:f>
              <c:numCache>
                <c:formatCode>0.00%</c:formatCode>
                <c:ptCount val="12"/>
                <c:pt idx="0">
                  <c:v>0.33912494567129592</c:v>
                </c:pt>
                <c:pt idx="1">
                  <c:v>8.0996336693089394E-2</c:v>
                </c:pt>
                <c:pt idx="2">
                  <c:v>6.8133369207525302E-2</c:v>
                </c:pt>
                <c:pt idx="3">
                  <c:v>0.2749653331125691</c:v>
                </c:pt>
                <c:pt idx="4">
                  <c:v>6.6539727218163387E-3</c:v>
                </c:pt>
                <c:pt idx="5">
                  <c:v>8.2062214127532774E-3</c:v>
                </c:pt>
                <c:pt idx="6">
                  <c:v>0.11932653103462548</c:v>
                </c:pt>
                <c:pt idx="7">
                  <c:v>6.036177742823437E-2</c:v>
                </c:pt>
                <c:pt idx="8">
                  <c:v>2.3014673924291663E-2</c:v>
                </c:pt>
                <c:pt idx="9">
                  <c:v>1.8968479003249373E-2</c:v>
                </c:pt>
                <c:pt idx="11">
                  <c:v>2.4835979054990996E-4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BUJUKO-BULOBA-2Dir'!$S$9:$AF$9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BUJUKO-BULOBA-2Dir'!$S$41:$AF$41</c:f>
              <c:numCache>
                <c:formatCode>_-* #,##0_-;\-* #,##0_-;_-* "-"_-;_-@_-</c:formatCode>
                <c:ptCount val="14"/>
                <c:pt idx="0">
                  <c:v>2340.7857142857142</c:v>
                </c:pt>
                <c:pt idx="1">
                  <c:v>559.07142857142867</c:v>
                </c:pt>
                <c:pt idx="2">
                  <c:v>470.28571428571428</c:v>
                </c:pt>
                <c:pt idx="3">
                  <c:v>1897.9285714285711</c:v>
                </c:pt>
                <c:pt idx="4">
                  <c:v>45.928571428571423</c:v>
                </c:pt>
                <c:pt idx="5">
                  <c:v>56.642857142857146</c:v>
                </c:pt>
                <c:pt idx="6">
                  <c:v>823.64285714285711</c:v>
                </c:pt>
                <c:pt idx="7">
                  <c:v>416.64285714285711</c:v>
                </c:pt>
                <c:pt idx="8">
                  <c:v>158.85714285714283</c:v>
                </c:pt>
                <c:pt idx="9">
                  <c:v>130.92857142857142</c:v>
                </c:pt>
                <c:pt idx="10">
                  <c:v>2315.2380952380954</c:v>
                </c:pt>
                <c:pt idx="11">
                  <c:v>1.7142857142857142</c:v>
                </c:pt>
                <c:pt idx="12">
                  <c:v>6902.4285714285706</c:v>
                </c:pt>
                <c:pt idx="13">
                  <c:v>9217.6666666666661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E-460F-9D8C-B735338699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BUJUKO-BULOBA-2Dir'!$S$9:$AF$9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BUJUKO-BULOBA-2Dir'!$S$42:$AF$42</c:f>
              <c:numCache>
                <c:formatCode>0.000</c:formatCode>
                <c:ptCount val="14"/>
                <c:pt idx="0">
                  <c:v>1.4518429913166755</c:v>
                </c:pt>
                <c:pt idx="1">
                  <c:v>1.323022312373225</c:v>
                </c:pt>
                <c:pt idx="2">
                  <c:v>1.358085808580858</c:v>
                </c:pt>
                <c:pt idx="3">
                  <c:v>1.3166997026759168</c:v>
                </c:pt>
                <c:pt idx="4">
                  <c:v>1.2270992366412214</c:v>
                </c:pt>
                <c:pt idx="5">
                  <c:v>1.5249999999999999</c:v>
                </c:pt>
                <c:pt idx="6">
                  <c:v>1.4704157102779902</c:v>
                </c:pt>
                <c:pt idx="7">
                  <c:v>1.9276272306675482</c:v>
                </c:pt>
                <c:pt idx="8">
                  <c:v>1.8289473684210527</c:v>
                </c:pt>
                <c:pt idx="9">
                  <c:v>1.9417372881355934</c:v>
                </c:pt>
                <c:pt idx="10">
                  <c:v>1.4472607123189809</c:v>
                </c:pt>
                <c:pt idx="11">
                  <c:v>1</c:v>
                </c:pt>
                <c:pt idx="12">
                  <c:v>1.4292433295864639</c:v>
                </c:pt>
                <c:pt idx="13">
                  <c:v>1.4337265068049254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7-4BCD-B87D-464A96D4C9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BUJUKO-BULOBA-2Dir'!$AE$9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BUJUKO-BULOBA-2Dir'!$R$10:$R$33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BUJUKO-BULOBA-2Dir'!$AE$10:$AE$33</c:f>
              <c:numCache>
                <c:formatCode>0</c:formatCode>
                <c:ptCount val="24"/>
                <c:pt idx="0">
                  <c:v>288</c:v>
                </c:pt>
                <c:pt idx="1">
                  <c:v>349.71428571428567</c:v>
                </c:pt>
                <c:pt idx="2">
                  <c:v>347.42857142857144</c:v>
                </c:pt>
                <c:pt idx="3">
                  <c:v>382.57142857142856</c:v>
                </c:pt>
                <c:pt idx="4">
                  <c:v>379.57142857142856</c:v>
                </c:pt>
                <c:pt idx="5">
                  <c:v>385.85714285714289</c:v>
                </c:pt>
                <c:pt idx="6">
                  <c:v>412.57142857142861</c:v>
                </c:pt>
                <c:pt idx="7">
                  <c:v>438.14285714285722</c:v>
                </c:pt>
                <c:pt idx="8">
                  <c:v>431</c:v>
                </c:pt>
                <c:pt idx="9">
                  <c:v>439.85714285714289</c:v>
                </c:pt>
                <c:pt idx="10">
                  <c:v>459.71428571428567</c:v>
                </c:pt>
                <c:pt idx="11">
                  <c:v>515</c:v>
                </c:pt>
                <c:pt idx="12">
                  <c:v>505.5</c:v>
                </c:pt>
                <c:pt idx="13">
                  <c:v>325.5</c:v>
                </c:pt>
                <c:pt idx="14">
                  <c:v>302.5</c:v>
                </c:pt>
                <c:pt idx="15">
                  <c:v>225</c:v>
                </c:pt>
                <c:pt idx="16">
                  <c:v>167</c:v>
                </c:pt>
                <c:pt idx="17">
                  <c:v>113.5</c:v>
                </c:pt>
                <c:pt idx="18">
                  <c:v>69.5</c:v>
                </c:pt>
                <c:pt idx="19">
                  <c:v>45.5</c:v>
                </c:pt>
                <c:pt idx="20">
                  <c:v>38</c:v>
                </c:pt>
                <c:pt idx="21">
                  <c:v>51.5</c:v>
                </c:pt>
                <c:pt idx="22">
                  <c:v>104</c:v>
                </c:pt>
                <c:pt idx="23">
                  <c:v>125.5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B5-46C3-A0D1-E7D7F105798E}"/>
            </c:ext>
          </c:extLst>
        </c:ser>
        <c:ser>
          <c:idx val="1"/>
          <c:order val="1"/>
          <c:tx>
            <c:strRef>
              <c:f>'Avg Week BUJUKO-BULOBA-2Dir'!$AF$9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BUJUKO-BULOBA-2Dir'!$R$10:$R$33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BUJUKO-BULOBA-2Dir'!$AF$10:$AF$33</c:f>
              <c:numCache>
                <c:formatCode>0</c:formatCode>
                <c:ptCount val="24"/>
                <c:pt idx="0">
                  <c:v>403.14285714285711</c:v>
                </c:pt>
                <c:pt idx="1">
                  <c:v>499.42857142857144</c:v>
                </c:pt>
                <c:pt idx="2">
                  <c:v>488.85714285714289</c:v>
                </c:pt>
                <c:pt idx="3">
                  <c:v>527.14285714285711</c:v>
                </c:pt>
                <c:pt idx="4">
                  <c:v>510.71428571428578</c:v>
                </c:pt>
                <c:pt idx="5">
                  <c:v>513.85714285714289</c:v>
                </c:pt>
                <c:pt idx="6">
                  <c:v>541.28571428571422</c:v>
                </c:pt>
                <c:pt idx="7">
                  <c:v>561.57142857142856</c:v>
                </c:pt>
                <c:pt idx="8">
                  <c:v>551.28571428571422</c:v>
                </c:pt>
                <c:pt idx="9">
                  <c:v>568.71428571428578</c:v>
                </c:pt>
                <c:pt idx="10">
                  <c:v>595.57142857142856</c:v>
                </c:pt>
                <c:pt idx="11">
                  <c:v>667.59523809523807</c:v>
                </c:pt>
                <c:pt idx="12">
                  <c:v>688.5</c:v>
                </c:pt>
                <c:pt idx="13">
                  <c:v>449.5</c:v>
                </c:pt>
                <c:pt idx="14">
                  <c:v>384.5</c:v>
                </c:pt>
                <c:pt idx="15">
                  <c:v>306</c:v>
                </c:pt>
                <c:pt idx="16">
                  <c:v>217.5</c:v>
                </c:pt>
                <c:pt idx="17">
                  <c:v>139</c:v>
                </c:pt>
                <c:pt idx="18">
                  <c:v>89</c:v>
                </c:pt>
                <c:pt idx="19">
                  <c:v>68.5</c:v>
                </c:pt>
                <c:pt idx="20">
                  <c:v>50.5</c:v>
                </c:pt>
                <c:pt idx="21">
                  <c:v>71.5</c:v>
                </c:pt>
                <c:pt idx="22">
                  <c:v>153</c:v>
                </c:pt>
                <c:pt idx="23">
                  <c:v>171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B5-46C3-A0D1-E7D7F105798E}"/>
            </c:ext>
          </c:extLst>
        </c:ser>
        <c:ser>
          <c:idx val="5"/>
          <c:order val="2"/>
          <c:tx>
            <c:strRef>
              <c:f>'Avg Week BUJUKO-BULOBA-2Dir'!$AC$9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BUJUKO-BULOBA-2Dir'!$R$10:$R$33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BUJUKO-BULOBA-2Dir'!$AC$10:$AC$33</c:f>
              <c:numCache>
                <c:formatCode>0</c:formatCode>
                <c:ptCount val="24"/>
                <c:pt idx="0">
                  <c:v>115.14285714285714</c:v>
                </c:pt>
                <c:pt idx="1">
                  <c:v>149.71428571428572</c:v>
                </c:pt>
                <c:pt idx="2">
                  <c:v>141.42857142857142</c:v>
                </c:pt>
                <c:pt idx="3">
                  <c:v>144.57142857142856</c:v>
                </c:pt>
                <c:pt idx="4">
                  <c:v>131.14285714285714</c:v>
                </c:pt>
                <c:pt idx="5">
                  <c:v>128</c:v>
                </c:pt>
                <c:pt idx="6">
                  <c:v>128.71428571428572</c:v>
                </c:pt>
                <c:pt idx="7">
                  <c:v>123.42857142857142</c:v>
                </c:pt>
                <c:pt idx="8">
                  <c:v>120.28571428571428</c:v>
                </c:pt>
                <c:pt idx="9">
                  <c:v>128.85714285714286</c:v>
                </c:pt>
                <c:pt idx="10">
                  <c:v>135.85714285714286</c:v>
                </c:pt>
                <c:pt idx="11">
                  <c:v>152.59523809523807</c:v>
                </c:pt>
                <c:pt idx="12">
                  <c:v>183</c:v>
                </c:pt>
                <c:pt idx="13">
                  <c:v>124</c:v>
                </c:pt>
                <c:pt idx="14">
                  <c:v>82</c:v>
                </c:pt>
                <c:pt idx="15">
                  <c:v>81</c:v>
                </c:pt>
                <c:pt idx="16">
                  <c:v>50.5</c:v>
                </c:pt>
                <c:pt idx="17">
                  <c:v>25.5</c:v>
                </c:pt>
                <c:pt idx="18">
                  <c:v>19.5</c:v>
                </c:pt>
                <c:pt idx="19">
                  <c:v>23</c:v>
                </c:pt>
                <c:pt idx="20">
                  <c:v>12.5</c:v>
                </c:pt>
                <c:pt idx="21">
                  <c:v>20</c:v>
                </c:pt>
                <c:pt idx="22">
                  <c:v>49</c:v>
                </c:pt>
                <c:pt idx="23">
                  <c:v>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B5-46C3-A0D1-E7D7F1057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1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25.xml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18" Type="http://schemas.openxmlformats.org/officeDocument/2006/relationships/chart" Target="../charts/chart62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22225</xdr:rowOff>
    </xdr:from>
    <xdr:to>
      <xdr:col>27</xdr:col>
      <xdr:colOff>698500</xdr:colOff>
      <xdr:row>57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57</xdr:row>
      <xdr:rowOff>263525</xdr:rowOff>
    </xdr:from>
    <xdr:to>
      <xdr:col>23</xdr:col>
      <xdr:colOff>0</xdr:colOff>
      <xdr:row>73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15875</xdr:colOff>
      <xdr:row>58</xdr:row>
      <xdr:rowOff>1</xdr:rowOff>
    </xdr:from>
    <xdr:to>
      <xdr:col>31</xdr:col>
      <xdr:colOff>190499</xdr:colOff>
      <xdr:row>73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6349</xdr:rowOff>
    </xdr:from>
    <xdr:to>
      <xdr:col>28</xdr:col>
      <xdr:colOff>15874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142876</xdr:colOff>
      <xdr:row>59</xdr:row>
      <xdr:rowOff>15875</xdr:rowOff>
    </xdr:from>
    <xdr:to>
      <xdr:col>23</xdr:col>
      <xdr:colOff>15876</xdr:colOff>
      <xdr:row>74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15875</xdr:colOff>
      <xdr:row>58</xdr:row>
      <xdr:rowOff>269876</xdr:rowOff>
    </xdr:from>
    <xdr:to>
      <xdr:col>31</xdr:col>
      <xdr:colOff>15875</xdr:colOff>
      <xdr:row>73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58</xdr:row>
      <xdr:rowOff>263526</xdr:rowOff>
    </xdr:from>
    <xdr:to>
      <xdr:col>23</xdr:col>
      <xdr:colOff>698500</xdr:colOff>
      <xdr:row>75</xdr:row>
      <xdr:rowOff>254000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107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8F92F88-806A-4199-BEC1-803EE1E41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15874</xdr:colOff>
      <xdr:row>75</xdr:row>
      <xdr:rowOff>238126</xdr:rowOff>
    </xdr:from>
    <xdr:to>
      <xdr:col>23</xdr:col>
      <xdr:colOff>698499</xdr:colOff>
      <xdr:row>91</xdr:row>
      <xdr:rowOff>254000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15876</xdr:colOff>
      <xdr:row>58</xdr:row>
      <xdr:rowOff>271462</xdr:rowOff>
    </xdr:from>
    <xdr:to>
      <xdr:col>31</xdr:col>
      <xdr:colOff>1</xdr:colOff>
      <xdr:row>75</xdr:row>
      <xdr:rowOff>238125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BAC271F-66C6-4A22-9B1C-C29290775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15875</xdr:colOff>
      <xdr:row>75</xdr:row>
      <xdr:rowOff>239712</xdr:rowOff>
    </xdr:from>
    <xdr:to>
      <xdr:col>30</xdr:col>
      <xdr:colOff>698500</xdr:colOff>
      <xdr:row>91</xdr:row>
      <xdr:rowOff>238125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0C77EE6-4584-42A5-8F65-DDCFB820C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1</xdr:colOff>
      <xdr:row>43</xdr:row>
      <xdr:rowOff>0</xdr:rowOff>
    </xdr:from>
    <xdr:to>
      <xdr:col>28</xdr:col>
      <xdr:colOff>15876</xdr:colOff>
      <xdr:row>59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43A6F44-E23A-417B-99AD-173073E16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1" t="s">
        <v>96</v>
      </c>
      <c r="C3" s="62" t="s">
        <v>171</v>
      </c>
      <c r="D3" s="62"/>
      <c r="E3" s="62"/>
      <c r="F3" s="62"/>
      <c r="G3" s="62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57" t="s">
        <v>164</v>
      </c>
      <c r="H5" s="58"/>
      <c r="I5" s="14"/>
      <c r="J5" s="2" t="s">
        <v>5</v>
      </c>
      <c r="K5" s="57" t="s">
        <v>166</v>
      </c>
      <c r="L5" s="58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165</v>
      </c>
      <c r="E6" s="58"/>
      <c r="F6" s="2" t="s">
        <v>2</v>
      </c>
      <c r="G6" s="57" t="s">
        <v>168</v>
      </c>
      <c r="H6" s="58"/>
      <c r="J6" s="2" t="s">
        <v>21</v>
      </c>
      <c r="K6" s="57" t="s">
        <v>167</v>
      </c>
      <c r="L6" s="5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26</v>
      </c>
      <c r="D10" s="50">
        <v>1</v>
      </c>
      <c r="E10" s="50">
        <v>3</v>
      </c>
      <c r="F10" s="50">
        <v>22</v>
      </c>
      <c r="G10" s="50">
        <v>1</v>
      </c>
      <c r="H10" s="50">
        <v>0</v>
      </c>
      <c r="I10" s="50">
        <v>4</v>
      </c>
      <c r="J10" s="50">
        <v>1</v>
      </c>
      <c r="K10" s="50">
        <v>0</v>
      </c>
      <c r="L10" s="50">
        <v>1</v>
      </c>
      <c r="M10" s="50">
        <v>38</v>
      </c>
      <c r="N10" s="50">
        <v>0</v>
      </c>
      <c r="O10" s="15">
        <f t="shared" ref="O10:O57" si="0">SUM(C10:L10,N10)</f>
        <v>59</v>
      </c>
      <c r="P10" s="15">
        <f t="shared" ref="P10:P57" si="1">SUM(C10:N10)</f>
        <v>97</v>
      </c>
      <c r="R10" s="1" t="s">
        <v>6</v>
      </c>
      <c r="S10" s="17">
        <f t="shared" ref="S10:AF10" si="2">SUM(C10:C13)</f>
        <v>71</v>
      </c>
      <c r="T10" s="17">
        <f t="shared" si="2"/>
        <v>5</v>
      </c>
      <c r="U10" s="17">
        <f t="shared" si="2"/>
        <v>6</v>
      </c>
      <c r="V10" s="17">
        <f t="shared" si="2"/>
        <v>61</v>
      </c>
      <c r="W10" s="17">
        <f t="shared" si="2"/>
        <v>1</v>
      </c>
      <c r="X10" s="17">
        <f t="shared" si="2"/>
        <v>0</v>
      </c>
      <c r="Y10" s="17">
        <f t="shared" si="2"/>
        <v>11</v>
      </c>
      <c r="Z10" s="17">
        <f t="shared" si="2"/>
        <v>6</v>
      </c>
      <c r="AA10" s="17">
        <f t="shared" si="2"/>
        <v>0</v>
      </c>
      <c r="AB10" s="17">
        <f t="shared" si="2"/>
        <v>1</v>
      </c>
      <c r="AC10" s="17">
        <f t="shared" si="2"/>
        <v>94</v>
      </c>
      <c r="AD10" s="17">
        <f t="shared" si="2"/>
        <v>0</v>
      </c>
      <c r="AE10" s="31">
        <f t="shared" si="2"/>
        <v>162</v>
      </c>
      <c r="AF10" s="31">
        <f t="shared" si="2"/>
        <v>256</v>
      </c>
    </row>
    <row r="11" spans="2:32" s="6" customFormat="1" ht="23.1" customHeight="1" x14ac:dyDescent="0.25">
      <c r="B11" s="23" t="s">
        <v>38</v>
      </c>
      <c r="C11" s="50">
        <v>11</v>
      </c>
      <c r="D11" s="50">
        <v>3</v>
      </c>
      <c r="E11" s="50">
        <v>0</v>
      </c>
      <c r="F11" s="50">
        <v>16</v>
      </c>
      <c r="G11" s="50">
        <v>0</v>
      </c>
      <c r="H11" s="50">
        <v>0</v>
      </c>
      <c r="I11" s="50">
        <v>4</v>
      </c>
      <c r="J11" s="50">
        <v>3</v>
      </c>
      <c r="K11" s="50">
        <v>0</v>
      </c>
      <c r="L11" s="50">
        <v>0</v>
      </c>
      <c r="M11" s="50">
        <v>12</v>
      </c>
      <c r="N11" s="50">
        <v>0</v>
      </c>
      <c r="O11" s="15">
        <f t="shared" si="0"/>
        <v>37</v>
      </c>
      <c r="P11" s="15">
        <f t="shared" si="1"/>
        <v>49</v>
      </c>
      <c r="R11" s="1" t="s">
        <v>7</v>
      </c>
      <c r="S11" s="17">
        <f t="shared" ref="S11:AF11" si="3">SUM(C14:C17)</f>
        <v>72</v>
      </c>
      <c r="T11" s="17">
        <f t="shared" si="3"/>
        <v>8</v>
      </c>
      <c r="U11" s="17">
        <f t="shared" si="3"/>
        <v>7</v>
      </c>
      <c r="V11" s="17">
        <f t="shared" si="3"/>
        <v>58</v>
      </c>
      <c r="W11" s="17">
        <f t="shared" si="3"/>
        <v>0</v>
      </c>
      <c r="X11" s="17">
        <f t="shared" si="3"/>
        <v>0</v>
      </c>
      <c r="Y11" s="17">
        <f t="shared" si="3"/>
        <v>15</v>
      </c>
      <c r="Z11" s="17">
        <f t="shared" si="3"/>
        <v>8</v>
      </c>
      <c r="AA11" s="17">
        <f t="shared" si="3"/>
        <v>0</v>
      </c>
      <c r="AB11" s="17">
        <f t="shared" si="3"/>
        <v>2</v>
      </c>
      <c r="AC11" s="17">
        <f t="shared" si="3"/>
        <v>91</v>
      </c>
      <c r="AD11" s="17">
        <f t="shared" si="3"/>
        <v>0</v>
      </c>
      <c r="AE11" s="31">
        <f t="shared" si="3"/>
        <v>170</v>
      </c>
      <c r="AF11" s="31">
        <f t="shared" si="3"/>
        <v>261</v>
      </c>
    </row>
    <row r="12" spans="2:32" ht="23.1" customHeight="1" x14ac:dyDescent="0.25">
      <c r="B12" s="23" t="s">
        <v>39</v>
      </c>
      <c r="C12" s="50">
        <v>23</v>
      </c>
      <c r="D12" s="50">
        <v>0</v>
      </c>
      <c r="E12" s="50">
        <v>3</v>
      </c>
      <c r="F12" s="50">
        <v>12</v>
      </c>
      <c r="G12" s="50">
        <v>0</v>
      </c>
      <c r="H12" s="50">
        <v>0</v>
      </c>
      <c r="I12" s="50">
        <v>2</v>
      </c>
      <c r="J12" s="50">
        <v>2</v>
      </c>
      <c r="K12" s="50">
        <v>0</v>
      </c>
      <c r="L12" s="50">
        <v>0</v>
      </c>
      <c r="M12" s="50">
        <v>21</v>
      </c>
      <c r="N12" s="50">
        <v>0</v>
      </c>
      <c r="O12" s="15">
        <f t="shared" si="0"/>
        <v>42</v>
      </c>
      <c r="P12" s="15">
        <f t="shared" si="1"/>
        <v>63</v>
      </c>
      <c r="R12" s="1" t="s">
        <v>8</v>
      </c>
      <c r="S12" s="17">
        <f t="shared" ref="S12:AF12" si="4">SUM(C18:C21)</f>
        <v>46</v>
      </c>
      <c r="T12" s="17">
        <f t="shared" si="4"/>
        <v>5</v>
      </c>
      <c r="U12" s="17">
        <f t="shared" si="4"/>
        <v>3</v>
      </c>
      <c r="V12" s="17">
        <f t="shared" si="4"/>
        <v>49</v>
      </c>
      <c r="W12" s="17">
        <f t="shared" si="4"/>
        <v>1</v>
      </c>
      <c r="X12" s="17">
        <f t="shared" si="4"/>
        <v>0</v>
      </c>
      <c r="Y12" s="17">
        <f t="shared" si="4"/>
        <v>13</v>
      </c>
      <c r="Z12" s="17">
        <f t="shared" si="4"/>
        <v>10</v>
      </c>
      <c r="AA12" s="17">
        <f t="shared" si="4"/>
        <v>0</v>
      </c>
      <c r="AB12" s="17">
        <f t="shared" si="4"/>
        <v>1</v>
      </c>
      <c r="AC12" s="17">
        <f t="shared" si="4"/>
        <v>87</v>
      </c>
      <c r="AD12" s="17">
        <f t="shared" si="4"/>
        <v>0</v>
      </c>
      <c r="AE12" s="31">
        <f t="shared" si="4"/>
        <v>128</v>
      </c>
      <c r="AF12" s="31">
        <f t="shared" si="4"/>
        <v>215</v>
      </c>
    </row>
    <row r="13" spans="2:32" ht="23.1" customHeight="1" x14ac:dyDescent="0.25">
      <c r="B13" s="23" t="s">
        <v>40</v>
      </c>
      <c r="C13" s="50">
        <v>11</v>
      </c>
      <c r="D13" s="50">
        <v>1</v>
      </c>
      <c r="E13" s="50">
        <v>0</v>
      </c>
      <c r="F13" s="50">
        <v>11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23</v>
      </c>
      <c r="N13" s="50">
        <v>0</v>
      </c>
      <c r="O13" s="15">
        <f t="shared" si="0"/>
        <v>24</v>
      </c>
      <c r="P13" s="15">
        <f t="shared" si="1"/>
        <v>47</v>
      </c>
      <c r="R13" s="1" t="s">
        <v>9</v>
      </c>
      <c r="S13" s="17">
        <f t="shared" ref="S13:AF13" si="5">SUM(C22:C25)</f>
        <v>56</v>
      </c>
      <c r="T13" s="17">
        <f t="shared" si="5"/>
        <v>5</v>
      </c>
      <c r="U13" s="17">
        <f t="shared" si="5"/>
        <v>7</v>
      </c>
      <c r="V13" s="17">
        <f t="shared" si="5"/>
        <v>51</v>
      </c>
      <c r="W13" s="17">
        <f t="shared" si="5"/>
        <v>1</v>
      </c>
      <c r="X13" s="17">
        <f t="shared" si="5"/>
        <v>1</v>
      </c>
      <c r="Y13" s="17">
        <f t="shared" si="5"/>
        <v>15</v>
      </c>
      <c r="Z13" s="17">
        <f t="shared" si="5"/>
        <v>6</v>
      </c>
      <c r="AA13" s="17">
        <f t="shared" si="5"/>
        <v>1</v>
      </c>
      <c r="AB13" s="17">
        <f t="shared" si="5"/>
        <v>6</v>
      </c>
      <c r="AC13" s="17">
        <f t="shared" si="5"/>
        <v>75</v>
      </c>
      <c r="AD13" s="17">
        <f t="shared" si="5"/>
        <v>0</v>
      </c>
      <c r="AE13" s="31">
        <f t="shared" si="5"/>
        <v>149</v>
      </c>
      <c r="AF13" s="31">
        <f t="shared" si="5"/>
        <v>224</v>
      </c>
    </row>
    <row r="14" spans="2:32" ht="23.1" customHeight="1" x14ac:dyDescent="0.25">
      <c r="B14" s="23" t="s">
        <v>41</v>
      </c>
      <c r="C14" s="50">
        <v>7</v>
      </c>
      <c r="D14" s="50">
        <v>1</v>
      </c>
      <c r="E14" s="50">
        <v>0</v>
      </c>
      <c r="F14" s="50">
        <v>17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24</v>
      </c>
      <c r="N14" s="50">
        <v>0</v>
      </c>
      <c r="O14" s="15">
        <f t="shared" si="0"/>
        <v>26</v>
      </c>
      <c r="P14" s="15">
        <f t="shared" si="1"/>
        <v>50</v>
      </c>
      <c r="R14" s="1" t="s">
        <v>10</v>
      </c>
      <c r="S14" s="17">
        <f t="shared" ref="S14:AF14" si="6">SUM(C26:C29)</f>
        <v>71</v>
      </c>
      <c r="T14" s="17">
        <f t="shared" si="6"/>
        <v>8</v>
      </c>
      <c r="U14" s="17">
        <f t="shared" si="6"/>
        <v>5</v>
      </c>
      <c r="V14" s="17">
        <f t="shared" si="6"/>
        <v>56</v>
      </c>
      <c r="W14" s="17">
        <f t="shared" si="6"/>
        <v>1</v>
      </c>
      <c r="X14" s="17">
        <f t="shared" si="6"/>
        <v>0</v>
      </c>
      <c r="Y14" s="17">
        <f t="shared" si="6"/>
        <v>25</v>
      </c>
      <c r="Z14" s="17">
        <f t="shared" si="6"/>
        <v>5</v>
      </c>
      <c r="AA14" s="17">
        <f t="shared" si="6"/>
        <v>0</v>
      </c>
      <c r="AB14" s="17">
        <f t="shared" si="6"/>
        <v>3</v>
      </c>
      <c r="AC14" s="17">
        <f t="shared" si="6"/>
        <v>82</v>
      </c>
      <c r="AD14" s="17">
        <f t="shared" si="6"/>
        <v>0</v>
      </c>
      <c r="AE14" s="31">
        <f t="shared" si="6"/>
        <v>174</v>
      </c>
      <c r="AF14" s="31">
        <f t="shared" si="6"/>
        <v>256</v>
      </c>
    </row>
    <row r="15" spans="2:32" ht="23.1" customHeight="1" x14ac:dyDescent="0.25">
      <c r="B15" s="23" t="s">
        <v>42</v>
      </c>
      <c r="C15" s="50">
        <v>20</v>
      </c>
      <c r="D15" s="50">
        <v>4</v>
      </c>
      <c r="E15" s="50">
        <v>2</v>
      </c>
      <c r="F15" s="50">
        <v>14</v>
      </c>
      <c r="G15" s="50">
        <v>0</v>
      </c>
      <c r="H15" s="50">
        <v>0</v>
      </c>
      <c r="I15" s="50">
        <v>2</v>
      </c>
      <c r="J15" s="50">
        <v>2</v>
      </c>
      <c r="K15" s="50">
        <v>0</v>
      </c>
      <c r="L15" s="50">
        <v>1</v>
      </c>
      <c r="M15" s="50">
        <v>36</v>
      </c>
      <c r="N15" s="50">
        <v>0</v>
      </c>
      <c r="O15" s="15">
        <f t="shared" si="0"/>
        <v>45</v>
      </c>
      <c r="P15" s="15">
        <f t="shared" si="1"/>
        <v>81</v>
      </c>
      <c r="R15" s="1" t="s">
        <v>11</v>
      </c>
      <c r="S15" s="17">
        <f t="shared" ref="S15:AF15" si="7">SUM(C30:C33)</f>
        <v>36</v>
      </c>
      <c r="T15" s="17">
        <f t="shared" si="7"/>
        <v>8</v>
      </c>
      <c r="U15" s="17">
        <f t="shared" si="7"/>
        <v>6</v>
      </c>
      <c r="V15" s="17">
        <f t="shared" si="7"/>
        <v>55</v>
      </c>
      <c r="W15" s="17">
        <f t="shared" si="7"/>
        <v>1</v>
      </c>
      <c r="X15" s="17">
        <f t="shared" si="7"/>
        <v>1</v>
      </c>
      <c r="Y15" s="17">
        <f t="shared" si="7"/>
        <v>26</v>
      </c>
      <c r="Z15" s="17">
        <f t="shared" si="7"/>
        <v>8</v>
      </c>
      <c r="AA15" s="17">
        <f t="shared" si="7"/>
        <v>2</v>
      </c>
      <c r="AB15" s="17">
        <f t="shared" si="7"/>
        <v>4</v>
      </c>
      <c r="AC15" s="17">
        <f t="shared" si="7"/>
        <v>53</v>
      </c>
      <c r="AD15" s="17">
        <f t="shared" si="7"/>
        <v>0</v>
      </c>
      <c r="AE15" s="31">
        <f t="shared" si="7"/>
        <v>147</v>
      </c>
      <c r="AF15" s="31">
        <f t="shared" si="7"/>
        <v>200</v>
      </c>
    </row>
    <row r="16" spans="2:32" ht="23.1" customHeight="1" x14ac:dyDescent="0.25">
      <c r="B16" s="23" t="s">
        <v>43</v>
      </c>
      <c r="C16" s="50">
        <v>22</v>
      </c>
      <c r="D16" s="50">
        <v>2</v>
      </c>
      <c r="E16" s="50">
        <v>5</v>
      </c>
      <c r="F16" s="50">
        <v>14</v>
      </c>
      <c r="G16" s="50">
        <v>0</v>
      </c>
      <c r="H16" s="50">
        <v>0</v>
      </c>
      <c r="I16" s="50">
        <v>2</v>
      </c>
      <c r="J16" s="50">
        <v>4</v>
      </c>
      <c r="K16" s="50">
        <v>0</v>
      </c>
      <c r="L16" s="50">
        <v>1</v>
      </c>
      <c r="M16" s="50">
        <v>8</v>
      </c>
      <c r="N16" s="50">
        <v>0</v>
      </c>
      <c r="O16" s="15">
        <f t="shared" si="0"/>
        <v>50</v>
      </c>
      <c r="P16" s="15">
        <f t="shared" si="1"/>
        <v>58</v>
      </c>
      <c r="R16" s="1" t="s">
        <v>12</v>
      </c>
      <c r="S16" s="17">
        <f t="shared" ref="S16:AF16" si="8">SUM(C34:C37)</f>
        <v>80</v>
      </c>
      <c r="T16" s="17">
        <f t="shared" si="8"/>
        <v>13</v>
      </c>
      <c r="U16" s="17">
        <f t="shared" si="8"/>
        <v>18</v>
      </c>
      <c r="V16" s="17">
        <f t="shared" si="8"/>
        <v>53</v>
      </c>
      <c r="W16" s="17">
        <f t="shared" si="8"/>
        <v>0</v>
      </c>
      <c r="X16" s="17">
        <f t="shared" si="8"/>
        <v>2</v>
      </c>
      <c r="Y16" s="17">
        <f t="shared" si="8"/>
        <v>24</v>
      </c>
      <c r="Z16" s="17">
        <f t="shared" si="8"/>
        <v>11</v>
      </c>
      <c r="AA16" s="17">
        <f t="shared" si="8"/>
        <v>2</v>
      </c>
      <c r="AB16" s="17">
        <f t="shared" si="8"/>
        <v>1</v>
      </c>
      <c r="AC16" s="17">
        <f t="shared" si="8"/>
        <v>72</v>
      </c>
      <c r="AD16" s="17">
        <f t="shared" si="8"/>
        <v>0</v>
      </c>
      <c r="AE16" s="31">
        <f t="shared" si="8"/>
        <v>204</v>
      </c>
      <c r="AF16" s="31">
        <f t="shared" si="8"/>
        <v>276</v>
      </c>
    </row>
    <row r="17" spans="2:32" ht="23.1" customHeight="1" x14ac:dyDescent="0.25">
      <c r="B17" s="23" t="s">
        <v>44</v>
      </c>
      <c r="C17" s="50">
        <v>23</v>
      </c>
      <c r="D17" s="50">
        <v>1</v>
      </c>
      <c r="E17" s="50">
        <v>0</v>
      </c>
      <c r="F17" s="50">
        <v>13</v>
      </c>
      <c r="G17" s="50">
        <v>0</v>
      </c>
      <c r="H17" s="50">
        <v>0</v>
      </c>
      <c r="I17" s="50">
        <v>10</v>
      </c>
      <c r="J17" s="50">
        <v>2</v>
      </c>
      <c r="K17" s="50">
        <v>0</v>
      </c>
      <c r="L17" s="50">
        <v>0</v>
      </c>
      <c r="M17" s="50">
        <v>23</v>
      </c>
      <c r="N17" s="50">
        <v>0</v>
      </c>
      <c r="O17" s="15">
        <f t="shared" si="0"/>
        <v>49</v>
      </c>
      <c r="P17" s="15">
        <f t="shared" si="1"/>
        <v>72</v>
      </c>
      <c r="R17" s="1" t="s">
        <v>13</v>
      </c>
      <c r="S17" s="17">
        <f t="shared" ref="S17:AF17" si="9">SUM(C38:C41)</f>
        <v>59</v>
      </c>
      <c r="T17" s="17">
        <f t="shared" si="9"/>
        <v>9</v>
      </c>
      <c r="U17" s="17">
        <f t="shared" si="9"/>
        <v>14</v>
      </c>
      <c r="V17" s="17">
        <f t="shared" si="9"/>
        <v>56</v>
      </c>
      <c r="W17" s="17">
        <f t="shared" si="9"/>
        <v>0</v>
      </c>
      <c r="X17" s="17">
        <f t="shared" si="9"/>
        <v>2</v>
      </c>
      <c r="Y17" s="17">
        <f t="shared" si="9"/>
        <v>23</v>
      </c>
      <c r="Z17" s="17">
        <f t="shared" si="9"/>
        <v>14</v>
      </c>
      <c r="AA17" s="17">
        <f t="shared" si="9"/>
        <v>1</v>
      </c>
      <c r="AB17" s="17">
        <f t="shared" si="9"/>
        <v>3</v>
      </c>
      <c r="AC17" s="17">
        <f t="shared" si="9"/>
        <v>91</v>
      </c>
      <c r="AD17" s="17">
        <f t="shared" si="9"/>
        <v>1</v>
      </c>
      <c r="AE17" s="31">
        <f t="shared" si="9"/>
        <v>182</v>
      </c>
      <c r="AF17" s="31">
        <f t="shared" si="9"/>
        <v>273</v>
      </c>
    </row>
    <row r="18" spans="2:32" ht="23.1" customHeight="1" x14ac:dyDescent="0.25">
      <c r="B18" s="23" t="s">
        <v>45</v>
      </c>
      <c r="C18" s="50">
        <v>6</v>
      </c>
      <c r="D18" s="50">
        <v>2</v>
      </c>
      <c r="E18" s="50">
        <v>0</v>
      </c>
      <c r="F18" s="50">
        <v>11</v>
      </c>
      <c r="G18" s="50">
        <v>0</v>
      </c>
      <c r="H18" s="50">
        <v>0</v>
      </c>
      <c r="I18" s="50">
        <v>2</v>
      </c>
      <c r="J18" s="50">
        <v>4</v>
      </c>
      <c r="K18" s="50">
        <v>0</v>
      </c>
      <c r="L18" s="50">
        <v>0</v>
      </c>
      <c r="M18" s="50">
        <v>22</v>
      </c>
      <c r="N18" s="50">
        <v>0</v>
      </c>
      <c r="O18" s="15">
        <f t="shared" si="0"/>
        <v>25</v>
      </c>
      <c r="P18" s="15">
        <f t="shared" si="1"/>
        <v>47</v>
      </c>
      <c r="R18" s="1" t="s">
        <v>14</v>
      </c>
      <c r="S18" s="17">
        <f t="shared" ref="S18:AF18" si="10">SUM(C42:C45)</f>
        <v>84</v>
      </c>
      <c r="T18" s="17">
        <f t="shared" si="10"/>
        <v>15</v>
      </c>
      <c r="U18" s="17">
        <f t="shared" si="10"/>
        <v>17</v>
      </c>
      <c r="V18" s="17">
        <f t="shared" si="10"/>
        <v>61</v>
      </c>
      <c r="W18" s="17">
        <f t="shared" si="10"/>
        <v>1</v>
      </c>
      <c r="X18" s="17">
        <f t="shared" si="10"/>
        <v>2</v>
      </c>
      <c r="Y18" s="17">
        <f t="shared" si="10"/>
        <v>25</v>
      </c>
      <c r="Z18" s="17">
        <f t="shared" si="10"/>
        <v>11</v>
      </c>
      <c r="AA18" s="17">
        <f t="shared" si="10"/>
        <v>1</v>
      </c>
      <c r="AB18" s="17">
        <f t="shared" si="10"/>
        <v>6</v>
      </c>
      <c r="AC18" s="17">
        <f t="shared" si="10"/>
        <v>86</v>
      </c>
      <c r="AD18" s="17">
        <f t="shared" si="10"/>
        <v>0</v>
      </c>
      <c r="AE18" s="31">
        <f t="shared" si="10"/>
        <v>223</v>
      </c>
      <c r="AF18" s="31">
        <f t="shared" si="10"/>
        <v>309</v>
      </c>
    </row>
    <row r="19" spans="2:32" ht="23.1" customHeight="1" x14ac:dyDescent="0.25">
      <c r="B19" s="23" t="s">
        <v>46</v>
      </c>
      <c r="C19" s="50">
        <v>11</v>
      </c>
      <c r="D19" s="50">
        <v>2</v>
      </c>
      <c r="E19" s="50">
        <v>1</v>
      </c>
      <c r="F19" s="50">
        <v>14</v>
      </c>
      <c r="G19" s="50">
        <v>1</v>
      </c>
      <c r="H19" s="50">
        <v>0</v>
      </c>
      <c r="I19" s="50">
        <v>1</v>
      </c>
      <c r="J19" s="50">
        <v>2</v>
      </c>
      <c r="K19" s="50">
        <v>0</v>
      </c>
      <c r="L19" s="50">
        <v>0</v>
      </c>
      <c r="M19" s="50">
        <v>30</v>
      </c>
      <c r="N19" s="50">
        <v>0</v>
      </c>
      <c r="O19" s="15">
        <f t="shared" si="0"/>
        <v>32</v>
      </c>
      <c r="P19" s="15">
        <f t="shared" si="1"/>
        <v>62</v>
      </c>
      <c r="R19" s="1" t="s">
        <v>15</v>
      </c>
      <c r="S19" s="17">
        <f t="shared" ref="S19:AF19" si="11">SUM(C46:C49)</f>
        <v>91</v>
      </c>
      <c r="T19" s="17">
        <f t="shared" si="11"/>
        <v>20</v>
      </c>
      <c r="U19" s="17">
        <f t="shared" si="11"/>
        <v>13</v>
      </c>
      <c r="V19" s="17">
        <f t="shared" si="11"/>
        <v>58</v>
      </c>
      <c r="W19" s="17">
        <f t="shared" si="11"/>
        <v>1</v>
      </c>
      <c r="X19" s="17">
        <f t="shared" si="11"/>
        <v>7</v>
      </c>
      <c r="Y19" s="17">
        <f t="shared" si="11"/>
        <v>24</v>
      </c>
      <c r="Z19" s="17">
        <f t="shared" si="11"/>
        <v>11</v>
      </c>
      <c r="AA19" s="17">
        <f t="shared" si="11"/>
        <v>2</v>
      </c>
      <c r="AB19" s="17">
        <f t="shared" si="11"/>
        <v>4</v>
      </c>
      <c r="AC19" s="17">
        <f t="shared" si="11"/>
        <v>102</v>
      </c>
      <c r="AD19" s="17">
        <f t="shared" si="11"/>
        <v>0</v>
      </c>
      <c r="AE19" s="31">
        <f t="shared" si="11"/>
        <v>231</v>
      </c>
      <c r="AF19" s="31">
        <f t="shared" si="11"/>
        <v>333</v>
      </c>
    </row>
    <row r="20" spans="2:32" ht="23.1" customHeight="1" x14ac:dyDescent="0.25">
      <c r="B20" s="23" t="s">
        <v>47</v>
      </c>
      <c r="C20" s="50">
        <v>12</v>
      </c>
      <c r="D20" s="50">
        <v>1</v>
      </c>
      <c r="E20" s="50">
        <v>2</v>
      </c>
      <c r="F20" s="50">
        <v>11</v>
      </c>
      <c r="G20" s="50">
        <v>0</v>
      </c>
      <c r="H20" s="50">
        <v>0</v>
      </c>
      <c r="I20" s="50">
        <v>6</v>
      </c>
      <c r="J20" s="50">
        <v>4</v>
      </c>
      <c r="K20" s="50">
        <v>0</v>
      </c>
      <c r="L20" s="50">
        <v>1</v>
      </c>
      <c r="M20" s="50">
        <v>21</v>
      </c>
      <c r="N20" s="50">
        <v>0</v>
      </c>
      <c r="O20" s="15">
        <f t="shared" si="0"/>
        <v>37</v>
      </c>
      <c r="P20" s="15">
        <f t="shared" si="1"/>
        <v>58</v>
      </c>
      <c r="R20" s="1" t="s">
        <v>16</v>
      </c>
      <c r="S20" s="17">
        <f t="shared" ref="S20:AF20" si="12">SUM(C50:C53)</f>
        <v>87</v>
      </c>
      <c r="T20" s="17">
        <f t="shared" si="12"/>
        <v>22</v>
      </c>
      <c r="U20" s="17">
        <f t="shared" si="12"/>
        <v>21</v>
      </c>
      <c r="V20" s="17">
        <f t="shared" si="12"/>
        <v>64</v>
      </c>
      <c r="W20" s="17">
        <f t="shared" si="12"/>
        <v>3</v>
      </c>
      <c r="X20" s="17">
        <f t="shared" si="12"/>
        <v>0</v>
      </c>
      <c r="Y20" s="17">
        <f t="shared" si="12"/>
        <v>27</v>
      </c>
      <c r="Z20" s="17">
        <f t="shared" si="12"/>
        <v>7</v>
      </c>
      <c r="AA20" s="17">
        <f t="shared" si="12"/>
        <v>3</v>
      </c>
      <c r="AB20" s="17">
        <f t="shared" si="12"/>
        <v>5</v>
      </c>
      <c r="AC20" s="17">
        <f t="shared" si="12"/>
        <v>81</v>
      </c>
      <c r="AD20" s="17">
        <f t="shared" si="12"/>
        <v>0</v>
      </c>
      <c r="AE20" s="31">
        <f t="shared" si="12"/>
        <v>239</v>
      </c>
      <c r="AF20" s="31">
        <f t="shared" si="12"/>
        <v>320</v>
      </c>
    </row>
    <row r="21" spans="2:32" ht="23.1" customHeight="1" x14ac:dyDescent="0.25">
      <c r="B21" s="23" t="s">
        <v>48</v>
      </c>
      <c r="C21" s="50">
        <v>17</v>
      </c>
      <c r="D21" s="50">
        <v>0</v>
      </c>
      <c r="E21" s="50">
        <v>0</v>
      </c>
      <c r="F21" s="50">
        <v>13</v>
      </c>
      <c r="G21" s="50">
        <v>0</v>
      </c>
      <c r="H21" s="50">
        <v>0</v>
      </c>
      <c r="I21" s="50">
        <v>4</v>
      </c>
      <c r="J21" s="50">
        <v>0</v>
      </c>
      <c r="K21" s="50">
        <v>0</v>
      </c>
      <c r="L21" s="50">
        <v>0</v>
      </c>
      <c r="M21" s="50">
        <v>14</v>
      </c>
      <c r="N21" s="50">
        <v>0</v>
      </c>
      <c r="O21" s="15">
        <f t="shared" si="0"/>
        <v>34</v>
      </c>
      <c r="P21" s="15">
        <f t="shared" si="1"/>
        <v>48</v>
      </c>
      <c r="R21" s="36" t="s">
        <v>20</v>
      </c>
      <c r="S21" s="34">
        <f t="shared" ref="S21:AF21" si="13">SUM(C54:C57)</f>
        <v>102</v>
      </c>
      <c r="T21" s="17">
        <f t="shared" si="13"/>
        <v>14</v>
      </c>
      <c r="U21" s="17">
        <f t="shared" si="13"/>
        <v>24</v>
      </c>
      <c r="V21" s="17">
        <f t="shared" si="13"/>
        <v>101</v>
      </c>
      <c r="W21" s="17">
        <f t="shared" si="13"/>
        <v>4</v>
      </c>
      <c r="X21" s="17">
        <f t="shared" si="13"/>
        <v>3</v>
      </c>
      <c r="Y21" s="17">
        <f t="shared" si="13"/>
        <v>31</v>
      </c>
      <c r="Z21" s="17">
        <f t="shared" si="13"/>
        <v>11</v>
      </c>
      <c r="AA21" s="17">
        <f t="shared" si="13"/>
        <v>5</v>
      </c>
      <c r="AB21" s="17">
        <f t="shared" si="13"/>
        <v>9</v>
      </c>
      <c r="AC21" s="17">
        <f t="shared" si="13"/>
        <v>127</v>
      </c>
      <c r="AD21" s="17">
        <f t="shared" si="13"/>
        <v>0</v>
      </c>
      <c r="AE21" s="31">
        <f t="shared" si="13"/>
        <v>304</v>
      </c>
      <c r="AF21" s="31">
        <f t="shared" si="13"/>
        <v>431</v>
      </c>
    </row>
    <row r="22" spans="2:32" ht="23.1" customHeight="1" x14ac:dyDescent="0.25">
      <c r="B22" s="23" t="s">
        <v>49</v>
      </c>
      <c r="C22" s="50">
        <v>11</v>
      </c>
      <c r="D22" s="50">
        <v>3</v>
      </c>
      <c r="E22" s="50">
        <v>2</v>
      </c>
      <c r="F22" s="50">
        <v>21</v>
      </c>
      <c r="G22" s="50">
        <v>0</v>
      </c>
      <c r="H22" s="50">
        <v>0</v>
      </c>
      <c r="I22" s="50">
        <v>3</v>
      </c>
      <c r="J22" s="50">
        <v>1</v>
      </c>
      <c r="K22" s="50">
        <v>1</v>
      </c>
      <c r="L22" s="50">
        <v>1</v>
      </c>
      <c r="M22" s="50">
        <v>28</v>
      </c>
      <c r="N22" s="50">
        <v>0</v>
      </c>
      <c r="O22" s="15">
        <f t="shared" si="0"/>
        <v>43</v>
      </c>
      <c r="P22" s="15">
        <f t="shared" si="1"/>
        <v>71</v>
      </c>
      <c r="R22" s="38" t="s">
        <v>90</v>
      </c>
      <c r="S22" s="39">
        <f>MAX(S10:S12)</f>
        <v>72</v>
      </c>
      <c r="T22" s="39">
        <f t="shared" ref="T22:AF22" si="14">MAX(T10:T12)</f>
        <v>8</v>
      </c>
      <c r="U22" s="39">
        <f t="shared" si="14"/>
        <v>7</v>
      </c>
      <c r="V22" s="39">
        <f t="shared" si="14"/>
        <v>61</v>
      </c>
      <c r="W22" s="39">
        <f t="shared" si="14"/>
        <v>1</v>
      </c>
      <c r="X22" s="39">
        <f t="shared" si="14"/>
        <v>0</v>
      </c>
      <c r="Y22" s="39">
        <f t="shared" si="14"/>
        <v>15</v>
      </c>
      <c r="Z22" s="39">
        <f t="shared" si="14"/>
        <v>10</v>
      </c>
      <c r="AA22" s="39">
        <f t="shared" si="14"/>
        <v>0</v>
      </c>
      <c r="AB22" s="39">
        <f t="shared" si="14"/>
        <v>2</v>
      </c>
      <c r="AC22" s="39">
        <f t="shared" si="14"/>
        <v>94</v>
      </c>
      <c r="AD22" s="39">
        <f t="shared" si="14"/>
        <v>0</v>
      </c>
      <c r="AE22" s="40">
        <f t="shared" si="14"/>
        <v>170</v>
      </c>
      <c r="AF22" s="40">
        <f t="shared" si="14"/>
        <v>261</v>
      </c>
    </row>
    <row r="23" spans="2:32" ht="23.1" customHeight="1" x14ac:dyDescent="0.25">
      <c r="B23" s="23" t="s">
        <v>50</v>
      </c>
      <c r="C23" s="50">
        <v>13</v>
      </c>
      <c r="D23" s="50">
        <v>1</v>
      </c>
      <c r="E23" s="50">
        <v>1</v>
      </c>
      <c r="F23" s="50">
        <v>5</v>
      </c>
      <c r="G23" s="50">
        <v>0</v>
      </c>
      <c r="H23" s="50">
        <v>0</v>
      </c>
      <c r="I23" s="50">
        <v>2</v>
      </c>
      <c r="J23" s="50">
        <v>2</v>
      </c>
      <c r="K23" s="50">
        <v>0</v>
      </c>
      <c r="L23" s="50">
        <v>2</v>
      </c>
      <c r="M23" s="50">
        <v>17</v>
      </c>
      <c r="N23" s="50">
        <v>0</v>
      </c>
      <c r="O23" s="15">
        <f t="shared" si="0"/>
        <v>26</v>
      </c>
      <c r="P23" s="15">
        <f t="shared" si="1"/>
        <v>43</v>
      </c>
      <c r="R23" s="38" t="s">
        <v>91</v>
      </c>
      <c r="S23" s="39">
        <f>MAX(S13:S18)</f>
        <v>84</v>
      </c>
      <c r="T23" s="39">
        <f t="shared" ref="T23:AF23" si="15">MAX(T13:T18)</f>
        <v>15</v>
      </c>
      <c r="U23" s="39">
        <f t="shared" si="15"/>
        <v>18</v>
      </c>
      <c r="V23" s="39">
        <f t="shared" si="15"/>
        <v>61</v>
      </c>
      <c r="W23" s="39">
        <f t="shared" si="15"/>
        <v>1</v>
      </c>
      <c r="X23" s="39">
        <f t="shared" si="15"/>
        <v>2</v>
      </c>
      <c r="Y23" s="39">
        <f t="shared" si="15"/>
        <v>26</v>
      </c>
      <c r="Z23" s="39">
        <f t="shared" si="15"/>
        <v>14</v>
      </c>
      <c r="AA23" s="39">
        <f t="shared" si="15"/>
        <v>2</v>
      </c>
      <c r="AB23" s="39">
        <f t="shared" si="15"/>
        <v>6</v>
      </c>
      <c r="AC23" s="39">
        <f t="shared" si="15"/>
        <v>91</v>
      </c>
      <c r="AD23" s="39">
        <f t="shared" si="15"/>
        <v>1</v>
      </c>
      <c r="AE23" s="40">
        <f t="shared" si="15"/>
        <v>223</v>
      </c>
      <c r="AF23" s="40">
        <f t="shared" si="15"/>
        <v>309</v>
      </c>
    </row>
    <row r="24" spans="2:32" ht="23.1" customHeight="1" x14ac:dyDescent="0.25">
      <c r="B24" s="23" t="s">
        <v>51</v>
      </c>
      <c r="C24" s="50">
        <v>20</v>
      </c>
      <c r="D24" s="50">
        <v>1</v>
      </c>
      <c r="E24" s="50">
        <v>4</v>
      </c>
      <c r="F24" s="50">
        <v>14</v>
      </c>
      <c r="G24" s="50">
        <v>0</v>
      </c>
      <c r="H24" s="50">
        <v>1</v>
      </c>
      <c r="I24" s="50">
        <v>5</v>
      </c>
      <c r="J24" s="50">
        <v>2</v>
      </c>
      <c r="K24" s="50">
        <v>0</v>
      </c>
      <c r="L24" s="50">
        <v>3</v>
      </c>
      <c r="M24" s="50">
        <v>20</v>
      </c>
      <c r="N24" s="50">
        <v>0</v>
      </c>
      <c r="O24" s="15">
        <f t="shared" si="0"/>
        <v>50</v>
      </c>
      <c r="P24" s="15">
        <f t="shared" si="1"/>
        <v>70</v>
      </c>
      <c r="R24" s="38" t="s">
        <v>92</v>
      </c>
      <c r="S24" s="39">
        <f>MAX(S19:S21)</f>
        <v>102</v>
      </c>
      <c r="T24" s="39">
        <f t="shared" ref="T24:AF24" si="16">MAX(T19:T21)</f>
        <v>22</v>
      </c>
      <c r="U24" s="39">
        <f t="shared" si="16"/>
        <v>24</v>
      </c>
      <c r="V24" s="39">
        <f t="shared" si="16"/>
        <v>101</v>
      </c>
      <c r="W24" s="39">
        <f t="shared" si="16"/>
        <v>4</v>
      </c>
      <c r="X24" s="39">
        <f t="shared" si="16"/>
        <v>7</v>
      </c>
      <c r="Y24" s="39">
        <f t="shared" si="16"/>
        <v>31</v>
      </c>
      <c r="Z24" s="39">
        <f t="shared" si="16"/>
        <v>11</v>
      </c>
      <c r="AA24" s="39">
        <f t="shared" si="16"/>
        <v>5</v>
      </c>
      <c r="AB24" s="39">
        <f t="shared" si="16"/>
        <v>9</v>
      </c>
      <c r="AC24" s="39">
        <f t="shared" si="16"/>
        <v>127</v>
      </c>
      <c r="AD24" s="39">
        <f t="shared" si="16"/>
        <v>0</v>
      </c>
      <c r="AE24" s="40">
        <f t="shared" si="16"/>
        <v>304</v>
      </c>
      <c r="AF24" s="40">
        <f t="shared" si="16"/>
        <v>431</v>
      </c>
    </row>
    <row r="25" spans="2:32" ht="23.1" customHeight="1" x14ac:dyDescent="0.25">
      <c r="B25" s="23" t="s">
        <v>52</v>
      </c>
      <c r="C25" s="50">
        <v>12</v>
      </c>
      <c r="D25" s="50">
        <v>0</v>
      </c>
      <c r="E25" s="50">
        <v>0</v>
      </c>
      <c r="F25" s="50">
        <v>11</v>
      </c>
      <c r="G25" s="50">
        <v>1</v>
      </c>
      <c r="H25" s="50">
        <v>0</v>
      </c>
      <c r="I25" s="50">
        <v>5</v>
      </c>
      <c r="J25" s="50">
        <v>1</v>
      </c>
      <c r="K25" s="50">
        <v>0</v>
      </c>
      <c r="L25" s="50">
        <v>0</v>
      </c>
      <c r="M25" s="50">
        <v>10</v>
      </c>
      <c r="N25" s="50">
        <v>0</v>
      </c>
      <c r="O25" s="15">
        <f t="shared" si="0"/>
        <v>30</v>
      </c>
      <c r="P25" s="15">
        <f t="shared" si="1"/>
        <v>40</v>
      </c>
      <c r="R25" s="37" t="s">
        <v>85</v>
      </c>
      <c r="S25" s="35">
        <f t="shared" ref="S25:AF25" si="17">SUM(S10:S12)</f>
        <v>189</v>
      </c>
      <c r="T25" s="16">
        <f t="shared" si="17"/>
        <v>18</v>
      </c>
      <c r="U25" s="16">
        <f t="shared" si="17"/>
        <v>16</v>
      </c>
      <c r="V25" s="16">
        <f t="shared" si="17"/>
        <v>168</v>
      </c>
      <c r="W25" s="16">
        <f t="shared" si="17"/>
        <v>2</v>
      </c>
      <c r="X25" s="16">
        <f t="shared" si="17"/>
        <v>0</v>
      </c>
      <c r="Y25" s="16">
        <f t="shared" si="17"/>
        <v>39</v>
      </c>
      <c r="Z25" s="16">
        <f t="shared" si="17"/>
        <v>24</v>
      </c>
      <c r="AA25" s="16">
        <f t="shared" si="17"/>
        <v>0</v>
      </c>
      <c r="AB25" s="16">
        <f t="shared" si="17"/>
        <v>4</v>
      </c>
      <c r="AC25" s="16">
        <f t="shared" si="17"/>
        <v>272</v>
      </c>
      <c r="AD25" s="16">
        <f t="shared" si="17"/>
        <v>0</v>
      </c>
      <c r="AE25" s="32">
        <f t="shared" si="17"/>
        <v>460</v>
      </c>
      <c r="AF25" s="32">
        <f t="shared" si="17"/>
        <v>732</v>
      </c>
    </row>
    <row r="26" spans="2:32" ht="23.1" customHeight="1" x14ac:dyDescent="0.25">
      <c r="B26" s="23" t="s">
        <v>53</v>
      </c>
      <c r="C26" s="50">
        <v>10</v>
      </c>
      <c r="D26" s="50">
        <v>0</v>
      </c>
      <c r="E26" s="50">
        <v>1</v>
      </c>
      <c r="F26" s="50">
        <v>15</v>
      </c>
      <c r="G26" s="50">
        <v>0</v>
      </c>
      <c r="H26" s="50">
        <v>0</v>
      </c>
      <c r="I26" s="50">
        <v>8</v>
      </c>
      <c r="J26" s="50">
        <v>1</v>
      </c>
      <c r="K26" s="50">
        <v>0</v>
      </c>
      <c r="L26" s="50">
        <v>2</v>
      </c>
      <c r="M26" s="50">
        <v>24</v>
      </c>
      <c r="N26" s="50">
        <v>0</v>
      </c>
      <c r="O26" s="15">
        <f t="shared" si="0"/>
        <v>37</v>
      </c>
      <c r="P26" s="15">
        <f t="shared" si="1"/>
        <v>61</v>
      </c>
      <c r="R26" s="28" t="s">
        <v>86</v>
      </c>
      <c r="S26" s="16">
        <f t="shared" ref="S26:AF26" si="18">SUM(S13:S18)</f>
        <v>386</v>
      </c>
      <c r="T26" s="16">
        <f t="shared" si="18"/>
        <v>58</v>
      </c>
      <c r="U26" s="16">
        <f t="shared" si="18"/>
        <v>67</v>
      </c>
      <c r="V26" s="16">
        <f t="shared" si="18"/>
        <v>332</v>
      </c>
      <c r="W26" s="16">
        <f t="shared" si="18"/>
        <v>4</v>
      </c>
      <c r="X26" s="16">
        <f t="shared" si="18"/>
        <v>8</v>
      </c>
      <c r="Y26" s="16">
        <f t="shared" si="18"/>
        <v>138</v>
      </c>
      <c r="Z26" s="16">
        <f t="shared" si="18"/>
        <v>55</v>
      </c>
      <c r="AA26" s="16">
        <f t="shared" si="18"/>
        <v>7</v>
      </c>
      <c r="AB26" s="16">
        <f t="shared" si="18"/>
        <v>23</v>
      </c>
      <c r="AC26" s="16">
        <f t="shared" si="18"/>
        <v>459</v>
      </c>
      <c r="AD26" s="16">
        <f t="shared" si="18"/>
        <v>1</v>
      </c>
      <c r="AE26" s="32">
        <f t="shared" si="18"/>
        <v>1079</v>
      </c>
      <c r="AF26" s="32">
        <f t="shared" si="18"/>
        <v>1538</v>
      </c>
    </row>
    <row r="27" spans="2:32" ht="23.1" customHeight="1" x14ac:dyDescent="0.25">
      <c r="B27" s="23" t="s">
        <v>54</v>
      </c>
      <c r="C27" s="50">
        <v>20</v>
      </c>
      <c r="D27" s="50">
        <v>4</v>
      </c>
      <c r="E27" s="50">
        <v>1</v>
      </c>
      <c r="F27" s="50">
        <v>15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1</v>
      </c>
      <c r="M27" s="50">
        <v>21</v>
      </c>
      <c r="N27" s="50">
        <v>0</v>
      </c>
      <c r="O27" s="15">
        <f t="shared" si="0"/>
        <v>43</v>
      </c>
      <c r="P27" s="15">
        <f t="shared" si="1"/>
        <v>64</v>
      </c>
      <c r="R27" s="29" t="s">
        <v>87</v>
      </c>
      <c r="S27" s="16">
        <f t="shared" ref="S27:AF27" si="19">SUM(S19:S21)</f>
        <v>280</v>
      </c>
      <c r="T27" s="16">
        <f t="shared" si="19"/>
        <v>56</v>
      </c>
      <c r="U27" s="16">
        <f t="shared" si="19"/>
        <v>58</v>
      </c>
      <c r="V27" s="16">
        <f t="shared" si="19"/>
        <v>223</v>
      </c>
      <c r="W27" s="16">
        <f t="shared" si="19"/>
        <v>8</v>
      </c>
      <c r="X27" s="16">
        <f t="shared" si="19"/>
        <v>10</v>
      </c>
      <c r="Y27" s="16">
        <f t="shared" si="19"/>
        <v>82</v>
      </c>
      <c r="Z27" s="16">
        <f t="shared" si="19"/>
        <v>29</v>
      </c>
      <c r="AA27" s="16">
        <f t="shared" si="19"/>
        <v>10</v>
      </c>
      <c r="AB27" s="16">
        <f t="shared" si="19"/>
        <v>18</v>
      </c>
      <c r="AC27" s="16">
        <f t="shared" si="19"/>
        <v>310</v>
      </c>
      <c r="AD27" s="16">
        <f t="shared" si="19"/>
        <v>0</v>
      </c>
      <c r="AE27" s="32">
        <f t="shared" si="19"/>
        <v>774</v>
      </c>
      <c r="AF27" s="32">
        <f t="shared" si="19"/>
        <v>1084</v>
      </c>
    </row>
    <row r="28" spans="2:32" ht="23.1" customHeight="1" x14ac:dyDescent="0.25">
      <c r="B28" s="23" t="s">
        <v>55</v>
      </c>
      <c r="C28" s="50">
        <v>14</v>
      </c>
      <c r="D28" s="50">
        <v>1</v>
      </c>
      <c r="E28" s="50">
        <v>2</v>
      </c>
      <c r="F28" s="50">
        <v>11</v>
      </c>
      <c r="G28" s="50">
        <v>0</v>
      </c>
      <c r="H28" s="50">
        <v>0</v>
      </c>
      <c r="I28" s="50">
        <v>6</v>
      </c>
      <c r="J28" s="50">
        <v>2</v>
      </c>
      <c r="K28" s="50">
        <v>0</v>
      </c>
      <c r="L28" s="50">
        <v>0</v>
      </c>
      <c r="M28" s="50">
        <v>17</v>
      </c>
      <c r="N28" s="50">
        <v>0</v>
      </c>
      <c r="O28" s="15">
        <f t="shared" si="0"/>
        <v>36</v>
      </c>
      <c r="P28" s="15">
        <f t="shared" si="1"/>
        <v>53</v>
      </c>
      <c r="R28" s="5" t="s">
        <v>17</v>
      </c>
      <c r="S28" s="16">
        <f t="shared" ref="S28:AF28" si="20">SUM(S10:S21)</f>
        <v>855</v>
      </c>
      <c r="T28" s="16">
        <f t="shared" si="20"/>
        <v>132</v>
      </c>
      <c r="U28" s="16">
        <f t="shared" si="20"/>
        <v>141</v>
      </c>
      <c r="V28" s="16">
        <f t="shared" si="20"/>
        <v>723</v>
      </c>
      <c r="W28" s="16">
        <f t="shared" si="20"/>
        <v>14</v>
      </c>
      <c r="X28" s="16">
        <f t="shared" si="20"/>
        <v>18</v>
      </c>
      <c r="Y28" s="16">
        <f t="shared" si="20"/>
        <v>259</v>
      </c>
      <c r="Z28" s="16">
        <f t="shared" si="20"/>
        <v>108</v>
      </c>
      <c r="AA28" s="16">
        <f t="shared" si="20"/>
        <v>17</v>
      </c>
      <c r="AB28" s="16">
        <f t="shared" si="20"/>
        <v>45</v>
      </c>
      <c r="AC28" s="16">
        <f t="shared" si="20"/>
        <v>1041</v>
      </c>
      <c r="AD28" s="16">
        <f t="shared" si="20"/>
        <v>1</v>
      </c>
      <c r="AE28" s="32">
        <f t="shared" si="20"/>
        <v>2313</v>
      </c>
      <c r="AF28" s="32">
        <f t="shared" si="20"/>
        <v>3354</v>
      </c>
    </row>
    <row r="29" spans="2:32" ht="23.1" customHeight="1" x14ac:dyDescent="0.25">
      <c r="B29" s="23" t="s">
        <v>56</v>
      </c>
      <c r="C29" s="50">
        <v>27</v>
      </c>
      <c r="D29" s="50">
        <v>3</v>
      </c>
      <c r="E29" s="50">
        <v>1</v>
      </c>
      <c r="F29" s="50">
        <v>15</v>
      </c>
      <c r="G29" s="50">
        <v>1</v>
      </c>
      <c r="H29" s="50">
        <v>0</v>
      </c>
      <c r="I29" s="50">
        <v>9</v>
      </c>
      <c r="J29" s="50">
        <v>2</v>
      </c>
      <c r="K29" s="50">
        <v>0</v>
      </c>
      <c r="L29" s="50">
        <v>0</v>
      </c>
      <c r="M29" s="50">
        <v>20</v>
      </c>
      <c r="N29" s="50">
        <v>0</v>
      </c>
      <c r="O29" s="15">
        <f t="shared" si="0"/>
        <v>58</v>
      </c>
      <c r="P29" s="15">
        <f t="shared" si="1"/>
        <v>78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2</v>
      </c>
      <c r="E30" s="50">
        <v>3</v>
      </c>
      <c r="F30" s="50">
        <v>11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v>1</v>
      </c>
      <c r="M30" s="50">
        <v>16</v>
      </c>
      <c r="N30" s="50">
        <v>0</v>
      </c>
      <c r="O30" s="15">
        <f t="shared" si="0"/>
        <v>27</v>
      </c>
      <c r="P30" s="15">
        <f t="shared" si="1"/>
        <v>43</v>
      </c>
    </row>
    <row r="31" spans="2:32" ht="23.1" customHeight="1" x14ac:dyDescent="0.25">
      <c r="B31" s="24" t="s">
        <v>58</v>
      </c>
      <c r="C31" s="50">
        <v>8</v>
      </c>
      <c r="D31" s="50">
        <v>2</v>
      </c>
      <c r="E31" s="50">
        <v>1</v>
      </c>
      <c r="F31" s="50">
        <v>13</v>
      </c>
      <c r="G31" s="50">
        <v>0</v>
      </c>
      <c r="H31" s="50">
        <v>0</v>
      </c>
      <c r="I31" s="50">
        <v>9</v>
      </c>
      <c r="J31" s="50">
        <v>3</v>
      </c>
      <c r="K31" s="50">
        <v>0</v>
      </c>
      <c r="L31" s="50">
        <v>1</v>
      </c>
      <c r="M31" s="50">
        <v>8</v>
      </c>
      <c r="N31" s="50">
        <v>0</v>
      </c>
      <c r="O31" s="15">
        <f t="shared" si="0"/>
        <v>37</v>
      </c>
      <c r="P31" s="15">
        <f t="shared" si="1"/>
        <v>45</v>
      </c>
    </row>
    <row r="32" spans="2:32" ht="23.1" customHeight="1" x14ac:dyDescent="0.25">
      <c r="B32" s="24" t="s">
        <v>59</v>
      </c>
      <c r="C32" s="50">
        <v>17</v>
      </c>
      <c r="D32" s="50">
        <v>1</v>
      </c>
      <c r="E32" s="50">
        <v>2</v>
      </c>
      <c r="F32" s="50">
        <v>19</v>
      </c>
      <c r="G32" s="50">
        <v>0</v>
      </c>
      <c r="H32" s="50">
        <v>1</v>
      </c>
      <c r="I32" s="50">
        <v>9</v>
      </c>
      <c r="J32" s="50">
        <v>4</v>
      </c>
      <c r="K32" s="50">
        <v>1</v>
      </c>
      <c r="L32" s="50">
        <v>2</v>
      </c>
      <c r="M32" s="50">
        <v>14</v>
      </c>
      <c r="N32" s="50">
        <v>0</v>
      </c>
      <c r="O32" s="15">
        <f t="shared" si="0"/>
        <v>56</v>
      </c>
      <c r="P32" s="15">
        <f t="shared" si="1"/>
        <v>70</v>
      </c>
    </row>
    <row r="33" spans="2:20" ht="23.1" customHeight="1" x14ac:dyDescent="0.25">
      <c r="B33" s="23" t="s">
        <v>60</v>
      </c>
      <c r="C33" s="50">
        <v>5</v>
      </c>
      <c r="D33" s="50">
        <v>3</v>
      </c>
      <c r="E33" s="50">
        <v>0</v>
      </c>
      <c r="F33" s="50">
        <v>12</v>
      </c>
      <c r="G33" s="50">
        <v>1</v>
      </c>
      <c r="H33" s="50">
        <v>0</v>
      </c>
      <c r="I33" s="50">
        <v>4</v>
      </c>
      <c r="J33" s="50">
        <v>1</v>
      </c>
      <c r="K33" s="50">
        <v>1</v>
      </c>
      <c r="L33" s="50">
        <v>0</v>
      </c>
      <c r="M33" s="50">
        <v>15</v>
      </c>
      <c r="N33" s="50">
        <v>0</v>
      </c>
      <c r="O33" s="15">
        <f t="shared" si="0"/>
        <v>27</v>
      </c>
      <c r="P33" s="15">
        <f t="shared" si="1"/>
        <v>42</v>
      </c>
    </row>
    <row r="34" spans="2:20" ht="23.1" customHeight="1" x14ac:dyDescent="0.25">
      <c r="B34" s="24" t="s">
        <v>61</v>
      </c>
      <c r="C34" s="50">
        <v>22</v>
      </c>
      <c r="D34" s="50">
        <v>3</v>
      </c>
      <c r="E34" s="50">
        <v>6</v>
      </c>
      <c r="F34" s="50">
        <v>12</v>
      </c>
      <c r="G34" s="50">
        <v>0</v>
      </c>
      <c r="H34" s="50">
        <v>2</v>
      </c>
      <c r="I34" s="50">
        <v>11</v>
      </c>
      <c r="J34" s="50">
        <v>4</v>
      </c>
      <c r="K34" s="50">
        <v>1</v>
      </c>
      <c r="L34" s="50">
        <v>0</v>
      </c>
      <c r="M34" s="50">
        <v>20</v>
      </c>
      <c r="N34" s="50">
        <v>0</v>
      </c>
      <c r="O34" s="15">
        <f t="shared" si="0"/>
        <v>61</v>
      </c>
      <c r="P34" s="15">
        <f t="shared" si="1"/>
        <v>81</v>
      </c>
    </row>
    <row r="35" spans="2:20" ht="23.1" customHeight="1" x14ac:dyDescent="0.25">
      <c r="B35" s="24" t="s">
        <v>62</v>
      </c>
      <c r="C35" s="50">
        <v>13</v>
      </c>
      <c r="D35" s="50">
        <v>3</v>
      </c>
      <c r="E35" s="50">
        <v>4</v>
      </c>
      <c r="F35" s="50">
        <v>15</v>
      </c>
      <c r="G35" s="50">
        <v>0</v>
      </c>
      <c r="H35" s="50">
        <v>0</v>
      </c>
      <c r="I35" s="50">
        <v>2</v>
      </c>
      <c r="J35" s="50">
        <v>1</v>
      </c>
      <c r="K35" s="50">
        <v>0</v>
      </c>
      <c r="L35" s="50">
        <v>0</v>
      </c>
      <c r="M35" s="50">
        <v>17</v>
      </c>
      <c r="N35" s="50">
        <v>0</v>
      </c>
      <c r="O35" s="15">
        <f t="shared" si="0"/>
        <v>38</v>
      </c>
      <c r="P35" s="15">
        <f t="shared" si="1"/>
        <v>55</v>
      </c>
    </row>
    <row r="36" spans="2:20" ht="23.1" customHeight="1" x14ac:dyDescent="0.25">
      <c r="B36" s="24" t="s">
        <v>63</v>
      </c>
      <c r="C36" s="50">
        <v>15</v>
      </c>
      <c r="D36" s="50">
        <v>4</v>
      </c>
      <c r="E36" s="50">
        <v>6</v>
      </c>
      <c r="F36" s="50">
        <v>12</v>
      </c>
      <c r="G36" s="50">
        <v>0</v>
      </c>
      <c r="H36" s="50">
        <v>0</v>
      </c>
      <c r="I36" s="50">
        <v>7</v>
      </c>
      <c r="J36" s="50">
        <v>3</v>
      </c>
      <c r="K36" s="50">
        <v>0</v>
      </c>
      <c r="L36" s="50">
        <v>0</v>
      </c>
      <c r="M36" s="50">
        <v>19</v>
      </c>
      <c r="N36" s="50">
        <v>0</v>
      </c>
      <c r="O36" s="15">
        <f t="shared" si="0"/>
        <v>47</v>
      </c>
      <c r="P36" s="15">
        <f t="shared" si="1"/>
        <v>66</v>
      </c>
    </row>
    <row r="37" spans="2:20" ht="23.1" customHeight="1" x14ac:dyDescent="0.25">
      <c r="B37" s="23" t="s">
        <v>64</v>
      </c>
      <c r="C37" s="50">
        <v>30</v>
      </c>
      <c r="D37" s="50">
        <v>3</v>
      </c>
      <c r="E37" s="50">
        <v>2</v>
      </c>
      <c r="F37" s="50">
        <v>14</v>
      </c>
      <c r="G37" s="50">
        <v>0</v>
      </c>
      <c r="H37" s="50">
        <v>0</v>
      </c>
      <c r="I37" s="50">
        <v>4</v>
      </c>
      <c r="J37" s="50">
        <v>3</v>
      </c>
      <c r="K37" s="50">
        <v>1</v>
      </c>
      <c r="L37" s="50">
        <v>1</v>
      </c>
      <c r="M37" s="50">
        <v>16</v>
      </c>
      <c r="N37" s="50">
        <v>0</v>
      </c>
      <c r="O37" s="15">
        <f t="shared" si="0"/>
        <v>58</v>
      </c>
      <c r="P37" s="15">
        <f t="shared" si="1"/>
        <v>74</v>
      </c>
    </row>
    <row r="38" spans="2:20" ht="23.1" customHeight="1" x14ac:dyDescent="0.25">
      <c r="B38" s="24" t="s">
        <v>65</v>
      </c>
      <c r="C38" s="50">
        <v>14</v>
      </c>
      <c r="D38" s="50">
        <v>1</v>
      </c>
      <c r="E38" s="50">
        <v>3</v>
      </c>
      <c r="F38" s="50">
        <v>10</v>
      </c>
      <c r="G38" s="50">
        <v>0</v>
      </c>
      <c r="H38" s="50">
        <v>0</v>
      </c>
      <c r="I38" s="50">
        <v>9</v>
      </c>
      <c r="J38" s="50">
        <v>2</v>
      </c>
      <c r="K38" s="50">
        <v>0</v>
      </c>
      <c r="L38" s="50">
        <v>2</v>
      </c>
      <c r="M38" s="50">
        <v>21</v>
      </c>
      <c r="N38" s="50">
        <v>0</v>
      </c>
      <c r="O38" s="15">
        <f t="shared" si="0"/>
        <v>41</v>
      </c>
      <c r="P38" s="15">
        <f t="shared" si="1"/>
        <v>62</v>
      </c>
    </row>
    <row r="39" spans="2:20" ht="23.1" customHeight="1" x14ac:dyDescent="0.25">
      <c r="B39" s="24" t="s">
        <v>66</v>
      </c>
      <c r="C39" s="50">
        <v>20</v>
      </c>
      <c r="D39" s="50">
        <v>5</v>
      </c>
      <c r="E39" s="50">
        <v>3</v>
      </c>
      <c r="F39" s="50">
        <v>19</v>
      </c>
      <c r="G39" s="50">
        <v>0</v>
      </c>
      <c r="H39" s="50">
        <v>1</v>
      </c>
      <c r="I39" s="50">
        <v>8</v>
      </c>
      <c r="J39" s="50">
        <v>8</v>
      </c>
      <c r="K39" s="50">
        <v>1</v>
      </c>
      <c r="L39" s="50">
        <v>1</v>
      </c>
      <c r="M39" s="50">
        <v>23</v>
      </c>
      <c r="N39" s="50">
        <v>0</v>
      </c>
      <c r="O39" s="15">
        <f t="shared" si="0"/>
        <v>66</v>
      </c>
      <c r="P39" s="15">
        <f t="shared" si="1"/>
        <v>89</v>
      </c>
    </row>
    <row r="40" spans="2:20" ht="23.1" customHeight="1" x14ac:dyDescent="0.25">
      <c r="B40" s="24" t="s">
        <v>67</v>
      </c>
      <c r="C40" s="50">
        <v>13</v>
      </c>
      <c r="D40" s="50">
        <v>2</v>
      </c>
      <c r="E40" s="50">
        <v>4</v>
      </c>
      <c r="F40" s="50">
        <v>17</v>
      </c>
      <c r="G40" s="50">
        <v>0</v>
      </c>
      <c r="H40" s="50">
        <v>0</v>
      </c>
      <c r="I40" s="50">
        <v>2</v>
      </c>
      <c r="J40" s="50">
        <v>1</v>
      </c>
      <c r="K40" s="50">
        <v>0</v>
      </c>
      <c r="L40" s="50">
        <v>0</v>
      </c>
      <c r="M40" s="50">
        <v>26</v>
      </c>
      <c r="N40" s="50">
        <v>1</v>
      </c>
      <c r="O40" s="15">
        <f t="shared" si="0"/>
        <v>40</v>
      </c>
      <c r="P40" s="15">
        <f t="shared" si="1"/>
        <v>66</v>
      </c>
    </row>
    <row r="41" spans="2:20" ht="23.1" customHeight="1" x14ac:dyDescent="0.25">
      <c r="B41" s="23" t="s">
        <v>68</v>
      </c>
      <c r="C41" s="50">
        <v>12</v>
      </c>
      <c r="D41" s="50">
        <v>1</v>
      </c>
      <c r="E41" s="50">
        <v>4</v>
      </c>
      <c r="F41" s="50">
        <v>10</v>
      </c>
      <c r="G41" s="50">
        <v>0</v>
      </c>
      <c r="H41" s="50">
        <v>1</v>
      </c>
      <c r="I41" s="50">
        <v>4</v>
      </c>
      <c r="J41" s="50">
        <v>3</v>
      </c>
      <c r="K41" s="50">
        <v>0</v>
      </c>
      <c r="L41" s="50">
        <v>0</v>
      </c>
      <c r="M41" s="50">
        <v>21</v>
      </c>
      <c r="N41" s="50">
        <v>0</v>
      </c>
      <c r="O41" s="15">
        <f t="shared" si="0"/>
        <v>35</v>
      </c>
      <c r="P41" s="15">
        <f t="shared" si="1"/>
        <v>56</v>
      </c>
    </row>
    <row r="42" spans="2:20" ht="23.1" customHeight="1" x14ac:dyDescent="0.25">
      <c r="B42" s="24" t="s">
        <v>69</v>
      </c>
      <c r="C42" s="50">
        <v>25</v>
      </c>
      <c r="D42" s="50">
        <v>4</v>
      </c>
      <c r="E42" s="50">
        <v>8</v>
      </c>
      <c r="F42" s="50">
        <v>17</v>
      </c>
      <c r="G42" s="50">
        <v>0</v>
      </c>
      <c r="H42" s="50">
        <v>0</v>
      </c>
      <c r="I42" s="50">
        <v>11</v>
      </c>
      <c r="J42" s="50">
        <v>5</v>
      </c>
      <c r="K42" s="50">
        <v>0</v>
      </c>
      <c r="L42" s="50">
        <v>1</v>
      </c>
      <c r="M42" s="50">
        <v>25</v>
      </c>
      <c r="N42" s="50">
        <v>0</v>
      </c>
      <c r="O42" s="15">
        <f t="shared" si="0"/>
        <v>71</v>
      </c>
      <c r="P42" s="15">
        <f t="shared" si="1"/>
        <v>96</v>
      </c>
    </row>
    <row r="43" spans="2:20" ht="23.1" customHeight="1" x14ac:dyDescent="0.25">
      <c r="B43" s="23" t="s">
        <v>70</v>
      </c>
      <c r="C43" s="50">
        <v>16</v>
      </c>
      <c r="D43" s="50">
        <v>6</v>
      </c>
      <c r="E43" s="50">
        <v>2</v>
      </c>
      <c r="F43" s="50">
        <v>14</v>
      </c>
      <c r="G43" s="50">
        <v>1</v>
      </c>
      <c r="H43" s="50">
        <v>1</v>
      </c>
      <c r="I43" s="50">
        <v>4</v>
      </c>
      <c r="J43" s="50">
        <v>0</v>
      </c>
      <c r="K43" s="50">
        <v>1</v>
      </c>
      <c r="L43" s="50">
        <v>1</v>
      </c>
      <c r="M43" s="50">
        <v>24</v>
      </c>
      <c r="N43" s="50">
        <v>0</v>
      </c>
      <c r="O43" s="15">
        <f t="shared" si="0"/>
        <v>46</v>
      </c>
      <c r="P43" s="15">
        <f t="shared" si="1"/>
        <v>70</v>
      </c>
    </row>
    <row r="44" spans="2:20" ht="23.1" customHeight="1" x14ac:dyDescent="0.25">
      <c r="B44" s="25" t="s">
        <v>71</v>
      </c>
      <c r="C44" s="50">
        <v>12</v>
      </c>
      <c r="D44" s="50">
        <v>2</v>
      </c>
      <c r="E44" s="50">
        <v>1</v>
      </c>
      <c r="F44" s="50">
        <v>18</v>
      </c>
      <c r="G44" s="50">
        <v>0</v>
      </c>
      <c r="H44" s="50">
        <v>1</v>
      </c>
      <c r="I44" s="50">
        <v>8</v>
      </c>
      <c r="J44" s="50">
        <v>2</v>
      </c>
      <c r="K44" s="50">
        <v>0</v>
      </c>
      <c r="L44" s="50">
        <v>2</v>
      </c>
      <c r="M44" s="50">
        <v>14</v>
      </c>
      <c r="N44" s="50">
        <v>0</v>
      </c>
      <c r="O44" s="15">
        <f t="shared" si="0"/>
        <v>46</v>
      </c>
      <c r="P44" s="15">
        <f t="shared" si="1"/>
        <v>60</v>
      </c>
    </row>
    <row r="45" spans="2:20" ht="23.1" customHeight="1" x14ac:dyDescent="0.25">
      <c r="B45" s="23" t="s">
        <v>72</v>
      </c>
      <c r="C45" s="50">
        <v>31</v>
      </c>
      <c r="D45" s="50">
        <v>3</v>
      </c>
      <c r="E45" s="50">
        <v>6</v>
      </c>
      <c r="F45" s="50">
        <v>12</v>
      </c>
      <c r="G45" s="50">
        <v>0</v>
      </c>
      <c r="H45" s="50">
        <v>0</v>
      </c>
      <c r="I45" s="50">
        <v>2</v>
      </c>
      <c r="J45" s="50">
        <v>4</v>
      </c>
      <c r="K45" s="50">
        <v>0</v>
      </c>
      <c r="L45" s="50">
        <v>2</v>
      </c>
      <c r="M45" s="50">
        <v>23</v>
      </c>
      <c r="N45" s="50">
        <v>0</v>
      </c>
      <c r="O45" s="15">
        <f t="shared" si="0"/>
        <v>60</v>
      </c>
      <c r="P45" s="15">
        <f t="shared" si="1"/>
        <v>83</v>
      </c>
    </row>
    <row r="46" spans="2:20" ht="23.1" customHeight="1" x14ac:dyDescent="0.25">
      <c r="B46" s="24" t="s">
        <v>73</v>
      </c>
      <c r="C46" s="50">
        <v>20</v>
      </c>
      <c r="D46" s="50">
        <v>7</v>
      </c>
      <c r="E46" s="50">
        <v>3</v>
      </c>
      <c r="F46" s="50">
        <v>14</v>
      </c>
      <c r="G46" s="50">
        <v>0</v>
      </c>
      <c r="H46" s="50">
        <v>1</v>
      </c>
      <c r="I46" s="50">
        <v>5</v>
      </c>
      <c r="J46" s="50">
        <v>2</v>
      </c>
      <c r="K46" s="50">
        <v>1</v>
      </c>
      <c r="L46" s="50">
        <v>1</v>
      </c>
      <c r="M46" s="50">
        <v>39</v>
      </c>
      <c r="N46" s="50">
        <v>0</v>
      </c>
      <c r="O46" s="15">
        <f t="shared" si="0"/>
        <v>54</v>
      </c>
      <c r="P46" s="15">
        <f t="shared" si="1"/>
        <v>93</v>
      </c>
      <c r="R46" s="8"/>
      <c r="T46"/>
    </row>
    <row r="47" spans="2:20" ht="23.1" customHeight="1" x14ac:dyDescent="0.25">
      <c r="B47" s="24" t="s">
        <v>74</v>
      </c>
      <c r="C47" s="50">
        <v>25</v>
      </c>
      <c r="D47" s="50">
        <v>2</v>
      </c>
      <c r="E47" s="50">
        <v>1</v>
      </c>
      <c r="F47" s="50">
        <v>16</v>
      </c>
      <c r="G47" s="50">
        <v>0</v>
      </c>
      <c r="H47" s="50">
        <v>1</v>
      </c>
      <c r="I47" s="50">
        <v>1</v>
      </c>
      <c r="J47" s="50">
        <v>3</v>
      </c>
      <c r="K47" s="50">
        <v>1</v>
      </c>
      <c r="L47" s="50">
        <v>1</v>
      </c>
      <c r="M47" s="50">
        <v>17</v>
      </c>
      <c r="N47" s="50">
        <v>0</v>
      </c>
      <c r="O47" s="15">
        <f t="shared" si="0"/>
        <v>51</v>
      </c>
      <c r="P47" s="15">
        <f t="shared" si="1"/>
        <v>68</v>
      </c>
      <c r="R47" s="8"/>
      <c r="T47"/>
    </row>
    <row r="48" spans="2:20" ht="23.1" customHeight="1" x14ac:dyDescent="0.25">
      <c r="B48" s="24" t="s">
        <v>75</v>
      </c>
      <c r="C48" s="50">
        <v>20</v>
      </c>
      <c r="D48" s="50">
        <v>6</v>
      </c>
      <c r="E48" s="50">
        <v>3</v>
      </c>
      <c r="F48" s="50">
        <v>12</v>
      </c>
      <c r="G48" s="50">
        <v>0</v>
      </c>
      <c r="H48" s="50">
        <v>2</v>
      </c>
      <c r="I48" s="50">
        <v>11</v>
      </c>
      <c r="J48" s="50">
        <v>3</v>
      </c>
      <c r="K48" s="50">
        <v>0</v>
      </c>
      <c r="L48" s="50">
        <v>1</v>
      </c>
      <c r="M48" s="50">
        <v>24</v>
      </c>
      <c r="N48" s="50">
        <v>0</v>
      </c>
      <c r="O48" s="15">
        <f t="shared" si="0"/>
        <v>58</v>
      </c>
      <c r="P48" s="15">
        <f t="shared" si="1"/>
        <v>82</v>
      </c>
      <c r="R48" s="8"/>
      <c r="T48"/>
    </row>
    <row r="49" spans="2:20" ht="23.1" customHeight="1" x14ac:dyDescent="0.25">
      <c r="B49" s="23" t="s">
        <v>76</v>
      </c>
      <c r="C49" s="50">
        <v>26</v>
      </c>
      <c r="D49" s="50">
        <v>5</v>
      </c>
      <c r="E49" s="50">
        <v>6</v>
      </c>
      <c r="F49" s="50">
        <v>16</v>
      </c>
      <c r="G49" s="50">
        <v>1</v>
      </c>
      <c r="H49" s="50">
        <v>3</v>
      </c>
      <c r="I49" s="50">
        <v>7</v>
      </c>
      <c r="J49" s="50">
        <v>3</v>
      </c>
      <c r="K49" s="50">
        <v>0</v>
      </c>
      <c r="L49" s="50">
        <v>1</v>
      </c>
      <c r="M49" s="50">
        <v>22</v>
      </c>
      <c r="N49" s="50">
        <v>0</v>
      </c>
      <c r="O49" s="15">
        <f t="shared" si="0"/>
        <v>68</v>
      </c>
      <c r="P49" s="15">
        <f t="shared" si="1"/>
        <v>90</v>
      </c>
      <c r="R49" s="8"/>
      <c r="T49"/>
    </row>
    <row r="50" spans="2:20" ht="23.1" customHeight="1" x14ac:dyDescent="0.25">
      <c r="B50" s="24" t="s">
        <v>77</v>
      </c>
      <c r="C50" s="50">
        <v>27</v>
      </c>
      <c r="D50" s="50">
        <v>5</v>
      </c>
      <c r="E50" s="50">
        <v>5</v>
      </c>
      <c r="F50" s="50">
        <v>14</v>
      </c>
      <c r="G50" s="50">
        <v>1</v>
      </c>
      <c r="H50" s="50">
        <v>0</v>
      </c>
      <c r="I50" s="50">
        <v>7</v>
      </c>
      <c r="J50" s="50">
        <v>1</v>
      </c>
      <c r="K50" s="50">
        <v>1</v>
      </c>
      <c r="L50" s="50">
        <v>1</v>
      </c>
      <c r="M50" s="50">
        <v>18</v>
      </c>
      <c r="N50" s="50">
        <v>0</v>
      </c>
      <c r="O50" s="15">
        <f t="shared" si="0"/>
        <v>62</v>
      </c>
      <c r="P50" s="15">
        <f t="shared" si="1"/>
        <v>80</v>
      </c>
      <c r="R50" s="8"/>
      <c r="T50"/>
    </row>
    <row r="51" spans="2:20" ht="23.1" customHeight="1" x14ac:dyDescent="0.25">
      <c r="B51" s="24" t="s">
        <v>78</v>
      </c>
      <c r="C51" s="50">
        <v>25</v>
      </c>
      <c r="D51" s="50">
        <v>1</v>
      </c>
      <c r="E51" s="50">
        <v>7</v>
      </c>
      <c r="F51" s="50">
        <v>16</v>
      </c>
      <c r="G51" s="50">
        <v>0</v>
      </c>
      <c r="H51" s="50">
        <v>0</v>
      </c>
      <c r="I51" s="50">
        <v>8</v>
      </c>
      <c r="J51" s="50">
        <v>1</v>
      </c>
      <c r="K51" s="50">
        <v>0</v>
      </c>
      <c r="L51" s="50">
        <v>3</v>
      </c>
      <c r="M51" s="50">
        <v>18</v>
      </c>
      <c r="N51" s="50">
        <v>0</v>
      </c>
      <c r="O51" s="15">
        <f t="shared" si="0"/>
        <v>61</v>
      </c>
      <c r="P51" s="15">
        <f t="shared" si="1"/>
        <v>79</v>
      </c>
      <c r="R51" s="8"/>
      <c r="T51"/>
    </row>
    <row r="52" spans="2:20" ht="23.1" customHeight="1" x14ac:dyDescent="0.25">
      <c r="B52" s="24" t="s">
        <v>79</v>
      </c>
      <c r="C52" s="50">
        <v>15</v>
      </c>
      <c r="D52" s="50">
        <v>10</v>
      </c>
      <c r="E52" s="50">
        <v>2</v>
      </c>
      <c r="F52" s="50">
        <v>13</v>
      </c>
      <c r="G52" s="50">
        <v>0</v>
      </c>
      <c r="H52" s="50">
        <v>0</v>
      </c>
      <c r="I52" s="50">
        <v>5</v>
      </c>
      <c r="J52" s="50">
        <v>1</v>
      </c>
      <c r="K52" s="50">
        <v>0</v>
      </c>
      <c r="L52" s="50">
        <v>0</v>
      </c>
      <c r="M52" s="50">
        <v>23</v>
      </c>
      <c r="N52" s="50">
        <v>0</v>
      </c>
      <c r="O52" s="15">
        <f t="shared" si="0"/>
        <v>46</v>
      </c>
      <c r="P52" s="15">
        <f t="shared" si="1"/>
        <v>69</v>
      </c>
      <c r="R52" s="8"/>
      <c r="T52"/>
    </row>
    <row r="53" spans="2:20" ht="23.1" customHeight="1" x14ac:dyDescent="0.25">
      <c r="B53" s="23" t="s">
        <v>80</v>
      </c>
      <c r="C53" s="50">
        <v>20</v>
      </c>
      <c r="D53" s="50">
        <v>6</v>
      </c>
      <c r="E53" s="50">
        <v>7</v>
      </c>
      <c r="F53" s="50">
        <v>21</v>
      </c>
      <c r="G53" s="50">
        <v>2</v>
      </c>
      <c r="H53" s="50">
        <v>0</v>
      </c>
      <c r="I53" s="50">
        <v>7</v>
      </c>
      <c r="J53" s="50">
        <v>4</v>
      </c>
      <c r="K53" s="50">
        <v>2</v>
      </c>
      <c r="L53" s="50">
        <v>1</v>
      </c>
      <c r="M53" s="50">
        <v>22</v>
      </c>
      <c r="N53" s="50">
        <v>0</v>
      </c>
      <c r="O53" s="15">
        <f t="shared" si="0"/>
        <v>70</v>
      </c>
      <c r="P53" s="15">
        <f t="shared" si="1"/>
        <v>92</v>
      </c>
      <c r="R53" s="8"/>
      <c r="T53"/>
    </row>
    <row r="54" spans="2:20" ht="23.1" customHeight="1" x14ac:dyDescent="0.25">
      <c r="B54" s="23" t="s">
        <v>81</v>
      </c>
      <c r="C54" s="50">
        <v>28</v>
      </c>
      <c r="D54" s="50">
        <v>7</v>
      </c>
      <c r="E54" s="50">
        <v>6</v>
      </c>
      <c r="F54" s="50">
        <v>22</v>
      </c>
      <c r="G54" s="50">
        <v>0</v>
      </c>
      <c r="H54" s="50">
        <v>2</v>
      </c>
      <c r="I54" s="50">
        <v>5</v>
      </c>
      <c r="J54" s="50">
        <v>3</v>
      </c>
      <c r="K54" s="50">
        <v>2</v>
      </c>
      <c r="L54" s="50">
        <v>2</v>
      </c>
      <c r="M54" s="50">
        <v>34</v>
      </c>
      <c r="N54" s="50">
        <v>0</v>
      </c>
      <c r="O54" s="15">
        <f t="shared" si="0"/>
        <v>77</v>
      </c>
      <c r="P54" s="15">
        <f t="shared" si="1"/>
        <v>111</v>
      </c>
      <c r="R54" s="8"/>
      <c r="T54"/>
    </row>
    <row r="55" spans="2:20" ht="23.1" customHeight="1" x14ac:dyDescent="0.25">
      <c r="B55" s="23" t="s">
        <v>82</v>
      </c>
      <c r="C55" s="50">
        <v>27</v>
      </c>
      <c r="D55" s="50">
        <v>1</v>
      </c>
      <c r="E55" s="50">
        <v>8</v>
      </c>
      <c r="F55" s="50">
        <v>33</v>
      </c>
      <c r="G55" s="50">
        <v>1</v>
      </c>
      <c r="H55" s="50">
        <v>0</v>
      </c>
      <c r="I55" s="50">
        <v>6</v>
      </c>
      <c r="J55" s="50">
        <v>5</v>
      </c>
      <c r="K55" s="50">
        <v>0</v>
      </c>
      <c r="L55" s="50">
        <v>1</v>
      </c>
      <c r="M55" s="50">
        <v>27</v>
      </c>
      <c r="N55" s="50">
        <v>0</v>
      </c>
      <c r="O55" s="15">
        <f t="shared" si="0"/>
        <v>82</v>
      </c>
      <c r="P55" s="15">
        <f t="shared" si="1"/>
        <v>109</v>
      </c>
      <c r="R55" s="8"/>
      <c r="T55"/>
    </row>
    <row r="56" spans="2:20" ht="23.1" customHeight="1" x14ac:dyDescent="0.25">
      <c r="B56" s="23" t="s">
        <v>83</v>
      </c>
      <c r="C56" s="50">
        <v>16</v>
      </c>
      <c r="D56" s="50">
        <v>1</v>
      </c>
      <c r="E56" s="50">
        <v>3</v>
      </c>
      <c r="F56" s="50">
        <v>17</v>
      </c>
      <c r="G56" s="50">
        <v>1</v>
      </c>
      <c r="H56" s="50">
        <v>1</v>
      </c>
      <c r="I56" s="50">
        <v>9</v>
      </c>
      <c r="J56" s="50">
        <v>1</v>
      </c>
      <c r="K56" s="50">
        <v>1</v>
      </c>
      <c r="L56" s="50">
        <v>1</v>
      </c>
      <c r="M56" s="50">
        <v>26</v>
      </c>
      <c r="N56" s="50">
        <v>0</v>
      </c>
      <c r="O56" s="15">
        <f t="shared" si="0"/>
        <v>51</v>
      </c>
      <c r="P56" s="15">
        <f t="shared" si="1"/>
        <v>77</v>
      </c>
      <c r="R56" s="8"/>
      <c r="T56"/>
    </row>
    <row r="57" spans="2:20" ht="23.1" customHeight="1" x14ac:dyDescent="0.25">
      <c r="B57" s="23" t="s">
        <v>84</v>
      </c>
      <c r="C57" s="50">
        <v>31</v>
      </c>
      <c r="D57" s="50">
        <v>5</v>
      </c>
      <c r="E57" s="50">
        <v>7</v>
      </c>
      <c r="F57" s="50">
        <v>29</v>
      </c>
      <c r="G57" s="50">
        <v>2</v>
      </c>
      <c r="H57" s="50">
        <v>0</v>
      </c>
      <c r="I57" s="50">
        <v>11</v>
      </c>
      <c r="J57" s="50">
        <v>2</v>
      </c>
      <c r="K57" s="50">
        <v>2</v>
      </c>
      <c r="L57" s="50">
        <v>5</v>
      </c>
      <c r="M57" s="50">
        <v>40</v>
      </c>
      <c r="N57" s="50">
        <v>0</v>
      </c>
      <c r="O57" s="15">
        <f t="shared" si="0"/>
        <v>94</v>
      </c>
      <c r="P57" s="15">
        <f t="shared" si="1"/>
        <v>134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855</v>
      </c>
      <c r="D58" s="16">
        <f t="shared" si="21"/>
        <v>132</v>
      </c>
      <c r="E58" s="16">
        <f t="shared" si="21"/>
        <v>141</v>
      </c>
      <c r="F58" s="16">
        <f t="shared" si="21"/>
        <v>723</v>
      </c>
      <c r="G58" s="16">
        <f t="shared" si="21"/>
        <v>14</v>
      </c>
      <c r="H58" s="16">
        <f t="shared" si="21"/>
        <v>18</v>
      </c>
      <c r="I58" s="16">
        <f t="shared" si="21"/>
        <v>259</v>
      </c>
      <c r="J58" s="16">
        <f t="shared" si="21"/>
        <v>108</v>
      </c>
      <c r="K58" s="16">
        <f t="shared" si="21"/>
        <v>17</v>
      </c>
      <c r="L58" s="16">
        <f t="shared" si="21"/>
        <v>45</v>
      </c>
      <c r="M58" s="16">
        <f t="shared" si="21"/>
        <v>1041</v>
      </c>
      <c r="N58" s="16">
        <f t="shared" si="21"/>
        <v>1</v>
      </c>
      <c r="O58" s="16">
        <f t="shared" si="21"/>
        <v>2313</v>
      </c>
      <c r="P58" s="16">
        <f t="shared" si="21"/>
        <v>3354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0.25491949910554562</v>
      </c>
      <c r="D59" s="43">
        <f t="shared" si="22"/>
        <v>3.9355992844364938E-2</v>
      </c>
      <c r="E59" s="43">
        <f t="shared" si="22"/>
        <v>4.2039355992844363E-2</v>
      </c>
      <c r="F59" s="43">
        <f t="shared" si="22"/>
        <v>0.21556350626118068</v>
      </c>
      <c r="G59" s="43">
        <f t="shared" si="22"/>
        <v>4.1741204531902205E-3</v>
      </c>
      <c r="H59" s="43">
        <f t="shared" si="22"/>
        <v>5.3667262969588547E-3</v>
      </c>
      <c r="I59" s="43">
        <f t="shared" si="22"/>
        <v>7.7221228384019083E-2</v>
      </c>
      <c r="J59" s="43">
        <f t="shared" si="22"/>
        <v>3.2200357781753133E-2</v>
      </c>
      <c r="K59" s="43">
        <f t="shared" si="22"/>
        <v>5.0685748360166961E-3</v>
      </c>
      <c r="L59" s="43">
        <f t="shared" si="22"/>
        <v>1.3416815742397137E-2</v>
      </c>
      <c r="M59" s="43">
        <f t="shared" si="22"/>
        <v>0.3103756708407871</v>
      </c>
      <c r="N59" s="43">
        <f t="shared" si="22"/>
        <v>2.981514609421586E-4</v>
      </c>
      <c r="R59" s="8"/>
      <c r="T59"/>
    </row>
    <row r="60" spans="2:20" ht="23.1" customHeight="1" x14ac:dyDescent="0.25">
      <c r="B60" s="42" t="s">
        <v>94</v>
      </c>
      <c r="C60" s="44">
        <f>C58/$O$58</f>
        <v>0.36964980544747084</v>
      </c>
      <c r="D60" s="44">
        <f t="shared" ref="D60:N60" si="23">D58/$O$58</f>
        <v>5.7068741893644616E-2</v>
      </c>
      <c r="E60" s="44">
        <f t="shared" si="23"/>
        <v>6.0959792477302203E-2</v>
      </c>
      <c r="F60" s="44">
        <f t="shared" si="23"/>
        <v>0.3125810635538262</v>
      </c>
      <c r="G60" s="44">
        <f t="shared" si="23"/>
        <v>6.0527453523562475E-3</v>
      </c>
      <c r="H60" s="44">
        <f t="shared" si="23"/>
        <v>7.7821011673151752E-3</v>
      </c>
      <c r="I60" s="44">
        <f t="shared" si="23"/>
        <v>0.11197578901859058</v>
      </c>
      <c r="J60" s="44">
        <f t="shared" si="23"/>
        <v>4.6692607003891051E-2</v>
      </c>
      <c r="K60" s="44">
        <f t="shared" si="23"/>
        <v>7.3497622135754431E-3</v>
      </c>
      <c r="L60" s="44">
        <f t="shared" si="23"/>
        <v>1.9455252918287938E-2</v>
      </c>
      <c r="M60" s="44"/>
      <c r="N60" s="44">
        <f t="shared" si="23"/>
        <v>4.3233895373973193E-4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'29.10 Bujuko-Buloba'!C3:G3</f>
        <v>MCC - C2 - STN62 - BUJUKO-BULOBA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'29.10 Bujuko-Buloba'!D5</f>
        <v>29.10.19</v>
      </c>
      <c r="E5" s="3"/>
      <c r="F5" s="41" t="s">
        <v>1</v>
      </c>
      <c r="G5" s="63" t="str">
        <f>'29.10 Bujuko-Buloba'!G5:H5</f>
        <v>Buloba Pop Oil</v>
      </c>
      <c r="H5" s="64"/>
      <c r="I5" s="14"/>
      <c r="J5" s="2" t="s">
        <v>5</v>
      </c>
      <c r="K5" s="63" t="s">
        <v>170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169</v>
      </c>
      <c r="E6" s="58"/>
      <c r="F6" s="2" t="s">
        <v>2</v>
      </c>
      <c r="G6" s="57" t="s">
        <v>165</v>
      </c>
      <c r="H6" s="58"/>
      <c r="J6" s="2" t="s">
        <v>21</v>
      </c>
      <c r="K6" s="63" t="str">
        <f>'29.10 Bujuko-Buloba'!K6:L6</f>
        <v>Godfrey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9</v>
      </c>
      <c r="D10" s="50">
        <v>3</v>
      </c>
      <c r="E10" s="50">
        <v>9</v>
      </c>
      <c r="F10" s="50">
        <v>13</v>
      </c>
      <c r="G10" s="50">
        <v>2</v>
      </c>
      <c r="H10" s="50">
        <v>1</v>
      </c>
      <c r="I10" s="50">
        <v>6</v>
      </c>
      <c r="J10" s="50">
        <v>2</v>
      </c>
      <c r="K10" s="50">
        <v>0</v>
      </c>
      <c r="L10" s="50">
        <v>3</v>
      </c>
      <c r="M10" s="50">
        <v>16</v>
      </c>
      <c r="N10" s="50">
        <v>0</v>
      </c>
      <c r="O10" s="15">
        <f t="shared" ref="O10:O57" si="0">SUM(C10:L10,N10)</f>
        <v>48</v>
      </c>
      <c r="P10" s="15">
        <f t="shared" ref="P10:P57" si="1">SUM(C10:N10)</f>
        <v>64</v>
      </c>
      <c r="R10" s="1" t="s">
        <v>6</v>
      </c>
      <c r="S10" s="17">
        <f t="shared" ref="S10:AF10" si="2">SUM(C10:C13)</f>
        <v>41</v>
      </c>
      <c r="T10" s="17">
        <f t="shared" si="2"/>
        <v>14</v>
      </c>
      <c r="U10" s="17">
        <f t="shared" si="2"/>
        <v>16</v>
      </c>
      <c r="V10" s="17">
        <f t="shared" si="2"/>
        <v>37</v>
      </c>
      <c r="W10" s="17">
        <f t="shared" si="2"/>
        <v>2</v>
      </c>
      <c r="X10" s="17">
        <f t="shared" si="2"/>
        <v>2</v>
      </c>
      <c r="Y10" s="17">
        <f t="shared" si="2"/>
        <v>15</v>
      </c>
      <c r="Z10" s="17">
        <f t="shared" si="2"/>
        <v>3</v>
      </c>
      <c r="AA10" s="17">
        <f t="shared" si="2"/>
        <v>0</v>
      </c>
      <c r="AB10" s="17">
        <f t="shared" si="2"/>
        <v>5</v>
      </c>
      <c r="AC10" s="17">
        <f t="shared" si="2"/>
        <v>31</v>
      </c>
      <c r="AD10" s="17">
        <f t="shared" si="2"/>
        <v>0</v>
      </c>
      <c r="AE10" s="31">
        <f t="shared" si="2"/>
        <v>135</v>
      </c>
      <c r="AF10" s="31">
        <f t="shared" si="2"/>
        <v>166</v>
      </c>
    </row>
    <row r="11" spans="2:32" s="6" customFormat="1" ht="23.1" customHeight="1" x14ac:dyDescent="0.25">
      <c r="B11" s="23" t="s">
        <v>38</v>
      </c>
      <c r="C11" s="50">
        <v>10</v>
      </c>
      <c r="D11" s="50">
        <v>5</v>
      </c>
      <c r="E11" s="50">
        <v>3</v>
      </c>
      <c r="F11" s="50">
        <v>5</v>
      </c>
      <c r="G11" s="50">
        <v>0</v>
      </c>
      <c r="H11" s="50">
        <v>1</v>
      </c>
      <c r="I11" s="50">
        <v>3</v>
      </c>
      <c r="J11" s="50">
        <v>1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28</v>
      </c>
      <c r="P11" s="15">
        <f t="shared" si="1"/>
        <v>34</v>
      </c>
      <c r="R11" s="1" t="s">
        <v>7</v>
      </c>
      <c r="S11" s="17">
        <f t="shared" ref="S11:AF11" si="3">SUM(C14:C17)</f>
        <v>61</v>
      </c>
      <c r="T11" s="17">
        <f t="shared" si="3"/>
        <v>15</v>
      </c>
      <c r="U11" s="17">
        <f t="shared" si="3"/>
        <v>15</v>
      </c>
      <c r="V11" s="17">
        <f t="shared" si="3"/>
        <v>59</v>
      </c>
      <c r="W11" s="17">
        <f t="shared" si="3"/>
        <v>3</v>
      </c>
      <c r="X11" s="17">
        <f t="shared" si="3"/>
        <v>1</v>
      </c>
      <c r="Y11" s="17">
        <f t="shared" si="3"/>
        <v>17</v>
      </c>
      <c r="Z11" s="17">
        <f t="shared" si="3"/>
        <v>8</v>
      </c>
      <c r="AA11" s="17">
        <f t="shared" si="3"/>
        <v>5</v>
      </c>
      <c r="AB11" s="17">
        <f t="shared" si="3"/>
        <v>1</v>
      </c>
      <c r="AC11" s="17">
        <f t="shared" si="3"/>
        <v>54</v>
      </c>
      <c r="AD11" s="17">
        <f t="shared" si="3"/>
        <v>0</v>
      </c>
      <c r="AE11" s="31">
        <f t="shared" si="3"/>
        <v>185</v>
      </c>
      <c r="AF11" s="31">
        <f t="shared" si="3"/>
        <v>239</v>
      </c>
    </row>
    <row r="12" spans="2:32" ht="23.1" customHeight="1" x14ac:dyDescent="0.25">
      <c r="B12" s="23" t="s">
        <v>39</v>
      </c>
      <c r="C12" s="50">
        <v>11</v>
      </c>
      <c r="D12" s="50">
        <v>3</v>
      </c>
      <c r="E12" s="50">
        <v>3</v>
      </c>
      <c r="F12" s="50">
        <v>6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5</v>
      </c>
      <c r="N12" s="50">
        <v>0</v>
      </c>
      <c r="O12" s="15">
        <f t="shared" si="0"/>
        <v>26</v>
      </c>
      <c r="P12" s="15">
        <f t="shared" si="1"/>
        <v>31</v>
      </c>
      <c r="R12" s="1" t="s">
        <v>8</v>
      </c>
      <c r="S12" s="17">
        <f t="shared" ref="S12:AF12" si="4">SUM(C18:C21)</f>
        <v>76</v>
      </c>
      <c r="T12" s="17">
        <f t="shared" si="4"/>
        <v>13</v>
      </c>
      <c r="U12" s="17">
        <f t="shared" si="4"/>
        <v>9</v>
      </c>
      <c r="V12" s="17">
        <f t="shared" si="4"/>
        <v>52</v>
      </c>
      <c r="W12" s="17">
        <f t="shared" si="4"/>
        <v>0</v>
      </c>
      <c r="X12" s="17">
        <f t="shared" si="4"/>
        <v>2</v>
      </c>
      <c r="Y12" s="17">
        <f t="shared" si="4"/>
        <v>23</v>
      </c>
      <c r="Z12" s="17">
        <f t="shared" si="4"/>
        <v>6</v>
      </c>
      <c r="AA12" s="17">
        <f t="shared" si="4"/>
        <v>2</v>
      </c>
      <c r="AB12" s="17">
        <f t="shared" si="4"/>
        <v>1</v>
      </c>
      <c r="AC12" s="17">
        <f t="shared" si="4"/>
        <v>53</v>
      </c>
      <c r="AD12" s="17">
        <f t="shared" si="4"/>
        <v>0</v>
      </c>
      <c r="AE12" s="31">
        <f t="shared" si="4"/>
        <v>184</v>
      </c>
      <c r="AF12" s="31">
        <f t="shared" si="4"/>
        <v>237</v>
      </c>
    </row>
    <row r="13" spans="2:32" ht="23.1" customHeight="1" x14ac:dyDescent="0.25">
      <c r="B13" s="23" t="s">
        <v>40</v>
      </c>
      <c r="C13" s="50">
        <v>11</v>
      </c>
      <c r="D13" s="50">
        <v>3</v>
      </c>
      <c r="E13" s="50">
        <v>1</v>
      </c>
      <c r="F13" s="50">
        <v>13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2</v>
      </c>
      <c r="M13" s="50">
        <v>4</v>
      </c>
      <c r="N13" s="50">
        <v>0</v>
      </c>
      <c r="O13" s="15">
        <f t="shared" si="0"/>
        <v>33</v>
      </c>
      <c r="P13" s="15">
        <f t="shared" si="1"/>
        <v>37</v>
      </c>
      <c r="R13" s="1" t="s">
        <v>9</v>
      </c>
      <c r="S13" s="17">
        <f t="shared" ref="S13:AF13" si="5">SUM(C22:C25)</f>
        <v>76</v>
      </c>
      <c r="T13" s="17">
        <f t="shared" si="5"/>
        <v>15</v>
      </c>
      <c r="U13" s="17">
        <f t="shared" si="5"/>
        <v>21</v>
      </c>
      <c r="V13" s="17">
        <f t="shared" si="5"/>
        <v>58</v>
      </c>
      <c r="W13" s="17">
        <f t="shared" si="5"/>
        <v>3</v>
      </c>
      <c r="X13" s="17">
        <f t="shared" si="5"/>
        <v>1</v>
      </c>
      <c r="Y13" s="17">
        <f t="shared" si="5"/>
        <v>26</v>
      </c>
      <c r="Z13" s="17">
        <f t="shared" si="5"/>
        <v>9</v>
      </c>
      <c r="AA13" s="17">
        <f t="shared" si="5"/>
        <v>11</v>
      </c>
      <c r="AB13" s="17">
        <f t="shared" si="5"/>
        <v>1</v>
      </c>
      <c r="AC13" s="17">
        <f t="shared" si="5"/>
        <v>70</v>
      </c>
      <c r="AD13" s="17">
        <f t="shared" si="5"/>
        <v>1</v>
      </c>
      <c r="AE13" s="31">
        <f t="shared" si="5"/>
        <v>222</v>
      </c>
      <c r="AF13" s="31">
        <f t="shared" si="5"/>
        <v>292</v>
      </c>
    </row>
    <row r="14" spans="2:32" ht="23.1" customHeight="1" x14ac:dyDescent="0.25">
      <c r="B14" s="23" t="s">
        <v>41</v>
      </c>
      <c r="C14" s="50">
        <v>22</v>
      </c>
      <c r="D14" s="50">
        <v>3</v>
      </c>
      <c r="E14" s="50">
        <v>3</v>
      </c>
      <c r="F14" s="50">
        <v>19</v>
      </c>
      <c r="G14" s="50">
        <v>0</v>
      </c>
      <c r="H14" s="50">
        <v>0</v>
      </c>
      <c r="I14" s="50">
        <v>3</v>
      </c>
      <c r="J14" s="50">
        <v>4</v>
      </c>
      <c r="K14" s="50">
        <v>4</v>
      </c>
      <c r="L14" s="50">
        <v>0</v>
      </c>
      <c r="M14" s="50">
        <v>12</v>
      </c>
      <c r="N14" s="50">
        <v>0</v>
      </c>
      <c r="O14" s="15">
        <f t="shared" si="0"/>
        <v>58</v>
      </c>
      <c r="P14" s="15">
        <f t="shared" si="1"/>
        <v>70</v>
      </c>
      <c r="R14" s="1" t="s">
        <v>10</v>
      </c>
      <c r="S14" s="17">
        <f t="shared" ref="S14:AF14" si="6">SUM(C26:C29)</f>
        <v>61</v>
      </c>
      <c r="T14" s="17">
        <f t="shared" si="6"/>
        <v>33</v>
      </c>
      <c r="U14" s="17">
        <f t="shared" si="6"/>
        <v>26</v>
      </c>
      <c r="V14" s="17">
        <f t="shared" si="6"/>
        <v>68</v>
      </c>
      <c r="W14" s="17">
        <f t="shared" si="6"/>
        <v>1</v>
      </c>
      <c r="X14" s="17">
        <f t="shared" si="6"/>
        <v>4</v>
      </c>
      <c r="Y14" s="17">
        <f t="shared" si="6"/>
        <v>34</v>
      </c>
      <c r="Z14" s="17">
        <f t="shared" si="6"/>
        <v>3</v>
      </c>
      <c r="AA14" s="17">
        <f t="shared" si="6"/>
        <v>17</v>
      </c>
      <c r="AB14" s="17">
        <f t="shared" si="6"/>
        <v>2</v>
      </c>
      <c r="AC14" s="17">
        <f t="shared" si="6"/>
        <v>86</v>
      </c>
      <c r="AD14" s="17">
        <f t="shared" si="6"/>
        <v>0</v>
      </c>
      <c r="AE14" s="31">
        <f t="shared" si="6"/>
        <v>249</v>
      </c>
      <c r="AF14" s="31">
        <f t="shared" si="6"/>
        <v>335</v>
      </c>
    </row>
    <row r="15" spans="2:32" ht="23.1" customHeight="1" x14ac:dyDescent="0.25">
      <c r="B15" s="23" t="s">
        <v>42</v>
      </c>
      <c r="C15" s="50">
        <v>12</v>
      </c>
      <c r="D15" s="50">
        <v>2</v>
      </c>
      <c r="E15" s="50">
        <v>4</v>
      </c>
      <c r="F15" s="50">
        <v>14</v>
      </c>
      <c r="G15" s="50">
        <v>0</v>
      </c>
      <c r="H15" s="50">
        <v>0</v>
      </c>
      <c r="I15" s="50">
        <v>3</v>
      </c>
      <c r="J15" s="50">
        <v>2</v>
      </c>
      <c r="K15" s="50">
        <v>0</v>
      </c>
      <c r="L15" s="50">
        <v>1</v>
      </c>
      <c r="M15" s="50">
        <v>13</v>
      </c>
      <c r="N15" s="50">
        <v>0</v>
      </c>
      <c r="O15" s="15">
        <f t="shared" si="0"/>
        <v>38</v>
      </c>
      <c r="P15" s="15">
        <f t="shared" si="1"/>
        <v>51</v>
      </c>
      <c r="R15" s="1" t="s">
        <v>11</v>
      </c>
      <c r="S15" s="17">
        <f t="shared" ref="S15:AF15" si="7">SUM(C30:C33)</f>
        <v>49</v>
      </c>
      <c r="T15" s="17">
        <f t="shared" si="7"/>
        <v>40</v>
      </c>
      <c r="U15" s="17">
        <f t="shared" si="7"/>
        <v>19</v>
      </c>
      <c r="V15" s="17">
        <f t="shared" si="7"/>
        <v>58</v>
      </c>
      <c r="W15" s="17">
        <f t="shared" si="7"/>
        <v>1</v>
      </c>
      <c r="X15" s="17">
        <f t="shared" si="7"/>
        <v>2</v>
      </c>
      <c r="Y15" s="17">
        <f t="shared" si="7"/>
        <v>28</v>
      </c>
      <c r="Z15" s="17">
        <f t="shared" si="7"/>
        <v>4</v>
      </c>
      <c r="AA15" s="17">
        <f t="shared" si="7"/>
        <v>21</v>
      </c>
      <c r="AB15" s="17">
        <f t="shared" si="7"/>
        <v>9</v>
      </c>
      <c r="AC15" s="17">
        <f t="shared" si="7"/>
        <v>69</v>
      </c>
      <c r="AD15" s="17">
        <f t="shared" si="7"/>
        <v>0</v>
      </c>
      <c r="AE15" s="31">
        <f t="shared" si="7"/>
        <v>231</v>
      </c>
      <c r="AF15" s="31">
        <f t="shared" si="7"/>
        <v>300</v>
      </c>
    </row>
    <row r="16" spans="2:32" ht="23.1" customHeight="1" x14ac:dyDescent="0.25">
      <c r="B16" s="23" t="s">
        <v>43</v>
      </c>
      <c r="C16" s="50">
        <v>12</v>
      </c>
      <c r="D16" s="50">
        <v>3</v>
      </c>
      <c r="E16" s="50">
        <v>7</v>
      </c>
      <c r="F16" s="50">
        <v>17</v>
      </c>
      <c r="G16" s="50">
        <v>1</v>
      </c>
      <c r="H16" s="50">
        <v>1</v>
      </c>
      <c r="I16" s="50">
        <v>7</v>
      </c>
      <c r="J16" s="50">
        <v>0</v>
      </c>
      <c r="K16" s="50">
        <v>0</v>
      </c>
      <c r="L16" s="50">
        <v>0</v>
      </c>
      <c r="M16" s="50">
        <v>16</v>
      </c>
      <c r="N16" s="50">
        <v>0</v>
      </c>
      <c r="O16" s="15">
        <f t="shared" si="0"/>
        <v>48</v>
      </c>
      <c r="P16" s="15">
        <f t="shared" si="1"/>
        <v>64</v>
      </c>
      <c r="R16" s="1" t="s">
        <v>12</v>
      </c>
      <c r="S16" s="17">
        <f t="shared" ref="S16:AF16" si="8">SUM(C34:C37)</f>
        <v>54</v>
      </c>
      <c r="T16" s="17">
        <f t="shared" si="8"/>
        <v>25</v>
      </c>
      <c r="U16" s="17">
        <f t="shared" si="8"/>
        <v>25</v>
      </c>
      <c r="V16" s="17">
        <f t="shared" si="8"/>
        <v>68</v>
      </c>
      <c r="W16" s="17">
        <f t="shared" si="8"/>
        <v>2</v>
      </c>
      <c r="X16" s="17">
        <f t="shared" si="8"/>
        <v>0</v>
      </c>
      <c r="Y16" s="17">
        <f t="shared" si="8"/>
        <v>17</v>
      </c>
      <c r="Z16" s="17">
        <f t="shared" si="8"/>
        <v>3</v>
      </c>
      <c r="AA16" s="17">
        <f t="shared" si="8"/>
        <v>20</v>
      </c>
      <c r="AB16" s="17">
        <f t="shared" si="8"/>
        <v>3</v>
      </c>
      <c r="AC16" s="17">
        <f t="shared" si="8"/>
        <v>73</v>
      </c>
      <c r="AD16" s="17">
        <f t="shared" si="8"/>
        <v>2</v>
      </c>
      <c r="AE16" s="31">
        <f t="shared" si="8"/>
        <v>219</v>
      </c>
      <c r="AF16" s="31">
        <f t="shared" si="8"/>
        <v>292</v>
      </c>
    </row>
    <row r="17" spans="2:32" ht="23.1" customHeight="1" x14ac:dyDescent="0.25">
      <c r="B17" s="23" t="s">
        <v>44</v>
      </c>
      <c r="C17" s="50">
        <v>15</v>
      </c>
      <c r="D17" s="50">
        <v>7</v>
      </c>
      <c r="E17" s="50">
        <v>1</v>
      </c>
      <c r="F17" s="50">
        <v>9</v>
      </c>
      <c r="G17" s="50">
        <v>2</v>
      </c>
      <c r="H17" s="50">
        <v>0</v>
      </c>
      <c r="I17" s="50">
        <v>4</v>
      </c>
      <c r="J17" s="50">
        <v>2</v>
      </c>
      <c r="K17" s="50">
        <v>1</v>
      </c>
      <c r="L17" s="50">
        <v>0</v>
      </c>
      <c r="M17" s="50">
        <v>13</v>
      </c>
      <c r="N17" s="50">
        <v>0</v>
      </c>
      <c r="O17" s="15">
        <f t="shared" si="0"/>
        <v>41</v>
      </c>
      <c r="P17" s="15">
        <f t="shared" si="1"/>
        <v>54</v>
      </c>
      <c r="R17" s="1" t="s">
        <v>13</v>
      </c>
      <c r="S17" s="17">
        <f t="shared" ref="S17:AF17" si="9">SUM(C38:C41)</f>
        <v>43</v>
      </c>
      <c r="T17" s="17">
        <f t="shared" si="9"/>
        <v>21</v>
      </c>
      <c r="U17" s="17">
        <f t="shared" si="9"/>
        <v>18</v>
      </c>
      <c r="V17" s="17">
        <f t="shared" si="9"/>
        <v>60</v>
      </c>
      <c r="W17" s="17">
        <f t="shared" si="9"/>
        <v>2</v>
      </c>
      <c r="X17" s="17">
        <f t="shared" si="9"/>
        <v>3</v>
      </c>
      <c r="Y17" s="17">
        <f t="shared" si="9"/>
        <v>38</v>
      </c>
      <c r="Z17" s="17">
        <f t="shared" si="9"/>
        <v>6</v>
      </c>
      <c r="AA17" s="17">
        <f t="shared" si="9"/>
        <v>24</v>
      </c>
      <c r="AB17" s="17">
        <f t="shared" si="9"/>
        <v>10</v>
      </c>
      <c r="AC17" s="17">
        <f t="shared" si="9"/>
        <v>71</v>
      </c>
      <c r="AD17" s="17">
        <f t="shared" si="9"/>
        <v>0</v>
      </c>
      <c r="AE17" s="31">
        <f t="shared" si="9"/>
        <v>225</v>
      </c>
      <c r="AF17" s="31">
        <f t="shared" si="9"/>
        <v>296</v>
      </c>
    </row>
    <row r="18" spans="2:32" ht="23.1" customHeight="1" x14ac:dyDescent="0.25">
      <c r="B18" s="23" t="s">
        <v>45</v>
      </c>
      <c r="C18" s="50">
        <v>28</v>
      </c>
      <c r="D18" s="50">
        <v>3</v>
      </c>
      <c r="E18" s="50">
        <v>2</v>
      </c>
      <c r="F18" s="50">
        <v>15</v>
      </c>
      <c r="G18" s="50">
        <v>0</v>
      </c>
      <c r="H18" s="50">
        <v>1</v>
      </c>
      <c r="I18" s="50">
        <v>12</v>
      </c>
      <c r="J18" s="50">
        <v>0</v>
      </c>
      <c r="K18" s="50">
        <v>1</v>
      </c>
      <c r="L18" s="50">
        <v>1</v>
      </c>
      <c r="M18" s="50">
        <v>13</v>
      </c>
      <c r="N18" s="50">
        <v>0</v>
      </c>
      <c r="O18" s="15">
        <f t="shared" si="0"/>
        <v>63</v>
      </c>
      <c r="P18" s="15">
        <f t="shared" si="1"/>
        <v>76</v>
      </c>
      <c r="R18" s="1" t="s">
        <v>14</v>
      </c>
      <c r="S18" s="17">
        <f t="shared" ref="S18:AF18" si="10">SUM(C42:C45)</f>
        <v>39</v>
      </c>
      <c r="T18" s="17">
        <f t="shared" si="10"/>
        <v>22</v>
      </c>
      <c r="U18" s="17">
        <f t="shared" si="10"/>
        <v>11</v>
      </c>
      <c r="V18" s="17">
        <f t="shared" si="10"/>
        <v>69</v>
      </c>
      <c r="W18" s="17">
        <f t="shared" si="10"/>
        <v>2</v>
      </c>
      <c r="X18" s="17">
        <f t="shared" si="10"/>
        <v>1</v>
      </c>
      <c r="Y18" s="17">
        <f t="shared" si="10"/>
        <v>33</v>
      </c>
      <c r="Z18" s="17">
        <f t="shared" si="10"/>
        <v>3</v>
      </c>
      <c r="AA18" s="17">
        <f t="shared" si="10"/>
        <v>18</v>
      </c>
      <c r="AB18" s="17">
        <f t="shared" si="10"/>
        <v>5</v>
      </c>
      <c r="AC18" s="17">
        <f t="shared" si="10"/>
        <v>74</v>
      </c>
      <c r="AD18" s="17">
        <f t="shared" si="10"/>
        <v>1</v>
      </c>
      <c r="AE18" s="31">
        <f t="shared" si="10"/>
        <v>204</v>
      </c>
      <c r="AF18" s="31">
        <f t="shared" si="10"/>
        <v>278</v>
      </c>
    </row>
    <row r="19" spans="2:32" ht="23.1" customHeight="1" x14ac:dyDescent="0.25">
      <c r="B19" s="23" t="s">
        <v>46</v>
      </c>
      <c r="C19" s="50">
        <v>23</v>
      </c>
      <c r="D19" s="50">
        <v>2</v>
      </c>
      <c r="E19" s="50">
        <v>1</v>
      </c>
      <c r="F19" s="50">
        <v>18</v>
      </c>
      <c r="G19" s="50">
        <v>0</v>
      </c>
      <c r="H19" s="50">
        <v>0</v>
      </c>
      <c r="I19" s="50">
        <v>4</v>
      </c>
      <c r="J19" s="50">
        <v>5</v>
      </c>
      <c r="K19" s="50">
        <v>1</v>
      </c>
      <c r="L19" s="50">
        <v>0</v>
      </c>
      <c r="M19" s="50">
        <v>13</v>
      </c>
      <c r="N19" s="50">
        <v>0</v>
      </c>
      <c r="O19" s="15">
        <f t="shared" si="0"/>
        <v>54</v>
      </c>
      <c r="P19" s="15">
        <f t="shared" si="1"/>
        <v>67</v>
      </c>
      <c r="R19" s="1" t="s">
        <v>15</v>
      </c>
      <c r="S19" s="17">
        <f t="shared" ref="S19:AF19" si="11">SUM(C46:C49)</f>
        <v>54</v>
      </c>
      <c r="T19" s="17">
        <f t="shared" si="11"/>
        <v>18</v>
      </c>
      <c r="U19" s="17">
        <f t="shared" si="11"/>
        <v>22</v>
      </c>
      <c r="V19" s="17">
        <f t="shared" si="11"/>
        <v>65</v>
      </c>
      <c r="W19" s="17">
        <f t="shared" si="11"/>
        <v>0</v>
      </c>
      <c r="X19" s="17">
        <f t="shared" si="11"/>
        <v>3</v>
      </c>
      <c r="Y19" s="17">
        <f t="shared" si="11"/>
        <v>32</v>
      </c>
      <c r="Z19" s="17">
        <f t="shared" si="11"/>
        <v>4</v>
      </c>
      <c r="AA19" s="17">
        <f t="shared" si="11"/>
        <v>9</v>
      </c>
      <c r="AB19" s="17">
        <f t="shared" si="11"/>
        <v>3</v>
      </c>
      <c r="AC19" s="17">
        <f t="shared" si="11"/>
        <v>56</v>
      </c>
      <c r="AD19" s="17">
        <f t="shared" si="11"/>
        <v>0</v>
      </c>
      <c r="AE19" s="31">
        <f t="shared" si="11"/>
        <v>210</v>
      </c>
      <c r="AF19" s="31">
        <f t="shared" si="11"/>
        <v>266</v>
      </c>
    </row>
    <row r="20" spans="2:32" ht="23.1" customHeight="1" x14ac:dyDescent="0.25">
      <c r="B20" s="23" t="s">
        <v>47</v>
      </c>
      <c r="C20" s="50">
        <v>9</v>
      </c>
      <c r="D20" s="50">
        <v>1</v>
      </c>
      <c r="E20" s="50">
        <v>1</v>
      </c>
      <c r="F20" s="50">
        <v>11</v>
      </c>
      <c r="G20" s="50">
        <v>0</v>
      </c>
      <c r="H20" s="50">
        <v>0</v>
      </c>
      <c r="I20" s="50">
        <v>4</v>
      </c>
      <c r="J20" s="50">
        <v>1</v>
      </c>
      <c r="K20" s="50">
        <v>0</v>
      </c>
      <c r="L20" s="50">
        <v>0</v>
      </c>
      <c r="M20" s="50">
        <v>6</v>
      </c>
      <c r="N20" s="50">
        <v>0</v>
      </c>
      <c r="O20" s="15">
        <f t="shared" si="0"/>
        <v>27</v>
      </c>
      <c r="P20" s="15">
        <f t="shared" si="1"/>
        <v>33</v>
      </c>
      <c r="R20" s="1" t="s">
        <v>16</v>
      </c>
      <c r="S20" s="17">
        <f t="shared" ref="S20:AF20" si="12">SUM(C50:C53)</f>
        <v>35</v>
      </c>
      <c r="T20" s="17">
        <f t="shared" si="12"/>
        <v>26</v>
      </c>
      <c r="U20" s="17">
        <f t="shared" si="12"/>
        <v>10</v>
      </c>
      <c r="V20" s="17">
        <f t="shared" si="12"/>
        <v>55</v>
      </c>
      <c r="W20" s="17">
        <f t="shared" si="12"/>
        <v>5</v>
      </c>
      <c r="X20" s="17">
        <f t="shared" si="12"/>
        <v>1</v>
      </c>
      <c r="Y20" s="17">
        <f t="shared" si="12"/>
        <v>50</v>
      </c>
      <c r="Z20" s="17">
        <f t="shared" si="12"/>
        <v>3</v>
      </c>
      <c r="AA20" s="17">
        <f t="shared" si="12"/>
        <v>2</v>
      </c>
      <c r="AB20" s="17">
        <f t="shared" si="12"/>
        <v>3</v>
      </c>
      <c r="AC20" s="17">
        <f t="shared" si="12"/>
        <v>72</v>
      </c>
      <c r="AD20" s="17">
        <f t="shared" si="12"/>
        <v>3</v>
      </c>
      <c r="AE20" s="31">
        <f t="shared" si="12"/>
        <v>193</v>
      </c>
      <c r="AF20" s="31">
        <f t="shared" si="12"/>
        <v>265</v>
      </c>
    </row>
    <row r="21" spans="2:32" ht="23.1" customHeight="1" x14ac:dyDescent="0.25">
      <c r="B21" s="23" t="s">
        <v>48</v>
      </c>
      <c r="C21" s="50">
        <v>16</v>
      </c>
      <c r="D21" s="50">
        <v>7</v>
      </c>
      <c r="E21" s="50">
        <v>5</v>
      </c>
      <c r="F21" s="50">
        <v>8</v>
      </c>
      <c r="G21" s="50">
        <v>0</v>
      </c>
      <c r="H21" s="50">
        <v>1</v>
      </c>
      <c r="I21" s="50">
        <v>3</v>
      </c>
      <c r="J21" s="50">
        <v>0</v>
      </c>
      <c r="K21" s="50">
        <v>0</v>
      </c>
      <c r="L21" s="50">
        <v>0</v>
      </c>
      <c r="M21" s="50">
        <v>21</v>
      </c>
      <c r="N21" s="50">
        <v>0</v>
      </c>
      <c r="O21" s="15">
        <f t="shared" si="0"/>
        <v>40</v>
      </c>
      <c r="P21" s="15">
        <f t="shared" si="1"/>
        <v>61</v>
      </c>
      <c r="R21" s="36" t="s">
        <v>20</v>
      </c>
      <c r="S21" s="34">
        <f t="shared" ref="S21:AF21" si="13">SUM(C54:C57)</f>
        <v>33</v>
      </c>
      <c r="T21" s="17">
        <f t="shared" si="13"/>
        <v>32</v>
      </c>
      <c r="U21" s="17">
        <f t="shared" si="13"/>
        <v>5</v>
      </c>
      <c r="V21" s="17">
        <f t="shared" si="13"/>
        <v>44</v>
      </c>
      <c r="W21" s="17">
        <f t="shared" si="13"/>
        <v>2</v>
      </c>
      <c r="X21" s="17">
        <f t="shared" si="13"/>
        <v>2</v>
      </c>
      <c r="Y21" s="17">
        <f t="shared" si="13"/>
        <v>51</v>
      </c>
      <c r="Z21" s="17">
        <f t="shared" si="13"/>
        <v>4</v>
      </c>
      <c r="AA21" s="17">
        <f t="shared" si="13"/>
        <v>1</v>
      </c>
      <c r="AB21" s="17">
        <f t="shared" si="13"/>
        <v>4</v>
      </c>
      <c r="AC21" s="17">
        <f t="shared" si="13"/>
        <v>56</v>
      </c>
      <c r="AD21" s="17">
        <f t="shared" si="13"/>
        <v>0</v>
      </c>
      <c r="AE21" s="31">
        <f t="shared" si="13"/>
        <v>178</v>
      </c>
      <c r="AF21" s="31">
        <f t="shared" si="13"/>
        <v>234</v>
      </c>
    </row>
    <row r="22" spans="2:32" ht="23.1" customHeight="1" x14ac:dyDescent="0.25">
      <c r="B22" s="23" t="s">
        <v>49</v>
      </c>
      <c r="C22" s="50">
        <v>13</v>
      </c>
      <c r="D22" s="50">
        <v>3</v>
      </c>
      <c r="E22" s="50">
        <v>3</v>
      </c>
      <c r="F22" s="50">
        <v>15</v>
      </c>
      <c r="G22" s="50">
        <v>0</v>
      </c>
      <c r="H22" s="50">
        <v>0</v>
      </c>
      <c r="I22" s="50">
        <v>6</v>
      </c>
      <c r="J22" s="50">
        <v>2</v>
      </c>
      <c r="K22" s="50">
        <v>2</v>
      </c>
      <c r="L22" s="50">
        <v>1</v>
      </c>
      <c r="M22" s="50">
        <v>20</v>
      </c>
      <c r="N22" s="50">
        <v>0</v>
      </c>
      <c r="O22" s="15">
        <f t="shared" si="0"/>
        <v>45</v>
      </c>
      <c r="P22" s="15">
        <f t="shared" si="1"/>
        <v>65</v>
      </c>
      <c r="R22" s="38" t="s">
        <v>90</v>
      </c>
      <c r="S22" s="39">
        <f>MAX(S10:S12)</f>
        <v>76</v>
      </c>
      <c r="T22" s="39">
        <f t="shared" ref="T22:AF22" si="14">MAX(T10:T12)</f>
        <v>15</v>
      </c>
      <c r="U22" s="39">
        <f t="shared" si="14"/>
        <v>16</v>
      </c>
      <c r="V22" s="39">
        <f t="shared" si="14"/>
        <v>59</v>
      </c>
      <c r="W22" s="39">
        <f t="shared" si="14"/>
        <v>3</v>
      </c>
      <c r="X22" s="39">
        <f t="shared" si="14"/>
        <v>2</v>
      </c>
      <c r="Y22" s="39">
        <f t="shared" si="14"/>
        <v>23</v>
      </c>
      <c r="Z22" s="39">
        <f t="shared" si="14"/>
        <v>8</v>
      </c>
      <c r="AA22" s="39">
        <f t="shared" si="14"/>
        <v>5</v>
      </c>
      <c r="AB22" s="39">
        <f t="shared" si="14"/>
        <v>5</v>
      </c>
      <c r="AC22" s="39">
        <f t="shared" si="14"/>
        <v>54</v>
      </c>
      <c r="AD22" s="39">
        <f t="shared" si="14"/>
        <v>0</v>
      </c>
      <c r="AE22" s="40">
        <f t="shared" si="14"/>
        <v>185</v>
      </c>
      <c r="AF22" s="40">
        <f t="shared" si="14"/>
        <v>239</v>
      </c>
    </row>
    <row r="23" spans="2:32" ht="23.1" customHeight="1" x14ac:dyDescent="0.25">
      <c r="B23" s="23" t="s">
        <v>50</v>
      </c>
      <c r="C23" s="50">
        <v>24</v>
      </c>
      <c r="D23" s="50">
        <v>0</v>
      </c>
      <c r="E23" s="50">
        <v>3</v>
      </c>
      <c r="F23" s="50">
        <v>12</v>
      </c>
      <c r="G23" s="50">
        <v>0</v>
      </c>
      <c r="H23" s="50">
        <v>1</v>
      </c>
      <c r="I23" s="50">
        <v>7</v>
      </c>
      <c r="J23" s="50">
        <v>3</v>
      </c>
      <c r="K23" s="50">
        <v>3</v>
      </c>
      <c r="L23" s="50">
        <v>0</v>
      </c>
      <c r="M23" s="50">
        <v>22</v>
      </c>
      <c r="N23" s="50">
        <v>0</v>
      </c>
      <c r="O23" s="15">
        <f t="shared" si="0"/>
        <v>53</v>
      </c>
      <c r="P23" s="15">
        <f t="shared" si="1"/>
        <v>75</v>
      </c>
      <c r="R23" s="38" t="s">
        <v>91</v>
      </c>
      <c r="S23" s="39">
        <f>MAX(S13:S18)</f>
        <v>76</v>
      </c>
      <c r="T23" s="39">
        <f t="shared" ref="T23:AF23" si="15">MAX(T13:T18)</f>
        <v>40</v>
      </c>
      <c r="U23" s="39">
        <f t="shared" si="15"/>
        <v>26</v>
      </c>
      <c r="V23" s="39">
        <f t="shared" si="15"/>
        <v>69</v>
      </c>
      <c r="W23" s="39">
        <f t="shared" si="15"/>
        <v>3</v>
      </c>
      <c r="X23" s="39">
        <f t="shared" si="15"/>
        <v>4</v>
      </c>
      <c r="Y23" s="39">
        <f t="shared" si="15"/>
        <v>38</v>
      </c>
      <c r="Z23" s="39">
        <f t="shared" si="15"/>
        <v>9</v>
      </c>
      <c r="AA23" s="39">
        <f t="shared" si="15"/>
        <v>24</v>
      </c>
      <c r="AB23" s="39">
        <f t="shared" si="15"/>
        <v>10</v>
      </c>
      <c r="AC23" s="39">
        <f t="shared" si="15"/>
        <v>86</v>
      </c>
      <c r="AD23" s="39">
        <f t="shared" si="15"/>
        <v>2</v>
      </c>
      <c r="AE23" s="40">
        <f t="shared" si="15"/>
        <v>249</v>
      </c>
      <c r="AF23" s="40">
        <f t="shared" si="15"/>
        <v>335</v>
      </c>
    </row>
    <row r="24" spans="2:32" ht="23.1" customHeight="1" x14ac:dyDescent="0.25">
      <c r="B24" s="23" t="s">
        <v>51</v>
      </c>
      <c r="C24" s="50">
        <v>22</v>
      </c>
      <c r="D24" s="50">
        <v>5</v>
      </c>
      <c r="E24" s="50">
        <v>11</v>
      </c>
      <c r="F24" s="50">
        <v>17</v>
      </c>
      <c r="G24" s="50">
        <v>2</v>
      </c>
      <c r="H24" s="50">
        <v>0</v>
      </c>
      <c r="I24" s="50">
        <v>7</v>
      </c>
      <c r="J24" s="50">
        <v>2</v>
      </c>
      <c r="K24" s="50">
        <v>3</v>
      </c>
      <c r="L24" s="50">
        <v>0</v>
      </c>
      <c r="M24" s="50">
        <v>16</v>
      </c>
      <c r="N24" s="50">
        <v>1</v>
      </c>
      <c r="O24" s="15">
        <f t="shared" si="0"/>
        <v>70</v>
      </c>
      <c r="P24" s="15">
        <f t="shared" si="1"/>
        <v>86</v>
      </c>
      <c r="R24" s="38" t="s">
        <v>92</v>
      </c>
      <c r="S24" s="39">
        <f>MAX(S19:S21)</f>
        <v>54</v>
      </c>
      <c r="T24" s="39">
        <f t="shared" ref="T24:AF24" si="16">MAX(T19:T21)</f>
        <v>32</v>
      </c>
      <c r="U24" s="39">
        <f t="shared" si="16"/>
        <v>22</v>
      </c>
      <c r="V24" s="39">
        <f t="shared" si="16"/>
        <v>65</v>
      </c>
      <c r="W24" s="39">
        <f t="shared" si="16"/>
        <v>5</v>
      </c>
      <c r="X24" s="39">
        <f t="shared" si="16"/>
        <v>3</v>
      </c>
      <c r="Y24" s="39">
        <f t="shared" si="16"/>
        <v>51</v>
      </c>
      <c r="Z24" s="39">
        <f t="shared" si="16"/>
        <v>4</v>
      </c>
      <c r="AA24" s="39">
        <f t="shared" si="16"/>
        <v>9</v>
      </c>
      <c r="AB24" s="39">
        <f t="shared" si="16"/>
        <v>4</v>
      </c>
      <c r="AC24" s="39">
        <f t="shared" si="16"/>
        <v>72</v>
      </c>
      <c r="AD24" s="39">
        <f t="shared" si="16"/>
        <v>3</v>
      </c>
      <c r="AE24" s="40">
        <f t="shared" si="16"/>
        <v>210</v>
      </c>
      <c r="AF24" s="40">
        <f t="shared" si="16"/>
        <v>266</v>
      </c>
    </row>
    <row r="25" spans="2:32" ht="23.1" customHeight="1" x14ac:dyDescent="0.25">
      <c r="B25" s="23" t="s">
        <v>52</v>
      </c>
      <c r="C25" s="50">
        <v>17</v>
      </c>
      <c r="D25" s="50">
        <v>7</v>
      </c>
      <c r="E25" s="50">
        <v>4</v>
      </c>
      <c r="F25" s="50">
        <v>14</v>
      </c>
      <c r="G25" s="50">
        <v>1</v>
      </c>
      <c r="H25" s="50">
        <v>0</v>
      </c>
      <c r="I25" s="50">
        <v>6</v>
      </c>
      <c r="J25" s="50">
        <v>2</v>
      </c>
      <c r="K25" s="50">
        <v>3</v>
      </c>
      <c r="L25" s="50">
        <v>0</v>
      </c>
      <c r="M25" s="50">
        <v>12</v>
      </c>
      <c r="N25" s="50">
        <v>0</v>
      </c>
      <c r="O25" s="15">
        <f t="shared" si="0"/>
        <v>54</v>
      </c>
      <c r="P25" s="15">
        <f t="shared" si="1"/>
        <v>66</v>
      </c>
      <c r="R25" s="37" t="s">
        <v>85</v>
      </c>
      <c r="S25" s="35">
        <f t="shared" ref="S25:AF25" si="17">SUM(S10:S12)</f>
        <v>178</v>
      </c>
      <c r="T25" s="16">
        <f t="shared" si="17"/>
        <v>42</v>
      </c>
      <c r="U25" s="16">
        <f t="shared" si="17"/>
        <v>40</v>
      </c>
      <c r="V25" s="16">
        <f t="shared" si="17"/>
        <v>148</v>
      </c>
      <c r="W25" s="16">
        <f t="shared" si="17"/>
        <v>5</v>
      </c>
      <c r="X25" s="16">
        <f t="shared" si="17"/>
        <v>5</v>
      </c>
      <c r="Y25" s="16">
        <f t="shared" si="17"/>
        <v>55</v>
      </c>
      <c r="Z25" s="16">
        <f t="shared" si="17"/>
        <v>17</v>
      </c>
      <c r="AA25" s="16">
        <f t="shared" si="17"/>
        <v>7</v>
      </c>
      <c r="AB25" s="16">
        <f t="shared" si="17"/>
        <v>7</v>
      </c>
      <c r="AC25" s="16">
        <f t="shared" si="17"/>
        <v>138</v>
      </c>
      <c r="AD25" s="16">
        <f t="shared" si="17"/>
        <v>0</v>
      </c>
      <c r="AE25" s="32">
        <f t="shared" si="17"/>
        <v>504</v>
      </c>
      <c r="AF25" s="32">
        <f t="shared" si="17"/>
        <v>642</v>
      </c>
    </row>
    <row r="26" spans="2:32" ht="23.1" customHeight="1" x14ac:dyDescent="0.25">
      <c r="B26" s="23" t="s">
        <v>53</v>
      </c>
      <c r="C26" s="50">
        <v>17</v>
      </c>
      <c r="D26" s="50">
        <v>10</v>
      </c>
      <c r="E26" s="50">
        <v>8</v>
      </c>
      <c r="F26" s="50">
        <v>18</v>
      </c>
      <c r="G26" s="50">
        <v>0</v>
      </c>
      <c r="H26" s="50">
        <v>1</v>
      </c>
      <c r="I26" s="50">
        <v>13</v>
      </c>
      <c r="J26" s="50">
        <v>2</v>
      </c>
      <c r="K26" s="50">
        <v>5</v>
      </c>
      <c r="L26" s="50">
        <v>1</v>
      </c>
      <c r="M26" s="50">
        <v>25</v>
      </c>
      <c r="N26" s="50">
        <v>0</v>
      </c>
      <c r="O26" s="15">
        <f t="shared" si="0"/>
        <v>75</v>
      </c>
      <c r="P26" s="15">
        <f t="shared" si="1"/>
        <v>100</v>
      </c>
      <c r="R26" s="28" t="s">
        <v>86</v>
      </c>
      <c r="S26" s="16">
        <f t="shared" ref="S26:AF26" si="18">SUM(S13:S18)</f>
        <v>322</v>
      </c>
      <c r="T26" s="16">
        <f t="shared" si="18"/>
        <v>156</v>
      </c>
      <c r="U26" s="16">
        <f t="shared" si="18"/>
        <v>120</v>
      </c>
      <c r="V26" s="16">
        <f t="shared" si="18"/>
        <v>381</v>
      </c>
      <c r="W26" s="16">
        <f t="shared" si="18"/>
        <v>11</v>
      </c>
      <c r="X26" s="16">
        <f t="shared" si="18"/>
        <v>11</v>
      </c>
      <c r="Y26" s="16">
        <f t="shared" si="18"/>
        <v>176</v>
      </c>
      <c r="Z26" s="16">
        <f t="shared" si="18"/>
        <v>28</v>
      </c>
      <c r="AA26" s="16">
        <f t="shared" si="18"/>
        <v>111</v>
      </c>
      <c r="AB26" s="16">
        <f t="shared" si="18"/>
        <v>30</v>
      </c>
      <c r="AC26" s="16">
        <f t="shared" si="18"/>
        <v>443</v>
      </c>
      <c r="AD26" s="16">
        <f t="shared" si="18"/>
        <v>4</v>
      </c>
      <c r="AE26" s="32">
        <f t="shared" si="18"/>
        <v>1350</v>
      </c>
      <c r="AF26" s="32">
        <f t="shared" si="18"/>
        <v>1793</v>
      </c>
    </row>
    <row r="27" spans="2:32" ht="23.1" customHeight="1" x14ac:dyDescent="0.25">
      <c r="B27" s="23" t="s">
        <v>54</v>
      </c>
      <c r="C27" s="50">
        <v>14</v>
      </c>
      <c r="D27" s="50">
        <v>5</v>
      </c>
      <c r="E27" s="50">
        <v>5</v>
      </c>
      <c r="F27" s="50">
        <v>18</v>
      </c>
      <c r="G27" s="50">
        <v>1</v>
      </c>
      <c r="H27" s="50">
        <v>0</v>
      </c>
      <c r="I27" s="50">
        <v>4</v>
      </c>
      <c r="J27" s="50">
        <v>0</v>
      </c>
      <c r="K27" s="50">
        <v>3</v>
      </c>
      <c r="L27" s="50">
        <v>1</v>
      </c>
      <c r="M27" s="50">
        <v>20</v>
      </c>
      <c r="N27" s="50">
        <v>0</v>
      </c>
      <c r="O27" s="15">
        <f t="shared" si="0"/>
        <v>51</v>
      </c>
      <c r="P27" s="15">
        <f t="shared" si="1"/>
        <v>71</v>
      </c>
      <c r="R27" s="29" t="s">
        <v>87</v>
      </c>
      <c r="S27" s="16">
        <f t="shared" ref="S27:AF27" si="19">SUM(S19:S21)</f>
        <v>122</v>
      </c>
      <c r="T27" s="16">
        <f t="shared" si="19"/>
        <v>76</v>
      </c>
      <c r="U27" s="16">
        <f t="shared" si="19"/>
        <v>37</v>
      </c>
      <c r="V27" s="16">
        <f t="shared" si="19"/>
        <v>164</v>
      </c>
      <c r="W27" s="16">
        <f t="shared" si="19"/>
        <v>7</v>
      </c>
      <c r="X27" s="16">
        <f t="shared" si="19"/>
        <v>6</v>
      </c>
      <c r="Y27" s="16">
        <f t="shared" si="19"/>
        <v>133</v>
      </c>
      <c r="Z27" s="16">
        <f t="shared" si="19"/>
        <v>11</v>
      </c>
      <c r="AA27" s="16">
        <f t="shared" si="19"/>
        <v>12</v>
      </c>
      <c r="AB27" s="16">
        <f t="shared" si="19"/>
        <v>10</v>
      </c>
      <c r="AC27" s="16">
        <f t="shared" si="19"/>
        <v>184</v>
      </c>
      <c r="AD27" s="16">
        <f t="shared" si="19"/>
        <v>3</v>
      </c>
      <c r="AE27" s="32">
        <f t="shared" si="19"/>
        <v>581</v>
      </c>
      <c r="AF27" s="32">
        <f t="shared" si="19"/>
        <v>765</v>
      </c>
    </row>
    <row r="28" spans="2:32" ht="23.1" customHeight="1" x14ac:dyDescent="0.25">
      <c r="B28" s="23" t="s">
        <v>55</v>
      </c>
      <c r="C28" s="50">
        <v>15</v>
      </c>
      <c r="D28" s="50">
        <v>4</v>
      </c>
      <c r="E28" s="50">
        <v>2</v>
      </c>
      <c r="F28" s="50">
        <v>14</v>
      </c>
      <c r="G28" s="50">
        <v>0</v>
      </c>
      <c r="H28" s="50">
        <v>1</v>
      </c>
      <c r="I28" s="50">
        <v>8</v>
      </c>
      <c r="J28" s="50">
        <v>1</v>
      </c>
      <c r="K28" s="50">
        <v>1</v>
      </c>
      <c r="L28" s="50">
        <v>0</v>
      </c>
      <c r="M28" s="50">
        <v>21</v>
      </c>
      <c r="N28" s="50">
        <v>0</v>
      </c>
      <c r="O28" s="15">
        <f t="shared" si="0"/>
        <v>46</v>
      </c>
      <c r="P28" s="15">
        <f t="shared" si="1"/>
        <v>67</v>
      </c>
      <c r="R28" s="5" t="s">
        <v>17</v>
      </c>
      <c r="S28" s="16">
        <f t="shared" ref="S28:AF28" si="20">SUM(S10:S21)</f>
        <v>622</v>
      </c>
      <c r="T28" s="16">
        <f t="shared" si="20"/>
        <v>274</v>
      </c>
      <c r="U28" s="16">
        <f t="shared" si="20"/>
        <v>197</v>
      </c>
      <c r="V28" s="16">
        <f t="shared" si="20"/>
        <v>693</v>
      </c>
      <c r="W28" s="16">
        <f t="shared" si="20"/>
        <v>23</v>
      </c>
      <c r="X28" s="16">
        <f t="shared" si="20"/>
        <v>22</v>
      </c>
      <c r="Y28" s="16">
        <f t="shared" si="20"/>
        <v>364</v>
      </c>
      <c r="Z28" s="16">
        <f t="shared" si="20"/>
        <v>56</v>
      </c>
      <c r="AA28" s="16">
        <f t="shared" si="20"/>
        <v>130</v>
      </c>
      <c r="AB28" s="16">
        <f t="shared" si="20"/>
        <v>47</v>
      </c>
      <c r="AC28" s="16">
        <f t="shared" si="20"/>
        <v>765</v>
      </c>
      <c r="AD28" s="16">
        <f t="shared" si="20"/>
        <v>7</v>
      </c>
      <c r="AE28" s="32">
        <f t="shared" si="20"/>
        <v>2435</v>
      </c>
      <c r="AF28" s="32">
        <f t="shared" si="20"/>
        <v>3200</v>
      </c>
    </row>
    <row r="29" spans="2:32" ht="23.1" customHeight="1" x14ac:dyDescent="0.25">
      <c r="B29" s="23" t="s">
        <v>56</v>
      </c>
      <c r="C29" s="50">
        <v>15</v>
      </c>
      <c r="D29" s="50">
        <v>14</v>
      </c>
      <c r="E29" s="50">
        <v>11</v>
      </c>
      <c r="F29" s="50">
        <v>18</v>
      </c>
      <c r="G29" s="50">
        <v>0</v>
      </c>
      <c r="H29" s="50">
        <v>2</v>
      </c>
      <c r="I29" s="50">
        <v>9</v>
      </c>
      <c r="J29" s="50">
        <v>0</v>
      </c>
      <c r="K29" s="50">
        <v>8</v>
      </c>
      <c r="L29" s="50">
        <v>0</v>
      </c>
      <c r="M29" s="50">
        <v>20</v>
      </c>
      <c r="N29" s="50">
        <v>0</v>
      </c>
      <c r="O29" s="15">
        <f t="shared" si="0"/>
        <v>77</v>
      </c>
      <c r="P29" s="15">
        <f t="shared" si="1"/>
        <v>97</v>
      </c>
      <c r="R29"/>
      <c r="S29" s="20"/>
      <c r="T29" s="19"/>
    </row>
    <row r="30" spans="2:32" ht="23.1" customHeight="1" x14ac:dyDescent="0.25">
      <c r="B30" s="23" t="s">
        <v>57</v>
      </c>
      <c r="C30" s="50">
        <v>10</v>
      </c>
      <c r="D30" s="50">
        <v>9</v>
      </c>
      <c r="E30" s="50">
        <v>2</v>
      </c>
      <c r="F30" s="50">
        <v>13</v>
      </c>
      <c r="G30" s="50">
        <v>0</v>
      </c>
      <c r="H30" s="50">
        <v>0</v>
      </c>
      <c r="I30" s="50">
        <v>7</v>
      </c>
      <c r="J30" s="50">
        <v>1</v>
      </c>
      <c r="K30" s="50">
        <v>1</v>
      </c>
      <c r="L30" s="50">
        <v>0</v>
      </c>
      <c r="M30" s="50">
        <v>15</v>
      </c>
      <c r="N30" s="50">
        <v>0</v>
      </c>
      <c r="O30" s="15">
        <f t="shared" si="0"/>
        <v>43</v>
      </c>
      <c r="P30" s="15">
        <f t="shared" si="1"/>
        <v>58</v>
      </c>
    </row>
    <row r="31" spans="2:32" ht="23.1" customHeight="1" x14ac:dyDescent="0.25">
      <c r="B31" s="24" t="s">
        <v>58</v>
      </c>
      <c r="C31" s="50">
        <v>10</v>
      </c>
      <c r="D31" s="50">
        <v>9</v>
      </c>
      <c r="E31" s="50">
        <v>4</v>
      </c>
      <c r="F31" s="50">
        <v>10</v>
      </c>
      <c r="G31" s="50">
        <v>1</v>
      </c>
      <c r="H31" s="50">
        <v>1</v>
      </c>
      <c r="I31" s="50">
        <v>3</v>
      </c>
      <c r="J31" s="50">
        <v>1</v>
      </c>
      <c r="K31" s="50">
        <v>10</v>
      </c>
      <c r="L31" s="50">
        <v>0</v>
      </c>
      <c r="M31" s="50">
        <v>14</v>
      </c>
      <c r="N31" s="50">
        <v>0</v>
      </c>
      <c r="O31" s="15">
        <f t="shared" si="0"/>
        <v>49</v>
      </c>
      <c r="P31" s="15">
        <f t="shared" si="1"/>
        <v>63</v>
      </c>
    </row>
    <row r="32" spans="2:32" ht="23.1" customHeight="1" x14ac:dyDescent="0.25">
      <c r="B32" s="24" t="s">
        <v>59</v>
      </c>
      <c r="C32" s="50">
        <v>11</v>
      </c>
      <c r="D32" s="50">
        <v>10</v>
      </c>
      <c r="E32" s="50">
        <v>4</v>
      </c>
      <c r="F32" s="50">
        <v>15</v>
      </c>
      <c r="G32" s="50">
        <v>0</v>
      </c>
      <c r="H32" s="50">
        <v>0</v>
      </c>
      <c r="I32" s="50">
        <v>12</v>
      </c>
      <c r="J32" s="50">
        <v>1</v>
      </c>
      <c r="K32" s="50">
        <v>6</v>
      </c>
      <c r="L32" s="50">
        <v>3</v>
      </c>
      <c r="M32" s="50">
        <v>15</v>
      </c>
      <c r="N32" s="50">
        <v>0</v>
      </c>
      <c r="O32" s="15">
        <f t="shared" si="0"/>
        <v>62</v>
      </c>
      <c r="P32" s="15">
        <f t="shared" si="1"/>
        <v>77</v>
      </c>
    </row>
    <row r="33" spans="2:20" ht="23.1" customHeight="1" x14ac:dyDescent="0.25">
      <c r="B33" s="23" t="s">
        <v>60</v>
      </c>
      <c r="C33" s="50">
        <v>18</v>
      </c>
      <c r="D33" s="50">
        <v>12</v>
      </c>
      <c r="E33" s="50">
        <v>9</v>
      </c>
      <c r="F33" s="50">
        <v>20</v>
      </c>
      <c r="G33" s="50">
        <v>0</v>
      </c>
      <c r="H33" s="50">
        <v>1</v>
      </c>
      <c r="I33" s="50">
        <v>6</v>
      </c>
      <c r="J33" s="50">
        <v>1</v>
      </c>
      <c r="K33" s="50">
        <v>4</v>
      </c>
      <c r="L33" s="50">
        <v>6</v>
      </c>
      <c r="M33" s="50">
        <v>25</v>
      </c>
      <c r="N33" s="50">
        <v>0</v>
      </c>
      <c r="O33" s="15">
        <f t="shared" si="0"/>
        <v>77</v>
      </c>
      <c r="P33" s="15">
        <f t="shared" si="1"/>
        <v>102</v>
      </c>
    </row>
    <row r="34" spans="2:20" ht="23.1" customHeight="1" x14ac:dyDescent="0.25">
      <c r="B34" s="24" t="s">
        <v>61</v>
      </c>
      <c r="C34" s="50">
        <v>14</v>
      </c>
      <c r="D34" s="50">
        <v>5</v>
      </c>
      <c r="E34" s="50">
        <v>9</v>
      </c>
      <c r="F34" s="50">
        <v>20</v>
      </c>
      <c r="G34" s="50">
        <v>1</v>
      </c>
      <c r="H34" s="50">
        <v>0</v>
      </c>
      <c r="I34" s="50">
        <v>5</v>
      </c>
      <c r="J34" s="50">
        <v>2</v>
      </c>
      <c r="K34" s="50">
        <v>9</v>
      </c>
      <c r="L34" s="50">
        <v>2</v>
      </c>
      <c r="M34" s="50">
        <v>23</v>
      </c>
      <c r="N34" s="50">
        <v>0</v>
      </c>
      <c r="O34" s="15">
        <f t="shared" si="0"/>
        <v>67</v>
      </c>
      <c r="P34" s="15">
        <f t="shared" si="1"/>
        <v>90</v>
      </c>
    </row>
    <row r="35" spans="2:20" ht="23.1" customHeight="1" x14ac:dyDescent="0.25">
      <c r="B35" s="24" t="s">
        <v>62</v>
      </c>
      <c r="C35" s="50">
        <v>5</v>
      </c>
      <c r="D35" s="50">
        <v>2</v>
      </c>
      <c r="E35" s="50">
        <v>5</v>
      </c>
      <c r="F35" s="50">
        <v>14</v>
      </c>
      <c r="G35" s="50">
        <v>0</v>
      </c>
      <c r="H35" s="50">
        <v>0</v>
      </c>
      <c r="I35" s="50">
        <v>2</v>
      </c>
      <c r="J35" s="50">
        <v>1</v>
      </c>
      <c r="K35" s="50">
        <v>4</v>
      </c>
      <c r="L35" s="50">
        <v>0</v>
      </c>
      <c r="M35" s="50">
        <v>13</v>
      </c>
      <c r="N35" s="50">
        <v>0</v>
      </c>
      <c r="O35" s="15">
        <f t="shared" si="0"/>
        <v>33</v>
      </c>
      <c r="P35" s="15">
        <f t="shared" si="1"/>
        <v>46</v>
      </c>
    </row>
    <row r="36" spans="2:20" ht="23.1" customHeight="1" x14ac:dyDescent="0.25">
      <c r="B36" s="24" t="s">
        <v>63</v>
      </c>
      <c r="C36" s="50">
        <v>13</v>
      </c>
      <c r="D36" s="50">
        <v>6</v>
      </c>
      <c r="E36" s="50">
        <v>4</v>
      </c>
      <c r="F36" s="50">
        <v>17</v>
      </c>
      <c r="G36" s="50">
        <v>1</v>
      </c>
      <c r="H36" s="50">
        <v>0</v>
      </c>
      <c r="I36" s="50">
        <v>6</v>
      </c>
      <c r="J36" s="50">
        <v>0</v>
      </c>
      <c r="K36" s="50">
        <v>6</v>
      </c>
      <c r="L36" s="50">
        <v>0</v>
      </c>
      <c r="M36" s="50">
        <v>20</v>
      </c>
      <c r="N36" s="50">
        <v>1</v>
      </c>
      <c r="O36" s="15">
        <f t="shared" si="0"/>
        <v>54</v>
      </c>
      <c r="P36" s="15">
        <f t="shared" si="1"/>
        <v>74</v>
      </c>
    </row>
    <row r="37" spans="2:20" ht="23.1" customHeight="1" x14ac:dyDescent="0.25">
      <c r="B37" s="23" t="s">
        <v>64</v>
      </c>
      <c r="C37" s="50">
        <v>22</v>
      </c>
      <c r="D37" s="50">
        <v>12</v>
      </c>
      <c r="E37" s="50">
        <v>7</v>
      </c>
      <c r="F37" s="50">
        <v>17</v>
      </c>
      <c r="G37" s="50">
        <v>0</v>
      </c>
      <c r="H37" s="50">
        <v>0</v>
      </c>
      <c r="I37" s="50">
        <v>4</v>
      </c>
      <c r="J37" s="50">
        <v>0</v>
      </c>
      <c r="K37" s="50">
        <v>1</v>
      </c>
      <c r="L37" s="50">
        <v>1</v>
      </c>
      <c r="M37" s="50">
        <v>17</v>
      </c>
      <c r="N37" s="50">
        <v>1</v>
      </c>
      <c r="O37" s="15">
        <f t="shared" si="0"/>
        <v>65</v>
      </c>
      <c r="P37" s="15">
        <f t="shared" si="1"/>
        <v>82</v>
      </c>
    </row>
    <row r="38" spans="2:20" ht="23.1" customHeight="1" x14ac:dyDescent="0.25">
      <c r="B38" s="24" t="s">
        <v>65</v>
      </c>
      <c r="C38" s="50">
        <v>16</v>
      </c>
      <c r="D38" s="50">
        <v>10</v>
      </c>
      <c r="E38" s="50">
        <v>4</v>
      </c>
      <c r="F38" s="50">
        <v>23</v>
      </c>
      <c r="G38" s="50">
        <v>1</v>
      </c>
      <c r="H38" s="50">
        <v>1</v>
      </c>
      <c r="I38" s="50">
        <v>10</v>
      </c>
      <c r="J38" s="50">
        <v>0</v>
      </c>
      <c r="K38" s="50">
        <v>8</v>
      </c>
      <c r="L38" s="50">
        <v>0</v>
      </c>
      <c r="M38" s="50">
        <v>24</v>
      </c>
      <c r="N38" s="50">
        <v>0</v>
      </c>
      <c r="O38" s="15">
        <f t="shared" si="0"/>
        <v>73</v>
      </c>
      <c r="P38" s="15">
        <f t="shared" si="1"/>
        <v>97</v>
      </c>
    </row>
    <row r="39" spans="2:20" ht="23.1" customHeight="1" x14ac:dyDescent="0.25">
      <c r="B39" s="24" t="s">
        <v>66</v>
      </c>
      <c r="C39" s="50">
        <v>11</v>
      </c>
      <c r="D39" s="50">
        <v>5</v>
      </c>
      <c r="E39" s="50">
        <v>3</v>
      </c>
      <c r="F39" s="50">
        <v>10</v>
      </c>
      <c r="G39" s="50">
        <v>1</v>
      </c>
      <c r="H39" s="50">
        <v>1</v>
      </c>
      <c r="I39" s="50">
        <v>13</v>
      </c>
      <c r="J39" s="50">
        <v>0</v>
      </c>
      <c r="K39" s="50">
        <v>7</v>
      </c>
      <c r="L39" s="50">
        <v>3</v>
      </c>
      <c r="M39" s="50">
        <v>13</v>
      </c>
      <c r="N39" s="50">
        <v>0</v>
      </c>
      <c r="O39" s="15">
        <f t="shared" si="0"/>
        <v>54</v>
      </c>
      <c r="P39" s="15">
        <f t="shared" si="1"/>
        <v>67</v>
      </c>
    </row>
    <row r="40" spans="2:20" ht="23.1" customHeight="1" x14ac:dyDescent="0.25">
      <c r="B40" s="24" t="s">
        <v>67</v>
      </c>
      <c r="C40" s="50">
        <v>8</v>
      </c>
      <c r="D40" s="50">
        <v>3</v>
      </c>
      <c r="E40" s="50">
        <v>3</v>
      </c>
      <c r="F40" s="50">
        <v>11</v>
      </c>
      <c r="G40" s="50">
        <v>0</v>
      </c>
      <c r="H40" s="50">
        <v>1</v>
      </c>
      <c r="I40" s="50">
        <v>9</v>
      </c>
      <c r="J40" s="50">
        <v>1</v>
      </c>
      <c r="K40" s="50">
        <v>4</v>
      </c>
      <c r="L40" s="50">
        <v>5</v>
      </c>
      <c r="M40" s="50">
        <v>17</v>
      </c>
      <c r="N40" s="50">
        <v>0</v>
      </c>
      <c r="O40" s="15">
        <f t="shared" si="0"/>
        <v>45</v>
      </c>
      <c r="P40" s="15">
        <f t="shared" si="1"/>
        <v>62</v>
      </c>
    </row>
    <row r="41" spans="2:20" ht="23.1" customHeight="1" x14ac:dyDescent="0.25">
      <c r="B41" s="23" t="s">
        <v>68</v>
      </c>
      <c r="C41" s="50">
        <v>8</v>
      </c>
      <c r="D41" s="50">
        <v>3</v>
      </c>
      <c r="E41" s="50">
        <v>8</v>
      </c>
      <c r="F41" s="50">
        <v>16</v>
      </c>
      <c r="G41" s="50">
        <v>0</v>
      </c>
      <c r="H41" s="50">
        <v>0</v>
      </c>
      <c r="I41" s="50">
        <v>6</v>
      </c>
      <c r="J41" s="50">
        <v>5</v>
      </c>
      <c r="K41" s="50">
        <v>5</v>
      </c>
      <c r="L41" s="50">
        <v>2</v>
      </c>
      <c r="M41" s="50">
        <v>17</v>
      </c>
      <c r="N41" s="50">
        <v>0</v>
      </c>
      <c r="O41" s="15">
        <f t="shared" si="0"/>
        <v>53</v>
      </c>
      <c r="P41" s="15">
        <f t="shared" si="1"/>
        <v>70</v>
      </c>
    </row>
    <row r="42" spans="2:20" ht="23.1" customHeight="1" x14ac:dyDescent="0.25">
      <c r="B42" s="24" t="s">
        <v>69</v>
      </c>
      <c r="C42" s="50">
        <v>7</v>
      </c>
      <c r="D42" s="50">
        <v>9</v>
      </c>
      <c r="E42" s="50">
        <v>3</v>
      </c>
      <c r="F42" s="50">
        <v>20</v>
      </c>
      <c r="G42" s="50">
        <v>0</v>
      </c>
      <c r="H42" s="50">
        <v>1</v>
      </c>
      <c r="I42" s="50">
        <v>7</v>
      </c>
      <c r="J42" s="50">
        <v>3</v>
      </c>
      <c r="K42" s="50">
        <v>6</v>
      </c>
      <c r="L42" s="50">
        <v>2</v>
      </c>
      <c r="M42" s="50">
        <v>24</v>
      </c>
      <c r="N42" s="50">
        <v>0</v>
      </c>
      <c r="O42" s="15">
        <f t="shared" si="0"/>
        <v>58</v>
      </c>
      <c r="P42" s="15">
        <f t="shared" si="1"/>
        <v>82</v>
      </c>
    </row>
    <row r="43" spans="2:20" ht="23.1" customHeight="1" x14ac:dyDescent="0.25">
      <c r="B43" s="23" t="s">
        <v>70</v>
      </c>
      <c r="C43" s="50">
        <v>14</v>
      </c>
      <c r="D43" s="50">
        <v>6</v>
      </c>
      <c r="E43" s="50">
        <v>3</v>
      </c>
      <c r="F43" s="50">
        <v>18</v>
      </c>
      <c r="G43" s="50">
        <v>0</v>
      </c>
      <c r="H43" s="50">
        <v>0</v>
      </c>
      <c r="I43" s="50">
        <v>10</v>
      </c>
      <c r="J43" s="50">
        <v>0</v>
      </c>
      <c r="K43" s="50">
        <v>5</v>
      </c>
      <c r="L43" s="50">
        <v>2</v>
      </c>
      <c r="M43" s="50">
        <v>24</v>
      </c>
      <c r="N43" s="50">
        <v>0</v>
      </c>
      <c r="O43" s="15">
        <f t="shared" si="0"/>
        <v>58</v>
      </c>
      <c r="P43" s="15">
        <f t="shared" si="1"/>
        <v>82</v>
      </c>
    </row>
    <row r="44" spans="2:20" ht="23.1" customHeight="1" x14ac:dyDescent="0.25">
      <c r="B44" s="25" t="s">
        <v>71</v>
      </c>
      <c r="C44" s="50">
        <v>8</v>
      </c>
      <c r="D44" s="50">
        <v>4</v>
      </c>
      <c r="E44" s="50">
        <v>1</v>
      </c>
      <c r="F44" s="50">
        <v>25</v>
      </c>
      <c r="G44" s="50">
        <v>2</v>
      </c>
      <c r="H44" s="50">
        <v>0</v>
      </c>
      <c r="I44" s="50">
        <v>12</v>
      </c>
      <c r="J44" s="50">
        <v>0</v>
      </c>
      <c r="K44" s="50">
        <v>4</v>
      </c>
      <c r="L44" s="50">
        <v>1</v>
      </c>
      <c r="M44" s="50">
        <v>7</v>
      </c>
      <c r="N44" s="50">
        <v>0</v>
      </c>
      <c r="O44" s="15">
        <f t="shared" si="0"/>
        <v>57</v>
      </c>
      <c r="P44" s="15">
        <f t="shared" si="1"/>
        <v>64</v>
      </c>
    </row>
    <row r="45" spans="2:20" ht="23.1" customHeight="1" x14ac:dyDescent="0.25">
      <c r="B45" s="23" t="s">
        <v>72</v>
      </c>
      <c r="C45" s="50">
        <v>10</v>
      </c>
      <c r="D45" s="50">
        <v>3</v>
      </c>
      <c r="E45" s="50">
        <v>4</v>
      </c>
      <c r="F45" s="50">
        <v>6</v>
      </c>
      <c r="G45" s="50">
        <v>0</v>
      </c>
      <c r="H45" s="50">
        <v>0</v>
      </c>
      <c r="I45" s="50">
        <v>4</v>
      </c>
      <c r="J45" s="50">
        <v>0</v>
      </c>
      <c r="K45" s="50">
        <v>3</v>
      </c>
      <c r="L45" s="50">
        <v>0</v>
      </c>
      <c r="M45" s="50">
        <v>19</v>
      </c>
      <c r="N45" s="50">
        <v>1</v>
      </c>
      <c r="O45" s="15">
        <f t="shared" si="0"/>
        <v>31</v>
      </c>
      <c r="P45" s="15">
        <f t="shared" si="1"/>
        <v>50</v>
      </c>
    </row>
    <row r="46" spans="2:20" ht="23.1" customHeight="1" x14ac:dyDescent="0.25">
      <c r="B46" s="24" t="s">
        <v>73</v>
      </c>
      <c r="C46" s="50">
        <v>19</v>
      </c>
      <c r="D46" s="50">
        <v>3</v>
      </c>
      <c r="E46" s="50">
        <v>3</v>
      </c>
      <c r="F46" s="50">
        <v>19</v>
      </c>
      <c r="G46" s="50">
        <v>0</v>
      </c>
      <c r="H46" s="50">
        <v>1</v>
      </c>
      <c r="I46" s="50">
        <v>12</v>
      </c>
      <c r="J46" s="50">
        <v>1</v>
      </c>
      <c r="K46" s="50">
        <v>7</v>
      </c>
      <c r="L46" s="50">
        <v>1</v>
      </c>
      <c r="M46" s="50">
        <v>16</v>
      </c>
      <c r="N46" s="50">
        <v>0</v>
      </c>
      <c r="O46" s="15">
        <f t="shared" si="0"/>
        <v>66</v>
      </c>
      <c r="P46" s="15">
        <f t="shared" si="1"/>
        <v>82</v>
      </c>
      <c r="R46" s="8"/>
      <c r="T46"/>
    </row>
    <row r="47" spans="2:20" ht="23.1" customHeight="1" x14ac:dyDescent="0.25">
      <c r="B47" s="24" t="s">
        <v>74</v>
      </c>
      <c r="C47" s="50">
        <v>10</v>
      </c>
      <c r="D47" s="50">
        <v>3</v>
      </c>
      <c r="E47" s="50">
        <v>4</v>
      </c>
      <c r="F47" s="50">
        <v>10</v>
      </c>
      <c r="G47" s="50">
        <v>0</v>
      </c>
      <c r="H47" s="50">
        <v>0</v>
      </c>
      <c r="I47" s="50">
        <v>5</v>
      </c>
      <c r="J47" s="50">
        <v>1</v>
      </c>
      <c r="K47" s="50">
        <v>1</v>
      </c>
      <c r="L47" s="50">
        <v>0</v>
      </c>
      <c r="M47" s="50">
        <v>8</v>
      </c>
      <c r="N47" s="50">
        <v>0</v>
      </c>
      <c r="O47" s="15">
        <f t="shared" si="0"/>
        <v>34</v>
      </c>
      <c r="P47" s="15">
        <f t="shared" si="1"/>
        <v>42</v>
      </c>
      <c r="R47" s="8"/>
      <c r="T47"/>
    </row>
    <row r="48" spans="2:20" ht="23.1" customHeight="1" x14ac:dyDescent="0.25">
      <c r="B48" s="24" t="s">
        <v>75</v>
      </c>
      <c r="C48" s="50">
        <v>15</v>
      </c>
      <c r="D48" s="50">
        <v>6</v>
      </c>
      <c r="E48" s="50">
        <v>4</v>
      </c>
      <c r="F48" s="50">
        <v>16</v>
      </c>
      <c r="G48" s="50">
        <v>0</v>
      </c>
      <c r="H48" s="50">
        <v>1</v>
      </c>
      <c r="I48" s="50">
        <v>10</v>
      </c>
      <c r="J48" s="50">
        <v>1</v>
      </c>
      <c r="K48" s="50">
        <v>0</v>
      </c>
      <c r="L48" s="50">
        <v>1</v>
      </c>
      <c r="M48" s="50">
        <v>19</v>
      </c>
      <c r="N48" s="50">
        <v>0</v>
      </c>
      <c r="O48" s="15">
        <f t="shared" si="0"/>
        <v>54</v>
      </c>
      <c r="P48" s="15">
        <f t="shared" si="1"/>
        <v>73</v>
      </c>
      <c r="R48" s="8"/>
      <c r="T48"/>
    </row>
    <row r="49" spans="2:20" ht="23.1" customHeight="1" x14ac:dyDescent="0.25">
      <c r="B49" s="23" t="s">
        <v>76</v>
      </c>
      <c r="C49" s="50">
        <v>10</v>
      </c>
      <c r="D49" s="50">
        <v>6</v>
      </c>
      <c r="E49" s="50">
        <v>11</v>
      </c>
      <c r="F49" s="50">
        <v>20</v>
      </c>
      <c r="G49" s="50">
        <v>0</v>
      </c>
      <c r="H49" s="50">
        <v>1</v>
      </c>
      <c r="I49" s="50">
        <v>5</v>
      </c>
      <c r="J49" s="50">
        <v>1</v>
      </c>
      <c r="K49" s="50">
        <v>1</v>
      </c>
      <c r="L49" s="50">
        <v>1</v>
      </c>
      <c r="M49" s="50">
        <v>13</v>
      </c>
      <c r="N49" s="50">
        <v>0</v>
      </c>
      <c r="O49" s="15">
        <f t="shared" si="0"/>
        <v>56</v>
      </c>
      <c r="P49" s="15">
        <f t="shared" si="1"/>
        <v>69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6</v>
      </c>
      <c r="E50" s="50">
        <v>5</v>
      </c>
      <c r="F50" s="50">
        <v>8</v>
      </c>
      <c r="G50" s="50">
        <v>0</v>
      </c>
      <c r="H50" s="50">
        <v>0</v>
      </c>
      <c r="I50" s="50">
        <v>14</v>
      </c>
      <c r="J50" s="50">
        <v>1</v>
      </c>
      <c r="K50" s="50">
        <v>1</v>
      </c>
      <c r="L50" s="50">
        <v>1</v>
      </c>
      <c r="M50" s="50">
        <v>11</v>
      </c>
      <c r="N50" s="50">
        <v>0</v>
      </c>
      <c r="O50" s="15">
        <f t="shared" si="0"/>
        <v>39</v>
      </c>
      <c r="P50" s="15">
        <f t="shared" si="1"/>
        <v>50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7</v>
      </c>
      <c r="E51" s="50">
        <v>2</v>
      </c>
      <c r="F51" s="50">
        <v>15</v>
      </c>
      <c r="G51" s="50">
        <v>0</v>
      </c>
      <c r="H51" s="50">
        <v>0</v>
      </c>
      <c r="I51" s="50">
        <v>16</v>
      </c>
      <c r="J51" s="50">
        <v>2</v>
      </c>
      <c r="K51" s="50">
        <v>0</v>
      </c>
      <c r="L51" s="50">
        <v>1</v>
      </c>
      <c r="M51" s="50">
        <v>20</v>
      </c>
      <c r="N51" s="50">
        <v>3</v>
      </c>
      <c r="O51" s="15">
        <f t="shared" si="0"/>
        <v>53</v>
      </c>
      <c r="P51" s="15">
        <f t="shared" si="1"/>
        <v>73</v>
      </c>
      <c r="R51" s="8"/>
      <c r="T51"/>
    </row>
    <row r="52" spans="2:20" ht="23.1" customHeight="1" x14ac:dyDescent="0.25">
      <c r="B52" s="24" t="s">
        <v>79</v>
      </c>
      <c r="C52" s="50">
        <v>14</v>
      </c>
      <c r="D52" s="50">
        <v>5</v>
      </c>
      <c r="E52" s="50">
        <v>1</v>
      </c>
      <c r="F52" s="50">
        <v>16</v>
      </c>
      <c r="G52" s="50">
        <v>3</v>
      </c>
      <c r="H52" s="50">
        <v>0</v>
      </c>
      <c r="I52" s="50">
        <v>10</v>
      </c>
      <c r="J52" s="50">
        <v>0</v>
      </c>
      <c r="K52" s="50">
        <v>0</v>
      </c>
      <c r="L52" s="50">
        <v>1</v>
      </c>
      <c r="M52" s="50">
        <v>16</v>
      </c>
      <c r="N52" s="50">
        <v>0</v>
      </c>
      <c r="O52" s="15">
        <f t="shared" si="0"/>
        <v>50</v>
      </c>
      <c r="P52" s="15">
        <f t="shared" si="1"/>
        <v>66</v>
      </c>
      <c r="R52" s="8"/>
      <c r="T52"/>
    </row>
    <row r="53" spans="2:20" ht="23.1" customHeight="1" x14ac:dyDescent="0.25">
      <c r="B53" s="23" t="s">
        <v>80</v>
      </c>
      <c r="C53" s="50">
        <v>11</v>
      </c>
      <c r="D53" s="50">
        <v>8</v>
      </c>
      <c r="E53" s="50">
        <v>2</v>
      </c>
      <c r="F53" s="50">
        <v>16</v>
      </c>
      <c r="G53" s="50">
        <v>2</v>
      </c>
      <c r="H53" s="50">
        <v>1</v>
      </c>
      <c r="I53" s="50">
        <v>10</v>
      </c>
      <c r="J53" s="50">
        <v>0</v>
      </c>
      <c r="K53" s="50">
        <v>1</v>
      </c>
      <c r="L53" s="50">
        <v>0</v>
      </c>
      <c r="M53" s="50">
        <v>25</v>
      </c>
      <c r="N53" s="50">
        <v>0</v>
      </c>
      <c r="O53" s="15">
        <f t="shared" si="0"/>
        <v>51</v>
      </c>
      <c r="P53" s="15">
        <f t="shared" si="1"/>
        <v>76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13</v>
      </c>
      <c r="E54" s="50">
        <v>2</v>
      </c>
      <c r="F54" s="50">
        <v>13</v>
      </c>
      <c r="G54" s="50">
        <v>0</v>
      </c>
      <c r="H54" s="50">
        <v>1</v>
      </c>
      <c r="I54" s="50">
        <v>14</v>
      </c>
      <c r="J54" s="50">
        <v>2</v>
      </c>
      <c r="K54" s="50">
        <v>1</v>
      </c>
      <c r="L54" s="50">
        <v>0</v>
      </c>
      <c r="M54" s="50">
        <v>12</v>
      </c>
      <c r="N54" s="50">
        <v>0</v>
      </c>
      <c r="O54" s="15">
        <f t="shared" si="0"/>
        <v>52</v>
      </c>
      <c r="P54" s="15">
        <f t="shared" si="1"/>
        <v>64</v>
      </c>
      <c r="R54" s="8"/>
      <c r="T54"/>
    </row>
    <row r="55" spans="2:20" ht="23.1" customHeight="1" x14ac:dyDescent="0.25">
      <c r="B55" s="23" t="s">
        <v>82</v>
      </c>
      <c r="C55" s="50">
        <v>13</v>
      </c>
      <c r="D55" s="50">
        <v>6</v>
      </c>
      <c r="E55" s="50">
        <v>1</v>
      </c>
      <c r="F55" s="50">
        <v>4</v>
      </c>
      <c r="G55" s="50">
        <v>2</v>
      </c>
      <c r="H55" s="50">
        <v>0</v>
      </c>
      <c r="I55" s="50">
        <v>16</v>
      </c>
      <c r="J55" s="50">
        <v>0</v>
      </c>
      <c r="K55" s="50">
        <v>0</v>
      </c>
      <c r="L55" s="50">
        <v>1</v>
      </c>
      <c r="M55" s="50">
        <v>17</v>
      </c>
      <c r="N55" s="50">
        <v>0</v>
      </c>
      <c r="O55" s="15">
        <f t="shared" si="0"/>
        <v>43</v>
      </c>
      <c r="P55" s="15">
        <f t="shared" si="1"/>
        <v>60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10</v>
      </c>
      <c r="E56" s="50">
        <v>2</v>
      </c>
      <c r="F56" s="50">
        <v>15</v>
      </c>
      <c r="G56" s="50">
        <v>0</v>
      </c>
      <c r="H56" s="50">
        <v>0</v>
      </c>
      <c r="I56" s="50">
        <v>10</v>
      </c>
      <c r="J56" s="50">
        <v>2</v>
      </c>
      <c r="K56" s="50">
        <v>0</v>
      </c>
      <c r="L56" s="50">
        <v>2</v>
      </c>
      <c r="M56" s="50">
        <v>14</v>
      </c>
      <c r="N56" s="50">
        <v>0</v>
      </c>
      <c r="O56" s="15">
        <f t="shared" si="0"/>
        <v>49</v>
      </c>
      <c r="P56" s="15">
        <f t="shared" si="1"/>
        <v>63</v>
      </c>
      <c r="R56" s="8"/>
      <c r="T56"/>
    </row>
    <row r="57" spans="2:20" ht="23.1" customHeight="1" x14ac:dyDescent="0.25">
      <c r="B57" s="23" t="s">
        <v>84</v>
      </c>
      <c r="C57" s="50">
        <v>6</v>
      </c>
      <c r="D57" s="50">
        <v>3</v>
      </c>
      <c r="E57" s="50">
        <v>0</v>
      </c>
      <c r="F57" s="50">
        <v>12</v>
      </c>
      <c r="G57" s="50">
        <v>0</v>
      </c>
      <c r="H57" s="50">
        <v>1</v>
      </c>
      <c r="I57" s="50">
        <v>11</v>
      </c>
      <c r="J57" s="50">
        <v>0</v>
      </c>
      <c r="K57" s="50">
        <v>0</v>
      </c>
      <c r="L57" s="50">
        <v>1</v>
      </c>
      <c r="M57" s="50">
        <v>13</v>
      </c>
      <c r="N57" s="50">
        <v>0</v>
      </c>
      <c r="O57" s="15">
        <f t="shared" si="0"/>
        <v>34</v>
      </c>
      <c r="P57" s="15">
        <f t="shared" si="1"/>
        <v>47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622</v>
      </c>
      <c r="D58" s="16">
        <f t="shared" si="21"/>
        <v>274</v>
      </c>
      <c r="E58" s="16">
        <f t="shared" si="21"/>
        <v>197</v>
      </c>
      <c r="F58" s="16">
        <f t="shared" si="21"/>
        <v>693</v>
      </c>
      <c r="G58" s="16">
        <f t="shared" si="21"/>
        <v>23</v>
      </c>
      <c r="H58" s="16">
        <f t="shared" si="21"/>
        <v>22</v>
      </c>
      <c r="I58" s="16">
        <f t="shared" si="21"/>
        <v>364</v>
      </c>
      <c r="J58" s="16">
        <f t="shared" si="21"/>
        <v>56</v>
      </c>
      <c r="K58" s="16">
        <f t="shared" si="21"/>
        <v>130</v>
      </c>
      <c r="L58" s="16">
        <f t="shared" si="21"/>
        <v>47</v>
      </c>
      <c r="M58" s="16">
        <f t="shared" si="21"/>
        <v>765</v>
      </c>
      <c r="N58" s="16">
        <f t="shared" si="21"/>
        <v>7</v>
      </c>
      <c r="O58" s="16">
        <f t="shared" si="21"/>
        <v>2435</v>
      </c>
      <c r="P58" s="16">
        <f t="shared" si="21"/>
        <v>3200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0.19437499999999999</v>
      </c>
      <c r="D59" s="43">
        <f t="shared" si="22"/>
        <v>8.5625000000000007E-2</v>
      </c>
      <c r="E59" s="43">
        <f t="shared" si="22"/>
        <v>6.1562499999999999E-2</v>
      </c>
      <c r="F59" s="43">
        <f t="shared" si="22"/>
        <v>0.21656249999999999</v>
      </c>
      <c r="G59" s="43">
        <f t="shared" si="22"/>
        <v>7.1875000000000003E-3</v>
      </c>
      <c r="H59" s="43">
        <f t="shared" si="22"/>
        <v>6.875E-3</v>
      </c>
      <c r="I59" s="43">
        <f t="shared" si="22"/>
        <v>0.11375</v>
      </c>
      <c r="J59" s="43">
        <f t="shared" si="22"/>
        <v>1.7500000000000002E-2</v>
      </c>
      <c r="K59" s="43">
        <f t="shared" si="22"/>
        <v>4.0625000000000001E-2</v>
      </c>
      <c r="L59" s="43">
        <f t="shared" si="22"/>
        <v>1.4687499999999999E-2</v>
      </c>
      <c r="M59" s="43">
        <f t="shared" si="22"/>
        <v>0.23906250000000001</v>
      </c>
      <c r="N59" s="43">
        <f t="shared" si="22"/>
        <v>2.1875000000000002E-3</v>
      </c>
      <c r="R59" s="8"/>
      <c r="T59"/>
    </row>
    <row r="60" spans="2:20" ht="23.1" customHeight="1" x14ac:dyDescent="0.25">
      <c r="B60" s="42" t="s">
        <v>94</v>
      </c>
      <c r="C60" s="44">
        <f>C58/$O$58</f>
        <v>0.25544147843942505</v>
      </c>
      <c r="D60" s="44">
        <f t="shared" ref="D60:N60" si="23">D58/$O$58</f>
        <v>0.11252566735112936</v>
      </c>
      <c r="E60" s="44">
        <f t="shared" si="23"/>
        <v>8.0903490759753588E-2</v>
      </c>
      <c r="F60" s="44">
        <f t="shared" si="23"/>
        <v>0.28459958932238194</v>
      </c>
      <c r="G60" s="44">
        <f t="shared" si="23"/>
        <v>9.4455852156057497E-3</v>
      </c>
      <c r="H60" s="44">
        <f t="shared" si="23"/>
        <v>9.0349075975359339E-3</v>
      </c>
      <c r="I60" s="44">
        <f t="shared" si="23"/>
        <v>0.14948665297741273</v>
      </c>
      <c r="J60" s="44">
        <f t="shared" si="23"/>
        <v>2.299794661190965E-2</v>
      </c>
      <c r="K60" s="44">
        <f t="shared" si="23"/>
        <v>5.3388090349075976E-2</v>
      </c>
      <c r="L60" s="44">
        <f t="shared" si="23"/>
        <v>1.9301848049281315E-2</v>
      </c>
      <c r="M60" s="44"/>
      <c r="N60" s="44">
        <f t="shared" si="23"/>
        <v>2.8747433264887062E-3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topLeftCell="A33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'29.10 Bujuko-Buloba'!C3:G3</f>
        <v>MCC - C2 - STN62 - BUJUKO-BULOBA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6" t="str">
        <f>'29.10 Bujuko-Buloba'!G5:H5</f>
        <v>Buloba Pop Oil</v>
      </c>
      <c r="H5" s="67"/>
      <c r="I5" s="14"/>
      <c r="J5" s="2" t="s">
        <v>5</v>
      </c>
      <c r="K5" s="66" t="str">
        <f>'29.10 Bujuko-Buloba'!K5:L5</f>
        <v>Nakiwuge A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'29.10 Bujuko-Buloba'!D6:E6</f>
        <v>Bujuko</v>
      </c>
      <c r="E6" s="67"/>
      <c r="F6" s="2" t="s">
        <v>2</v>
      </c>
      <c r="G6" s="66" t="str">
        <f>'29.10 Bujuko-Buloba'!G6:H6</f>
        <v xml:space="preserve">Buloba </v>
      </c>
      <c r="H6" s="67"/>
      <c r="J6" s="2" t="s">
        <v>21</v>
      </c>
      <c r="K6" s="66" t="str">
        <f>'29.10 Bujuko-Buloba'!K6:L6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23</v>
      </c>
      <c r="D10" s="50">
        <v>2</v>
      </c>
      <c r="E10" s="50">
        <v>1</v>
      </c>
      <c r="F10" s="50">
        <v>23</v>
      </c>
      <c r="G10" s="50">
        <v>1</v>
      </c>
      <c r="H10" s="50">
        <v>0</v>
      </c>
      <c r="I10" s="50">
        <v>4</v>
      </c>
      <c r="J10" s="50">
        <v>1</v>
      </c>
      <c r="K10" s="50">
        <v>0</v>
      </c>
      <c r="L10" s="50">
        <v>1</v>
      </c>
      <c r="M10" s="50">
        <v>15</v>
      </c>
      <c r="N10" s="50">
        <v>0</v>
      </c>
      <c r="O10" s="15">
        <f t="shared" ref="O10:O57" si="0">SUM(C10:L10,N10)</f>
        <v>56</v>
      </c>
      <c r="P10" s="15">
        <f t="shared" ref="P10:P57" si="1">SUM(C10:N10)</f>
        <v>71</v>
      </c>
      <c r="R10" s="1" t="s">
        <v>6</v>
      </c>
      <c r="S10" s="17">
        <f t="shared" ref="S10:AF10" si="2">SUM(C10:C13)</f>
        <v>77</v>
      </c>
      <c r="T10" s="17">
        <f t="shared" si="2"/>
        <v>2</v>
      </c>
      <c r="U10" s="17">
        <f t="shared" si="2"/>
        <v>6</v>
      </c>
      <c r="V10" s="17">
        <f t="shared" si="2"/>
        <v>66</v>
      </c>
      <c r="W10" s="17">
        <f t="shared" si="2"/>
        <v>1</v>
      </c>
      <c r="X10" s="17">
        <f t="shared" si="2"/>
        <v>0</v>
      </c>
      <c r="Y10" s="17">
        <f t="shared" si="2"/>
        <v>10</v>
      </c>
      <c r="Z10" s="17">
        <f t="shared" si="2"/>
        <v>12</v>
      </c>
      <c r="AA10" s="17">
        <f t="shared" si="2"/>
        <v>1</v>
      </c>
      <c r="AB10" s="17">
        <f t="shared" si="2"/>
        <v>6</v>
      </c>
      <c r="AC10" s="17">
        <f t="shared" si="2"/>
        <v>86</v>
      </c>
      <c r="AD10" s="17">
        <f t="shared" si="2"/>
        <v>0</v>
      </c>
      <c r="AE10" s="31">
        <f t="shared" si="2"/>
        <v>181</v>
      </c>
      <c r="AF10" s="31">
        <f t="shared" si="2"/>
        <v>267</v>
      </c>
    </row>
    <row r="11" spans="2:32" s="6" customFormat="1" ht="23.1" customHeight="1" x14ac:dyDescent="0.25">
      <c r="B11" s="23" t="s">
        <v>38</v>
      </c>
      <c r="C11" s="50">
        <v>20</v>
      </c>
      <c r="D11" s="50">
        <v>0</v>
      </c>
      <c r="E11" s="50">
        <v>0</v>
      </c>
      <c r="F11" s="50">
        <v>18</v>
      </c>
      <c r="G11" s="50">
        <v>0</v>
      </c>
      <c r="H11" s="50">
        <v>0</v>
      </c>
      <c r="I11" s="50">
        <v>4</v>
      </c>
      <c r="J11" s="50">
        <v>3</v>
      </c>
      <c r="K11" s="50">
        <v>0</v>
      </c>
      <c r="L11" s="50">
        <v>3</v>
      </c>
      <c r="M11" s="50">
        <v>21</v>
      </c>
      <c r="N11" s="50">
        <v>0</v>
      </c>
      <c r="O11" s="15">
        <f t="shared" si="0"/>
        <v>48</v>
      </c>
      <c r="P11" s="15">
        <f t="shared" si="1"/>
        <v>69</v>
      </c>
      <c r="R11" s="1" t="s">
        <v>7</v>
      </c>
      <c r="S11" s="17">
        <f t="shared" ref="S11:AF11" si="3">SUM(C14:C17)</f>
        <v>71</v>
      </c>
      <c r="T11" s="17">
        <f t="shared" si="3"/>
        <v>5</v>
      </c>
      <c r="U11" s="17">
        <f t="shared" si="3"/>
        <v>10</v>
      </c>
      <c r="V11" s="17">
        <f t="shared" si="3"/>
        <v>65</v>
      </c>
      <c r="W11" s="17">
        <f t="shared" si="3"/>
        <v>1</v>
      </c>
      <c r="X11" s="17">
        <f t="shared" si="3"/>
        <v>0</v>
      </c>
      <c r="Y11" s="17">
        <f t="shared" si="3"/>
        <v>23</v>
      </c>
      <c r="Z11" s="17">
        <f t="shared" si="3"/>
        <v>8</v>
      </c>
      <c r="AA11" s="17">
        <f t="shared" si="3"/>
        <v>2</v>
      </c>
      <c r="AB11" s="17">
        <f t="shared" si="3"/>
        <v>2</v>
      </c>
      <c r="AC11" s="17">
        <f t="shared" si="3"/>
        <v>97</v>
      </c>
      <c r="AD11" s="17">
        <f t="shared" si="3"/>
        <v>0</v>
      </c>
      <c r="AE11" s="31">
        <f t="shared" si="3"/>
        <v>187</v>
      </c>
      <c r="AF11" s="31">
        <f t="shared" si="3"/>
        <v>284</v>
      </c>
    </row>
    <row r="12" spans="2:32" ht="23.1" customHeight="1" x14ac:dyDescent="0.25">
      <c r="B12" s="23" t="s">
        <v>39</v>
      </c>
      <c r="C12" s="50">
        <v>19</v>
      </c>
      <c r="D12" s="50">
        <v>0</v>
      </c>
      <c r="E12" s="50">
        <v>1</v>
      </c>
      <c r="F12" s="50">
        <v>11</v>
      </c>
      <c r="G12" s="50">
        <v>0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18</v>
      </c>
      <c r="N12" s="50">
        <v>0</v>
      </c>
      <c r="O12" s="15">
        <f t="shared" si="0"/>
        <v>33</v>
      </c>
      <c r="P12" s="15">
        <f t="shared" si="1"/>
        <v>51</v>
      </c>
      <c r="R12" s="1" t="s">
        <v>8</v>
      </c>
      <c r="S12" s="17">
        <f t="shared" ref="S12:AF12" si="4">SUM(C18:C21)</f>
        <v>62</v>
      </c>
      <c r="T12" s="17">
        <f t="shared" si="4"/>
        <v>7</v>
      </c>
      <c r="U12" s="17">
        <f t="shared" si="4"/>
        <v>7</v>
      </c>
      <c r="V12" s="17">
        <f t="shared" si="4"/>
        <v>59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4</v>
      </c>
      <c r="AA12" s="17">
        <f t="shared" si="4"/>
        <v>0</v>
      </c>
      <c r="AB12" s="17">
        <f t="shared" si="4"/>
        <v>2</v>
      </c>
      <c r="AC12" s="17">
        <f t="shared" si="4"/>
        <v>79</v>
      </c>
      <c r="AD12" s="17">
        <f t="shared" si="4"/>
        <v>0</v>
      </c>
      <c r="AE12" s="31">
        <f t="shared" si="4"/>
        <v>146</v>
      </c>
      <c r="AF12" s="31">
        <f t="shared" si="4"/>
        <v>225</v>
      </c>
    </row>
    <row r="13" spans="2:32" ht="23.1" customHeight="1" x14ac:dyDescent="0.25">
      <c r="B13" s="23" t="s">
        <v>40</v>
      </c>
      <c r="C13" s="50">
        <v>15</v>
      </c>
      <c r="D13" s="50">
        <v>0</v>
      </c>
      <c r="E13" s="50">
        <v>4</v>
      </c>
      <c r="F13" s="50">
        <v>14</v>
      </c>
      <c r="G13" s="50">
        <v>0</v>
      </c>
      <c r="H13" s="50">
        <v>0</v>
      </c>
      <c r="I13" s="50">
        <v>1</v>
      </c>
      <c r="J13" s="50">
        <v>7</v>
      </c>
      <c r="K13" s="50">
        <v>1</v>
      </c>
      <c r="L13" s="50">
        <v>2</v>
      </c>
      <c r="M13" s="50">
        <v>32</v>
      </c>
      <c r="N13" s="50">
        <v>0</v>
      </c>
      <c r="O13" s="15">
        <f t="shared" si="0"/>
        <v>44</v>
      </c>
      <c r="P13" s="15">
        <f t="shared" si="1"/>
        <v>76</v>
      </c>
      <c r="R13" s="1" t="s">
        <v>9</v>
      </c>
      <c r="S13" s="17">
        <f t="shared" ref="S13:AF13" si="5">SUM(C22:C25)</f>
        <v>63</v>
      </c>
      <c r="T13" s="17">
        <f t="shared" si="5"/>
        <v>8</v>
      </c>
      <c r="U13" s="17">
        <f t="shared" si="5"/>
        <v>12</v>
      </c>
      <c r="V13" s="17">
        <f t="shared" si="5"/>
        <v>57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10</v>
      </c>
      <c r="AA13" s="17">
        <f t="shared" si="5"/>
        <v>0</v>
      </c>
      <c r="AB13" s="17">
        <f t="shared" si="5"/>
        <v>3</v>
      </c>
      <c r="AC13" s="17">
        <f t="shared" si="5"/>
        <v>83</v>
      </c>
      <c r="AD13" s="17">
        <f t="shared" si="5"/>
        <v>0</v>
      </c>
      <c r="AE13" s="31">
        <f t="shared" si="5"/>
        <v>164</v>
      </c>
      <c r="AF13" s="31">
        <f t="shared" si="5"/>
        <v>247</v>
      </c>
    </row>
    <row r="14" spans="2:32" ht="23.1" customHeight="1" x14ac:dyDescent="0.25">
      <c r="B14" s="23" t="s">
        <v>41</v>
      </c>
      <c r="C14" s="50">
        <v>20</v>
      </c>
      <c r="D14" s="50">
        <v>0</v>
      </c>
      <c r="E14" s="50">
        <v>1</v>
      </c>
      <c r="F14" s="50">
        <v>21</v>
      </c>
      <c r="G14" s="50">
        <v>0</v>
      </c>
      <c r="H14" s="50">
        <v>0</v>
      </c>
      <c r="I14" s="50">
        <v>4</v>
      </c>
      <c r="J14" s="50">
        <v>2</v>
      </c>
      <c r="K14" s="50">
        <v>0</v>
      </c>
      <c r="L14" s="50">
        <v>0</v>
      </c>
      <c r="M14" s="50">
        <v>20</v>
      </c>
      <c r="N14" s="50">
        <v>0</v>
      </c>
      <c r="O14" s="15">
        <f t="shared" si="0"/>
        <v>48</v>
      </c>
      <c r="P14" s="15">
        <f t="shared" si="1"/>
        <v>68</v>
      </c>
      <c r="R14" s="1" t="s">
        <v>10</v>
      </c>
      <c r="S14" s="17">
        <f t="shared" ref="S14:AF14" si="6">SUM(C26:C29)</f>
        <v>45</v>
      </c>
      <c r="T14" s="17">
        <f t="shared" si="6"/>
        <v>6</v>
      </c>
      <c r="U14" s="17">
        <f t="shared" si="6"/>
        <v>7</v>
      </c>
      <c r="V14" s="17">
        <f t="shared" si="6"/>
        <v>46</v>
      </c>
      <c r="W14" s="17">
        <f t="shared" si="6"/>
        <v>3</v>
      </c>
      <c r="X14" s="17">
        <f t="shared" si="6"/>
        <v>2</v>
      </c>
      <c r="Y14" s="17">
        <f t="shared" si="6"/>
        <v>21</v>
      </c>
      <c r="Z14" s="17">
        <f t="shared" si="6"/>
        <v>6</v>
      </c>
      <c r="AA14" s="17">
        <f t="shared" si="6"/>
        <v>5</v>
      </c>
      <c r="AB14" s="17">
        <f t="shared" si="6"/>
        <v>4</v>
      </c>
      <c r="AC14" s="17">
        <f t="shared" si="6"/>
        <v>61</v>
      </c>
      <c r="AD14" s="17">
        <f t="shared" si="6"/>
        <v>0</v>
      </c>
      <c r="AE14" s="31">
        <f t="shared" si="6"/>
        <v>145</v>
      </c>
      <c r="AF14" s="31">
        <f t="shared" si="6"/>
        <v>206</v>
      </c>
    </row>
    <row r="15" spans="2:32" ht="23.1" customHeight="1" x14ac:dyDescent="0.25">
      <c r="B15" s="23" t="s">
        <v>42</v>
      </c>
      <c r="C15" s="50">
        <v>10</v>
      </c>
      <c r="D15" s="50">
        <v>1</v>
      </c>
      <c r="E15" s="50">
        <v>2</v>
      </c>
      <c r="F15" s="50">
        <v>14</v>
      </c>
      <c r="G15" s="50">
        <v>1</v>
      </c>
      <c r="H15" s="50">
        <v>0</v>
      </c>
      <c r="I15" s="50">
        <v>5</v>
      </c>
      <c r="J15" s="50">
        <v>3</v>
      </c>
      <c r="K15" s="50">
        <v>2</v>
      </c>
      <c r="L15" s="50">
        <v>0</v>
      </c>
      <c r="M15" s="50">
        <v>22</v>
      </c>
      <c r="N15" s="50">
        <v>0</v>
      </c>
      <c r="O15" s="15">
        <f t="shared" si="0"/>
        <v>38</v>
      </c>
      <c r="P15" s="15">
        <f t="shared" si="1"/>
        <v>60</v>
      </c>
      <c r="R15" s="1" t="s">
        <v>11</v>
      </c>
      <c r="S15" s="17">
        <f t="shared" ref="S15:AF15" si="7">SUM(C30:C33)</f>
        <v>69</v>
      </c>
      <c r="T15" s="17">
        <f t="shared" si="7"/>
        <v>8</v>
      </c>
      <c r="U15" s="17">
        <f t="shared" si="7"/>
        <v>9</v>
      </c>
      <c r="V15" s="17">
        <f t="shared" si="7"/>
        <v>46</v>
      </c>
      <c r="W15" s="17">
        <f t="shared" si="7"/>
        <v>0</v>
      </c>
      <c r="X15" s="17">
        <f t="shared" si="7"/>
        <v>2</v>
      </c>
      <c r="Y15" s="17">
        <f t="shared" si="7"/>
        <v>26</v>
      </c>
      <c r="Z15" s="17">
        <f t="shared" si="7"/>
        <v>12</v>
      </c>
      <c r="AA15" s="17">
        <f t="shared" si="7"/>
        <v>4</v>
      </c>
      <c r="AB15" s="17">
        <f t="shared" si="7"/>
        <v>6</v>
      </c>
      <c r="AC15" s="17">
        <f t="shared" si="7"/>
        <v>57</v>
      </c>
      <c r="AD15" s="17">
        <f t="shared" si="7"/>
        <v>0</v>
      </c>
      <c r="AE15" s="31">
        <f t="shared" si="7"/>
        <v>182</v>
      </c>
      <c r="AF15" s="31">
        <f t="shared" si="7"/>
        <v>239</v>
      </c>
    </row>
    <row r="16" spans="2:32" ht="23.1" customHeight="1" x14ac:dyDescent="0.25">
      <c r="B16" s="23" t="s">
        <v>43</v>
      </c>
      <c r="C16" s="50">
        <v>14</v>
      </c>
      <c r="D16" s="50">
        <v>2</v>
      </c>
      <c r="E16" s="50">
        <v>4</v>
      </c>
      <c r="F16" s="50">
        <v>14</v>
      </c>
      <c r="G16" s="50">
        <v>0</v>
      </c>
      <c r="H16" s="50">
        <v>0</v>
      </c>
      <c r="I16" s="50">
        <v>8</v>
      </c>
      <c r="J16" s="50">
        <v>1</v>
      </c>
      <c r="K16" s="50">
        <v>0</v>
      </c>
      <c r="L16" s="50">
        <v>0</v>
      </c>
      <c r="M16" s="50">
        <v>22</v>
      </c>
      <c r="N16" s="50">
        <v>0</v>
      </c>
      <c r="O16" s="15">
        <f t="shared" si="0"/>
        <v>43</v>
      </c>
      <c r="P16" s="15">
        <f t="shared" si="1"/>
        <v>65</v>
      </c>
      <c r="R16" s="1" t="s">
        <v>12</v>
      </c>
      <c r="S16" s="17">
        <f t="shared" ref="S16:AF16" si="8">SUM(C34:C37)</f>
        <v>59</v>
      </c>
      <c r="T16" s="17">
        <f t="shared" si="8"/>
        <v>17</v>
      </c>
      <c r="U16" s="17">
        <f t="shared" si="8"/>
        <v>23</v>
      </c>
      <c r="V16" s="17">
        <f t="shared" si="8"/>
        <v>42</v>
      </c>
      <c r="W16" s="17">
        <f t="shared" si="8"/>
        <v>0</v>
      </c>
      <c r="X16" s="17">
        <f t="shared" si="8"/>
        <v>1</v>
      </c>
      <c r="Y16" s="17">
        <f t="shared" si="8"/>
        <v>13</v>
      </c>
      <c r="Z16" s="17">
        <f t="shared" si="8"/>
        <v>15</v>
      </c>
      <c r="AA16" s="17">
        <f t="shared" si="8"/>
        <v>1</v>
      </c>
      <c r="AB16" s="17">
        <f t="shared" si="8"/>
        <v>4</v>
      </c>
      <c r="AC16" s="17">
        <f t="shared" si="8"/>
        <v>86</v>
      </c>
      <c r="AD16" s="17">
        <f t="shared" si="8"/>
        <v>0</v>
      </c>
      <c r="AE16" s="31">
        <f t="shared" si="8"/>
        <v>175</v>
      </c>
      <c r="AF16" s="31">
        <f t="shared" si="8"/>
        <v>261</v>
      </c>
    </row>
    <row r="17" spans="2:32" ht="23.1" customHeight="1" x14ac:dyDescent="0.25">
      <c r="B17" s="23" t="s">
        <v>44</v>
      </c>
      <c r="C17" s="50">
        <v>27</v>
      </c>
      <c r="D17" s="50">
        <v>2</v>
      </c>
      <c r="E17" s="50">
        <v>3</v>
      </c>
      <c r="F17" s="50">
        <v>16</v>
      </c>
      <c r="G17" s="50">
        <v>0</v>
      </c>
      <c r="H17" s="50">
        <v>0</v>
      </c>
      <c r="I17" s="50">
        <v>6</v>
      </c>
      <c r="J17" s="50">
        <v>2</v>
      </c>
      <c r="K17" s="50">
        <v>0</v>
      </c>
      <c r="L17" s="50">
        <v>2</v>
      </c>
      <c r="M17" s="50">
        <v>33</v>
      </c>
      <c r="N17" s="50">
        <v>0</v>
      </c>
      <c r="O17" s="15">
        <f t="shared" si="0"/>
        <v>58</v>
      </c>
      <c r="P17" s="15">
        <f t="shared" si="1"/>
        <v>91</v>
      </c>
      <c r="R17" s="1" t="s">
        <v>13</v>
      </c>
      <c r="S17" s="17">
        <f t="shared" ref="S17:AF17" si="9">SUM(C38:C41)</f>
        <v>66</v>
      </c>
      <c r="T17" s="17">
        <f t="shared" si="9"/>
        <v>14</v>
      </c>
      <c r="U17" s="17">
        <f t="shared" si="9"/>
        <v>14</v>
      </c>
      <c r="V17" s="17">
        <f t="shared" si="9"/>
        <v>53</v>
      </c>
      <c r="W17" s="17">
        <f t="shared" si="9"/>
        <v>0</v>
      </c>
      <c r="X17" s="17">
        <f t="shared" si="9"/>
        <v>1</v>
      </c>
      <c r="Y17" s="17">
        <f t="shared" si="9"/>
        <v>24</v>
      </c>
      <c r="Z17" s="17">
        <f t="shared" si="9"/>
        <v>17</v>
      </c>
      <c r="AA17" s="17">
        <f t="shared" si="9"/>
        <v>1</v>
      </c>
      <c r="AB17" s="17">
        <f t="shared" si="9"/>
        <v>1</v>
      </c>
      <c r="AC17" s="17">
        <f t="shared" si="9"/>
        <v>80</v>
      </c>
      <c r="AD17" s="17">
        <f t="shared" si="9"/>
        <v>0</v>
      </c>
      <c r="AE17" s="31">
        <f t="shared" si="9"/>
        <v>191</v>
      </c>
      <c r="AF17" s="31">
        <f t="shared" si="9"/>
        <v>271</v>
      </c>
    </row>
    <row r="18" spans="2:32" ht="23.1" customHeight="1" x14ac:dyDescent="0.25">
      <c r="B18" s="23" t="s">
        <v>45</v>
      </c>
      <c r="C18" s="50">
        <v>21</v>
      </c>
      <c r="D18" s="50">
        <v>4</v>
      </c>
      <c r="E18" s="50">
        <v>2</v>
      </c>
      <c r="F18" s="50">
        <v>25</v>
      </c>
      <c r="G18" s="50">
        <v>0</v>
      </c>
      <c r="H18" s="50">
        <v>0</v>
      </c>
      <c r="I18" s="50">
        <v>2</v>
      </c>
      <c r="J18" s="50">
        <v>2</v>
      </c>
      <c r="K18" s="50">
        <v>0</v>
      </c>
      <c r="L18" s="50">
        <v>1</v>
      </c>
      <c r="M18" s="50">
        <v>29</v>
      </c>
      <c r="N18" s="50">
        <v>0</v>
      </c>
      <c r="O18" s="15">
        <f t="shared" si="0"/>
        <v>57</v>
      </c>
      <c r="P18" s="15">
        <f t="shared" si="1"/>
        <v>86</v>
      </c>
      <c r="R18" s="1" t="s">
        <v>14</v>
      </c>
      <c r="S18" s="17">
        <f t="shared" ref="S18:AF18" si="10">SUM(C42:C45)</f>
        <v>76</v>
      </c>
      <c r="T18" s="17">
        <f t="shared" si="10"/>
        <v>12</v>
      </c>
      <c r="U18" s="17">
        <f t="shared" si="10"/>
        <v>16</v>
      </c>
      <c r="V18" s="17">
        <f t="shared" si="10"/>
        <v>50</v>
      </c>
      <c r="W18" s="17">
        <f t="shared" si="10"/>
        <v>0</v>
      </c>
      <c r="X18" s="17">
        <f t="shared" si="10"/>
        <v>3</v>
      </c>
      <c r="Y18" s="17">
        <f t="shared" si="10"/>
        <v>23</v>
      </c>
      <c r="Z18" s="17">
        <f t="shared" si="10"/>
        <v>13</v>
      </c>
      <c r="AA18" s="17">
        <f t="shared" si="10"/>
        <v>0</v>
      </c>
      <c r="AB18" s="17">
        <f t="shared" si="10"/>
        <v>5</v>
      </c>
      <c r="AC18" s="17">
        <f t="shared" si="10"/>
        <v>64</v>
      </c>
      <c r="AD18" s="17">
        <f t="shared" si="10"/>
        <v>0</v>
      </c>
      <c r="AE18" s="31">
        <f t="shared" si="10"/>
        <v>198</v>
      </c>
      <c r="AF18" s="31">
        <f t="shared" si="10"/>
        <v>262</v>
      </c>
    </row>
    <row r="19" spans="2:32" ht="23.1" customHeight="1" x14ac:dyDescent="0.25">
      <c r="B19" s="23" t="s">
        <v>46</v>
      </c>
      <c r="C19" s="50">
        <v>12</v>
      </c>
      <c r="D19" s="50">
        <v>2</v>
      </c>
      <c r="E19" s="50">
        <v>2</v>
      </c>
      <c r="F19" s="50">
        <v>11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19</v>
      </c>
      <c r="N19" s="50">
        <v>0</v>
      </c>
      <c r="O19" s="15">
        <f t="shared" si="0"/>
        <v>29</v>
      </c>
      <c r="P19" s="15">
        <f t="shared" si="1"/>
        <v>48</v>
      </c>
      <c r="R19" s="1" t="s">
        <v>15</v>
      </c>
      <c r="S19" s="17">
        <f t="shared" ref="S19:AF19" si="11">SUM(C46:C49)</f>
        <v>98</v>
      </c>
      <c r="T19" s="17">
        <f t="shared" si="11"/>
        <v>20</v>
      </c>
      <c r="U19" s="17">
        <f t="shared" si="11"/>
        <v>24</v>
      </c>
      <c r="V19" s="17">
        <f t="shared" si="11"/>
        <v>54</v>
      </c>
      <c r="W19" s="17">
        <f t="shared" si="11"/>
        <v>2</v>
      </c>
      <c r="X19" s="17">
        <f t="shared" si="11"/>
        <v>2</v>
      </c>
      <c r="Y19" s="17">
        <f t="shared" si="11"/>
        <v>35</v>
      </c>
      <c r="Z19" s="17">
        <f t="shared" si="11"/>
        <v>20</v>
      </c>
      <c r="AA19" s="17">
        <f t="shared" si="11"/>
        <v>0</v>
      </c>
      <c r="AB19" s="17">
        <f t="shared" si="11"/>
        <v>2</v>
      </c>
      <c r="AC19" s="17">
        <f t="shared" si="11"/>
        <v>91</v>
      </c>
      <c r="AD19" s="17">
        <f t="shared" si="11"/>
        <v>0</v>
      </c>
      <c r="AE19" s="31">
        <f t="shared" si="11"/>
        <v>257</v>
      </c>
      <c r="AF19" s="31">
        <f t="shared" si="11"/>
        <v>348</v>
      </c>
    </row>
    <row r="20" spans="2:32" ht="23.1" customHeight="1" x14ac:dyDescent="0.25">
      <c r="B20" s="23" t="s">
        <v>47</v>
      </c>
      <c r="C20" s="50">
        <v>19</v>
      </c>
      <c r="D20" s="50">
        <v>1</v>
      </c>
      <c r="E20" s="50">
        <v>0</v>
      </c>
      <c r="F20" s="50">
        <v>11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1</v>
      </c>
      <c r="M20" s="50">
        <v>23</v>
      </c>
      <c r="N20" s="50">
        <v>0</v>
      </c>
      <c r="O20" s="15">
        <f t="shared" si="0"/>
        <v>33</v>
      </c>
      <c r="P20" s="15">
        <f t="shared" si="1"/>
        <v>56</v>
      </c>
      <c r="R20" s="1" t="s">
        <v>16</v>
      </c>
      <c r="S20" s="17">
        <f t="shared" ref="S20:AF20" si="12">SUM(C50:C53)</f>
        <v>108</v>
      </c>
      <c r="T20" s="17">
        <f t="shared" si="12"/>
        <v>16</v>
      </c>
      <c r="U20" s="17">
        <f t="shared" si="12"/>
        <v>24</v>
      </c>
      <c r="V20" s="17">
        <f t="shared" si="12"/>
        <v>66</v>
      </c>
      <c r="W20" s="17">
        <f t="shared" si="12"/>
        <v>4</v>
      </c>
      <c r="X20" s="17">
        <f t="shared" si="12"/>
        <v>1</v>
      </c>
      <c r="Y20" s="17">
        <f t="shared" si="12"/>
        <v>30</v>
      </c>
      <c r="Z20" s="17">
        <f t="shared" si="12"/>
        <v>13</v>
      </c>
      <c r="AA20" s="17">
        <f t="shared" si="12"/>
        <v>2</v>
      </c>
      <c r="AB20" s="17">
        <f t="shared" si="12"/>
        <v>5</v>
      </c>
      <c r="AC20" s="17">
        <f t="shared" si="12"/>
        <v>110</v>
      </c>
      <c r="AD20" s="17">
        <f t="shared" si="12"/>
        <v>0</v>
      </c>
      <c r="AE20" s="31">
        <f t="shared" si="12"/>
        <v>269</v>
      </c>
      <c r="AF20" s="31">
        <f t="shared" si="12"/>
        <v>379</v>
      </c>
    </row>
    <row r="21" spans="2:32" ht="23.1" customHeight="1" x14ac:dyDescent="0.25">
      <c r="B21" s="23" t="s">
        <v>48</v>
      </c>
      <c r="C21" s="50">
        <v>10</v>
      </c>
      <c r="D21" s="50">
        <v>0</v>
      </c>
      <c r="E21" s="50">
        <v>3</v>
      </c>
      <c r="F21" s="50">
        <v>12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8</v>
      </c>
      <c r="N21" s="50">
        <v>0</v>
      </c>
      <c r="O21" s="15">
        <f t="shared" si="0"/>
        <v>27</v>
      </c>
      <c r="P21" s="15">
        <f t="shared" si="1"/>
        <v>35</v>
      </c>
      <c r="R21" s="36" t="s">
        <v>20</v>
      </c>
      <c r="S21" s="34">
        <f t="shared" ref="S21:AF21" si="13">SUM(C54:C57)</f>
        <v>113</v>
      </c>
      <c r="T21" s="17">
        <f t="shared" si="13"/>
        <v>19</v>
      </c>
      <c r="U21" s="17">
        <f t="shared" si="13"/>
        <v>23</v>
      </c>
      <c r="V21" s="17">
        <f t="shared" si="13"/>
        <v>88</v>
      </c>
      <c r="W21" s="17">
        <f t="shared" si="13"/>
        <v>9</v>
      </c>
      <c r="X21" s="17">
        <f t="shared" si="13"/>
        <v>3</v>
      </c>
      <c r="Y21" s="17">
        <f t="shared" si="13"/>
        <v>24</v>
      </c>
      <c r="Z21" s="17">
        <f t="shared" si="13"/>
        <v>16</v>
      </c>
      <c r="AA21" s="17">
        <f t="shared" si="13"/>
        <v>3</v>
      </c>
      <c r="AB21" s="17">
        <f t="shared" si="13"/>
        <v>9</v>
      </c>
      <c r="AC21" s="17">
        <f t="shared" si="13"/>
        <v>135</v>
      </c>
      <c r="AD21" s="17">
        <f t="shared" si="13"/>
        <v>0</v>
      </c>
      <c r="AE21" s="31">
        <f t="shared" si="13"/>
        <v>307</v>
      </c>
      <c r="AF21" s="31">
        <f t="shared" si="13"/>
        <v>442</v>
      </c>
    </row>
    <row r="22" spans="2:32" ht="23.1" customHeight="1" x14ac:dyDescent="0.25">
      <c r="B22" s="23" t="s">
        <v>49</v>
      </c>
      <c r="C22" s="50">
        <v>16</v>
      </c>
      <c r="D22" s="50">
        <v>0</v>
      </c>
      <c r="E22" s="50">
        <v>6</v>
      </c>
      <c r="F22" s="50">
        <v>18</v>
      </c>
      <c r="G22" s="50">
        <v>0</v>
      </c>
      <c r="H22" s="50">
        <v>0</v>
      </c>
      <c r="I22" s="50">
        <v>0</v>
      </c>
      <c r="J22" s="50">
        <v>2</v>
      </c>
      <c r="K22" s="50">
        <v>0</v>
      </c>
      <c r="L22" s="50">
        <v>1</v>
      </c>
      <c r="M22" s="50">
        <v>23</v>
      </c>
      <c r="N22" s="50">
        <v>0</v>
      </c>
      <c r="O22" s="15">
        <f t="shared" si="0"/>
        <v>43</v>
      </c>
      <c r="P22" s="15">
        <f t="shared" si="1"/>
        <v>66</v>
      </c>
      <c r="R22" s="38" t="s">
        <v>90</v>
      </c>
      <c r="S22" s="39">
        <f>MAX(S10:S12)</f>
        <v>77</v>
      </c>
      <c r="T22" s="39">
        <f t="shared" ref="T22:AF22" si="14">MAX(T10:T12)</f>
        <v>7</v>
      </c>
      <c r="U22" s="39">
        <f t="shared" si="14"/>
        <v>10</v>
      </c>
      <c r="V22" s="39">
        <f t="shared" si="14"/>
        <v>66</v>
      </c>
      <c r="W22" s="39">
        <f t="shared" si="14"/>
        <v>1</v>
      </c>
      <c r="X22" s="39">
        <f t="shared" si="14"/>
        <v>0</v>
      </c>
      <c r="Y22" s="39">
        <f t="shared" si="14"/>
        <v>23</v>
      </c>
      <c r="Z22" s="39">
        <f t="shared" si="14"/>
        <v>12</v>
      </c>
      <c r="AA22" s="39">
        <f t="shared" si="14"/>
        <v>2</v>
      </c>
      <c r="AB22" s="39">
        <f t="shared" si="14"/>
        <v>6</v>
      </c>
      <c r="AC22" s="39">
        <f t="shared" si="14"/>
        <v>97</v>
      </c>
      <c r="AD22" s="39">
        <f t="shared" si="14"/>
        <v>0</v>
      </c>
      <c r="AE22" s="40">
        <f t="shared" si="14"/>
        <v>187</v>
      </c>
      <c r="AF22" s="40">
        <f t="shared" si="14"/>
        <v>284</v>
      </c>
    </row>
    <row r="23" spans="2:32" ht="23.1" customHeight="1" x14ac:dyDescent="0.25">
      <c r="B23" s="23" t="s">
        <v>50</v>
      </c>
      <c r="C23" s="50">
        <v>14</v>
      </c>
      <c r="D23" s="50">
        <v>1</v>
      </c>
      <c r="E23" s="50">
        <v>1</v>
      </c>
      <c r="F23" s="50">
        <v>11</v>
      </c>
      <c r="G23" s="50">
        <v>0</v>
      </c>
      <c r="H23" s="50">
        <v>0</v>
      </c>
      <c r="I23" s="50">
        <v>1</v>
      </c>
      <c r="J23" s="50">
        <v>4</v>
      </c>
      <c r="K23" s="50">
        <v>0</v>
      </c>
      <c r="L23" s="50">
        <v>2</v>
      </c>
      <c r="M23" s="50">
        <v>19</v>
      </c>
      <c r="N23" s="50">
        <v>0</v>
      </c>
      <c r="O23" s="15">
        <f t="shared" si="0"/>
        <v>34</v>
      </c>
      <c r="P23" s="15">
        <f t="shared" si="1"/>
        <v>53</v>
      </c>
      <c r="R23" s="38" t="s">
        <v>91</v>
      </c>
      <c r="S23" s="39">
        <f>MAX(S13:S18)</f>
        <v>76</v>
      </c>
      <c r="T23" s="39">
        <f t="shared" ref="T23:AF23" si="15">MAX(T13:T18)</f>
        <v>17</v>
      </c>
      <c r="U23" s="39">
        <f t="shared" si="15"/>
        <v>23</v>
      </c>
      <c r="V23" s="39">
        <f t="shared" si="15"/>
        <v>57</v>
      </c>
      <c r="W23" s="39">
        <f t="shared" si="15"/>
        <v>3</v>
      </c>
      <c r="X23" s="39">
        <f t="shared" si="15"/>
        <v>3</v>
      </c>
      <c r="Y23" s="39">
        <f t="shared" si="15"/>
        <v>26</v>
      </c>
      <c r="Z23" s="39">
        <f t="shared" si="15"/>
        <v>17</v>
      </c>
      <c r="AA23" s="39">
        <f t="shared" si="15"/>
        <v>5</v>
      </c>
      <c r="AB23" s="39">
        <f t="shared" si="15"/>
        <v>6</v>
      </c>
      <c r="AC23" s="39">
        <f t="shared" si="15"/>
        <v>86</v>
      </c>
      <c r="AD23" s="39">
        <f t="shared" si="15"/>
        <v>0</v>
      </c>
      <c r="AE23" s="40">
        <f t="shared" si="15"/>
        <v>198</v>
      </c>
      <c r="AF23" s="40">
        <f t="shared" si="15"/>
        <v>271</v>
      </c>
    </row>
    <row r="24" spans="2:32" ht="23.1" customHeight="1" x14ac:dyDescent="0.25">
      <c r="B24" s="23" t="s">
        <v>51</v>
      </c>
      <c r="C24" s="50">
        <v>17</v>
      </c>
      <c r="D24" s="50">
        <v>4</v>
      </c>
      <c r="E24" s="50">
        <v>4</v>
      </c>
      <c r="F24" s="50">
        <v>15</v>
      </c>
      <c r="G24" s="50">
        <v>0</v>
      </c>
      <c r="H24" s="50">
        <v>0</v>
      </c>
      <c r="I24" s="50">
        <v>5</v>
      </c>
      <c r="J24" s="50">
        <v>3</v>
      </c>
      <c r="K24" s="50">
        <v>0</v>
      </c>
      <c r="L24" s="50">
        <v>0</v>
      </c>
      <c r="M24" s="50">
        <v>22</v>
      </c>
      <c r="N24" s="50">
        <v>0</v>
      </c>
      <c r="O24" s="15">
        <f t="shared" si="0"/>
        <v>48</v>
      </c>
      <c r="P24" s="15">
        <f t="shared" si="1"/>
        <v>70</v>
      </c>
      <c r="R24" s="38" t="s">
        <v>92</v>
      </c>
      <c r="S24" s="39">
        <f>MAX(S19:S21)</f>
        <v>113</v>
      </c>
      <c r="T24" s="39">
        <f t="shared" ref="T24:AF24" si="16">MAX(T19:T21)</f>
        <v>20</v>
      </c>
      <c r="U24" s="39">
        <f t="shared" si="16"/>
        <v>24</v>
      </c>
      <c r="V24" s="39">
        <f t="shared" si="16"/>
        <v>88</v>
      </c>
      <c r="W24" s="39">
        <f t="shared" si="16"/>
        <v>9</v>
      </c>
      <c r="X24" s="39">
        <f t="shared" si="16"/>
        <v>3</v>
      </c>
      <c r="Y24" s="39">
        <f t="shared" si="16"/>
        <v>35</v>
      </c>
      <c r="Z24" s="39">
        <f t="shared" si="16"/>
        <v>20</v>
      </c>
      <c r="AA24" s="39">
        <f t="shared" si="16"/>
        <v>3</v>
      </c>
      <c r="AB24" s="39">
        <f t="shared" si="16"/>
        <v>9</v>
      </c>
      <c r="AC24" s="39">
        <f t="shared" si="16"/>
        <v>135</v>
      </c>
      <c r="AD24" s="39">
        <f t="shared" si="16"/>
        <v>0</v>
      </c>
      <c r="AE24" s="40">
        <f t="shared" si="16"/>
        <v>307</v>
      </c>
      <c r="AF24" s="40">
        <f t="shared" si="16"/>
        <v>442</v>
      </c>
    </row>
    <row r="25" spans="2:32" ht="23.1" customHeight="1" x14ac:dyDescent="0.25">
      <c r="B25" s="23" t="s">
        <v>52</v>
      </c>
      <c r="C25" s="50">
        <v>16</v>
      </c>
      <c r="D25" s="50">
        <v>3</v>
      </c>
      <c r="E25" s="50">
        <v>1</v>
      </c>
      <c r="F25" s="50">
        <v>13</v>
      </c>
      <c r="G25" s="50">
        <v>0</v>
      </c>
      <c r="H25" s="50">
        <v>0</v>
      </c>
      <c r="I25" s="50">
        <v>5</v>
      </c>
      <c r="J25" s="50">
        <v>1</v>
      </c>
      <c r="K25" s="50">
        <v>0</v>
      </c>
      <c r="L25" s="50">
        <v>0</v>
      </c>
      <c r="M25" s="50">
        <v>19</v>
      </c>
      <c r="N25" s="50">
        <v>0</v>
      </c>
      <c r="O25" s="15">
        <f t="shared" si="0"/>
        <v>39</v>
      </c>
      <c r="P25" s="15">
        <f t="shared" si="1"/>
        <v>58</v>
      </c>
      <c r="R25" s="37" t="s">
        <v>85</v>
      </c>
      <c r="S25" s="35">
        <f t="shared" ref="S25:AF25" si="17">SUM(S10:S12)</f>
        <v>210</v>
      </c>
      <c r="T25" s="16">
        <f t="shared" si="17"/>
        <v>14</v>
      </c>
      <c r="U25" s="16">
        <f t="shared" si="17"/>
        <v>23</v>
      </c>
      <c r="V25" s="16">
        <f t="shared" si="17"/>
        <v>190</v>
      </c>
      <c r="W25" s="16">
        <f t="shared" si="17"/>
        <v>2</v>
      </c>
      <c r="X25" s="16">
        <f t="shared" si="17"/>
        <v>0</v>
      </c>
      <c r="Y25" s="16">
        <f t="shared" si="17"/>
        <v>38</v>
      </c>
      <c r="Z25" s="16">
        <f t="shared" si="17"/>
        <v>24</v>
      </c>
      <c r="AA25" s="16">
        <f t="shared" si="17"/>
        <v>3</v>
      </c>
      <c r="AB25" s="16">
        <f t="shared" si="17"/>
        <v>10</v>
      </c>
      <c r="AC25" s="16">
        <f t="shared" si="17"/>
        <v>262</v>
      </c>
      <c r="AD25" s="16">
        <f t="shared" si="17"/>
        <v>0</v>
      </c>
      <c r="AE25" s="32">
        <f t="shared" si="17"/>
        <v>514</v>
      </c>
      <c r="AF25" s="32">
        <f t="shared" si="17"/>
        <v>776</v>
      </c>
    </row>
    <row r="26" spans="2:32" ht="23.1" customHeight="1" x14ac:dyDescent="0.25">
      <c r="B26" s="23" t="s">
        <v>53</v>
      </c>
      <c r="C26" s="50">
        <v>8</v>
      </c>
      <c r="D26" s="50">
        <v>1</v>
      </c>
      <c r="E26" s="50">
        <v>2</v>
      </c>
      <c r="F26" s="50">
        <v>10</v>
      </c>
      <c r="G26" s="50">
        <v>0</v>
      </c>
      <c r="H26" s="50">
        <v>1</v>
      </c>
      <c r="I26" s="50">
        <v>4</v>
      </c>
      <c r="J26" s="50">
        <v>1</v>
      </c>
      <c r="K26" s="50">
        <v>1</v>
      </c>
      <c r="L26" s="50">
        <v>1</v>
      </c>
      <c r="M26" s="50">
        <v>17</v>
      </c>
      <c r="N26" s="50">
        <v>0</v>
      </c>
      <c r="O26" s="15">
        <f t="shared" si="0"/>
        <v>29</v>
      </c>
      <c r="P26" s="15">
        <f t="shared" si="1"/>
        <v>46</v>
      </c>
      <c r="R26" s="28" t="s">
        <v>86</v>
      </c>
      <c r="S26" s="16">
        <f t="shared" ref="S26:AF26" si="18">SUM(S13:S18)</f>
        <v>378</v>
      </c>
      <c r="T26" s="16">
        <f t="shared" si="18"/>
        <v>65</v>
      </c>
      <c r="U26" s="16">
        <f t="shared" si="18"/>
        <v>81</v>
      </c>
      <c r="V26" s="16">
        <f t="shared" si="18"/>
        <v>294</v>
      </c>
      <c r="W26" s="16">
        <f t="shared" si="18"/>
        <v>3</v>
      </c>
      <c r="X26" s="16">
        <f t="shared" si="18"/>
        <v>9</v>
      </c>
      <c r="Y26" s="16">
        <f t="shared" si="18"/>
        <v>118</v>
      </c>
      <c r="Z26" s="16">
        <f t="shared" si="18"/>
        <v>73</v>
      </c>
      <c r="AA26" s="16">
        <f t="shared" si="18"/>
        <v>11</v>
      </c>
      <c r="AB26" s="16">
        <f t="shared" si="18"/>
        <v>23</v>
      </c>
      <c r="AC26" s="16">
        <f t="shared" si="18"/>
        <v>431</v>
      </c>
      <c r="AD26" s="16">
        <f t="shared" si="18"/>
        <v>0</v>
      </c>
      <c r="AE26" s="32">
        <f t="shared" si="18"/>
        <v>1055</v>
      </c>
      <c r="AF26" s="32">
        <f t="shared" si="18"/>
        <v>1486</v>
      </c>
    </row>
    <row r="27" spans="2:32" ht="23.1" customHeight="1" x14ac:dyDescent="0.25">
      <c r="B27" s="23" t="s">
        <v>54</v>
      </c>
      <c r="C27" s="50">
        <v>13</v>
      </c>
      <c r="D27" s="50">
        <v>4</v>
      </c>
      <c r="E27" s="50">
        <v>2</v>
      </c>
      <c r="F27" s="50">
        <v>11</v>
      </c>
      <c r="G27" s="50">
        <v>2</v>
      </c>
      <c r="H27" s="50">
        <v>0</v>
      </c>
      <c r="I27" s="50">
        <v>3</v>
      </c>
      <c r="J27" s="50">
        <v>2</v>
      </c>
      <c r="K27" s="50">
        <v>1</v>
      </c>
      <c r="L27" s="50">
        <v>1</v>
      </c>
      <c r="M27" s="50">
        <v>14</v>
      </c>
      <c r="N27" s="50">
        <v>0</v>
      </c>
      <c r="O27" s="15">
        <f t="shared" si="0"/>
        <v>39</v>
      </c>
      <c r="P27" s="15">
        <f t="shared" si="1"/>
        <v>53</v>
      </c>
      <c r="R27" s="29" t="s">
        <v>87</v>
      </c>
      <c r="S27" s="16">
        <f t="shared" ref="S27:AF27" si="19">SUM(S19:S21)</f>
        <v>319</v>
      </c>
      <c r="T27" s="16">
        <f t="shared" si="19"/>
        <v>55</v>
      </c>
      <c r="U27" s="16">
        <f t="shared" si="19"/>
        <v>71</v>
      </c>
      <c r="V27" s="16">
        <f t="shared" si="19"/>
        <v>208</v>
      </c>
      <c r="W27" s="16">
        <f t="shared" si="19"/>
        <v>15</v>
      </c>
      <c r="X27" s="16">
        <f t="shared" si="19"/>
        <v>6</v>
      </c>
      <c r="Y27" s="16">
        <f t="shared" si="19"/>
        <v>89</v>
      </c>
      <c r="Z27" s="16">
        <f t="shared" si="19"/>
        <v>49</v>
      </c>
      <c r="AA27" s="16">
        <f t="shared" si="19"/>
        <v>5</v>
      </c>
      <c r="AB27" s="16">
        <f t="shared" si="19"/>
        <v>16</v>
      </c>
      <c r="AC27" s="16">
        <f t="shared" si="19"/>
        <v>336</v>
      </c>
      <c r="AD27" s="16">
        <f t="shared" si="19"/>
        <v>0</v>
      </c>
      <c r="AE27" s="32">
        <f t="shared" si="19"/>
        <v>833</v>
      </c>
      <c r="AF27" s="32">
        <f t="shared" si="19"/>
        <v>1169</v>
      </c>
    </row>
    <row r="28" spans="2:32" ht="23.1" customHeight="1" x14ac:dyDescent="0.25">
      <c r="B28" s="23" t="s">
        <v>55</v>
      </c>
      <c r="C28" s="50">
        <v>10</v>
      </c>
      <c r="D28" s="50">
        <v>1</v>
      </c>
      <c r="E28" s="50">
        <v>1</v>
      </c>
      <c r="F28" s="50">
        <v>9</v>
      </c>
      <c r="G28" s="50">
        <v>1</v>
      </c>
      <c r="H28" s="50">
        <v>1</v>
      </c>
      <c r="I28" s="50">
        <v>8</v>
      </c>
      <c r="J28" s="50">
        <v>2</v>
      </c>
      <c r="K28" s="50">
        <v>0</v>
      </c>
      <c r="L28" s="50">
        <v>1</v>
      </c>
      <c r="M28" s="50">
        <v>17</v>
      </c>
      <c r="N28" s="50">
        <v>0</v>
      </c>
      <c r="O28" s="15">
        <f t="shared" si="0"/>
        <v>34</v>
      </c>
      <c r="P28" s="15">
        <f t="shared" si="1"/>
        <v>51</v>
      </c>
      <c r="R28" s="5" t="s">
        <v>17</v>
      </c>
      <c r="S28" s="16">
        <f t="shared" ref="S28:AF28" si="20">SUM(S10:S21)</f>
        <v>907</v>
      </c>
      <c r="T28" s="16">
        <f t="shared" si="20"/>
        <v>134</v>
      </c>
      <c r="U28" s="16">
        <f t="shared" si="20"/>
        <v>175</v>
      </c>
      <c r="V28" s="16">
        <f t="shared" si="20"/>
        <v>692</v>
      </c>
      <c r="W28" s="16">
        <f t="shared" si="20"/>
        <v>20</v>
      </c>
      <c r="X28" s="16">
        <f t="shared" si="20"/>
        <v>15</v>
      </c>
      <c r="Y28" s="16">
        <f t="shared" si="20"/>
        <v>245</v>
      </c>
      <c r="Z28" s="16">
        <f t="shared" si="20"/>
        <v>146</v>
      </c>
      <c r="AA28" s="16">
        <f t="shared" si="20"/>
        <v>19</v>
      </c>
      <c r="AB28" s="16">
        <f t="shared" si="20"/>
        <v>49</v>
      </c>
      <c r="AC28" s="16">
        <f t="shared" si="20"/>
        <v>1029</v>
      </c>
      <c r="AD28" s="16">
        <f t="shared" si="20"/>
        <v>0</v>
      </c>
      <c r="AE28" s="32">
        <f t="shared" si="20"/>
        <v>2402</v>
      </c>
      <c r="AF28" s="32">
        <f t="shared" si="20"/>
        <v>3431</v>
      </c>
    </row>
    <row r="29" spans="2:32" ht="23.1" customHeight="1" x14ac:dyDescent="0.25">
      <c r="B29" s="23" t="s">
        <v>56</v>
      </c>
      <c r="C29" s="50">
        <v>14</v>
      </c>
      <c r="D29" s="50">
        <v>0</v>
      </c>
      <c r="E29" s="50">
        <v>2</v>
      </c>
      <c r="F29" s="50">
        <v>16</v>
      </c>
      <c r="G29" s="50">
        <v>0</v>
      </c>
      <c r="H29" s="50">
        <v>0</v>
      </c>
      <c r="I29" s="50">
        <v>6</v>
      </c>
      <c r="J29" s="50">
        <v>1</v>
      </c>
      <c r="K29" s="50">
        <v>3</v>
      </c>
      <c r="L29" s="50">
        <v>1</v>
      </c>
      <c r="M29" s="50">
        <v>13</v>
      </c>
      <c r="N29" s="50">
        <v>0</v>
      </c>
      <c r="O29" s="15">
        <f t="shared" si="0"/>
        <v>43</v>
      </c>
      <c r="P29" s="15">
        <f t="shared" si="1"/>
        <v>56</v>
      </c>
      <c r="R29"/>
      <c r="S29" s="20"/>
      <c r="T29" s="19"/>
    </row>
    <row r="30" spans="2:32" ht="23.1" customHeight="1" x14ac:dyDescent="0.25">
      <c r="B30" s="23" t="s">
        <v>57</v>
      </c>
      <c r="C30" s="50">
        <v>18</v>
      </c>
      <c r="D30" s="50">
        <v>2</v>
      </c>
      <c r="E30" s="50">
        <v>3</v>
      </c>
      <c r="F30" s="50">
        <v>10</v>
      </c>
      <c r="G30" s="50">
        <v>0</v>
      </c>
      <c r="H30" s="50">
        <v>0</v>
      </c>
      <c r="I30" s="50">
        <v>8</v>
      </c>
      <c r="J30" s="50">
        <v>1</v>
      </c>
      <c r="K30" s="50">
        <v>0</v>
      </c>
      <c r="L30" s="50">
        <v>1</v>
      </c>
      <c r="M30" s="50">
        <v>13</v>
      </c>
      <c r="N30" s="50">
        <v>0</v>
      </c>
      <c r="O30" s="15">
        <f t="shared" si="0"/>
        <v>43</v>
      </c>
      <c r="P30" s="15">
        <f t="shared" si="1"/>
        <v>56</v>
      </c>
    </row>
    <row r="31" spans="2:32" ht="23.1" customHeight="1" x14ac:dyDescent="0.25">
      <c r="B31" s="24" t="s">
        <v>58</v>
      </c>
      <c r="C31" s="50">
        <v>15</v>
      </c>
      <c r="D31" s="50">
        <v>2</v>
      </c>
      <c r="E31" s="50">
        <v>1</v>
      </c>
      <c r="F31" s="50">
        <v>12</v>
      </c>
      <c r="G31" s="50">
        <v>0</v>
      </c>
      <c r="H31" s="50">
        <v>0</v>
      </c>
      <c r="I31" s="50">
        <v>5</v>
      </c>
      <c r="J31" s="50">
        <v>3</v>
      </c>
      <c r="K31" s="50">
        <v>2</v>
      </c>
      <c r="L31" s="50">
        <v>2</v>
      </c>
      <c r="M31" s="50">
        <v>14</v>
      </c>
      <c r="N31" s="50">
        <v>0</v>
      </c>
      <c r="O31" s="15">
        <f t="shared" si="0"/>
        <v>42</v>
      </c>
      <c r="P31" s="15">
        <f t="shared" si="1"/>
        <v>56</v>
      </c>
    </row>
    <row r="32" spans="2:32" ht="23.1" customHeight="1" x14ac:dyDescent="0.25">
      <c r="B32" s="24" t="s">
        <v>59</v>
      </c>
      <c r="C32" s="50">
        <v>22</v>
      </c>
      <c r="D32" s="50">
        <v>1</v>
      </c>
      <c r="E32" s="50">
        <v>4</v>
      </c>
      <c r="F32" s="50">
        <v>16</v>
      </c>
      <c r="G32" s="50">
        <v>0</v>
      </c>
      <c r="H32" s="50">
        <v>2</v>
      </c>
      <c r="I32" s="50">
        <v>9</v>
      </c>
      <c r="J32" s="50">
        <v>8</v>
      </c>
      <c r="K32" s="50">
        <v>1</v>
      </c>
      <c r="L32" s="50">
        <v>2</v>
      </c>
      <c r="M32" s="50">
        <v>24</v>
      </c>
      <c r="N32" s="50">
        <v>0</v>
      </c>
      <c r="O32" s="15">
        <f t="shared" si="0"/>
        <v>65</v>
      </c>
      <c r="P32" s="15">
        <f t="shared" si="1"/>
        <v>89</v>
      </c>
    </row>
    <row r="33" spans="2:20" ht="23.1" customHeight="1" x14ac:dyDescent="0.25">
      <c r="B33" s="23" t="s">
        <v>60</v>
      </c>
      <c r="C33" s="50">
        <v>14</v>
      </c>
      <c r="D33" s="50">
        <v>3</v>
      </c>
      <c r="E33" s="50">
        <v>1</v>
      </c>
      <c r="F33" s="50">
        <v>8</v>
      </c>
      <c r="G33" s="50">
        <v>0</v>
      </c>
      <c r="H33" s="50">
        <v>0</v>
      </c>
      <c r="I33" s="50">
        <v>4</v>
      </c>
      <c r="J33" s="50">
        <v>0</v>
      </c>
      <c r="K33" s="50">
        <v>1</v>
      </c>
      <c r="L33" s="50">
        <v>1</v>
      </c>
      <c r="M33" s="50">
        <v>6</v>
      </c>
      <c r="N33" s="50">
        <v>0</v>
      </c>
      <c r="O33" s="15">
        <f t="shared" si="0"/>
        <v>32</v>
      </c>
      <c r="P33" s="15">
        <f t="shared" si="1"/>
        <v>38</v>
      </c>
    </row>
    <row r="34" spans="2:20" ht="23.1" customHeight="1" x14ac:dyDescent="0.25">
      <c r="B34" s="24" t="s">
        <v>61</v>
      </c>
      <c r="C34" s="50">
        <v>15</v>
      </c>
      <c r="D34" s="50">
        <v>4</v>
      </c>
      <c r="E34" s="50">
        <v>4</v>
      </c>
      <c r="F34" s="50">
        <v>9</v>
      </c>
      <c r="G34" s="50">
        <v>0</v>
      </c>
      <c r="H34" s="50">
        <v>0</v>
      </c>
      <c r="I34" s="50">
        <v>2</v>
      </c>
      <c r="J34" s="50">
        <v>6</v>
      </c>
      <c r="K34" s="50">
        <v>0</v>
      </c>
      <c r="L34" s="50">
        <v>1</v>
      </c>
      <c r="M34" s="50">
        <v>24</v>
      </c>
      <c r="N34" s="50">
        <v>0</v>
      </c>
      <c r="O34" s="15">
        <f t="shared" si="0"/>
        <v>41</v>
      </c>
      <c r="P34" s="15">
        <f t="shared" si="1"/>
        <v>65</v>
      </c>
    </row>
    <row r="35" spans="2:20" ht="23.1" customHeight="1" x14ac:dyDescent="0.25">
      <c r="B35" s="24" t="s">
        <v>62</v>
      </c>
      <c r="C35" s="50">
        <v>11</v>
      </c>
      <c r="D35" s="50">
        <v>3</v>
      </c>
      <c r="E35" s="50">
        <v>6</v>
      </c>
      <c r="F35" s="50">
        <v>9</v>
      </c>
      <c r="G35" s="50">
        <v>0</v>
      </c>
      <c r="H35" s="50">
        <v>0</v>
      </c>
      <c r="I35" s="50">
        <v>4</v>
      </c>
      <c r="J35" s="50">
        <v>1</v>
      </c>
      <c r="K35" s="50">
        <v>0</v>
      </c>
      <c r="L35" s="50">
        <v>0</v>
      </c>
      <c r="M35" s="50">
        <v>25</v>
      </c>
      <c r="N35" s="50">
        <v>0</v>
      </c>
      <c r="O35" s="15">
        <f t="shared" si="0"/>
        <v>34</v>
      </c>
      <c r="P35" s="15">
        <f t="shared" si="1"/>
        <v>59</v>
      </c>
    </row>
    <row r="36" spans="2:20" ht="23.1" customHeight="1" x14ac:dyDescent="0.25">
      <c r="B36" s="24" t="s">
        <v>63</v>
      </c>
      <c r="C36" s="50">
        <v>14</v>
      </c>
      <c r="D36" s="50">
        <v>4</v>
      </c>
      <c r="E36" s="50">
        <v>7</v>
      </c>
      <c r="F36" s="50">
        <v>9</v>
      </c>
      <c r="G36" s="50">
        <v>0</v>
      </c>
      <c r="H36" s="50">
        <v>0</v>
      </c>
      <c r="I36" s="50">
        <v>4</v>
      </c>
      <c r="J36" s="50">
        <v>3</v>
      </c>
      <c r="K36" s="50">
        <v>1</v>
      </c>
      <c r="L36" s="50">
        <v>2</v>
      </c>
      <c r="M36" s="50">
        <v>15</v>
      </c>
      <c r="N36" s="50">
        <v>0</v>
      </c>
      <c r="O36" s="15">
        <f t="shared" si="0"/>
        <v>44</v>
      </c>
      <c r="P36" s="15">
        <f t="shared" si="1"/>
        <v>59</v>
      </c>
    </row>
    <row r="37" spans="2:20" ht="23.1" customHeight="1" x14ac:dyDescent="0.25">
      <c r="B37" s="23" t="s">
        <v>64</v>
      </c>
      <c r="C37" s="50">
        <v>19</v>
      </c>
      <c r="D37" s="50">
        <v>6</v>
      </c>
      <c r="E37" s="50">
        <v>6</v>
      </c>
      <c r="F37" s="50">
        <v>15</v>
      </c>
      <c r="G37" s="50">
        <v>0</v>
      </c>
      <c r="H37" s="50">
        <v>1</v>
      </c>
      <c r="I37" s="50">
        <v>3</v>
      </c>
      <c r="J37" s="50">
        <v>5</v>
      </c>
      <c r="K37" s="50">
        <v>0</v>
      </c>
      <c r="L37" s="50">
        <v>1</v>
      </c>
      <c r="M37" s="50">
        <v>22</v>
      </c>
      <c r="N37" s="50">
        <v>0</v>
      </c>
      <c r="O37" s="15">
        <f t="shared" si="0"/>
        <v>56</v>
      </c>
      <c r="P37" s="15">
        <f t="shared" si="1"/>
        <v>78</v>
      </c>
    </row>
    <row r="38" spans="2:20" ht="23.1" customHeight="1" x14ac:dyDescent="0.25">
      <c r="B38" s="24" t="s">
        <v>65</v>
      </c>
      <c r="C38" s="50">
        <v>16</v>
      </c>
      <c r="D38" s="50">
        <v>3</v>
      </c>
      <c r="E38" s="50">
        <v>1</v>
      </c>
      <c r="F38" s="50">
        <v>13</v>
      </c>
      <c r="G38" s="50">
        <v>0</v>
      </c>
      <c r="H38" s="50">
        <v>0</v>
      </c>
      <c r="I38" s="50">
        <v>5</v>
      </c>
      <c r="J38" s="50">
        <v>4</v>
      </c>
      <c r="K38" s="50">
        <v>0</v>
      </c>
      <c r="L38" s="50">
        <v>0</v>
      </c>
      <c r="M38" s="50">
        <v>29</v>
      </c>
      <c r="N38" s="50">
        <v>0</v>
      </c>
      <c r="O38" s="15">
        <f t="shared" si="0"/>
        <v>42</v>
      </c>
      <c r="P38" s="15">
        <f t="shared" si="1"/>
        <v>71</v>
      </c>
    </row>
    <row r="39" spans="2:20" ht="23.1" customHeight="1" x14ac:dyDescent="0.25">
      <c r="B39" s="24" t="s">
        <v>66</v>
      </c>
      <c r="C39" s="50">
        <v>20</v>
      </c>
      <c r="D39" s="50">
        <v>2</v>
      </c>
      <c r="E39" s="50">
        <v>8</v>
      </c>
      <c r="F39" s="50">
        <v>18</v>
      </c>
      <c r="G39" s="50">
        <v>0</v>
      </c>
      <c r="H39" s="50">
        <v>0</v>
      </c>
      <c r="I39" s="50">
        <v>8</v>
      </c>
      <c r="J39" s="50">
        <v>2</v>
      </c>
      <c r="K39" s="50">
        <v>0</v>
      </c>
      <c r="L39" s="50">
        <v>0</v>
      </c>
      <c r="M39" s="50">
        <v>28</v>
      </c>
      <c r="N39" s="50">
        <v>0</v>
      </c>
      <c r="O39" s="15">
        <f t="shared" si="0"/>
        <v>58</v>
      </c>
      <c r="P39" s="15">
        <f t="shared" si="1"/>
        <v>86</v>
      </c>
    </row>
    <row r="40" spans="2:20" ht="23.1" customHeight="1" x14ac:dyDescent="0.25">
      <c r="B40" s="24" t="s">
        <v>67</v>
      </c>
      <c r="C40" s="50">
        <v>21</v>
      </c>
      <c r="D40" s="50">
        <v>5</v>
      </c>
      <c r="E40" s="50">
        <v>3</v>
      </c>
      <c r="F40" s="50">
        <v>12</v>
      </c>
      <c r="G40" s="50">
        <v>0</v>
      </c>
      <c r="H40" s="50">
        <v>0</v>
      </c>
      <c r="I40" s="50">
        <v>9</v>
      </c>
      <c r="J40" s="50">
        <v>6</v>
      </c>
      <c r="K40" s="50">
        <v>1</v>
      </c>
      <c r="L40" s="50">
        <v>0</v>
      </c>
      <c r="M40" s="50">
        <v>11</v>
      </c>
      <c r="N40" s="50">
        <v>0</v>
      </c>
      <c r="O40" s="15">
        <f t="shared" si="0"/>
        <v>57</v>
      </c>
      <c r="P40" s="15">
        <f t="shared" si="1"/>
        <v>68</v>
      </c>
    </row>
    <row r="41" spans="2:20" ht="23.1" customHeight="1" x14ac:dyDescent="0.25">
      <c r="B41" s="23" t="s">
        <v>68</v>
      </c>
      <c r="C41" s="50">
        <v>9</v>
      </c>
      <c r="D41" s="50">
        <v>4</v>
      </c>
      <c r="E41" s="50">
        <v>2</v>
      </c>
      <c r="F41" s="50">
        <v>10</v>
      </c>
      <c r="G41" s="50">
        <v>0</v>
      </c>
      <c r="H41" s="50">
        <v>1</v>
      </c>
      <c r="I41" s="50">
        <v>2</v>
      </c>
      <c r="J41" s="50">
        <v>5</v>
      </c>
      <c r="K41" s="50">
        <v>0</v>
      </c>
      <c r="L41" s="50">
        <v>1</v>
      </c>
      <c r="M41" s="50">
        <v>12</v>
      </c>
      <c r="N41" s="50">
        <v>0</v>
      </c>
      <c r="O41" s="15">
        <f t="shared" si="0"/>
        <v>34</v>
      </c>
      <c r="P41" s="15">
        <f t="shared" si="1"/>
        <v>46</v>
      </c>
    </row>
    <row r="42" spans="2:20" ht="23.1" customHeight="1" x14ac:dyDescent="0.25">
      <c r="B42" s="24" t="s">
        <v>69</v>
      </c>
      <c r="C42" s="50">
        <v>14</v>
      </c>
      <c r="D42" s="50">
        <v>4</v>
      </c>
      <c r="E42" s="50">
        <v>3</v>
      </c>
      <c r="F42" s="50">
        <v>7</v>
      </c>
      <c r="G42" s="50">
        <v>0</v>
      </c>
      <c r="H42" s="50">
        <v>0</v>
      </c>
      <c r="I42" s="50">
        <v>0</v>
      </c>
      <c r="J42" s="50">
        <v>2</v>
      </c>
      <c r="K42" s="50">
        <v>0</v>
      </c>
      <c r="L42" s="50">
        <v>2</v>
      </c>
      <c r="M42" s="50">
        <v>14</v>
      </c>
      <c r="N42" s="50">
        <v>0</v>
      </c>
      <c r="O42" s="15">
        <f t="shared" si="0"/>
        <v>32</v>
      </c>
      <c r="P42" s="15">
        <f t="shared" si="1"/>
        <v>46</v>
      </c>
    </row>
    <row r="43" spans="2:20" ht="23.1" customHeight="1" x14ac:dyDescent="0.25">
      <c r="B43" s="23" t="s">
        <v>70</v>
      </c>
      <c r="C43" s="50">
        <v>12</v>
      </c>
      <c r="D43" s="50">
        <v>1</v>
      </c>
      <c r="E43" s="50">
        <v>3</v>
      </c>
      <c r="F43" s="50">
        <v>10</v>
      </c>
      <c r="G43" s="50">
        <v>0</v>
      </c>
      <c r="H43" s="50">
        <v>0</v>
      </c>
      <c r="I43" s="50">
        <v>6</v>
      </c>
      <c r="J43" s="50">
        <v>0</v>
      </c>
      <c r="K43" s="50">
        <v>0</v>
      </c>
      <c r="L43" s="50">
        <v>0</v>
      </c>
      <c r="M43" s="50">
        <v>14</v>
      </c>
      <c r="N43" s="50">
        <v>0</v>
      </c>
      <c r="O43" s="15">
        <f t="shared" si="0"/>
        <v>32</v>
      </c>
      <c r="P43" s="15">
        <f t="shared" si="1"/>
        <v>46</v>
      </c>
    </row>
    <row r="44" spans="2:20" ht="23.1" customHeight="1" x14ac:dyDescent="0.25">
      <c r="B44" s="25" t="s">
        <v>71</v>
      </c>
      <c r="C44" s="50">
        <v>20</v>
      </c>
      <c r="D44" s="50">
        <v>4</v>
      </c>
      <c r="E44" s="50">
        <v>5</v>
      </c>
      <c r="F44" s="50">
        <v>18</v>
      </c>
      <c r="G44" s="50">
        <v>0</v>
      </c>
      <c r="H44" s="50">
        <v>1</v>
      </c>
      <c r="I44" s="50">
        <v>7</v>
      </c>
      <c r="J44" s="50">
        <v>4</v>
      </c>
      <c r="K44" s="50">
        <v>0</v>
      </c>
      <c r="L44" s="50">
        <v>2</v>
      </c>
      <c r="M44" s="50">
        <v>11</v>
      </c>
      <c r="N44" s="50">
        <v>0</v>
      </c>
      <c r="O44" s="15">
        <f t="shared" si="0"/>
        <v>61</v>
      </c>
      <c r="P44" s="15">
        <f t="shared" si="1"/>
        <v>72</v>
      </c>
    </row>
    <row r="45" spans="2:20" ht="23.1" customHeight="1" x14ac:dyDescent="0.25">
      <c r="B45" s="23" t="s">
        <v>72</v>
      </c>
      <c r="C45" s="50">
        <v>30</v>
      </c>
      <c r="D45" s="50">
        <v>3</v>
      </c>
      <c r="E45" s="50">
        <v>5</v>
      </c>
      <c r="F45" s="50">
        <v>15</v>
      </c>
      <c r="G45" s="50">
        <v>0</v>
      </c>
      <c r="H45" s="50">
        <v>2</v>
      </c>
      <c r="I45" s="50">
        <v>10</v>
      </c>
      <c r="J45" s="50">
        <v>7</v>
      </c>
      <c r="K45" s="50">
        <v>0</v>
      </c>
      <c r="L45" s="50">
        <v>1</v>
      </c>
      <c r="M45" s="50">
        <v>25</v>
      </c>
      <c r="N45" s="50">
        <v>0</v>
      </c>
      <c r="O45" s="15">
        <f t="shared" si="0"/>
        <v>73</v>
      </c>
      <c r="P45" s="15">
        <f t="shared" si="1"/>
        <v>98</v>
      </c>
    </row>
    <row r="46" spans="2:20" ht="23.1" customHeight="1" x14ac:dyDescent="0.25">
      <c r="B46" s="24" t="s">
        <v>73</v>
      </c>
      <c r="C46" s="50">
        <v>19</v>
      </c>
      <c r="D46" s="50">
        <v>6</v>
      </c>
      <c r="E46" s="50">
        <v>6</v>
      </c>
      <c r="F46" s="50">
        <v>12</v>
      </c>
      <c r="G46" s="50">
        <v>0</v>
      </c>
      <c r="H46" s="50">
        <v>1</v>
      </c>
      <c r="I46" s="50">
        <v>10</v>
      </c>
      <c r="J46" s="50">
        <v>5</v>
      </c>
      <c r="K46" s="50">
        <v>0</v>
      </c>
      <c r="L46" s="50">
        <v>1</v>
      </c>
      <c r="M46" s="50">
        <v>20</v>
      </c>
      <c r="N46" s="50">
        <v>0</v>
      </c>
      <c r="O46" s="15">
        <f t="shared" si="0"/>
        <v>60</v>
      </c>
      <c r="P46" s="15">
        <f t="shared" si="1"/>
        <v>80</v>
      </c>
      <c r="R46" s="8"/>
      <c r="T46"/>
    </row>
    <row r="47" spans="2:20" ht="23.1" customHeight="1" x14ac:dyDescent="0.25">
      <c r="B47" s="24" t="s">
        <v>74</v>
      </c>
      <c r="C47" s="50">
        <v>21</v>
      </c>
      <c r="D47" s="50">
        <v>2</v>
      </c>
      <c r="E47" s="50">
        <v>6</v>
      </c>
      <c r="F47" s="50">
        <v>14</v>
      </c>
      <c r="G47" s="50">
        <v>0</v>
      </c>
      <c r="H47" s="50">
        <v>0</v>
      </c>
      <c r="I47" s="50">
        <v>9</v>
      </c>
      <c r="J47" s="50">
        <v>6</v>
      </c>
      <c r="K47" s="50">
        <v>0</v>
      </c>
      <c r="L47" s="50">
        <v>0</v>
      </c>
      <c r="M47" s="50">
        <v>22</v>
      </c>
      <c r="N47" s="50">
        <v>0</v>
      </c>
      <c r="O47" s="15">
        <f t="shared" si="0"/>
        <v>58</v>
      </c>
      <c r="P47" s="15">
        <f t="shared" si="1"/>
        <v>80</v>
      </c>
      <c r="R47" s="8"/>
      <c r="T47"/>
    </row>
    <row r="48" spans="2:20" ht="23.1" customHeight="1" x14ac:dyDescent="0.25">
      <c r="B48" s="24" t="s">
        <v>75</v>
      </c>
      <c r="C48" s="50">
        <v>31</v>
      </c>
      <c r="D48" s="50">
        <v>5</v>
      </c>
      <c r="E48" s="50">
        <v>7</v>
      </c>
      <c r="F48" s="50">
        <v>17</v>
      </c>
      <c r="G48" s="50">
        <v>1</v>
      </c>
      <c r="H48" s="50">
        <v>0</v>
      </c>
      <c r="I48" s="50">
        <v>5</v>
      </c>
      <c r="J48" s="50">
        <v>8</v>
      </c>
      <c r="K48" s="50">
        <v>0</v>
      </c>
      <c r="L48" s="50">
        <v>1</v>
      </c>
      <c r="M48" s="50">
        <v>28</v>
      </c>
      <c r="N48" s="50">
        <v>0</v>
      </c>
      <c r="O48" s="15">
        <f t="shared" si="0"/>
        <v>75</v>
      </c>
      <c r="P48" s="15">
        <f t="shared" si="1"/>
        <v>103</v>
      </c>
      <c r="R48" s="8"/>
      <c r="T48"/>
    </row>
    <row r="49" spans="2:20" ht="23.1" customHeight="1" x14ac:dyDescent="0.25">
      <c r="B49" s="23" t="s">
        <v>76</v>
      </c>
      <c r="C49" s="50">
        <v>27</v>
      </c>
      <c r="D49" s="50">
        <v>7</v>
      </c>
      <c r="E49" s="50">
        <v>5</v>
      </c>
      <c r="F49" s="50">
        <v>11</v>
      </c>
      <c r="G49" s="50">
        <v>1</v>
      </c>
      <c r="H49" s="50">
        <v>1</v>
      </c>
      <c r="I49" s="50">
        <v>11</v>
      </c>
      <c r="J49" s="50">
        <v>1</v>
      </c>
      <c r="K49" s="50">
        <v>0</v>
      </c>
      <c r="L49" s="50">
        <v>0</v>
      </c>
      <c r="M49" s="50">
        <v>21</v>
      </c>
      <c r="N49" s="50">
        <v>0</v>
      </c>
      <c r="O49" s="15">
        <f t="shared" si="0"/>
        <v>64</v>
      </c>
      <c r="P49" s="15">
        <f t="shared" si="1"/>
        <v>85</v>
      </c>
      <c r="R49" s="8"/>
      <c r="T49"/>
    </row>
    <row r="50" spans="2:20" ht="23.1" customHeight="1" x14ac:dyDescent="0.25">
      <c r="B50" s="24" t="s">
        <v>77</v>
      </c>
      <c r="C50" s="50">
        <v>30</v>
      </c>
      <c r="D50" s="50">
        <v>5</v>
      </c>
      <c r="E50" s="50">
        <v>4</v>
      </c>
      <c r="F50" s="50">
        <v>17</v>
      </c>
      <c r="G50" s="50">
        <v>2</v>
      </c>
      <c r="H50" s="50">
        <v>0</v>
      </c>
      <c r="I50" s="50">
        <v>8</v>
      </c>
      <c r="J50" s="50">
        <v>3</v>
      </c>
      <c r="K50" s="50">
        <v>0</v>
      </c>
      <c r="L50" s="50">
        <v>2</v>
      </c>
      <c r="M50" s="50">
        <v>33</v>
      </c>
      <c r="N50" s="50">
        <v>0</v>
      </c>
      <c r="O50" s="15">
        <f t="shared" si="0"/>
        <v>71</v>
      </c>
      <c r="P50" s="15">
        <f t="shared" si="1"/>
        <v>104</v>
      </c>
      <c r="R50" s="8"/>
      <c r="T50"/>
    </row>
    <row r="51" spans="2:20" ht="23.1" customHeight="1" x14ac:dyDescent="0.25">
      <c r="B51" s="24" t="s">
        <v>78</v>
      </c>
      <c r="C51" s="50">
        <v>31</v>
      </c>
      <c r="D51" s="50">
        <v>5</v>
      </c>
      <c r="E51" s="50">
        <v>7</v>
      </c>
      <c r="F51" s="50">
        <v>16</v>
      </c>
      <c r="G51" s="50">
        <v>0</v>
      </c>
      <c r="H51" s="50">
        <v>1</v>
      </c>
      <c r="I51" s="50">
        <v>9</v>
      </c>
      <c r="J51" s="50">
        <v>3</v>
      </c>
      <c r="K51" s="50">
        <v>0</v>
      </c>
      <c r="L51" s="50">
        <v>1</v>
      </c>
      <c r="M51" s="50">
        <v>28</v>
      </c>
      <c r="N51" s="50">
        <v>0</v>
      </c>
      <c r="O51" s="15">
        <f t="shared" si="0"/>
        <v>73</v>
      </c>
      <c r="P51" s="15">
        <f t="shared" si="1"/>
        <v>101</v>
      </c>
      <c r="R51" s="8"/>
      <c r="T51"/>
    </row>
    <row r="52" spans="2:20" ht="23.1" customHeight="1" x14ac:dyDescent="0.25">
      <c r="B52" s="24" t="s">
        <v>79</v>
      </c>
      <c r="C52" s="50">
        <v>16</v>
      </c>
      <c r="D52" s="50">
        <v>0</v>
      </c>
      <c r="E52" s="50">
        <v>4</v>
      </c>
      <c r="F52" s="50">
        <v>15</v>
      </c>
      <c r="G52" s="50">
        <v>0</v>
      </c>
      <c r="H52" s="50">
        <v>0</v>
      </c>
      <c r="I52" s="50">
        <v>5</v>
      </c>
      <c r="J52" s="50">
        <v>4</v>
      </c>
      <c r="K52" s="50">
        <v>0</v>
      </c>
      <c r="L52" s="50">
        <v>0</v>
      </c>
      <c r="M52" s="50">
        <v>22</v>
      </c>
      <c r="N52" s="50">
        <v>0</v>
      </c>
      <c r="O52" s="15">
        <f t="shared" si="0"/>
        <v>44</v>
      </c>
      <c r="P52" s="15">
        <f t="shared" si="1"/>
        <v>66</v>
      </c>
      <c r="R52" s="8"/>
      <c r="T52"/>
    </row>
    <row r="53" spans="2:20" ht="23.1" customHeight="1" x14ac:dyDescent="0.25">
      <c r="B53" s="23" t="s">
        <v>80</v>
      </c>
      <c r="C53" s="50">
        <v>31</v>
      </c>
      <c r="D53" s="50">
        <v>6</v>
      </c>
      <c r="E53" s="50">
        <v>9</v>
      </c>
      <c r="F53" s="50">
        <v>18</v>
      </c>
      <c r="G53" s="50">
        <v>2</v>
      </c>
      <c r="H53" s="50">
        <v>0</v>
      </c>
      <c r="I53" s="50">
        <v>8</v>
      </c>
      <c r="J53" s="50">
        <v>3</v>
      </c>
      <c r="K53" s="50">
        <v>2</v>
      </c>
      <c r="L53" s="50">
        <v>2</v>
      </c>
      <c r="M53" s="50">
        <v>27</v>
      </c>
      <c r="N53" s="50">
        <v>0</v>
      </c>
      <c r="O53" s="15">
        <f t="shared" si="0"/>
        <v>81</v>
      </c>
      <c r="P53" s="15">
        <f t="shared" si="1"/>
        <v>108</v>
      </c>
      <c r="R53" s="8"/>
      <c r="T53"/>
    </row>
    <row r="54" spans="2:20" ht="23.1" customHeight="1" x14ac:dyDescent="0.25">
      <c r="B54" s="23" t="s">
        <v>81</v>
      </c>
      <c r="C54" s="50">
        <v>33</v>
      </c>
      <c r="D54" s="50">
        <v>4</v>
      </c>
      <c r="E54" s="50">
        <v>8</v>
      </c>
      <c r="F54" s="50">
        <v>23</v>
      </c>
      <c r="G54" s="50">
        <v>2</v>
      </c>
      <c r="H54" s="50">
        <v>1</v>
      </c>
      <c r="I54" s="50">
        <v>4</v>
      </c>
      <c r="J54" s="50">
        <v>4</v>
      </c>
      <c r="K54" s="50">
        <v>1</v>
      </c>
      <c r="L54" s="50">
        <v>1</v>
      </c>
      <c r="M54" s="50">
        <v>41</v>
      </c>
      <c r="N54" s="50">
        <v>0</v>
      </c>
      <c r="O54" s="15">
        <f t="shared" si="0"/>
        <v>81</v>
      </c>
      <c r="P54" s="15">
        <f t="shared" si="1"/>
        <v>122</v>
      </c>
      <c r="R54" s="8"/>
      <c r="T54"/>
    </row>
    <row r="55" spans="2:20" ht="23.1" customHeight="1" x14ac:dyDescent="0.25">
      <c r="B55" s="23" t="s">
        <v>82</v>
      </c>
      <c r="C55" s="50">
        <v>27</v>
      </c>
      <c r="D55" s="50">
        <v>5</v>
      </c>
      <c r="E55" s="50">
        <v>4</v>
      </c>
      <c r="F55" s="50">
        <v>19</v>
      </c>
      <c r="G55" s="50">
        <v>1</v>
      </c>
      <c r="H55" s="50">
        <v>0</v>
      </c>
      <c r="I55" s="50">
        <v>9</v>
      </c>
      <c r="J55" s="50">
        <v>3</v>
      </c>
      <c r="K55" s="50">
        <v>0</v>
      </c>
      <c r="L55" s="50">
        <v>2</v>
      </c>
      <c r="M55" s="50">
        <v>48</v>
      </c>
      <c r="N55" s="50">
        <v>0</v>
      </c>
      <c r="O55" s="15">
        <f t="shared" si="0"/>
        <v>70</v>
      </c>
      <c r="P55" s="15">
        <f t="shared" si="1"/>
        <v>118</v>
      </c>
      <c r="R55" s="8"/>
      <c r="T55"/>
    </row>
    <row r="56" spans="2:20" ht="23.1" customHeight="1" x14ac:dyDescent="0.25">
      <c r="B56" s="23" t="s">
        <v>83</v>
      </c>
      <c r="C56" s="50">
        <v>28</v>
      </c>
      <c r="D56" s="50">
        <v>4</v>
      </c>
      <c r="E56" s="50">
        <v>5</v>
      </c>
      <c r="F56" s="50">
        <v>20</v>
      </c>
      <c r="G56" s="50">
        <v>3</v>
      </c>
      <c r="H56" s="50">
        <v>1</v>
      </c>
      <c r="I56" s="50">
        <v>5</v>
      </c>
      <c r="J56" s="50">
        <v>2</v>
      </c>
      <c r="K56" s="50">
        <v>1</v>
      </c>
      <c r="L56" s="50">
        <v>4</v>
      </c>
      <c r="M56" s="50">
        <v>28</v>
      </c>
      <c r="N56" s="50">
        <v>0</v>
      </c>
      <c r="O56" s="15">
        <f t="shared" si="0"/>
        <v>73</v>
      </c>
      <c r="P56" s="15">
        <f t="shared" si="1"/>
        <v>101</v>
      </c>
      <c r="R56" s="8"/>
      <c r="T56"/>
    </row>
    <row r="57" spans="2:20" ht="23.1" customHeight="1" x14ac:dyDescent="0.25">
      <c r="B57" s="23" t="s">
        <v>84</v>
      </c>
      <c r="C57" s="50">
        <v>25</v>
      </c>
      <c r="D57" s="50">
        <v>6</v>
      </c>
      <c r="E57" s="50">
        <v>6</v>
      </c>
      <c r="F57" s="50">
        <v>26</v>
      </c>
      <c r="G57" s="50">
        <v>3</v>
      </c>
      <c r="H57" s="50">
        <v>1</v>
      </c>
      <c r="I57" s="50">
        <v>6</v>
      </c>
      <c r="J57" s="50">
        <v>7</v>
      </c>
      <c r="K57" s="50">
        <v>1</v>
      </c>
      <c r="L57" s="50">
        <v>2</v>
      </c>
      <c r="M57" s="50">
        <v>18</v>
      </c>
      <c r="N57" s="50">
        <v>0</v>
      </c>
      <c r="O57" s="15">
        <f t="shared" si="0"/>
        <v>83</v>
      </c>
      <c r="P57" s="15">
        <f t="shared" si="1"/>
        <v>101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907</v>
      </c>
      <c r="D58" s="16">
        <f t="shared" si="21"/>
        <v>134</v>
      </c>
      <c r="E58" s="16">
        <f t="shared" si="21"/>
        <v>175</v>
      </c>
      <c r="F58" s="16">
        <f t="shared" si="21"/>
        <v>692</v>
      </c>
      <c r="G58" s="16">
        <f t="shared" si="21"/>
        <v>20</v>
      </c>
      <c r="H58" s="16">
        <f t="shared" si="21"/>
        <v>15</v>
      </c>
      <c r="I58" s="16">
        <f t="shared" si="21"/>
        <v>245</v>
      </c>
      <c r="J58" s="16">
        <f t="shared" si="21"/>
        <v>146</v>
      </c>
      <c r="K58" s="16">
        <f t="shared" si="21"/>
        <v>19</v>
      </c>
      <c r="L58" s="16">
        <f t="shared" si="21"/>
        <v>49</v>
      </c>
      <c r="M58" s="16">
        <f t="shared" si="21"/>
        <v>1029</v>
      </c>
      <c r="N58" s="16">
        <f t="shared" si="21"/>
        <v>0</v>
      </c>
      <c r="O58" s="16">
        <f t="shared" si="21"/>
        <v>2402</v>
      </c>
      <c r="P58" s="16">
        <f t="shared" si="21"/>
        <v>3431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0.26435441562226758</v>
      </c>
      <c r="D59" s="43">
        <f t="shared" si="22"/>
        <v>3.9055668901194988E-2</v>
      </c>
      <c r="E59" s="43">
        <f t="shared" si="22"/>
        <v>5.1005537744097933E-2</v>
      </c>
      <c r="F59" s="43">
        <f t="shared" si="22"/>
        <v>0.20169046925094725</v>
      </c>
      <c r="G59" s="43">
        <f t="shared" si="22"/>
        <v>5.8292043136111919E-3</v>
      </c>
      <c r="H59" s="43">
        <f t="shared" si="22"/>
        <v>4.3719032352083943E-3</v>
      </c>
      <c r="I59" s="43">
        <f t="shared" si="22"/>
        <v>7.1407752841737102E-2</v>
      </c>
      <c r="J59" s="43">
        <f t="shared" si="22"/>
        <v>4.2553191489361701E-2</v>
      </c>
      <c r="K59" s="43">
        <f t="shared" si="22"/>
        <v>5.5377440979306322E-3</v>
      </c>
      <c r="L59" s="43">
        <f t="shared" si="22"/>
        <v>1.428155056834742E-2</v>
      </c>
      <c r="M59" s="43">
        <f t="shared" si="22"/>
        <v>0.29991256193529581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0.37760199833472108</v>
      </c>
      <c r="D60" s="44">
        <f t="shared" ref="D60:N60" si="23">D58/$O$58</f>
        <v>5.5786844296419648E-2</v>
      </c>
      <c r="E60" s="44">
        <f t="shared" si="23"/>
        <v>7.2855953372189836E-2</v>
      </c>
      <c r="F60" s="44">
        <f t="shared" si="23"/>
        <v>0.2880932556203164</v>
      </c>
      <c r="G60" s="44">
        <f t="shared" si="23"/>
        <v>8.3263946711074101E-3</v>
      </c>
      <c r="H60" s="44">
        <f t="shared" si="23"/>
        <v>6.2447960033305576E-3</v>
      </c>
      <c r="I60" s="44">
        <f t="shared" si="23"/>
        <v>0.10199833472106577</v>
      </c>
      <c r="J60" s="44">
        <f t="shared" si="23"/>
        <v>6.0782681099084093E-2</v>
      </c>
      <c r="K60" s="44">
        <f t="shared" si="23"/>
        <v>7.9100749375520408E-3</v>
      </c>
      <c r="L60" s="44">
        <f t="shared" si="23"/>
        <v>2.0399666944213156E-2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'29.10 Buloba-Bujuko'!C3:G3</f>
        <v>MCC - C2 - STN62 - BUJUKO-BULOBA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'30.10 Bujuko-Buloba'!D5</f>
        <v>30.10.19</v>
      </c>
      <c r="E5" s="3"/>
      <c r="F5" s="41" t="s">
        <v>1</v>
      </c>
      <c r="G5" s="66" t="str">
        <f>'29.10 Bujuko-Buloba'!G5:H5</f>
        <v>Buloba Pop Oil</v>
      </c>
      <c r="H5" s="67"/>
      <c r="I5" s="14"/>
      <c r="J5" s="2" t="s">
        <v>5</v>
      </c>
      <c r="K5" s="66" t="s">
        <v>170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'29.10 Buloba-Bujuko'!D6:E6</f>
        <v>Buloba</v>
      </c>
      <c r="E6" s="67"/>
      <c r="F6" s="2" t="s">
        <v>2</v>
      </c>
      <c r="G6" s="66" t="str">
        <f>'29.10 Buloba-Bujuko'!G6:H6</f>
        <v>Bujuko</v>
      </c>
      <c r="H6" s="67"/>
      <c r="J6" s="2" t="s">
        <v>21</v>
      </c>
      <c r="K6" s="66" t="str">
        <f>'29.10 Bujuko-Buloba'!K6:L6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</v>
      </c>
      <c r="D10" s="50">
        <v>1</v>
      </c>
      <c r="E10" s="50">
        <v>6</v>
      </c>
      <c r="F10" s="50">
        <v>15</v>
      </c>
      <c r="G10" s="50">
        <v>0</v>
      </c>
      <c r="H10" s="50">
        <v>0</v>
      </c>
      <c r="I10" s="50">
        <v>4</v>
      </c>
      <c r="J10" s="50">
        <v>1</v>
      </c>
      <c r="K10" s="50">
        <v>0</v>
      </c>
      <c r="L10" s="50">
        <v>1</v>
      </c>
      <c r="M10" s="50">
        <v>9</v>
      </c>
      <c r="N10" s="50">
        <v>0</v>
      </c>
      <c r="O10" s="15">
        <f t="shared" ref="O10:O57" si="0">SUM(C10:L10,N10)</f>
        <v>34</v>
      </c>
      <c r="P10" s="15">
        <f t="shared" ref="P10:P57" si="1">SUM(C10:N10)</f>
        <v>43</v>
      </c>
      <c r="R10" s="1" t="s">
        <v>6</v>
      </c>
      <c r="S10" s="17">
        <f t="shared" ref="S10:AF10" si="2">SUM(C10:C13)</f>
        <v>62</v>
      </c>
      <c r="T10" s="17">
        <f t="shared" si="2"/>
        <v>8</v>
      </c>
      <c r="U10" s="17">
        <f t="shared" si="2"/>
        <v>13</v>
      </c>
      <c r="V10" s="17">
        <f t="shared" si="2"/>
        <v>47</v>
      </c>
      <c r="W10" s="17">
        <f t="shared" si="2"/>
        <v>1</v>
      </c>
      <c r="X10" s="17">
        <f t="shared" si="2"/>
        <v>1</v>
      </c>
      <c r="Y10" s="17">
        <f t="shared" si="2"/>
        <v>24</v>
      </c>
      <c r="Z10" s="17">
        <f t="shared" si="2"/>
        <v>14</v>
      </c>
      <c r="AA10" s="17">
        <f t="shared" si="2"/>
        <v>1</v>
      </c>
      <c r="AB10" s="17">
        <f t="shared" si="2"/>
        <v>5</v>
      </c>
      <c r="AC10" s="17">
        <f t="shared" si="2"/>
        <v>56</v>
      </c>
      <c r="AD10" s="17">
        <f t="shared" si="2"/>
        <v>0</v>
      </c>
      <c r="AE10" s="31">
        <f t="shared" si="2"/>
        <v>176</v>
      </c>
      <c r="AF10" s="31">
        <f t="shared" si="2"/>
        <v>232</v>
      </c>
    </row>
    <row r="11" spans="2:32" s="6" customFormat="1" ht="23.1" customHeight="1" x14ac:dyDescent="0.25">
      <c r="B11" s="23" t="s">
        <v>38</v>
      </c>
      <c r="C11" s="50">
        <v>26</v>
      </c>
      <c r="D11" s="50">
        <v>2</v>
      </c>
      <c r="E11" s="50">
        <v>4</v>
      </c>
      <c r="F11" s="50">
        <v>12</v>
      </c>
      <c r="G11" s="50">
        <v>1</v>
      </c>
      <c r="H11" s="50">
        <v>1</v>
      </c>
      <c r="I11" s="50">
        <v>5</v>
      </c>
      <c r="J11" s="50">
        <v>3</v>
      </c>
      <c r="K11" s="50">
        <v>0</v>
      </c>
      <c r="L11" s="50">
        <v>1</v>
      </c>
      <c r="M11" s="50">
        <v>19</v>
      </c>
      <c r="N11" s="50">
        <v>0</v>
      </c>
      <c r="O11" s="15">
        <f t="shared" si="0"/>
        <v>55</v>
      </c>
      <c r="P11" s="15">
        <f t="shared" si="1"/>
        <v>74</v>
      </c>
      <c r="R11" s="1" t="s">
        <v>7</v>
      </c>
      <c r="S11" s="17">
        <f t="shared" ref="S11:AF11" si="3">SUM(C14:C17)</f>
        <v>67</v>
      </c>
      <c r="T11" s="17">
        <f t="shared" si="3"/>
        <v>12</v>
      </c>
      <c r="U11" s="17">
        <f t="shared" si="3"/>
        <v>13</v>
      </c>
      <c r="V11" s="17">
        <f t="shared" si="3"/>
        <v>45</v>
      </c>
      <c r="W11" s="17">
        <f t="shared" si="3"/>
        <v>0</v>
      </c>
      <c r="X11" s="17">
        <f t="shared" si="3"/>
        <v>1</v>
      </c>
      <c r="Y11" s="17">
        <f t="shared" si="3"/>
        <v>31</v>
      </c>
      <c r="Z11" s="17">
        <f t="shared" si="3"/>
        <v>6</v>
      </c>
      <c r="AA11" s="17">
        <f t="shared" si="3"/>
        <v>5</v>
      </c>
      <c r="AB11" s="17">
        <f t="shared" si="3"/>
        <v>0</v>
      </c>
      <c r="AC11" s="17">
        <f t="shared" si="3"/>
        <v>72</v>
      </c>
      <c r="AD11" s="17">
        <f t="shared" si="3"/>
        <v>0</v>
      </c>
      <c r="AE11" s="31">
        <f t="shared" si="3"/>
        <v>180</v>
      </c>
      <c r="AF11" s="31">
        <f t="shared" si="3"/>
        <v>252</v>
      </c>
    </row>
    <row r="12" spans="2:32" ht="23.1" customHeight="1" x14ac:dyDescent="0.25">
      <c r="B12" s="23" t="s">
        <v>39</v>
      </c>
      <c r="C12" s="50">
        <v>17</v>
      </c>
      <c r="D12" s="50">
        <v>2</v>
      </c>
      <c r="E12" s="50">
        <v>2</v>
      </c>
      <c r="F12" s="50">
        <v>10</v>
      </c>
      <c r="G12" s="50">
        <v>0</v>
      </c>
      <c r="H12" s="50">
        <v>0</v>
      </c>
      <c r="I12" s="50">
        <v>6</v>
      </c>
      <c r="J12" s="50">
        <v>7</v>
      </c>
      <c r="K12" s="50">
        <v>1</v>
      </c>
      <c r="L12" s="50">
        <v>1</v>
      </c>
      <c r="M12" s="50">
        <v>8</v>
      </c>
      <c r="N12" s="50">
        <v>0</v>
      </c>
      <c r="O12" s="15">
        <f t="shared" si="0"/>
        <v>46</v>
      </c>
      <c r="P12" s="15">
        <f t="shared" si="1"/>
        <v>54</v>
      </c>
      <c r="R12" s="1" t="s">
        <v>8</v>
      </c>
      <c r="S12" s="17">
        <f t="shared" ref="S12:AF12" si="4">SUM(C18:C21)</f>
        <v>33</v>
      </c>
      <c r="T12" s="17">
        <f t="shared" si="4"/>
        <v>29</v>
      </c>
      <c r="U12" s="17">
        <f t="shared" si="4"/>
        <v>18</v>
      </c>
      <c r="V12" s="17">
        <f t="shared" si="4"/>
        <v>53</v>
      </c>
      <c r="W12" s="17">
        <f t="shared" si="4"/>
        <v>0</v>
      </c>
      <c r="X12" s="17">
        <f t="shared" si="4"/>
        <v>2</v>
      </c>
      <c r="Y12" s="17">
        <f t="shared" si="4"/>
        <v>32</v>
      </c>
      <c r="Z12" s="17">
        <f t="shared" si="4"/>
        <v>12</v>
      </c>
      <c r="AA12" s="17">
        <f t="shared" si="4"/>
        <v>3</v>
      </c>
      <c r="AB12" s="17">
        <f t="shared" si="4"/>
        <v>0</v>
      </c>
      <c r="AC12" s="17">
        <f t="shared" si="4"/>
        <v>81</v>
      </c>
      <c r="AD12" s="17">
        <f t="shared" si="4"/>
        <v>0</v>
      </c>
      <c r="AE12" s="31">
        <f t="shared" si="4"/>
        <v>182</v>
      </c>
      <c r="AF12" s="31">
        <f t="shared" si="4"/>
        <v>263</v>
      </c>
    </row>
    <row r="13" spans="2:32" ht="23.1" customHeight="1" x14ac:dyDescent="0.25">
      <c r="B13" s="23" t="s">
        <v>40</v>
      </c>
      <c r="C13" s="50">
        <v>13</v>
      </c>
      <c r="D13" s="50">
        <v>3</v>
      </c>
      <c r="E13" s="50">
        <v>1</v>
      </c>
      <c r="F13" s="50">
        <v>10</v>
      </c>
      <c r="G13" s="50">
        <v>0</v>
      </c>
      <c r="H13" s="50">
        <v>0</v>
      </c>
      <c r="I13" s="50">
        <v>9</v>
      </c>
      <c r="J13" s="50">
        <v>3</v>
      </c>
      <c r="K13" s="50">
        <v>0</v>
      </c>
      <c r="L13" s="50">
        <v>2</v>
      </c>
      <c r="M13" s="50">
        <v>20</v>
      </c>
      <c r="N13" s="50">
        <v>0</v>
      </c>
      <c r="O13" s="15">
        <f t="shared" si="0"/>
        <v>41</v>
      </c>
      <c r="P13" s="15">
        <f t="shared" si="1"/>
        <v>61</v>
      </c>
      <c r="R13" s="1" t="s">
        <v>9</v>
      </c>
      <c r="S13" s="17">
        <f t="shared" ref="S13:AF13" si="5">SUM(C22:C25)</f>
        <v>45</v>
      </c>
      <c r="T13" s="17">
        <f t="shared" si="5"/>
        <v>17</v>
      </c>
      <c r="U13" s="17">
        <f t="shared" si="5"/>
        <v>15</v>
      </c>
      <c r="V13" s="17">
        <f t="shared" si="5"/>
        <v>45</v>
      </c>
      <c r="W13" s="17">
        <f t="shared" si="5"/>
        <v>4</v>
      </c>
      <c r="X13" s="17">
        <f t="shared" si="5"/>
        <v>1</v>
      </c>
      <c r="Y13" s="17">
        <f t="shared" si="5"/>
        <v>22</v>
      </c>
      <c r="Z13" s="17">
        <f t="shared" si="5"/>
        <v>15</v>
      </c>
      <c r="AA13" s="17">
        <f t="shared" si="5"/>
        <v>2</v>
      </c>
      <c r="AB13" s="17">
        <f t="shared" si="5"/>
        <v>4</v>
      </c>
      <c r="AC13" s="17">
        <f t="shared" si="5"/>
        <v>39</v>
      </c>
      <c r="AD13" s="17">
        <f t="shared" si="5"/>
        <v>0</v>
      </c>
      <c r="AE13" s="31">
        <f t="shared" si="5"/>
        <v>170</v>
      </c>
      <c r="AF13" s="31">
        <f t="shared" si="5"/>
        <v>209</v>
      </c>
    </row>
    <row r="14" spans="2:32" ht="23.1" customHeight="1" x14ac:dyDescent="0.25">
      <c r="B14" s="23" t="s">
        <v>41</v>
      </c>
      <c r="C14" s="50">
        <v>20</v>
      </c>
      <c r="D14" s="50">
        <v>6</v>
      </c>
      <c r="E14" s="50">
        <v>6</v>
      </c>
      <c r="F14" s="50">
        <v>18</v>
      </c>
      <c r="G14" s="50">
        <v>0</v>
      </c>
      <c r="H14" s="50">
        <v>0</v>
      </c>
      <c r="I14" s="50">
        <v>10</v>
      </c>
      <c r="J14" s="50">
        <v>1</v>
      </c>
      <c r="K14" s="50">
        <v>0</v>
      </c>
      <c r="L14" s="50">
        <v>0</v>
      </c>
      <c r="M14" s="50">
        <v>23</v>
      </c>
      <c r="N14" s="50">
        <v>0</v>
      </c>
      <c r="O14" s="15">
        <f t="shared" si="0"/>
        <v>61</v>
      </c>
      <c r="P14" s="15">
        <f t="shared" si="1"/>
        <v>84</v>
      </c>
      <c r="R14" s="1" t="s">
        <v>10</v>
      </c>
      <c r="S14" s="17">
        <f t="shared" ref="S14:AF14" si="6">SUM(C26:C29)</f>
        <v>90</v>
      </c>
      <c r="T14" s="17">
        <f t="shared" si="6"/>
        <v>13</v>
      </c>
      <c r="U14" s="17">
        <f t="shared" si="6"/>
        <v>16</v>
      </c>
      <c r="V14" s="17">
        <f t="shared" si="6"/>
        <v>68</v>
      </c>
      <c r="W14" s="17">
        <f t="shared" si="6"/>
        <v>3</v>
      </c>
      <c r="X14" s="17">
        <f t="shared" si="6"/>
        <v>3</v>
      </c>
      <c r="Y14" s="17">
        <f t="shared" si="6"/>
        <v>30</v>
      </c>
      <c r="Z14" s="17">
        <f t="shared" si="6"/>
        <v>17</v>
      </c>
      <c r="AA14" s="17">
        <f t="shared" si="6"/>
        <v>3</v>
      </c>
      <c r="AB14" s="17">
        <f t="shared" si="6"/>
        <v>8</v>
      </c>
      <c r="AC14" s="17">
        <f t="shared" si="6"/>
        <v>76</v>
      </c>
      <c r="AD14" s="17">
        <f t="shared" si="6"/>
        <v>0</v>
      </c>
      <c r="AE14" s="31">
        <f t="shared" si="6"/>
        <v>251</v>
      </c>
      <c r="AF14" s="31">
        <f t="shared" si="6"/>
        <v>327</v>
      </c>
    </row>
    <row r="15" spans="2:32" ht="23.1" customHeight="1" x14ac:dyDescent="0.25">
      <c r="B15" s="23" t="s">
        <v>42</v>
      </c>
      <c r="C15" s="50">
        <v>21</v>
      </c>
      <c r="D15" s="50">
        <v>1</v>
      </c>
      <c r="E15" s="50">
        <v>2</v>
      </c>
      <c r="F15" s="50">
        <v>10</v>
      </c>
      <c r="G15" s="50">
        <v>0</v>
      </c>
      <c r="H15" s="50">
        <v>1</v>
      </c>
      <c r="I15" s="50">
        <v>4</v>
      </c>
      <c r="J15" s="50">
        <v>1</v>
      </c>
      <c r="K15" s="50">
        <v>2</v>
      </c>
      <c r="L15" s="50">
        <v>0</v>
      </c>
      <c r="M15" s="50">
        <v>17</v>
      </c>
      <c r="N15" s="50">
        <v>0</v>
      </c>
      <c r="O15" s="15">
        <f t="shared" si="0"/>
        <v>42</v>
      </c>
      <c r="P15" s="15">
        <f t="shared" si="1"/>
        <v>59</v>
      </c>
      <c r="R15" s="1" t="s">
        <v>11</v>
      </c>
      <c r="S15" s="17">
        <f t="shared" ref="S15:AF15" si="7">SUM(C30:C33)</f>
        <v>63</v>
      </c>
      <c r="T15" s="17">
        <f t="shared" si="7"/>
        <v>25</v>
      </c>
      <c r="U15" s="17">
        <f t="shared" si="7"/>
        <v>20</v>
      </c>
      <c r="V15" s="17">
        <f t="shared" si="7"/>
        <v>65</v>
      </c>
      <c r="W15" s="17">
        <f t="shared" si="7"/>
        <v>4</v>
      </c>
      <c r="X15" s="17">
        <f t="shared" si="7"/>
        <v>1</v>
      </c>
      <c r="Y15" s="17">
        <f t="shared" si="7"/>
        <v>21</v>
      </c>
      <c r="Z15" s="17">
        <f t="shared" si="7"/>
        <v>12</v>
      </c>
      <c r="AA15" s="17">
        <f t="shared" si="7"/>
        <v>3</v>
      </c>
      <c r="AB15" s="17">
        <f t="shared" si="7"/>
        <v>2</v>
      </c>
      <c r="AC15" s="17">
        <f t="shared" si="7"/>
        <v>61</v>
      </c>
      <c r="AD15" s="17">
        <f t="shared" si="7"/>
        <v>0</v>
      </c>
      <c r="AE15" s="31">
        <f t="shared" si="7"/>
        <v>216</v>
      </c>
      <c r="AF15" s="31">
        <f t="shared" si="7"/>
        <v>277</v>
      </c>
    </row>
    <row r="16" spans="2:32" ht="23.1" customHeight="1" x14ac:dyDescent="0.25">
      <c r="B16" s="23" t="s">
        <v>43</v>
      </c>
      <c r="C16" s="50">
        <v>10</v>
      </c>
      <c r="D16" s="50">
        <v>2</v>
      </c>
      <c r="E16" s="50">
        <v>4</v>
      </c>
      <c r="F16" s="50">
        <v>7</v>
      </c>
      <c r="G16" s="50">
        <v>0</v>
      </c>
      <c r="H16" s="50">
        <v>0</v>
      </c>
      <c r="I16" s="50">
        <v>12</v>
      </c>
      <c r="J16" s="50">
        <v>4</v>
      </c>
      <c r="K16" s="50">
        <v>2</v>
      </c>
      <c r="L16" s="50">
        <v>0</v>
      </c>
      <c r="M16" s="50">
        <v>17</v>
      </c>
      <c r="N16" s="50">
        <v>0</v>
      </c>
      <c r="O16" s="15">
        <f t="shared" si="0"/>
        <v>41</v>
      </c>
      <c r="P16" s="15">
        <f t="shared" si="1"/>
        <v>58</v>
      </c>
      <c r="R16" s="1" t="s">
        <v>12</v>
      </c>
      <c r="S16" s="17">
        <f t="shared" ref="S16:AF16" si="8">SUM(C34:C37)</f>
        <v>63</v>
      </c>
      <c r="T16" s="17">
        <f t="shared" si="8"/>
        <v>14</v>
      </c>
      <c r="U16" s="17">
        <f t="shared" si="8"/>
        <v>14</v>
      </c>
      <c r="V16" s="17">
        <f t="shared" si="8"/>
        <v>47</v>
      </c>
      <c r="W16" s="17">
        <f t="shared" si="8"/>
        <v>5</v>
      </c>
      <c r="X16" s="17">
        <f t="shared" si="8"/>
        <v>3</v>
      </c>
      <c r="Y16" s="17">
        <f t="shared" si="8"/>
        <v>26</v>
      </c>
      <c r="Z16" s="17">
        <f t="shared" si="8"/>
        <v>11</v>
      </c>
      <c r="AA16" s="17">
        <f t="shared" si="8"/>
        <v>4</v>
      </c>
      <c r="AB16" s="17">
        <f t="shared" si="8"/>
        <v>6</v>
      </c>
      <c r="AC16" s="17">
        <f t="shared" si="8"/>
        <v>49</v>
      </c>
      <c r="AD16" s="17">
        <f t="shared" si="8"/>
        <v>0</v>
      </c>
      <c r="AE16" s="31">
        <f t="shared" si="8"/>
        <v>193</v>
      </c>
      <c r="AF16" s="31">
        <f t="shared" si="8"/>
        <v>242</v>
      </c>
    </row>
    <row r="17" spans="2:32" ht="23.1" customHeight="1" x14ac:dyDescent="0.25">
      <c r="B17" s="23" t="s">
        <v>44</v>
      </c>
      <c r="C17" s="50">
        <v>16</v>
      </c>
      <c r="D17" s="50">
        <v>3</v>
      </c>
      <c r="E17" s="50">
        <v>1</v>
      </c>
      <c r="F17" s="50">
        <v>10</v>
      </c>
      <c r="G17" s="50">
        <v>0</v>
      </c>
      <c r="H17" s="50">
        <v>0</v>
      </c>
      <c r="I17" s="50">
        <v>5</v>
      </c>
      <c r="J17" s="50">
        <v>0</v>
      </c>
      <c r="K17" s="50">
        <v>1</v>
      </c>
      <c r="L17" s="50">
        <v>0</v>
      </c>
      <c r="M17" s="50">
        <v>15</v>
      </c>
      <c r="N17" s="50">
        <v>0</v>
      </c>
      <c r="O17" s="15">
        <f t="shared" si="0"/>
        <v>36</v>
      </c>
      <c r="P17" s="15">
        <f t="shared" si="1"/>
        <v>51</v>
      </c>
      <c r="R17" s="1" t="s">
        <v>13</v>
      </c>
      <c r="S17" s="17">
        <f t="shared" ref="S17:AF17" si="9">SUM(C38:C41)</f>
        <v>62</v>
      </c>
      <c r="T17" s="17">
        <f t="shared" si="9"/>
        <v>18</v>
      </c>
      <c r="U17" s="17">
        <f t="shared" si="9"/>
        <v>15</v>
      </c>
      <c r="V17" s="17">
        <f t="shared" si="9"/>
        <v>67</v>
      </c>
      <c r="W17" s="17">
        <f t="shared" si="9"/>
        <v>3</v>
      </c>
      <c r="X17" s="17">
        <f t="shared" si="9"/>
        <v>2</v>
      </c>
      <c r="Y17" s="17">
        <f t="shared" si="9"/>
        <v>20</v>
      </c>
      <c r="Z17" s="17">
        <f t="shared" si="9"/>
        <v>13</v>
      </c>
      <c r="AA17" s="17">
        <f t="shared" si="9"/>
        <v>2</v>
      </c>
      <c r="AB17" s="17">
        <f t="shared" si="9"/>
        <v>4</v>
      </c>
      <c r="AC17" s="17">
        <f t="shared" si="9"/>
        <v>53</v>
      </c>
      <c r="AD17" s="17">
        <f t="shared" si="9"/>
        <v>0</v>
      </c>
      <c r="AE17" s="31">
        <f t="shared" si="9"/>
        <v>206</v>
      </c>
      <c r="AF17" s="31">
        <f t="shared" si="9"/>
        <v>259</v>
      </c>
    </row>
    <row r="18" spans="2:32" ht="23.1" customHeight="1" x14ac:dyDescent="0.25">
      <c r="B18" s="23" t="s">
        <v>45</v>
      </c>
      <c r="C18" s="50">
        <v>11</v>
      </c>
      <c r="D18" s="50">
        <v>5</v>
      </c>
      <c r="E18" s="50">
        <v>5</v>
      </c>
      <c r="F18" s="50">
        <v>14</v>
      </c>
      <c r="G18" s="50">
        <v>0</v>
      </c>
      <c r="H18" s="50">
        <v>0</v>
      </c>
      <c r="I18" s="50">
        <v>9</v>
      </c>
      <c r="J18" s="50">
        <v>4</v>
      </c>
      <c r="K18" s="50">
        <v>1</v>
      </c>
      <c r="L18" s="50">
        <v>0</v>
      </c>
      <c r="M18" s="50">
        <v>21</v>
      </c>
      <c r="N18" s="50">
        <v>0</v>
      </c>
      <c r="O18" s="15">
        <f t="shared" si="0"/>
        <v>49</v>
      </c>
      <c r="P18" s="15">
        <f t="shared" si="1"/>
        <v>70</v>
      </c>
      <c r="R18" s="1" t="s">
        <v>14</v>
      </c>
      <c r="S18" s="17">
        <f t="shared" ref="S18:AF18" si="10">SUM(C42:C45)</f>
        <v>73</v>
      </c>
      <c r="T18" s="17">
        <f t="shared" si="10"/>
        <v>8</v>
      </c>
      <c r="U18" s="17">
        <f t="shared" si="10"/>
        <v>10</v>
      </c>
      <c r="V18" s="17">
        <f t="shared" si="10"/>
        <v>65</v>
      </c>
      <c r="W18" s="17">
        <f t="shared" si="10"/>
        <v>0</v>
      </c>
      <c r="X18" s="17">
        <f t="shared" si="10"/>
        <v>2</v>
      </c>
      <c r="Y18" s="17">
        <f t="shared" si="10"/>
        <v>33</v>
      </c>
      <c r="Z18" s="17">
        <f t="shared" si="10"/>
        <v>21</v>
      </c>
      <c r="AA18" s="17">
        <f t="shared" si="10"/>
        <v>12</v>
      </c>
      <c r="AB18" s="17">
        <f t="shared" si="10"/>
        <v>2</v>
      </c>
      <c r="AC18" s="17">
        <f t="shared" si="10"/>
        <v>45</v>
      </c>
      <c r="AD18" s="17">
        <f t="shared" si="10"/>
        <v>0</v>
      </c>
      <c r="AE18" s="31">
        <f t="shared" si="10"/>
        <v>226</v>
      </c>
      <c r="AF18" s="31">
        <f t="shared" si="10"/>
        <v>271</v>
      </c>
    </row>
    <row r="19" spans="2:32" ht="23.1" customHeight="1" x14ac:dyDescent="0.25">
      <c r="B19" s="23" t="s">
        <v>46</v>
      </c>
      <c r="C19" s="50">
        <v>6</v>
      </c>
      <c r="D19" s="50">
        <v>9</v>
      </c>
      <c r="E19" s="50">
        <v>1</v>
      </c>
      <c r="F19" s="50">
        <v>12</v>
      </c>
      <c r="G19" s="50">
        <v>0</v>
      </c>
      <c r="H19" s="50">
        <v>1</v>
      </c>
      <c r="I19" s="50">
        <v>5</v>
      </c>
      <c r="J19" s="50">
        <v>3</v>
      </c>
      <c r="K19" s="50">
        <v>0</v>
      </c>
      <c r="L19" s="50">
        <v>0</v>
      </c>
      <c r="M19" s="50">
        <v>15</v>
      </c>
      <c r="N19" s="50">
        <v>0</v>
      </c>
      <c r="O19" s="15">
        <f t="shared" si="0"/>
        <v>37</v>
      </c>
      <c r="P19" s="15">
        <f t="shared" si="1"/>
        <v>52</v>
      </c>
      <c r="R19" s="1" t="s">
        <v>15</v>
      </c>
      <c r="S19" s="17">
        <f t="shared" ref="S19:AF19" si="11">SUM(C46:C49)</f>
        <v>70</v>
      </c>
      <c r="T19" s="17">
        <f t="shared" si="11"/>
        <v>11</v>
      </c>
      <c r="U19" s="17">
        <f t="shared" si="11"/>
        <v>13</v>
      </c>
      <c r="V19" s="17">
        <f t="shared" si="11"/>
        <v>49</v>
      </c>
      <c r="W19" s="17">
        <f t="shared" si="11"/>
        <v>1</v>
      </c>
      <c r="X19" s="17">
        <f t="shared" si="11"/>
        <v>2</v>
      </c>
      <c r="Y19" s="17">
        <f t="shared" si="11"/>
        <v>30</v>
      </c>
      <c r="Z19" s="17">
        <f t="shared" si="11"/>
        <v>17</v>
      </c>
      <c r="AA19" s="17">
        <f t="shared" si="11"/>
        <v>5</v>
      </c>
      <c r="AB19" s="17">
        <f t="shared" si="11"/>
        <v>6</v>
      </c>
      <c r="AC19" s="17">
        <f t="shared" si="11"/>
        <v>66</v>
      </c>
      <c r="AD19" s="17">
        <f t="shared" si="11"/>
        <v>0</v>
      </c>
      <c r="AE19" s="31">
        <f t="shared" si="11"/>
        <v>204</v>
      </c>
      <c r="AF19" s="31">
        <f t="shared" si="11"/>
        <v>270</v>
      </c>
    </row>
    <row r="20" spans="2:32" ht="23.1" customHeight="1" x14ac:dyDescent="0.25">
      <c r="B20" s="23" t="s">
        <v>47</v>
      </c>
      <c r="C20" s="50">
        <v>12</v>
      </c>
      <c r="D20" s="50">
        <v>12</v>
      </c>
      <c r="E20" s="50">
        <v>7</v>
      </c>
      <c r="F20" s="50">
        <v>14</v>
      </c>
      <c r="G20" s="50">
        <v>0</v>
      </c>
      <c r="H20" s="50">
        <v>0</v>
      </c>
      <c r="I20" s="50">
        <v>9</v>
      </c>
      <c r="J20" s="50">
        <v>1</v>
      </c>
      <c r="K20" s="50">
        <v>1</v>
      </c>
      <c r="L20" s="50">
        <v>0</v>
      </c>
      <c r="M20" s="50">
        <v>20</v>
      </c>
      <c r="N20" s="50">
        <v>0</v>
      </c>
      <c r="O20" s="15">
        <f t="shared" si="0"/>
        <v>56</v>
      </c>
      <c r="P20" s="15">
        <f t="shared" si="1"/>
        <v>76</v>
      </c>
      <c r="R20" s="1" t="s">
        <v>16</v>
      </c>
      <c r="S20" s="17">
        <f t="shared" ref="S20:AF20" si="12">SUM(C50:C53)</f>
        <v>54</v>
      </c>
      <c r="T20" s="17">
        <f t="shared" si="12"/>
        <v>13</v>
      </c>
      <c r="U20" s="17">
        <f t="shared" si="12"/>
        <v>14</v>
      </c>
      <c r="V20" s="17">
        <f t="shared" si="12"/>
        <v>56</v>
      </c>
      <c r="W20" s="17">
        <f t="shared" si="12"/>
        <v>0</v>
      </c>
      <c r="X20" s="17">
        <f t="shared" si="12"/>
        <v>1</v>
      </c>
      <c r="Y20" s="17">
        <f t="shared" si="12"/>
        <v>21</v>
      </c>
      <c r="Z20" s="17">
        <f t="shared" si="12"/>
        <v>13</v>
      </c>
      <c r="AA20" s="17">
        <f t="shared" si="12"/>
        <v>5</v>
      </c>
      <c r="AB20" s="17">
        <f t="shared" si="12"/>
        <v>1</v>
      </c>
      <c r="AC20" s="17">
        <f t="shared" si="12"/>
        <v>33</v>
      </c>
      <c r="AD20" s="17">
        <f t="shared" si="12"/>
        <v>0</v>
      </c>
      <c r="AE20" s="31">
        <f t="shared" si="12"/>
        <v>178</v>
      </c>
      <c r="AF20" s="31">
        <f t="shared" si="12"/>
        <v>211</v>
      </c>
    </row>
    <row r="21" spans="2:32" ht="23.1" customHeight="1" x14ac:dyDescent="0.25">
      <c r="B21" s="23" t="s">
        <v>48</v>
      </c>
      <c r="C21" s="50">
        <v>4</v>
      </c>
      <c r="D21" s="50">
        <v>3</v>
      </c>
      <c r="E21" s="50">
        <v>5</v>
      </c>
      <c r="F21" s="50">
        <v>13</v>
      </c>
      <c r="G21" s="50">
        <v>0</v>
      </c>
      <c r="H21" s="50">
        <v>1</v>
      </c>
      <c r="I21" s="50">
        <v>9</v>
      </c>
      <c r="J21" s="50">
        <v>4</v>
      </c>
      <c r="K21" s="50">
        <v>1</v>
      </c>
      <c r="L21" s="50">
        <v>0</v>
      </c>
      <c r="M21" s="50">
        <v>25</v>
      </c>
      <c r="N21" s="50">
        <v>0</v>
      </c>
      <c r="O21" s="15">
        <f t="shared" si="0"/>
        <v>40</v>
      </c>
      <c r="P21" s="15">
        <f t="shared" si="1"/>
        <v>65</v>
      </c>
      <c r="R21" s="36" t="s">
        <v>20</v>
      </c>
      <c r="S21" s="34">
        <f t="shared" ref="S21:AF21" si="13">SUM(C54:C57)</f>
        <v>65</v>
      </c>
      <c r="T21" s="17">
        <f t="shared" si="13"/>
        <v>6</v>
      </c>
      <c r="U21" s="17">
        <f t="shared" si="13"/>
        <v>10</v>
      </c>
      <c r="V21" s="17">
        <f t="shared" si="13"/>
        <v>60</v>
      </c>
      <c r="W21" s="17">
        <f t="shared" si="13"/>
        <v>2</v>
      </c>
      <c r="X21" s="17">
        <f t="shared" si="13"/>
        <v>3</v>
      </c>
      <c r="Y21" s="17">
        <f t="shared" si="13"/>
        <v>23</v>
      </c>
      <c r="Z21" s="17">
        <f t="shared" si="13"/>
        <v>13</v>
      </c>
      <c r="AA21" s="17">
        <f t="shared" si="13"/>
        <v>4</v>
      </c>
      <c r="AB21" s="17">
        <f t="shared" si="13"/>
        <v>2</v>
      </c>
      <c r="AC21" s="17">
        <f t="shared" si="13"/>
        <v>44</v>
      </c>
      <c r="AD21" s="17">
        <f t="shared" si="13"/>
        <v>0</v>
      </c>
      <c r="AE21" s="31">
        <f t="shared" si="13"/>
        <v>188</v>
      </c>
      <c r="AF21" s="31">
        <f t="shared" si="13"/>
        <v>232</v>
      </c>
    </row>
    <row r="22" spans="2:32" ht="23.1" customHeight="1" x14ac:dyDescent="0.25">
      <c r="B22" s="23" t="s">
        <v>49</v>
      </c>
      <c r="C22" s="50">
        <v>9</v>
      </c>
      <c r="D22" s="50">
        <v>1</v>
      </c>
      <c r="E22" s="50">
        <v>4</v>
      </c>
      <c r="F22" s="50">
        <v>7</v>
      </c>
      <c r="G22" s="50">
        <v>0</v>
      </c>
      <c r="H22" s="50">
        <v>0</v>
      </c>
      <c r="I22" s="50">
        <v>5</v>
      </c>
      <c r="J22" s="50">
        <v>2</v>
      </c>
      <c r="K22" s="50">
        <v>0</v>
      </c>
      <c r="L22" s="50">
        <v>1</v>
      </c>
      <c r="M22" s="50">
        <v>4</v>
      </c>
      <c r="N22" s="50">
        <v>0</v>
      </c>
      <c r="O22" s="15">
        <f t="shared" si="0"/>
        <v>29</v>
      </c>
      <c r="P22" s="15">
        <f t="shared" si="1"/>
        <v>33</v>
      </c>
      <c r="R22" s="38" t="s">
        <v>90</v>
      </c>
      <c r="S22" s="39">
        <f>MAX(S10:S12)</f>
        <v>67</v>
      </c>
      <c r="T22" s="39">
        <f t="shared" ref="T22:AF22" si="14">MAX(T10:T12)</f>
        <v>29</v>
      </c>
      <c r="U22" s="39">
        <f t="shared" si="14"/>
        <v>18</v>
      </c>
      <c r="V22" s="39">
        <f t="shared" si="14"/>
        <v>53</v>
      </c>
      <c r="W22" s="39">
        <f t="shared" si="14"/>
        <v>1</v>
      </c>
      <c r="X22" s="39">
        <f t="shared" si="14"/>
        <v>2</v>
      </c>
      <c r="Y22" s="39">
        <f t="shared" si="14"/>
        <v>32</v>
      </c>
      <c r="Z22" s="39">
        <f t="shared" si="14"/>
        <v>14</v>
      </c>
      <c r="AA22" s="39">
        <f t="shared" si="14"/>
        <v>5</v>
      </c>
      <c r="AB22" s="39">
        <f t="shared" si="14"/>
        <v>5</v>
      </c>
      <c r="AC22" s="39">
        <f t="shared" si="14"/>
        <v>81</v>
      </c>
      <c r="AD22" s="39">
        <f t="shared" si="14"/>
        <v>0</v>
      </c>
      <c r="AE22" s="40">
        <f t="shared" si="14"/>
        <v>182</v>
      </c>
      <c r="AF22" s="40">
        <f t="shared" si="14"/>
        <v>263</v>
      </c>
    </row>
    <row r="23" spans="2:32" ht="23.1" customHeight="1" x14ac:dyDescent="0.25">
      <c r="B23" s="23" t="s">
        <v>50</v>
      </c>
      <c r="C23" s="50">
        <v>15</v>
      </c>
      <c r="D23" s="50">
        <v>5</v>
      </c>
      <c r="E23" s="50">
        <v>5</v>
      </c>
      <c r="F23" s="50">
        <v>13</v>
      </c>
      <c r="G23" s="50">
        <v>1</v>
      </c>
      <c r="H23" s="50">
        <v>0</v>
      </c>
      <c r="I23" s="50">
        <v>5</v>
      </c>
      <c r="J23" s="50">
        <v>2</v>
      </c>
      <c r="K23" s="50">
        <v>1</v>
      </c>
      <c r="L23" s="50">
        <v>1</v>
      </c>
      <c r="M23" s="50">
        <v>10</v>
      </c>
      <c r="N23" s="50">
        <v>0</v>
      </c>
      <c r="O23" s="15">
        <f t="shared" si="0"/>
        <v>48</v>
      </c>
      <c r="P23" s="15">
        <f t="shared" si="1"/>
        <v>58</v>
      </c>
      <c r="R23" s="38" t="s">
        <v>91</v>
      </c>
      <c r="S23" s="39">
        <f>MAX(S13:S18)</f>
        <v>90</v>
      </c>
      <c r="T23" s="39">
        <f t="shared" ref="T23:AF23" si="15">MAX(T13:T18)</f>
        <v>25</v>
      </c>
      <c r="U23" s="39">
        <f t="shared" si="15"/>
        <v>20</v>
      </c>
      <c r="V23" s="39">
        <f t="shared" si="15"/>
        <v>68</v>
      </c>
      <c r="W23" s="39">
        <f t="shared" si="15"/>
        <v>5</v>
      </c>
      <c r="X23" s="39">
        <f t="shared" si="15"/>
        <v>3</v>
      </c>
      <c r="Y23" s="39">
        <f t="shared" si="15"/>
        <v>33</v>
      </c>
      <c r="Z23" s="39">
        <f t="shared" si="15"/>
        <v>21</v>
      </c>
      <c r="AA23" s="39">
        <f t="shared" si="15"/>
        <v>12</v>
      </c>
      <c r="AB23" s="39">
        <f t="shared" si="15"/>
        <v>8</v>
      </c>
      <c r="AC23" s="39">
        <f t="shared" si="15"/>
        <v>76</v>
      </c>
      <c r="AD23" s="39">
        <f t="shared" si="15"/>
        <v>0</v>
      </c>
      <c r="AE23" s="40">
        <f t="shared" si="15"/>
        <v>251</v>
      </c>
      <c r="AF23" s="40">
        <f t="shared" si="15"/>
        <v>327</v>
      </c>
    </row>
    <row r="24" spans="2:32" ht="23.1" customHeight="1" x14ac:dyDescent="0.25">
      <c r="B24" s="23" t="s">
        <v>51</v>
      </c>
      <c r="C24" s="50">
        <v>13</v>
      </c>
      <c r="D24" s="50">
        <v>5</v>
      </c>
      <c r="E24" s="50">
        <v>3</v>
      </c>
      <c r="F24" s="50">
        <v>9</v>
      </c>
      <c r="G24" s="50">
        <v>1</v>
      </c>
      <c r="H24" s="50">
        <v>0</v>
      </c>
      <c r="I24" s="50">
        <v>8</v>
      </c>
      <c r="J24" s="50">
        <v>5</v>
      </c>
      <c r="K24" s="50">
        <v>0</v>
      </c>
      <c r="L24" s="50">
        <v>1</v>
      </c>
      <c r="M24" s="50">
        <v>10</v>
      </c>
      <c r="N24" s="50">
        <v>0</v>
      </c>
      <c r="O24" s="15">
        <f t="shared" si="0"/>
        <v>45</v>
      </c>
      <c r="P24" s="15">
        <f t="shared" si="1"/>
        <v>55</v>
      </c>
      <c r="R24" s="38" t="s">
        <v>92</v>
      </c>
      <c r="S24" s="39">
        <f>MAX(S19:S21)</f>
        <v>70</v>
      </c>
      <c r="T24" s="39">
        <f t="shared" ref="T24:AF24" si="16">MAX(T19:T21)</f>
        <v>13</v>
      </c>
      <c r="U24" s="39">
        <f t="shared" si="16"/>
        <v>14</v>
      </c>
      <c r="V24" s="39">
        <f t="shared" si="16"/>
        <v>60</v>
      </c>
      <c r="W24" s="39">
        <f t="shared" si="16"/>
        <v>2</v>
      </c>
      <c r="X24" s="39">
        <f t="shared" si="16"/>
        <v>3</v>
      </c>
      <c r="Y24" s="39">
        <f t="shared" si="16"/>
        <v>30</v>
      </c>
      <c r="Z24" s="39">
        <f t="shared" si="16"/>
        <v>17</v>
      </c>
      <c r="AA24" s="39">
        <f t="shared" si="16"/>
        <v>5</v>
      </c>
      <c r="AB24" s="39">
        <f t="shared" si="16"/>
        <v>6</v>
      </c>
      <c r="AC24" s="39">
        <f t="shared" si="16"/>
        <v>66</v>
      </c>
      <c r="AD24" s="39">
        <f t="shared" si="16"/>
        <v>0</v>
      </c>
      <c r="AE24" s="40">
        <f t="shared" si="16"/>
        <v>204</v>
      </c>
      <c r="AF24" s="40">
        <f t="shared" si="16"/>
        <v>270</v>
      </c>
    </row>
    <row r="25" spans="2:32" ht="23.1" customHeight="1" x14ac:dyDescent="0.25">
      <c r="B25" s="23" t="s">
        <v>52</v>
      </c>
      <c r="C25" s="50">
        <v>8</v>
      </c>
      <c r="D25" s="50">
        <v>6</v>
      </c>
      <c r="E25" s="50">
        <v>3</v>
      </c>
      <c r="F25" s="50">
        <v>16</v>
      </c>
      <c r="G25" s="50">
        <v>2</v>
      </c>
      <c r="H25" s="50">
        <v>1</v>
      </c>
      <c r="I25" s="50">
        <v>4</v>
      </c>
      <c r="J25" s="50">
        <v>6</v>
      </c>
      <c r="K25" s="50">
        <v>1</v>
      </c>
      <c r="L25" s="50">
        <v>1</v>
      </c>
      <c r="M25" s="50">
        <v>15</v>
      </c>
      <c r="N25" s="50">
        <v>0</v>
      </c>
      <c r="O25" s="15">
        <f t="shared" si="0"/>
        <v>48</v>
      </c>
      <c r="P25" s="15">
        <f t="shared" si="1"/>
        <v>63</v>
      </c>
      <c r="R25" s="37" t="s">
        <v>85</v>
      </c>
      <c r="S25" s="35">
        <f t="shared" ref="S25:AF25" si="17">SUM(S10:S12)</f>
        <v>162</v>
      </c>
      <c r="T25" s="16">
        <f t="shared" si="17"/>
        <v>49</v>
      </c>
      <c r="U25" s="16">
        <f t="shared" si="17"/>
        <v>44</v>
      </c>
      <c r="V25" s="16">
        <f t="shared" si="17"/>
        <v>145</v>
      </c>
      <c r="W25" s="16">
        <f t="shared" si="17"/>
        <v>1</v>
      </c>
      <c r="X25" s="16">
        <f t="shared" si="17"/>
        <v>4</v>
      </c>
      <c r="Y25" s="16">
        <f t="shared" si="17"/>
        <v>87</v>
      </c>
      <c r="Z25" s="16">
        <f t="shared" si="17"/>
        <v>32</v>
      </c>
      <c r="AA25" s="16">
        <f t="shared" si="17"/>
        <v>9</v>
      </c>
      <c r="AB25" s="16">
        <f t="shared" si="17"/>
        <v>5</v>
      </c>
      <c r="AC25" s="16">
        <f t="shared" si="17"/>
        <v>209</v>
      </c>
      <c r="AD25" s="16">
        <f t="shared" si="17"/>
        <v>0</v>
      </c>
      <c r="AE25" s="32">
        <f t="shared" si="17"/>
        <v>538</v>
      </c>
      <c r="AF25" s="32">
        <f t="shared" si="17"/>
        <v>747</v>
      </c>
    </row>
    <row r="26" spans="2:32" ht="23.1" customHeight="1" x14ac:dyDescent="0.25">
      <c r="B26" s="23" t="s">
        <v>53</v>
      </c>
      <c r="C26" s="50">
        <v>17</v>
      </c>
      <c r="D26" s="50">
        <v>3</v>
      </c>
      <c r="E26" s="50">
        <v>5</v>
      </c>
      <c r="F26" s="50">
        <v>16</v>
      </c>
      <c r="G26" s="50">
        <v>0</v>
      </c>
      <c r="H26" s="50">
        <v>1</v>
      </c>
      <c r="I26" s="50">
        <v>7</v>
      </c>
      <c r="J26" s="50">
        <v>4</v>
      </c>
      <c r="K26" s="50">
        <v>1</v>
      </c>
      <c r="L26" s="50">
        <v>3</v>
      </c>
      <c r="M26" s="50">
        <v>23</v>
      </c>
      <c r="N26" s="50">
        <v>0</v>
      </c>
      <c r="O26" s="15">
        <f t="shared" si="0"/>
        <v>57</v>
      </c>
      <c r="P26" s="15">
        <f t="shared" si="1"/>
        <v>80</v>
      </c>
      <c r="R26" s="28" t="s">
        <v>86</v>
      </c>
      <c r="S26" s="16">
        <f t="shared" ref="S26:AF26" si="18">SUM(S13:S18)</f>
        <v>396</v>
      </c>
      <c r="T26" s="16">
        <f t="shared" si="18"/>
        <v>95</v>
      </c>
      <c r="U26" s="16">
        <f t="shared" si="18"/>
        <v>90</v>
      </c>
      <c r="V26" s="16">
        <f t="shared" si="18"/>
        <v>357</v>
      </c>
      <c r="W26" s="16">
        <f t="shared" si="18"/>
        <v>19</v>
      </c>
      <c r="X26" s="16">
        <f t="shared" si="18"/>
        <v>12</v>
      </c>
      <c r="Y26" s="16">
        <f t="shared" si="18"/>
        <v>152</v>
      </c>
      <c r="Z26" s="16">
        <f t="shared" si="18"/>
        <v>89</v>
      </c>
      <c r="AA26" s="16">
        <f t="shared" si="18"/>
        <v>26</v>
      </c>
      <c r="AB26" s="16">
        <f t="shared" si="18"/>
        <v>26</v>
      </c>
      <c r="AC26" s="16">
        <f t="shared" si="18"/>
        <v>323</v>
      </c>
      <c r="AD26" s="16">
        <f t="shared" si="18"/>
        <v>0</v>
      </c>
      <c r="AE26" s="32">
        <f t="shared" si="18"/>
        <v>1262</v>
      </c>
      <c r="AF26" s="32">
        <f t="shared" si="18"/>
        <v>1585</v>
      </c>
    </row>
    <row r="27" spans="2:32" ht="23.1" customHeight="1" x14ac:dyDescent="0.25">
      <c r="B27" s="23" t="s">
        <v>54</v>
      </c>
      <c r="C27" s="50">
        <v>25</v>
      </c>
      <c r="D27" s="50">
        <v>2</v>
      </c>
      <c r="E27" s="50">
        <v>3</v>
      </c>
      <c r="F27" s="50">
        <v>17</v>
      </c>
      <c r="G27" s="50">
        <v>2</v>
      </c>
      <c r="H27" s="50">
        <v>0</v>
      </c>
      <c r="I27" s="50">
        <v>8</v>
      </c>
      <c r="J27" s="50">
        <v>2</v>
      </c>
      <c r="K27" s="50">
        <v>0</v>
      </c>
      <c r="L27" s="50">
        <v>2</v>
      </c>
      <c r="M27" s="50">
        <v>25</v>
      </c>
      <c r="N27" s="50">
        <v>0</v>
      </c>
      <c r="O27" s="15">
        <f t="shared" si="0"/>
        <v>61</v>
      </c>
      <c r="P27" s="15">
        <f t="shared" si="1"/>
        <v>86</v>
      </c>
      <c r="R27" s="29" t="s">
        <v>87</v>
      </c>
      <c r="S27" s="16">
        <f t="shared" ref="S27:AF27" si="19">SUM(S19:S21)</f>
        <v>189</v>
      </c>
      <c r="T27" s="16">
        <f t="shared" si="19"/>
        <v>30</v>
      </c>
      <c r="U27" s="16">
        <f t="shared" si="19"/>
        <v>37</v>
      </c>
      <c r="V27" s="16">
        <f t="shared" si="19"/>
        <v>165</v>
      </c>
      <c r="W27" s="16">
        <f t="shared" si="19"/>
        <v>3</v>
      </c>
      <c r="X27" s="16">
        <f t="shared" si="19"/>
        <v>6</v>
      </c>
      <c r="Y27" s="16">
        <f t="shared" si="19"/>
        <v>74</v>
      </c>
      <c r="Z27" s="16">
        <f t="shared" si="19"/>
        <v>43</v>
      </c>
      <c r="AA27" s="16">
        <f t="shared" si="19"/>
        <v>14</v>
      </c>
      <c r="AB27" s="16">
        <f t="shared" si="19"/>
        <v>9</v>
      </c>
      <c r="AC27" s="16">
        <f t="shared" si="19"/>
        <v>143</v>
      </c>
      <c r="AD27" s="16">
        <f t="shared" si="19"/>
        <v>0</v>
      </c>
      <c r="AE27" s="32">
        <f t="shared" si="19"/>
        <v>570</v>
      </c>
      <c r="AF27" s="32">
        <f t="shared" si="19"/>
        <v>713</v>
      </c>
    </row>
    <row r="28" spans="2:32" ht="23.1" customHeight="1" x14ac:dyDescent="0.25">
      <c r="B28" s="23" t="s">
        <v>55</v>
      </c>
      <c r="C28" s="50">
        <v>22</v>
      </c>
      <c r="D28" s="50">
        <v>3</v>
      </c>
      <c r="E28" s="50">
        <v>3</v>
      </c>
      <c r="F28" s="50">
        <v>12</v>
      </c>
      <c r="G28" s="50">
        <v>0</v>
      </c>
      <c r="H28" s="50">
        <v>2</v>
      </c>
      <c r="I28" s="50">
        <v>7</v>
      </c>
      <c r="J28" s="50">
        <v>7</v>
      </c>
      <c r="K28" s="50">
        <v>1</v>
      </c>
      <c r="L28" s="50">
        <v>3</v>
      </c>
      <c r="M28" s="50">
        <v>14</v>
      </c>
      <c r="N28" s="50">
        <v>0</v>
      </c>
      <c r="O28" s="15">
        <f t="shared" si="0"/>
        <v>60</v>
      </c>
      <c r="P28" s="15">
        <f t="shared" si="1"/>
        <v>74</v>
      </c>
      <c r="R28" s="5" t="s">
        <v>17</v>
      </c>
      <c r="S28" s="16">
        <f t="shared" ref="S28:AF28" si="20">SUM(S10:S21)</f>
        <v>747</v>
      </c>
      <c r="T28" s="16">
        <f t="shared" si="20"/>
        <v>174</v>
      </c>
      <c r="U28" s="16">
        <f t="shared" si="20"/>
        <v>171</v>
      </c>
      <c r="V28" s="16">
        <f t="shared" si="20"/>
        <v>667</v>
      </c>
      <c r="W28" s="16">
        <f t="shared" si="20"/>
        <v>23</v>
      </c>
      <c r="X28" s="16">
        <f t="shared" si="20"/>
        <v>22</v>
      </c>
      <c r="Y28" s="16">
        <f t="shared" si="20"/>
        <v>313</v>
      </c>
      <c r="Z28" s="16">
        <f t="shared" si="20"/>
        <v>164</v>
      </c>
      <c r="AA28" s="16">
        <f t="shared" si="20"/>
        <v>49</v>
      </c>
      <c r="AB28" s="16">
        <f t="shared" si="20"/>
        <v>40</v>
      </c>
      <c r="AC28" s="16">
        <f t="shared" si="20"/>
        <v>675</v>
      </c>
      <c r="AD28" s="16">
        <f t="shared" si="20"/>
        <v>0</v>
      </c>
      <c r="AE28" s="32">
        <f t="shared" si="20"/>
        <v>2370</v>
      </c>
      <c r="AF28" s="32">
        <f t="shared" si="20"/>
        <v>3045</v>
      </c>
    </row>
    <row r="29" spans="2:32" ht="23.1" customHeight="1" x14ac:dyDescent="0.25">
      <c r="B29" s="23" t="s">
        <v>56</v>
      </c>
      <c r="C29" s="50">
        <v>26</v>
      </c>
      <c r="D29" s="50">
        <v>5</v>
      </c>
      <c r="E29" s="50">
        <v>5</v>
      </c>
      <c r="F29" s="50">
        <v>23</v>
      </c>
      <c r="G29" s="50">
        <v>1</v>
      </c>
      <c r="H29" s="50">
        <v>0</v>
      </c>
      <c r="I29" s="50">
        <v>8</v>
      </c>
      <c r="J29" s="50">
        <v>4</v>
      </c>
      <c r="K29" s="50">
        <v>1</v>
      </c>
      <c r="L29" s="50">
        <v>0</v>
      </c>
      <c r="M29" s="50">
        <v>14</v>
      </c>
      <c r="N29" s="50">
        <v>0</v>
      </c>
      <c r="O29" s="15">
        <f t="shared" si="0"/>
        <v>73</v>
      </c>
      <c r="P29" s="15">
        <f t="shared" si="1"/>
        <v>87</v>
      </c>
      <c r="R29"/>
      <c r="S29" s="20"/>
      <c r="T29" s="19"/>
    </row>
    <row r="30" spans="2:32" ht="23.1" customHeight="1" x14ac:dyDescent="0.25">
      <c r="B30" s="23" t="s">
        <v>57</v>
      </c>
      <c r="C30" s="50">
        <v>23</v>
      </c>
      <c r="D30" s="50">
        <v>5</v>
      </c>
      <c r="E30" s="50">
        <v>4</v>
      </c>
      <c r="F30" s="50">
        <v>20</v>
      </c>
      <c r="G30" s="50">
        <v>1</v>
      </c>
      <c r="H30" s="50">
        <v>1</v>
      </c>
      <c r="I30" s="50">
        <v>8</v>
      </c>
      <c r="J30" s="50">
        <v>3</v>
      </c>
      <c r="K30" s="50">
        <v>2</v>
      </c>
      <c r="L30" s="50">
        <v>0</v>
      </c>
      <c r="M30" s="50">
        <v>13</v>
      </c>
      <c r="N30" s="50">
        <v>0</v>
      </c>
      <c r="O30" s="15">
        <f t="shared" si="0"/>
        <v>67</v>
      </c>
      <c r="P30" s="15">
        <f t="shared" si="1"/>
        <v>80</v>
      </c>
    </row>
    <row r="31" spans="2:32" ht="23.1" customHeight="1" x14ac:dyDescent="0.25">
      <c r="B31" s="24" t="s">
        <v>58</v>
      </c>
      <c r="C31" s="50">
        <v>11</v>
      </c>
      <c r="D31" s="50">
        <v>11</v>
      </c>
      <c r="E31" s="50">
        <v>8</v>
      </c>
      <c r="F31" s="50">
        <v>19</v>
      </c>
      <c r="G31" s="50">
        <v>1</v>
      </c>
      <c r="H31" s="50">
        <v>0</v>
      </c>
      <c r="I31" s="50">
        <v>2</v>
      </c>
      <c r="J31" s="50">
        <v>2</v>
      </c>
      <c r="K31" s="50">
        <v>0</v>
      </c>
      <c r="L31" s="50">
        <v>1</v>
      </c>
      <c r="M31" s="50">
        <v>14</v>
      </c>
      <c r="N31" s="50">
        <v>0</v>
      </c>
      <c r="O31" s="15">
        <f t="shared" si="0"/>
        <v>55</v>
      </c>
      <c r="P31" s="15">
        <f t="shared" si="1"/>
        <v>69</v>
      </c>
    </row>
    <row r="32" spans="2:32" ht="23.1" customHeight="1" x14ac:dyDescent="0.25">
      <c r="B32" s="24" t="s">
        <v>59</v>
      </c>
      <c r="C32" s="50">
        <v>21</v>
      </c>
      <c r="D32" s="50">
        <v>6</v>
      </c>
      <c r="E32" s="50">
        <v>5</v>
      </c>
      <c r="F32" s="50">
        <v>19</v>
      </c>
      <c r="G32" s="50">
        <v>2</v>
      </c>
      <c r="H32" s="50">
        <v>0</v>
      </c>
      <c r="I32" s="50">
        <v>8</v>
      </c>
      <c r="J32" s="50">
        <v>4</v>
      </c>
      <c r="K32" s="50">
        <v>0</v>
      </c>
      <c r="L32" s="50">
        <v>1</v>
      </c>
      <c r="M32" s="50">
        <v>21</v>
      </c>
      <c r="N32" s="50">
        <v>0</v>
      </c>
      <c r="O32" s="15">
        <f t="shared" si="0"/>
        <v>66</v>
      </c>
      <c r="P32" s="15">
        <f t="shared" si="1"/>
        <v>87</v>
      </c>
    </row>
    <row r="33" spans="2:20" ht="23.1" customHeight="1" x14ac:dyDescent="0.25">
      <c r="B33" s="23" t="s">
        <v>60</v>
      </c>
      <c r="C33" s="50">
        <v>8</v>
      </c>
      <c r="D33" s="50">
        <v>3</v>
      </c>
      <c r="E33" s="50">
        <v>3</v>
      </c>
      <c r="F33" s="50">
        <v>7</v>
      </c>
      <c r="G33" s="50">
        <v>0</v>
      </c>
      <c r="H33" s="50">
        <v>0</v>
      </c>
      <c r="I33" s="50">
        <v>3</v>
      </c>
      <c r="J33" s="50">
        <v>3</v>
      </c>
      <c r="K33" s="50">
        <v>1</v>
      </c>
      <c r="L33" s="50">
        <v>0</v>
      </c>
      <c r="M33" s="50">
        <v>13</v>
      </c>
      <c r="N33" s="50">
        <v>0</v>
      </c>
      <c r="O33" s="15">
        <f t="shared" si="0"/>
        <v>28</v>
      </c>
      <c r="P33" s="15">
        <f t="shared" si="1"/>
        <v>41</v>
      </c>
    </row>
    <row r="34" spans="2:20" ht="23.1" customHeight="1" x14ac:dyDescent="0.25">
      <c r="B34" s="24" t="s">
        <v>61</v>
      </c>
      <c r="C34" s="50">
        <v>17</v>
      </c>
      <c r="D34" s="50">
        <v>7</v>
      </c>
      <c r="E34" s="50">
        <v>5</v>
      </c>
      <c r="F34" s="50">
        <v>14</v>
      </c>
      <c r="G34" s="50">
        <v>2</v>
      </c>
      <c r="H34" s="50">
        <v>2</v>
      </c>
      <c r="I34" s="50">
        <v>6</v>
      </c>
      <c r="J34" s="50">
        <v>4</v>
      </c>
      <c r="K34" s="50">
        <v>2</v>
      </c>
      <c r="L34" s="50">
        <v>1</v>
      </c>
      <c r="M34" s="50">
        <v>14</v>
      </c>
      <c r="N34" s="50">
        <v>0</v>
      </c>
      <c r="O34" s="15">
        <f t="shared" si="0"/>
        <v>60</v>
      </c>
      <c r="P34" s="15">
        <f t="shared" si="1"/>
        <v>74</v>
      </c>
    </row>
    <row r="35" spans="2:20" ht="23.1" customHeight="1" x14ac:dyDescent="0.25">
      <c r="B35" s="24" t="s">
        <v>62</v>
      </c>
      <c r="C35" s="50">
        <v>24</v>
      </c>
      <c r="D35" s="50">
        <v>5</v>
      </c>
      <c r="E35" s="50">
        <v>3</v>
      </c>
      <c r="F35" s="50">
        <v>13</v>
      </c>
      <c r="G35" s="50">
        <v>2</v>
      </c>
      <c r="H35" s="50">
        <v>0</v>
      </c>
      <c r="I35" s="50">
        <v>8</v>
      </c>
      <c r="J35" s="50">
        <v>1</v>
      </c>
      <c r="K35" s="50">
        <v>1</v>
      </c>
      <c r="L35" s="50">
        <v>0</v>
      </c>
      <c r="M35" s="50">
        <v>11</v>
      </c>
      <c r="N35" s="50">
        <v>0</v>
      </c>
      <c r="O35" s="15">
        <f t="shared" si="0"/>
        <v>57</v>
      </c>
      <c r="P35" s="15">
        <f t="shared" si="1"/>
        <v>68</v>
      </c>
    </row>
    <row r="36" spans="2:20" ht="23.1" customHeight="1" x14ac:dyDescent="0.25">
      <c r="B36" s="24" t="s">
        <v>63</v>
      </c>
      <c r="C36" s="50">
        <v>8</v>
      </c>
      <c r="D36" s="50">
        <v>1</v>
      </c>
      <c r="E36" s="50">
        <v>2</v>
      </c>
      <c r="F36" s="50">
        <v>5</v>
      </c>
      <c r="G36" s="50">
        <v>1</v>
      </c>
      <c r="H36" s="50">
        <v>1</v>
      </c>
      <c r="I36" s="50">
        <v>5</v>
      </c>
      <c r="J36" s="50">
        <v>4</v>
      </c>
      <c r="K36" s="50">
        <v>1</v>
      </c>
      <c r="L36" s="50">
        <v>0</v>
      </c>
      <c r="M36" s="50">
        <v>9</v>
      </c>
      <c r="N36" s="50">
        <v>0</v>
      </c>
      <c r="O36" s="15">
        <f t="shared" si="0"/>
        <v>28</v>
      </c>
      <c r="P36" s="15">
        <f t="shared" si="1"/>
        <v>37</v>
      </c>
    </row>
    <row r="37" spans="2:20" ht="23.1" customHeight="1" x14ac:dyDescent="0.25">
      <c r="B37" s="23" t="s">
        <v>64</v>
      </c>
      <c r="C37" s="50">
        <v>14</v>
      </c>
      <c r="D37" s="50">
        <v>1</v>
      </c>
      <c r="E37" s="50">
        <v>4</v>
      </c>
      <c r="F37" s="50">
        <v>15</v>
      </c>
      <c r="G37" s="50">
        <v>0</v>
      </c>
      <c r="H37" s="50">
        <v>0</v>
      </c>
      <c r="I37" s="50">
        <v>7</v>
      </c>
      <c r="J37" s="50">
        <v>2</v>
      </c>
      <c r="K37" s="50">
        <v>0</v>
      </c>
      <c r="L37" s="50">
        <v>5</v>
      </c>
      <c r="M37" s="50">
        <v>15</v>
      </c>
      <c r="N37" s="50">
        <v>0</v>
      </c>
      <c r="O37" s="15">
        <f t="shared" si="0"/>
        <v>48</v>
      </c>
      <c r="P37" s="15">
        <f t="shared" si="1"/>
        <v>63</v>
      </c>
    </row>
    <row r="38" spans="2:20" ht="23.1" customHeight="1" x14ac:dyDescent="0.25">
      <c r="B38" s="24" t="s">
        <v>65</v>
      </c>
      <c r="C38" s="50">
        <v>19</v>
      </c>
      <c r="D38" s="50">
        <v>3</v>
      </c>
      <c r="E38" s="50">
        <v>8</v>
      </c>
      <c r="F38" s="50">
        <v>17</v>
      </c>
      <c r="G38" s="50">
        <v>1</v>
      </c>
      <c r="H38" s="50">
        <v>0</v>
      </c>
      <c r="I38" s="50">
        <v>9</v>
      </c>
      <c r="J38" s="50">
        <v>5</v>
      </c>
      <c r="K38" s="50">
        <v>1</v>
      </c>
      <c r="L38" s="50">
        <v>1</v>
      </c>
      <c r="M38" s="50">
        <v>20</v>
      </c>
      <c r="N38" s="50">
        <v>0</v>
      </c>
      <c r="O38" s="15">
        <f t="shared" si="0"/>
        <v>64</v>
      </c>
      <c r="P38" s="15">
        <f t="shared" si="1"/>
        <v>84</v>
      </c>
    </row>
    <row r="39" spans="2:20" ht="23.1" customHeight="1" x14ac:dyDescent="0.25">
      <c r="B39" s="24" t="s">
        <v>66</v>
      </c>
      <c r="C39" s="50">
        <v>13</v>
      </c>
      <c r="D39" s="50">
        <v>3</v>
      </c>
      <c r="E39" s="50">
        <v>0</v>
      </c>
      <c r="F39" s="50">
        <v>10</v>
      </c>
      <c r="G39" s="50">
        <v>2</v>
      </c>
      <c r="H39" s="50">
        <v>1</v>
      </c>
      <c r="I39" s="50">
        <v>2</v>
      </c>
      <c r="J39" s="50">
        <v>1</v>
      </c>
      <c r="K39" s="50">
        <v>0</v>
      </c>
      <c r="L39" s="50">
        <v>1</v>
      </c>
      <c r="M39" s="50">
        <v>9</v>
      </c>
      <c r="N39" s="50">
        <v>0</v>
      </c>
      <c r="O39" s="15">
        <f t="shared" si="0"/>
        <v>33</v>
      </c>
      <c r="P39" s="15">
        <f t="shared" si="1"/>
        <v>42</v>
      </c>
    </row>
    <row r="40" spans="2:20" ht="23.1" customHeight="1" x14ac:dyDescent="0.25">
      <c r="B40" s="24" t="s">
        <v>67</v>
      </c>
      <c r="C40" s="50">
        <v>15</v>
      </c>
      <c r="D40" s="50">
        <v>7</v>
      </c>
      <c r="E40" s="50">
        <v>3</v>
      </c>
      <c r="F40" s="50">
        <v>17</v>
      </c>
      <c r="G40" s="50">
        <v>0</v>
      </c>
      <c r="H40" s="50">
        <v>0</v>
      </c>
      <c r="I40" s="50">
        <v>3</v>
      </c>
      <c r="J40" s="50">
        <v>3</v>
      </c>
      <c r="K40" s="50">
        <v>1</v>
      </c>
      <c r="L40" s="50">
        <v>1</v>
      </c>
      <c r="M40" s="50">
        <v>10</v>
      </c>
      <c r="N40" s="50">
        <v>0</v>
      </c>
      <c r="O40" s="15">
        <f t="shared" si="0"/>
        <v>50</v>
      </c>
      <c r="P40" s="15">
        <f t="shared" si="1"/>
        <v>60</v>
      </c>
    </row>
    <row r="41" spans="2:20" ht="23.1" customHeight="1" x14ac:dyDescent="0.25">
      <c r="B41" s="23" t="s">
        <v>68</v>
      </c>
      <c r="C41" s="50">
        <v>15</v>
      </c>
      <c r="D41" s="50">
        <v>5</v>
      </c>
      <c r="E41" s="50">
        <v>4</v>
      </c>
      <c r="F41" s="50">
        <v>23</v>
      </c>
      <c r="G41" s="50">
        <v>0</v>
      </c>
      <c r="H41" s="50">
        <v>1</v>
      </c>
      <c r="I41" s="50">
        <v>6</v>
      </c>
      <c r="J41" s="50">
        <v>4</v>
      </c>
      <c r="K41" s="50">
        <v>0</v>
      </c>
      <c r="L41" s="50">
        <v>1</v>
      </c>
      <c r="M41" s="50">
        <v>14</v>
      </c>
      <c r="N41" s="50">
        <v>0</v>
      </c>
      <c r="O41" s="15">
        <f t="shared" si="0"/>
        <v>59</v>
      </c>
      <c r="P41" s="15">
        <f t="shared" si="1"/>
        <v>73</v>
      </c>
    </row>
    <row r="42" spans="2:20" ht="23.1" customHeight="1" x14ac:dyDescent="0.25">
      <c r="B42" s="24" t="s">
        <v>69</v>
      </c>
      <c r="C42" s="50">
        <v>12</v>
      </c>
      <c r="D42" s="50">
        <v>2</v>
      </c>
      <c r="E42" s="50">
        <v>3</v>
      </c>
      <c r="F42" s="50">
        <v>23</v>
      </c>
      <c r="G42" s="50">
        <v>0</v>
      </c>
      <c r="H42" s="50">
        <v>0</v>
      </c>
      <c r="I42" s="50">
        <v>5</v>
      </c>
      <c r="J42" s="50">
        <v>4</v>
      </c>
      <c r="K42" s="50">
        <v>6</v>
      </c>
      <c r="L42" s="50">
        <v>2</v>
      </c>
      <c r="M42" s="50">
        <v>12</v>
      </c>
      <c r="N42" s="50">
        <v>0</v>
      </c>
      <c r="O42" s="15">
        <f t="shared" si="0"/>
        <v>57</v>
      </c>
      <c r="P42" s="15">
        <f t="shared" si="1"/>
        <v>69</v>
      </c>
    </row>
    <row r="43" spans="2:20" ht="23.1" customHeight="1" x14ac:dyDescent="0.25">
      <c r="B43" s="23" t="s">
        <v>70</v>
      </c>
      <c r="C43" s="50">
        <v>15</v>
      </c>
      <c r="D43" s="50">
        <v>4</v>
      </c>
      <c r="E43" s="50">
        <v>2</v>
      </c>
      <c r="F43" s="50">
        <v>16</v>
      </c>
      <c r="G43" s="50">
        <v>0</v>
      </c>
      <c r="H43" s="50">
        <v>1</v>
      </c>
      <c r="I43" s="50">
        <v>19</v>
      </c>
      <c r="J43" s="50">
        <v>5</v>
      </c>
      <c r="K43" s="50">
        <v>3</v>
      </c>
      <c r="L43" s="50">
        <v>0</v>
      </c>
      <c r="M43" s="50">
        <v>6</v>
      </c>
      <c r="N43" s="50">
        <v>0</v>
      </c>
      <c r="O43" s="15">
        <f t="shared" si="0"/>
        <v>65</v>
      </c>
      <c r="P43" s="15">
        <f t="shared" si="1"/>
        <v>71</v>
      </c>
    </row>
    <row r="44" spans="2:20" ht="23.1" customHeight="1" x14ac:dyDescent="0.25">
      <c r="B44" s="25" t="s">
        <v>71</v>
      </c>
      <c r="C44" s="50">
        <v>23</v>
      </c>
      <c r="D44" s="50">
        <v>1</v>
      </c>
      <c r="E44" s="50">
        <v>3</v>
      </c>
      <c r="F44" s="50">
        <v>13</v>
      </c>
      <c r="G44" s="50">
        <v>0</v>
      </c>
      <c r="H44" s="50">
        <v>1</v>
      </c>
      <c r="I44" s="50">
        <v>5</v>
      </c>
      <c r="J44" s="50">
        <v>1</v>
      </c>
      <c r="K44" s="50">
        <v>1</v>
      </c>
      <c r="L44" s="50">
        <v>0</v>
      </c>
      <c r="M44" s="50">
        <v>11</v>
      </c>
      <c r="N44" s="50">
        <v>0</v>
      </c>
      <c r="O44" s="15">
        <f t="shared" si="0"/>
        <v>48</v>
      </c>
      <c r="P44" s="15">
        <f t="shared" si="1"/>
        <v>59</v>
      </c>
    </row>
    <row r="45" spans="2:20" ht="23.1" customHeight="1" x14ac:dyDescent="0.25">
      <c r="B45" s="23" t="s">
        <v>72</v>
      </c>
      <c r="C45" s="50">
        <v>23</v>
      </c>
      <c r="D45" s="50">
        <v>1</v>
      </c>
      <c r="E45" s="50">
        <v>2</v>
      </c>
      <c r="F45" s="50">
        <v>13</v>
      </c>
      <c r="G45" s="50">
        <v>0</v>
      </c>
      <c r="H45" s="50">
        <v>0</v>
      </c>
      <c r="I45" s="50">
        <v>4</v>
      </c>
      <c r="J45" s="50">
        <v>11</v>
      </c>
      <c r="K45" s="50">
        <v>2</v>
      </c>
      <c r="L45" s="50">
        <v>0</v>
      </c>
      <c r="M45" s="50">
        <v>16</v>
      </c>
      <c r="N45" s="50">
        <v>0</v>
      </c>
      <c r="O45" s="15">
        <f t="shared" si="0"/>
        <v>56</v>
      </c>
      <c r="P45" s="15">
        <f t="shared" si="1"/>
        <v>72</v>
      </c>
    </row>
    <row r="46" spans="2:20" ht="23.1" customHeight="1" x14ac:dyDescent="0.25">
      <c r="B46" s="24" t="s">
        <v>73</v>
      </c>
      <c r="C46" s="50">
        <v>13</v>
      </c>
      <c r="D46" s="50">
        <v>4</v>
      </c>
      <c r="E46" s="50">
        <v>2</v>
      </c>
      <c r="F46" s="50">
        <v>9</v>
      </c>
      <c r="G46" s="50">
        <v>0</v>
      </c>
      <c r="H46" s="50">
        <v>2</v>
      </c>
      <c r="I46" s="50">
        <v>6</v>
      </c>
      <c r="J46" s="50">
        <v>3</v>
      </c>
      <c r="K46" s="50">
        <v>2</v>
      </c>
      <c r="L46" s="50">
        <v>1</v>
      </c>
      <c r="M46" s="50">
        <v>17</v>
      </c>
      <c r="N46" s="50">
        <v>0</v>
      </c>
      <c r="O46" s="15">
        <f t="shared" si="0"/>
        <v>42</v>
      </c>
      <c r="P46" s="15">
        <f t="shared" si="1"/>
        <v>59</v>
      </c>
      <c r="R46" s="8"/>
      <c r="T46"/>
    </row>
    <row r="47" spans="2:20" ht="23.1" customHeight="1" x14ac:dyDescent="0.25">
      <c r="B47" s="24" t="s">
        <v>74</v>
      </c>
      <c r="C47" s="50">
        <v>15</v>
      </c>
      <c r="D47" s="50">
        <v>3</v>
      </c>
      <c r="E47" s="50">
        <v>4</v>
      </c>
      <c r="F47" s="50">
        <v>12</v>
      </c>
      <c r="G47" s="50">
        <v>1</v>
      </c>
      <c r="H47" s="50">
        <v>0</v>
      </c>
      <c r="I47" s="50">
        <v>4</v>
      </c>
      <c r="J47" s="50">
        <v>4</v>
      </c>
      <c r="K47" s="50">
        <v>1</v>
      </c>
      <c r="L47" s="50">
        <v>1</v>
      </c>
      <c r="M47" s="50">
        <v>14</v>
      </c>
      <c r="N47" s="50">
        <v>0</v>
      </c>
      <c r="O47" s="15">
        <f t="shared" si="0"/>
        <v>45</v>
      </c>
      <c r="P47" s="15">
        <f t="shared" si="1"/>
        <v>59</v>
      </c>
      <c r="R47" s="8"/>
      <c r="T47"/>
    </row>
    <row r="48" spans="2:20" ht="23.1" customHeight="1" x14ac:dyDescent="0.25">
      <c r="B48" s="24" t="s">
        <v>75</v>
      </c>
      <c r="C48" s="50">
        <v>14</v>
      </c>
      <c r="D48" s="50">
        <v>3</v>
      </c>
      <c r="E48" s="50">
        <v>4</v>
      </c>
      <c r="F48" s="50">
        <v>13</v>
      </c>
      <c r="G48" s="50">
        <v>0</v>
      </c>
      <c r="H48" s="50">
        <v>0</v>
      </c>
      <c r="I48" s="50">
        <v>14</v>
      </c>
      <c r="J48" s="50">
        <v>7</v>
      </c>
      <c r="K48" s="50">
        <v>0</v>
      </c>
      <c r="L48" s="50">
        <v>3</v>
      </c>
      <c r="M48" s="50">
        <v>18</v>
      </c>
      <c r="N48" s="50">
        <v>0</v>
      </c>
      <c r="O48" s="15">
        <f t="shared" si="0"/>
        <v>58</v>
      </c>
      <c r="P48" s="15">
        <f t="shared" si="1"/>
        <v>76</v>
      </c>
      <c r="R48" s="8"/>
      <c r="T48"/>
    </row>
    <row r="49" spans="2:20" ht="23.1" customHeight="1" x14ac:dyDescent="0.25">
      <c r="B49" s="23" t="s">
        <v>76</v>
      </c>
      <c r="C49" s="50">
        <v>28</v>
      </c>
      <c r="D49" s="50">
        <v>1</v>
      </c>
      <c r="E49" s="50">
        <v>3</v>
      </c>
      <c r="F49" s="50">
        <v>15</v>
      </c>
      <c r="G49" s="50">
        <v>0</v>
      </c>
      <c r="H49" s="50">
        <v>0</v>
      </c>
      <c r="I49" s="50">
        <v>6</v>
      </c>
      <c r="J49" s="50">
        <v>3</v>
      </c>
      <c r="K49" s="50">
        <v>2</v>
      </c>
      <c r="L49" s="50">
        <v>1</v>
      </c>
      <c r="M49" s="50">
        <v>17</v>
      </c>
      <c r="N49" s="50">
        <v>0</v>
      </c>
      <c r="O49" s="15">
        <f t="shared" si="0"/>
        <v>59</v>
      </c>
      <c r="P49" s="15">
        <f t="shared" si="1"/>
        <v>76</v>
      </c>
      <c r="R49" s="8"/>
      <c r="T49"/>
    </row>
    <row r="50" spans="2:20" ht="23.1" customHeight="1" x14ac:dyDescent="0.25">
      <c r="B50" s="24" t="s">
        <v>77</v>
      </c>
      <c r="C50" s="50">
        <v>19</v>
      </c>
      <c r="D50" s="50">
        <v>4</v>
      </c>
      <c r="E50" s="50">
        <v>3</v>
      </c>
      <c r="F50" s="50">
        <v>15</v>
      </c>
      <c r="G50" s="50">
        <v>0</v>
      </c>
      <c r="H50" s="50">
        <v>1</v>
      </c>
      <c r="I50" s="50">
        <v>5</v>
      </c>
      <c r="J50" s="50">
        <v>4</v>
      </c>
      <c r="K50" s="50">
        <v>1</v>
      </c>
      <c r="L50" s="50">
        <v>0</v>
      </c>
      <c r="M50" s="50">
        <v>9</v>
      </c>
      <c r="N50" s="50">
        <v>0</v>
      </c>
      <c r="O50" s="15">
        <f t="shared" si="0"/>
        <v>52</v>
      </c>
      <c r="P50" s="15">
        <f t="shared" si="1"/>
        <v>61</v>
      </c>
      <c r="R50" s="8"/>
      <c r="T50"/>
    </row>
    <row r="51" spans="2:20" ht="23.1" customHeight="1" x14ac:dyDescent="0.25">
      <c r="B51" s="24" t="s">
        <v>78</v>
      </c>
      <c r="C51" s="50">
        <v>15</v>
      </c>
      <c r="D51" s="50">
        <v>4</v>
      </c>
      <c r="E51" s="50">
        <v>1</v>
      </c>
      <c r="F51" s="50">
        <v>19</v>
      </c>
      <c r="G51" s="50">
        <v>0</v>
      </c>
      <c r="H51" s="50">
        <v>0</v>
      </c>
      <c r="I51" s="50">
        <v>3</v>
      </c>
      <c r="J51" s="50">
        <v>2</v>
      </c>
      <c r="K51" s="50">
        <v>3</v>
      </c>
      <c r="L51" s="50">
        <v>1</v>
      </c>
      <c r="M51" s="50">
        <v>7</v>
      </c>
      <c r="N51" s="50">
        <v>0</v>
      </c>
      <c r="O51" s="15">
        <f t="shared" si="0"/>
        <v>48</v>
      </c>
      <c r="P51" s="15">
        <f t="shared" si="1"/>
        <v>55</v>
      </c>
      <c r="R51" s="8"/>
      <c r="T51"/>
    </row>
    <row r="52" spans="2:20" ht="23.1" customHeight="1" x14ac:dyDescent="0.25">
      <c r="B52" s="24" t="s">
        <v>79</v>
      </c>
      <c r="C52" s="50">
        <v>16</v>
      </c>
      <c r="D52" s="50">
        <v>2</v>
      </c>
      <c r="E52" s="50">
        <v>6</v>
      </c>
      <c r="F52" s="50">
        <v>15</v>
      </c>
      <c r="G52" s="50">
        <v>0</v>
      </c>
      <c r="H52" s="50">
        <v>0</v>
      </c>
      <c r="I52" s="50">
        <v>7</v>
      </c>
      <c r="J52" s="50">
        <v>4</v>
      </c>
      <c r="K52" s="50">
        <v>1</v>
      </c>
      <c r="L52" s="50">
        <v>0</v>
      </c>
      <c r="M52" s="50">
        <v>8</v>
      </c>
      <c r="N52" s="50">
        <v>0</v>
      </c>
      <c r="O52" s="15">
        <f t="shared" si="0"/>
        <v>51</v>
      </c>
      <c r="P52" s="15">
        <f t="shared" si="1"/>
        <v>59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3</v>
      </c>
      <c r="E53" s="50">
        <v>4</v>
      </c>
      <c r="F53" s="50">
        <v>7</v>
      </c>
      <c r="G53" s="50">
        <v>0</v>
      </c>
      <c r="H53" s="50">
        <v>0</v>
      </c>
      <c r="I53" s="50">
        <v>6</v>
      </c>
      <c r="J53" s="50">
        <v>3</v>
      </c>
      <c r="K53" s="50">
        <v>0</v>
      </c>
      <c r="L53" s="50">
        <v>0</v>
      </c>
      <c r="M53" s="50">
        <v>9</v>
      </c>
      <c r="N53" s="50">
        <v>0</v>
      </c>
      <c r="O53" s="15">
        <f t="shared" si="0"/>
        <v>27</v>
      </c>
      <c r="P53" s="15">
        <f t="shared" si="1"/>
        <v>36</v>
      </c>
      <c r="R53" s="8"/>
      <c r="T53"/>
    </row>
    <row r="54" spans="2:20" ht="23.1" customHeight="1" x14ac:dyDescent="0.25">
      <c r="B54" s="23" t="s">
        <v>81</v>
      </c>
      <c r="C54" s="50">
        <v>18</v>
      </c>
      <c r="D54" s="50">
        <v>3</v>
      </c>
      <c r="E54" s="50">
        <v>4</v>
      </c>
      <c r="F54" s="50">
        <v>24</v>
      </c>
      <c r="G54" s="50">
        <v>0</v>
      </c>
      <c r="H54" s="50">
        <v>0</v>
      </c>
      <c r="I54" s="50">
        <v>7</v>
      </c>
      <c r="J54" s="50">
        <v>3</v>
      </c>
      <c r="K54" s="50">
        <v>3</v>
      </c>
      <c r="L54" s="50">
        <v>1</v>
      </c>
      <c r="M54" s="50">
        <v>15</v>
      </c>
      <c r="N54" s="50">
        <v>0</v>
      </c>
      <c r="O54" s="15">
        <f t="shared" si="0"/>
        <v>63</v>
      </c>
      <c r="P54" s="15">
        <f t="shared" si="1"/>
        <v>78</v>
      </c>
      <c r="R54" s="8"/>
      <c r="T54"/>
    </row>
    <row r="55" spans="2:20" ht="23.1" customHeight="1" x14ac:dyDescent="0.25">
      <c r="B55" s="23" t="s">
        <v>82</v>
      </c>
      <c r="C55" s="50">
        <v>15</v>
      </c>
      <c r="D55" s="50">
        <v>1</v>
      </c>
      <c r="E55" s="50">
        <v>1</v>
      </c>
      <c r="F55" s="50">
        <v>11</v>
      </c>
      <c r="G55" s="50">
        <v>1</v>
      </c>
      <c r="H55" s="50">
        <v>1</v>
      </c>
      <c r="I55" s="50">
        <v>3</v>
      </c>
      <c r="J55" s="50">
        <v>5</v>
      </c>
      <c r="K55" s="50">
        <v>1</v>
      </c>
      <c r="L55" s="50">
        <v>1</v>
      </c>
      <c r="M55" s="50">
        <v>5</v>
      </c>
      <c r="N55" s="50">
        <v>0</v>
      </c>
      <c r="O55" s="15">
        <f t="shared" si="0"/>
        <v>40</v>
      </c>
      <c r="P55" s="15">
        <f t="shared" si="1"/>
        <v>45</v>
      </c>
      <c r="R55" s="8"/>
      <c r="T55"/>
    </row>
    <row r="56" spans="2:20" ht="23.1" customHeight="1" x14ac:dyDescent="0.25">
      <c r="B56" s="23" t="s">
        <v>83</v>
      </c>
      <c r="C56" s="50">
        <v>21</v>
      </c>
      <c r="D56" s="50">
        <v>2</v>
      </c>
      <c r="E56" s="50">
        <v>2</v>
      </c>
      <c r="F56" s="50">
        <v>13</v>
      </c>
      <c r="G56" s="50">
        <v>1</v>
      </c>
      <c r="H56" s="50">
        <v>0</v>
      </c>
      <c r="I56" s="50">
        <v>7</v>
      </c>
      <c r="J56" s="50">
        <v>2</v>
      </c>
      <c r="K56" s="50">
        <v>0</v>
      </c>
      <c r="L56" s="50">
        <v>0</v>
      </c>
      <c r="M56" s="50">
        <v>8</v>
      </c>
      <c r="N56" s="50">
        <v>0</v>
      </c>
      <c r="O56" s="15">
        <f t="shared" si="0"/>
        <v>48</v>
      </c>
      <c r="P56" s="15">
        <f t="shared" si="1"/>
        <v>56</v>
      </c>
      <c r="R56" s="8"/>
      <c r="T56"/>
    </row>
    <row r="57" spans="2:20" ht="23.1" customHeight="1" x14ac:dyDescent="0.25">
      <c r="B57" s="23" t="s">
        <v>84</v>
      </c>
      <c r="C57" s="50">
        <v>11</v>
      </c>
      <c r="D57" s="50">
        <v>0</v>
      </c>
      <c r="E57" s="50">
        <v>3</v>
      </c>
      <c r="F57" s="50">
        <v>12</v>
      </c>
      <c r="G57" s="50">
        <v>0</v>
      </c>
      <c r="H57" s="50">
        <v>2</v>
      </c>
      <c r="I57" s="50">
        <v>6</v>
      </c>
      <c r="J57" s="50">
        <v>3</v>
      </c>
      <c r="K57" s="50">
        <v>0</v>
      </c>
      <c r="L57" s="50">
        <v>0</v>
      </c>
      <c r="M57" s="50">
        <v>16</v>
      </c>
      <c r="N57" s="50">
        <v>0</v>
      </c>
      <c r="O57" s="15">
        <f t="shared" si="0"/>
        <v>37</v>
      </c>
      <c r="P57" s="15">
        <f t="shared" si="1"/>
        <v>53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747</v>
      </c>
      <c r="D58" s="16">
        <f t="shared" si="21"/>
        <v>174</v>
      </c>
      <c r="E58" s="16">
        <f t="shared" si="21"/>
        <v>171</v>
      </c>
      <c r="F58" s="16">
        <f t="shared" si="21"/>
        <v>667</v>
      </c>
      <c r="G58" s="16">
        <f t="shared" si="21"/>
        <v>23</v>
      </c>
      <c r="H58" s="16">
        <f t="shared" si="21"/>
        <v>22</v>
      </c>
      <c r="I58" s="16">
        <f t="shared" si="21"/>
        <v>313</v>
      </c>
      <c r="J58" s="16">
        <f t="shared" si="21"/>
        <v>164</v>
      </c>
      <c r="K58" s="16">
        <f t="shared" si="21"/>
        <v>49</v>
      </c>
      <c r="L58" s="16">
        <f t="shared" si="21"/>
        <v>40</v>
      </c>
      <c r="M58" s="16">
        <f t="shared" si="21"/>
        <v>675</v>
      </c>
      <c r="N58" s="16">
        <f t="shared" si="21"/>
        <v>0</v>
      </c>
      <c r="O58" s="16">
        <f t="shared" si="21"/>
        <v>2370</v>
      </c>
      <c r="P58" s="16">
        <f t="shared" si="21"/>
        <v>3045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0.24532019704433497</v>
      </c>
      <c r="D59" s="43">
        <f t="shared" si="22"/>
        <v>5.7142857142857141E-2</v>
      </c>
      <c r="E59" s="43">
        <f t="shared" si="22"/>
        <v>5.6157635467980298E-2</v>
      </c>
      <c r="F59" s="43">
        <f t="shared" si="22"/>
        <v>0.21904761904761905</v>
      </c>
      <c r="G59" s="43">
        <f t="shared" si="22"/>
        <v>7.5533661740558294E-3</v>
      </c>
      <c r="H59" s="43">
        <f t="shared" si="22"/>
        <v>7.2249589490968802E-3</v>
      </c>
      <c r="I59" s="43">
        <f t="shared" si="22"/>
        <v>0.10279146141215106</v>
      </c>
      <c r="J59" s="43">
        <f t="shared" si="22"/>
        <v>5.3858784893267654E-2</v>
      </c>
      <c r="K59" s="43">
        <f t="shared" si="22"/>
        <v>1.6091954022988506E-2</v>
      </c>
      <c r="L59" s="43">
        <f t="shared" si="22"/>
        <v>1.3136288998357963E-2</v>
      </c>
      <c r="M59" s="43">
        <f t="shared" si="22"/>
        <v>0.22167487684729065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0.31518987341772153</v>
      </c>
      <c r="D60" s="44">
        <f t="shared" ref="D60:N60" si="23">D58/$O$58</f>
        <v>7.3417721518987344E-2</v>
      </c>
      <c r="E60" s="44">
        <f t="shared" si="23"/>
        <v>7.2151898734177211E-2</v>
      </c>
      <c r="F60" s="44">
        <f t="shared" si="23"/>
        <v>0.28143459915611813</v>
      </c>
      <c r="G60" s="44">
        <f t="shared" si="23"/>
        <v>9.7046413502109713E-3</v>
      </c>
      <c r="H60" s="44">
        <f t="shared" si="23"/>
        <v>9.282700421940928E-3</v>
      </c>
      <c r="I60" s="44">
        <f t="shared" si="23"/>
        <v>0.1320675105485232</v>
      </c>
      <c r="J60" s="44">
        <f t="shared" si="23"/>
        <v>6.9198312236286919E-2</v>
      </c>
      <c r="K60" s="44">
        <f t="shared" si="23"/>
        <v>2.0675105485232069E-2</v>
      </c>
      <c r="L60" s="44">
        <f t="shared" si="23"/>
        <v>1.6877637130801686E-2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249977111117893"/>
  </sheetPr>
  <dimension ref="B1:AF174"/>
  <sheetViews>
    <sheetView view="pageBreakPreview" topLeftCell="A50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'29.10 Bujuko-Buloba'!C3:G3</f>
        <v>MCC - C2 - STN62 - BUJUKO-BULOBA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6" t="str">
        <f>'3.11 Buloba-Bujuko'!G5:H5</f>
        <v>Buloba Pop Oil</v>
      </c>
      <c r="H5" s="67"/>
      <c r="I5" s="14"/>
      <c r="J5" s="2" t="s">
        <v>5</v>
      </c>
      <c r="K5" s="66" t="s">
        <v>174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'29.10 Bujuko-Buloba'!D6:E6</f>
        <v>Bujuko</v>
      </c>
      <c r="E6" s="67"/>
      <c r="F6" s="2" t="s">
        <v>2</v>
      </c>
      <c r="G6" s="66" t="str">
        <f>'29.10 Bujuko-Buloba'!G6:H6</f>
        <v xml:space="preserve">Buloba </v>
      </c>
      <c r="H6" s="67"/>
      <c r="J6" s="2" t="s">
        <v>21</v>
      </c>
      <c r="K6" s="66" t="str">
        <f>'3.11 Buloba-Bujuko'!K6:L6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8</v>
      </c>
      <c r="D10" s="50">
        <v>2</v>
      </c>
      <c r="E10" s="50">
        <v>1</v>
      </c>
      <c r="F10" s="50">
        <v>4</v>
      </c>
      <c r="G10" s="50">
        <v>1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6</v>
      </c>
      <c r="N10" s="50">
        <v>0</v>
      </c>
      <c r="O10" s="15">
        <f t="shared" ref="O10:O57" si="0">SUM(C10:L10,N10)</f>
        <v>17</v>
      </c>
      <c r="P10" s="15">
        <f t="shared" ref="P10:P57" si="1">SUM(C10:N10)</f>
        <v>23</v>
      </c>
      <c r="R10" s="1" t="s">
        <v>6</v>
      </c>
      <c r="S10" s="17">
        <f t="shared" ref="S10:AF10" si="2">SUM(C10:C13)</f>
        <v>50</v>
      </c>
      <c r="T10" s="17">
        <f t="shared" si="2"/>
        <v>8</v>
      </c>
      <c r="U10" s="17">
        <f t="shared" si="2"/>
        <v>2</v>
      </c>
      <c r="V10" s="17">
        <f t="shared" si="2"/>
        <v>59</v>
      </c>
      <c r="W10" s="17">
        <f t="shared" si="2"/>
        <v>1</v>
      </c>
      <c r="X10" s="17">
        <f t="shared" si="2"/>
        <v>0</v>
      </c>
      <c r="Y10" s="17">
        <f t="shared" si="2"/>
        <v>10</v>
      </c>
      <c r="Z10" s="17">
        <f t="shared" si="2"/>
        <v>3</v>
      </c>
      <c r="AA10" s="17">
        <f t="shared" si="2"/>
        <v>3</v>
      </c>
      <c r="AB10" s="17">
        <f t="shared" si="2"/>
        <v>0</v>
      </c>
      <c r="AC10" s="17">
        <f t="shared" si="2"/>
        <v>79</v>
      </c>
      <c r="AD10" s="17">
        <f t="shared" si="2"/>
        <v>0</v>
      </c>
      <c r="AE10" s="31">
        <f t="shared" si="2"/>
        <v>136</v>
      </c>
      <c r="AF10" s="31">
        <f t="shared" si="2"/>
        <v>215</v>
      </c>
    </row>
    <row r="11" spans="2:32" s="6" customFormat="1" ht="23.1" customHeight="1" x14ac:dyDescent="0.25">
      <c r="B11" s="45" t="s">
        <v>38</v>
      </c>
      <c r="C11" s="50">
        <v>12</v>
      </c>
      <c r="D11" s="50">
        <v>2</v>
      </c>
      <c r="E11" s="50">
        <v>0</v>
      </c>
      <c r="F11" s="50">
        <v>23</v>
      </c>
      <c r="G11" s="50">
        <v>0</v>
      </c>
      <c r="H11" s="50">
        <v>0</v>
      </c>
      <c r="I11" s="50">
        <v>3</v>
      </c>
      <c r="J11" s="50">
        <v>2</v>
      </c>
      <c r="K11" s="50">
        <v>0</v>
      </c>
      <c r="L11" s="50">
        <v>0</v>
      </c>
      <c r="M11" s="50">
        <v>21</v>
      </c>
      <c r="N11" s="50">
        <v>0</v>
      </c>
      <c r="O11" s="15">
        <f t="shared" si="0"/>
        <v>42</v>
      </c>
      <c r="P11" s="15">
        <f t="shared" si="1"/>
        <v>63</v>
      </c>
      <c r="R11" s="1" t="s">
        <v>7</v>
      </c>
      <c r="S11" s="17">
        <f t="shared" ref="S11:AF11" si="3">SUM(C14:C17)</f>
        <v>56</v>
      </c>
      <c r="T11" s="17">
        <f t="shared" si="3"/>
        <v>18</v>
      </c>
      <c r="U11" s="17">
        <f t="shared" si="3"/>
        <v>1</v>
      </c>
      <c r="V11" s="17">
        <f t="shared" si="3"/>
        <v>61</v>
      </c>
      <c r="W11" s="17">
        <f t="shared" si="3"/>
        <v>0</v>
      </c>
      <c r="X11" s="17">
        <f t="shared" si="3"/>
        <v>0</v>
      </c>
      <c r="Y11" s="17">
        <f t="shared" si="3"/>
        <v>12</v>
      </c>
      <c r="Z11" s="17">
        <f t="shared" si="3"/>
        <v>5</v>
      </c>
      <c r="AA11" s="17">
        <f t="shared" si="3"/>
        <v>3</v>
      </c>
      <c r="AB11" s="17">
        <f t="shared" si="3"/>
        <v>1</v>
      </c>
      <c r="AC11" s="17">
        <f t="shared" si="3"/>
        <v>111</v>
      </c>
      <c r="AD11" s="17">
        <f t="shared" si="3"/>
        <v>0</v>
      </c>
      <c r="AE11" s="31">
        <f t="shared" si="3"/>
        <v>157</v>
      </c>
      <c r="AF11" s="31">
        <f t="shared" si="3"/>
        <v>268</v>
      </c>
    </row>
    <row r="12" spans="2:32" ht="23.1" customHeight="1" x14ac:dyDescent="0.25">
      <c r="B12" s="45" t="s">
        <v>39</v>
      </c>
      <c r="C12" s="50">
        <v>14</v>
      </c>
      <c r="D12" s="50">
        <v>1</v>
      </c>
      <c r="E12" s="50">
        <v>0</v>
      </c>
      <c r="F12" s="50">
        <v>14</v>
      </c>
      <c r="G12" s="50">
        <v>0</v>
      </c>
      <c r="H12" s="50">
        <v>0</v>
      </c>
      <c r="I12" s="50">
        <v>3</v>
      </c>
      <c r="J12" s="50">
        <v>1</v>
      </c>
      <c r="K12" s="50">
        <v>1</v>
      </c>
      <c r="L12" s="50">
        <v>0</v>
      </c>
      <c r="M12" s="50">
        <v>34</v>
      </c>
      <c r="N12" s="50">
        <v>0</v>
      </c>
      <c r="O12" s="15">
        <f t="shared" si="0"/>
        <v>34</v>
      </c>
      <c r="P12" s="15">
        <f t="shared" si="1"/>
        <v>68</v>
      </c>
      <c r="R12" s="1" t="s">
        <v>8</v>
      </c>
      <c r="S12" s="17">
        <f t="shared" ref="S12:AF12" si="4">SUM(C18:C21)</f>
        <v>31</v>
      </c>
      <c r="T12" s="17">
        <f t="shared" si="4"/>
        <v>16</v>
      </c>
      <c r="U12" s="17">
        <f t="shared" si="4"/>
        <v>3</v>
      </c>
      <c r="V12" s="17">
        <f t="shared" si="4"/>
        <v>48</v>
      </c>
      <c r="W12" s="17">
        <f t="shared" si="4"/>
        <v>1</v>
      </c>
      <c r="X12" s="17">
        <f t="shared" si="4"/>
        <v>0</v>
      </c>
      <c r="Y12" s="17">
        <f t="shared" si="4"/>
        <v>8</v>
      </c>
      <c r="Z12" s="17">
        <f t="shared" si="4"/>
        <v>1</v>
      </c>
      <c r="AA12" s="17">
        <f t="shared" si="4"/>
        <v>2</v>
      </c>
      <c r="AB12" s="17">
        <f t="shared" si="4"/>
        <v>1</v>
      </c>
      <c r="AC12" s="17">
        <f t="shared" si="4"/>
        <v>68</v>
      </c>
      <c r="AD12" s="17">
        <f t="shared" si="4"/>
        <v>0</v>
      </c>
      <c r="AE12" s="31">
        <f t="shared" si="4"/>
        <v>111</v>
      </c>
      <c r="AF12" s="31">
        <f t="shared" si="4"/>
        <v>179</v>
      </c>
    </row>
    <row r="13" spans="2:32" ht="23.1" customHeight="1" x14ac:dyDescent="0.25">
      <c r="B13" s="45" t="s">
        <v>40</v>
      </c>
      <c r="C13" s="50">
        <v>16</v>
      </c>
      <c r="D13" s="50">
        <v>3</v>
      </c>
      <c r="E13" s="50">
        <v>1</v>
      </c>
      <c r="F13" s="50">
        <v>18</v>
      </c>
      <c r="G13" s="50">
        <v>0</v>
      </c>
      <c r="H13" s="50">
        <v>0</v>
      </c>
      <c r="I13" s="50">
        <v>4</v>
      </c>
      <c r="J13" s="50">
        <v>0</v>
      </c>
      <c r="K13" s="50">
        <v>1</v>
      </c>
      <c r="L13" s="50">
        <v>0</v>
      </c>
      <c r="M13" s="50">
        <v>18</v>
      </c>
      <c r="N13" s="50">
        <v>0</v>
      </c>
      <c r="O13" s="15">
        <f t="shared" si="0"/>
        <v>43</v>
      </c>
      <c r="P13" s="15">
        <f t="shared" si="1"/>
        <v>61</v>
      </c>
      <c r="R13" s="1" t="s">
        <v>9</v>
      </c>
      <c r="S13" s="17">
        <f t="shared" ref="S13:AF13" si="5">SUM(C22:C25)</f>
        <v>37</v>
      </c>
      <c r="T13" s="17">
        <f t="shared" si="5"/>
        <v>12</v>
      </c>
      <c r="U13" s="17">
        <f t="shared" si="5"/>
        <v>5</v>
      </c>
      <c r="V13" s="17">
        <f t="shared" si="5"/>
        <v>51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5</v>
      </c>
      <c r="AA13" s="17">
        <f t="shared" si="5"/>
        <v>4</v>
      </c>
      <c r="AB13" s="17">
        <f t="shared" si="5"/>
        <v>2</v>
      </c>
      <c r="AC13" s="17">
        <f t="shared" si="5"/>
        <v>77</v>
      </c>
      <c r="AD13" s="17">
        <f t="shared" si="5"/>
        <v>0</v>
      </c>
      <c r="AE13" s="31">
        <f t="shared" si="5"/>
        <v>127</v>
      </c>
      <c r="AF13" s="31">
        <f t="shared" si="5"/>
        <v>204</v>
      </c>
    </row>
    <row r="14" spans="2:32" ht="23.1" customHeight="1" x14ac:dyDescent="0.25">
      <c r="B14" s="45" t="s">
        <v>41</v>
      </c>
      <c r="C14" s="50">
        <v>13</v>
      </c>
      <c r="D14" s="50">
        <v>4</v>
      </c>
      <c r="E14" s="50">
        <v>0</v>
      </c>
      <c r="F14" s="50">
        <v>15</v>
      </c>
      <c r="G14" s="50">
        <v>0</v>
      </c>
      <c r="H14" s="50">
        <v>0</v>
      </c>
      <c r="I14" s="50">
        <v>1</v>
      </c>
      <c r="J14" s="50">
        <v>1</v>
      </c>
      <c r="K14" s="50">
        <v>1</v>
      </c>
      <c r="L14" s="50">
        <v>0</v>
      </c>
      <c r="M14" s="50">
        <v>29</v>
      </c>
      <c r="N14" s="50">
        <v>0</v>
      </c>
      <c r="O14" s="15">
        <f t="shared" si="0"/>
        <v>35</v>
      </c>
      <c r="P14" s="15">
        <f t="shared" si="1"/>
        <v>64</v>
      </c>
      <c r="R14" s="1" t="s">
        <v>10</v>
      </c>
      <c r="S14" s="17">
        <f t="shared" ref="S14:AF14" si="6">SUM(C26:C29)</f>
        <v>27</v>
      </c>
      <c r="T14" s="17">
        <f t="shared" si="6"/>
        <v>9</v>
      </c>
      <c r="U14" s="17">
        <f t="shared" si="6"/>
        <v>5</v>
      </c>
      <c r="V14" s="17">
        <f t="shared" si="6"/>
        <v>32</v>
      </c>
      <c r="W14" s="17">
        <f t="shared" si="6"/>
        <v>0</v>
      </c>
      <c r="X14" s="17">
        <f t="shared" si="6"/>
        <v>1</v>
      </c>
      <c r="Y14" s="17">
        <f t="shared" si="6"/>
        <v>14</v>
      </c>
      <c r="Z14" s="17">
        <f t="shared" si="6"/>
        <v>1</v>
      </c>
      <c r="AA14" s="17">
        <f t="shared" si="6"/>
        <v>1</v>
      </c>
      <c r="AB14" s="17">
        <f t="shared" si="6"/>
        <v>3</v>
      </c>
      <c r="AC14" s="17">
        <f t="shared" si="6"/>
        <v>26</v>
      </c>
      <c r="AD14" s="17">
        <f t="shared" si="6"/>
        <v>0</v>
      </c>
      <c r="AE14" s="31">
        <f t="shared" si="6"/>
        <v>93</v>
      </c>
      <c r="AF14" s="31">
        <f t="shared" si="6"/>
        <v>119</v>
      </c>
    </row>
    <row r="15" spans="2:32" ht="23.1" customHeight="1" x14ac:dyDescent="0.25">
      <c r="B15" s="45" t="s">
        <v>42</v>
      </c>
      <c r="C15" s="50">
        <v>17</v>
      </c>
      <c r="D15" s="50">
        <v>6</v>
      </c>
      <c r="E15" s="50">
        <v>0</v>
      </c>
      <c r="F15" s="50">
        <v>17</v>
      </c>
      <c r="G15" s="50">
        <v>0</v>
      </c>
      <c r="H15" s="50">
        <v>0</v>
      </c>
      <c r="I15" s="50">
        <v>5</v>
      </c>
      <c r="J15" s="50">
        <v>4</v>
      </c>
      <c r="K15" s="50">
        <v>1</v>
      </c>
      <c r="L15" s="50">
        <v>1</v>
      </c>
      <c r="M15" s="50">
        <v>25</v>
      </c>
      <c r="N15" s="50">
        <v>0</v>
      </c>
      <c r="O15" s="15">
        <f t="shared" si="0"/>
        <v>51</v>
      </c>
      <c r="P15" s="15">
        <f t="shared" si="1"/>
        <v>76</v>
      </c>
      <c r="R15" s="1" t="s">
        <v>11</v>
      </c>
      <c r="S15" s="17">
        <f t="shared" ref="S15:AF15" si="7">SUM(C30:C33)</f>
        <v>31</v>
      </c>
      <c r="T15" s="17">
        <f t="shared" si="7"/>
        <v>8</v>
      </c>
      <c r="U15" s="17">
        <f t="shared" si="7"/>
        <v>4</v>
      </c>
      <c r="V15" s="17">
        <f t="shared" si="7"/>
        <v>35</v>
      </c>
      <c r="W15" s="17">
        <f t="shared" si="7"/>
        <v>2</v>
      </c>
      <c r="X15" s="17">
        <f t="shared" si="7"/>
        <v>1</v>
      </c>
      <c r="Y15" s="17">
        <f t="shared" si="7"/>
        <v>16</v>
      </c>
      <c r="Z15" s="17">
        <f t="shared" si="7"/>
        <v>6</v>
      </c>
      <c r="AA15" s="17">
        <f t="shared" si="7"/>
        <v>2</v>
      </c>
      <c r="AB15" s="17">
        <f t="shared" si="7"/>
        <v>0</v>
      </c>
      <c r="AC15" s="17">
        <f t="shared" si="7"/>
        <v>40</v>
      </c>
      <c r="AD15" s="17">
        <f t="shared" si="7"/>
        <v>0</v>
      </c>
      <c r="AE15" s="31">
        <f t="shared" si="7"/>
        <v>105</v>
      </c>
      <c r="AF15" s="31">
        <f t="shared" si="7"/>
        <v>145</v>
      </c>
    </row>
    <row r="16" spans="2:32" ht="23.1" customHeight="1" x14ac:dyDescent="0.25">
      <c r="B16" s="45" t="s">
        <v>43</v>
      </c>
      <c r="C16" s="50">
        <v>15</v>
      </c>
      <c r="D16" s="50">
        <v>4</v>
      </c>
      <c r="E16" s="50">
        <v>1</v>
      </c>
      <c r="F16" s="50">
        <v>14</v>
      </c>
      <c r="G16" s="50">
        <v>0</v>
      </c>
      <c r="H16" s="50">
        <v>0</v>
      </c>
      <c r="I16" s="50">
        <v>1</v>
      </c>
      <c r="J16" s="50">
        <v>0</v>
      </c>
      <c r="K16" s="50">
        <v>1</v>
      </c>
      <c r="L16" s="50">
        <v>0</v>
      </c>
      <c r="M16" s="50">
        <v>32</v>
      </c>
      <c r="N16" s="50">
        <v>0</v>
      </c>
      <c r="O16" s="15">
        <f t="shared" si="0"/>
        <v>36</v>
      </c>
      <c r="P16" s="15">
        <f t="shared" si="1"/>
        <v>68</v>
      </c>
      <c r="R16" s="1" t="s">
        <v>12</v>
      </c>
      <c r="S16" s="17">
        <f t="shared" ref="S16:AF16" si="8">SUM(C34:C37)</f>
        <v>29</v>
      </c>
      <c r="T16" s="17">
        <f t="shared" si="8"/>
        <v>13</v>
      </c>
      <c r="U16" s="17">
        <f t="shared" si="8"/>
        <v>14</v>
      </c>
      <c r="V16" s="17">
        <f t="shared" si="8"/>
        <v>34</v>
      </c>
      <c r="W16" s="17">
        <f t="shared" si="8"/>
        <v>2</v>
      </c>
      <c r="X16" s="17">
        <f t="shared" si="8"/>
        <v>2</v>
      </c>
      <c r="Y16" s="17">
        <f t="shared" si="8"/>
        <v>11</v>
      </c>
      <c r="Z16" s="17">
        <f t="shared" si="8"/>
        <v>16</v>
      </c>
      <c r="AA16" s="17">
        <f t="shared" si="8"/>
        <v>1</v>
      </c>
      <c r="AB16" s="17">
        <f t="shared" si="8"/>
        <v>6</v>
      </c>
      <c r="AC16" s="17">
        <f t="shared" si="8"/>
        <v>38</v>
      </c>
      <c r="AD16" s="17">
        <f t="shared" si="8"/>
        <v>0</v>
      </c>
      <c r="AE16" s="31">
        <f t="shared" si="8"/>
        <v>128</v>
      </c>
      <c r="AF16" s="31">
        <f t="shared" si="8"/>
        <v>166</v>
      </c>
    </row>
    <row r="17" spans="2:32" ht="23.1" customHeight="1" x14ac:dyDescent="0.25">
      <c r="B17" s="45" t="s">
        <v>44</v>
      </c>
      <c r="C17" s="50">
        <v>11</v>
      </c>
      <c r="D17" s="50">
        <v>4</v>
      </c>
      <c r="E17" s="50">
        <v>0</v>
      </c>
      <c r="F17" s="50">
        <v>15</v>
      </c>
      <c r="G17" s="50">
        <v>0</v>
      </c>
      <c r="H17" s="50">
        <v>0</v>
      </c>
      <c r="I17" s="50">
        <v>5</v>
      </c>
      <c r="J17" s="50">
        <v>0</v>
      </c>
      <c r="K17" s="50">
        <v>0</v>
      </c>
      <c r="L17" s="50">
        <v>0</v>
      </c>
      <c r="M17" s="50">
        <v>25</v>
      </c>
      <c r="N17" s="50">
        <v>0</v>
      </c>
      <c r="O17" s="15">
        <f t="shared" si="0"/>
        <v>35</v>
      </c>
      <c r="P17" s="15">
        <f t="shared" si="1"/>
        <v>60</v>
      </c>
      <c r="R17" s="1" t="s">
        <v>13</v>
      </c>
      <c r="S17" s="17">
        <f t="shared" ref="S17:AF17" si="9">SUM(C38:C41)</f>
        <v>46</v>
      </c>
      <c r="T17" s="17">
        <f t="shared" si="9"/>
        <v>20</v>
      </c>
      <c r="U17" s="17">
        <f t="shared" si="9"/>
        <v>7</v>
      </c>
      <c r="V17" s="17">
        <f t="shared" si="9"/>
        <v>47</v>
      </c>
      <c r="W17" s="17">
        <f t="shared" si="9"/>
        <v>0</v>
      </c>
      <c r="X17" s="17">
        <f t="shared" si="9"/>
        <v>1</v>
      </c>
      <c r="Y17" s="17">
        <f t="shared" si="9"/>
        <v>34</v>
      </c>
      <c r="Z17" s="17">
        <f t="shared" si="9"/>
        <v>10</v>
      </c>
      <c r="AA17" s="17">
        <f t="shared" si="9"/>
        <v>4</v>
      </c>
      <c r="AB17" s="17">
        <f t="shared" si="9"/>
        <v>4</v>
      </c>
      <c r="AC17" s="17">
        <f t="shared" si="9"/>
        <v>23</v>
      </c>
      <c r="AD17" s="17">
        <f t="shared" si="9"/>
        <v>0</v>
      </c>
      <c r="AE17" s="31">
        <f t="shared" si="9"/>
        <v>173</v>
      </c>
      <c r="AF17" s="31">
        <f t="shared" si="9"/>
        <v>196</v>
      </c>
    </row>
    <row r="18" spans="2:32" ht="23.1" customHeight="1" x14ac:dyDescent="0.25">
      <c r="B18" s="45" t="s">
        <v>45</v>
      </c>
      <c r="C18" s="50">
        <v>12</v>
      </c>
      <c r="D18" s="50">
        <v>7</v>
      </c>
      <c r="E18" s="50">
        <v>0</v>
      </c>
      <c r="F18" s="50">
        <v>16</v>
      </c>
      <c r="G18" s="50">
        <v>0</v>
      </c>
      <c r="H18" s="50">
        <v>0</v>
      </c>
      <c r="I18" s="50">
        <v>1</v>
      </c>
      <c r="J18" s="50">
        <v>1</v>
      </c>
      <c r="K18" s="50">
        <v>1</v>
      </c>
      <c r="L18" s="50">
        <v>0</v>
      </c>
      <c r="M18" s="50">
        <v>15</v>
      </c>
      <c r="N18" s="50">
        <v>0</v>
      </c>
      <c r="O18" s="15">
        <f t="shared" si="0"/>
        <v>38</v>
      </c>
      <c r="P18" s="15">
        <f t="shared" si="1"/>
        <v>53</v>
      </c>
      <c r="R18" s="1" t="s">
        <v>14</v>
      </c>
      <c r="S18" s="17">
        <f t="shared" ref="S18:AF18" si="10">SUM(C42:C45)</f>
        <v>36</v>
      </c>
      <c r="T18" s="17">
        <f t="shared" si="10"/>
        <v>21</v>
      </c>
      <c r="U18" s="17">
        <f t="shared" si="10"/>
        <v>8</v>
      </c>
      <c r="V18" s="17">
        <f t="shared" si="10"/>
        <v>44</v>
      </c>
      <c r="W18" s="17">
        <f t="shared" si="10"/>
        <v>2</v>
      </c>
      <c r="X18" s="17">
        <f t="shared" si="10"/>
        <v>2</v>
      </c>
      <c r="Y18" s="17">
        <f t="shared" si="10"/>
        <v>25</v>
      </c>
      <c r="Z18" s="17">
        <f t="shared" si="10"/>
        <v>9</v>
      </c>
      <c r="AA18" s="17">
        <f t="shared" si="10"/>
        <v>5</v>
      </c>
      <c r="AB18" s="17">
        <f t="shared" si="10"/>
        <v>2</v>
      </c>
      <c r="AC18" s="17">
        <f t="shared" si="10"/>
        <v>52</v>
      </c>
      <c r="AD18" s="17">
        <f t="shared" si="10"/>
        <v>0</v>
      </c>
      <c r="AE18" s="31">
        <f t="shared" si="10"/>
        <v>154</v>
      </c>
      <c r="AF18" s="31">
        <f t="shared" si="10"/>
        <v>206</v>
      </c>
    </row>
    <row r="19" spans="2:32" ht="23.1" customHeight="1" x14ac:dyDescent="0.25">
      <c r="B19" s="45" t="s">
        <v>46</v>
      </c>
      <c r="C19" s="50">
        <v>9</v>
      </c>
      <c r="D19" s="50">
        <v>4</v>
      </c>
      <c r="E19" s="50">
        <v>1</v>
      </c>
      <c r="F19" s="50">
        <v>10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13</v>
      </c>
      <c r="N19" s="50">
        <v>0</v>
      </c>
      <c r="O19" s="15">
        <f t="shared" si="0"/>
        <v>27</v>
      </c>
      <c r="P19" s="15">
        <f t="shared" si="1"/>
        <v>40</v>
      </c>
      <c r="R19" s="1" t="s">
        <v>15</v>
      </c>
      <c r="S19" s="17">
        <f t="shared" ref="S19:AF19" si="11">SUM(C46:C49)</f>
        <v>53</v>
      </c>
      <c r="T19" s="17">
        <f t="shared" si="11"/>
        <v>27</v>
      </c>
      <c r="U19" s="17">
        <f t="shared" si="11"/>
        <v>14</v>
      </c>
      <c r="V19" s="17">
        <f t="shared" si="11"/>
        <v>43</v>
      </c>
      <c r="W19" s="17">
        <f t="shared" si="11"/>
        <v>3</v>
      </c>
      <c r="X19" s="17">
        <f t="shared" si="11"/>
        <v>2</v>
      </c>
      <c r="Y19" s="17">
        <f t="shared" si="11"/>
        <v>37</v>
      </c>
      <c r="Z19" s="17">
        <f t="shared" si="11"/>
        <v>13</v>
      </c>
      <c r="AA19" s="17">
        <f t="shared" si="11"/>
        <v>11</v>
      </c>
      <c r="AB19" s="17">
        <f t="shared" si="11"/>
        <v>4</v>
      </c>
      <c r="AC19" s="17">
        <f t="shared" si="11"/>
        <v>47</v>
      </c>
      <c r="AD19" s="17">
        <f t="shared" si="11"/>
        <v>0</v>
      </c>
      <c r="AE19" s="31">
        <f t="shared" si="11"/>
        <v>207</v>
      </c>
      <c r="AF19" s="31">
        <f t="shared" si="11"/>
        <v>254</v>
      </c>
    </row>
    <row r="20" spans="2:32" ht="23.1" customHeight="1" x14ac:dyDescent="0.25">
      <c r="B20" s="45" t="s">
        <v>47</v>
      </c>
      <c r="C20" s="50">
        <v>6</v>
      </c>
      <c r="D20" s="50">
        <v>1</v>
      </c>
      <c r="E20" s="50">
        <v>0</v>
      </c>
      <c r="F20" s="50">
        <v>14</v>
      </c>
      <c r="G20" s="50">
        <v>1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16</v>
      </c>
      <c r="N20" s="50">
        <v>0</v>
      </c>
      <c r="O20" s="15">
        <f t="shared" si="0"/>
        <v>24</v>
      </c>
      <c r="P20" s="15">
        <f t="shared" si="1"/>
        <v>40</v>
      </c>
      <c r="R20" s="1" t="s">
        <v>16</v>
      </c>
      <c r="S20" s="17">
        <f t="shared" ref="S20:AF20" si="12">SUM(C50:C53)</f>
        <v>101</v>
      </c>
      <c r="T20" s="17">
        <f t="shared" si="12"/>
        <v>48</v>
      </c>
      <c r="U20" s="17">
        <f t="shared" si="12"/>
        <v>20</v>
      </c>
      <c r="V20" s="17">
        <f t="shared" si="12"/>
        <v>73</v>
      </c>
      <c r="W20" s="17">
        <f t="shared" si="12"/>
        <v>2</v>
      </c>
      <c r="X20" s="17">
        <f t="shared" si="12"/>
        <v>6</v>
      </c>
      <c r="Y20" s="17">
        <f t="shared" si="12"/>
        <v>35</v>
      </c>
      <c r="Z20" s="17">
        <f t="shared" si="12"/>
        <v>12</v>
      </c>
      <c r="AA20" s="17">
        <f t="shared" si="12"/>
        <v>3</v>
      </c>
      <c r="AB20" s="17">
        <f t="shared" si="12"/>
        <v>6</v>
      </c>
      <c r="AC20" s="17">
        <f t="shared" si="12"/>
        <v>75</v>
      </c>
      <c r="AD20" s="17">
        <f t="shared" si="12"/>
        <v>0</v>
      </c>
      <c r="AE20" s="31">
        <f t="shared" si="12"/>
        <v>306</v>
      </c>
      <c r="AF20" s="31">
        <f t="shared" si="12"/>
        <v>381</v>
      </c>
    </row>
    <row r="21" spans="2:32" ht="23.1" customHeight="1" x14ac:dyDescent="0.25">
      <c r="B21" s="45" t="s">
        <v>48</v>
      </c>
      <c r="C21" s="50">
        <v>4</v>
      </c>
      <c r="D21" s="50">
        <v>4</v>
      </c>
      <c r="E21" s="50">
        <v>2</v>
      </c>
      <c r="F21" s="50">
        <v>8</v>
      </c>
      <c r="G21" s="50">
        <v>0</v>
      </c>
      <c r="H21" s="50">
        <v>0</v>
      </c>
      <c r="I21" s="50">
        <v>2</v>
      </c>
      <c r="J21" s="50">
        <v>0</v>
      </c>
      <c r="K21" s="50">
        <v>1</v>
      </c>
      <c r="L21" s="50">
        <v>1</v>
      </c>
      <c r="M21" s="50">
        <v>24</v>
      </c>
      <c r="N21" s="50">
        <v>0</v>
      </c>
      <c r="O21" s="15">
        <f t="shared" si="0"/>
        <v>22</v>
      </c>
      <c r="P21" s="15">
        <f t="shared" si="1"/>
        <v>46</v>
      </c>
      <c r="R21" s="36" t="s">
        <v>20</v>
      </c>
      <c r="S21" s="34">
        <f t="shared" ref="S21:AF21" si="13">SUM(C54:C57)</f>
        <v>50</v>
      </c>
      <c r="T21" s="17">
        <f t="shared" si="13"/>
        <v>38</v>
      </c>
      <c r="U21" s="17">
        <f t="shared" si="13"/>
        <v>22</v>
      </c>
      <c r="V21" s="17">
        <f t="shared" si="13"/>
        <v>50</v>
      </c>
      <c r="W21" s="17">
        <f t="shared" si="13"/>
        <v>2</v>
      </c>
      <c r="X21" s="17">
        <f t="shared" si="13"/>
        <v>2</v>
      </c>
      <c r="Y21" s="17">
        <f t="shared" si="13"/>
        <v>30</v>
      </c>
      <c r="Z21" s="17">
        <f t="shared" si="13"/>
        <v>10</v>
      </c>
      <c r="AA21" s="17">
        <f t="shared" si="13"/>
        <v>6</v>
      </c>
      <c r="AB21" s="17">
        <f t="shared" si="13"/>
        <v>3</v>
      </c>
      <c r="AC21" s="17">
        <f t="shared" si="13"/>
        <v>64</v>
      </c>
      <c r="AD21" s="17">
        <f t="shared" si="13"/>
        <v>0</v>
      </c>
      <c r="AE21" s="31">
        <f t="shared" si="13"/>
        <v>213</v>
      </c>
      <c r="AF21" s="31">
        <f t="shared" si="13"/>
        <v>277</v>
      </c>
    </row>
    <row r="22" spans="2:32" ht="23.1" customHeight="1" x14ac:dyDescent="0.25">
      <c r="B22" s="45" t="s">
        <v>49</v>
      </c>
      <c r="C22" s="50">
        <v>10</v>
      </c>
      <c r="D22" s="50">
        <v>4</v>
      </c>
      <c r="E22" s="50">
        <v>2</v>
      </c>
      <c r="F22" s="50">
        <v>17</v>
      </c>
      <c r="G22" s="50">
        <v>0</v>
      </c>
      <c r="H22" s="50">
        <v>0</v>
      </c>
      <c r="I22" s="50">
        <v>1</v>
      </c>
      <c r="J22" s="50">
        <v>0</v>
      </c>
      <c r="K22" s="50">
        <v>2</v>
      </c>
      <c r="L22" s="50">
        <v>0</v>
      </c>
      <c r="M22" s="50">
        <v>20</v>
      </c>
      <c r="N22" s="50">
        <v>0</v>
      </c>
      <c r="O22" s="15">
        <f t="shared" si="0"/>
        <v>36</v>
      </c>
      <c r="P22" s="15">
        <f t="shared" si="1"/>
        <v>56</v>
      </c>
      <c r="R22" s="36" t="s">
        <v>146</v>
      </c>
      <c r="S22" s="34">
        <f>SUM(C58:C61)</f>
        <v>110</v>
      </c>
      <c r="T22" s="34">
        <f t="shared" ref="T22:AF22" si="14">SUM(D58:D61)</f>
        <v>23</v>
      </c>
      <c r="U22" s="34">
        <f t="shared" si="14"/>
        <v>22</v>
      </c>
      <c r="V22" s="34">
        <f t="shared" si="14"/>
        <v>73</v>
      </c>
      <c r="W22" s="34">
        <f t="shared" si="14"/>
        <v>2</v>
      </c>
      <c r="X22" s="34">
        <f t="shared" si="14"/>
        <v>1</v>
      </c>
      <c r="Y22" s="34">
        <f t="shared" si="14"/>
        <v>33</v>
      </c>
      <c r="Z22" s="34">
        <f t="shared" si="14"/>
        <v>21</v>
      </c>
      <c r="AA22" s="34">
        <f t="shared" si="14"/>
        <v>9</v>
      </c>
      <c r="AB22" s="34">
        <f t="shared" si="14"/>
        <v>5</v>
      </c>
      <c r="AC22" s="34">
        <f t="shared" si="14"/>
        <v>100</v>
      </c>
      <c r="AD22" s="34">
        <f t="shared" si="14"/>
        <v>0</v>
      </c>
      <c r="AE22" s="31">
        <f t="shared" si="14"/>
        <v>299</v>
      </c>
      <c r="AF22" s="31">
        <f t="shared" si="14"/>
        <v>399</v>
      </c>
    </row>
    <row r="23" spans="2:32" ht="23.1" customHeight="1" x14ac:dyDescent="0.25">
      <c r="B23" s="45" t="s">
        <v>50</v>
      </c>
      <c r="C23" s="50">
        <v>7</v>
      </c>
      <c r="D23" s="50">
        <v>4</v>
      </c>
      <c r="E23" s="50">
        <v>0</v>
      </c>
      <c r="F23" s="50">
        <v>15</v>
      </c>
      <c r="G23" s="50">
        <v>0</v>
      </c>
      <c r="H23" s="50">
        <v>0</v>
      </c>
      <c r="I23" s="50">
        <v>1</v>
      </c>
      <c r="J23" s="50">
        <v>2</v>
      </c>
      <c r="K23" s="50">
        <v>2</v>
      </c>
      <c r="L23" s="50">
        <v>1</v>
      </c>
      <c r="M23" s="50">
        <v>28</v>
      </c>
      <c r="N23" s="50">
        <v>0</v>
      </c>
      <c r="O23" s="15">
        <f t="shared" si="0"/>
        <v>32</v>
      </c>
      <c r="P23" s="15">
        <f t="shared" si="1"/>
        <v>60</v>
      </c>
      <c r="R23" s="36" t="s">
        <v>147</v>
      </c>
      <c r="S23" s="34">
        <f>SUM(C62:C65)</f>
        <v>63</v>
      </c>
      <c r="T23" s="34">
        <f t="shared" ref="T23:AF23" si="15">SUM(D62:D65)</f>
        <v>9</v>
      </c>
      <c r="U23" s="34">
        <f t="shared" si="15"/>
        <v>13</v>
      </c>
      <c r="V23" s="34">
        <f t="shared" si="15"/>
        <v>42</v>
      </c>
      <c r="W23" s="34">
        <f t="shared" si="15"/>
        <v>1</v>
      </c>
      <c r="X23" s="34">
        <f t="shared" si="15"/>
        <v>0</v>
      </c>
      <c r="Y23" s="34">
        <f t="shared" si="15"/>
        <v>12</v>
      </c>
      <c r="Z23" s="34">
        <f t="shared" si="15"/>
        <v>15</v>
      </c>
      <c r="AA23" s="34">
        <f t="shared" si="15"/>
        <v>4</v>
      </c>
      <c r="AB23" s="34">
        <f t="shared" si="15"/>
        <v>6</v>
      </c>
      <c r="AC23" s="34">
        <f t="shared" si="15"/>
        <v>103</v>
      </c>
      <c r="AD23" s="34">
        <f t="shared" si="15"/>
        <v>0</v>
      </c>
      <c r="AE23" s="31">
        <f t="shared" si="15"/>
        <v>165</v>
      </c>
      <c r="AF23" s="31">
        <f t="shared" si="15"/>
        <v>268</v>
      </c>
    </row>
    <row r="24" spans="2:32" ht="23.1" customHeight="1" x14ac:dyDescent="0.25">
      <c r="B24" s="45" t="s">
        <v>51</v>
      </c>
      <c r="C24" s="50">
        <v>10</v>
      </c>
      <c r="D24" s="50">
        <v>1</v>
      </c>
      <c r="E24" s="50">
        <v>2</v>
      </c>
      <c r="F24" s="50">
        <v>11</v>
      </c>
      <c r="G24" s="50">
        <v>0</v>
      </c>
      <c r="H24" s="50">
        <v>0</v>
      </c>
      <c r="I24" s="50">
        <v>5</v>
      </c>
      <c r="J24" s="50">
        <v>1</v>
      </c>
      <c r="K24" s="50">
        <v>0</v>
      </c>
      <c r="L24" s="50">
        <v>1</v>
      </c>
      <c r="M24" s="50">
        <v>17</v>
      </c>
      <c r="N24" s="50">
        <v>0</v>
      </c>
      <c r="O24" s="15">
        <f t="shared" si="0"/>
        <v>31</v>
      </c>
      <c r="P24" s="15">
        <f t="shared" si="1"/>
        <v>48</v>
      </c>
      <c r="R24" s="36" t="s">
        <v>148</v>
      </c>
      <c r="S24" s="34">
        <f>SUM(C66:C69)</f>
        <v>65</v>
      </c>
      <c r="T24" s="34">
        <f t="shared" ref="T24:AF24" si="16">SUM(D66:D69)</f>
        <v>5</v>
      </c>
      <c r="U24" s="34">
        <f t="shared" si="16"/>
        <v>5</v>
      </c>
      <c r="V24" s="34">
        <f t="shared" si="16"/>
        <v>36</v>
      </c>
      <c r="W24" s="34">
        <f t="shared" si="16"/>
        <v>0</v>
      </c>
      <c r="X24" s="34">
        <f t="shared" si="16"/>
        <v>5</v>
      </c>
      <c r="Y24" s="34">
        <f t="shared" si="16"/>
        <v>23</v>
      </c>
      <c r="Z24" s="34">
        <f t="shared" si="16"/>
        <v>17</v>
      </c>
      <c r="AA24" s="34">
        <f t="shared" si="16"/>
        <v>6</v>
      </c>
      <c r="AB24" s="34">
        <f t="shared" si="16"/>
        <v>3</v>
      </c>
      <c r="AC24" s="34">
        <f t="shared" si="16"/>
        <v>60</v>
      </c>
      <c r="AD24" s="34">
        <f t="shared" si="16"/>
        <v>0</v>
      </c>
      <c r="AE24" s="31">
        <f t="shared" si="16"/>
        <v>165</v>
      </c>
      <c r="AF24" s="31">
        <f t="shared" si="16"/>
        <v>225</v>
      </c>
    </row>
    <row r="25" spans="2:32" ht="23.1" customHeight="1" x14ac:dyDescent="0.25">
      <c r="B25" s="45" t="s">
        <v>52</v>
      </c>
      <c r="C25" s="50">
        <v>10</v>
      </c>
      <c r="D25" s="50">
        <v>3</v>
      </c>
      <c r="E25" s="50">
        <v>1</v>
      </c>
      <c r="F25" s="50">
        <v>8</v>
      </c>
      <c r="G25" s="50">
        <v>0</v>
      </c>
      <c r="H25" s="50">
        <v>0</v>
      </c>
      <c r="I25" s="50">
        <v>4</v>
      </c>
      <c r="J25" s="50">
        <v>2</v>
      </c>
      <c r="K25" s="50">
        <v>0</v>
      </c>
      <c r="L25" s="50">
        <v>0</v>
      </c>
      <c r="M25" s="50">
        <v>12</v>
      </c>
      <c r="N25" s="50">
        <v>0</v>
      </c>
      <c r="O25" s="15">
        <f t="shared" si="0"/>
        <v>28</v>
      </c>
      <c r="P25" s="15">
        <f t="shared" si="1"/>
        <v>40</v>
      </c>
      <c r="R25" s="36" t="s">
        <v>149</v>
      </c>
      <c r="S25" s="34">
        <f>SUM(C70:C73)</f>
        <v>50</v>
      </c>
      <c r="T25" s="34">
        <f t="shared" ref="T25:AF25" si="17">SUM(D70:D73)</f>
        <v>7</v>
      </c>
      <c r="U25" s="34">
        <f t="shared" si="17"/>
        <v>3</v>
      </c>
      <c r="V25" s="34">
        <f t="shared" si="17"/>
        <v>30</v>
      </c>
      <c r="W25" s="34">
        <f t="shared" si="17"/>
        <v>0</v>
      </c>
      <c r="X25" s="34">
        <f t="shared" si="17"/>
        <v>2</v>
      </c>
      <c r="Y25" s="34">
        <f t="shared" si="17"/>
        <v>10</v>
      </c>
      <c r="Z25" s="34">
        <f t="shared" si="17"/>
        <v>11</v>
      </c>
      <c r="AA25" s="34">
        <f t="shared" si="17"/>
        <v>2</v>
      </c>
      <c r="AB25" s="34">
        <f t="shared" si="17"/>
        <v>6</v>
      </c>
      <c r="AC25" s="34">
        <f t="shared" si="17"/>
        <v>56</v>
      </c>
      <c r="AD25" s="34">
        <f t="shared" si="17"/>
        <v>0</v>
      </c>
      <c r="AE25" s="31">
        <f t="shared" si="17"/>
        <v>121</v>
      </c>
      <c r="AF25" s="31">
        <f t="shared" si="17"/>
        <v>177</v>
      </c>
    </row>
    <row r="26" spans="2:32" ht="23.1" customHeight="1" x14ac:dyDescent="0.25">
      <c r="B26" s="45" t="s">
        <v>53</v>
      </c>
      <c r="C26" s="50">
        <v>4</v>
      </c>
      <c r="D26" s="50">
        <v>0</v>
      </c>
      <c r="E26" s="50">
        <v>0</v>
      </c>
      <c r="F26" s="50">
        <v>9</v>
      </c>
      <c r="G26" s="50">
        <v>0</v>
      </c>
      <c r="H26" s="50">
        <v>1</v>
      </c>
      <c r="I26" s="50">
        <v>6</v>
      </c>
      <c r="J26" s="50">
        <v>0</v>
      </c>
      <c r="K26" s="50">
        <v>1</v>
      </c>
      <c r="L26" s="50">
        <v>0</v>
      </c>
      <c r="M26" s="50">
        <v>9</v>
      </c>
      <c r="N26" s="50">
        <v>0</v>
      </c>
      <c r="O26" s="15">
        <f t="shared" si="0"/>
        <v>21</v>
      </c>
      <c r="P26" s="15">
        <f t="shared" si="1"/>
        <v>30</v>
      </c>
      <c r="R26" s="36" t="s">
        <v>150</v>
      </c>
      <c r="S26" s="34">
        <f>SUM(C74:C77)</f>
        <v>23</v>
      </c>
      <c r="T26" s="34">
        <f t="shared" ref="T26:AF26" si="18">SUM(D74:D77)</f>
        <v>4</v>
      </c>
      <c r="U26" s="34">
        <f t="shared" si="18"/>
        <v>2</v>
      </c>
      <c r="V26" s="34">
        <f t="shared" si="18"/>
        <v>11</v>
      </c>
      <c r="W26" s="34">
        <f t="shared" si="18"/>
        <v>0</v>
      </c>
      <c r="X26" s="34">
        <f t="shared" si="18"/>
        <v>0</v>
      </c>
      <c r="Y26" s="34">
        <f t="shared" si="18"/>
        <v>8</v>
      </c>
      <c r="Z26" s="34">
        <f t="shared" si="18"/>
        <v>9</v>
      </c>
      <c r="AA26" s="34">
        <f t="shared" si="18"/>
        <v>3</v>
      </c>
      <c r="AB26" s="34">
        <f t="shared" si="18"/>
        <v>0</v>
      </c>
      <c r="AC26" s="34">
        <f t="shared" si="18"/>
        <v>32</v>
      </c>
      <c r="AD26" s="34">
        <f t="shared" si="18"/>
        <v>0</v>
      </c>
      <c r="AE26" s="31">
        <f t="shared" si="18"/>
        <v>60</v>
      </c>
      <c r="AF26" s="31">
        <f t="shared" si="18"/>
        <v>92</v>
      </c>
    </row>
    <row r="27" spans="2:32" ht="23.1" customHeight="1" x14ac:dyDescent="0.25">
      <c r="B27" s="45" t="s">
        <v>54</v>
      </c>
      <c r="C27" s="50">
        <v>8</v>
      </c>
      <c r="D27" s="50">
        <v>3</v>
      </c>
      <c r="E27" s="50">
        <v>1</v>
      </c>
      <c r="F27" s="50">
        <v>8</v>
      </c>
      <c r="G27" s="50">
        <v>0</v>
      </c>
      <c r="H27" s="50">
        <v>0</v>
      </c>
      <c r="I27" s="50">
        <v>2</v>
      </c>
      <c r="J27" s="50">
        <v>1</v>
      </c>
      <c r="K27" s="50">
        <v>0</v>
      </c>
      <c r="L27" s="50">
        <v>0</v>
      </c>
      <c r="M27" s="50">
        <v>4</v>
      </c>
      <c r="N27" s="50">
        <v>0</v>
      </c>
      <c r="O27" s="15">
        <f t="shared" si="0"/>
        <v>23</v>
      </c>
      <c r="P27" s="15">
        <f t="shared" si="1"/>
        <v>27</v>
      </c>
      <c r="R27" s="36" t="s">
        <v>151</v>
      </c>
      <c r="S27" s="34">
        <f>SUM(C78:C81)</f>
        <v>9</v>
      </c>
      <c r="T27" s="34">
        <f t="shared" ref="T27:AF27" si="19">SUM(D78:D81)</f>
        <v>3</v>
      </c>
      <c r="U27" s="34">
        <f t="shared" si="19"/>
        <v>5</v>
      </c>
      <c r="V27" s="34">
        <f t="shared" si="19"/>
        <v>6</v>
      </c>
      <c r="W27" s="34">
        <f t="shared" si="19"/>
        <v>0</v>
      </c>
      <c r="X27" s="34">
        <f t="shared" si="19"/>
        <v>0</v>
      </c>
      <c r="Y27" s="34">
        <f t="shared" si="19"/>
        <v>5</v>
      </c>
      <c r="Z27" s="34">
        <f t="shared" si="19"/>
        <v>12</v>
      </c>
      <c r="AA27" s="34">
        <f t="shared" si="19"/>
        <v>0</v>
      </c>
      <c r="AB27" s="34">
        <f t="shared" si="19"/>
        <v>2</v>
      </c>
      <c r="AC27" s="34">
        <f t="shared" si="19"/>
        <v>9</v>
      </c>
      <c r="AD27" s="34">
        <f t="shared" si="19"/>
        <v>0</v>
      </c>
      <c r="AE27" s="31">
        <f t="shared" si="19"/>
        <v>42</v>
      </c>
      <c r="AF27" s="31">
        <f t="shared" si="19"/>
        <v>51</v>
      </c>
    </row>
    <row r="28" spans="2:32" ht="23.1" customHeight="1" x14ac:dyDescent="0.25">
      <c r="B28" s="45" t="s">
        <v>55</v>
      </c>
      <c r="C28" s="50">
        <v>7</v>
      </c>
      <c r="D28" s="50">
        <v>4</v>
      </c>
      <c r="E28" s="50">
        <v>2</v>
      </c>
      <c r="F28" s="50">
        <v>3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8</v>
      </c>
      <c r="N28" s="50">
        <v>0</v>
      </c>
      <c r="O28" s="15">
        <f t="shared" si="0"/>
        <v>19</v>
      </c>
      <c r="P28" s="15">
        <f t="shared" si="1"/>
        <v>27</v>
      </c>
      <c r="R28" s="36" t="s">
        <v>152</v>
      </c>
      <c r="S28" s="34">
        <f>SUM(C82:C85)</f>
        <v>7</v>
      </c>
      <c r="T28" s="34">
        <f t="shared" ref="T28:AF28" si="20">SUM(D82:D85)</f>
        <v>2</v>
      </c>
      <c r="U28" s="34">
        <f t="shared" si="20"/>
        <v>4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4</v>
      </c>
      <c r="Z28" s="34">
        <f t="shared" si="20"/>
        <v>5</v>
      </c>
      <c r="AA28" s="34">
        <f t="shared" si="20"/>
        <v>5</v>
      </c>
      <c r="AB28" s="34">
        <f t="shared" si="20"/>
        <v>2</v>
      </c>
      <c r="AC28" s="34">
        <f t="shared" si="20"/>
        <v>7</v>
      </c>
      <c r="AD28" s="34">
        <f t="shared" si="20"/>
        <v>0</v>
      </c>
      <c r="AE28" s="31">
        <f t="shared" si="20"/>
        <v>29</v>
      </c>
      <c r="AF28" s="31">
        <f t="shared" si="20"/>
        <v>36</v>
      </c>
    </row>
    <row r="29" spans="2:32" ht="23.1" customHeight="1" x14ac:dyDescent="0.25">
      <c r="B29" s="45" t="s">
        <v>56</v>
      </c>
      <c r="C29" s="50">
        <v>8</v>
      </c>
      <c r="D29" s="50">
        <v>2</v>
      </c>
      <c r="E29" s="50">
        <v>2</v>
      </c>
      <c r="F29" s="50">
        <v>12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3</v>
      </c>
      <c r="M29" s="50">
        <v>5</v>
      </c>
      <c r="N29" s="50">
        <v>0</v>
      </c>
      <c r="O29" s="15">
        <f t="shared" si="0"/>
        <v>30</v>
      </c>
      <c r="P29" s="15">
        <f t="shared" si="1"/>
        <v>35</v>
      </c>
      <c r="R29" s="36" t="s">
        <v>153</v>
      </c>
      <c r="S29" s="34">
        <f>SUM(C86:C89)</f>
        <v>5</v>
      </c>
      <c r="T29" s="34">
        <f t="shared" ref="T29:AF29" si="21">SUM(D86:D89)</f>
        <v>2</v>
      </c>
      <c r="U29" s="34">
        <f t="shared" si="21"/>
        <v>1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5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13</v>
      </c>
      <c r="AD29" s="34">
        <f t="shared" si="21"/>
        <v>0</v>
      </c>
      <c r="AE29" s="31">
        <f t="shared" si="21"/>
        <v>15</v>
      </c>
      <c r="AF29" s="31">
        <f t="shared" si="21"/>
        <v>28</v>
      </c>
    </row>
    <row r="30" spans="2:32" ht="23.1" customHeight="1" x14ac:dyDescent="0.25">
      <c r="B30" s="45" t="s">
        <v>57</v>
      </c>
      <c r="C30" s="50">
        <v>10</v>
      </c>
      <c r="D30" s="50">
        <v>2</v>
      </c>
      <c r="E30" s="50">
        <v>2</v>
      </c>
      <c r="F30" s="50">
        <v>8</v>
      </c>
      <c r="G30" s="50">
        <v>2</v>
      </c>
      <c r="H30" s="50">
        <v>0</v>
      </c>
      <c r="I30" s="50">
        <v>7</v>
      </c>
      <c r="J30" s="50">
        <v>2</v>
      </c>
      <c r="K30" s="50">
        <v>0</v>
      </c>
      <c r="L30" s="50">
        <v>0</v>
      </c>
      <c r="M30" s="50">
        <v>11</v>
      </c>
      <c r="N30" s="50">
        <v>0</v>
      </c>
      <c r="O30" s="15">
        <f t="shared" si="0"/>
        <v>33</v>
      </c>
      <c r="P30" s="15">
        <f t="shared" si="1"/>
        <v>44</v>
      </c>
      <c r="R30" s="36" t="s">
        <v>154</v>
      </c>
      <c r="S30" s="34">
        <f>SUM(C90:C93)</f>
        <v>6</v>
      </c>
      <c r="T30" s="34">
        <f t="shared" ref="T30:AF30" si="22">SUM(D90:D93)</f>
        <v>2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6</v>
      </c>
      <c r="Z30" s="34">
        <f t="shared" si="22"/>
        <v>3</v>
      </c>
      <c r="AA30" s="34">
        <f t="shared" si="22"/>
        <v>4</v>
      </c>
      <c r="AB30" s="34">
        <f t="shared" si="22"/>
        <v>0</v>
      </c>
      <c r="AC30" s="34">
        <f t="shared" si="22"/>
        <v>11</v>
      </c>
      <c r="AD30" s="34">
        <f t="shared" si="22"/>
        <v>0</v>
      </c>
      <c r="AE30" s="31">
        <f t="shared" si="22"/>
        <v>21</v>
      </c>
      <c r="AF30" s="31">
        <f t="shared" si="22"/>
        <v>32</v>
      </c>
    </row>
    <row r="31" spans="2:32" ht="23.1" customHeight="1" x14ac:dyDescent="0.25">
      <c r="B31" s="46" t="s">
        <v>58</v>
      </c>
      <c r="C31" s="50">
        <v>4</v>
      </c>
      <c r="D31" s="50">
        <v>2</v>
      </c>
      <c r="E31" s="50">
        <v>0</v>
      </c>
      <c r="F31" s="50">
        <v>3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5</v>
      </c>
      <c r="N31" s="50">
        <v>0</v>
      </c>
      <c r="O31" s="15">
        <f t="shared" si="0"/>
        <v>10</v>
      </c>
      <c r="P31" s="15">
        <f t="shared" si="1"/>
        <v>15</v>
      </c>
      <c r="R31" s="36" t="s">
        <v>155</v>
      </c>
      <c r="S31" s="34">
        <f>SUM(C94:C97)</f>
        <v>15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2</v>
      </c>
      <c r="W31" s="34">
        <f t="shared" si="23"/>
        <v>0</v>
      </c>
      <c r="X31" s="34">
        <f t="shared" si="23"/>
        <v>2</v>
      </c>
      <c r="Y31" s="34">
        <f t="shared" si="23"/>
        <v>3</v>
      </c>
      <c r="Z31" s="34">
        <f t="shared" si="23"/>
        <v>1</v>
      </c>
      <c r="AA31" s="34">
        <f t="shared" si="23"/>
        <v>2</v>
      </c>
      <c r="AB31" s="34">
        <f t="shared" si="23"/>
        <v>0</v>
      </c>
      <c r="AC31" s="34">
        <f t="shared" si="23"/>
        <v>10</v>
      </c>
      <c r="AD31" s="34">
        <f t="shared" si="23"/>
        <v>0</v>
      </c>
      <c r="AE31" s="31">
        <f t="shared" si="23"/>
        <v>26</v>
      </c>
      <c r="AF31" s="31">
        <f t="shared" si="23"/>
        <v>36</v>
      </c>
    </row>
    <row r="32" spans="2:32" ht="23.1" customHeight="1" x14ac:dyDescent="0.25">
      <c r="B32" s="46" t="s">
        <v>59</v>
      </c>
      <c r="C32" s="50">
        <v>8</v>
      </c>
      <c r="D32" s="50">
        <v>2</v>
      </c>
      <c r="E32" s="50">
        <v>2</v>
      </c>
      <c r="F32" s="50">
        <v>9</v>
      </c>
      <c r="G32" s="50">
        <v>0</v>
      </c>
      <c r="H32" s="50">
        <v>0</v>
      </c>
      <c r="I32" s="50">
        <v>7</v>
      </c>
      <c r="J32" s="50">
        <v>1</v>
      </c>
      <c r="K32" s="50">
        <v>1</v>
      </c>
      <c r="L32" s="50">
        <v>0</v>
      </c>
      <c r="M32" s="50">
        <v>8</v>
      </c>
      <c r="N32" s="50">
        <v>0</v>
      </c>
      <c r="O32" s="15">
        <f t="shared" si="0"/>
        <v>30</v>
      </c>
      <c r="P32" s="15">
        <f t="shared" si="1"/>
        <v>38</v>
      </c>
      <c r="R32" s="33" t="s">
        <v>156</v>
      </c>
      <c r="S32" s="34">
        <f>SUM(C98:C101)</f>
        <v>23</v>
      </c>
      <c r="T32" s="34">
        <f t="shared" ref="T32:AF32" si="24">SUM(D98:D101)</f>
        <v>2</v>
      </c>
      <c r="U32" s="34">
        <f t="shared" si="24"/>
        <v>1</v>
      </c>
      <c r="V32" s="34">
        <f t="shared" si="24"/>
        <v>23</v>
      </c>
      <c r="W32" s="34">
        <f t="shared" si="24"/>
        <v>0</v>
      </c>
      <c r="X32" s="34">
        <f t="shared" si="24"/>
        <v>2</v>
      </c>
      <c r="Y32" s="34">
        <f t="shared" si="24"/>
        <v>3</v>
      </c>
      <c r="Z32" s="34">
        <f t="shared" si="24"/>
        <v>13</v>
      </c>
      <c r="AA32" s="34">
        <f t="shared" si="24"/>
        <v>4</v>
      </c>
      <c r="AB32" s="34">
        <f t="shared" si="24"/>
        <v>0</v>
      </c>
      <c r="AC32" s="34">
        <f t="shared" si="24"/>
        <v>23</v>
      </c>
      <c r="AD32" s="34">
        <f t="shared" si="24"/>
        <v>0</v>
      </c>
      <c r="AE32" s="31">
        <f t="shared" si="24"/>
        <v>71</v>
      </c>
      <c r="AF32" s="31">
        <f t="shared" si="24"/>
        <v>94</v>
      </c>
    </row>
    <row r="33" spans="2:32" ht="23.1" customHeight="1" x14ac:dyDescent="0.25">
      <c r="B33" s="45" t="s">
        <v>60</v>
      </c>
      <c r="C33" s="50">
        <v>9</v>
      </c>
      <c r="D33" s="50">
        <v>2</v>
      </c>
      <c r="E33" s="50">
        <v>0</v>
      </c>
      <c r="F33" s="50">
        <v>15</v>
      </c>
      <c r="G33" s="50">
        <v>0</v>
      </c>
      <c r="H33" s="50">
        <v>1</v>
      </c>
      <c r="I33" s="50">
        <v>1</v>
      </c>
      <c r="J33" s="50">
        <v>3</v>
      </c>
      <c r="K33" s="50">
        <v>1</v>
      </c>
      <c r="L33" s="50">
        <v>0</v>
      </c>
      <c r="M33" s="50">
        <v>16</v>
      </c>
      <c r="N33" s="50">
        <v>0</v>
      </c>
      <c r="O33" s="15">
        <f t="shared" si="0"/>
        <v>32</v>
      </c>
      <c r="P33" s="15">
        <f t="shared" si="1"/>
        <v>48</v>
      </c>
      <c r="R33" s="33" t="s">
        <v>157</v>
      </c>
      <c r="S33" s="34">
        <f>SUM(C102:C105)</f>
        <v>46</v>
      </c>
      <c r="T33" s="34">
        <f t="shared" ref="T33:AF33" si="25">SUM(D102:D105)</f>
        <v>6</v>
      </c>
      <c r="U33" s="34">
        <f t="shared" si="25"/>
        <v>0</v>
      </c>
      <c r="V33" s="34">
        <f t="shared" si="25"/>
        <v>37</v>
      </c>
      <c r="W33" s="34">
        <f t="shared" si="25"/>
        <v>2</v>
      </c>
      <c r="X33" s="34">
        <f t="shared" si="25"/>
        <v>1</v>
      </c>
      <c r="Y33" s="34">
        <f t="shared" si="25"/>
        <v>5</v>
      </c>
      <c r="Z33" s="34">
        <f t="shared" si="25"/>
        <v>8</v>
      </c>
      <c r="AA33" s="34">
        <f t="shared" si="25"/>
        <v>1</v>
      </c>
      <c r="AB33" s="34">
        <f t="shared" si="25"/>
        <v>4</v>
      </c>
      <c r="AC33" s="34">
        <f t="shared" si="25"/>
        <v>21</v>
      </c>
      <c r="AD33" s="34">
        <f t="shared" si="25"/>
        <v>0</v>
      </c>
      <c r="AE33" s="31">
        <f t="shared" si="25"/>
        <v>110</v>
      </c>
      <c r="AF33" s="31">
        <f t="shared" si="25"/>
        <v>131</v>
      </c>
    </row>
    <row r="34" spans="2:32" ht="23.1" customHeight="1" x14ac:dyDescent="0.25">
      <c r="B34" s="46" t="s">
        <v>61</v>
      </c>
      <c r="C34" s="50">
        <v>9</v>
      </c>
      <c r="D34" s="50">
        <v>3</v>
      </c>
      <c r="E34" s="50">
        <v>3</v>
      </c>
      <c r="F34" s="50">
        <v>12</v>
      </c>
      <c r="G34" s="50">
        <v>0</v>
      </c>
      <c r="H34" s="50">
        <v>1</v>
      </c>
      <c r="I34" s="50">
        <v>3</v>
      </c>
      <c r="J34" s="50">
        <v>4</v>
      </c>
      <c r="K34" s="50">
        <v>0</v>
      </c>
      <c r="L34" s="50">
        <v>0</v>
      </c>
      <c r="M34" s="50">
        <v>15</v>
      </c>
      <c r="N34" s="50">
        <v>0</v>
      </c>
      <c r="O34" s="15">
        <f t="shared" si="0"/>
        <v>35</v>
      </c>
      <c r="P34" s="15">
        <f t="shared" si="1"/>
        <v>50</v>
      </c>
      <c r="R34" s="38" t="s">
        <v>90</v>
      </c>
      <c r="S34" s="39">
        <f t="shared" ref="S34:AF34" si="26">MAX(S10:S12)</f>
        <v>56</v>
      </c>
      <c r="T34" s="39">
        <f t="shared" si="26"/>
        <v>18</v>
      </c>
      <c r="U34" s="39">
        <f t="shared" si="26"/>
        <v>3</v>
      </c>
      <c r="V34" s="39">
        <f t="shared" si="26"/>
        <v>61</v>
      </c>
      <c r="W34" s="39">
        <f t="shared" si="26"/>
        <v>1</v>
      </c>
      <c r="X34" s="39">
        <f t="shared" si="26"/>
        <v>0</v>
      </c>
      <c r="Y34" s="39">
        <f t="shared" si="26"/>
        <v>12</v>
      </c>
      <c r="Z34" s="39">
        <f t="shared" si="26"/>
        <v>5</v>
      </c>
      <c r="AA34" s="39">
        <f t="shared" si="26"/>
        <v>3</v>
      </c>
      <c r="AB34" s="39">
        <f t="shared" si="26"/>
        <v>1</v>
      </c>
      <c r="AC34" s="39">
        <f t="shared" si="26"/>
        <v>111</v>
      </c>
      <c r="AD34" s="39">
        <f t="shared" si="26"/>
        <v>0</v>
      </c>
      <c r="AE34" s="40">
        <f t="shared" si="26"/>
        <v>157</v>
      </c>
      <c r="AF34" s="40">
        <f t="shared" si="26"/>
        <v>268</v>
      </c>
    </row>
    <row r="35" spans="2:32" ht="23.1" customHeight="1" x14ac:dyDescent="0.25">
      <c r="B35" s="46" t="s">
        <v>62</v>
      </c>
      <c r="C35" s="50">
        <v>5</v>
      </c>
      <c r="D35" s="50">
        <v>4</v>
      </c>
      <c r="E35" s="50">
        <v>2</v>
      </c>
      <c r="F35" s="50">
        <v>6</v>
      </c>
      <c r="G35" s="50">
        <v>2</v>
      </c>
      <c r="H35" s="50">
        <v>0</v>
      </c>
      <c r="I35" s="50">
        <v>4</v>
      </c>
      <c r="J35" s="50">
        <v>6</v>
      </c>
      <c r="K35" s="50">
        <v>0</v>
      </c>
      <c r="L35" s="50">
        <v>0</v>
      </c>
      <c r="M35" s="50">
        <v>11</v>
      </c>
      <c r="N35" s="50">
        <v>0</v>
      </c>
      <c r="O35" s="15">
        <f t="shared" si="0"/>
        <v>29</v>
      </c>
      <c r="P35" s="15">
        <f t="shared" si="1"/>
        <v>40</v>
      </c>
      <c r="R35" s="38" t="s">
        <v>91</v>
      </c>
      <c r="S35" s="39">
        <f t="shared" ref="S35:AF35" si="27">MAX(S13:S18)</f>
        <v>46</v>
      </c>
      <c r="T35" s="39">
        <f t="shared" si="27"/>
        <v>21</v>
      </c>
      <c r="U35" s="39">
        <f t="shared" si="27"/>
        <v>14</v>
      </c>
      <c r="V35" s="39">
        <f t="shared" si="27"/>
        <v>51</v>
      </c>
      <c r="W35" s="39">
        <f t="shared" si="27"/>
        <v>2</v>
      </c>
      <c r="X35" s="39">
        <f t="shared" si="27"/>
        <v>2</v>
      </c>
      <c r="Y35" s="39">
        <f t="shared" si="27"/>
        <v>34</v>
      </c>
      <c r="Z35" s="39">
        <f t="shared" si="27"/>
        <v>16</v>
      </c>
      <c r="AA35" s="39">
        <f t="shared" si="27"/>
        <v>5</v>
      </c>
      <c r="AB35" s="39">
        <f t="shared" si="27"/>
        <v>6</v>
      </c>
      <c r="AC35" s="39">
        <f t="shared" si="27"/>
        <v>77</v>
      </c>
      <c r="AD35" s="39">
        <f t="shared" si="27"/>
        <v>0</v>
      </c>
      <c r="AE35" s="40">
        <f t="shared" si="27"/>
        <v>173</v>
      </c>
      <c r="AF35" s="40">
        <f t="shared" si="27"/>
        <v>206</v>
      </c>
    </row>
    <row r="36" spans="2:32" ht="23.1" customHeight="1" x14ac:dyDescent="0.25">
      <c r="B36" s="46" t="s">
        <v>63</v>
      </c>
      <c r="C36" s="50">
        <v>10</v>
      </c>
      <c r="D36" s="50">
        <v>3</v>
      </c>
      <c r="E36" s="50">
        <v>6</v>
      </c>
      <c r="F36" s="50">
        <v>10</v>
      </c>
      <c r="G36" s="50">
        <v>0</v>
      </c>
      <c r="H36" s="50">
        <v>0</v>
      </c>
      <c r="I36" s="50">
        <v>4</v>
      </c>
      <c r="J36" s="50">
        <v>5</v>
      </c>
      <c r="K36" s="50">
        <v>1</v>
      </c>
      <c r="L36" s="50">
        <v>4</v>
      </c>
      <c r="M36" s="50">
        <v>6</v>
      </c>
      <c r="N36" s="50">
        <v>0</v>
      </c>
      <c r="O36" s="15">
        <f t="shared" si="0"/>
        <v>43</v>
      </c>
      <c r="P36" s="15">
        <f t="shared" si="1"/>
        <v>49</v>
      </c>
      <c r="R36" s="38" t="s">
        <v>92</v>
      </c>
      <c r="S36" s="39">
        <f t="shared" ref="S36:AF36" si="28">MAX(S19:S21)</f>
        <v>101</v>
      </c>
      <c r="T36" s="39">
        <f t="shared" si="28"/>
        <v>48</v>
      </c>
      <c r="U36" s="39">
        <f t="shared" si="28"/>
        <v>22</v>
      </c>
      <c r="V36" s="39">
        <f t="shared" si="28"/>
        <v>73</v>
      </c>
      <c r="W36" s="39">
        <f t="shared" si="28"/>
        <v>3</v>
      </c>
      <c r="X36" s="39">
        <f t="shared" si="28"/>
        <v>6</v>
      </c>
      <c r="Y36" s="39">
        <f t="shared" si="28"/>
        <v>37</v>
      </c>
      <c r="Z36" s="39">
        <f t="shared" si="28"/>
        <v>13</v>
      </c>
      <c r="AA36" s="39">
        <f t="shared" si="28"/>
        <v>11</v>
      </c>
      <c r="AB36" s="39">
        <f t="shared" si="28"/>
        <v>6</v>
      </c>
      <c r="AC36" s="39">
        <f t="shared" si="28"/>
        <v>75</v>
      </c>
      <c r="AD36" s="39">
        <f t="shared" si="28"/>
        <v>0</v>
      </c>
      <c r="AE36" s="40">
        <f t="shared" si="28"/>
        <v>306</v>
      </c>
      <c r="AF36" s="40">
        <f t="shared" si="28"/>
        <v>381</v>
      </c>
    </row>
    <row r="37" spans="2:32" ht="23.1" customHeight="1" x14ac:dyDescent="0.25">
      <c r="B37" s="45" t="s">
        <v>64</v>
      </c>
      <c r="C37" s="50">
        <v>5</v>
      </c>
      <c r="D37" s="50">
        <v>3</v>
      </c>
      <c r="E37" s="50">
        <v>3</v>
      </c>
      <c r="F37" s="50">
        <v>6</v>
      </c>
      <c r="G37" s="50">
        <v>0</v>
      </c>
      <c r="H37" s="50">
        <v>1</v>
      </c>
      <c r="I37" s="50">
        <v>0</v>
      </c>
      <c r="J37" s="50">
        <v>1</v>
      </c>
      <c r="K37" s="50">
        <v>0</v>
      </c>
      <c r="L37" s="50">
        <v>2</v>
      </c>
      <c r="M37" s="50">
        <v>6</v>
      </c>
      <c r="N37" s="50">
        <v>0</v>
      </c>
      <c r="O37" s="15">
        <f t="shared" si="0"/>
        <v>21</v>
      </c>
      <c r="P37" s="15">
        <f t="shared" si="1"/>
        <v>27</v>
      </c>
      <c r="R37" s="37" t="s">
        <v>85</v>
      </c>
      <c r="S37" s="35">
        <f t="shared" ref="S37:AF37" si="29">SUM(S10:S12)</f>
        <v>137</v>
      </c>
      <c r="T37" s="16">
        <f t="shared" si="29"/>
        <v>42</v>
      </c>
      <c r="U37" s="16">
        <f t="shared" si="29"/>
        <v>6</v>
      </c>
      <c r="V37" s="16">
        <f t="shared" si="29"/>
        <v>168</v>
      </c>
      <c r="W37" s="16">
        <f t="shared" si="29"/>
        <v>2</v>
      </c>
      <c r="X37" s="16">
        <f t="shared" si="29"/>
        <v>0</v>
      </c>
      <c r="Y37" s="16">
        <f t="shared" si="29"/>
        <v>30</v>
      </c>
      <c r="Z37" s="16">
        <f t="shared" si="29"/>
        <v>9</v>
      </c>
      <c r="AA37" s="16">
        <f t="shared" si="29"/>
        <v>8</v>
      </c>
      <c r="AB37" s="16">
        <f t="shared" si="29"/>
        <v>2</v>
      </c>
      <c r="AC37" s="16">
        <f t="shared" si="29"/>
        <v>258</v>
      </c>
      <c r="AD37" s="16">
        <f t="shared" si="29"/>
        <v>0</v>
      </c>
      <c r="AE37" s="32">
        <f t="shared" si="29"/>
        <v>404</v>
      </c>
      <c r="AF37" s="32">
        <f t="shared" si="29"/>
        <v>662</v>
      </c>
    </row>
    <row r="38" spans="2:32" ht="23.1" customHeight="1" x14ac:dyDescent="0.25">
      <c r="B38" s="46" t="s">
        <v>65</v>
      </c>
      <c r="C38" s="50">
        <v>10</v>
      </c>
      <c r="D38" s="50">
        <v>4</v>
      </c>
      <c r="E38" s="50">
        <v>3</v>
      </c>
      <c r="F38" s="50">
        <v>9</v>
      </c>
      <c r="G38" s="50">
        <v>0</v>
      </c>
      <c r="H38" s="50">
        <v>0</v>
      </c>
      <c r="I38" s="50">
        <v>15</v>
      </c>
      <c r="J38" s="50">
        <v>3</v>
      </c>
      <c r="K38" s="50">
        <v>2</v>
      </c>
      <c r="L38" s="50">
        <v>1</v>
      </c>
      <c r="M38" s="50">
        <v>10</v>
      </c>
      <c r="N38" s="50">
        <v>0</v>
      </c>
      <c r="O38" s="15">
        <f t="shared" si="0"/>
        <v>47</v>
      </c>
      <c r="P38" s="15">
        <f t="shared" si="1"/>
        <v>57</v>
      </c>
      <c r="R38" s="28" t="s">
        <v>86</v>
      </c>
      <c r="S38" s="16">
        <f t="shared" ref="S38:AF38" si="30">SUM(S13:S18)</f>
        <v>206</v>
      </c>
      <c r="T38" s="16">
        <f t="shared" si="30"/>
        <v>83</v>
      </c>
      <c r="U38" s="16">
        <f t="shared" si="30"/>
        <v>43</v>
      </c>
      <c r="V38" s="16">
        <f t="shared" si="30"/>
        <v>243</v>
      </c>
      <c r="W38" s="16">
        <f t="shared" si="30"/>
        <v>6</v>
      </c>
      <c r="X38" s="16">
        <f t="shared" si="30"/>
        <v>7</v>
      </c>
      <c r="Y38" s="16">
        <f t="shared" si="30"/>
        <v>111</v>
      </c>
      <c r="Z38" s="16">
        <f t="shared" si="30"/>
        <v>47</v>
      </c>
      <c r="AA38" s="16">
        <f t="shared" si="30"/>
        <v>17</v>
      </c>
      <c r="AB38" s="16">
        <f t="shared" si="30"/>
        <v>17</v>
      </c>
      <c r="AC38" s="16">
        <f t="shared" si="30"/>
        <v>256</v>
      </c>
      <c r="AD38" s="16">
        <f t="shared" si="30"/>
        <v>0</v>
      </c>
      <c r="AE38" s="32">
        <f t="shared" si="30"/>
        <v>780</v>
      </c>
      <c r="AF38" s="32">
        <f t="shared" si="30"/>
        <v>1036</v>
      </c>
    </row>
    <row r="39" spans="2:32" ht="23.1" customHeight="1" x14ac:dyDescent="0.25">
      <c r="B39" s="46" t="s">
        <v>66</v>
      </c>
      <c r="C39" s="50">
        <v>14</v>
      </c>
      <c r="D39" s="50">
        <v>5</v>
      </c>
      <c r="E39" s="50">
        <v>4</v>
      </c>
      <c r="F39" s="50">
        <v>14</v>
      </c>
      <c r="G39" s="50">
        <v>0</v>
      </c>
      <c r="H39" s="50">
        <v>0</v>
      </c>
      <c r="I39" s="50">
        <v>8</v>
      </c>
      <c r="J39" s="50">
        <v>3</v>
      </c>
      <c r="K39" s="50">
        <v>1</v>
      </c>
      <c r="L39" s="50">
        <v>1</v>
      </c>
      <c r="M39" s="50">
        <v>5</v>
      </c>
      <c r="N39" s="50">
        <v>0</v>
      </c>
      <c r="O39" s="15">
        <f t="shared" si="0"/>
        <v>50</v>
      </c>
      <c r="P39" s="15">
        <f t="shared" si="1"/>
        <v>55</v>
      </c>
      <c r="R39" s="29" t="s">
        <v>87</v>
      </c>
      <c r="S39" s="16">
        <f t="shared" ref="S39:AF39" si="31">SUM(S19:S21)</f>
        <v>204</v>
      </c>
      <c r="T39" s="16">
        <f t="shared" si="31"/>
        <v>113</v>
      </c>
      <c r="U39" s="16">
        <f t="shared" si="31"/>
        <v>56</v>
      </c>
      <c r="V39" s="16">
        <f t="shared" si="31"/>
        <v>166</v>
      </c>
      <c r="W39" s="16">
        <f t="shared" si="31"/>
        <v>7</v>
      </c>
      <c r="X39" s="16">
        <f t="shared" si="31"/>
        <v>10</v>
      </c>
      <c r="Y39" s="16">
        <f t="shared" si="31"/>
        <v>102</v>
      </c>
      <c r="Z39" s="16">
        <f t="shared" si="31"/>
        <v>35</v>
      </c>
      <c r="AA39" s="16">
        <f t="shared" si="31"/>
        <v>20</v>
      </c>
      <c r="AB39" s="16">
        <f t="shared" si="31"/>
        <v>13</v>
      </c>
      <c r="AC39" s="16">
        <f t="shared" si="31"/>
        <v>186</v>
      </c>
      <c r="AD39" s="16">
        <f t="shared" si="31"/>
        <v>0</v>
      </c>
      <c r="AE39" s="32">
        <f t="shared" si="31"/>
        <v>726</v>
      </c>
      <c r="AF39" s="32">
        <f t="shared" si="31"/>
        <v>912</v>
      </c>
    </row>
    <row r="40" spans="2:32" ht="23.1" customHeight="1" x14ac:dyDescent="0.25">
      <c r="B40" s="46" t="s">
        <v>67</v>
      </c>
      <c r="C40" s="50">
        <v>10</v>
      </c>
      <c r="D40" s="50">
        <v>5</v>
      </c>
      <c r="E40" s="50">
        <v>0</v>
      </c>
      <c r="F40" s="50">
        <v>15</v>
      </c>
      <c r="G40" s="50">
        <v>0</v>
      </c>
      <c r="H40" s="50">
        <v>0</v>
      </c>
      <c r="I40" s="50">
        <v>3</v>
      </c>
      <c r="J40" s="50">
        <v>3</v>
      </c>
      <c r="K40" s="50">
        <v>1</v>
      </c>
      <c r="L40" s="50">
        <v>2</v>
      </c>
      <c r="M40" s="50">
        <v>2</v>
      </c>
      <c r="N40" s="50">
        <v>0</v>
      </c>
      <c r="O40" s="15">
        <f t="shared" si="0"/>
        <v>39</v>
      </c>
      <c r="P40" s="15">
        <f t="shared" si="1"/>
        <v>41</v>
      </c>
      <c r="R40" s="5" t="s">
        <v>17</v>
      </c>
      <c r="S40" s="16">
        <f t="shared" ref="S40:AF40" si="32">SUM(S10:S21)</f>
        <v>547</v>
      </c>
      <c r="T40" s="16">
        <f t="shared" si="32"/>
        <v>238</v>
      </c>
      <c r="U40" s="16">
        <f t="shared" si="32"/>
        <v>105</v>
      </c>
      <c r="V40" s="16">
        <f t="shared" si="32"/>
        <v>577</v>
      </c>
      <c r="W40" s="16">
        <f t="shared" si="32"/>
        <v>15</v>
      </c>
      <c r="X40" s="16">
        <f t="shared" si="32"/>
        <v>17</v>
      </c>
      <c r="Y40" s="16">
        <f t="shared" si="32"/>
        <v>243</v>
      </c>
      <c r="Z40" s="16">
        <f t="shared" si="32"/>
        <v>91</v>
      </c>
      <c r="AA40" s="16">
        <f t="shared" si="32"/>
        <v>45</v>
      </c>
      <c r="AB40" s="16">
        <f t="shared" si="32"/>
        <v>32</v>
      </c>
      <c r="AC40" s="16">
        <f t="shared" si="32"/>
        <v>700</v>
      </c>
      <c r="AD40" s="16">
        <f t="shared" si="32"/>
        <v>0</v>
      </c>
      <c r="AE40" s="32">
        <f t="shared" si="32"/>
        <v>1910</v>
      </c>
      <c r="AF40" s="32">
        <f t="shared" si="32"/>
        <v>2610</v>
      </c>
    </row>
    <row r="41" spans="2:32" ht="23.1" customHeight="1" x14ac:dyDescent="0.25">
      <c r="B41" s="45" t="s">
        <v>68</v>
      </c>
      <c r="C41" s="50">
        <v>12</v>
      </c>
      <c r="D41" s="50">
        <v>6</v>
      </c>
      <c r="E41" s="50">
        <v>0</v>
      </c>
      <c r="F41" s="50">
        <v>9</v>
      </c>
      <c r="G41" s="50">
        <v>0</v>
      </c>
      <c r="H41" s="50">
        <v>1</v>
      </c>
      <c r="I41" s="50">
        <v>8</v>
      </c>
      <c r="J41" s="50">
        <v>1</v>
      </c>
      <c r="K41" s="50">
        <v>0</v>
      </c>
      <c r="L41" s="50">
        <v>0</v>
      </c>
      <c r="M41" s="50">
        <v>6</v>
      </c>
      <c r="N41" s="50">
        <v>0</v>
      </c>
      <c r="O41" s="15">
        <f t="shared" si="0"/>
        <v>37</v>
      </c>
      <c r="P41" s="15">
        <f t="shared" si="1"/>
        <v>43</v>
      </c>
      <c r="R41" s="5" t="s">
        <v>159</v>
      </c>
      <c r="S41" s="16">
        <f>SUM(S10:S33)</f>
        <v>969</v>
      </c>
      <c r="T41" s="16">
        <f t="shared" ref="T41:AF41" si="33">SUM(T10:T33)</f>
        <v>303</v>
      </c>
      <c r="U41" s="16">
        <f t="shared" si="33"/>
        <v>162</v>
      </c>
      <c r="V41" s="16">
        <f t="shared" si="33"/>
        <v>838</v>
      </c>
      <c r="W41" s="16">
        <f t="shared" si="33"/>
        <v>20</v>
      </c>
      <c r="X41" s="16">
        <f t="shared" si="33"/>
        <v>30</v>
      </c>
      <c r="Y41" s="16">
        <f t="shared" si="33"/>
        <v>360</v>
      </c>
      <c r="Z41" s="16">
        <f t="shared" si="33"/>
        <v>207</v>
      </c>
      <c r="AA41" s="16">
        <f t="shared" si="33"/>
        <v>85</v>
      </c>
      <c r="AB41" s="16">
        <f t="shared" si="33"/>
        <v>60</v>
      </c>
      <c r="AC41" s="16">
        <f t="shared" si="33"/>
        <v>1145</v>
      </c>
      <c r="AD41" s="16">
        <f t="shared" si="33"/>
        <v>0</v>
      </c>
      <c r="AE41" s="32">
        <f t="shared" si="33"/>
        <v>3034</v>
      </c>
      <c r="AF41" s="32">
        <f t="shared" si="33"/>
        <v>4179</v>
      </c>
    </row>
    <row r="42" spans="2:32" ht="23.1" customHeight="1" x14ac:dyDescent="0.25">
      <c r="B42" s="46" t="s">
        <v>69</v>
      </c>
      <c r="C42" s="50">
        <v>6</v>
      </c>
      <c r="D42" s="50">
        <v>12</v>
      </c>
      <c r="E42" s="50">
        <v>2</v>
      </c>
      <c r="F42" s="50">
        <v>6</v>
      </c>
      <c r="G42" s="50">
        <v>1</v>
      </c>
      <c r="H42" s="50">
        <v>2</v>
      </c>
      <c r="I42" s="50">
        <v>5</v>
      </c>
      <c r="J42" s="50">
        <v>2</v>
      </c>
      <c r="K42" s="50">
        <v>0</v>
      </c>
      <c r="L42" s="50">
        <v>0</v>
      </c>
      <c r="M42" s="50">
        <v>15</v>
      </c>
      <c r="N42" s="50">
        <v>0</v>
      </c>
      <c r="O42" s="15">
        <f t="shared" si="0"/>
        <v>36</v>
      </c>
      <c r="P42" s="15">
        <f t="shared" si="1"/>
        <v>51</v>
      </c>
      <c r="R42" s="5" t="s">
        <v>160</v>
      </c>
      <c r="S42" s="48">
        <f>S41/S40</f>
        <v>1.7714808043875685</v>
      </c>
      <c r="T42" s="48">
        <f t="shared" ref="T42:AF42" si="34">T41/T40</f>
        <v>1.2731092436974789</v>
      </c>
      <c r="U42" s="48">
        <f t="shared" si="34"/>
        <v>1.5428571428571429</v>
      </c>
      <c r="V42" s="48">
        <f t="shared" si="34"/>
        <v>1.4523396880415944</v>
      </c>
      <c r="W42" s="48">
        <f t="shared" si="34"/>
        <v>1.3333333333333333</v>
      </c>
      <c r="X42" s="48">
        <f t="shared" si="34"/>
        <v>1.7647058823529411</v>
      </c>
      <c r="Y42" s="48">
        <f t="shared" si="34"/>
        <v>1.4814814814814814</v>
      </c>
      <c r="Z42" s="48">
        <f t="shared" si="34"/>
        <v>2.2747252747252746</v>
      </c>
      <c r="AA42" s="48">
        <f t="shared" si="34"/>
        <v>1.8888888888888888</v>
      </c>
      <c r="AB42" s="48">
        <f t="shared" si="34"/>
        <v>1.875</v>
      </c>
      <c r="AC42" s="48">
        <f t="shared" si="34"/>
        <v>1.6357142857142857</v>
      </c>
      <c r="AD42" s="48" t="e">
        <f t="shared" si="34"/>
        <v>#DIV/0!</v>
      </c>
      <c r="AE42" s="48">
        <f t="shared" si="34"/>
        <v>1.5884816753926703</v>
      </c>
      <c r="AF42" s="48">
        <f t="shared" si="34"/>
        <v>1.6011494252873564</v>
      </c>
    </row>
    <row r="43" spans="2:32" ht="23.1" customHeight="1" x14ac:dyDescent="0.25">
      <c r="B43" s="45" t="s">
        <v>70</v>
      </c>
      <c r="C43" s="50">
        <v>4</v>
      </c>
      <c r="D43" s="50">
        <v>5</v>
      </c>
      <c r="E43" s="50">
        <v>2</v>
      </c>
      <c r="F43" s="50">
        <v>6</v>
      </c>
      <c r="G43" s="50">
        <v>0</v>
      </c>
      <c r="H43" s="50">
        <v>0</v>
      </c>
      <c r="I43" s="50">
        <v>4</v>
      </c>
      <c r="J43" s="50">
        <v>3</v>
      </c>
      <c r="K43" s="50">
        <v>3</v>
      </c>
      <c r="L43" s="50">
        <v>0</v>
      </c>
      <c r="M43" s="50">
        <v>4</v>
      </c>
      <c r="N43" s="50">
        <v>0</v>
      </c>
      <c r="O43" s="15">
        <f t="shared" si="0"/>
        <v>27</v>
      </c>
      <c r="P43" s="15">
        <f t="shared" si="1"/>
        <v>31</v>
      </c>
    </row>
    <row r="44" spans="2:32" ht="23.1" customHeight="1" x14ac:dyDescent="0.25">
      <c r="B44" s="47" t="s">
        <v>71</v>
      </c>
      <c r="C44" s="50">
        <v>17</v>
      </c>
      <c r="D44" s="50">
        <v>3</v>
      </c>
      <c r="E44" s="50">
        <v>1</v>
      </c>
      <c r="F44" s="50">
        <v>16</v>
      </c>
      <c r="G44" s="50">
        <v>0</v>
      </c>
      <c r="H44" s="50">
        <v>0</v>
      </c>
      <c r="I44" s="50">
        <v>8</v>
      </c>
      <c r="J44" s="50">
        <v>2</v>
      </c>
      <c r="K44" s="50">
        <v>1</v>
      </c>
      <c r="L44" s="50">
        <v>0</v>
      </c>
      <c r="M44" s="50">
        <v>18</v>
      </c>
      <c r="N44" s="50">
        <v>0</v>
      </c>
      <c r="O44" s="15">
        <f t="shared" si="0"/>
        <v>48</v>
      </c>
      <c r="P44" s="15">
        <f t="shared" si="1"/>
        <v>66</v>
      </c>
    </row>
    <row r="45" spans="2:32" ht="23.1" customHeight="1" x14ac:dyDescent="0.25">
      <c r="B45" s="45" t="s">
        <v>72</v>
      </c>
      <c r="C45" s="50">
        <v>9</v>
      </c>
      <c r="D45" s="50">
        <v>1</v>
      </c>
      <c r="E45" s="50">
        <v>3</v>
      </c>
      <c r="F45" s="50">
        <v>16</v>
      </c>
      <c r="G45" s="50">
        <v>1</v>
      </c>
      <c r="H45" s="50">
        <v>0</v>
      </c>
      <c r="I45" s="50">
        <v>8</v>
      </c>
      <c r="J45" s="50">
        <v>2</v>
      </c>
      <c r="K45" s="50">
        <v>1</v>
      </c>
      <c r="L45" s="50">
        <v>2</v>
      </c>
      <c r="M45" s="50">
        <v>15</v>
      </c>
      <c r="N45" s="50">
        <v>0</v>
      </c>
      <c r="O45" s="15">
        <f t="shared" si="0"/>
        <v>43</v>
      </c>
      <c r="P45" s="15">
        <f t="shared" si="1"/>
        <v>58</v>
      </c>
    </row>
    <row r="46" spans="2:32" ht="23.1" customHeight="1" x14ac:dyDescent="0.25">
      <c r="B46" s="46" t="s">
        <v>73</v>
      </c>
      <c r="C46" s="50">
        <v>8</v>
      </c>
      <c r="D46" s="50">
        <v>6</v>
      </c>
      <c r="E46" s="50">
        <v>1</v>
      </c>
      <c r="F46" s="50">
        <v>7</v>
      </c>
      <c r="G46" s="50">
        <v>0</v>
      </c>
      <c r="H46" s="50">
        <v>1</v>
      </c>
      <c r="I46" s="50">
        <v>8</v>
      </c>
      <c r="J46" s="50">
        <v>2</v>
      </c>
      <c r="K46" s="50">
        <v>7</v>
      </c>
      <c r="L46" s="50">
        <v>0</v>
      </c>
      <c r="M46" s="50">
        <v>12</v>
      </c>
      <c r="N46" s="50">
        <v>0</v>
      </c>
      <c r="O46" s="15">
        <f t="shared" si="0"/>
        <v>40</v>
      </c>
      <c r="P46" s="15">
        <f t="shared" si="1"/>
        <v>52</v>
      </c>
      <c r="R46" s="8"/>
      <c r="T46"/>
    </row>
    <row r="47" spans="2:32" ht="23.1" customHeight="1" x14ac:dyDescent="0.25">
      <c r="B47" s="46" t="s">
        <v>74</v>
      </c>
      <c r="C47" s="50">
        <v>11</v>
      </c>
      <c r="D47" s="50">
        <v>5</v>
      </c>
      <c r="E47" s="50">
        <v>3</v>
      </c>
      <c r="F47" s="50">
        <v>7</v>
      </c>
      <c r="G47" s="50">
        <v>0</v>
      </c>
      <c r="H47" s="50">
        <v>0</v>
      </c>
      <c r="I47" s="50">
        <v>13</v>
      </c>
      <c r="J47" s="50">
        <v>1</v>
      </c>
      <c r="K47" s="50">
        <v>1</v>
      </c>
      <c r="L47" s="50">
        <v>3</v>
      </c>
      <c r="M47" s="50">
        <v>10</v>
      </c>
      <c r="N47" s="50">
        <v>0</v>
      </c>
      <c r="O47" s="15">
        <f t="shared" si="0"/>
        <v>44</v>
      </c>
      <c r="P47" s="15">
        <f t="shared" si="1"/>
        <v>54</v>
      </c>
      <c r="R47" s="8"/>
      <c r="T47"/>
    </row>
    <row r="48" spans="2:32" ht="23.1" customHeight="1" x14ac:dyDescent="0.25">
      <c r="B48" s="46" t="s">
        <v>75</v>
      </c>
      <c r="C48" s="50">
        <v>19</v>
      </c>
      <c r="D48" s="50">
        <v>8</v>
      </c>
      <c r="E48" s="50">
        <v>1</v>
      </c>
      <c r="F48" s="50">
        <v>12</v>
      </c>
      <c r="G48" s="50">
        <v>3</v>
      </c>
      <c r="H48" s="50">
        <v>0</v>
      </c>
      <c r="I48" s="50">
        <v>11</v>
      </c>
      <c r="J48" s="50">
        <v>4</v>
      </c>
      <c r="K48" s="50">
        <v>0</v>
      </c>
      <c r="L48" s="50">
        <v>1</v>
      </c>
      <c r="M48" s="50">
        <v>14</v>
      </c>
      <c r="N48" s="50">
        <v>0</v>
      </c>
      <c r="O48" s="15">
        <f t="shared" si="0"/>
        <v>59</v>
      </c>
      <c r="P48" s="15">
        <f t="shared" si="1"/>
        <v>73</v>
      </c>
      <c r="R48" s="8"/>
      <c r="T48"/>
    </row>
    <row r="49" spans="2:20" ht="23.1" customHeight="1" x14ac:dyDescent="0.25">
      <c r="B49" s="45" t="s">
        <v>76</v>
      </c>
      <c r="C49" s="50">
        <v>15</v>
      </c>
      <c r="D49" s="50">
        <v>8</v>
      </c>
      <c r="E49" s="50">
        <v>9</v>
      </c>
      <c r="F49" s="50">
        <v>17</v>
      </c>
      <c r="G49" s="50">
        <v>0</v>
      </c>
      <c r="H49" s="50">
        <v>1</v>
      </c>
      <c r="I49" s="50">
        <v>5</v>
      </c>
      <c r="J49" s="50">
        <v>6</v>
      </c>
      <c r="K49" s="50">
        <v>3</v>
      </c>
      <c r="L49" s="50">
        <v>0</v>
      </c>
      <c r="M49" s="50">
        <v>11</v>
      </c>
      <c r="N49" s="50">
        <v>0</v>
      </c>
      <c r="O49" s="15">
        <f t="shared" si="0"/>
        <v>64</v>
      </c>
      <c r="P49" s="15">
        <f t="shared" si="1"/>
        <v>75</v>
      </c>
      <c r="R49" s="8"/>
      <c r="T49"/>
    </row>
    <row r="50" spans="2:20" ht="23.1" customHeight="1" x14ac:dyDescent="0.25">
      <c r="B50" s="46" t="s">
        <v>77</v>
      </c>
      <c r="C50" s="50">
        <v>21</v>
      </c>
      <c r="D50" s="50">
        <v>14</v>
      </c>
      <c r="E50" s="50">
        <v>6</v>
      </c>
      <c r="F50" s="50">
        <v>15</v>
      </c>
      <c r="G50" s="50">
        <v>0</v>
      </c>
      <c r="H50" s="50">
        <v>0</v>
      </c>
      <c r="I50" s="50">
        <v>9</v>
      </c>
      <c r="J50" s="50">
        <v>2</v>
      </c>
      <c r="K50" s="50">
        <v>0</v>
      </c>
      <c r="L50" s="50">
        <v>2</v>
      </c>
      <c r="M50" s="50">
        <v>10</v>
      </c>
      <c r="N50" s="50">
        <v>0</v>
      </c>
      <c r="O50" s="15">
        <f t="shared" si="0"/>
        <v>69</v>
      </c>
      <c r="P50" s="15">
        <f t="shared" si="1"/>
        <v>79</v>
      </c>
      <c r="R50" s="8"/>
      <c r="T50"/>
    </row>
    <row r="51" spans="2:20" ht="23.1" customHeight="1" x14ac:dyDescent="0.25">
      <c r="B51" s="46" t="s">
        <v>78</v>
      </c>
      <c r="C51" s="50">
        <v>24</v>
      </c>
      <c r="D51" s="50">
        <v>11</v>
      </c>
      <c r="E51" s="50">
        <v>4</v>
      </c>
      <c r="F51" s="50">
        <v>20</v>
      </c>
      <c r="G51" s="50">
        <v>0</v>
      </c>
      <c r="H51" s="50">
        <v>3</v>
      </c>
      <c r="I51" s="50">
        <v>10</v>
      </c>
      <c r="J51" s="50">
        <v>3</v>
      </c>
      <c r="K51" s="50">
        <v>0</v>
      </c>
      <c r="L51" s="50">
        <v>0</v>
      </c>
      <c r="M51" s="50">
        <v>22</v>
      </c>
      <c r="N51" s="50">
        <v>0</v>
      </c>
      <c r="O51" s="15">
        <f t="shared" si="0"/>
        <v>75</v>
      </c>
      <c r="P51" s="15">
        <f t="shared" si="1"/>
        <v>97</v>
      </c>
      <c r="R51" s="8"/>
      <c r="T51"/>
    </row>
    <row r="52" spans="2:20" ht="23.1" customHeight="1" x14ac:dyDescent="0.25">
      <c r="B52" s="46" t="s">
        <v>79</v>
      </c>
      <c r="C52" s="50">
        <v>33</v>
      </c>
      <c r="D52" s="50">
        <v>9</v>
      </c>
      <c r="E52" s="50">
        <v>4</v>
      </c>
      <c r="F52" s="50">
        <v>21</v>
      </c>
      <c r="G52" s="50">
        <v>0</v>
      </c>
      <c r="H52" s="50">
        <v>3</v>
      </c>
      <c r="I52" s="50">
        <v>8</v>
      </c>
      <c r="J52" s="50">
        <v>4</v>
      </c>
      <c r="K52" s="50">
        <v>1</v>
      </c>
      <c r="L52" s="50">
        <v>3</v>
      </c>
      <c r="M52" s="50">
        <v>20</v>
      </c>
      <c r="N52" s="50">
        <v>0</v>
      </c>
      <c r="O52" s="15">
        <f t="shared" si="0"/>
        <v>86</v>
      </c>
      <c r="P52" s="15">
        <f t="shared" si="1"/>
        <v>106</v>
      </c>
      <c r="R52" s="8"/>
      <c r="T52"/>
    </row>
    <row r="53" spans="2:20" ht="23.1" customHeight="1" x14ac:dyDescent="0.25">
      <c r="B53" s="45" t="s">
        <v>80</v>
      </c>
      <c r="C53" s="50">
        <v>23</v>
      </c>
      <c r="D53" s="50">
        <v>14</v>
      </c>
      <c r="E53" s="50">
        <v>6</v>
      </c>
      <c r="F53" s="50">
        <v>17</v>
      </c>
      <c r="G53" s="50">
        <v>2</v>
      </c>
      <c r="H53" s="50">
        <v>0</v>
      </c>
      <c r="I53" s="50">
        <v>8</v>
      </c>
      <c r="J53" s="50">
        <v>3</v>
      </c>
      <c r="K53" s="50">
        <v>2</v>
      </c>
      <c r="L53" s="50">
        <v>1</v>
      </c>
      <c r="M53" s="50">
        <v>23</v>
      </c>
      <c r="N53" s="50">
        <v>0</v>
      </c>
      <c r="O53" s="15">
        <f t="shared" si="0"/>
        <v>76</v>
      </c>
      <c r="P53" s="15">
        <f t="shared" si="1"/>
        <v>99</v>
      </c>
      <c r="R53" s="8"/>
      <c r="T53"/>
    </row>
    <row r="54" spans="2:20" ht="23.1" customHeight="1" x14ac:dyDescent="0.25">
      <c r="B54" s="45" t="s">
        <v>81</v>
      </c>
      <c r="C54" s="50">
        <v>16</v>
      </c>
      <c r="D54" s="50">
        <v>12</v>
      </c>
      <c r="E54" s="50">
        <v>8</v>
      </c>
      <c r="F54" s="50">
        <v>16</v>
      </c>
      <c r="G54" s="50">
        <v>0</v>
      </c>
      <c r="H54" s="50">
        <v>0</v>
      </c>
      <c r="I54" s="50">
        <v>8</v>
      </c>
      <c r="J54" s="50">
        <v>3</v>
      </c>
      <c r="K54" s="50">
        <v>1</v>
      </c>
      <c r="L54" s="50">
        <v>1</v>
      </c>
      <c r="M54" s="50">
        <v>25</v>
      </c>
      <c r="N54" s="50">
        <v>0</v>
      </c>
      <c r="O54" s="15">
        <f t="shared" si="0"/>
        <v>65</v>
      </c>
      <c r="P54" s="15">
        <f t="shared" si="1"/>
        <v>90</v>
      </c>
      <c r="R54" s="8"/>
      <c r="T54"/>
    </row>
    <row r="55" spans="2:20" ht="23.1" customHeight="1" x14ac:dyDescent="0.25">
      <c r="B55" s="45" t="s">
        <v>82</v>
      </c>
      <c r="C55" s="50">
        <v>11</v>
      </c>
      <c r="D55" s="50">
        <v>11</v>
      </c>
      <c r="E55" s="50">
        <v>3</v>
      </c>
      <c r="F55" s="50">
        <v>10</v>
      </c>
      <c r="G55" s="50">
        <v>2</v>
      </c>
      <c r="H55" s="50">
        <v>0</v>
      </c>
      <c r="I55" s="50">
        <v>9</v>
      </c>
      <c r="J55" s="50">
        <v>3</v>
      </c>
      <c r="K55" s="50">
        <v>1</v>
      </c>
      <c r="L55" s="50">
        <v>0</v>
      </c>
      <c r="M55" s="50">
        <v>15</v>
      </c>
      <c r="N55" s="50">
        <v>0</v>
      </c>
      <c r="O55" s="15">
        <f t="shared" si="0"/>
        <v>50</v>
      </c>
      <c r="P55" s="15">
        <f t="shared" si="1"/>
        <v>65</v>
      </c>
      <c r="R55" s="8"/>
      <c r="T55"/>
    </row>
    <row r="56" spans="2:20" ht="23.1" customHeight="1" x14ac:dyDescent="0.25">
      <c r="B56" s="45" t="s">
        <v>83</v>
      </c>
      <c r="C56" s="50">
        <v>13</v>
      </c>
      <c r="D56" s="50">
        <v>7</v>
      </c>
      <c r="E56" s="50">
        <v>6</v>
      </c>
      <c r="F56" s="50">
        <v>13</v>
      </c>
      <c r="G56" s="50">
        <v>0</v>
      </c>
      <c r="H56" s="50">
        <v>1</v>
      </c>
      <c r="I56" s="50">
        <v>10</v>
      </c>
      <c r="J56" s="50">
        <v>3</v>
      </c>
      <c r="K56" s="50">
        <v>4</v>
      </c>
      <c r="L56" s="50">
        <v>2</v>
      </c>
      <c r="M56" s="50">
        <v>13</v>
      </c>
      <c r="N56" s="50">
        <v>0</v>
      </c>
      <c r="O56" s="15">
        <f t="shared" si="0"/>
        <v>59</v>
      </c>
      <c r="P56" s="15">
        <f t="shared" si="1"/>
        <v>72</v>
      </c>
      <c r="R56" s="8"/>
      <c r="T56"/>
    </row>
    <row r="57" spans="2:20" ht="23.1" customHeight="1" x14ac:dyDescent="0.25">
      <c r="B57" s="45" t="s">
        <v>84</v>
      </c>
      <c r="C57" s="50">
        <v>10</v>
      </c>
      <c r="D57" s="50">
        <v>8</v>
      </c>
      <c r="E57" s="50">
        <v>5</v>
      </c>
      <c r="F57" s="50">
        <v>11</v>
      </c>
      <c r="G57" s="50">
        <v>0</v>
      </c>
      <c r="H57" s="50">
        <v>1</v>
      </c>
      <c r="I57" s="50">
        <v>3</v>
      </c>
      <c r="J57" s="50">
        <v>1</v>
      </c>
      <c r="K57" s="50">
        <v>0</v>
      </c>
      <c r="L57" s="50">
        <v>0</v>
      </c>
      <c r="M57" s="50">
        <v>11</v>
      </c>
      <c r="N57" s="50">
        <v>0</v>
      </c>
      <c r="O57" s="15">
        <f t="shared" si="0"/>
        <v>39</v>
      </c>
      <c r="P57" s="15">
        <f t="shared" si="1"/>
        <v>50</v>
      </c>
      <c r="R57" s="8"/>
      <c r="T57"/>
    </row>
    <row r="58" spans="2:20" ht="23.1" customHeight="1" x14ac:dyDescent="0.25">
      <c r="B58" s="45" t="s">
        <v>99</v>
      </c>
      <c r="C58" s="50">
        <v>39</v>
      </c>
      <c r="D58" s="50">
        <v>7</v>
      </c>
      <c r="E58" s="50">
        <v>7</v>
      </c>
      <c r="F58" s="50">
        <v>25</v>
      </c>
      <c r="G58" s="50">
        <v>1</v>
      </c>
      <c r="H58" s="50">
        <v>0</v>
      </c>
      <c r="I58" s="50">
        <v>11</v>
      </c>
      <c r="J58" s="50">
        <v>8</v>
      </c>
      <c r="K58" s="50">
        <v>4</v>
      </c>
      <c r="L58" s="50">
        <v>2</v>
      </c>
      <c r="M58" s="50">
        <v>27</v>
      </c>
      <c r="N58" s="50">
        <v>0</v>
      </c>
      <c r="O58" s="15">
        <f t="shared" ref="O58:O105" si="35">SUM(C58:L58,N58)</f>
        <v>104</v>
      </c>
      <c r="P58" s="15">
        <f t="shared" ref="P58:P105" si="36">SUM(C58:N58)</f>
        <v>131</v>
      </c>
      <c r="R58" s="8"/>
      <c r="T58"/>
    </row>
    <row r="59" spans="2:20" ht="23.1" customHeight="1" x14ac:dyDescent="0.25">
      <c r="B59" s="45" t="s">
        <v>100</v>
      </c>
      <c r="C59" s="50">
        <v>28</v>
      </c>
      <c r="D59" s="50">
        <v>5</v>
      </c>
      <c r="E59" s="50">
        <v>5</v>
      </c>
      <c r="F59" s="50">
        <v>17</v>
      </c>
      <c r="G59" s="50">
        <v>0</v>
      </c>
      <c r="H59" s="50">
        <v>0</v>
      </c>
      <c r="I59" s="50">
        <v>8</v>
      </c>
      <c r="J59" s="50">
        <v>4</v>
      </c>
      <c r="K59" s="50">
        <v>0</v>
      </c>
      <c r="L59" s="50">
        <v>2</v>
      </c>
      <c r="M59" s="50">
        <v>30</v>
      </c>
      <c r="N59" s="50">
        <v>0</v>
      </c>
      <c r="O59" s="15">
        <f t="shared" si="35"/>
        <v>69</v>
      </c>
      <c r="P59" s="15">
        <f t="shared" si="36"/>
        <v>99</v>
      </c>
      <c r="R59" s="8"/>
      <c r="T59"/>
    </row>
    <row r="60" spans="2:20" ht="23.1" customHeight="1" x14ac:dyDescent="0.25">
      <c r="B60" s="45" t="s">
        <v>101</v>
      </c>
      <c r="C60" s="50">
        <v>23</v>
      </c>
      <c r="D60" s="50">
        <v>8</v>
      </c>
      <c r="E60" s="50">
        <v>3</v>
      </c>
      <c r="F60" s="50">
        <v>19</v>
      </c>
      <c r="G60" s="50">
        <v>1</v>
      </c>
      <c r="H60" s="50">
        <v>0</v>
      </c>
      <c r="I60" s="50">
        <v>6</v>
      </c>
      <c r="J60" s="50">
        <v>7</v>
      </c>
      <c r="K60" s="50">
        <v>5</v>
      </c>
      <c r="L60" s="50">
        <v>1</v>
      </c>
      <c r="M60" s="50">
        <v>22</v>
      </c>
      <c r="N60" s="50">
        <v>0</v>
      </c>
      <c r="O60" s="15">
        <f t="shared" si="35"/>
        <v>73</v>
      </c>
      <c r="P60" s="15">
        <f t="shared" si="36"/>
        <v>95</v>
      </c>
      <c r="R60" s="8"/>
      <c r="T60"/>
    </row>
    <row r="61" spans="2:20" ht="23.1" customHeight="1" x14ac:dyDescent="0.25">
      <c r="B61" s="45" t="s">
        <v>102</v>
      </c>
      <c r="C61" s="50">
        <v>20</v>
      </c>
      <c r="D61" s="50">
        <v>3</v>
      </c>
      <c r="E61" s="50">
        <v>7</v>
      </c>
      <c r="F61" s="50">
        <v>12</v>
      </c>
      <c r="G61" s="50">
        <v>0</v>
      </c>
      <c r="H61" s="50">
        <v>1</v>
      </c>
      <c r="I61" s="50">
        <v>8</v>
      </c>
      <c r="J61" s="50">
        <v>2</v>
      </c>
      <c r="K61" s="50">
        <v>0</v>
      </c>
      <c r="L61" s="50">
        <v>0</v>
      </c>
      <c r="M61" s="50">
        <v>21</v>
      </c>
      <c r="N61" s="50">
        <v>0</v>
      </c>
      <c r="O61" s="15">
        <f t="shared" si="35"/>
        <v>53</v>
      </c>
      <c r="P61" s="15">
        <f t="shared" si="36"/>
        <v>74</v>
      </c>
      <c r="R61" s="8"/>
      <c r="T61"/>
    </row>
    <row r="62" spans="2:20" ht="23.1" customHeight="1" x14ac:dyDescent="0.25">
      <c r="B62" s="45" t="s">
        <v>107</v>
      </c>
      <c r="C62" s="50">
        <v>18</v>
      </c>
      <c r="D62" s="50">
        <v>3</v>
      </c>
      <c r="E62" s="50">
        <v>2</v>
      </c>
      <c r="F62" s="50">
        <v>12</v>
      </c>
      <c r="G62" s="50">
        <v>1</v>
      </c>
      <c r="H62" s="50">
        <v>0</v>
      </c>
      <c r="I62" s="50">
        <v>5</v>
      </c>
      <c r="J62" s="50">
        <v>4</v>
      </c>
      <c r="K62" s="50">
        <v>0</v>
      </c>
      <c r="L62" s="50">
        <v>2</v>
      </c>
      <c r="M62" s="50">
        <v>28</v>
      </c>
      <c r="N62" s="50">
        <v>0</v>
      </c>
      <c r="O62" s="15">
        <f t="shared" si="35"/>
        <v>47</v>
      </c>
      <c r="P62" s="15">
        <f t="shared" si="36"/>
        <v>75</v>
      </c>
      <c r="R62" s="8"/>
      <c r="T62"/>
    </row>
    <row r="63" spans="2:20" ht="23.1" customHeight="1" x14ac:dyDescent="0.25">
      <c r="B63" s="45" t="s">
        <v>108</v>
      </c>
      <c r="C63" s="50">
        <v>13</v>
      </c>
      <c r="D63" s="50">
        <v>3</v>
      </c>
      <c r="E63" s="50">
        <v>4</v>
      </c>
      <c r="F63" s="50">
        <v>11</v>
      </c>
      <c r="G63" s="50">
        <v>0</v>
      </c>
      <c r="H63" s="50">
        <v>0</v>
      </c>
      <c r="I63" s="50">
        <v>4</v>
      </c>
      <c r="J63" s="50">
        <v>3</v>
      </c>
      <c r="K63" s="50">
        <v>2</v>
      </c>
      <c r="L63" s="50">
        <v>2</v>
      </c>
      <c r="M63" s="50">
        <v>23</v>
      </c>
      <c r="N63" s="50">
        <v>0</v>
      </c>
      <c r="O63" s="15">
        <f t="shared" si="35"/>
        <v>42</v>
      </c>
      <c r="P63" s="15">
        <f t="shared" si="36"/>
        <v>65</v>
      </c>
      <c r="R63" s="8"/>
      <c r="T63"/>
    </row>
    <row r="64" spans="2:20" ht="23.1" customHeight="1" x14ac:dyDescent="0.25">
      <c r="B64" s="45" t="s">
        <v>109</v>
      </c>
      <c r="C64" s="50">
        <v>24</v>
      </c>
      <c r="D64" s="50">
        <v>2</v>
      </c>
      <c r="E64" s="50">
        <v>3</v>
      </c>
      <c r="F64" s="50">
        <v>11</v>
      </c>
      <c r="G64" s="50">
        <v>0</v>
      </c>
      <c r="H64" s="50">
        <v>0</v>
      </c>
      <c r="I64" s="50">
        <v>1</v>
      </c>
      <c r="J64" s="50">
        <v>5</v>
      </c>
      <c r="K64" s="50">
        <v>1</v>
      </c>
      <c r="L64" s="50">
        <v>1</v>
      </c>
      <c r="M64" s="50">
        <v>27</v>
      </c>
      <c r="N64" s="50">
        <v>0</v>
      </c>
      <c r="O64" s="15">
        <f t="shared" si="35"/>
        <v>48</v>
      </c>
      <c r="P64" s="15">
        <f t="shared" si="36"/>
        <v>75</v>
      </c>
      <c r="R64" s="8"/>
      <c r="T64"/>
    </row>
    <row r="65" spans="2:20" ht="23.1" customHeight="1" x14ac:dyDescent="0.25">
      <c r="B65" s="45" t="s">
        <v>158</v>
      </c>
      <c r="C65" s="50">
        <v>8</v>
      </c>
      <c r="D65" s="50">
        <v>1</v>
      </c>
      <c r="E65" s="50">
        <v>4</v>
      </c>
      <c r="F65" s="50">
        <v>8</v>
      </c>
      <c r="G65" s="50">
        <v>0</v>
      </c>
      <c r="H65" s="50">
        <v>0</v>
      </c>
      <c r="I65" s="50">
        <v>2</v>
      </c>
      <c r="J65" s="50">
        <v>3</v>
      </c>
      <c r="K65" s="50">
        <v>1</v>
      </c>
      <c r="L65" s="50">
        <v>1</v>
      </c>
      <c r="M65" s="50">
        <v>25</v>
      </c>
      <c r="N65" s="50">
        <v>0</v>
      </c>
      <c r="O65" s="15">
        <f t="shared" si="35"/>
        <v>28</v>
      </c>
      <c r="P65" s="15">
        <f t="shared" si="36"/>
        <v>53</v>
      </c>
      <c r="R65" s="8"/>
      <c r="T65"/>
    </row>
    <row r="66" spans="2:20" ht="23.1" customHeight="1" x14ac:dyDescent="0.25">
      <c r="B66" s="45" t="s">
        <v>103</v>
      </c>
      <c r="C66" s="50">
        <v>10</v>
      </c>
      <c r="D66" s="50">
        <v>3</v>
      </c>
      <c r="E66" s="50">
        <v>2</v>
      </c>
      <c r="F66" s="50">
        <v>14</v>
      </c>
      <c r="G66" s="50">
        <v>0</v>
      </c>
      <c r="H66" s="50">
        <v>1</v>
      </c>
      <c r="I66" s="50">
        <v>8</v>
      </c>
      <c r="J66" s="50">
        <v>3</v>
      </c>
      <c r="K66" s="50">
        <v>0</v>
      </c>
      <c r="L66" s="50">
        <v>0</v>
      </c>
      <c r="M66" s="50">
        <v>15</v>
      </c>
      <c r="N66" s="50">
        <v>0</v>
      </c>
      <c r="O66" s="15">
        <f t="shared" si="35"/>
        <v>41</v>
      </c>
      <c r="P66" s="15">
        <f t="shared" si="36"/>
        <v>56</v>
      </c>
      <c r="R66" s="8"/>
      <c r="T66"/>
    </row>
    <row r="67" spans="2:20" ht="23.1" customHeight="1" x14ac:dyDescent="0.25">
      <c r="B67" s="45" t="s">
        <v>104</v>
      </c>
      <c r="C67" s="50">
        <v>17</v>
      </c>
      <c r="D67" s="50">
        <v>1</v>
      </c>
      <c r="E67" s="50">
        <v>1</v>
      </c>
      <c r="F67" s="50">
        <v>10</v>
      </c>
      <c r="G67" s="50">
        <v>0</v>
      </c>
      <c r="H67" s="50">
        <v>0</v>
      </c>
      <c r="I67" s="50">
        <v>6</v>
      </c>
      <c r="J67" s="50">
        <v>3</v>
      </c>
      <c r="K67" s="50">
        <v>4</v>
      </c>
      <c r="L67" s="50">
        <v>1</v>
      </c>
      <c r="M67" s="50">
        <v>14</v>
      </c>
      <c r="N67" s="50">
        <v>0</v>
      </c>
      <c r="O67" s="15">
        <f t="shared" si="35"/>
        <v>43</v>
      </c>
      <c r="P67" s="15">
        <f t="shared" si="36"/>
        <v>57</v>
      </c>
      <c r="R67" s="8"/>
      <c r="T67"/>
    </row>
    <row r="68" spans="2:20" ht="23.1" customHeight="1" x14ac:dyDescent="0.25">
      <c r="B68" s="45" t="s">
        <v>105</v>
      </c>
      <c r="C68" s="50">
        <v>15</v>
      </c>
      <c r="D68" s="50">
        <v>0</v>
      </c>
      <c r="E68" s="50">
        <v>0</v>
      </c>
      <c r="F68" s="50">
        <v>6</v>
      </c>
      <c r="G68" s="50">
        <v>0</v>
      </c>
      <c r="H68" s="50">
        <v>0</v>
      </c>
      <c r="I68" s="50">
        <v>6</v>
      </c>
      <c r="J68" s="50">
        <v>7</v>
      </c>
      <c r="K68" s="50">
        <v>0</v>
      </c>
      <c r="L68" s="50">
        <v>0</v>
      </c>
      <c r="M68" s="50">
        <v>27</v>
      </c>
      <c r="N68" s="50">
        <v>0</v>
      </c>
      <c r="O68" s="15">
        <f t="shared" si="35"/>
        <v>34</v>
      </c>
      <c r="P68" s="15">
        <f t="shared" si="36"/>
        <v>61</v>
      </c>
      <c r="R68" s="8"/>
      <c r="T68"/>
    </row>
    <row r="69" spans="2:20" ht="23.1" customHeight="1" x14ac:dyDescent="0.25">
      <c r="B69" s="45" t="s">
        <v>106</v>
      </c>
      <c r="C69" s="50">
        <v>23</v>
      </c>
      <c r="D69" s="50">
        <v>1</v>
      </c>
      <c r="E69" s="50">
        <v>2</v>
      </c>
      <c r="F69" s="50">
        <v>6</v>
      </c>
      <c r="G69" s="50">
        <v>0</v>
      </c>
      <c r="H69" s="50">
        <v>4</v>
      </c>
      <c r="I69" s="50">
        <v>3</v>
      </c>
      <c r="J69" s="50">
        <v>4</v>
      </c>
      <c r="K69" s="50">
        <v>2</v>
      </c>
      <c r="L69" s="50">
        <v>2</v>
      </c>
      <c r="M69" s="50">
        <v>4</v>
      </c>
      <c r="N69" s="50">
        <v>0</v>
      </c>
      <c r="O69" s="15">
        <f t="shared" si="35"/>
        <v>47</v>
      </c>
      <c r="P69" s="15">
        <f t="shared" si="36"/>
        <v>51</v>
      </c>
      <c r="R69" s="8"/>
      <c r="T69"/>
    </row>
    <row r="70" spans="2:20" ht="23.1" customHeight="1" x14ac:dyDescent="0.25">
      <c r="B70" s="45" t="s">
        <v>110</v>
      </c>
      <c r="C70" s="50">
        <v>14</v>
      </c>
      <c r="D70" s="50">
        <v>3</v>
      </c>
      <c r="E70" s="50">
        <v>1</v>
      </c>
      <c r="F70" s="50">
        <v>13</v>
      </c>
      <c r="G70" s="50">
        <v>0</v>
      </c>
      <c r="H70" s="50">
        <v>0</v>
      </c>
      <c r="I70" s="50">
        <v>4</v>
      </c>
      <c r="J70" s="50">
        <v>1</v>
      </c>
      <c r="K70" s="50">
        <v>2</v>
      </c>
      <c r="L70" s="50">
        <v>2</v>
      </c>
      <c r="M70" s="50">
        <v>16</v>
      </c>
      <c r="N70" s="50">
        <v>0</v>
      </c>
      <c r="O70" s="15">
        <f t="shared" si="35"/>
        <v>40</v>
      </c>
      <c r="P70" s="15">
        <f t="shared" si="36"/>
        <v>56</v>
      </c>
      <c r="R70" s="8"/>
      <c r="T70"/>
    </row>
    <row r="71" spans="2:20" ht="23.1" customHeight="1" x14ac:dyDescent="0.25">
      <c r="B71" s="45" t="s">
        <v>111</v>
      </c>
      <c r="C71" s="50">
        <v>16</v>
      </c>
      <c r="D71" s="50">
        <v>2</v>
      </c>
      <c r="E71" s="50">
        <v>0</v>
      </c>
      <c r="F71" s="50">
        <v>9</v>
      </c>
      <c r="G71" s="50">
        <v>0</v>
      </c>
      <c r="H71" s="50">
        <v>1</v>
      </c>
      <c r="I71" s="50">
        <v>1</v>
      </c>
      <c r="J71" s="50">
        <v>3</v>
      </c>
      <c r="K71" s="50">
        <v>0</v>
      </c>
      <c r="L71" s="50">
        <v>1</v>
      </c>
      <c r="M71" s="50">
        <v>16</v>
      </c>
      <c r="N71" s="50">
        <v>0</v>
      </c>
      <c r="O71" s="15">
        <f t="shared" si="35"/>
        <v>33</v>
      </c>
      <c r="P71" s="15">
        <f t="shared" si="36"/>
        <v>49</v>
      </c>
      <c r="R71" s="8"/>
      <c r="T71"/>
    </row>
    <row r="72" spans="2:20" ht="23.1" customHeight="1" x14ac:dyDescent="0.25">
      <c r="B72" s="45" t="s">
        <v>112</v>
      </c>
      <c r="C72" s="50">
        <v>15</v>
      </c>
      <c r="D72" s="50">
        <v>2</v>
      </c>
      <c r="E72" s="50">
        <v>2</v>
      </c>
      <c r="F72" s="50">
        <v>4</v>
      </c>
      <c r="G72" s="50">
        <v>0</v>
      </c>
      <c r="H72" s="50">
        <v>1</v>
      </c>
      <c r="I72" s="50">
        <v>4</v>
      </c>
      <c r="J72" s="50">
        <v>5</v>
      </c>
      <c r="K72" s="50">
        <v>0</v>
      </c>
      <c r="L72" s="50">
        <v>3</v>
      </c>
      <c r="M72" s="50">
        <v>13</v>
      </c>
      <c r="N72" s="50">
        <v>0</v>
      </c>
      <c r="O72" s="15">
        <f t="shared" si="35"/>
        <v>36</v>
      </c>
      <c r="P72" s="15">
        <f t="shared" si="36"/>
        <v>49</v>
      </c>
      <c r="R72" s="8"/>
      <c r="T72"/>
    </row>
    <row r="73" spans="2:20" ht="23.1" customHeight="1" x14ac:dyDescent="0.25">
      <c r="B73" s="45" t="s">
        <v>113</v>
      </c>
      <c r="C73" s="50">
        <v>5</v>
      </c>
      <c r="D73" s="50">
        <v>0</v>
      </c>
      <c r="E73" s="50">
        <v>0</v>
      </c>
      <c r="F73" s="50">
        <v>4</v>
      </c>
      <c r="G73" s="50">
        <v>0</v>
      </c>
      <c r="H73" s="50">
        <v>0</v>
      </c>
      <c r="I73" s="50">
        <v>1</v>
      </c>
      <c r="J73" s="50">
        <v>2</v>
      </c>
      <c r="K73" s="50">
        <v>0</v>
      </c>
      <c r="L73" s="50">
        <v>0</v>
      </c>
      <c r="M73" s="50">
        <v>11</v>
      </c>
      <c r="N73" s="50">
        <v>0</v>
      </c>
      <c r="O73" s="15">
        <f t="shared" si="35"/>
        <v>12</v>
      </c>
      <c r="P73" s="15">
        <f t="shared" si="36"/>
        <v>23</v>
      </c>
      <c r="R73" s="8"/>
      <c r="T73"/>
    </row>
    <row r="74" spans="2:20" ht="23.1" customHeight="1" x14ac:dyDescent="0.25">
      <c r="B74" s="45" t="s">
        <v>114</v>
      </c>
      <c r="C74" s="50">
        <v>9</v>
      </c>
      <c r="D74" s="50">
        <v>0</v>
      </c>
      <c r="E74" s="50">
        <v>2</v>
      </c>
      <c r="F74" s="50">
        <v>3</v>
      </c>
      <c r="G74" s="50">
        <v>0</v>
      </c>
      <c r="H74" s="50">
        <v>0</v>
      </c>
      <c r="I74" s="50">
        <v>3</v>
      </c>
      <c r="J74" s="50">
        <v>4</v>
      </c>
      <c r="K74" s="50">
        <v>0</v>
      </c>
      <c r="L74" s="50">
        <v>0</v>
      </c>
      <c r="M74" s="50">
        <v>7</v>
      </c>
      <c r="N74" s="50">
        <v>0</v>
      </c>
      <c r="O74" s="15">
        <f t="shared" si="35"/>
        <v>21</v>
      </c>
      <c r="P74" s="15">
        <f t="shared" si="36"/>
        <v>28</v>
      </c>
      <c r="R74" s="8"/>
      <c r="T74"/>
    </row>
    <row r="75" spans="2:20" ht="23.1" customHeight="1" x14ac:dyDescent="0.25">
      <c r="B75" s="45" t="s">
        <v>115</v>
      </c>
      <c r="C75" s="50">
        <v>10</v>
      </c>
      <c r="D75" s="50">
        <v>1</v>
      </c>
      <c r="E75" s="50">
        <v>0</v>
      </c>
      <c r="F75" s="50">
        <v>3</v>
      </c>
      <c r="G75" s="50">
        <v>0</v>
      </c>
      <c r="H75" s="50">
        <v>0</v>
      </c>
      <c r="I75" s="50">
        <v>1</v>
      </c>
      <c r="J75" s="50">
        <v>1</v>
      </c>
      <c r="K75" s="50">
        <v>0</v>
      </c>
      <c r="L75" s="50">
        <v>0</v>
      </c>
      <c r="M75" s="50">
        <v>13</v>
      </c>
      <c r="N75" s="50">
        <v>0</v>
      </c>
      <c r="O75" s="15">
        <f t="shared" si="35"/>
        <v>16</v>
      </c>
      <c r="P75" s="15">
        <f t="shared" si="36"/>
        <v>29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1</v>
      </c>
      <c r="E76" s="50">
        <v>0</v>
      </c>
      <c r="F76" s="50">
        <v>3</v>
      </c>
      <c r="G76" s="50">
        <v>0</v>
      </c>
      <c r="H76" s="50">
        <v>0</v>
      </c>
      <c r="I76" s="50">
        <v>3</v>
      </c>
      <c r="J76" s="50">
        <v>3</v>
      </c>
      <c r="K76" s="50">
        <v>0</v>
      </c>
      <c r="L76" s="50">
        <v>0</v>
      </c>
      <c r="M76" s="50">
        <v>5</v>
      </c>
      <c r="N76" s="50">
        <v>0</v>
      </c>
      <c r="O76" s="15">
        <f t="shared" si="35"/>
        <v>10</v>
      </c>
      <c r="P76" s="15">
        <f t="shared" si="36"/>
        <v>15</v>
      </c>
      <c r="R76" s="8"/>
      <c r="T76"/>
    </row>
    <row r="77" spans="2:20" ht="23.1" customHeight="1" x14ac:dyDescent="0.25">
      <c r="B77" s="45" t="s">
        <v>117</v>
      </c>
      <c r="C77" s="50">
        <v>4</v>
      </c>
      <c r="D77" s="50">
        <v>2</v>
      </c>
      <c r="E77" s="50">
        <v>0</v>
      </c>
      <c r="F77" s="50">
        <v>2</v>
      </c>
      <c r="G77" s="50">
        <v>0</v>
      </c>
      <c r="H77" s="50">
        <v>0</v>
      </c>
      <c r="I77" s="50">
        <v>1</v>
      </c>
      <c r="J77" s="50">
        <v>1</v>
      </c>
      <c r="K77" s="50">
        <v>3</v>
      </c>
      <c r="L77" s="50">
        <v>0</v>
      </c>
      <c r="M77" s="50">
        <v>7</v>
      </c>
      <c r="N77" s="50">
        <v>0</v>
      </c>
      <c r="O77" s="15">
        <f t="shared" si="35"/>
        <v>13</v>
      </c>
      <c r="P77" s="15">
        <f t="shared" si="36"/>
        <v>20</v>
      </c>
      <c r="R77" s="8"/>
      <c r="T77"/>
    </row>
    <row r="78" spans="2:20" ht="23.1" customHeight="1" x14ac:dyDescent="0.25">
      <c r="B78" s="46" t="s">
        <v>118</v>
      </c>
      <c r="C78" s="50">
        <v>4</v>
      </c>
      <c r="D78" s="50">
        <v>2</v>
      </c>
      <c r="E78" s="50">
        <v>0</v>
      </c>
      <c r="F78" s="50">
        <v>3</v>
      </c>
      <c r="G78" s="50">
        <v>0</v>
      </c>
      <c r="H78" s="50">
        <v>0</v>
      </c>
      <c r="I78" s="50">
        <v>1</v>
      </c>
      <c r="J78" s="50">
        <v>5</v>
      </c>
      <c r="K78" s="50">
        <v>0</v>
      </c>
      <c r="L78" s="50">
        <v>0</v>
      </c>
      <c r="M78" s="50">
        <v>5</v>
      </c>
      <c r="N78" s="50">
        <v>0</v>
      </c>
      <c r="O78" s="15">
        <f t="shared" si="35"/>
        <v>15</v>
      </c>
      <c r="P78" s="15">
        <f t="shared" si="36"/>
        <v>20</v>
      </c>
      <c r="R78" s="8"/>
      <c r="T78"/>
    </row>
    <row r="79" spans="2:20" ht="23.1" customHeight="1" x14ac:dyDescent="0.25">
      <c r="B79" s="45" t="s">
        <v>119</v>
      </c>
      <c r="C79" s="50">
        <v>2</v>
      </c>
      <c r="D79" s="50">
        <v>0</v>
      </c>
      <c r="E79" s="50">
        <v>2</v>
      </c>
      <c r="F79" s="50">
        <v>1</v>
      </c>
      <c r="G79" s="50">
        <v>0</v>
      </c>
      <c r="H79" s="50">
        <v>0</v>
      </c>
      <c r="I79" s="50">
        <v>2</v>
      </c>
      <c r="J79" s="50">
        <v>1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8</v>
      </c>
      <c r="P79" s="15">
        <f t="shared" si="36"/>
        <v>9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1</v>
      </c>
      <c r="E80" s="50">
        <v>2</v>
      </c>
      <c r="F80" s="50">
        <v>0</v>
      </c>
      <c r="G80" s="50">
        <v>0</v>
      </c>
      <c r="H80" s="50">
        <v>0</v>
      </c>
      <c r="I80" s="50">
        <v>1</v>
      </c>
      <c r="J80" s="50">
        <v>2</v>
      </c>
      <c r="K80" s="50">
        <v>0</v>
      </c>
      <c r="L80" s="50">
        <v>1</v>
      </c>
      <c r="M80" s="50">
        <v>0</v>
      </c>
      <c r="N80" s="50">
        <v>0</v>
      </c>
      <c r="O80" s="15">
        <f t="shared" si="35"/>
        <v>7</v>
      </c>
      <c r="P80" s="15">
        <f t="shared" si="36"/>
        <v>7</v>
      </c>
      <c r="R80" s="8"/>
      <c r="T80"/>
    </row>
    <row r="81" spans="2:20" ht="23.1" customHeight="1" x14ac:dyDescent="0.25">
      <c r="B81" s="45" t="s">
        <v>121</v>
      </c>
      <c r="C81" s="50">
        <v>3</v>
      </c>
      <c r="D81" s="50">
        <v>0</v>
      </c>
      <c r="E81" s="50">
        <v>1</v>
      </c>
      <c r="F81" s="50">
        <v>2</v>
      </c>
      <c r="G81" s="50">
        <v>0</v>
      </c>
      <c r="H81" s="50">
        <v>0</v>
      </c>
      <c r="I81" s="50">
        <v>1</v>
      </c>
      <c r="J81" s="50">
        <v>4</v>
      </c>
      <c r="K81" s="50">
        <v>0</v>
      </c>
      <c r="L81" s="50">
        <v>1</v>
      </c>
      <c r="M81" s="50">
        <v>3</v>
      </c>
      <c r="N81" s="50">
        <v>0</v>
      </c>
      <c r="O81" s="15">
        <f t="shared" si="35"/>
        <v>12</v>
      </c>
      <c r="P81" s="15">
        <f t="shared" si="36"/>
        <v>15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4</v>
      </c>
      <c r="K82" s="50">
        <v>1</v>
      </c>
      <c r="L82" s="50">
        <v>0</v>
      </c>
      <c r="M82" s="50">
        <v>2</v>
      </c>
      <c r="N82" s="50">
        <v>0</v>
      </c>
      <c r="O82" s="15">
        <f t="shared" si="35"/>
        <v>6</v>
      </c>
      <c r="P82" s="15">
        <f t="shared" si="36"/>
        <v>8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1</v>
      </c>
      <c r="E83" s="50">
        <v>0</v>
      </c>
      <c r="F83" s="50">
        <v>0</v>
      </c>
      <c r="G83" s="50">
        <v>0</v>
      </c>
      <c r="H83" s="50">
        <v>0</v>
      </c>
      <c r="I83" s="50">
        <v>1</v>
      </c>
      <c r="J83" s="50">
        <v>1</v>
      </c>
      <c r="K83" s="50">
        <v>3</v>
      </c>
      <c r="L83" s="50">
        <v>0</v>
      </c>
      <c r="M83" s="50">
        <v>1</v>
      </c>
      <c r="N83" s="50">
        <v>0</v>
      </c>
      <c r="O83" s="15">
        <f t="shared" si="35"/>
        <v>7</v>
      </c>
      <c r="P83" s="15">
        <f t="shared" si="36"/>
        <v>8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1</v>
      </c>
      <c r="E84" s="50">
        <v>3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1</v>
      </c>
      <c r="M84" s="50">
        <v>2</v>
      </c>
      <c r="N84" s="50">
        <v>0</v>
      </c>
      <c r="O84" s="15">
        <f t="shared" si="35"/>
        <v>7</v>
      </c>
      <c r="P84" s="15">
        <f t="shared" si="36"/>
        <v>9</v>
      </c>
      <c r="R84" s="8"/>
      <c r="T84"/>
    </row>
    <row r="85" spans="2:20" ht="23.1" customHeight="1" x14ac:dyDescent="0.25">
      <c r="B85" s="45" t="s">
        <v>125</v>
      </c>
      <c r="C85" s="50">
        <v>3</v>
      </c>
      <c r="D85" s="50">
        <v>0</v>
      </c>
      <c r="E85" s="50">
        <v>1</v>
      </c>
      <c r="F85" s="50">
        <v>0</v>
      </c>
      <c r="G85" s="50">
        <v>0</v>
      </c>
      <c r="H85" s="50">
        <v>0</v>
      </c>
      <c r="I85" s="50">
        <v>3</v>
      </c>
      <c r="J85" s="50">
        <v>0</v>
      </c>
      <c r="K85" s="50">
        <v>1</v>
      </c>
      <c r="L85" s="50">
        <v>1</v>
      </c>
      <c r="M85" s="50">
        <v>2</v>
      </c>
      <c r="N85" s="50">
        <v>0</v>
      </c>
      <c r="O85" s="15">
        <f t="shared" si="35"/>
        <v>9</v>
      </c>
      <c r="P85" s="15">
        <f t="shared" si="36"/>
        <v>11</v>
      </c>
      <c r="R85" s="8"/>
      <c r="T85"/>
    </row>
    <row r="86" spans="2:20" ht="23.1" customHeight="1" x14ac:dyDescent="0.25">
      <c r="B86" s="46" t="s">
        <v>126</v>
      </c>
      <c r="C86" s="50">
        <v>3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2</v>
      </c>
      <c r="N86" s="50">
        <v>0</v>
      </c>
      <c r="O86" s="15">
        <f t="shared" si="35"/>
        <v>3</v>
      </c>
      <c r="P86" s="15">
        <f t="shared" si="36"/>
        <v>5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2</v>
      </c>
      <c r="J87" s="50">
        <v>0</v>
      </c>
      <c r="K87" s="50">
        <v>0</v>
      </c>
      <c r="L87" s="50">
        <v>0</v>
      </c>
      <c r="M87" s="50">
        <v>5</v>
      </c>
      <c r="N87" s="50">
        <v>0</v>
      </c>
      <c r="O87" s="15">
        <f t="shared" si="35"/>
        <v>3</v>
      </c>
      <c r="P87" s="15">
        <f t="shared" si="36"/>
        <v>8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2</v>
      </c>
      <c r="E88" s="50">
        <v>0</v>
      </c>
      <c r="F88" s="50">
        <v>1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2</v>
      </c>
      <c r="N88" s="50">
        <v>0</v>
      </c>
      <c r="O88" s="15">
        <f t="shared" si="35"/>
        <v>4</v>
      </c>
      <c r="P88" s="15">
        <f t="shared" si="36"/>
        <v>6</v>
      </c>
      <c r="R88" s="8"/>
      <c r="T88"/>
    </row>
    <row r="89" spans="2:20" ht="23.1" customHeight="1" x14ac:dyDescent="0.25">
      <c r="B89" s="45" t="s">
        <v>129</v>
      </c>
      <c r="C89" s="50">
        <v>1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2</v>
      </c>
      <c r="J89" s="50">
        <v>1</v>
      </c>
      <c r="K89" s="50">
        <v>0</v>
      </c>
      <c r="L89" s="50">
        <v>0</v>
      </c>
      <c r="M89" s="50">
        <v>4</v>
      </c>
      <c r="N89" s="50">
        <v>0</v>
      </c>
      <c r="O89" s="15">
        <f t="shared" si="35"/>
        <v>5</v>
      </c>
      <c r="P89" s="15">
        <f t="shared" si="36"/>
        <v>9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2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3</v>
      </c>
      <c r="P90" s="15">
        <f t="shared" si="36"/>
        <v>3</v>
      </c>
      <c r="R90" s="8"/>
      <c r="T90"/>
    </row>
    <row r="91" spans="2:20" ht="23.1" customHeight="1" x14ac:dyDescent="0.25">
      <c r="B91" s="45" t="s">
        <v>131</v>
      </c>
      <c r="C91" s="50">
        <v>2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4</v>
      </c>
      <c r="J91" s="50">
        <v>0</v>
      </c>
      <c r="K91" s="50">
        <v>0</v>
      </c>
      <c r="L91" s="50">
        <v>0</v>
      </c>
      <c r="M91" s="50">
        <v>1</v>
      </c>
      <c r="N91" s="50">
        <v>0</v>
      </c>
      <c r="O91" s="15">
        <f t="shared" si="35"/>
        <v>6</v>
      </c>
      <c r="P91" s="15">
        <f t="shared" si="36"/>
        <v>7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2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1</v>
      </c>
      <c r="L92" s="50">
        <v>0</v>
      </c>
      <c r="M92" s="50">
        <v>3</v>
      </c>
      <c r="N92" s="50">
        <v>0</v>
      </c>
      <c r="O92" s="15">
        <f t="shared" si="35"/>
        <v>5</v>
      </c>
      <c r="P92" s="15">
        <f t="shared" si="36"/>
        <v>8</v>
      </c>
      <c r="R92" s="8"/>
      <c r="T92"/>
    </row>
    <row r="93" spans="2:20" ht="23.1" customHeight="1" x14ac:dyDescent="0.25">
      <c r="B93" s="45" t="s">
        <v>133</v>
      </c>
      <c r="C93" s="50">
        <v>3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1</v>
      </c>
      <c r="J93" s="50">
        <v>0</v>
      </c>
      <c r="K93" s="50">
        <v>3</v>
      </c>
      <c r="L93" s="50">
        <v>0</v>
      </c>
      <c r="M93" s="50">
        <v>7</v>
      </c>
      <c r="N93" s="50">
        <v>0</v>
      </c>
      <c r="O93" s="15">
        <f t="shared" si="35"/>
        <v>7</v>
      </c>
      <c r="P93" s="15">
        <f t="shared" si="36"/>
        <v>14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0</v>
      </c>
      <c r="E94" s="50">
        <v>1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4</v>
      </c>
      <c r="P94" s="15">
        <f t="shared" si="36"/>
        <v>5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2</v>
      </c>
      <c r="J95" s="50">
        <v>0</v>
      </c>
      <c r="K95" s="50">
        <v>0</v>
      </c>
      <c r="L95" s="50">
        <v>0</v>
      </c>
      <c r="M95" s="50">
        <v>5</v>
      </c>
      <c r="N95" s="50">
        <v>0</v>
      </c>
      <c r="O95" s="15">
        <f t="shared" si="35"/>
        <v>3</v>
      </c>
      <c r="P95" s="15">
        <f t="shared" si="36"/>
        <v>8</v>
      </c>
      <c r="R95" s="8"/>
      <c r="T95"/>
    </row>
    <row r="96" spans="2:20" ht="23.1" customHeight="1" x14ac:dyDescent="0.25">
      <c r="B96" s="47" t="s">
        <v>136</v>
      </c>
      <c r="C96" s="50">
        <v>10</v>
      </c>
      <c r="D96" s="50">
        <v>0</v>
      </c>
      <c r="E96" s="50">
        <v>0</v>
      </c>
      <c r="F96" s="50">
        <v>0</v>
      </c>
      <c r="G96" s="50">
        <v>0</v>
      </c>
      <c r="H96" s="50">
        <v>2</v>
      </c>
      <c r="I96" s="50">
        <v>0</v>
      </c>
      <c r="J96" s="50">
        <v>0</v>
      </c>
      <c r="K96" s="50">
        <v>0</v>
      </c>
      <c r="L96" s="50">
        <v>0</v>
      </c>
      <c r="M96" s="50">
        <v>1</v>
      </c>
      <c r="N96" s="50">
        <v>0</v>
      </c>
      <c r="O96" s="15">
        <f t="shared" si="35"/>
        <v>12</v>
      </c>
      <c r="P96" s="15">
        <f t="shared" si="36"/>
        <v>13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0</v>
      </c>
      <c r="E97" s="50">
        <v>0</v>
      </c>
      <c r="F97" s="50">
        <v>2</v>
      </c>
      <c r="G97" s="50">
        <v>0</v>
      </c>
      <c r="H97" s="50">
        <v>0</v>
      </c>
      <c r="I97" s="50">
        <v>0</v>
      </c>
      <c r="J97" s="50">
        <v>1</v>
      </c>
      <c r="K97" s="50">
        <v>2</v>
      </c>
      <c r="L97" s="50">
        <v>0</v>
      </c>
      <c r="M97" s="50">
        <v>3</v>
      </c>
      <c r="N97" s="50">
        <v>0</v>
      </c>
      <c r="O97" s="15">
        <f t="shared" si="35"/>
        <v>7</v>
      </c>
      <c r="P97" s="15">
        <f t="shared" si="36"/>
        <v>10</v>
      </c>
      <c r="R97" s="8"/>
      <c r="T97"/>
    </row>
    <row r="98" spans="2:20" ht="23.1" customHeight="1" x14ac:dyDescent="0.25">
      <c r="B98" s="46" t="s">
        <v>138</v>
      </c>
      <c r="C98" s="50">
        <v>4</v>
      </c>
      <c r="D98" s="50">
        <v>2</v>
      </c>
      <c r="E98" s="50">
        <v>1</v>
      </c>
      <c r="F98" s="50">
        <v>6</v>
      </c>
      <c r="G98" s="50">
        <v>0</v>
      </c>
      <c r="H98" s="50">
        <v>2</v>
      </c>
      <c r="I98" s="50">
        <v>1</v>
      </c>
      <c r="J98" s="50">
        <v>11</v>
      </c>
      <c r="K98" s="50">
        <v>4</v>
      </c>
      <c r="L98" s="50">
        <v>0</v>
      </c>
      <c r="M98" s="50">
        <v>7</v>
      </c>
      <c r="N98" s="50">
        <v>0</v>
      </c>
      <c r="O98" s="15">
        <f t="shared" si="35"/>
        <v>31</v>
      </c>
      <c r="P98" s="15">
        <f t="shared" si="36"/>
        <v>38</v>
      </c>
      <c r="R98" s="8"/>
      <c r="T98"/>
    </row>
    <row r="99" spans="2:20" ht="23.1" customHeight="1" x14ac:dyDescent="0.25">
      <c r="B99" s="45" t="s">
        <v>139</v>
      </c>
      <c r="C99" s="50">
        <v>7</v>
      </c>
      <c r="D99" s="50">
        <v>0</v>
      </c>
      <c r="E99" s="50">
        <v>0</v>
      </c>
      <c r="F99" s="50">
        <v>3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3</v>
      </c>
      <c r="N99" s="50">
        <v>0</v>
      </c>
      <c r="O99" s="15">
        <f t="shared" si="35"/>
        <v>10</v>
      </c>
      <c r="P99" s="15">
        <f t="shared" si="36"/>
        <v>13</v>
      </c>
      <c r="R99" s="8"/>
      <c r="T99"/>
    </row>
    <row r="100" spans="2:20" ht="23.1" customHeight="1" x14ac:dyDescent="0.25">
      <c r="B100" s="47" t="s">
        <v>140</v>
      </c>
      <c r="C100" s="50">
        <v>4</v>
      </c>
      <c r="D100" s="50">
        <v>0</v>
      </c>
      <c r="E100" s="50">
        <v>0</v>
      </c>
      <c r="F100" s="50">
        <v>9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3</v>
      </c>
      <c r="N100" s="50">
        <v>0</v>
      </c>
      <c r="O100" s="15">
        <f t="shared" si="35"/>
        <v>14</v>
      </c>
      <c r="P100" s="15">
        <f t="shared" si="36"/>
        <v>17</v>
      </c>
      <c r="R100" s="8"/>
      <c r="T100"/>
    </row>
    <row r="101" spans="2:20" ht="23.1" customHeight="1" x14ac:dyDescent="0.25">
      <c r="B101" s="45" t="s">
        <v>141</v>
      </c>
      <c r="C101" s="50">
        <v>8</v>
      </c>
      <c r="D101" s="50">
        <v>0</v>
      </c>
      <c r="E101" s="50">
        <v>0</v>
      </c>
      <c r="F101" s="50">
        <v>5</v>
      </c>
      <c r="G101" s="50">
        <v>0</v>
      </c>
      <c r="H101" s="50">
        <v>0</v>
      </c>
      <c r="I101" s="50">
        <v>1</v>
      </c>
      <c r="J101" s="50">
        <v>2</v>
      </c>
      <c r="K101" s="50">
        <v>0</v>
      </c>
      <c r="L101" s="50">
        <v>0</v>
      </c>
      <c r="M101" s="50">
        <v>10</v>
      </c>
      <c r="N101" s="50">
        <v>0</v>
      </c>
      <c r="O101" s="15">
        <f t="shared" si="35"/>
        <v>16</v>
      </c>
      <c r="P101" s="15">
        <f t="shared" si="36"/>
        <v>26</v>
      </c>
      <c r="R101" s="8"/>
      <c r="T101"/>
    </row>
    <row r="102" spans="2:20" ht="23.1" customHeight="1" x14ac:dyDescent="0.25">
      <c r="B102" s="46" t="s">
        <v>142</v>
      </c>
      <c r="C102" s="50">
        <v>4</v>
      </c>
      <c r="D102" s="50">
        <v>0</v>
      </c>
      <c r="E102" s="50">
        <v>0</v>
      </c>
      <c r="F102" s="50">
        <v>0</v>
      </c>
      <c r="G102" s="50">
        <v>2</v>
      </c>
      <c r="H102" s="50">
        <v>0</v>
      </c>
      <c r="I102" s="50">
        <v>3</v>
      </c>
      <c r="J102" s="50">
        <v>1</v>
      </c>
      <c r="K102" s="50">
        <v>1</v>
      </c>
      <c r="L102" s="50">
        <v>2</v>
      </c>
      <c r="M102" s="50">
        <v>2</v>
      </c>
      <c r="N102" s="50">
        <v>0</v>
      </c>
      <c r="O102" s="15">
        <f t="shared" si="35"/>
        <v>13</v>
      </c>
      <c r="P102" s="15">
        <f t="shared" si="36"/>
        <v>15</v>
      </c>
      <c r="R102" s="8"/>
      <c r="T102"/>
    </row>
    <row r="103" spans="2:20" ht="23.1" customHeight="1" x14ac:dyDescent="0.25">
      <c r="B103" s="45" t="s">
        <v>143</v>
      </c>
      <c r="C103" s="50">
        <v>13</v>
      </c>
      <c r="D103" s="50">
        <v>2</v>
      </c>
      <c r="E103" s="50">
        <v>0</v>
      </c>
      <c r="F103" s="50">
        <v>14</v>
      </c>
      <c r="G103" s="50">
        <v>0</v>
      </c>
      <c r="H103" s="50">
        <v>1</v>
      </c>
      <c r="I103" s="50">
        <v>1</v>
      </c>
      <c r="J103" s="50">
        <v>2</v>
      </c>
      <c r="K103" s="50">
        <v>0</v>
      </c>
      <c r="L103" s="50">
        <v>0</v>
      </c>
      <c r="M103" s="50">
        <v>4</v>
      </c>
      <c r="N103" s="50">
        <v>0</v>
      </c>
      <c r="O103" s="15">
        <f t="shared" si="35"/>
        <v>33</v>
      </c>
      <c r="P103" s="15">
        <f t="shared" si="36"/>
        <v>37</v>
      </c>
      <c r="R103" s="8"/>
      <c r="T103"/>
    </row>
    <row r="104" spans="2:20" ht="23.1" customHeight="1" x14ac:dyDescent="0.25">
      <c r="B104" s="47" t="s">
        <v>144</v>
      </c>
      <c r="C104" s="50">
        <v>9</v>
      </c>
      <c r="D104" s="50">
        <v>4</v>
      </c>
      <c r="E104" s="50">
        <v>0</v>
      </c>
      <c r="F104" s="50">
        <v>5</v>
      </c>
      <c r="G104" s="50">
        <v>0</v>
      </c>
      <c r="H104" s="50">
        <v>0</v>
      </c>
      <c r="I104" s="50">
        <v>1</v>
      </c>
      <c r="J104" s="50">
        <v>1</v>
      </c>
      <c r="K104" s="50">
        <v>0</v>
      </c>
      <c r="L104" s="50">
        <v>0</v>
      </c>
      <c r="M104" s="50">
        <v>4</v>
      </c>
      <c r="N104" s="50">
        <v>0</v>
      </c>
      <c r="O104" s="15">
        <f t="shared" si="35"/>
        <v>20</v>
      </c>
      <c r="P104" s="15">
        <f t="shared" si="36"/>
        <v>24</v>
      </c>
      <c r="R104" s="8"/>
      <c r="T104"/>
    </row>
    <row r="105" spans="2:20" ht="23.1" customHeight="1" x14ac:dyDescent="0.25">
      <c r="B105" s="45" t="s">
        <v>145</v>
      </c>
      <c r="C105" s="50">
        <v>20</v>
      </c>
      <c r="D105" s="50">
        <v>0</v>
      </c>
      <c r="E105" s="50">
        <v>0</v>
      </c>
      <c r="F105" s="50">
        <v>18</v>
      </c>
      <c r="G105" s="50">
        <v>0</v>
      </c>
      <c r="H105" s="50">
        <v>0</v>
      </c>
      <c r="I105" s="50">
        <v>0</v>
      </c>
      <c r="J105" s="50">
        <v>4</v>
      </c>
      <c r="K105" s="50">
        <v>0</v>
      </c>
      <c r="L105" s="50">
        <v>2</v>
      </c>
      <c r="M105" s="50">
        <v>11</v>
      </c>
      <c r="N105" s="50">
        <v>0</v>
      </c>
      <c r="O105" s="15">
        <f t="shared" si="35"/>
        <v>44</v>
      </c>
      <c r="P105" s="15">
        <f t="shared" si="36"/>
        <v>55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969</v>
      </c>
      <c r="D106" s="16">
        <f t="shared" ref="D106:P106" si="37">SUM(D10:D105)</f>
        <v>303</v>
      </c>
      <c r="E106" s="16">
        <f t="shared" si="37"/>
        <v>162</v>
      </c>
      <c r="F106" s="16">
        <f t="shared" si="37"/>
        <v>838</v>
      </c>
      <c r="G106" s="16">
        <f t="shared" si="37"/>
        <v>20</v>
      </c>
      <c r="H106" s="16">
        <f t="shared" si="37"/>
        <v>30</v>
      </c>
      <c r="I106" s="16">
        <f t="shared" si="37"/>
        <v>360</v>
      </c>
      <c r="J106" s="16">
        <f t="shared" si="37"/>
        <v>207</v>
      </c>
      <c r="K106" s="16">
        <f t="shared" si="37"/>
        <v>85</v>
      </c>
      <c r="L106" s="16">
        <f t="shared" si="37"/>
        <v>60</v>
      </c>
      <c r="M106" s="16">
        <f t="shared" si="37"/>
        <v>1145</v>
      </c>
      <c r="N106" s="16">
        <f t="shared" si="37"/>
        <v>0</v>
      </c>
      <c r="O106" s="16">
        <f t="shared" si="37"/>
        <v>3034</v>
      </c>
      <c r="P106" s="16">
        <f t="shared" si="37"/>
        <v>4179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0.23187365398420676</v>
      </c>
      <c r="D107" s="43">
        <f t="shared" si="38"/>
        <v>7.2505384063173015E-2</v>
      </c>
      <c r="E107" s="43">
        <f t="shared" si="38"/>
        <v>3.8765254845656856E-2</v>
      </c>
      <c r="F107" s="43">
        <f t="shared" si="38"/>
        <v>0.20052644173247189</v>
      </c>
      <c r="G107" s="43">
        <f t="shared" si="38"/>
        <v>4.7858339315625751E-3</v>
      </c>
      <c r="H107" s="43">
        <f t="shared" si="38"/>
        <v>7.1787508973438618E-3</v>
      </c>
      <c r="I107" s="43">
        <f t="shared" si="38"/>
        <v>8.6145010768126348E-2</v>
      </c>
      <c r="J107" s="43">
        <f t="shared" si="38"/>
        <v>4.9533381191672651E-2</v>
      </c>
      <c r="K107" s="43">
        <f t="shared" si="38"/>
        <v>2.0339794209140942E-2</v>
      </c>
      <c r="L107" s="43">
        <f t="shared" si="38"/>
        <v>1.4357501794687724E-2</v>
      </c>
      <c r="M107" s="43">
        <f t="shared" si="38"/>
        <v>0.27398899258195741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0.31938035596572184</v>
      </c>
      <c r="D108" s="44">
        <f t="shared" ref="D108:N108" si="39">D106/$O$106</f>
        <v>9.9868160843770606E-2</v>
      </c>
      <c r="E108" s="44">
        <f t="shared" si="39"/>
        <v>5.3394858272907054E-2</v>
      </c>
      <c r="F108" s="44">
        <f t="shared" si="39"/>
        <v>0.27620303230059329</v>
      </c>
      <c r="G108" s="44">
        <f t="shared" si="39"/>
        <v>6.5919578114700065E-3</v>
      </c>
      <c r="H108" s="44">
        <f t="shared" si="39"/>
        <v>9.8879367172050106E-3</v>
      </c>
      <c r="I108" s="44">
        <f t="shared" si="39"/>
        <v>0.11865524060646011</v>
      </c>
      <c r="J108" s="44">
        <f t="shared" si="39"/>
        <v>6.8226763348714567E-2</v>
      </c>
      <c r="K108" s="44">
        <f t="shared" si="39"/>
        <v>2.8015820698747529E-2</v>
      </c>
      <c r="L108" s="44">
        <f t="shared" si="39"/>
        <v>1.9775873434410021E-2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249977111117893"/>
  </sheetPr>
  <dimension ref="B1:AF174"/>
  <sheetViews>
    <sheetView view="pageBreakPreview" topLeftCell="A50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'29.10 Bujuko-Buloba'!C3:G3</f>
        <v>MCC - C2 - STN62 - BUJUKO-BULOBA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'31.10 Bujuko-Buloba-24h'!D5</f>
        <v>31.10.19</v>
      </c>
      <c r="E5" s="3"/>
      <c r="F5" s="41" t="s">
        <v>1</v>
      </c>
      <c r="G5" s="66" t="str">
        <f>'31.10 Bujuko-Buloba-24h'!G5:H5</f>
        <v>Buloba Pop Oil</v>
      </c>
      <c r="H5" s="67"/>
      <c r="I5" s="14"/>
      <c r="J5" s="2" t="s">
        <v>5</v>
      </c>
      <c r="K5" s="66" t="s">
        <v>175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'29.10 Buloba-Bujuko'!D6:E6</f>
        <v>Buloba</v>
      </c>
      <c r="E6" s="67"/>
      <c r="F6" s="2" t="s">
        <v>2</v>
      </c>
      <c r="G6" s="66" t="str">
        <f>'30.10 Buloba-Bujuko'!G6:H6</f>
        <v>Bujuko</v>
      </c>
      <c r="H6" s="67"/>
      <c r="J6" s="2" t="s">
        <v>21</v>
      </c>
      <c r="K6" s="66" t="str">
        <f>'31.10 Bujuko-Buloba-24h'!K6:L6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11</v>
      </c>
      <c r="D10" s="50">
        <v>2</v>
      </c>
      <c r="E10" s="50">
        <v>2</v>
      </c>
      <c r="F10" s="50">
        <v>4</v>
      </c>
      <c r="G10" s="50">
        <v>1</v>
      </c>
      <c r="H10" s="50">
        <v>0</v>
      </c>
      <c r="I10" s="50">
        <v>6</v>
      </c>
      <c r="J10" s="50">
        <v>2</v>
      </c>
      <c r="K10" s="50">
        <v>0</v>
      </c>
      <c r="L10" s="50">
        <v>0</v>
      </c>
      <c r="M10" s="50">
        <v>14</v>
      </c>
      <c r="N10" s="50">
        <v>0</v>
      </c>
      <c r="O10" s="15">
        <f t="shared" ref="O10:O73" si="0">SUM(C10:L10,N10)</f>
        <v>28</v>
      </c>
      <c r="P10" s="15">
        <f t="shared" ref="P10:P73" si="1">SUM(C10:N10)</f>
        <v>42</v>
      </c>
      <c r="R10" s="1" t="s">
        <v>6</v>
      </c>
      <c r="S10" s="17">
        <f t="shared" ref="S10:AF10" si="2">SUM(C10:C13)</f>
        <v>39</v>
      </c>
      <c r="T10" s="17">
        <f t="shared" si="2"/>
        <v>11</v>
      </c>
      <c r="U10" s="17">
        <f t="shared" si="2"/>
        <v>5</v>
      </c>
      <c r="V10" s="17">
        <f t="shared" si="2"/>
        <v>30</v>
      </c>
      <c r="W10" s="17">
        <f t="shared" si="2"/>
        <v>2</v>
      </c>
      <c r="X10" s="17">
        <f t="shared" si="2"/>
        <v>1</v>
      </c>
      <c r="Y10" s="17">
        <f t="shared" si="2"/>
        <v>15</v>
      </c>
      <c r="Z10" s="17">
        <f t="shared" si="2"/>
        <v>11</v>
      </c>
      <c r="AA10" s="17">
        <f t="shared" si="2"/>
        <v>2</v>
      </c>
      <c r="AB10" s="17">
        <f t="shared" si="2"/>
        <v>0</v>
      </c>
      <c r="AC10" s="17">
        <f t="shared" si="2"/>
        <v>37</v>
      </c>
      <c r="AD10" s="17">
        <f t="shared" si="2"/>
        <v>0</v>
      </c>
      <c r="AE10" s="31">
        <f t="shared" si="2"/>
        <v>116</v>
      </c>
      <c r="AF10" s="31">
        <f t="shared" si="2"/>
        <v>153</v>
      </c>
    </row>
    <row r="11" spans="2:32" s="6" customFormat="1" ht="23.1" customHeight="1" x14ac:dyDescent="0.25">
      <c r="B11" s="45" t="s">
        <v>38</v>
      </c>
      <c r="C11" s="50">
        <v>13</v>
      </c>
      <c r="D11" s="50">
        <v>2</v>
      </c>
      <c r="E11" s="50">
        <v>1</v>
      </c>
      <c r="F11" s="50">
        <v>10</v>
      </c>
      <c r="G11" s="50">
        <v>1</v>
      </c>
      <c r="H11" s="50">
        <v>1</v>
      </c>
      <c r="I11" s="50">
        <v>4</v>
      </c>
      <c r="J11" s="50">
        <v>2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34</v>
      </c>
      <c r="P11" s="15">
        <f t="shared" si="1"/>
        <v>41</v>
      </c>
      <c r="R11" s="1" t="s">
        <v>7</v>
      </c>
      <c r="S11" s="17">
        <f t="shared" ref="S11:AF11" si="3">SUM(C14:C17)</f>
        <v>71</v>
      </c>
      <c r="T11" s="17">
        <f t="shared" si="3"/>
        <v>35</v>
      </c>
      <c r="U11" s="17">
        <f t="shared" si="3"/>
        <v>21</v>
      </c>
      <c r="V11" s="17">
        <f t="shared" si="3"/>
        <v>63</v>
      </c>
      <c r="W11" s="17">
        <f t="shared" si="3"/>
        <v>3</v>
      </c>
      <c r="X11" s="17">
        <f t="shared" si="3"/>
        <v>1</v>
      </c>
      <c r="Y11" s="17">
        <f t="shared" si="3"/>
        <v>17</v>
      </c>
      <c r="Z11" s="17">
        <f t="shared" si="3"/>
        <v>10</v>
      </c>
      <c r="AA11" s="17">
        <f t="shared" si="3"/>
        <v>3</v>
      </c>
      <c r="AB11" s="17">
        <f t="shared" si="3"/>
        <v>3</v>
      </c>
      <c r="AC11" s="17">
        <f t="shared" si="3"/>
        <v>61</v>
      </c>
      <c r="AD11" s="17">
        <f t="shared" si="3"/>
        <v>0</v>
      </c>
      <c r="AE11" s="31">
        <f t="shared" si="3"/>
        <v>227</v>
      </c>
      <c r="AF11" s="31">
        <f t="shared" si="3"/>
        <v>288</v>
      </c>
    </row>
    <row r="12" spans="2:32" ht="23.1" customHeight="1" x14ac:dyDescent="0.25">
      <c r="B12" s="45" t="s">
        <v>39</v>
      </c>
      <c r="C12" s="50">
        <v>8</v>
      </c>
      <c r="D12" s="50">
        <v>5</v>
      </c>
      <c r="E12" s="50">
        <v>2</v>
      </c>
      <c r="F12" s="50">
        <v>10</v>
      </c>
      <c r="G12" s="50">
        <v>0</v>
      </c>
      <c r="H12" s="50">
        <v>0</v>
      </c>
      <c r="I12" s="50">
        <v>1</v>
      </c>
      <c r="J12" s="50">
        <v>3</v>
      </c>
      <c r="K12" s="50">
        <v>2</v>
      </c>
      <c r="L12" s="50">
        <v>0</v>
      </c>
      <c r="M12" s="50">
        <v>9</v>
      </c>
      <c r="N12" s="50">
        <v>0</v>
      </c>
      <c r="O12" s="15">
        <f t="shared" si="0"/>
        <v>31</v>
      </c>
      <c r="P12" s="15">
        <f t="shared" si="1"/>
        <v>40</v>
      </c>
      <c r="R12" s="1" t="s">
        <v>8</v>
      </c>
      <c r="S12" s="17">
        <f t="shared" ref="S12:AF12" si="4">SUM(C18:C21)</f>
        <v>60</v>
      </c>
      <c r="T12" s="17">
        <f t="shared" si="4"/>
        <v>13</v>
      </c>
      <c r="U12" s="17">
        <f t="shared" si="4"/>
        <v>13</v>
      </c>
      <c r="V12" s="17">
        <f t="shared" si="4"/>
        <v>62</v>
      </c>
      <c r="W12" s="17">
        <f t="shared" si="4"/>
        <v>0</v>
      </c>
      <c r="X12" s="17">
        <f t="shared" si="4"/>
        <v>1</v>
      </c>
      <c r="Y12" s="17">
        <f t="shared" si="4"/>
        <v>18</v>
      </c>
      <c r="Z12" s="17">
        <f t="shared" si="4"/>
        <v>10</v>
      </c>
      <c r="AA12" s="17">
        <f t="shared" si="4"/>
        <v>6</v>
      </c>
      <c r="AB12" s="17">
        <f t="shared" si="4"/>
        <v>0</v>
      </c>
      <c r="AC12" s="17">
        <f t="shared" si="4"/>
        <v>51</v>
      </c>
      <c r="AD12" s="17">
        <f t="shared" si="4"/>
        <v>0</v>
      </c>
      <c r="AE12" s="31">
        <f t="shared" si="4"/>
        <v>183</v>
      </c>
      <c r="AF12" s="31">
        <f t="shared" si="4"/>
        <v>234</v>
      </c>
    </row>
    <row r="13" spans="2:32" ht="23.1" customHeight="1" x14ac:dyDescent="0.25">
      <c r="B13" s="45" t="s">
        <v>40</v>
      </c>
      <c r="C13" s="50">
        <v>7</v>
      </c>
      <c r="D13" s="50">
        <v>2</v>
      </c>
      <c r="E13" s="50">
        <v>0</v>
      </c>
      <c r="F13" s="50">
        <v>6</v>
      </c>
      <c r="G13" s="50">
        <v>0</v>
      </c>
      <c r="H13" s="50">
        <v>0</v>
      </c>
      <c r="I13" s="50">
        <v>4</v>
      </c>
      <c r="J13" s="50">
        <v>4</v>
      </c>
      <c r="K13" s="50">
        <v>0</v>
      </c>
      <c r="L13" s="50">
        <v>0</v>
      </c>
      <c r="M13" s="50">
        <v>7</v>
      </c>
      <c r="N13" s="50">
        <v>0</v>
      </c>
      <c r="O13" s="15">
        <f t="shared" si="0"/>
        <v>23</v>
      </c>
      <c r="P13" s="15">
        <f t="shared" si="1"/>
        <v>30</v>
      </c>
      <c r="R13" s="1" t="s">
        <v>9</v>
      </c>
      <c r="S13" s="17">
        <f t="shared" ref="S13:AF13" si="5">SUM(C22:C25)</f>
        <v>77</v>
      </c>
      <c r="T13" s="17">
        <f t="shared" si="5"/>
        <v>11</v>
      </c>
      <c r="U13" s="17">
        <f t="shared" si="5"/>
        <v>21</v>
      </c>
      <c r="V13" s="17">
        <f t="shared" si="5"/>
        <v>71</v>
      </c>
      <c r="W13" s="17">
        <f t="shared" si="5"/>
        <v>1</v>
      </c>
      <c r="X13" s="17">
        <f t="shared" si="5"/>
        <v>1</v>
      </c>
      <c r="Y13" s="17">
        <f t="shared" si="5"/>
        <v>27</v>
      </c>
      <c r="Z13" s="17">
        <f t="shared" si="5"/>
        <v>17</v>
      </c>
      <c r="AA13" s="17">
        <f t="shared" si="5"/>
        <v>8</v>
      </c>
      <c r="AB13" s="17">
        <f t="shared" si="5"/>
        <v>7</v>
      </c>
      <c r="AC13" s="17">
        <f t="shared" si="5"/>
        <v>68</v>
      </c>
      <c r="AD13" s="17">
        <f t="shared" si="5"/>
        <v>0</v>
      </c>
      <c r="AE13" s="31">
        <f t="shared" si="5"/>
        <v>241</v>
      </c>
      <c r="AF13" s="31">
        <f t="shared" si="5"/>
        <v>309</v>
      </c>
    </row>
    <row r="14" spans="2:32" ht="23.1" customHeight="1" x14ac:dyDescent="0.25">
      <c r="B14" s="45" t="s">
        <v>41</v>
      </c>
      <c r="C14" s="50">
        <v>24</v>
      </c>
      <c r="D14" s="50">
        <v>14</v>
      </c>
      <c r="E14" s="50">
        <v>5</v>
      </c>
      <c r="F14" s="50">
        <v>26</v>
      </c>
      <c r="G14" s="50">
        <v>1</v>
      </c>
      <c r="H14" s="50">
        <v>0</v>
      </c>
      <c r="I14" s="50">
        <v>6</v>
      </c>
      <c r="J14" s="50">
        <v>4</v>
      </c>
      <c r="K14" s="50">
        <v>3</v>
      </c>
      <c r="L14" s="50">
        <v>3</v>
      </c>
      <c r="M14" s="50">
        <v>18</v>
      </c>
      <c r="N14" s="50">
        <v>0</v>
      </c>
      <c r="O14" s="15">
        <f t="shared" si="0"/>
        <v>86</v>
      </c>
      <c r="P14" s="15">
        <f t="shared" si="1"/>
        <v>104</v>
      </c>
      <c r="R14" s="1" t="s">
        <v>10</v>
      </c>
      <c r="S14" s="17">
        <f t="shared" ref="S14:AF14" si="6">SUM(C26:C29)</f>
        <v>97</v>
      </c>
      <c r="T14" s="17">
        <f t="shared" si="6"/>
        <v>17</v>
      </c>
      <c r="U14" s="17">
        <f t="shared" si="6"/>
        <v>10</v>
      </c>
      <c r="V14" s="17">
        <f t="shared" si="6"/>
        <v>48</v>
      </c>
      <c r="W14" s="17">
        <f t="shared" si="6"/>
        <v>1</v>
      </c>
      <c r="X14" s="17">
        <f t="shared" si="6"/>
        <v>2</v>
      </c>
      <c r="Y14" s="17">
        <f t="shared" si="6"/>
        <v>8</v>
      </c>
      <c r="Z14" s="17">
        <f t="shared" si="6"/>
        <v>8</v>
      </c>
      <c r="AA14" s="17">
        <f t="shared" si="6"/>
        <v>3</v>
      </c>
      <c r="AB14" s="17">
        <f t="shared" si="6"/>
        <v>3</v>
      </c>
      <c r="AC14" s="17">
        <f t="shared" si="6"/>
        <v>46</v>
      </c>
      <c r="AD14" s="17">
        <f t="shared" si="6"/>
        <v>0</v>
      </c>
      <c r="AE14" s="31">
        <f t="shared" si="6"/>
        <v>197</v>
      </c>
      <c r="AF14" s="31">
        <f t="shared" si="6"/>
        <v>243</v>
      </c>
    </row>
    <row r="15" spans="2:32" ht="23.1" customHeight="1" x14ac:dyDescent="0.25">
      <c r="B15" s="45" t="s">
        <v>42</v>
      </c>
      <c r="C15" s="50">
        <v>13</v>
      </c>
      <c r="D15" s="50">
        <v>5</v>
      </c>
      <c r="E15" s="50">
        <v>1</v>
      </c>
      <c r="F15" s="50">
        <v>10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13</v>
      </c>
      <c r="N15" s="50">
        <v>0</v>
      </c>
      <c r="O15" s="15">
        <f t="shared" si="0"/>
        <v>32</v>
      </c>
      <c r="P15" s="15">
        <f t="shared" si="1"/>
        <v>45</v>
      </c>
      <c r="R15" s="1" t="s">
        <v>11</v>
      </c>
      <c r="S15" s="17">
        <f t="shared" ref="S15:AF15" si="7">SUM(C30:C33)</f>
        <v>55</v>
      </c>
      <c r="T15" s="17">
        <f t="shared" si="7"/>
        <v>8</v>
      </c>
      <c r="U15" s="17">
        <f t="shared" si="7"/>
        <v>10</v>
      </c>
      <c r="V15" s="17">
        <f t="shared" si="7"/>
        <v>38</v>
      </c>
      <c r="W15" s="17">
        <f t="shared" si="7"/>
        <v>1</v>
      </c>
      <c r="X15" s="17">
        <f t="shared" si="7"/>
        <v>1</v>
      </c>
      <c r="Y15" s="17">
        <f t="shared" si="7"/>
        <v>19</v>
      </c>
      <c r="Z15" s="17">
        <f t="shared" si="7"/>
        <v>15</v>
      </c>
      <c r="AA15" s="17">
        <f t="shared" si="7"/>
        <v>5</v>
      </c>
      <c r="AB15" s="17">
        <f t="shared" si="7"/>
        <v>3</v>
      </c>
      <c r="AC15" s="17">
        <f t="shared" si="7"/>
        <v>39</v>
      </c>
      <c r="AD15" s="17">
        <f t="shared" si="7"/>
        <v>0</v>
      </c>
      <c r="AE15" s="31">
        <f t="shared" si="7"/>
        <v>155</v>
      </c>
      <c r="AF15" s="31">
        <f t="shared" si="7"/>
        <v>194</v>
      </c>
    </row>
    <row r="16" spans="2:32" ht="23.1" customHeight="1" x14ac:dyDescent="0.25">
      <c r="B16" s="45" t="s">
        <v>43</v>
      </c>
      <c r="C16" s="50">
        <v>16</v>
      </c>
      <c r="D16" s="50">
        <v>6</v>
      </c>
      <c r="E16" s="50">
        <v>2</v>
      </c>
      <c r="F16" s="50">
        <v>13</v>
      </c>
      <c r="G16" s="50">
        <v>2</v>
      </c>
      <c r="H16" s="50">
        <v>0</v>
      </c>
      <c r="I16" s="50">
        <v>4</v>
      </c>
      <c r="J16" s="50">
        <v>3</v>
      </c>
      <c r="K16" s="50">
        <v>0</v>
      </c>
      <c r="L16" s="50">
        <v>0</v>
      </c>
      <c r="M16" s="50">
        <v>9</v>
      </c>
      <c r="N16" s="50">
        <v>0</v>
      </c>
      <c r="O16" s="15">
        <f t="shared" si="0"/>
        <v>46</v>
      </c>
      <c r="P16" s="15">
        <f t="shared" si="1"/>
        <v>55</v>
      </c>
      <c r="R16" s="1" t="s">
        <v>12</v>
      </c>
      <c r="S16" s="17">
        <f t="shared" ref="S16:AF16" si="8">SUM(C34:C37)</f>
        <v>60</v>
      </c>
      <c r="T16" s="17">
        <f t="shared" si="8"/>
        <v>17</v>
      </c>
      <c r="U16" s="17">
        <f t="shared" si="8"/>
        <v>19</v>
      </c>
      <c r="V16" s="17">
        <f t="shared" si="8"/>
        <v>60</v>
      </c>
      <c r="W16" s="17">
        <f t="shared" si="8"/>
        <v>0</v>
      </c>
      <c r="X16" s="17">
        <f t="shared" si="8"/>
        <v>2</v>
      </c>
      <c r="Y16" s="17">
        <f t="shared" si="8"/>
        <v>31</v>
      </c>
      <c r="Z16" s="17">
        <f t="shared" si="8"/>
        <v>19</v>
      </c>
      <c r="AA16" s="17">
        <f t="shared" si="8"/>
        <v>5</v>
      </c>
      <c r="AB16" s="17">
        <f t="shared" si="8"/>
        <v>3</v>
      </c>
      <c r="AC16" s="17">
        <f t="shared" si="8"/>
        <v>46</v>
      </c>
      <c r="AD16" s="17">
        <f t="shared" si="8"/>
        <v>0</v>
      </c>
      <c r="AE16" s="31">
        <f t="shared" si="8"/>
        <v>216</v>
      </c>
      <c r="AF16" s="31">
        <f t="shared" si="8"/>
        <v>262</v>
      </c>
    </row>
    <row r="17" spans="2:32" ht="23.1" customHeight="1" x14ac:dyDescent="0.25">
      <c r="B17" s="45" t="s">
        <v>44</v>
      </c>
      <c r="C17" s="50">
        <v>18</v>
      </c>
      <c r="D17" s="50">
        <v>10</v>
      </c>
      <c r="E17" s="50">
        <v>13</v>
      </c>
      <c r="F17" s="50">
        <v>14</v>
      </c>
      <c r="G17" s="50">
        <v>0</v>
      </c>
      <c r="H17" s="50">
        <v>1</v>
      </c>
      <c r="I17" s="50">
        <v>4</v>
      </c>
      <c r="J17" s="50">
        <v>3</v>
      </c>
      <c r="K17" s="50">
        <v>0</v>
      </c>
      <c r="L17" s="50">
        <v>0</v>
      </c>
      <c r="M17" s="50">
        <v>21</v>
      </c>
      <c r="N17" s="50">
        <v>0</v>
      </c>
      <c r="O17" s="15">
        <f t="shared" si="0"/>
        <v>63</v>
      </c>
      <c r="P17" s="15">
        <f t="shared" si="1"/>
        <v>84</v>
      </c>
      <c r="R17" s="1" t="s">
        <v>13</v>
      </c>
      <c r="S17" s="17">
        <f t="shared" ref="S17:AF17" si="9">SUM(C38:C41)</f>
        <v>52</v>
      </c>
      <c r="T17" s="17">
        <f t="shared" si="9"/>
        <v>9</v>
      </c>
      <c r="U17" s="17">
        <f t="shared" si="9"/>
        <v>13</v>
      </c>
      <c r="V17" s="17">
        <f t="shared" si="9"/>
        <v>60</v>
      </c>
      <c r="W17" s="17">
        <f t="shared" si="9"/>
        <v>0</v>
      </c>
      <c r="X17" s="17">
        <f t="shared" si="9"/>
        <v>1</v>
      </c>
      <c r="Y17" s="17">
        <f t="shared" si="9"/>
        <v>14</v>
      </c>
      <c r="Z17" s="17">
        <f t="shared" si="9"/>
        <v>12</v>
      </c>
      <c r="AA17" s="17">
        <f t="shared" si="9"/>
        <v>10</v>
      </c>
      <c r="AB17" s="17">
        <f t="shared" si="9"/>
        <v>4</v>
      </c>
      <c r="AC17" s="17">
        <f t="shared" si="9"/>
        <v>31</v>
      </c>
      <c r="AD17" s="17">
        <f t="shared" si="9"/>
        <v>0</v>
      </c>
      <c r="AE17" s="31">
        <f t="shared" si="9"/>
        <v>175</v>
      </c>
      <c r="AF17" s="31">
        <f t="shared" si="9"/>
        <v>206</v>
      </c>
    </row>
    <row r="18" spans="2:32" ht="23.1" customHeight="1" x14ac:dyDescent="0.25">
      <c r="B18" s="45" t="s">
        <v>45</v>
      </c>
      <c r="C18" s="50">
        <v>18</v>
      </c>
      <c r="D18" s="50">
        <v>3</v>
      </c>
      <c r="E18" s="50">
        <v>2</v>
      </c>
      <c r="F18" s="50">
        <v>22</v>
      </c>
      <c r="G18" s="50">
        <v>0</v>
      </c>
      <c r="H18" s="50">
        <v>0</v>
      </c>
      <c r="I18" s="50">
        <v>2</v>
      </c>
      <c r="J18" s="50">
        <v>2</v>
      </c>
      <c r="K18" s="50">
        <v>0</v>
      </c>
      <c r="L18" s="50">
        <v>0</v>
      </c>
      <c r="M18" s="50">
        <v>13</v>
      </c>
      <c r="N18" s="50">
        <v>0</v>
      </c>
      <c r="O18" s="15">
        <f t="shared" si="0"/>
        <v>49</v>
      </c>
      <c r="P18" s="15">
        <f t="shared" si="1"/>
        <v>62</v>
      </c>
      <c r="R18" s="1" t="s">
        <v>14</v>
      </c>
      <c r="S18" s="17">
        <f t="shared" ref="S18:AF18" si="10">SUM(C42:C45)</f>
        <v>57</v>
      </c>
      <c r="T18" s="17">
        <f t="shared" si="10"/>
        <v>12</v>
      </c>
      <c r="U18" s="17">
        <f t="shared" si="10"/>
        <v>13</v>
      </c>
      <c r="V18" s="17">
        <f t="shared" si="10"/>
        <v>64</v>
      </c>
      <c r="W18" s="17">
        <f t="shared" si="10"/>
        <v>1</v>
      </c>
      <c r="X18" s="17">
        <f t="shared" si="10"/>
        <v>3</v>
      </c>
      <c r="Y18" s="17">
        <f t="shared" si="10"/>
        <v>34</v>
      </c>
      <c r="Z18" s="17">
        <f t="shared" si="10"/>
        <v>13</v>
      </c>
      <c r="AA18" s="17">
        <f t="shared" si="10"/>
        <v>6</v>
      </c>
      <c r="AB18" s="17">
        <f t="shared" si="10"/>
        <v>1</v>
      </c>
      <c r="AC18" s="17">
        <f t="shared" si="10"/>
        <v>59</v>
      </c>
      <c r="AD18" s="17">
        <f t="shared" si="10"/>
        <v>0</v>
      </c>
      <c r="AE18" s="31">
        <f t="shared" si="10"/>
        <v>204</v>
      </c>
      <c r="AF18" s="31">
        <f t="shared" si="10"/>
        <v>263</v>
      </c>
    </row>
    <row r="19" spans="2:32" ht="23.1" customHeight="1" x14ac:dyDescent="0.25">
      <c r="B19" s="45" t="s">
        <v>46</v>
      </c>
      <c r="C19" s="50">
        <v>11</v>
      </c>
      <c r="D19" s="50">
        <v>4</v>
      </c>
      <c r="E19" s="50">
        <v>5</v>
      </c>
      <c r="F19" s="50">
        <v>12</v>
      </c>
      <c r="G19" s="50">
        <v>0</v>
      </c>
      <c r="H19" s="50">
        <v>1</v>
      </c>
      <c r="I19" s="50">
        <v>8</v>
      </c>
      <c r="J19" s="50">
        <v>0</v>
      </c>
      <c r="K19" s="50">
        <v>1</v>
      </c>
      <c r="L19" s="50">
        <v>0</v>
      </c>
      <c r="M19" s="50">
        <v>10</v>
      </c>
      <c r="N19" s="50">
        <v>0</v>
      </c>
      <c r="O19" s="15">
        <f t="shared" si="0"/>
        <v>42</v>
      </c>
      <c r="P19" s="15">
        <f t="shared" si="1"/>
        <v>52</v>
      </c>
      <c r="R19" s="1" t="s">
        <v>15</v>
      </c>
      <c r="S19" s="17">
        <f t="shared" ref="S19:AF19" si="11">SUM(C46:C49)</f>
        <v>55</v>
      </c>
      <c r="T19" s="17">
        <f t="shared" si="11"/>
        <v>8</v>
      </c>
      <c r="U19" s="17">
        <f t="shared" si="11"/>
        <v>17</v>
      </c>
      <c r="V19" s="17">
        <f t="shared" si="11"/>
        <v>42</v>
      </c>
      <c r="W19" s="17">
        <f t="shared" si="11"/>
        <v>1</v>
      </c>
      <c r="X19" s="17">
        <f t="shared" si="11"/>
        <v>0</v>
      </c>
      <c r="Y19" s="17">
        <f t="shared" si="11"/>
        <v>26</v>
      </c>
      <c r="Z19" s="17">
        <f t="shared" si="11"/>
        <v>13</v>
      </c>
      <c r="AA19" s="17">
        <f t="shared" si="11"/>
        <v>4</v>
      </c>
      <c r="AB19" s="17">
        <f t="shared" si="11"/>
        <v>7</v>
      </c>
      <c r="AC19" s="17">
        <f t="shared" si="11"/>
        <v>27</v>
      </c>
      <c r="AD19" s="17">
        <f t="shared" si="11"/>
        <v>0</v>
      </c>
      <c r="AE19" s="31">
        <f t="shared" si="11"/>
        <v>173</v>
      </c>
      <c r="AF19" s="31">
        <f t="shared" si="11"/>
        <v>200</v>
      </c>
    </row>
    <row r="20" spans="2:32" ht="23.1" customHeight="1" x14ac:dyDescent="0.25">
      <c r="B20" s="45" t="s">
        <v>47</v>
      </c>
      <c r="C20" s="50">
        <v>14</v>
      </c>
      <c r="D20" s="50">
        <v>4</v>
      </c>
      <c r="E20" s="50">
        <v>4</v>
      </c>
      <c r="F20" s="50">
        <v>16</v>
      </c>
      <c r="G20" s="50">
        <v>0</v>
      </c>
      <c r="H20" s="50">
        <v>0</v>
      </c>
      <c r="I20" s="50">
        <v>3</v>
      </c>
      <c r="J20" s="50">
        <v>4</v>
      </c>
      <c r="K20" s="50">
        <v>2</v>
      </c>
      <c r="L20" s="50">
        <v>0</v>
      </c>
      <c r="M20" s="50">
        <v>9</v>
      </c>
      <c r="N20" s="50">
        <v>0</v>
      </c>
      <c r="O20" s="15">
        <f t="shared" si="0"/>
        <v>47</v>
      </c>
      <c r="P20" s="15">
        <f t="shared" si="1"/>
        <v>56</v>
      </c>
      <c r="R20" s="1" t="s">
        <v>16</v>
      </c>
      <c r="S20" s="17">
        <f t="shared" ref="S20:AF20" si="12">SUM(C50:C53)</f>
        <v>69</v>
      </c>
      <c r="T20" s="17">
        <f t="shared" si="12"/>
        <v>18</v>
      </c>
      <c r="U20" s="17">
        <f t="shared" si="12"/>
        <v>4</v>
      </c>
      <c r="V20" s="17">
        <f t="shared" si="12"/>
        <v>67</v>
      </c>
      <c r="W20" s="17">
        <f t="shared" si="12"/>
        <v>1</v>
      </c>
      <c r="X20" s="17">
        <f t="shared" si="12"/>
        <v>2</v>
      </c>
      <c r="Y20" s="17">
        <f t="shared" si="12"/>
        <v>22</v>
      </c>
      <c r="Z20" s="17">
        <f t="shared" si="12"/>
        <v>15</v>
      </c>
      <c r="AA20" s="17">
        <f t="shared" si="12"/>
        <v>3</v>
      </c>
      <c r="AB20" s="17">
        <f t="shared" si="12"/>
        <v>3</v>
      </c>
      <c r="AC20" s="17">
        <f t="shared" si="12"/>
        <v>35</v>
      </c>
      <c r="AD20" s="17">
        <f t="shared" si="12"/>
        <v>0</v>
      </c>
      <c r="AE20" s="31">
        <f t="shared" si="12"/>
        <v>204</v>
      </c>
      <c r="AF20" s="31">
        <f t="shared" si="12"/>
        <v>239</v>
      </c>
    </row>
    <row r="21" spans="2:32" ht="23.1" customHeight="1" x14ac:dyDescent="0.25">
      <c r="B21" s="45" t="s">
        <v>48</v>
      </c>
      <c r="C21" s="50">
        <v>17</v>
      </c>
      <c r="D21" s="50">
        <v>2</v>
      </c>
      <c r="E21" s="50">
        <v>2</v>
      </c>
      <c r="F21" s="50">
        <v>12</v>
      </c>
      <c r="G21" s="50">
        <v>0</v>
      </c>
      <c r="H21" s="50">
        <v>0</v>
      </c>
      <c r="I21" s="50">
        <v>5</v>
      </c>
      <c r="J21" s="50">
        <v>4</v>
      </c>
      <c r="K21" s="50">
        <v>3</v>
      </c>
      <c r="L21" s="50">
        <v>0</v>
      </c>
      <c r="M21" s="50">
        <v>19</v>
      </c>
      <c r="N21" s="50">
        <v>0</v>
      </c>
      <c r="O21" s="15">
        <f t="shared" si="0"/>
        <v>45</v>
      </c>
      <c r="P21" s="15">
        <f t="shared" si="1"/>
        <v>64</v>
      </c>
      <c r="R21" s="36" t="s">
        <v>20</v>
      </c>
      <c r="S21" s="34">
        <f t="shared" ref="S21:AF21" si="13">SUM(C54:C57)</f>
        <v>31</v>
      </c>
      <c r="T21" s="17">
        <f t="shared" si="13"/>
        <v>8</v>
      </c>
      <c r="U21" s="17">
        <f t="shared" si="13"/>
        <v>10</v>
      </c>
      <c r="V21" s="17">
        <f t="shared" si="13"/>
        <v>61</v>
      </c>
      <c r="W21" s="17">
        <f t="shared" si="13"/>
        <v>1</v>
      </c>
      <c r="X21" s="17">
        <f t="shared" si="13"/>
        <v>0</v>
      </c>
      <c r="Y21" s="17">
        <f t="shared" si="13"/>
        <v>14</v>
      </c>
      <c r="Z21" s="17">
        <f t="shared" si="13"/>
        <v>8</v>
      </c>
      <c r="AA21" s="17">
        <f t="shared" si="13"/>
        <v>2</v>
      </c>
      <c r="AB21" s="17">
        <f t="shared" si="13"/>
        <v>0</v>
      </c>
      <c r="AC21" s="17">
        <f t="shared" si="13"/>
        <v>41</v>
      </c>
      <c r="AD21" s="17">
        <f t="shared" si="13"/>
        <v>3</v>
      </c>
      <c r="AE21" s="31">
        <f t="shared" si="13"/>
        <v>138</v>
      </c>
      <c r="AF21" s="31">
        <f t="shared" si="13"/>
        <v>179</v>
      </c>
    </row>
    <row r="22" spans="2:32" ht="23.1" customHeight="1" x14ac:dyDescent="0.25">
      <c r="B22" s="45" t="s">
        <v>49</v>
      </c>
      <c r="C22" s="50">
        <v>10</v>
      </c>
      <c r="D22" s="50">
        <v>2</v>
      </c>
      <c r="E22" s="50">
        <v>5</v>
      </c>
      <c r="F22" s="50">
        <v>18</v>
      </c>
      <c r="G22" s="50">
        <v>0</v>
      </c>
      <c r="H22" s="50">
        <v>0</v>
      </c>
      <c r="I22" s="50">
        <v>7</v>
      </c>
      <c r="J22" s="50">
        <v>2</v>
      </c>
      <c r="K22" s="50">
        <v>1</v>
      </c>
      <c r="L22" s="50">
        <v>3</v>
      </c>
      <c r="M22" s="50">
        <v>13</v>
      </c>
      <c r="N22" s="50">
        <v>0</v>
      </c>
      <c r="O22" s="15">
        <f t="shared" si="0"/>
        <v>48</v>
      </c>
      <c r="P22" s="15">
        <f t="shared" si="1"/>
        <v>61</v>
      </c>
      <c r="R22" s="36" t="s">
        <v>146</v>
      </c>
      <c r="S22" s="34">
        <f>SUM(C58:C61)</f>
        <v>73</v>
      </c>
      <c r="T22" s="34">
        <f t="shared" ref="T22:AF22" si="14">SUM(D58:D61)</f>
        <v>9</v>
      </c>
      <c r="U22" s="34">
        <f t="shared" si="14"/>
        <v>11</v>
      </c>
      <c r="V22" s="34">
        <f t="shared" si="14"/>
        <v>59</v>
      </c>
      <c r="W22" s="34">
        <f t="shared" si="14"/>
        <v>0</v>
      </c>
      <c r="X22" s="34">
        <f t="shared" si="14"/>
        <v>1</v>
      </c>
      <c r="Y22" s="34">
        <f t="shared" si="14"/>
        <v>16</v>
      </c>
      <c r="Z22" s="34">
        <f t="shared" si="14"/>
        <v>22</v>
      </c>
      <c r="AA22" s="34">
        <f t="shared" si="14"/>
        <v>5</v>
      </c>
      <c r="AB22" s="34">
        <f t="shared" si="14"/>
        <v>8</v>
      </c>
      <c r="AC22" s="34">
        <f t="shared" si="14"/>
        <v>93</v>
      </c>
      <c r="AD22" s="34">
        <f t="shared" si="14"/>
        <v>0</v>
      </c>
      <c r="AE22" s="31">
        <f t="shared" si="14"/>
        <v>204</v>
      </c>
      <c r="AF22" s="31">
        <f t="shared" si="14"/>
        <v>297</v>
      </c>
    </row>
    <row r="23" spans="2:32" ht="23.1" customHeight="1" x14ac:dyDescent="0.25">
      <c r="B23" s="45" t="s">
        <v>50</v>
      </c>
      <c r="C23" s="50">
        <v>20</v>
      </c>
      <c r="D23" s="50">
        <v>2</v>
      </c>
      <c r="E23" s="50">
        <v>7</v>
      </c>
      <c r="F23" s="50">
        <v>17</v>
      </c>
      <c r="G23" s="50">
        <v>1</v>
      </c>
      <c r="H23" s="50">
        <v>1</v>
      </c>
      <c r="I23" s="50">
        <v>5</v>
      </c>
      <c r="J23" s="50">
        <v>3</v>
      </c>
      <c r="K23" s="50">
        <v>4</v>
      </c>
      <c r="L23" s="50">
        <v>0</v>
      </c>
      <c r="M23" s="50">
        <v>17</v>
      </c>
      <c r="N23" s="50">
        <v>0</v>
      </c>
      <c r="O23" s="15">
        <f t="shared" si="0"/>
        <v>60</v>
      </c>
      <c r="P23" s="15">
        <f t="shared" si="1"/>
        <v>77</v>
      </c>
      <c r="R23" s="36" t="s">
        <v>147</v>
      </c>
      <c r="S23" s="34">
        <f>SUM(C62:C65)</f>
        <v>57</v>
      </c>
      <c r="T23" s="34">
        <f t="shared" ref="T23:AF23" si="15">SUM(D62:D65)</f>
        <v>13</v>
      </c>
      <c r="U23" s="34">
        <f t="shared" si="15"/>
        <v>12</v>
      </c>
      <c r="V23" s="34">
        <f t="shared" si="15"/>
        <v>63</v>
      </c>
      <c r="W23" s="34">
        <f t="shared" si="15"/>
        <v>0</v>
      </c>
      <c r="X23" s="34">
        <f t="shared" si="15"/>
        <v>1</v>
      </c>
      <c r="Y23" s="34">
        <f t="shared" si="15"/>
        <v>24</v>
      </c>
      <c r="Z23" s="34">
        <f t="shared" si="15"/>
        <v>12</v>
      </c>
      <c r="AA23" s="34">
        <f t="shared" si="15"/>
        <v>1</v>
      </c>
      <c r="AB23" s="34">
        <f t="shared" si="15"/>
        <v>1</v>
      </c>
      <c r="AC23" s="34">
        <f t="shared" si="15"/>
        <v>68</v>
      </c>
      <c r="AD23" s="34">
        <f t="shared" si="15"/>
        <v>0</v>
      </c>
      <c r="AE23" s="31">
        <f t="shared" si="15"/>
        <v>184</v>
      </c>
      <c r="AF23" s="31">
        <f t="shared" si="15"/>
        <v>252</v>
      </c>
    </row>
    <row r="24" spans="2:32" ht="23.1" customHeight="1" x14ac:dyDescent="0.25">
      <c r="B24" s="45" t="s">
        <v>51</v>
      </c>
      <c r="C24" s="50">
        <v>21</v>
      </c>
      <c r="D24" s="50">
        <v>3</v>
      </c>
      <c r="E24" s="50">
        <v>8</v>
      </c>
      <c r="F24" s="50">
        <v>20</v>
      </c>
      <c r="G24" s="50">
        <v>0</v>
      </c>
      <c r="H24" s="50">
        <v>0</v>
      </c>
      <c r="I24" s="50">
        <v>7</v>
      </c>
      <c r="J24" s="50">
        <v>7</v>
      </c>
      <c r="K24" s="50">
        <v>1</v>
      </c>
      <c r="L24" s="50">
        <v>2</v>
      </c>
      <c r="M24" s="50">
        <v>17</v>
      </c>
      <c r="N24" s="50">
        <v>0</v>
      </c>
      <c r="O24" s="15">
        <f t="shared" si="0"/>
        <v>69</v>
      </c>
      <c r="P24" s="15">
        <f t="shared" si="1"/>
        <v>86</v>
      </c>
      <c r="R24" s="36" t="s">
        <v>148</v>
      </c>
      <c r="S24" s="34">
        <f>SUM(C66:C69)</f>
        <v>41</v>
      </c>
      <c r="T24" s="34">
        <f t="shared" ref="T24:AF24" si="16">SUM(D66:D69)</f>
        <v>7</v>
      </c>
      <c r="U24" s="34">
        <f t="shared" si="16"/>
        <v>10</v>
      </c>
      <c r="V24" s="34">
        <f t="shared" si="16"/>
        <v>31</v>
      </c>
      <c r="W24" s="34">
        <f t="shared" si="16"/>
        <v>1</v>
      </c>
      <c r="X24" s="34">
        <f t="shared" si="16"/>
        <v>2</v>
      </c>
      <c r="Y24" s="34">
        <f t="shared" si="16"/>
        <v>17</v>
      </c>
      <c r="Z24" s="34">
        <f t="shared" si="16"/>
        <v>20</v>
      </c>
      <c r="AA24" s="34">
        <f t="shared" si="16"/>
        <v>5</v>
      </c>
      <c r="AB24" s="34">
        <f t="shared" si="16"/>
        <v>13</v>
      </c>
      <c r="AC24" s="34">
        <f t="shared" si="16"/>
        <v>37</v>
      </c>
      <c r="AD24" s="34">
        <f t="shared" si="16"/>
        <v>0</v>
      </c>
      <c r="AE24" s="31">
        <f t="shared" si="16"/>
        <v>147</v>
      </c>
      <c r="AF24" s="31">
        <f t="shared" si="16"/>
        <v>184</v>
      </c>
    </row>
    <row r="25" spans="2:32" ht="23.1" customHeight="1" x14ac:dyDescent="0.25">
      <c r="B25" s="45" t="s">
        <v>52</v>
      </c>
      <c r="C25" s="50">
        <v>26</v>
      </c>
      <c r="D25" s="50">
        <v>4</v>
      </c>
      <c r="E25" s="50">
        <v>1</v>
      </c>
      <c r="F25" s="50">
        <v>16</v>
      </c>
      <c r="G25" s="50">
        <v>0</v>
      </c>
      <c r="H25" s="50">
        <v>0</v>
      </c>
      <c r="I25" s="50">
        <v>8</v>
      </c>
      <c r="J25" s="50">
        <v>5</v>
      </c>
      <c r="K25" s="50">
        <v>2</v>
      </c>
      <c r="L25" s="50">
        <v>2</v>
      </c>
      <c r="M25" s="50">
        <v>21</v>
      </c>
      <c r="N25" s="50">
        <v>0</v>
      </c>
      <c r="O25" s="15">
        <f t="shared" si="0"/>
        <v>64</v>
      </c>
      <c r="P25" s="15">
        <f t="shared" si="1"/>
        <v>85</v>
      </c>
      <c r="R25" s="36" t="s">
        <v>149</v>
      </c>
      <c r="S25" s="34">
        <f>SUM(C70:C73)</f>
        <v>30</v>
      </c>
      <c r="T25" s="34">
        <f t="shared" ref="T25:AF25" si="17">SUM(D70:D73)</f>
        <v>6</v>
      </c>
      <c r="U25" s="34">
        <f t="shared" si="17"/>
        <v>7</v>
      </c>
      <c r="V25" s="34">
        <f t="shared" si="17"/>
        <v>12</v>
      </c>
      <c r="W25" s="34">
        <f t="shared" si="17"/>
        <v>0</v>
      </c>
      <c r="X25" s="34">
        <f t="shared" si="17"/>
        <v>1</v>
      </c>
      <c r="Y25" s="34">
        <f t="shared" si="17"/>
        <v>19</v>
      </c>
      <c r="Z25" s="34">
        <f t="shared" si="17"/>
        <v>18</v>
      </c>
      <c r="AA25" s="34">
        <f t="shared" si="17"/>
        <v>5</v>
      </c>
      <c r="AB25" s="34">
        <f t="shared" si="17"/>
        <v>1</v>
      </c>
      <c r="AC25" s="34">
        <f t="shared" si="17"/>
        <v>37</v>
      </c>
      <c r="AD25" s="34">
        <f t="shared" si="17"/>
        <v>0</v>
      </c>
      <c r="AE25" s="31">
        <f t="shared" si="17"/>
        <v>99</v>
      </c>
      <c r="AF25" s="31">
        <f t="shared" si="17"/>
        <v>136</v>
      </c>
    </row>
    <row r="26" spans="2:32" ht="23.1" customHeight="1" x14ac:dyDescent="0.25">
      <c r="B26" s="45" t="s">
        <v>53</v>
      </c>
      <c r="C26" s="50">
        <v>24</v>
      </c>
      <c r="D26" s="50">
        <v>0</v>
      </c>
      <c r="E26" s="50">
        <v>1</v>
      </c>
      <c r="F26" s="50">
        <v>11</v>
      </c>
      <c r="G26" s="50">
        <v>0</v>
      </c>
      <c r="H26" s="50">
        <v>1</v>
      </c>
      <c r="I26" s="50">
        <v>1</v>
      </c>
      <c r="J26" s="50">
        <v>0</v>
      </c>
      <c r="K26" s="50">
        <v>1</v>
      </c>
      <c r="L26" s="50">
        <v>2</v>
      </c>
      <c r="M26" s="50">
        <v>15</v>
      </c>
      <c r="N26" s="50">
        <v>0</v>
      </c>
      <c r="O26" s="15">
        <f t="shared" si="0"/>
        <v>41</v>
      </c>
      <c r="P26" s="15">
        <f t="shared" si="1"/>
        <v>56</v>
      </c>
      <c r="R26" s="36" t="s">
        <v>150</v>
      </c>
      <c r="S26" s="34">
        <f>SUM(C74:C77)</f>
        <v>15</v>
      </c>
      <c r="T26" s="34">
        <f t="shared" ref="T26:AF26" si="18">SUM(D74:D77)</f>
        <v>3</v>
      </c>
      <c r="U26" s="34">
        <f t="shared" si="18"/>
        <v>4</v>
      </c>
      <c r="V26" s="34">
        <f t="shared" si="18"/>
        <v>8</v>
      </c>
      <c r="W26" s="34">
        <f t="shared" si="18"/>
        <v>0</v>
      </c>
      <c r="X26" s="34">
        <f t="shared" si="18"/>
        <v>0</v>
      </c>
      <c r="Y26" s="34">
        <f t="shared" si="18"/>
        <v>8</v>
      </c>
      <c r="Z26" s="34">
        <f t="shared" si="18"/>
        <v>19</v>
      </c>
      <c r="AA26" s="34">
        <f t="shared" si="18"/>
        <v>4</v>
      </c>
      <c r="AB26" s="34">
        <f t="shared" si="18"/>
        <v>1</v>
      </c>
      <c r="AC26" s="34">
        <f t="shared" si="18"/>
        <v>14</v>
      </c>
      <c r="AD26" s="34">
        <f t="shared" si="18"/>
        <v>0</v>
      </c>
      <c r="AE26" s="31">
        <f t="shared" si="18"/>
        <v>62</v>
      </c>
      <c r="AF26" s="31">
        <f t="shared" si="18"/>
        <v>76</v>
      </c>
    </row>
    <row r="27" spans="2:32" ht="23.1" customHeight="1" x14ac:dyDescent="0.25">
      <c r="B27" s="45" t="s">
        <v>54</v>
      </c>
      <c r="C27" s="50">
        <v>22</v>
      </c>
      <c r="D27" s="50">
        <v>5</v>
      </c>
      <c r="E27" s="50">
        <v>4</v>
      </c>
      <c r="F27" s="50">
        <v>12</v>
      </c>
      <c r="G27" s="50">
        <v>0</v>
      </c>
      <c r="H27" s="50">
        <v>0</v>
      </c>
      <c r="I27" s="50">
        <v>1</v>
      </c>
      <c r="J27" s="50">
        <v>4</v>
      </c>
      <c r="K27" s="50">
        <v>0</v>
      </c>
      <c r="L27" s="50">
        <v>1</v>
      </c>
      <c r="M27" s="50">
        <v>6</v>
      </c>
      <c r="N27" s="50">
        <v>0</v>
      </c>
      <c r="O27" s="15">
        <f t="shared" si="0"/>
        <v>49</v>
      </c>
      <c r="P27" s="15">
        <f t="shared" si="1"/>
        <v>55</v>
      </c>
      <c r="R27" s="36" t="s">
        <v>151</v>
      </c>
      <c r="S27" s="34">
        <f>SUM(C78:C81)</f>
        <v>10</v>
      </c>
      <c r="T27" s="34">
        <f t="shared" ref="T27:AF27" si="19">SUM(D78:D81)</f>
        <v>2</v>
      </c>
      <c r="U27" s="34">
        <f t="shared" si="19"/>
        <v>5</v>
      </c>
      <c r="V27" s="34">
        <f t="shared" si="19"/>
        <v>1</v>
      </c>
      <c r="W27" s="34">
        <f t="shared" si="19"/>
        <v>0</v>
      </c>
      <c r="X27" s="34">
        <f t="shared" si="19"/>
        <v>1</v>
      </c>
      <c r="Y27" s="34">
        <f t="shared" si="19"/>
        <v>21</v>
      </c>
      <c r="Z27" s="34">
        <f t="shared" si="19"/>
        <v>15</v>
      </c>
      <c r="AA27" s="34">
        <f t="shared" si="19"/>
        <v>3</v>
      </c>
      <c r="AB27" s="34">
        <f t="shared" si="19"/>
        <v>3</v>
      </c>
      <c r="AC27" s="34">
        <f t="shared" si="19"/>
        <v>9</v>
      </c>
      <c r="AD27" s="34">
        <f t="shared" si="19"/>
        <v>0</v>
      </c>
      <c r="AE27" s="31">
        <f t="shared" si="19"/>
        <v>61</v>
      </c>
      <c r="AF27" s="31">
        <f t="shared" si="19"/>
        <v>70</v>
      </c>
    </row>
    <row r="28" spans="2:32" ht="23.1" customHeight="1" x14ac:dyDescent="0.25">
      <c r="B28" s="45" t="s">
        <v>55</v>
      </c>
      <c r="C28" s="50">
        <v>29</v>
      </c>
      <c r="D28" s="50">
        <v>5</v>
      </c>
      <c r="E28" s="50">
        <v>1</v>
      </c>
      <c r="F28" s="50">
        <v>10</v>
      </c>
      <c r="G28" s="50">
        <v>0</v>
      </c>
      <c r="H28" s="50">
        <v>1</v>
      </c>
      <c r="I28" s="50">
        <v>6</v>
      </c>
      <c r="J28" s="50">
        <v>2</v>
      </c>
      <c r="K28" s="50">
        <v>2</v>
      </c>
      <c r="L28" s="50">
        <v>0</v>
      </c>
      <c r="M28" s="50">
        <v>13</v>
      </c>
      <c r="N28" s="50">
        <v>0</v>
      </c>
      <c r="O28" s="15">
        <f t="shared" si="0"/>
        <v>56</v>
      </c>
      <c r="P28" s="15">
        <f t="shared" si="1"/>
        <v>69</v>
      </c>
      <c r="R28" s="36" t="s">
        <v>152</v>
      </c>
      <c r="S28" s="34">
        <f>SUM(C82:C85)</f>
        <v>2</v>
      </c>
      <c r="T28" s="34">
        <f t="shared" ref="T28:AF28" si="20">SUM(D82:D85)</f>
        <v>1</v>
      </c>
      <c r="U28" s="34">
        <f t="shared" si="20"/>
        <v>1</v>
      </c>
      <c r="V28" s="34">
        <f t="shared" si="20"/>
        <v>2</v>
      </c>
      <c r="W28" s="34">
        <f t="shared" si="20"/>
        <v>0</v>
      </c>
      <c r="X28" s="34">
        <f t="shared" si="20"/>
        <v>1</v>
      </c>
      <c r="Y28" s="34">
        <f t="shared" si="20"/>
        <v>2</v>
      </c>
      <c r="Z28" s="34">
        <f t="shared" si="20"/>
        <v>6</v>
      </c>
      <c r="AA28" s="34">
        <f t="shared" si="20"/>
        <v>1</v>
      </c>
      <c r="AB28" s="34">
        <f t="shared" si="20"/>
        <v>0</v>
      </c>
      <c r="AC28" s="34">
        <f t="shared" si="20"/>
        <v>7</v>
      </c>
      <c r="AD28" s="34">
        <f t="shared" si="20"/>
        <v>0</v>
      </c>
      <c r="AE28" s="31">
        <f t="shared" si="20"/>
        <v>16</v>
      </c>
      <c r="AF28" s="31">
        <f t="shared" si="20"/>
        <v>23</v>
      </c>
    </row>
    <row r="29" spans="2:32" ht="23.1" customHeight="1" x14ac:dyDescent="0.25">
      <c r="B29" s="45" t="s">
        <v>56</v>
      </c>
      <c r="C29" s="50">
        <v>22</v>
      </c>
      <c r="D29" s="50">
        <v>7</v>
      </c>
      <c r="E29" s="50">
        <v>4</v>
      </c>
      <c r="F29" s="50">
        <v>15</v>
      </c>
      <c r="G29" s="50">
        <v>1</v>
      </c>
      <c r="H29" s="50">
        <v>0</v>
      </c>
      <c r="I29" s="50">
        <v>0</v>
      </c>
      <c r="J29" s="50">
        <v>2</v>
      </c>
      <c r="K29" s="50">
        <v>0</v>
      </c>
      <c r="L29" s="50">
        <v>0</v>
      </c>
      <c r="M29" s="50">
        <v>12</v>
      </c>
      <c r="N29" s="50">
        <v>0</v>
      </c>
      <c r="O29" s="15">
        <f t="shared" si="0"/>
        <v>51</v>
      </c>
      <c r="P29" s="15">
        <f t="shared" si="1"/>
        <v>63</v>
      </c>
      <c r="R29" s="36" t="s">
        <v>153</v>
      </c>
      <c r="S29" s="34">
        <f>SUM(C86:C89)</f>
        <v>5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2</v>
      </c>
      <c r="AA29" s="34">
        <f t="shared" si="21"/>
        <v>1</v>
      </c>
      <c r="AB29" s="34">
        <f t="shared" si="21"/>
        <v>0</v>
      </c>
      <c r="AC29" s="34">
        <f t="shared" si="21"/>
        <v>11</v>
      </c>
      <c r="AD29" s="34">
        <f t="shared" si="21"/>
        <v>0</v>
      </c>
      <c r="AE29" s="31">
        <f t="shared" si="21"/>
        <v>12</v>
      </c>
      <c r="AF29" s="31">
        <f t="shared" si="21"/>
        <v>23</v>
      </c>
    </row>
    <row r="30" spans="2:32" ht="23.1" customHeight="1" x14ac:dyDescent="0.25">
      <c r="B30" s="45" t="s">
        <v>57</v>
      </c>
      <c r="C30" s="50">
        <v>19</v>
      </c>
      <c r="D30" s="50">
        <v>1</v>
      </c>
      <c r="E30" s="50">
        <v>3</v>
      </c>
      <c r="F30" s="50">
        <v>11</v>
      </c>
      <c r="G30" s="50">
        <v>0</v>
      </c>
      <c r="H30" s="50">
        <v>0</v>
      </c>
      <c r="I30" s="50">
        <v>2</v>
      </c>
      <c r="J30" s="50">
        <v>2</v>
      </c>
      <c r="K30" s="50">
        <v>0</v>
      </c>
      <c r="L30" s="50">
        <v>1</v>
      </c>
      <c r="M30" s="50">
        <v>11</v>
      </c>
      <c r="N30" s="50">
        <v>0</v>
      </c>
      <c r="O30" s="15">
        <f t="shared" si="0"/>
        <v>39</v>
      </c>
      <c r="P30" s="15">
        <f t="shared" si="1"/>
        <v>50</v>
      </c>
      <c r="R30" s="36" t="s">
        <v>154</v>
      </c>
      <c r="S30" s="34">
        <f>SUM(C90:C93)</f>
        <v>7</v>
      </c>
      <c r="T30" s="34">
        <f t="shared" ref="T30:AF30" si="22">SUM(D90:D93)</f>
        <v>2</v>
      </c>
      <c r="U30" s="34">
        <f t="shared" si="22"/>
        <v>2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2</v>
      </c>
      <c r="AA30" s="34">
        <f t="shared" si="22"/>
        <v>1</v>
      </c>
      <c r="AB30" s="34">
        <f t="shared" si="22"/>
        <v>2</v>
      </c>
      <c r="AC30" s="34">
        <f t="shared" si="22"/>
        <v>4</v>
      </c>
      <c r="AD30" s="34">
        <f t="shared" si="22"/>
        <v>0</v>
      </c>
      <c r="AE30" s="31">
        <f t="shared" si="22"/>
        <v>19</v>
      </c>
      <c r="AF30" s="31">
        <f t="shared" si="22"/>
        <v>23</v>
      </c>
    </row>
    <row r="31" spans="2:32" ht="23.1" customHeight="1" x14ac:dyDescent="0.25">
      <c r="B31" s="46" t="s">
        <v>58</v>
      </c>
      <c r="C31" s="50">
        <v>10</v>
      </c>
      <c r="D31" s="50">
        <v>0</v>
      </c>
      <c r="E31" s="50">
        <v>1</v>
      </c>
      <c r="F31" s="50">
        <v>7</v>
      </c>
      <c r="G31" s="50">
        <v>0</v>
      </c>
      <c r="H31" s="50">
        <v>1</v>
      </c>
      <c r="I31" s="50">
        <v>8</v>
      </c>
      <c r="J31" s="50">
        <v>7</v>
      </c>
      <c r="K31" s="50">
        <v>0</v>
      </c>
      <c r="L31" s="50">
        <v>1</v>
      </c>
      <c r="M31" s="50">
        <v>10</v>
      </c>
      <c r="N31" s="50">
        <v>0</v>
      </c>
      <c r="O31" s="15">
        <f t="shared" si="0"/>
        <v>35</v>
      </c>
      <c r="P31" s="15">
        <f t="shared" si="1"/>
        <v>45</v>
      </c>
      <c r="R31" s="36" t="s">
        <v>155</v>
      </c>
      <c r="S31" s="34">
        <f>SUM(C94:C97)</f>
        <v>10</v>
      </c>
      <c r="T31" s="34">
        <f t="shared" ref="T31:AF31" si="23">SUM(D94:D97)</f>
        <v>3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3</v>
      </c>
      <c r="AA31" s="34">
        <f t="shared" si="23"/>
        <v>0</v>
      </c>
      <c r="AB31" s="34">
        <f t="shared" si="23"/>
        <v>0</v>
      </c>
      <c r="AC31" s="34">
        <f t="shared" si="23"/>
        <v>7</v>
      </c>
      <c r="AD31" s="34">
        <f t="shared" si="23"/>
        <v>0</v>
      </c>
      <c r="AE31" s="31">
        <f t="shared" si="23"/>
        <v>16</v>
      </c>
      <c r="AF31" s="31">
        <f t="shared" si="23"/>
        <v>23</v>
      </c>
    </row>
    <row r="32" spans="2:32" ht="23.1" customHeight="1" x14ac:dyDescent="0.25">
      <c r="B32" s="46" t="s">
        <v>59</v>
      </c>
      <c r="C32" s="50">
        <v>16</v>
      </c>
      <c r="D32" s="50">
        <v>5</v>
      </c>
      <c r="E32" s="50">
        <v>3</v>
      </c>
      <c r="F32" s="50">
        <v>14</v>
      </c>
      <c r="G32" s="50">
        <v>0</v>
      </c>
      <c r="H32" s="50">
        <v>0</v>
      </c>
      <c r="I32" s="50">
        <v>6</v>
      </c>
      <c r="J32" s="50">
        <v>3</v>
      </c>
      <c r="K32" s="50">
        <v>4</v>
      </c>
      <c r="L32" s="50">
        <v>0</v>
      </c>
      <c r="M32" s="50">
        <v>8</v>
      </c>
      <c r="N32" s="50">
        <v>0</v>
      </c>
      <c r="O32" s="15">
        <f t="shared" si="0"/>
        <v>51</v>
      </c>
      <c r="P32" s="15">
        <f t="shared" si="1"/>
        <v>59</v>
      </c>
      <c r="R32" s="33" t="s">
        <v>156</v>
      </c>
      <c r="S32" s="34">
        <f>SUM(C98:C101)</f>
        <v>4</v>
      </c>
      <c r="T32" s="34">
        <f t="shared" ref="T32:AF32" si="24">SUM(D98:D101)</f>
        <v>3</v>
      </c>
      <c r="U32" s="34">
        <f t="shared" si="24"/>
        <v>0</v>
      </c>
      <c r="V32" s="34">
        <f t="shared" si="24"/>
        <v>3</v>
      </c>
      <c r="W32" s="34">
        <f t="shared" si="24"/>
        <v>0</v>
      </c>
      <c r="X32" s="34">
        <f t="shared" si="24"/>
        <v>1</v>
      </c>
      <c r="Y32" s="34">
        <f t="shared" si="24"/>
        <v>1</v>
      </c>
      <c r="Z32" s="34">
        <f t="shared" si="24"/>
        <v>3</v>
      </c>
      <c r="AA32" s="34">
        <f t="shared" si="24"/>
        <v>1</v>
      </c>
      <c r="AB32" s="34">
        <f t="shared" si="24"/>
        <v>1</v>
      </c>
      <c r="AC32" s="34">
        <f t="shared" si="24"/>
        <v>14</v>
      </c>
      <c r="AD32" s="34">
        <f t="shared" si="24"/>
        <v>0</v>
      </c>
      <c r="AE32" s="31">
        <f t="shared" si="24"/>
        <v>17</v>
      </c>
      <c r="AF32" s="31">
        <f t="shared" si="24"/>
        <v>31</v>
      </c>
    </row>
    <row r="33" spans="2:32" ht="23.1" customHeight="1" x14ac:dyDescent="0.25">
      <c r="B33" s="45" t="s">
        <v>60</v>
      </c>
      <c r="C33" s="50">
        <v>10</v>
      </c>
      <c r="D33" s="50">
        <v>2</v>
      </c>
      <c r="E33" s="50">
        <v>3</v>
      </c>
      <c r="F33" s="50">
        <v>6</v>
      </c>
      <c r="G33" s="50">
        <v>1</v>
      </c>
      <c r="H33" s="50">
        <v>0</v>
      </c>
      <c r="I33" s="50">
        <v>3</v>
      </c>
      <c r="J33" s="50">
        <v>3</v>
      </c>
      <c r="K33" s="50">
        <v>1</v>
      </c>
      <c r="L33" s="50">
        <v>1</v>
      </c>
      <c r="M33" s="50">
        <v>10</v>
      </c>
      <c r="N33" s="50">
        <v>0</v>
      </c>
      <c r="O33" s="15">
        <f t="shared" si="0"/>
        <v>30</v>
      </c>
      <c r="P33" s="15">
        <f t="shared" si="1"/>
        <v>40</v>
      </c>
      <c r="R33" s="33" t="s">
        <v>157</v>
      </c>
      <c r="S33" s="34">
        <f>SUM(C102:C105)</f>
        <v>11</v>
      </c>
      <c r="T33" s="34">
        <f t="shared" ref="T33:AF33" si="25">SUM(D102:D105)</f>
        <v>1</v>
      </c>
      <c r="U33" s="34">
        <f t="shared" si="25"/>
        <v>0</v>
      </c>
      <c r="V33" s="34">
        <f t="shared" si="25"/>
        <v>8</v>
      </c>
      <c r="W33" s="34">
        <f t="shared" si="25"/>
        <v>0</v>
      </c>
      <c r="X33" s="34">
        <f t="shared" si="25"/>
        <v>1</v>
      </c>
      <c r="Y33" s="34">
        <f t="shared" si="25"/>
        <v>10</v>
      </c>
      <c r="Z33" s="34">
        <f t="shared" si="25"/>
        <v>1</v>
      </c>
      <c r="AA33" s="34">
        <f t="shared" si="25"/>
        <v>1</v>
      </c>
      <c r="AB33" s="34">
        <f t="shared" si="25"/>
        <v>1</v>
      </c>
      <c r="AC33" s="34">
        <f t="shared" si="25"/>
        <v>16</v>
      </c>
      <c r="AD33" s="34">
        <f t="shared" si="25"/>
        <v>0</v>
      </c>
      <c r="AE33" s="31">
        <f t="shared" si="25"/>
        <v>34</v>
      </c>
      <c r="AF33" s="31">
        <f t="shared" si="25"/>
        <v>50</v>
      </c>
    </row>
    <row r="34" spans="2:32" ht="23.1" customHeight="1" x14ac:dyDescent="0.25">
      <c r="B34" s="46" t="s">
        <v>61</v>
      </c>
      <c r="C34" s="50">
        <v>14</v>
      </c>
      <c r="D34" s="50">
        <v>8</v>
      </c>
      <c r="E34" s="50">
        <v>8</v>
      </c>
      <c r="F34" s="50">
        <v>25</v>
      </c>
      <c r="G34" s="50">
        <v>0</v>
      </c>
      <c r="H34" s="50">
        <v>0</v>
      </c>
      <c r="I34" s="50">
        <v>9</v>
      </c>
      <c r="J34" s="50">
        <v>11</v>
      </c>
      <c r="K34" s="50">
        <v>0</v>
      </c>
      <c r="L34" s="50">
        <v>2</v>
      </c>
      <c r="M34" s="50">
        <v>15</v>
      </c>
      <c r="N34" s="50">
        <v>0</v>
      </c>
      <c r="O34" s="15">
        <f t="shared" si="0"/>
        <v>77</v>
      </c>
      <c r="P34" s="15">
        <f t="shared" si="1"/>
        <v>92</v>
      </c>
      <c r="R34" s="38" t="s">
        <v>90</v>
      </c>
      <c r="S34" s="39">
        <f t="shared" ref="S34:AF34" si="26">MAX(S10:S12)</f>
        <v>71</v>
      </c>
      <c r="T34" s="39">
        <f t="shared" si="26"/>
        <v>35</v>
      </c>
      <c r="U34" s="39">
        <f t="shared" si="26"/>
        <v>21</v>
      </c>
      <c r="V34" s="39">
        <f t="shared" si="26"/>
        <v>63</v>
      </c>
      <c r="W34" s="39">
        <f t="shared" si="26"/>
        <v>3</v>
      </c>
      <c r="X34" s="39">
        <f t="shared" si="26"/>
        <v>1</v>
      </c>
      <c r="Y34" s="39">
        <f t="shared" si="26"/>
        <v>18</v>
      </c>
      <c r="Z34" s="39">
        <f t="shared" si="26"/>
        <v>11</v>
      </c>
      <c r="AA34" s="39">
        <f t="shared" si="26"/>
        <v>6</v>
      </c>
      <c r="AB34" s="39">
        <f t="shared" si="26"/>
        <v>3</v>
      </c>
      <c r="AC34" s="39">
        <f t="shared" si="26"/>
        <v>61</v>
      </c>
      <c r="AD34" s="39">
        <f t="shared" si="26"/>
        <v>0</v>
      </c>
      <c r="AE34" s="40">
        <f t="shared" si="26"/>
        <v>227</v>
      </c>
      <c r="AF34" s="40">
        <f t="shared" si="26"/>
        <v>288</v>
      </c>
    </row>
    <row r="35" spans="2:32" ht="23.1" customHeight="1" x14ac:dyDescent="0.25">
      <c r="B35" s="46" t="s">
        <v>62</v>
      </c>
      <c r="C35" s="50">
        <v>20</v>
      </c>
      <c r="D35" s="50">
        <v>2</v>
      </c>
      <c r="E35" s="50">
        <v>3</v>
      </c>
      <c r="F35" s="50">
        <v>13</v>
      </c>
      <c r="G35" s="50">
        <v>0</v>
      </c>
      <c r="H35" s="50">
        <v>0</v>
      </c>
      <c r="I35" s="50">
        <v>5</v>
      </c>
      <c r="J35" s="50">
        <v>2</v>
      </c>
      <c r="K35" s="50">
        <v>0</v>
      </c>
      <c r="L35" s="50">
        <v>0</v>
      </c>
      <c r="M35" s="50">
        <v>13</v>
      </c>
      <c r="N35" s="50">
        <v>0</v>
      </c>
      <c r="O35" s="15">
        <f t="shared" si="0"/>
        <v>45</v>
      </c>
      <c r="P35" s="15">
        <f t="shared" si="1"/>
        <v>58</v>
      </c>
      <c r="R35" s="38" t="s">
        <v>91</v>
      </c>
      <c r="S35" s="39">
        <f t="shared" ref="S35:AF35" si="27">MAX(S13:S18)</f>
        <v>97</v>
      </c>
      <c r="T35" s="39">
        <f t="shared" si="27"/>
        <v>17</v>
      </c>
      <c r="U35" s="39">
        <f t="shared" si="27"/>
        <v>21</v>
      </c>
      <c r="V35" s="39">
        <f t="shared" si="27"/>
        <v>71</v>
      </c>
      <c r="W35" s="39">
        <f t="shared" si="27"/>
        <v>1</v>
      </c>
      <c r="X35" s="39">
        <f t="shared" si="27"/>
        <v>3</v>
      </c>
      <c r="Y35" s="39">
        <f t="shared" si="27"/>
        <v>34</v>
      </c>
      <c r="Z35" s="39">
        <f t="shared" si="27"/>
        <v>19</v>
      </c>
      <c r="AA35" s="39">
        <f t="shared" si="27"/>
        <v>10</v>
      </c>
      <c r="AB35" s="39">
        <f t="shared" si="27"/>
        <v>7</v>
      </c>
      <c r="AC35" s="39">
        <f t="shared" si="27"/>
        <v>68</v>
      </c>
      <c r="AD35" s="39">
        <f t="shared" si="27"/>
        <v>0</v>
      </c>
      <c r="AE35" s="40">
        <f t="shared" si="27"/>
        <v>241</v>
      </c>
      <c r="AF35" s="40">
        <f t="shared" si="27"/>
        <v>309</v>
      </c>
    </row>
    <row r="36" spans="2:32" ht="23.1" customHeight="1" x14ac:dyDescent="0.25">
      <c r="B36" s="46" t="s">
        <v>63</v>
      </c>
      <c r="C36" s="50">
        <v>10</v>
      </c>
      <c r="D36" s="50">
        <v>4</v>
      </c>
      <c r="E36" s="50">
        <v>2</v>
      </c>
      <c r="F36" s="50">
        <v>10</v>
      </c>
      <c r="G36" s="50">
        <v>0</v>
      </c>
      <c r="H36" s="50">
        <v>2</v>
      </c>
      <c r="I36" s="50">
        <v>11</v>
      </c>
      <c r="J36" s="50">
        <v>3</v>
      </c>
      <c r="K36" s="50">
        <v>2</v>
      </c>
      <c r="L36" s="50">
        <v>0</v>
      </c>
      <c r="M36" s="50">
        <v>13</v>
      </c>
      <c r="N36" s="50">
        <v>0</v>
      </c>
      <c r="O36" s="15">
        <f t="shared" si="0"/>
        <v>44</v>
      </c>
      <c r="P36" s="15">
        <f t="shared" si="1"/>
        <v>57</v>
      </c>
      <c r="R36" s="38" t="s">
        <v>92</v>
      </c>
      <c r="S36" s="39">
        <f t="shared" ref="S36:AF36" si="28">MAX(S19:S21)</f>
        <v>69</v>
      </c>
      <c r="T36" s="39">
        <f t="shared" si="28"/>
        <v>18</v>
      </c>
      <c r="U36" s="39">
        <f t="shared" si="28"/>
        <v>17</v>
      </c>
      <c r="V36" s="39">
        <f t="shared" si="28"/>
        <v>67</v>
      </c>
      <c r="W36" s="39">
        <f t="shared" si="28"/>
        <v>1</v>
      </c>
      <c r="X36" s="39">
        <f t="shared" si="28"/>
        <v>2</v>
      </c>
      <c r="Y36" s="39">
        <f t="shared" si="28"/>
        <v>26</v>
      </c>
      <c r="Z36" s="39">
        <f t="shared" si="28"/>
        <v>15</v>
      </c>
      <c r="AA36" s="39">
        <f t="shared" si="28"/>
        <v>4</v>
      </c>
      <c r="AB36" s="39">
        <f t="shared" si="28"/>
        <v>7</v>
      </c>
      <c r="AC36" s="39">
        <f t="shared" si="28"/>
        <v>41</v>
      </c>
      <c r="AD36" s="39">
        <f t="shared" si="28"/>
        <v>3</v>
      </c>
      <c r="AE36" s="40">
        <f t="shared" si="28"/>
        <v>204</v>
      </c>
      <c r="AF36" s="40">
        <f t="shared" si="28"/>
        <v>239</v>
      </c>
    </row>
    <row r="37" spans="2:32" ht="23.1" customHeight="1" x14ac:dyDescent="0.25">
      <c r="B37" s="45" t="s">
        <v>64</v>
      </c>
      <c r="C37" s="50">
        <v>16</v>
      </c>
      <c r="D37" s="50">
        <v>3</v>
      </c>
      <c r="E37" s="50">
        <v>6</v>
      </c>
      <c r="F37" s="50">
        <v>12</v>
      </c>
      <c r="G37" s="50">
        <v>0</v>
      </c>
      <c r="H37" s="50">
        <v>0</v>
      </c>
      <c r="I37" s="50">
        <v>6</v>
      </c>
      <c r="J37" s="50">
        <v>3</v>
      </c>
      <c r="K37" s="50">
        <v>3</v>
      </c>
      <c r="L37" s="50">
        <v>1</v>
      </c>
      <c r="M37" s="50">
        <v>5</v>
      </c>
      <c r="N37" s="50">
        <v>0</v>
      </c>
      <c r="O37" s="15">
        <f t="shared" si="0"/>
        <v>50</v>
      </c>
      <c r="P37" s="15">
        <f t="shared" si="1"/>
        <v>55</v>
      </c>
      <c r="R37" s="37" t="s">
        <v>85</v>
      </c>
      <c r="S37" s="35">
        <f t="shared" ref="S37:AF37" si="29">SUM(S10:S12)</f>
        <v>170</v>
      </c>
      <c r="T37" s="16">
        <f t="shared" si="29"/>
        <v>59</v>
      </c>
      <c r="U37" s="16">
        <f t="shared" si="29"/>
        <v>39</v>
      </c>
      <c r="V37" s="16">
        <f t="shared" si="29"/>
        <v>155</v>
      </c>
      <c r="W37" s="16">
        <f t="shared" si="29"/>
        <v>5</v>
      </c>
      <c r="X37" s="16">
        <f t="shared" si="29"/>
        <v>3</v>
      </c>
      <c r="Y37" s="16">
        <f t="shared" si="29"/>
        <v>50</v>
      </c>
      <c r="Z37" s="16">
        <f t="shared" si="29"/>
        <v>31</v>
      </c>
      <c r="AA37" s="16">
        <f t="shared" si="29"/>
        <v>11</v>
      </c>
      <c r="AB37" s="16">
        <f t="shared" si="29"/>
        <v>3</v>
      </c>
      <c r="AC37" s="16">
        <f t="shared" si="29"/>
        <v>149</v>
      </c>
      <c r="AD37" s="16">
        <f t="shared" si="29"/>
        <v>0</v>
      </c>
      <c r="AE37" s="32">
        <f t="shared" si="29"/>
        <v>526</v>
      </c>
      <c r="AF37" s="32">
        <f t="shared" si="29"/>
        <v>675</v>
      </c>
    </row>
    <row r="38" spans="2:32" ht="23.1" customHeight="1" x14ac:dyDescent="0.25">
      <c r="B38" s="46" t="s">
        <v>65</v>
      </c>
      <c r="C38" s="50">
        <v>16</v>
      </c>
      <c r="D38" s="50">
        <v>1</v>
      </c>
      <c r="E38" s="50">
        <v>4</v>
      </c>
      <c r="F38" s="50">
        <v>15</v>
      </c>
      <c r="G38" s="50">
        <v>0</v>
      </c>
      <c r="H38" s="50">
        <v>1</v>
      </c>
      <c r="I38" s="50">
        <v>3</v>
      </c>
      <c r="J38" s="50">
        <v>4</v>
      </c>
      <c r="K38" s="50">
        <v>2</v>
      </c>
      <c r="L38" s="50">
        <v>3</v>
      </c>
      <c r="M38" s="50">
        <v>13</v>
      </c>
      <c r="N38" s="50">
        <v>0</v>
      </c>
      <c r="O38" s="15">
        <f t="shared" si="0"/>
        <v>49</v>
      </c>
      <c r="P38" s="15">
        <f t="shared" si="1"/>
        <v>62</v>
      </c>
      <c r="R38" s="28" t="s">
        <v>86</v>
      </c>
      <c r="S38" s="16">
        <f t="shared" ref="S38:AF38" si="30">SUM(S13:S18)</f>
        <v>398</v>
      </c>
      <c r="T38" s="16">
        <f t="shared" si="30"/>
        <v>74</v>
      </c>
      <c r="U38" s="16">
        <f t="shared" si="30"/>
        <v>86</v>
      </c>
      <c r="V38" s="16">
        <f t="shared" si="30"/>
        <v>341</v>
      </c>
      <c r="W38" s="16">
        <f t="shared" si="30"/>
        <v>4</v>
      </c>
      <c r="X38" s="16">
        <f t="shared" si="30"/>
        <v>10</v>
      </c>
      <c r="Y38" s="16">
        <f t="shared" si="30"/>
        <v>133</v>
      </c>
      <c r="Z38" s="16">
        <f t="shared" si="30"/>
        <v>84</v>
      </c>
      <c r="AA38" s="16">
        <f t="shared" si="30"/>
        <v>37</v>
      </c>
      <c r="AB38" s="16">
        <f t="shared" si="30"/>
        <v>21</v>
      </c>
      <c r="AC38" s="16">
        <f t="shared" si="30"/>
        <v>289</v>
      </c>
      <c r="AD38" s="16">
        <f t="shared" si="30"/>
        <v>0</v>
      </c>
      <c r="AE38" s="32">
        <f t="shared" si="30"/>
        <v>1188</v>
      </c>
      <c r="AF38" s="32">
        <f t="shared" si="30"/>
        <v>1477</v>
      </c>
    </row>
    <row r="39" spans="2:32" ht="23.1" customHeight="1" x14ac:dyDescent="0.25">
      <c r="B39" s="46" t="s">
        <v>66</v>
      </c>
      <c r="C39" s="50">
        <v>9</v>
      </c>
      <c r="D39" s="50">
        <v>2</v>
      </c>
      <c r="E39" s="50">
        <v>3</v>
      </c>
      <c r="F39" s="50">
        <v>12</v>
      </c>
      <c r="G39" s="50">
        <v>0</v>
      </c>
      <c r="H39" s="50">
        <v>0</v>
      </c>
      <c r="I39" s="50">
        <v>2</v>
      </c>
      <c r="J39" s="50">
        <v>4</v>
      </c>
      <c r="K39" s="50">
        <v>4</v>
      </c>
      <c r="L39" s="50">
        <v>1</v>
      </c>
      <c r="M39" s="50">
        <v>4</v>
      </c>
      <c r="N39" s="50">
        <v>0</v>
      </c>
      <c r="O39" s="15">
        <f t="shared" si="0"/>
        <v>37</v>
      </c>
      <c r="P39" s="15">
        <f t="shared" si="1"/>
        <v>41</v>
      </c>
      <c r="R39" s="29" t="s">
        <v>87</v>
      </c>
      <c r="S39" s="16">
        <f t="shared" ref="S39:AF39" si="31">SUM(S19:S21)</f>
        <v>155</v>
      </c>
      <c r="T39" s="16">
        <f t="shared" si="31"/>
        <v>34</v>
      </c>
      <c r="U39" s="16">
        <f t="shared" si="31"/>
        <v>31</v>
      </c>
      <c r="V39" s="16">
        <f t="shared" si="31"/>
        <v>170</v>
      </c>
      <c r="W39" s="16">
        <f t="shared" si="31"/>
        <v>3</v>
      </c>
      <c r="X39" s="16">
        <f t="shared" si="31"/>
        <v>2</v>
      </c>
      <c r="Y39" s="16">
        <f t="shared" si="31"/>
        <v>62</v>
      </c>
      <c r="Z39" s="16">
        <f t="shared" si="31"/>
        <v>36</v>
      </c>
      <c r="AA39" s="16">
        <f t="shared" si="31"/>
        <v>9</v>
      </c>
      <c r="AB39" s="16">
        <f t="shared" si="31"/>
        <v>10</v>
      </c>
      <c r="AC39" s="16">
        <f t="shared" si="31"/>
        <v>103</v>
      </c>
      <c r="AD39" s="16">
        <f t="shared" si="31"/>
        <v>3</v>
      </c>
      <c r="AE39" s="32">
        <f t="shared" si="31"/>
        <v>515</v>
      </c>
      <c r="AF39" s="32">
        <f t="shared" si="31"/>
        <v>618</v>
      </c>
    </row>
    <row r="40" spans="2:32" ht="23.1" customHeight="1" x14ac:dyDescent="0.25">
      <c r="B40" s="46" t="s">
        <v>67</v>
      </c>
      <c r="C40" s="50">
        <v>14</v>
      </c>
      <c r="D40" s="50">
        <v>4</v>
      </c>
      <c r="E40" s="50">
        <v>3</v>
      </c>
      <c r="F40" s="50">
        <v>15</v>
      </c>
      <c r="G40" s="50">
        <v>0</v>
      </c>
      <c r="H40" s="50">
        <v>0</v>
      </c>
      <c r="I40" s="50">
        <v>7</v>
      </c>
      <c r="J40" s="50">
        <v>2</v>
      </c>
      <c r="K40" s="50">
        <v>2</v>
      </c>
      <c r="L40" s="50">
        <v>0</v>
      </c>
      <c r="M40" s="50">
        <v>0</v>
      </c>
      <c r="N40" s="50">
        <v>0</v>
      </c>
      <c r="O40" s="15">
        <f t="shared" si="0"/>
        <v>47</v>
      </c>
      <c r="P40" s="15">
        <f t="shared" si="1"/>
        <v>47</v>
      </c>
      <c r="R40" s="5" t="s">
        <v>17</v>
      </c>
      <c r="S40" s="16">
        <f t="shared" ref="S40:AF40" si="32">SUM(S10:S21)</f>
        <v>723</v>
      </c>
      <c r="T40" s="16">
        <f t="shared" si="32"/>
        <v>167</v>
      </c>
      <c r="U40" s="16">
        <f t="shared" si="32"/>
        <v>156</v>
      </c>
      <c r="V40" s="16">
        <f t="shared" si="32"/>
        <v>666</v>
      </c>
      <c r="W40" s="16">
        <f t="shared" si="32"/>
        <v>12</v>
      </c>
      <c r="X40" s="16">
        <f t="shared" si="32"/>
        <v>15</v>
      </c>
      <c r="Y40" s="16">
        <f t="shared" si="32"/>
        <v>245</v>
      </c>
      <c r="Z40" s="16">
        <f t="shared" si="32"/>
        <v>151</v>
      </c>
      <c r="AA40" s="16">
        <f t="shared" si="32"/>
        <v>57</v>
      </c>
      <c r="AB40" s="16">
        <f t="shared" si="32"/>
        <v>34</v>
      </c>
      <c r="AC40" s="16">
        <f t="shared" si="32"/>
        <v>541</v>
      </c>
      <c r="AD40" s="16">
        <f t="shared" si="32"/>
        <v>3</v>
      </c>
      <c r="AE40" s="32">
        <f t="shared" si="32"/>
        <v>2229</v>
      </c>
      <c r="AF40" s="32">
        <f t="shared" si="32"/>
        <v>2770</v>
      </c>
    </row>
    <row r="41" spans="2:32" ht="23.1" customHeight="1" x14ac:dyDescent="0.25">
      <c r="B41" s="45" t="s">
        <v>68</v>
      </c>
      <c r="C41" s="50">
        <v>13</v>
      </c>
      <c r="D41" s="50">
        <v>2</v>
      </c>
      <c r="E41" s="50">
        <v>3</v>
      </c>
      <c r="F41" s="50">
        <v>18</v>
      </c>
      <c r="G41" s="50">
        <v>0</v>
      </c>
      <c r="H41" s="50">
        <v>0</v>
      </c>
      <c r="I41" s="50">
        <v>2</v>
      </c>
      <c r="J41" s="50">
        <v>2</v>
      </c>
      <c r="K41" s="50">
        <v>2</v>
      </c>
      <c r="L41" s="50">
        <v>0</v>
      </c>
      <c r="M41" s="50">
        <v>14</v>
      </c>
      <c r="N41" s="50">
        <v>0</v>
      </c>
      <c r="O41" s="15">
        <f t="shared" si="0"/>
        <v>42</v>
      </c>
      <c r="P41" s="15">
        <f t="shared" si="1"/>
        <v>56</v>
      </c>
      <c r="R41" s="5" t="s">
        <v>159</v>
      </c>
      <c r="S41" s="16">
        <f>SUM(S10:S33)</f>
        <v>988</v>
      </c>
      <c r="T41" s="16">
        <f t="shared" ref="T41:AF41" si="33">SUM(T10:T33)</f>
        <v>217</v>
      </c>
      <c r="U41" s="16">
        <f t="shared" si="33"/>
        <v>209</v>
      </c>
      <c r="V41" s="16">
        <f t="shared" si="33"/>
        <v>855</v>
      </c>
      <c r="W41" s="16">
        <f t="shared" si="33"/>
        <v>13</v>
      </c>
      <c r="X41" s="16">
        <f t="shared" si="33"/>
        <v>24</v>
      </c>
      <c r="Y41" s="16">
        <f t="shared" si="33"/>
        <v>367</v>
      </c>
      <c r="Z41" s="16">
        <f t="shared" si="33"/>
        <v>274</v>
      </c>
      <c r="AA41" s="16">
        <f t="shared" si="33"/>
        <v>85</v>
      </c>
      <c r="AB41" s="16">
        <f t="shared" si="33"/>
        <v>65</v>
      </c>
      <c r="AC41" s="16">
        <f t="shared" si="33"/>
        <v>858</v>
      </c>
      <c r="AD41" s="16">
        <f t="shared" si="33"/>
        <v>3</v>
      </c>
      <c r="AE41" s="32">
        <f t="shared" si="33"/>
        <v>3100</v>
      </c>
      <c r="AF41" s="32">
        <f t="shared" si="33"/>
        <v>3958</v>
      </c>
    </row>
    <row r="42" spans="2:32" ht="23.1" customHeight="1" x14ac:dyDescent="0.25">
      <c r="B42" s="46" t="s">
        <v>69</v>
      </c>
      <c r="C42" s="50">
        <v>15</v>
      </c>
      <c r="D42" s="50">
        <v>2</v>
      </c>
      <c r="E42" s="50">
        <v>4</v>
      </c>
      <c r="F42" s="50">
        <v>12</v>
      </c>
      <c r="G42" s="50">
        <v>0</v>
      </c>
      <c r="H42" s="50">
        <v>0</v>
      </c>
      <c r="I42" s="50">
        <v>4</v>
      </c>
      <c r="J42" s="50">
        <v>2</v>
      </c>
      <c r="K42" s="50">
        <v>0</v>
      </c>
      <c r="L42" s="50">
        <v>0</v>
      </c>
      <c r="M42" s="50">
        <v>18</v>
      </c>
      <c r="N42" s="50">
        <v>0</v>
      </c>
      <c r="O42" s="15">
        <f t="shared" si="0"/>
        <v>39</v>
      </c>
      <c r="P42" s="15">
        <f t="shared" si="1"/>
        <v>57</v>
      </c>
      <c r="R42" s="5" t="s">
        <v>160</v>
      </c>
      <c r="S42" s="48">
        <f>S41/S40</f>
        <v>1.3665283540802213</v>
      </c>
      <c r="T42" s="48">
        <f t="shared" ref="T42:AF42" si="34">T41/T40</f>
        <v>1.2994011976047903</v>
      </c>
      <c r="U42" s="48">
        <f t="shared" si="34"/>
        <v>1.3397435897435896</v>
      </c>
      <c r="V42" s="48">
        <f t="shared" si="34"/>
        <v>1.2837837837837838</v>
      </c>
      <c r="W42" s="48">
        <f t="shared" si="34"/>
        <v>1.0833333333333333</v>
      </c>
      <c r="X42" s="48">
        <f t="shared" si="34"/>
        <v>1.6</v>
      </c>
      <c r="Y42" s="48">
        <f t="shared" si="34"/>
        <v>1.4979591836734694</v>
      </c>
      <c r="Z42" s="48">
        <f t="shared" si="34"/>
        <v>1.814569536423841</v>
      </c>
      <c r="AA42" s="48">
        <f t="shared" si="34"/>
        <v>1.4912280701754386</v>
      </c>
      <c r="AB42" s="48">
        <f t="shared" si="34"/>
        <v>1.911764705882353</v>
      </c>
      <c r="AC42" s="48">
        <f t="shared" si="34"/>
        <v>1.5859519408502774</v>
      </c>
      <c r="AD42" s="48">
        <f t="shared" si="34"/>
        <v>1</v>
      </c>
      <c r="AE42" s="48">
        <f t="shared" si="34"/>
        <v>1.3907581875280395</v>
      </c>
      <c r="AF42" s="48">
        <f t="shared" si="34"/>
        <v>1.4288808664259929</v>
      </c>
    </row>
    <row r="43" spans="2:32" ht="23.1" customHeight="1" x14ac:dyDescent="0.25">
      <c r="B43" s="45" t="s">
        <v>70</v>
      </c>
      <c r="C43" s="50">
        <v>12</v>
      </c>
      <c r="D43" s="50">
        <v>4</v>
      </c>
      <c r="E43" s="50">
        <v>2</v>
      </c>
      <c r="F43" s="50">
        <v>13</v>
      </c>
      <c r="G43" s="50">
        <v>0</v>
      </c>
      <c r="H43" s="50">
        <v>1</v>
      </c>
      <c r="I43" s="50">
        <v>9</v>
      </c>
      <c r="J43" s="50">
        <v>4</v>
      </c>
      <c r="K43" s="50">
        <v>1</v>
      </c>
      <c r="L43" s="50">
        <v>0</v>
      </c>
      <c r="M43" s="50">
        <v>10</v>
      </c>
      <c r="N43" s="50">
        <v>0</v>
      </c>
      <c r="O43" s="15">
        <f t="shared" si="0"/>
        <v>46</v>
      </c>
      <c r="P43" s="15">
        <f t="shared" si="1"/>
        <v>56</v>
      </c>
    </row>
    <row r="44" spans="2:32" ht="23.1" customHeight="1" x14ac:dyDescent="0.25">
      <c r="B44" s="47" t="s">
        <v>71</v>
      </c>
      <c r="C44" s="50">
        <v>13</v>
      </c>
      <c r="D44" s="50">
        <v>1</v>
      </c>
      <c r="E44" s="50">
        <v>4</v>
      </c>
      <c r="F44" s="50">
        <v>21</v>
      </c>
      <c r="G44" s="50">
        <v>1</v>
      </c>
      <c r="H44" s="50">
        <v>2</v>
      </c>
      <c r="I44" s="50">
        <v>13</v>
      </c>
      <c r="J44" s="50">
        <v>3</v>
      </c>
      <c r="K44" s="50">
        <v>2</v>
      </c>
      <c r="L44" s="50">
        <v>0</v>
      </c>
      <c r="M44" s="50">
        <v>18</v>
      </c>
      <c r="N44" s="50">
        <v>0</v>
      </c>
      <c r="O44" s="15">
        <f t="shared" si="0"/>
        <v>60</v>
      </c>
      <c r="P44" s="15">
        <f t="shared" si="1"/>
        <v>78</v>
      </c>
    </row>
    <row r="45" spans="2:32" ht="23.1" customHeight="1" x14ac:dyDescent="0.25">
      <c r="B45" s="45" t="s">
        <v>72</v>
      </c>
      <c r="C45" s="50">
        <v>17</v>
      </c>
      <c r="D45" s="50">
        <v>5</v>
      </c>
      <c r="E45" s="50">
        <v>3</v>
      </c>
      <c r="F45" s="50">
        <v>18</v>
      </c>
      <c r="G45" s="50">
        <v>0</v>
      </c>
      <c r="H45" s="50">
        <v>0</v>
      </c>
      <c r="I45" s="50">
        <v>8</v>
      </c>
      <c r="J45" s="50">
        <v>4</v>
      </c>
      <c r="K45" s="50">
        <v>3</v>
      </c>
      <c r="L45" s="50">
        <v>1</v>
      </c>
      <c r="M45" s="50">
        <v>13</v>
      </c>
      <c r="N45" s="50">
        <v>0</v>
      </c>
      <c r="O45" s="15">
        <f t="shared" si="0"/>
        <v>59</v>
      </c>
      <c r="P45" s="15">
        <f t="shared" si="1"/>
        <v>72</v>
      </c>
    </row>
    <row r="46" spans="2:32" ht="23.1" customHeight="1" x14ac:dyDescent="0.25">
      <c r="B46" s="46" t="s">
        <v>73</v>
      </c>
      <c r="C46" s="50">
        <v>7</v>
      </c>
      <c r="D46" s="50">
        <v>2</v>
      </c>
      <c r="E46" s="50">
        <v>4</v>
      </c>
      <c r="F46" s="50">
        <v>6</v>
      </c>
      <c r="G46" s="50">
        <v>1</v>
      </c>
      <c r="H46" s="50">
        <v>0</v>
      </c>
      <c r="I46" s="50">
        <v>7</v>
      </c>
      <c r="J46" s="50">
        <v>2</v>
      </c>
      <c r="K46" s="50">
        <v>0</v>
      </c>
      <c r="L46" s="50">
        <v>1</v>
      </c>
      <c r="M46" s="50">
        <v>9</v>
      </c>
      <c r="N46" s="50">
        <v>0</v>
      </c>
      <c r="O46" s="15">
        <f t="shared" si="0"/>
        <v>30</v>
      </c>
      <c r="P46" s="15">
        <f t="shared" si="1"/>
        <v>39</v>
      </c>
      <c r="R46" s="8"/>
      <c r="T46"/>
    </row>
    <row r="47" spans="2:32" ht="23.1" customHeight="1" x14ac:dyDescent="0.25">
      <c r="B47" s="46" t="s">
        <v>74</v>
      </c>
      <c r="C47" s="50">
        <v>8</v>
      </c>
      <c r="D47" s="50">
        <v>1</v>
      </c>
      <c r="E47" s="50">
        <v>4</v>
      </c>
      <c r="F47" s="50">
        <v>15</v>
      </c>
      <c r="G47" s="50">
        <v>0</v>
      </c>
      <c r="H47" s="50">
        <v>0</v>
      </c>
      <c r="I47" s="50">
        <v>5</v>
      </c>
      <c r="J47" s="50">
        <v>3</v>
      </c>
      <c r="K47" s="50">
        <v>1</v>
      </c>
      <c r="L47" s="50">
        <v>0</v>
      </c>
      <c r="M47" s="50">
        <v>3</v>
      </c>
      <c r="N47" s="50">
        <v>0</v>
      </c>
      <c r="O47" s="15">
        <f t="shared" si="0"/>
        <v>37</v>
      </c>
      <c r="P47" s="15">
        <f t="shared" si="1"/>
        <v>40</v>
      </c>
      <c r="R47" s="8"/>
      <c r="T47"/>
    </row>
    <row r="48" spans="2:32" ht="23.1" customHeight="1" x14ac:dyDescent="0.25">
      <c r="B48" s="46" t="s">
        <v>75</v>
      </c>
      <c r="C48" s="50">
        <v>17</v>
      </c>
      <c r="D48" s="50">
        <v>3</v>
      </c>
      <c r="E48" s="50">
        <v>4</v>
      </c>
      <c r="F48" s="50">
        <v>13</v>
      </c>
      <c r="G48" s="50">
        <v>0</v>
      </c>
      <c r="H48" s="50">
        <v>0</v>
      </c>
      <c r="I48" s="50">
        <v>7</v>
      </c>
      <c r="J48" s="50">
        <v>5</v>
      </c>
      <c r="K48" s="50">
        <v>3</v>
      </c>
      <c r="L48" s="50">
        <v>1</v>
      </c>
      <c r="M48" s="50">
        <v>5</v>
      </c>
      <c r="N48" s="50">
        <v>0</v>
      </c>
      <c r="O48" s="15">
        <f t="shared" si="0"/>
        <v>53</v>
      </c>
      <c r="P48" s="15">
        <f t="shared" si="1"/>
        <v>58</v>
      </c>
      <c r="R48" s="8"/>
      <c r="T48"/>
    </row>
    <row r="49" spans="2:20" ht="23.1" customHeight="1" x14ac:dyDescent="0.25">
      <c r="B49" s="45" t="s">
        <v>76</v>
      </c>
      <c r="C49" s="50">
        <v>23</v>
      </c>
      <c r="D49" s="50">
        <v>2</v>
      </c>
      <c r="E49" s="50">
        <v>5</v>
      </c>
      <c r="F49" s="50">
        <v>8</v>
      </c>
      <c r="G49" s="50">
        <v>0</v>
      </c>
      <c r="H49" s="50">
        <v>0</v>
      </c>
      <c r="I49" s="50">
        <v>7</v>
      </c>
      <c r="J49" s="50">
        <v>3</v>
      </c>
      <c r="K49" s="50">
        <v>0</v>
      </c>
      <c r="L49" s="50">
        <v>5</v>
      </c>
      <c r="M49" s="50">
        <v>10</v>
      </c>
      <c r="N49" s="50">
        <v>0</v>
      </c>
      <c r="O49" s="15">
        <f t="shared" si="0"/>
        <v>53</v>
      </c>
      <c r="P49" s="15">
        <f t="shared" si="1"/>
        <v>63</v>
      </c>
      <c r="R49" s="8"/>
      <c r="T49"/>
    </row>
    <row r="50" spans="2:20" ht="23.1" customHeight="1" x14ac:dyDescent="0.25">
      <c r="B50" s="46" t="s">
        <v>77</v>
      </c>
      <c r="C50" s="50">
        <v>23</v>
      </c>
      <c r="D50" s="50">
        <v>2</v>
      </c>
      <c r="E50" s="50">
        <v>2</v>
      </c>
      <c r="F50" s="50">
        <v>15</v>
      </c>
      <c r="G50" s="50">
        <v>0</v>
      </c>
      <c r="H50" s="50">
        <v>2</v>
      </c>
      <c r="I50" s="50">
        <v>7</v>
      </c>
      <c r="J50" s="50">
        <v>2</v>
      </c>
      <c r="K50" s="50">
        <v>1</v>
      </c>
      <c r="L50" s="50">
        <v>1</v>
      </c>
      <c r="M50" s="50">
        <v>3</v>
      </c>
      <c r="N50" s="50">
        <v>0</v>
      </c>
      <c r="O50" s="15">
        <f t="shared" si="0"/>
        <v>55</v>
      </c>
      <c r="P50" s="15">
        <f t="shared" si="1"/>
        <v>58</v>
      </c>
      <c r="R50" s="8"/>
      <c r="T50"/>
    </row>
    <row r="51" spans="2:20" ht="23.1" customHeight="1" x14ac:dyDescent="0.25">
      <c r="B51" s="46" t="s">
        <v>78</v>
      </c>
      <c r="C51" s="50">
        <v>17</v>
      </c>
      <c r="D51" s="50">
        <v>7</v>
      </c>
      <c r="E51" s="50">
        <v>0</v>
      </c>
      <c r="F51" s="50">
        <v>20</v>
      </c>
      <c r="G51" s="50">
        <v>0</v>
      </c>
      <c r="H51" s="50">
        <v>0</v>
      </c>
      <c r="I51" s="50">
        <v>8</v>
      </c>
      <c r="J51" s="50">
        <v>4</v>
      </c>
      <c r="K51" s="50">
        <v>0</v>
      </c>
      <c r="L51" s="50">
        <v>1</v>
      </c>
      <c r="M51" s="50">
        <v>15</v>
      </c>
      <c r="N51" s="50">
        <v>0</v>
      </c>
      <c r="O51" s="15">
        <f t="shared" si="0"/>
        <v>57</v>
      </c>
      <c r="P51" s="15">
        <f t="shared" si="1"/>
        <v>72</v>
      </c>
      <c r="R51" s="8"/>
      <c r="T51"/>
    </row>
    <row r="52" spans="2:20" ht="23.1" customHeight="1" x14ac:dyDescent="0.25">
      <c r="B52" s="46" t="s">
        <v>79</v>
      </c>
      <c r="C52" s="50">
        <v>16</v>
      </c>
      <c r="D52" s="50">
        <v>8</v>
      </c>
      <c r="E52" s="50">
        <v>2</v>
      </c>
      <c r="F52" s="50">
        <v>19</v>
      </c>
      <c r="G52" s="50">
        <v>1</v>
      </c>
      <c r="H52" s="50">
        <v>0</v>
      </c>
      <c r="I52" s="50">
        <v>4</v>
      </c>
      <c r="J52" s="50">
        <v>2</v>
      </c>
      <c r="K52" s="50">
        <v>0</v>
      </c>
      <c r="L52" s="50">
        <v>0</v>
      </c>
      <c r="M52" s="50">
        <v>7</v>
      </c>
      <c r="N52" s="50">
        <v>0</v>
      </c>
      <c r="O52" s="15">
        <f t="shared" si="0"/>
        <v>52</v>
      </c>
      <c r="P52" s="15">
        <f t="shared" si="1"/>
        <v>59</v>
      </c>
      <c r="R52" s="8"/>
      <c r="T52"/>
    </row>
    <row r="53" spans="2:20" ht="23.1" customHeight="1" x14ac:dyDescent="0.25">
      <c r="B53" s="45" t="s">
        <v>80</v>
      </c>
      <c r="C53" s="50">
        <v>13</v>
      </c>
      <c r="D53" s="50">
        <v>1</v>
      </c>
      <c r="E53" s="50">
        <v>0</v>
      </c>
      <c r="F53" s="50">
        <v>13</v>
      </c>
      <c r="G53" s="50">
        <v>0</v>
      </c>
      <c r="H53" s="50">
        <v>0</v>
      </c>
      <c r="I53" s="50">
        <v>3</v>
      </c>
      <c r="J53" s="50">
        <v>7</v>
      </c>
      <c r="K53" s="50">
        <v>2</v>
      </c>
      <c r="L53" s="50">
        <v>1</v>
      </c>
      <c r="M53" s="50">
        <v>10</v>
      </c>
      <c r="N53" s="50">
        <v>0</v>
      </c>
      <c r="O53" s="15">
        <f t="shared" si="0"/>
        <v>40</v>
      </c>
      <c r="P53" s="15">
        <f t="shared" si="1"/>
        <v>50</v>
      </c>
      <c r="R53" s="8"/>
      <c r="T53"/>
    </row>
    <row r="54" spans="2:20" ht="23.1" customHeight="1" x14ac:dyDescent="0.25">
      <c r="B54" s="45" t="s">
        <v>81</v>
      </c>
      <c r="C54" s="50">
        <v>5</v>
      </c>
      <c r="D54" s="50">
        <v>2</v>
      </c>
      <c r="E54" s="50">
        <v>3</v>
      </c>
      <c r="F54" s="50">
        <v>10</v>
      </c>
      <c r="G54" s="50">
        <v>0</v>
      </c>
      <c r="H54" s="50">
        <v>0</v>
      </c>
      <c r="I54" s="50">
        <v>2</v>
      </c>
      <c r="J54" s="50">
        <v>1</v>
      </c>
      <c r="K54" s="50">
        <v>1</v>
      </c>
      <c r="L54" s="50">
        <v>0</v>
      </c>
      <c r="M54" s="50">
        <v>7</v>
      </c>
      <c r="N54" s="50">
        <v>0</v>
      </c>
      <c r="O54" s="15">
        <f t="shared" si="0"/>
        <v>24</v>
      </c>
      <c r="P54" s="15">
        <f t="shared" si="1"/>
        <v>31</v>
      </c>
      <c r="R54" s="8"/>
      <c r="T54"/>
    </row>
    <row r="55" spans="2:20" ht="23.1" customHeight="1" x14ac:dyDescent="0.25">
      <c r="B55" s="45" t="s">
        <v>82</v>
      </c>
      <c r="C55" s="50">
        <v>12</v>
      </c>
      <c r="D55" s="50">
        <v>1</v>
      </c>
      <c r="E55" s="50">
        <v>2</v>
      </c>
      <c r="F55" s="50">
        <v>26</v>
      </c>
      <c r="G55" s="50">
        <v>0</v>
      </c>
      <c r="H55" s="50">
        <v>0</v>
      </c>
      <c r="I55" s="50">
        <v>5</v>
      </c>
      <c r="J55" s="50">
        <v>3</v>
      </c>
      <c r="K55" s="50">
        <v>0</v>
      </c>
      <c r="L55" s="50">
        <v>0</v>
      </c>
      <c r="M55" s="50">
        <v>11</v>
      </c>
      <c r="N55" s="50">
        <v>3</v>
      </c>
      <c r="O55" s="15">
        <f t="shared" si="0"/>
        <v>52</v>
      </c>
      <c r="P55" s="15">
        <f t="shared" si="1"/>
        <v>63</v>
      </c>
      <c r="R55" s="8"/>
      <c r="T55"/>
    </row>
    <row r="56" spans="2:20" ht="23.1" customHeight="1" x14ac:dyDescent="0.25">
      <c r="B56" s="45" t="s">
        <v>83</v>
      </c>
      <c r="C56" s="50">
        <v>3</v>
      </c>
      <c r="D56" s="50">
        <v>3</v>
      </c>
      <c r="E56" s="50">
        <v>1</v>
      </c>
      <c r="F56" s="50">
        <v>11</v>
      </c>
      <c r="G56" s="50">
        <v>0</v>
      </c>
      <c r="H56" s="50">
        <v>0</v>
      </c>
      <c r="I56" s="50">
        <v>6</v>
      </c>
      <c r="J56" s="50">
        <v>1</v>
      </c>
      <c r="K56" s="50">
        <v>0</v>
      </c>
      <c r="L56" s="50">
        <v>0</v>
      </c>
      <c r="M56" s="50">
        <v>8</v>
      </c>
      <c r="N56" s="50">
        <v>0</v>
      </c>
      <c r="O56" s="15">
        <f t="shared" si="0"/>
        <v>25</v>
      </c>
      <c r="P56" s="15">
        <f t="shared" si="1"/>
        <v>33</v>
      </c>
      <c r="R56" s="8"/>
      <c r="T56"/>
    </row>
    <row r="57" spans="2:20" ht="23.1" customHeight="1" x14ac:dyDescent="0.25">
      <c r="B57" s="45" t="s">
        <v>84</v>
      </c>
      <c r="C57" s="50">
        <v>11</v>
      </c>
      <c r="D57" s="50">
        <v>2</v>
      </c>
      <c r="E57" s="50">
        <v>4</v>
      </c>
      <c r="F57" s="50">
        <v>14</v>
      </c>
      <c r="G57" s="50">
        <v>1</v>
      </c>
      <c r="H57" s="50">
        <v>0</v>
      </c>
      <c r="I57" s="50">
        <v>1</v>
      </c>
      <c r="J57" s="50">
        <v>3</v>
      </c>
      <c r="K57" s="50">
        <v>1</v>
      </c>
      <c r="L57" s="50">
        <v>0</v>
      </c>
      <c r="M57" s="50">
        <v>15</v>
      </c>
      <c r="N57" s="50">
        <v>0</v>
      </c>
      <c r="O57" s="15">
        <f t="shared" si="0"/>
        <v>37</v>
      </c>
      <c r="P57" s="15">
        <f t="shared" si="1"/>
        <v>52</v>
      </c>
      <c r="R57" s="8"/>
      <c r="T57"/>
    </row>
    <row r="58" spans="2:20" ht="23.1" customHeight="1" x14ac:dyDescent="0.25">
      <c r="B58" s="45" t="s">
        <v>99</v>
      </c>
      <c r="C58" s="50">
        <v>25</v>
      </c>
      <c r="D58" s="50">
        <v>3</v>
      </c>
      <c r="E58" s="50">
        <v>3</v>
      </c>
      <c r="F58" s="50">
        <v>15</v>
      </c>
      <c r="G58" s="50">
        <v>0</v>
      </c>
      <c r="H58" s="50">
        <v>1</v>
      </c>
      <c r="I58" s="50">
        <v>8</v>
      </c>
      <c r="J58" s="50">
        <v>7</v>
      </c>
      <c r="K58" s="50">
        <v>1</v>
      </c>
      <c r="L58" s="50">
        <v>5</v>
      </c>
      <c r="M58" s="50">
        <v>32</v>
      </c>
      <c r="N58" s="50">
        <v>0</v>
      </c>
      <c r="O58" s="15">
        <f t="shared" si="0"/>
        <v>68</v>
      </c>
      <c r="P58" s="15">
        <f t="shared" si="1"/>
        <v>100</v>
      </c>
      <c r="R58" s="8"/>
      <c r="T58"/>
    </row>
    <row r="59" spans="2:20" ht="23.1" customHeight="1" x14ac:dyDescent="0.25">
      <c r="B59" s="45" t="s">
        <v>100</v>
      </c>
      <c r="C59" s="50">
        <v>12</v>
      </c>
      <c r="D59" s="50">
        <v>4</v>
      </c>
      <c r="E59" s="50">
        <v>4</v>
      </c>
      <c r="F59" s="50">
        <v>16</v>
      </c>
      <c r="G59" s="50">
        <v>0</v>
      </c>
      <c r="H59" s="50">
        <v>0</v>
      </c>
      <c r="I59" s="50">
        <v>2</v>
      </c>
      <c r="J59" s="50">
        <v>5</v>
      </c>
      <c r="K59" s="50">
        <v>0</v>
      </c>
      <c r="L59" s="50">
        <v>1</v>
      </c>
      <c r="M59" s="50">
        <v>18</v>
      </c>
      <c r="N59" s="50">
        <v>0</v>
      </c>
      <c r="O59" s="15">
        <f t="shared" si="0"/>
        <v>44</v>
      </c>
      <c r="P59" s="15">
        <f t="shared" si="1"/>
        <v>62</v>
      </c>
      <c r="R59" s="8"/>
      <c r="T59"/>
    </row>
    <row r="60" spans="2:20" ht="23.1" customHeight="1" x14ac:dyDescent="0.25">
      <c r="B60" s="45" t="s">
        <v>101</v>
      </c>
      <c r="C60" s="50">
        <v>24</v>
      </c>
      <c r="D60" s="50">
        <v>1</v>
      </c>
      <c r="E60" s="50">
        <v>3</v>
      </c>
      <c r="F60" s="50">
        <v>16</v>
      </c>
      <c r="G60" s="50">
        <v>0</v>
      </c>
      <c r="H60" s="50">
        <v>0</v>
      </c>
      <c r="I60" s="50">
        <v>5</v>
      </c>
      <c r="J60" s="50">
        <v>2</v>
      </c>
      <c r="K60" s="50">
        <v>2</v>
      </c>
      <c r="L60" s="50">
        <v>2</v>
      </c>
      <c r="M60" s="50">
        <v>23</v>
      </c>
      <c r="N60" s="50">
        <v>0</v>
      </c>
      <c r="O60" s="15">
        <f t="shared" si="0"/>
        <v>55</v>
      </c>
      <c r="P60" s="15">
        <f t="shared" si="1"/>
        <v>78</v>
      </c>
      <c r="R60" s="8"/>
      <c r="T60"/>
    </row>
    <row r="61" spans="2:20" ht="23.1" customHeight="1" x14ac:dyDescent="0.25">
      <c r="B61" s="45" t="s">
        <v>102</v>
      </c>
      <c r="C61" s="50">
        <v>12</v>
      </c>
      <c r="D61" s="50">
        <v>1</v>
      </c>
      <c r="E61" s="50">
        <v>1</v>
      </c>
      <c r="F61" s="50">
        <v>12</v>
      </c>
      <c r="G61" s="50">
        <v>0</v>
      </c>
      <c r="H61" s="50">
        <v>0</v>
      </c>
      <c r="I61" s="50">
        <v>1</v>
      </c>
      <c r="J61" s="50">
        <v>8</v>
      </c>
      <c r="K61" s="50">
        <v>2</v>
      </c>
      <c r="L61" s="50">
        <v>0</v>
      </c>
      <c r="M61" s="50">
        <v>20</v>
      </c>
      <c r="N61" s="50">
        <v>0</v>
      </c>
      <c r="O61" s="15">
        <f t="shared" si="0"/>
        <v>37</v>
      </c>
      <c r="P61" s="15">
        <f t="shared" si="1"/>
        <v>57</v>
      </c>
      <c r="R61" s="8"/>
      <c r="T61"/>
    </row>
    <row r="62" spans="2:20" ht="23.1" customHeight="1" x14ac:dyDescent="0.25">
      <c r="B62" s="45" t="s">
        <v>107</v>
      </c>
      <c r="C62" s="50">
        <v>20</v>
      </c>
      <c r="D62" s="50">
        <v>3</v>
      </c>
      <c r="E62" s="50">
        <v>9</v>
      </c>
      <c r="F62" s="50">
        <v>19</v>
      </c>
      <c r="G62" s="50">
        <v>0</v>
      </c>
      <c r="H62" s="50">
        <v>0</v>
      </c>
      <c r="I62" s="50">
        <v>6</v>
      </c>
      <c r="J62" s="50">
        <v>4</v>
      </c>
      <c r="K62" s="50">
        <v>0</v>
      </c>
      <c r="L62" s="50">
        <v>1</v>
      </c>
      <c r="M62" s="50">
        <v>26</v>
      </c>
      <c r="N62" s="50">
        <v>0</v>
      </c>
      <c r="O62" s="15">
        <f t="shared" si="0"/>
        <v>62</v>
      </c>
      <c r="P62" s="15">
        <f t="shared" si="1"/>
        <v>88</v>
      </c>
      <c r="R62" s="8"/>
      <c r="T62"/>
    </row>
    <row r="63" spans="2:20" ht="23.1" customHeight="1" x14ac:dyDescent="0.25">
      <c r="B63" s="45" t="s">
        <v>108</v>
      </c>
      <c r="C63" s="50">
        <v>11</v>
      </c>
      <c r="D63" s="50">
        <v>2</v>
      </c>
      <c r="E63" s="50">
        <v>2</v>
      </c>
      <c r="F63" s="50">
        <v>13</v>
      </c>
      <c r="G63" s="50">
        <v>0</v>
      </c>
      <c r="H63" s="50">
        <v>0</v>
      </c>
      <c r="I63" s="50">
        <v>7</v>
      </c>
      <c r="J63" s="50">
        <v>6</v>
      </c>
      <c r="K63" s="50">
        <v>0</v>
      </c>
      <c r="L63" s="50">
        <v>0</v>
      </c>
      <c r="M63" s="50">
        <v>13</v>
      </c>
      <c r="N63" s="50">
        <v>0</v>
      </c>
      <c r="O63" s="15">
        <f t="shared" si="0"/>
        <v>41</v>
      </c>
      <c r="P63" s="15">
        <f t="shared" si="1"/>
        <v>54</v>
      </c>
      <c r="R63" s="8"/>
      <c r="T63"/>
    </row>
    <row r="64" spans="2:20" ht="23.1" customHeight="1" x14ac:dyDescent="0.25">
      <c r="B64" s="45" t="s">
        <v>109</v>
      </c>
      <c r="C64" s="50">
        <v>18</v>
      </c>
      <c r="D64" s="50">
        <v>6</v>
      </c>
      <c r="E64" s="50">
        <v>0</v>
      </c>
      <c r="F64" s="50">
        <v>22</v>
      </c>
      <c r="G64" s="50">
        <v>0</v>
      </c>
      <c r="H64" s="50">
        <v>0</v>
      </c>
      <c r="I64" s="50">
        <v>5</v>
      </c>
      <c r="J64" s="50">
        <v>2</v>
      </c>
      <c r="K64" s="50">
        <v>0</v>
      </c>
      <c r="L64" s="50">
        <v>0</v>
      </c>
      <c r="M64" s="50">
        <v>17</v>
      </c>
      <c r="N64" s="50">
        <v>0</v>
      </c>
      <c r="O64" s="15">
        <f t="shared" si="0"/>
        <v>53</v>
      </c>
      <c r="P64" s="15">
        <f t="shared" si="1"/>
        <v>70</v>
      </c>
      <c r="R64" s="8"/>
      <c r="T64"/>
    </row>
    <row r="65" spans="2:20" ht="23.1" customHeight="1" x14ac:dyDescent="0.25">
      <c r="B65" s="45" t="s">
        <v>158</v>
      </c>
      <c r="C65" s="50">
        <v>8</v>
      </c>
      <c r="D65" s="50">
        <v>2</v>
      </c>
      <c r="E65" s="50">
        <v>1</v>
      </c>
      <c r="F65" s="50">
        <v>9</v>
      </c>
      <c r="G65" s="50">
        <v>0</v>
      </c>
      <c r="H65" s="50">
        <v>1</v>
      </c>
      <c r="I65" s="50">
        <v>6</v>
      </c>
      <c r="J65" s="50">
        <v>0</v>
      </c>
      <c r="K65" s="50">
        <v>1</v>
      </c>
      <c r="L65" s="50">
        <v>0</v>
      </c>
      <c r="M65" s="50">
        <v>12</v>
      </c>
      <c r="N65" s="50">
        <v>0</v>
      </c>
      <c r="O65" s="15">
        <f t="shared" si="0"/>
        <v>28</v>
      </c>
      <c r="P65" s="15">
        <f t="shared" si="1"/>
        <v>40</v>
      </c>
      <c r="R65" s="8"/>
      <c r="T65"/>
    </row>
    <row r="66" spans="2:20" ht="23.1" customHeight="1" x14ac:dyDescent="0.25">
      <c r="B66" s="45" t="s">
        <v>103</v>
      </c>
      <c r="C66" s="50">
        <v>6</v>
      </c>
      <c r="D66" s="50">
        <v>4</v>
      </c>
      <c r="E66" s="50">
        <v>3</v>
      </c>
      <c r="F66" s="50">
        <v>8</v>
      </c>
      <c r="G66" s="50">
        <v>0</v>
      </c>
      <c r="H66" s="50">
        <v>0</v>
      </c>
      <c r="I66" s="50">
        <v>7</v>
      </c>
      <c r="J66" s="50">
        <v>6</v>
      </c>
      <c r="K66" s="50">
        <v>2</v>
      </c>
      <c r="L66" s="50">
        <v>1</v>
      </c>
      <c r="M66" s="50">
        <v>9</v>
      </c>
      <c r="N66" s="50">
        <v>0</v>
      </c>
      <c r="O66" s="15">
        <f t="shared" si="0"/>
        <v>37</v>
      </c>
      <c r="P66" s="15">
        <f t="shared" si="1"/>
        <v>46</v>
      </c>
      <c r="R66" s="8"/>
      <c r="T66"/>
    </row>
    <row r="67" spans="2:20" ht="23.1" customHeight="1" x14ac:dyDescent="0.25">
      <c r="B67" s="45" t="s">
        <v>104</v>
      </c>
      <c r="C67" s="50">
        <v>11</v>
      </c>
      <c r="D67" s="50">
        <v>0</v>
      </c>
      <c r="E67" s="50">
        <v>1</v>
      </c>
      <c r="F67" s="50">
        <v>9</v>
      </c>
      <c r="G67" s="50">
        <v>0</v>
      </c>
      <c r="H67" s="50">
        <v>0</v>
      </c>
      <c r="I67" s="50">
        <v>5</v>
      </c>
      <c r="J67" s="50">
        <v>4</v>
      </c>
      <c r="K67" s="50">
        <v>0</v>
      </c>
      <c r="L67" s="50">
        <v>6</v>
      </c>
      <c r="M67" s="50">
        <v>12</v>
      </c>
      <c r="N67" s="50">
        <v>0</v>
      </c>
      <c r="O67" s="15">
        <f t="shared" si="0"/>
        <v>36</v>
      </c>
      <c r="P67" s="15">
        <f t="shared" si="1"/>
        <v>48</v>
      </c>
      <c r="R67" s="8"/>
      <c r="T67"/>
    </row>
    <row r="68" spans="2:20" ht="23.1" customHeight="1" x14ac:dyDescent="0.25">
      <c r="B68" s="45" t="s">
        <v>105</v>
      </c>
      <c r="C68" s="50">
        <v>10</v>
      </c>
      <c r="D68" s="50">
        <v>1</v>
      </c>
      <c r="E68" s="50">
        <v>5</v>
      </c>
      <c r="F68" s="50">
        <v>4</v>
      </c>
      <c r="G68" s="50">
        <v>0</v>
      </c>
      <c r="H68" s="50">
        <v>0</v>
      </c>
      <c r="I68" s="50">
        <v>3</v>
      </c>
      <c r="J68" s="50">
        <v>8</v>
      </c>
      <c r="K68" s="50">
        <v>0</v>
      </c>
      <c r="L68" s="50">
        <v>1</v>
      </c>
      <c r="M68" s="50">
        <v>10</v>
      </c>
      <c r="N68" s="50">
        <v>0</v>
      </c>
      <c r="O68" s="15">
        <f t="shared" si="0"/>
        <v>32</v>
      </c>
      <c r="P68" s="15">
        <f t="shared" si="1"/>
        <v>42</v>
      </c>
      <c r="R68" s="8"/>
      <c r="T68"/>
    </row>
    <row r="69" spans="2:20" ht="23.1" customHeight="1" x14ac:dyDescent="0.25">
      <c r="B69" s="45" t="s">
        <v>106</v>
      </c>
      <c r="C69" s="50">
        <v>14</v>
      </c>
      <c r="D69" s="50">
        <v>2</v>
      </c>
      <c r="E69" s="50">
        <v>1</v>
      </c>
      <c r="F69" s="50">
        <v>10</v>
      </c>
      <c r="G69" s="50">
        <v>1</v>
      </c>
      <c r="H69" s="50">
        <v>2</v>
      </c>
      <c r="I69" s="50">
        <v>2</v>
      </c>
      <c r="J69" s="50">
        <v>2</v>
      </c>
      <c r="K69" s="50">
        <v>3</v>
      </c>
      <c r="L69" s="50">
        <v>5</v>
      </c>
      <c r="M69" s="50">
        <v>6</v>
      </c>
      <c r="N69" s="50">
        <v>0</v>
      </c>
      <c r="O69" s="15">
        <f t="shared" si="0"/>
        <v>42</v>
      </c>
      <c r="P69" s="15">
        <f t="shared" si="1"/>
        <v>48</v>
      </c>
      <c r="R69" s="8"/>
      <c r="T69"/>
    </row>
    <row r="70" spans="2:20" ht="23.1" customHeight="1" x14ac:dyDescent="0.25">
      <c r="B70" s="45" t="s">
        <v>110</v>
      </c>
      <c r="C70" s="50">
        <v>13</v>
      </c>
      <c r="D70" s="50">
        <v>2</v>
      </c>
      <c r="E70" s="50">
        <v>4</v>
      </c>
      <c r="F70" s="50">
        <v>7</v>
      </c>
      <c r="G70" s="50">
        <v>0</v>
      </c>
      <c r="H70" s="50">
        <v>0</v>
      </c>
      <c r="I70" s="50">
        <v>4</v>
      </c>
      <c r="J70" s="50">
        <v>7</v>
      </c>
      <c r="K70" s="50">
        <v>1</v>
      </c>
      <c r="L70" s="50">
        <v>0</v>
      </c>
      <c r="M70" s="50">
        <v>7</v>
      </c>
      <c r="N70" s="50">
        <v>0</v>
      </c>
      <c r="O70" s="15">
        <f t="shared" si="0"/>
        <v>38</v>
      </c>
      <c r="P70" s="15">
        <f t="shared" si="1"/>
        <v>45</v>
      </c>
      <c r="R70" s="8"/>
      <c r="T70"/>
    </row>
    <row r="71" spans="2:20" ht="23.1" customHeight="1" x14ac:dyDescent="0.25">
      <c r="B71" s="45" t="s">
        <v>111</v>
      </c>
      <c r="C71" s="50">
        <v>10</v>
      </c>
      <c r="D71" s="50">
        <v>2</v>
      </c>
      <c r="E71" s="50">
        <v>2</v>
      </c>
      <c r="F71" s="50">
        <v>2</v>
      </c>
      <c r="G71" s="50">
        <v>0</v>
      </c>
      <c r="H71" s="50">
        <v>0</v>
      </c>
      <c r="I71" s="50">
        <v>5</v>
      </c>
      <c r="J71" s="50">
        <v>6</v>
      </c>
      <c r="K71" s="50">
        <v>0</v>
      </c>
      <c r="L71" s="50">
        <v>0</v>
      </c>
      <c r="M71" s="50">
        <v>18</v>
      </c>
      <c r="N71" s="50">
        <v>0</v>
      </c>
      <c r="O71" s="15">
        <f t="shared" si="0"/>
        <v>27</v>
      </c>
      <c r="P71" s="15">
        <f t="shared" si="1"/>
        <v>45</v>
      </c>
      <c r="R71" s="8"/>
      <c r="T71"/>
    </row>
    <row r="72" spans="2:20" ht="23.1" customHeight="1" x14ac:dyDescent="0.25">
      <c r="B72" s="45" t="s">
        <v>112</v>
      </c>
      <c r="C72" s="50">
        <v>2</v>
      </c>
      <c r="D72" s="50">
        <v>2</v>
      </c>
      <c r="E72" s="50">
        <v>0</v>
      </c>
      <c r="F72" s="50">
        <v>0</v>
      </c>
      <c r="G72" s="50">
        <v>0</v>
      </c>
      <c r="H72" s="50">
        <v>0</v>
      </c>
      <c r="I72" s="50">
        <v>4</v>
      </c>
      <c r="J72" s="50">
        <v>4</v>
      </c>
      <c r="K72" s="50">
        <v>1</v>
      </c>
      <c r="L72" s="50">
        <v>1</v>
      </c>
      <c r="M72" s="50">
        <v>4</v>
      </c>
      <c r="N72" s="50">
        <v>0</v>
      </c>
      <c r="O72" s="15">
        <f t="shared" si="0"/>
        <v>14</v>
      </c>
      <c r="P72" s="15">
        <f t="shared" si="1"/>
        <v>18</v>
      </c>
      <c r="R72" s="8"/>
      <c r="T72"/>
    </row>
    <row r="73" spans="2:20" ht="23.1" customHeight="1" x14ac:dyDescent="0.25">
      <c r="B73" s="45" t="s">
        <v>113</v>
      </c>
      <c r="C73" s="50">
        <v>5</v>
      </c>
      <c r="D73" s="50">
        <v>0</v>
      </c>
      <c r="E73" s="50">
        <v>1</v>
      </c>
      <c r="F73" s="50">
        <v>3</v>
      </c>
      <c r="G73" s="50">
        <v>0</v>
      </c>
      <c r="H73" s="50">
        <v>1</v>
      </c>
      <c r="I73" s="50">
        <v>6</v>
      </c>
      <c r="J73" s="50">
        <v>1</v>
      </c>
      <c r="K73" s="50">
        <v>3</v>
      </c>
      <c r="L73" s="50">
        <v>0</v>
      </c>
      <c r="M73" s="50">
        <v>8</v>
      </c>
      <c r="N73" s="50">
        <v>0</v>
      </c>
      <c r="O73" s="15">
        <f t="shared" si="0"/>
        <v>20</v>
      </c>
      <c r="P73" s="15">
        <f t="shared" si="1"/>
        <v>28</v>
      </c>
      <c r="R73" s="8"/>
      <c r="T73"/>
    </row>
    <row r="74" spans="2:20" ht="23.1" customHeight="1" x14ac:dyDescent="0.25">
      <c r="B74" s="45" t="s">
        <v>114</v>
      </c>
      <c r="C74" s="50">
        <v>4</v>
      </c>
      <c r="D74" s="50">
        <v>1</v>
      </c>
      <c r="E74" s="50">
        <v>1</v>
      </c>
      <c r="F74" s="50">
        <v>0</v>
      </c>
      <c r="G74" s="50">
        <v>0</v>
      </c>
      <c r="H74" s="50">
        <v>0</v>
      </c>
      <c r="I74" s="50">
        <v>2</v>
      </c>
      <c r="J74" s="50">
        <v>3</v>
      </c>
      <c r="K74" s="50">
        <v>0</v>
      </c>
      <c r="L74" s="50">
        <v>1</v>
      </c>
      <c r="M74" s="50">
        <v>4</v>
      </c>
      <c r="N74" s="50">
        <v>0</v>
      </c>
      <c r="O74" s="15">
        <f t="shared" ref="O74:O105" si="35">SUM(C74:L74,N74)</f>
        <v>12</v>
      </c>
      <c r="P74" s="15">
        <f t="shared" ref="P74:P105" si="36">SUM(C74:N74)</f>
        <v>16</v>
      </c>
      <c r="R74" s="8"/>
      <c r="T74"/>
    </row>
    <row r="75" spans="2:20" ht="23.1" customHeight="1" x14ac:dyDescent="0.25">
      <c r="B75" s="45" t="s">
        <v>115</v>
      </c>
      <c r="C75" s="50">
        <v>6</v>
      </c>
      <c r="D75" s="50">
        <v>2</v>
      </c>
      <c r="E75" s="50">
        <v>2</v>
      </c>
      <c r="F75" s="50">
        <v>5</v>
      </c>
      <c r="G75" s="50">
        <v>0</v>
      </c>
      <c r="H75" s="50">
        <v>0</v>
      </c>
      <c r="I75" s="50">
        <v>3</v>
      </c>
      <c r="J75" s="50">
        <v>6</v>
      </c>
      <c r="K75" s="50">
        <v>2</v>
      </c>
      <c r="L75" s="50">
        <v>0</v>
      </c>
      <c r="M75" s="50">
        <v>6</v>
      </c>
      <c r="N75" s="50">
        <v>0</v>
      </c>
      <c r="O75" s="15">
        <f t="shared" si="35"/>
        <v>26</v>
      </c>
      <c r="P75" s="15">
        <f t="shared" si="36"/>
        <v>32</v>
      </c>
      <c r="R75" s="8"/>
      <c r="T75"/>
    </row>
    <row r="76" spans="2:20" ht="23.1" customHeight="1" x14ac:dyDescent="0.25">
      <c r="B76" s="45" t="s">
        <v>116</v>
      </c>
      <c r="C76" s="50">
        <v>3</v>
      </c>
      <c r="D76" s="50">
        <v>0</v>
      </c>
      <c r="E76" s="50">
        <v>1</v>
      </c>
      <c r="F76" s="50">
        <v>2</v>
      </c>
      <c r="G76" s="50">
        <v>0</v>
      </c>
      <c r="H76" s="50">
        <v>0</v>
      </c>
      <c r="I76" s="50">
        <v>1</v>
      </c>
      <c r="J76" s="50">
        <v>4</v>
      </c>
      <c r="K76" s="50">
        <v>0</v>
      </c>
      <c r="L76" s="50">
        <v>0</v>
      </c>
      <c r="M76" s="50">
        <v>3</v>
      </c>
      <c r="N76" s="50">
        <v>0</v>
      </c>
      <c r="O76" s="15">
        <f t="shared" si="35"/>
        <v>11</v>
      </c>
      <c r="P76" s="15">
        <f t="shared" si="36"/>
        <v>14</v>
      </c>
      <c r="R76" s="8"/>
      <c r="T76"/>
    </row>
    <row r="77" spans="2:20" ht="23.1" customHeight="1" x14ac:dyDescent="0.25">
      <c r="B77" s="45" t="s">
        <v>117</v>
      </c>
      <c r="C77" s="50">
        <v>2</v>
      </c>
      <c r="D77" s="50">
        <v>0</v>
      </c>
      <c r="E77" s="50">
        <v>0</v>
      </c>
      <c r="F77" s="50">
        <v>1</v>
      </c>
      <c r="G77" s="50">
        <v>0</v>
      </c>
      <c r="H77" s="50">
        <v>0</v>
      </c>
      <c r="I77" s="50">
        <v>2</v>
      </c>
      <c r="J77" s="50">
        <v>6</v>
      </c>
      <c r="K77" s="50">
        <v>2</v>
      </c>
      <c r="L77" s="50">
        <v>0</v>
      </c>
      <c r="M77" s="50">
        <v>1</v>
      </c>
      <c r="N77" s="50">
        <v>0</v>
      </c>
      <c r="O77" s="15">
        <f t="shared" si="35"/>
        <v>13</v>
      </c>
      <c r="P77" s="15">
        <f t="shared" si="36"/>
        <v>14</v>
      </c>
      <c r="R77" s="8"/>
      <c r="T77"/>
    </row>
    <row r="78" spans="2:20" ht="23.1" customHeight="1" x14ac:dyDescent="0.25">
      <c r="B78" s="46" t="s">
        <v>118</v>
      </c>
      <c r="C78" s="50">
        <v>3</v>
      </c>
      <c r="D78" s="50">
        <v>1</v>
      </c>
      <c r="E78" s="50">
        <v>0</v>
      </c>
      <c r="F78" s="50">
        <v>0</v>
      </c>
      <c r="G78" s="50">
        <v>0</v>
      </c>
      <c r="H78" s="50">
        <v>0</v>
      </c>
      <c r="I78" s="50">
        <v>5</v>
      </c>
      <c r="J78" s="50">
        <v>5</v>
      </c>
      <c r="K78" s="50">
        <v>0</v>
      </c>
      <c r="L78" s="50">
        <v>1</v>
      </c>
      <c r="M78" s="50">
        <v>4</v>
      </c>
      <c r="N78" s="50">
        <v>0</v>
      </c>
      <c r="O78" s="15">
        <f t="shared" si="35"/>
        <v>15</v>
      </c>
      <c r="P78" s="15">
        <f t="shared" si="36"/>
        <v>19</v>
      </c>
      <c r="R78" s="8"/>
      <c r="T78"/>
    </row>
    <row r="79" spans="2:20" ht="23.1" customHeight="1" x14ac:dyDescent="0.25">
      <c r="B79" s="45" t="s">
        <v>119</v>
      </c>
      <c r="C79" s="50">
        <v>2</v>
      </c>
      <c r="D79" s="50">
        <v>0</v>
      </c>
      <c r="E79" s="50">
        <v>2</v>
      </c>
      <c r="F79" s="50">
        <v>0</v>
      </c>
      <c r="G79" s="50">
        <v>0</v>
      </c>
      <c r="H79" s="50">
        <v>0</v>
      </c>
      <c r="I79" s="50">
        <v>9</v>
      </c>
      <c r="J79" s="50">
        <v>3</v>
      </c>
      <c r="K79" s="50">
        <v>1</v>
      </c>
      <c r="L79" s="50">
        <v>0</v>
      </c>
      <c r="M79" s="50">
        <v>1</v>
      </c>
      <c r="N79" s="50">
        <v>0</v>
      </c>
      <c r="O79" s="15">
        <f t="shared" si="35"/>
        <v>17</v>
      </c>
      <c r="P79" s="15">
        <f t="shared" si="36"/>
        <v>18</v>
      </c>
      <c r="R79" s="8"/>
      <c r="T79"/>
    </row>
    <row r="80" spans="2:20" ht="23.1" customHeight="1" x14ac:dyDescent="0.25">
      <c r="B80" s="47" t="s">
        <v>120</v>
      </c>
      <c r="C80" s="50">
        <v>2</v>
      </c>
      <c r="D80" s="50">
        <v>1</v>
      </c>
      <c r="E80" s="50">
        <v>2</v>
      </c>
      <c r="F80" s="50">
        <v>0</v>
      </c>
      <c r="G80" s="50">
        <v>0</v>
      </c>
      <c r="H80" s="50">
        <v>0</v>
      </c>
      <c r="I80" s="50">
        <v>5</v>
      </c>
      <c r="J80" s="50">
        <v>4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14</v>
      </c>
      <c r="P80" s="15">
        <f t="shared" si="36"/>
        <v>15</v>
      </c>
      <c r="R80" s="8"/>
      <c r="T80"/>
    </row>
    <row r="81" spans="2:20" ht="23.1" customHeight="1" x14ac:dyDescent="0.25">
      <c r="B81" s="45" t="s">
        <v>121</v>
      </c>
      <c r="C81" s="50">
        <v>3</v>
      </c>
      <c r="D81" s="50">
        <v>0</v>
      </c>
      <c r="E81" s="50">
        <v>1</v>
      </c>
      <c r="F81" s="50">
        <v>1</v>
      </c>
      <c r="G81" s="50">
        <v>0</v>
      </c>
      <c r="H81" s="50">
        <v>1</v>
      </c>
      <c r="I81" s="50">
        <v>2</v>
      </c>
      <c r="J81" s="50">
        <v>3</v>
      </c>
      <c r="K81" s="50">
        <v>2</v>
      </c>
      <c r="L81" s="50">
        <v>2</v>
      </c>
      <c r="M81" s="50">
        <v>3</v>
      </c>
      <c r="N81" s="50">
        <v>0</v>
      </c>
      <c r="O81" s="15">
        <f t="shared" si="35"/>
        <v>15</v>
      </c>
      <c r="P81" s="15">
        <f t="shared" si="36"/>
        <v>18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1</v>
      </c>
      <c r="E82" s="50">
        <v>0</v>
      </c>
      <c r="F82" s="50">
        <v>2</v>
      </c>
      <c r="G82" s="50">
        <v>0</v>
      </c>
      <c r="H82" s="50">
        <v>0</v>
      </c>
      <c r="I82" s="50">
        <v>2</v>
      </c>
      <c r="J82" s="50">
        <v>4</v>
      </c>
      <c r="K82" s="50">
        <v>1</v>
      </c>
      <c r="L82" s="50">
        <v>0</v>
      </c>
      <c r="M82" s="50">
        <v>1</v>
      </c>
      <c r="N82" s="50">
        <v>0</v>
      </c>
      <c r="O82" s="15">
        <f t="shared" si="35"/>
        <v>10</v>
      </c>
      <c r="P82" s="15">
        <f t="shared" si="36"/>
        <v>11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2</v>
      </c>
      <c r="N83" s="50">
        <v>0</v>
      </c>
      <c r="O83" s="15">
        <f t="shared" si="35"/>
        <v>2</v>
      </c>
      <c r="P83" s="15">
        <f t="shared" si="36"/>
        <v>4</v>
      </c>
      <c r="R83" s="8"/>
      <c r="T83"/>
    </row>
    <row r="84" spans="2:20" ht="23.1" customHeight="1" x14ac:dyDescent="0.25">
      <c r="B84" s="47" t="s">
        <v>124</v>
      </c>
      <c r="C84" s="50">
        <v>1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4</v>
      </c>
      <c r="N84" s="50">
        <v>0</v>
      </c>
      <c r="O84" s="15">
        <f t="shared" si="35"/>
        <v>1</v>
      </c>
      <c r="P84" s="15">
        <f t="shared" si="36"/>
        <v>5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1</v>
      </c>
      <c r="I85" s="50">
        <v>0</v>
      </c>
      <c r="J85" s="50">
        <v>2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3</v>
      </c>
      <c r="P85" s="15">
        <f t="shared" si="36"/>
        <v>3</v>
      </c>
      <c r="R85" s="8"/>
      <c r="T85"/>
    </row>
    <row r="86" spans="2:20" ht="23.1" customHeight="1" x14ac:dyDescent="0.25">
      <c r="B86" s="46" t="s">
        <v>126</v>
      </c>
      <c r="C86" s="50">
        <v>3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1</v>
      </c>
      <c r="L86" s="50">
        <v>0</v>
      </c>
      <c r="M86" s="50">
        <v>2</v>
      </c>
      <c r="N86" s="50">
        <v>0</v>
      </c>
      <c r="O86" s="15">
        <f t="shared" si="35"/>
        <v>4</v>
      </c>
      <c r="P86" s="15">
        <f t="shared" si="36"/>
        <v>6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</v>
      </c>
      <c r="N87" s="50">
        <v>0</v>
      </c>
      <c r="O87" s="15">
        <f t="shared" si="35"/>
        <v>1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2</v>
      </c>
      <c r="K88" s="50">
        <v>0</v>
      </c>
      <c r="L88" s="50">
        <v>0</v>
      </c>
      <c r="M88" s="50">
        <v>3</v>
      </c>
      <c r="N88" s="50">
        <v>0</v>
      </c>
      <c r="O88" s="15">
        <f t="shared" si="35"/>
        <v>2</v>
      </c>
      <c r="P88" s="15">
        <f t="shared" si="36"/>
        <v>5</v>
      </c>
      <c r="R88" s="8"/>
      <c r="T88"/>
    </row>
    <row r="89" spans="2:20" ht="23.1" customHeight="1" x14ac:dyDescent="0.25">
      <c r="B89" s="45" t="s">
        <v>129</v>
      </c>
      <c r="C89" s="50">
        <v>2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2</v>
      </c>
      <c r="J89" s="50">
        <v>0</v>
      </c>
      <c r="K89" s="50">
        <v>0</v>
      </c>
      <c r="L89" s="50">
        <v>0</v>
      </c>
      <c r="M89" s="50">
        <v>5</v>
      </c>
      <c r="N89" s="50">
        <v>0</v>
      </c>
      <c r="O89" s="15">
        <f t="shared" si="35"/>
        <v>5</v>
      </c>
      <c r="P89" s="15">
        <f t="shared" si="36"/>
        <v>10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2</v>
      </c>
      <c r="E90" s="50">
        <v>1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1</v>
      </c>
      <c r="L90" s="50">
        <v>0</v>
      </c>
      <c r="M90" s="50">
        <v>1</v>
      </c>
      <c r="N90" s="50">
        <v>0</v>
      </c>
      <c r="O90" s="15">
        <f t="shared" si="35"/>
        <v>4</v>
      </c>
      <c r="P90" s="15">
        <f t="shared" si="36"/>
        <v>5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1</v>
      </c>
      <c r="G91" s="50">
        <v>0</v>
      </c>
      <c r="H91" s="50">
        <v>0</v>
      </c>
      <c r="I91" s="50">
        <v>2</v>
      </c>
      <c r="J91" s="50">
        <v>0</v>
      </c>
      <c r="K91" s="50">
        <v>0</v>
      </c>
      <c r="L91" s="50">
        <v>0</v>
      </c>
      <c r="M91" s="50">
        <v>2</v>
      </c>
      <c r="N91" s="50">
        <v>0</v>
      </c>
      <c r="O91" s="15">
        <f t="shared" si="35"/>
        <v>4</v>
      </c>
      <c r="P91" s="15">
        <f t="shared" si="36"/>
        <v>6</v>
      </c>
      <c r="R91" s="8"/>
      <c r="T91"/>
    </row>
    <row r="92" spans="2:20" ht="23.1" customHeight="1" x14ac:dyDescent="0.25">
      <c r="B92" s="47" t="s">
        <v>132</v>
      </c>
      <c r="C92" s="50">
        <v>3</v>
      </c>
      <c r="D92" s="50">
        <v>0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1</v>
      </c>
      <c r="M92" s="50">
        <v>0</v>
      </c>
      <c r="N92" s="50">
        <v>0</v>
      </c>
      <c r="O92" s="15">
        <f t="shared" si="35"/>
        <v>6</v>
      </c>
      <c r="P92" s="15">
        <f t="shared" si="36"/>
        <v>6</v>
      </c>
      <c r="R92" s="8"/>
      <c r="T92"/>
    </row>
    <row r="93" spans="2:20" ht="23.1" customHeight="1" x14ac:dyDescent="0.25">
      <c r="B93" s="45" t="s">
        <v>133</v>
      </c>
      <c r="C93" s="50">
        <v>3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1</v>
      </c>
      <c r="K93" s="50">
        <v>0</v>
      </c>
      <c r="L93" s="50">
        <v>1</v>
      </c>
      <c r="M93" s="50">
        <v>1</v>
      </c>
      <c r="N93" s="50">
        <v>0</v>
      </c>
      <c r="O93" s="15">
        <f t="shared" si="35"/>
        <v>5</v>
      </c>
      <c r="P93" s="15">
        <f t="shared" si="36"/>
        <v>6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2</v>
      </c>
      <c r="K94" s="50">
        <v>0</v>
      </c>
      <c r="L94" s="50">
        <v>0</v>
      </c>
      <c r="M94" s="50">
        <v>2</v>
      </c>
      <c r="N94" s="50">
        <v>0</v>
      </c>
      <c r="O94" s="15">
        <f t="shared" si="35"/>
        <v>3</v>
      </c>
      <c r="P94" s="15">
        <f t="shared" si="36"/>
        <v>5</v>
      </c>
      <c r="R94" s="8"/>
      <c r="T94"/>
    </row>
    <row r="95" spans="2:20" ht="23.1" customHeight="1" x14ac:dyDescent="0.25">
      <c r="B95" s="45" t="s">
        <v>135</v>
      </c>
      <c r="C95" s="50">
        <v>2</v>
      </c>
      <c r="D95" s="50">
        <v>3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5</v>
      </c>
      <c r="P95" s="15">
        <f t="shared" si="36"/>
        <v>6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1</v>
      </c>
      <c r="K96" s="50">
        <v>0</v>
      </c>
      <c r="L96" s="50">
        <v>0</v>
      </c>
      <c r="M96" s="50">
        <v>3</v>
      </c>
      <c r="N96" s="50">
        <v>0</v>
      </c>
      <c r="O96" s="15">
        <f t="shared" si="35"/>
        <v>4</v>
      </c>
      <c r="P96" s="15">
        <f t="shared" si="36"/>
        <v>7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</v>
      </c>
      <c r="N97" s="50">
        <v>0</v>
      </c>
      <c r="O97" s="15">
        <f t="shared" si="35"/>
        <v>4</v>
      </c>
      <c r="P97" s="15">
        <f t="shared" si="36"/>
        <v>5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1</v>
      </c>
      <c r="M98" s="50">
        <v>1</v>
      </c>
      <c r="N98" s="50">
        <v>0</v>
      </c>
      <c r="O98" s="15">
        <f t="shared" si="35"/>
        <v>4</v>
      </c>
      <c r="P98" s="15">
        <f t="shared" si="36"/>
        <v>5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2</v>
      </c>
      <c r="K99" s="50">
        <v>1</v>
      </c>
      <c r="L99" s="50">
        <v>0</v>
      </c>
      <c r="M99" s="50">
        <v>2</v>
      </c>
      <c r="N99" s="50">
        <v>0</v>
      </c>
      <c r="O99" s="15">
        <f t="shared" si="35"/>
        <v>5</v>
      </c>
      <c r="P99" s="15">
        <f t="shared" si="36"/>
        <v>7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3</v>
      </c>
      <c r="E100" s="50">
        <v>0</v>
      </c>
      <c r="F100" s="50">
        <v>2</v>
      </c>
      <c r="G100" s="50">
        <v>0</v>
      </c>
      <c r="H100" s="50">
        <v>0</v>
      </c>
      <c r="I100" s="50">
        <v>0</v>
      </c>
      <c r="J100" s="50">
        <v>1</v>
      </c>
      <c r="K100" s="50">
        <v>0</v>
      </c>
      <c r="L100" s="50">
        <v>0</v>
      </c>
      <c r="M100" s="50">
        <v>10</v>
      </c>
      <c r="N100" s="50">
        <v>0</v>
      </c>
      <c r="O100" s="15">
        <f t="shared" si="35"/>
        <v>6</v>
      </c>
      <c r="P100" s="15">
        <f t="shared" si="36"/>
        <v>16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0</v>
      </c>
      <c r="F101" s="50">
        <v>0</v>
      </c>
      <c r="G101" s="50">
        <v>0</v>
      </c>
      <c r="H101" s="50">
        <v>1</v>
      </c>
      <c r="I101" s="50">
        <v>0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2</v>
      </c>
      <c r="P101" s="15">
        <f t="shared" si="36"/>
        <v>3</v>
      </c>
      <c r="R101" s="8"/>
      <c r="T101"/>
    </row>
    <row r="102" spans="2:20" ht="23.1" customHeight="1" x14ac:dyDescent="0.25">
      <c r="B102" s="46" t="s">
        <v>142</v>
      </c>
      <c r="C102" s="50">
        <v>2</v>
      </c>
      <c r="D102" s="50">
        <v>0</v>
      </c>
      <c r="E102" s="50">
        <v>0</v>
      </c>
      <c r="F102" s="50">
        <v>3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2</v>
      </c>
      <c r="N102" s="50">
        <v>0</v>
      </c>
      <c r="O102" s="15">
        <f t="shared" si="35"/>
        <v>6</v>
      </c>
      <c r="P102" s="15">
        <f t="shared" si="36"/>
        <v>8</v>
      </c>
      <c r="R102" s="8"/>
      <c r="T102"/>
    </row>
    <row r="103" spans="2:20" ht="23.1" customHeight="1" x14ac:dyDescent="0.25">
      <c r="B103" s="45" t="s">
        <v>143</v>
      </c>
      <c r="C103" s="50">
        <v>3</v>
      </c>
      <c r="D103" s="50">
        <v>0</v>
      </c>
      <c r="E103" s="50">
        <v>0</v>
      </c>
      <c r="F103" s="50">
        <v>4</v>
      </c>
      <c r="G103" s="50">
        <v>0</v>
      </c>
      <c r="H103" s="50">
        <v>0</v>
      </c>
      <c r="I103" s="50">
        <v>5</v>
      </c>
      <c r="J103" s="50">
        <v>1</v>
      </c>
      <c r="K103" s="50">
        <v>1</v>
      </c>
      <c r="L103" s="50">
        <v>0</v>
      </c>
      <c r="M103" s="50">
        <v>9</v>
      </c>
      <c r="N103" s="50">
        <v>0</v>
      </c>
      <c r="O103" s="15">
        <f t="shared" si="35"/>
        <v>14</v>
      </c>
      <c r="P103" s="15">
        <f t="shared" si="36"/>
        <v>23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1</v>
      </c>
      <c r="E104" s="50">
        <v>0</v>
      </c>
      <c r="F104" s="50">
        <v>1</v>
      </c>
      <c r="G104" s="50">
        <v>0</v>
      </c>
      <c r="H104" s="50">
        <v>1</v>
      </c>
      <c r="I104" s="50">
        <v>0</v>
      </c>
      <c r="J104" s="50">
        <v>0</v>
      </c>
      <c r="K104" s="50">
        <v>0</v>
      </c>
      <c r="L104" s="50">
        <v>1</v>
      </c>
      <c r="M104" s="50">
        <v>2</v>
      </c>
      <c r="N104" s="50">
        <v>0</v>
      </c>
      <c r="O104" s="15">
        <f t="shared" si="35"/>
        <v>5</v>
      </c>
      <c r="P104" s="15">
        <f t="shared" si="36"/>
        <v>7</v>
      </c>
      <c r="R104" s="8"/>
      <c r="T104"/>
    </row>
    <row r="105" spans="2:20" ht="23.1" customHeight="1" x14ac:dyDescent="0.25">
      <c r="B105" s="45" t="s">
        <v>145</v>
      </c>
      <c r="C105" s="50">
        <v>5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4</v>
      </c>
      <c r="J105" s="50">
        <v>0</v>
      </c>
      <c r="K105" s="50">
        <v>0</v>
      </c>
      <c r="L105" s="50">
        <v>0</v>
      </c>
      <c r="M105" s="50">
        <v>3</v>
      </c>
      <c r="N105" s="50">
        <v>0</v>
      </c>
      <c r="O105" s="15">
        <f t="shared" si="35"/>
        <v>9</v>
      </c>
      <c r="P105" s="15">
        <f t="shared" si="36"/>
        <v>12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988</v>
      </c>
      <c r="D106" s="16">
        <f t="shared" ref="D106:P106" si="37">SUM(D10:D105)</f>
        <v>217</v>
      </c>
      <c r="E106" s="16">
        <f t="shared" si="37"/>
        <v>209</v>
      </c>
      <c r="F106" s="16">
        <f t="shared" si="37"/>
        <v>855</v>
      </c>
      <c r="G106" s="16">
        <f t="shared" si="37"/>
        <v>13</v>
      </c>
      <c r="H106" s="16">
        <f t="shared" si="37"/>
        <v>24</v>
      </c>
      <c r="I106" s="16">
        <f t="shared" si="37"/>
        <v>367</v>
      </c>
      <c r="J106" s="16">
        <f t="shared" si="37"/>
        <v>274</v>
      </c>
      <c r="K106" s="16">
        <f t="shared" si="37"/>
        <v>85</v>
      </c>
      <c r="L106" s="16">
        <f t="shared" si="37"/>
        <v>65</v>
      </c>
      <c r="M106" s="16">
        <f t="shared" si="37"/>
        <v>858</v>
      </c>
      <c r="N106" s="16">
        <f t="shared" si="37"/>
        <v>3</v>
      </c>
      <c r="O106" s="16">
        <f t="shared" si="37"/>
        <v>3100</v>
      </c>
      <c r="P106" s="16">
        <f t="shared" si="37"/>
        <v>3958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0.24962102071753411</v>
      </c>
      <c r="D107" s="43">
        <f t="shared" si="38"/>
        <v>5.4825669530065686E-2</v>
      </c>
      <c r="E107" s="43">
        <f t="shared" si="38"/>
        <v>5.28044466902476E-2</v>
      </c>
      <c r="F107" s="43">
        <f t="shared" si="38"/>
        <v>0.21601819100555836</v>
      </c>
      <c r="G107" s="43">
        <f t="shared" si="38"/>
        <v>3.2844871147043962E-3</v>
      </c>
      <c r="H107" s="43">
        <f t="shared" si="38"/>
        <v>6.0636685194542699E-3</v>
      </c>
      <c r="I107" s="43">
        <f t="shared" si="38"/>
        <v>9.272359777665487E-2</v>
      </c>
      <c r="J107" s="43">
        <f t="shared" si="38"/>
        <v>6.9226882263769579E-2</v>
      </c>
      <c r="K107" s="43">
        <f t="shared" si="38"/>
        <v>2.1475492673067205E-2</v>
      </c>
      <c r="L107" s="43">
        <f t="shared" si="38"/>
        <v>1.6422435573521982E-2</v>
      </c>
      <c r="M107" s="43">
        <f t="shared" si="38"/>
        <v>0.21677614957049016</v>
      </c>
      <c r="N107" s="43">
        <f t="shared" si="38"/>
        <v>7.5795856493178374E-4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0.31870967741935485</v>
      </c>
      <c r="D108" s="44">
        <f t="shared" ref="D108:N108" si="39">D106/$O$106</f>
        <v>7.0000000000000007E-2</v>
      </c>
      <c r="E108" s="44">
        <f t="shared" si="39"/>
        <v>6.7419354838709672E-2</v>
      </c>
      <c r="F108" s="44">
        <f t="shared" si="39"/>
        <v>0.27580645161290324</v>
      </c>
      <c r="G108" s="44">
        <f t="shared" si="39"/>
        <v>4.193548387096774E-3</v>
      </c>
      <c r="H108" s="44">
        <f t="shared" si="39"/>
        <v>7.7419354838709677E-3</v>
      </c>
      <c r="I108" s="44">
        <f t="shared" si="39"/>
        <v>0.11838709677419355</v>
      </c>
      <c r="J108" s="44">
        <f t="shared" si="39"/>
        <v>8.8387096774193555E-2</v>
      </c>
      <c r="K108" s="44">
        <f t="shared" si="39"/>
        <v>2.7419354838709678E-2</v>
      </c>
      <c r="L108" s="44">
        <f t="shared" si="39"/>
        <v>2.0967741935483872E-2</v>
      </c>
      <c r="M108" s="44"/>
      <c r="N108" s="44">
        <f t="shared" si="39"/>
        <v>9.6774193548387097E-4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F126"/>
  <sheetViews>
    <sheetView view="pageBreakPreview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'29.10 Bujuko-Buloba'!C3:G3</f>
        <v>MCC - C2 - STN62 - BUJUKO-BULOBA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66" t="str">
        <f>'29.10 Bujuko-Buloba'!G5:H5</f>
        <v>Buloba Pop Oil</v>
      </c>
      <c r="H5" s="67"/>
      <c r="I5" s="14"/>
      <c r="J5" s="2" t="s">
        <v>5</v>
      </c>
      <c r="K5" s="66" t="s">
        <v>166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'29.10 Bujuko-Buloba'!D6:E6</f>
        <v>Bujuko</v>
      </c>
      <c r="E6" s="67"/>
      <c r="F6" s="2" t="s">
        <v>2</v>
      </c>
      <c r="G6" s="66" t="str">
        <f>'29.10 Bujuko-Buloba'!G6:H6</f>
        <v xml:space="preserve">Buloba </v>
      </c>
      <c r="H6" s="67"/>
      <c r="J6" s="2" t="s">
        <v>21</v>
      </c>
      <c r="K6" s="66" t="str">
        <f>'29.10 Bujuko-Buloba'!K6:L6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</v>
      </c>
      <c r="D10" s="50">
        <v>2</v>
      </c>
      <c r="E10" s="50">
        <v>1</v>
      </c>
      <c r="F10" s="50">
        <v>5</v>
      </c>
      <c r="G10" s="50">
        <v>0</v>
      </c>
      <c r="H10" s="50">
        <v>0</v>
      </c>
      <c r="I10" s="50">
        <v>2</v>
      </c>
      <c r="J10" s="50">
        <v>1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57" si="0">SUM(C10:L10,N10)</f>
        <v>17</v>
      </c>
      <c r="P10" s="15">
        <f t="shared" ref="P10:P57" si="1">SUM(C10:N10)</f>
        <v>25</v>
      </c>
      <c r="R10" s="1" t="s">
        <v>6</v>
      </c>
      <c r="S10" s="17">
        <f t="shared" ref="S10:AF10" si="2">SUM(C10:C13)</f>
        <v>61</v>
      </c>
      <c r="T10" s="17">
        <f t="shared" si="2"/>
        <v>9</v>
      </c>
      <c r="U10" s="17">
        <f t="shared" si="2"/>
        <v>7</v>
      </c>
      <c r="V10" s="17">
        <f t="shared" si="2"/>
        <v>61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7</v>
      </c>
      <c r="AA10" s="17">
        <f t="shared" si="2"/>
        <v>1</v>
      </c>
      <c r="AB10" s="17">
        <f t="shared" si="2"/>
        <v>0</v>
      </c>
      <c r="AC10" s="17">
        <f t="shared" si="2"/>
        <v>53</v>
      </c>
      <c r="AD10" s="17">
        <f t="shared" si="2"/>
        <v>0</v>
      </c>
      <c r="AE10" s="31">
        <f t="shared" si="2"/>
        <v>151</v>
      </c>
      <c r="AF10" s="31">
        <f t="shared" si="2"/>
        <v>204</v>
      </c>
    </row>
    <row r="11" spans="2:32" s="6" customFormat="1" ht="23.1" customHeight="1" x14ac:dyDescent="0.25">
      <c r="B11" s="23" t="s">
        <v>38</v>
      </c>
      <c r="C11" s="50">
        <v>11</v>
      </c>
      <c r="D11" s="50">
        <v>0</v>
      </c>
      <c r="E11" s="50">
        <v>1</v>
      </c>
      <c r="F11" s="50">
        <v>20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34</v>
      </c>
      <c r="P11" s="15">
        <f t="shared" si="1"/>
        <v>41</v>
      </c>
      <c r="R11" s="1" t="s">
        <v>7</v>
      </c>
      <c r="S11" s="17">
        <f t="shared" ref="S11:AF11" si="3">SUM(C14:C17)</f>
        <v>74</v>
      </c>
      <c r="T11" s="17">
        <f t="shared" si="3"/>
        <v>5</v>
      </c>
      <c r="U11" s="17">
        <f t="shared" si="3"/>
        <v>14</v>
      </c>
      <c r="V11" s="17">
        <f t="shared" si="3"/>
        <v>72</v>
      </c>
      <c r="W11" s="17">
        <f t="shared" si="3"/>
        <v>2</v>
      </c>
      <c r="X11" s="17">
        <f t="shared" si="3"/>
        <v>1</v>
      </c>
      <c r="Y11" s="17">
        <f t="shared" si="3"/>
        <v>11</v>
      </c>
      <c r="Z11" s="17">
        <f t="shared" si="3"/>
        <v>9</v>
      </c>
      <c r="AA11" s="17">
        <f t="shared" si="3"/>
        <v>0</v>
      </c>
      <c r="AB11" s="17">
        <f t="shared" si="3"/>
        <v>3</v>
      </c>
      <c r="AC11" s="17">
        <f t="shared" si="3"/>
        <v>99</v>
      </c>
      <c r="AD11" s="17">
        <f t="shared" si="3"/>
        <v>0</v>
      </c>
      <c r="AE11" s="31">
        <f t="shared" si="3"/>
        <v>191</v>
      </c>
      <c r="AF11" s="31">
        <f t="shared" si="3"/>
        <v>290</v>
      </c>
    </row>
    <row r="12" spans="2:32" ht="23.1" customHeight="1" x14ac:dyDescent="0.25">
      <c r="B12" s="23" t="s">
        <v>39</v>
      </c>
      <c r="C12" s="50">
        <v>26</v>
      </c>
      <c r="D12" s="50">
        <v>4</v>
      </c>
      <c r="E12" s="50">
        <v>2</v>
      </c>
      <c r="F12" s="50">
        <v>18</v>
      </c>
      <c r="G12" s="50">
        <v>0</v>
      </c>
      <c r="H12" s="50">
        <v>0</v>
      </c>
      <c r="I12" s="50">
        <v>1</v>
      </c>
      <c r="J12" s="50">
        <v>3</v>
      </c>
      <c r="K12" s="50">
        <v>0</v>
      </c>
      <c r="L12" s="50">
        <v>0</v>
      </c>
      <c r="M12" s="50">
        <v>17</v>
      </c>
      <c r="N12" s="50">
        <v>0</v>
      </c>
      <c r="O12" s="15">
        <f t="shared" si="0"/>
        <v>54</v>
      </c>
      <c r="P12" s="15">
        <f t="shared" si="1"/>
        <v>71</v>
      </c>
      <c r="R12" s="1" t="s">
        <v>8</v>
      </c>
      <c r="S12" s="17">
        <f t="shared" ref="S12:AF12" si="4">SUM(C18:C21)</f>
        <v>80</v>
      </c>
      <c r="T12" s="17">
        <f t="shared" si="4"/>
        <v>8</v>
      </c>
      <c r="U12" s="17">
        <f t="shared" si="4"/>
        <v>15</v>
      </c>
      <c r="V12" s="17">
        <f t="shared" si="4"/>
        <v>83</v>
      </c>
      <c r="W12" s="17">
        <f t="shared" si="4"/>
        <v>0</v>
      </c>
      <c r="X12" s="17">
        <f t="shared" si="4"/>
        <v>0</v>
      </c>
      <c r="Y12" s="17">
        <f t="shared" si="4"/>
        <v>16</v>
      </c>
      <c r="Z12" s="17">
        <f t="shared" si="4"/>
        <v>7</v>
      </c>
      <c r="AA12" s="17">
        <f t="shared" si="4"/>
        <v>2</v>
      </c>
      <c r="AB12" s="17">
        <f t="shared" si="4"/>
        <v>0</v>
      </c>
      <c r="AC12" s="17">
        <f t="shared" si="4"/>
        <v>105</v>
      </c>
      <c r="AD12" s="17">
        <f t="shared" si="4"/>
        <v>0</v>
      </c>
      <c r="AE12" s="31">
        <f t="shared" si="4"/>
        <v>211</v>
      </c>
      <c r="AF12" s="31">
        <f t="shared" si="4"/>
        <v>316</v>
      </c>
    </row>
    <row r="13" spans="2:32" ht="23.1" customHeight="1" x14ac:dyDescent="0.25">
      <c r="B13" s="23" t="s">
        <v>40</v>
      </c>
      <c r="C13" s="50">
        <v>18</v>
      </c>
      <c r="D13" s="50">
        <v>3</v>
      </c>
      <c r="E13" s="50">
        <v>3</v>
      </c>
      <c r="F13" s="50">
        <v>18</v>
      </c>
      <c r="G13" s="50">
        <v>0</v>
      </c>
      <c r="H13" s="50">
        <v>0</v>
      </c>
      <c r="I13" s="50">
        <v>1</v>
      </c>
      <c r="J13" s="50">
        <v>2</v>
      </c>
      <c r="K13" s="50">
        <v>1</v>
      </c>
      <c r="L13" s="50">
        <v>0</v>
      </c>
      <c r="M13" s="50">
        <v>21</v>
      </c>
      <c r="N13" s="50">
        <v>0</v>
      </c>
      <c r="O13" s="15">
        <f t="shared" si="0"/>
        <v>46</v>
      </c>
      <c r="P13" s="15">
        <f t="shared" si="1"/>
        <v>67</v>
      </c>
      <c r="R13" s="1" t="s">
        <v>9</v>
      </c>
      <c r="S13" s="17">
        <f t="shared" ref="S13:AF13" si="5">SUM(C22:C25)</f>
        <v>70</v>
      </c>
      <c r="T13" s="17">
        <f t="shared" si="5"/>
        <v>12</v>
      </c>
      <c r="U13" s="17">
        <f t="shared" si="5"/>
        <v>14</v>
      </c>
      <c r="V13" s="17">
        <f t="shared" si="5"/>
        <v>56</v>
      </c>
      <c r="W13" s="17">
        <f t="shared" si="5"/>
        <v>0</v>
      </c>
      <c r="X13" s="17">
        <f t="shared" si="5"/>
        <v>1</v>
      </c>
      <c r="Y13" s="17">
        <f t="shared" si="5"/>
        <v>6</v>
      </c>
      <c r="Z13" s="17">
        <f t="shared" si="5"/>
        <v>7</v>
      </c>
      <c r="AA13" s="17">
        <f t="shared" si="5"/>
        <v>0</v>
      </c>
      <c r="AB13" s="17">
        <f t="shared" si="5"/>
        <v>2</v>
      </c>
      <c r="AC13" s="17">
        <f t="shared" si="5"/>
        <v>82</v>
      </c>
      <c r="AD13" s="17">
        <f t="shared" si="5"/>
        <v>0</v>
      </c>
      <c r="AE13" s="31">
        <f t="shared" si="5"/>
        <v>168</v>
      </c>
      <c r="AF13" s="31">
        <f t="shared" si="5"/>
        <v>250</v>
      </c>
    </row>
    <row r="14" spans="2:32" ht="23.1" customHeight="1" x14ac:dyDescent="0.25">
      <c r="B14" s="23" t="s">
        <v>41</v>
      </c>
      <c r="C14" s="50">
        <v>14</v>
      </c>
      <c r="D14" s="50">
        <v>0</v>
      </c>
      <c r="E14" s="50">
        <v>2</v>
      </c>
      <c r="F14" s="50">
        <v>12</v>
      </c>
      <c r="G14" s="50">
        <v>0</v>
      </c>
      <c r="H14" s="50">
        <v>0</v>
      </c>
      <c r="I14" s="50">
        <v>1</v>
      </c>
      <c r="J14" s="50">
        <v>2</v>
      </c>
      <c r="K14" s="50">
        <v>0</v>
      </c>
      <c r="L14" s="50">
        <v>1</v>
      </c>
      <c r="M14" s="50">
        <v>27</v>
      </c>
      <c r="N14" s="50">
        <v>0</v>
      </c>
      <c r="O14" s="15">
        <f t="shared" si="0"/>
        <v>32</v>
      </c>
      <c r="P14" s="15">
        <f t="shared" si="1"/>
        <v>59</v>
      </c>
      <c r="R14" s="1" t="s">
        <v>10</v>
      </c>
      <c r="S14" s="17">
        <f t="shared" ref="S14:AF14" si="6">SUM(C26:C29)</f>
        <v>68</v>
      </c>
      <c r="T14" s="17">
        <f t="shared" si="6"/>
        <v>15</v>
      </c>
      <c r="U14" s="17">
        <f t="shared" si="6"/>
        <v>12</v>
      </c>
      <c r="V14" s="17">
        <f t="shared" si="6"/>
        <v>63</v>
      </c>
      <c r="W14" s="17">
        <f t="shared" si="6"/>
        <v>0</v>
      </c>
      <c r="X14" s="17">
        <f t="shared" si="6"/>
        <v>0</v>
      </c>
      <c r="Y14" s="17">
        <f t="shared" si="6"/>
        <v>18</v>
      </c>
      <c r="Z14" s="17">
        <f t="shared" si="6"/>
        <v>10</v>
      </c>
      <c r="AA14" s="17">
        <f t="shared" si="6"/>
        <v>6</v>
      </c>
      <c r="AB14" s="17">
        <f t="shared" si="6"/>
        <v>2</v>
      </c>
      <c r="AC14" s="17">
        <f t="shared" si="6"/>
        <v>87</v>
      </c>
      <c r="AD14" s="17">
        <f t="shared" si="6"/>
        <v>0</v>
      </c>
      <c r="AE14" s="31">
        <f t="shared" si="6"/>
        <v>194</v>
      </c>
      <c r="AF14" s="31">
        <f t="shared" si="6"/>
        <v>281</v>
      </c>
    </row>
    <row r="15" spans="2:32" ht="23.1" customHeight="1" x14ac:dyDescent="0.25">
      <c r="B15" s="23" t="s">
        <v>42</v>
      </c>
      <c r="C15" s="50">
        <v>26</v>
      </c>
      <c r="D15" s="50">
        <v>1</v>
      </c>
      <c r="E15" s="50">
        <v>6</v>
      </c>
      <c r="F15" s="50">
        <v>26</v>
      </c>
      <c r="G15" s="50">
        <v>0</v>
      </c>
      <c r="H15" s="50">
        <v>1</v>
      </c>
      <c r="I15" s="50">
        <v>5</v>
      </c>
      <c r="J15" s="50">
        <v>5</v>
      </c>
      <c r="K15" s="50">
        <v>0</v>
      </c>
      <c r="L15" s="50">
        <v>1</v>
      </c>
      <c r="M15" s="50">
        <v>33</v>
      </c>
      <c r="N15" s="50">
        <v>0</v>
      </c>
      <c r="O15" s="15">
        <f t="shared" si="0"/>
        <v>71</v>
      </c>
      <c r="P15" s="15">
        <f t="shared" si="1"/>
        <v>104</v>
      </c>
      <c r="R15" s="1" t="s">
        <v>11</v>
      </c>
      <c r="S15" s="17">
        <f t="shared" ref="S15:AF15" si="7">SUM(C30:C33)</f>
        <v>58</v>
      </c>
      <c r="T15" s="17">
        <f t="shared" si="7"/>
        <v>13</v>
      </c>
      <c r="U15" s="17">
        <f t="shared" si="7"/>
        <v>13</v>
      </c>
      <c r="V15" s="17">
        <f t="shared" si="7"/>
        <v>58</v>
      </c>
      <c r="W15" s="17">
        <f t="shared" si="7"/>
        <v>2</v>
      </c>
      <c r="X15" s="17">
        <f t="shared" si="7"/>
        <v>1</v>
      </c>
      <c r="Y15" s="17">
        <f t="shared" si="7"/>
        <v>26</v>
      </c>
      <c r="Z15" s="17">
        <f t="shared" si="7"/>
        <v>8</v>
      </c>
      <c r="AA15" s="17">
        <f t="shared" si="7"/>
        <v>2</v>
      </c>
      <c r="AB15" s="17">
        <f t="shared" si="7"/>
        <v>2</v>
      </c>
      <c r="AC15" s="17">
        <f t="shared" si="7"/>
        <v>69</v>
      </c>
      <c r="AD15" s="17">
        <f t="shared" si="7"/>
        <v>0</v>
      </c>
      <c r="AE15" s="31">
        <f t="shared" si="7"/>
        <v>183</v>
      </c>
      <c r="AF15" s="31">
        <f t="shared" si="7"/>
        <v>252</v>
      </c>
    </row>
    <row r="16" spans="2:32" ht="23.1" customHeight="1" x14ac:dyDescent="0.25">
      <c r="B16" s="23" t="s">
        <v>43</v>
      </c>
      <c r="C16" s="50">
        <v>12</v>
      </c>
      <c r="D16" s="50">
        <v>0</v>
      </c>
      <c r="E16" s="50">
        <v>4</v>
      </c>
      <c r="F16" s="50">
        <v>13</v>
      </c>
      <c r="G16" s="50">
        <v>1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24</v>
      </c>
      <c r="N16" s="50">
        <v>0</v>
      </c>
      <c r="O16" s="15">
        <f t="shared" si="0"/>
        <v>33</v>
      </c>
      <c r="P16" s="15">
        <f t="shared" si="1"/>
        <v>57</v>
      </c>
      <c r="R16" s="1" t="s">
        <v>12</v>
      </c>
      <c r="S16" s="17">
        <f t="shared" ref="S16:AF16" si="8">SUM(C34:C37)</f>
        <v>82</v>
      </c>
      <c r="T16" s="17">
        <f t="shared" si="8"/>
        <v>15</v>
      </c>
      <c r="U16" s="17">
        <f t="shared" si="8"/>
        <v>15</v>
      </c>
      <c r="V16" s="17">
        <f t="shared" si="8"/>
        <v>50</v>
      </c>
      <c r="W16" s="17">
        <f t="shared" si="8"/>
        <v>0</v>
      </c>
      <c r="X16" s="17">
        <f t="shared" si="8"/>
        <v>2</v>
      </c>
      <c r="Y16" s="17">
        <f t="shared" si="8"/>
        <v>19</v>
      </c>
      <c r="Z16" s="17">
        <f t="shared" si="8"/>
        <v>3</v>
      </c>
      <c r="AA16" s="17">
        <f t="shared" si="8"/>
        <v>2</v>
      </c>
      <c r="AB16" s="17">
        <f t="shared" si="8"/>
        <v>2</v>
      </c>
      <c r="AC16" s="17">
        <f t="shared" si="8"/>
        <v>63</v>
      </c>
      <c r="AD16" s="17">
        <f t="shared" si="8"/>
        <v>0</v>
      </c>
      <c r="AE16" s="31">
        <f t="shared" si="8"/>
        <v>190</v>
      </c>
      <c r="AF16" s="31">
        <f t="shared" si="8"/>
        <v>253</v>
      </c>
    </row>
    <row r="17" spans="2:32" ht="23.1" customHeight="1" x14ac:dyDescent="0.25">
      <c r="B17" s="23" t="s">
        <v>44</v>
      </c>
      <c r="C17" s="50">
        <v>22</v>
      </c>
      <c r="D17" s="50">
        <v>4</v>
      </c>
      <c r="E17" s="50">
        <v>2</v>
      </c>
      <c r="F17" s="50">
        <v>21</v>
      </c>
      <c r="G17" s="50">
        <v>1</v>
      </c>
      <c r="H17" s="50">
        <v>0</v>
      </c>
      <c r="I17" s="50">
        <v>3</v>
      </c>
      <c r="J17" s="50">
        <v>1</v>
      </c>
      <c r="K17" s="50">
        <v>0</v>
      </c>
      <c r="L17" s="50">
        <v>1</v>
      </c>
      <c r="M17" s="50">
        <v>15</v>
      </c>
      <c r="N17" s="50">
        <v>0</v>
      </c>
      <c r="O17" s="15">
        <f t="shared" si="0"/>
        <v>55</v>
      </c>
      <c r="P17" s="15">
        <f t="shared" si="1"/>
        <v>70</v>
      </c>
      <c r="R17" s="1" t="s">
        <v>13</v>
      </c>
      <c r="S17" s="17">
        <f t="shared" ref="S17:AF17" si="9">SUM(C38:C41)</f>
        <v>56</v>
      </c>
      <c r="T17" s="17">
        <f t="shared" si="9"/>
        <v>12</v>
      </c>
      <c r="U17" s="17">
        <f t="shared" si="9"/>
        <v>23</v>
      </c>
      <c r="V17" s="17">
        <f t="shared" si="9"/>
        <v>50</v>
      </c>
      <c r="W17" s="17">
        <f t="shared" si="9"/>
        <v>0</v>
      </c>
      <c r="X17" s="17">
        <f t="shared" si="9"/>
        <v>0</v>
      </c>
      <c r="Y17" s="17">
        <f t="shared" si="9"/>
        <v>26</v>
      </c>
      <c r="Z17" s="17">
        <f t="shared" si="9"/>
        <v>14</v>
      </c>
      <c r="AA17" s="17">
        <f t="shared" si="9"/>
        <v>2</v>
      </c>
      <c r="AB17" s="17">
        <f t="shared" si="9"/>
        <v>5</v>
      </c>
      <c r="AC17" s="17">
        <f t="shared" si="9"/>
        <v>10</v>
      </c>
      <c r="AD17" s="17">
        <f t="shared" si="9"/>
        <v>0</v>
      </c>
      <c r="AE17" s="31">
        <f t="shared" si="9"/>
        <v>188</v>
      </c>
      <c r="AF17" s="31">
        <f t="shared" si="9"/>
        <v>198</v>
      </c>
    </row>
    <row r="18" spans="2:32" ht="23.1" customHeight="1" x14ac:dyDescent="0.25">
      <c r="B18" s="23" t="s">
        <v>45</v>
      </c>
      <c r="C18" s="50">
        <v>23</v>
      </c>
      <c r="D18" s="50">
        <v>3</v>
      </c>
      <c r="E18" s="50">
        <v>1</v>
      </c>
      <c r="F18" s="50">
        <v>22</v>
      </c>
      <c r="G18" s="50">
        <v>0</v>
      </c>
      <c r="H18" s="50">
        <v>0</v>
      </c>
      <c r="I18" s="50">
        <v>4</v>
      </c>
      <c r="J18" s="50">
        <v>2</v>
      </c>
      <c r="K18" s="50">
        <v>1</v>
      </c>
      <c r="L18" s="50">
        <v>0</v>
      </c>
      <c r="M18" s="50">
        <v>25</v>
      </c>
      <c r="N18" s="50">
        <v>0</v>
      </c>
      <c r="O18" s="15">
        <f t="shared" si="0"/>
        <v>56</v>
      </c>
      <c r="P18" s="15">
        <f t="shared" si="1"/>
        <v>81</v>
      </c>
      <c r="R18" s="1" t="s">
        <v>14</v>
      </c>
      <c r="S18" s="17">
        <f t="shared" ref="S18:AF18" si="10">SUM(C42:C45)</f>
        <v>87</v>
      </c>
      <c r="T18" s="17">
        <f t="shared" si="10"/>
        <v>13</v>
      </c>
      <c r="U18" s="17">
        <f t="shared" si="10"/>
        <v>27</v>
      </c>
      <c r="V18" s="17">
        <f t="shared" si="10"/>
        <v>75</v>
      </c>
      <c r="W18" s="17">
        <f t="shared" si="10"/>
        <v>0</v>
      </c>
      <c r="X18" s="17">
        <f t="shared" si="10"/>
        <v>3</v>
      </c>
      <c r="Y18" s="17">
        <f t="shared" si="10"/>
        <v>28</v>
      </c>
      <c r="Z18" s="17">
        <f t="shared" si="10"/>
        <v>12</v>
      </c>
      <c r="AA18" s="17">
        <f t="shared" si="10"/>
        <v>4</v>
      </c>
      <c r="AB18" s="17">
        <f t="shared" si="10"/>
        <v>0</v>
      </c>
      <c r="AC18" s="17">
        <f t="shared" si="10"/>
        <v>52</v>
      </c>
      <c r="AD18" s="17">
        <f t="shared" si="10"/>
        <v>0</v>
      </c>
      <c r="AE18" s="31">
        <f t="shared" si="10"/>
        <v>249</v>
      </c>
      <c r="AF18" s="31">
        <f t="shared" si="10"/>
        <v>301</v>
      </c>
    </row>
    <row r="19" spans="2:32" ht="23.1" customHeight="1" x14ac:dyDescent="0.25">
      <c r="B19" s="23" t="s">
        <v>46</v>
      </c>
      <c r="C19" s="50">
        <v>22</v>
      </c>
      <c r="D19" s="50">
        <v>3</v>
      </c>
      <c r="E19" s="50">
        <v>4</v>
      </c>
      <c r="F19" s="50">
        <v>28</v>
      </c>
      <c r="G19" s="50">
        <v>0</v>
      </c>
      <c r="H19" s="50">
        <v>0</v>
      </c>
      <c r="I19" s="50">
        <v>3</v>
      </c>
      <c r="J19" s="50">
        <v>4</v>
      </c>
      <c r="K19" s="50">
        <v>0</v>
      </c>
      <c r="L19" s="50">
        <v>0</v>
      </c>
      <c r="M19" s="50">
        <v>28</v>
      </c>
      <c r="N19" s="50">
        <v>0</v>
      </c>
      <c r="O19" s="15">
        <f t="shared" si="0"/>
        <v>64</v>
      </c>
      <c r="P19" s="15">
        <f t="shared" si="1"/>
        <v>92</v>
      </c>
      <c r="R19" s="1" t="s">
        <v>15</v>
      </c>
      <c r="S19" s="17">
        <f t="shared" ref="S19:AF19" si="11">SUM(C46:C49)</f>
        <v>96</v>
      </c>
      <c r="T19" s="17">
        <f t="shared" si="11"/>
        <v>24</v>
      </c>
      <c r="U19" s="17">
        <f t="shared" si="11"/>
        <v>18</v>
      </c>
      <c r="V19" s="17">
        <f t="shared" si="11"/>
        <v>69</v>
      </c>
      <c r="W19" s="17">
        <f t="shared" si="11"/>
        <v>1</v>
      </c>
      <c r="X19" s="17">
        <f t="shared" si="11"/>
        <v>1</v>
      </c>
      <c r="Y19" s="17">
        <f t="shared" si="11"/>
        <v>27</v>
      </c>
      <c r="Z19" s="17">
        <f t="shared" si="11"/>
        <v>15</v>
      </c>
      <c r="AA19" s="17">
        <f t="shared" si="11"/>
        <v>5</v>
      </c>
      <c r="AB19" s="17">
        <f t="shared" si="11"/>
        <v>6</v>
      </c>
      <c r="AC19" s="17">
        <f t="shared" si="11"/>
        <v>99</v>
      </c>
      <c r="AD19" s="17">
        <f t="shared" si="11"/>
        <v>0</v>
      </c>
      <c r="AE19" s="31">
        <f t="shared" si="11"/>
        <v>262</v>
      </c>
      <c r="AF19" s="31">
        <f t="shared" si="11"/>
        <v>361</v>
      </c>
    </row>
    <row r="20" spans="2:32" ht="23.1" customHeight="1" x14ac:dyDescent="0.25">
      <c r="B20" s="23" t="s">
        <v>47</v>
      </c>
      <c r="C20" s="50">
        <v>18</v>
      </c>
      <c r="D20" s="50">
        <v>2</v>
      </c>
      <c r="E20" s="50">
        <v>8</v>
      </c>
      <c r="F20" s="50">
        <v>18</v>
      </c>
      <c r="G20" s="50">
        <v>0</v>
      </c>
      <c r="H20" s="50">
        <v>0</v>
      </c>
      <c r="I20" s="50">
        <v>5</v>
      </c>
      <c r="J20" s="50">
        <v>1</v>
      </c>
      <c r="K20" s="50">
        <v>0</v>
      </c>
      <c r="L20" s="50">
        <v>0</v>
      </c>
      <c r="M20" s="50">
        <v>30</v>
      </c>
      <c r="N20" s="50">
        <v>0</v>
      </c>
      <c r="O20" s="15">
        <f t="shared" si="0"/>
        <v>52</v>
      </c>
      <c r="P20" s="15">
        <f t="shared" si="1"/>
        <v>82</v>
      </c>
      <c r="R20" s="1" t="s">
        <v>16</v>
      </c>
      <c r="S20" s="17">
        <f t="shared" ref="S20:AF20" si="12">SUM(C50:C53)</f>
        <v>104</v>
      </c>
      <c r="T20" s="17">
        <f t="shared" si="12"/>
        <v>35</v>
      </c>
      <c r="U20" s="17">
        <f t="shared" si="12"/>
        <v>18</v>
      </c>
      <c r="V20" s="17">
        <f t="shared" si="12"/>
        <v>80</v>
      </c>
      <c r="W20" s="17">
        <f t="shared" si="12"/>
        <v>1</v>
      </c>
      <c r="X20" s="17">
        <f t="shared" si="12"/>
        <v>2</v>
      </c>
      <c r="Y20" s="17">
        <f t="shared" si="12"/>
        <v>19</v>
      </c>
      <c r="Z20" s="17">
        <f t="shared" si="12"/>
        <v>11</v>
      </c>
      <c r="AA20" s="17">
        <f t="shared" si="12"/>
        <v>7</v>
      </c>
      <c r="AB20" s="17">
        <f t="shared" si="12"/>
        <v>4</v>
      </c>
      <c r="AC20" s="17">
        <f t="shared" si="12"/>
        <v>89</v>
      </c>
      <c r="AD20" s="17">
        <f t="shared" si="12"/>
        <v>0</v>
      </c>
      <c r="AE20" s="31">
        <f t="shared" si="12"/>
        <v>281</v>
      </c>
      <c r="AF20" s="31">
        <f t="shared" si="12"/>
        <v>370</v>
      </c>
    </row>
    <row r="21" spans="2:32" ht="23.1" customHeight="1" x14ac:dyDescent="0.25">
      <c r="B21" s="23" t="s">
        <v>48</v>
      </c>
      <c r="C21" s="50">
        <v>17</v>
      </c>
      <c r="D21" s="50">
        <v>0</v>
      </c>
      <c r="E21" s="50">
        <v>2</v>
      </c>
      <c r="F21" s="50">
        <v>15</v>
      </c>
      <c r="G21" s="50">
        <v>0</v>
      </c>
      <c r="H21" s="50">
        <v>0</v>
      </c>
      <c r="I21" s="50">
        <v>4</v>
      </c>
      <c r="J21" s="50">
        <v>0</v>
      </c>
      <c r="K21" s="50">
        <v>1</v>
      </c>
      <c r="L21" s="50">
        <v>0</v>
      </c>
      <c r="M21" s="50">
        <v>22</v>
      </c>
      <c r="N21" s="50">
        <v>0</v>
      </c>
      <c r="O21" s="15">
        <f t="shared" si="0"/>
        <v>39</v>
      </c>
      <c r="P21" s="15">
        <f t="shared" si="1"/>
        <v>61</v>
      </c>
      <c r="R21" s="36" t="s">
        <v>20</v>
      </c>
      <c r="S21" s="34">
        <f t="shared" ref="S21:AF21" si="13">SUM(C54:C57)</f>
        <v>138</v>
      </c>
      <c r="T21" s="17">
        <f t="shared" si="13"/>
        <v>29</v>
      </c>
      <c r="U21" s="17">
        <f t="shared" si="13"/>
        <v>25</v>
      </c>
      <c r="V21" s="17">
        <f t="shared" si="13"/>
        <v>120</v>
      </c>
      <c r="W21" s="17">
        <f t="shared" si="13"/>
        <v>12</v>
      </c>
      <c r="X21" s="17">
        <f t="shared" si="13"/>
        <v>3</v>
      </c>
      <c r="Y21" s="17">
        <f t="shared" si="13"/>
        <v>31</v>
      </c>
      <c r="Z21" s="17">
        <f t="shared" si="13"/>
        <v>13</v>
      </c>
      <c r="AA21" s="17">
        <f t="shared" si="13"/>
        <v>4</v>
      </c>
      <c r="AB21" s="17">
        <f t="shared" si="13"/>
        <v>3</v>
      </c>
      <c r="AC21" s="17">
        <f t="shared" si="13"/>
        <v>97</v>
      </c>
      <c r="AD21" s="17">
        <f t="shared" si="13"/>
        <v>0</v>
      </c>
      <c r="AE21" s="31">
        <f t="shared" si="13"/>
        <v>378</v>
      </c>
      <c r="AF21" s="31">
        <f t="shared" si="13"/>
        <v>475</v>
      </c>
    </row>
    <row r="22" spans="2:32" ht="23.1" customHeight="1" x14ac:dyDescent="0.25">
      <c r="B22" s="23" t="s">
        <v>49</v>
      </c>
      <c r="C22" s="50">
        <v>15</v>
      </c>
      <c r="D22" s="50">
        <v>2</v>
      </c>
      <c r="E22" s="50">
        <v>8</v>
      </c>
      <c r="F22" s="50">
        <v>10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1</v>
      </c>
      <c r="M22" s="50">
        <v>17</v>
      </c>
      <c r="N22" s="50">
        <v>0</v>
      </c>
      <c r="O22" s="15">
        <f t="shared" si="0"/>
        <v>38</v>
      </c>
      <c r="P22" s="15">
        <f t="shared" si="1"/>
        <v>55</v>
      </c>
      <c r="R22" s="38" t="s">
        <v>90</v>
      </c>
      <c r="S22" s="39">
        <f>MAX(S10:S12)</f>
        <v>80</v>
      </c>
      <c r="T22" s="39">
        <f t="shared" ref="T22:AF22" si="14">MAX(T10:T12)</f>
        <v>9</v>
      </c>
      <c r="U22" s="39">
        <f t="shared" si="14"/>
        <v>15</v>
      </c>
      <c r="V22" s="39">
        <f t="shared" si="14"/>
        <v>83</v>
      </c>
      <c r="W22" s="39">
        <f t="shared" si="14"/>
        <v>2</v>
      </c>
      <c r="X22" s="39">
        <f t="shared" si="14"/>
        <v>1</v>
      </c>
      <c r="Y22" s="39">
        <f t="shared" si="14"/>
        <v>16</v>
      </c>
      <c r="Z22" s="39">
        <f t="shared" si="14"/>
        <v>9</v>
      </c>
      <c r="AA22" s="39">
        <f t="shared" si="14"/>
        <v>2</v>
      </c>
      <c r="AB22" s="39">
        <f t="shared" si="14"/>
        <v>3</v>
      </c>
      <c r="AC22" s="39">
        <f t="shared" si="14"/>
        <v>105</v>
      </c>
      <c r="AD22" s="39">
        <f t="shared" si="14"/>
        <v>0</v>
      </c>
      <c r="AE22" s="40">
        <f t="shared" si="14"/>
        <v>211</v>
      </c>
      <c r="AF22" s="40">
        <f t="shared" si="14"/>
        <v>316</v>
      </c>
    </row>
    <row r="23" spans="2:32" ht="23.1" customHeight="1" x14ac:dyDescent="0.25">
      <c r="B23" s="23" t="s">
        <v>50</v>
      </c>
      <c r="C23" s="50">
        <v>18</v>
      </c>
      <c r="D23" s="50">
        <v>1</v>
      </c>
      <c r="E23" s="50">
        <v>3</v>
      </c>
      <c r="F23" s="50">
        <v>20</v>
      </c>
      <c r="G23" s="50">
        <v>0</v>
      </c>
      <c r="H23" s="50">
        <v>0</v>
      </c>
      <c r="I23" s="50">
        <v>1</v>
      </c>
      <c r="J23" s="50">
        <v>1</v>
      </c>
      <c r="K23" s="50">
        <v>0</v>
      </c>
      <c r="L23" s="50">
        <v>0</v>
      </c>
      <c r="M23" s="50">
        <v>24</v>
      </c>
      <c r="N23" s="50">
        <v>0</v>
      </c>
      <c r="O23" s="15">
        <f t="shared" si="0"/>
        <v>44</v>
      </c>
      <c r="P23" s="15">
        <f t="shared" si="1"/>
        <v>68</v>
      </c>
      <c r="R23" s="38" t="s">
        <v>91</v>
      </c>
      <c r="S23" s="39">
        <f>MAX(S13:S18)</f>
        <v>87</v>
      </c>
      <c r="T23" s="39">
        <f t="shared" ref="T23:AF23" si="15">MAX(T13:T18)</f>
        <v>15</v>
      </c>
      <c r="U23" s="39">
        <f t="shared" si="15"/>
        <v>27</v>
      </c>
      <c r="V23" s="39">
        <f t="shared" si="15"/>
        <v>75</v>
      </c>
      <c r="W23" s="39">
        <f t="shared" si="15"/>
        <v>2</v>
      </c>
      <c r="X23" s="39">
        <f t="shared" si="15"/>
        <v>3</v>
      </c>
      <c r="Y23" s="39">
        <f t="shared" si="15"/>
        <v>28</v>
      </c>
      <c r="Z23" s="39">
        <f t="shared" si="15"/>
        <v>14</v>
      </c>
      <c r="AA23" s="39">
        <f t="shared" si="15"/>
        <v>6</v>
      </c>
      <c r="AB23" s="39">
        <f t="shared" si="15"/>
        <v>5</v>
      </c>
      <c r="AC23" s="39">
        <f t="shared" si="15"/>
        <v>87</v>
      </c>
      <c r="AD23" s="39">
        <f t="shared" si="15"/>
        <v>0</v>
      </c>
      <c r="AE23" s="40">
        <f t="shared" si="15"/>
        <v>249</v>
      </c>
      <c r="AF23" s="40">
        <f t="shared" si="15"/>
        <v>301</v>
      </c>
    </row>
    <row r="24" spans="2:32" ht="23.1" customHeight="1" x14ac:dyDescent="0.25">
      <c r="B24" s="23" t="s">
        <v>51</v>
      </c>
      <c r="C24" s="50">
        <v>18</v>
      </c>
      <c r="D24" s="50">
        <v>2</v>
      </c>
      <c r="E24" s="50">
        <v>1</v>
      </c>
      <c r="F24" s="50">
        <v>15</v>
      </c>
      <c r="G24" s="50">
        <v>0</v>
      </c>
      <c r="H24" s="50">
        <v>0</v>
      </c>
      <c r="I24" s="50">
        <v>2</v>
      </c>
      <c r="J24" s="50">
        <v>2</v>
      </c>
      <c r="K24" s="50">
        <v>0</v>
      </c>
      <c r="L24" s="50">
        <v>0</v>
      </c>
      <c r="M24" s="50">
        <v>23</v>
      </c>
      <c r="N24" s="50">
        <v>0</v>
      </c>
      <c r="O24" s="15">
        <f t="shared" si="0"/>
        <v>40</v>
      </c>
      <c r="P24" s="15">
        <f t="shared" si="1"/>
        <v>63</v>
      </c>
      <c r="R24" s="38" t="s">
        <v>92</v>
      </c>
      <c r="S24" s="39">
        <f>MAX(S19:S21)</f>
        <v>138</v>
      </c>
      <c r="T24" s="39">
        <f t="shared" ref="T24:AF24" si="16">MAX(T19:T21)</f>
        <v>35</v>
      </c>
      <c r="U24" s="39">
        <f t="shared" si="16"/>
        <v>25</v>
      </c>
      <c r="V24" s="39">
        <f t="shared" si="16"/>
        <v>120</v>
      </c>
      <c r="W24" s="39">
        <f t="shared" si="16"/>
        <v>12</v>
      </c>
      <c r="X24" s="39">
        <f t="shared" si="16"/>
        <v>3</v>
      </c>
      <c r="Y24" s="39">
        <f t="shared" si="16"/>
        <v>31</v>
      </c>
      <c r="Z24" s="39">
        <f t="shared" si="16"/>
        <v>15</v>
      </c>
      <c r="AA24" s="39">
        <f t="shared" si="16"/>
        <v>7</v>
      </c>
      <c r="AB24" s="39">
        <f t="shared" si="16"/>
        <v>6</v>
      </c>
      <c r="AC24" s="39">
        <f t="shared" si="16"/>
        <v>99</v>
      </c>
      <c r="AD24" s="39">
        <f t="shared" si="16"/>
        <v>0</v>
      </c>
      <c r="AE24" s="40">
        <f t="shared" si="16"/>
        <v>378</v>
      </c>
      <c r="AF24" s="40">
        <f t="shared" si="16"/>
        <v>475</v>
      </c>
    </row>
    <row r="25" spans="2:32" ht="23.1" customHeight="1" x14ac:dyDescent="0.25">
      <c r="B25" s="23" t="s">
        <v>52</v>
      </c>
      <c r="C25" s="50">
        <v>19</v>
      </c>
      <c r="D25" s="50">
        <v>7</v>
      </c>
      <c r="E25" s="50">
        <v>2</v>
      </c>
      <c r="F25" s="50">
        <v>11</v>
      </c>
      <c r="G25" s="50">
        <v>0</v>
      </c>
      <c r="H25" s="50">
        <v>1</v>
      </c>
      <c r="I25" s="50">
        <v>1</v>
      </c>
      <c r="J25" s="50">
        <v>4</v>
      </c>
      <c r="K25" s="50">
        <v>0</v>
      </c>
      <c r="L25" s="50">
        <v>1</v>
      </c>
      <c r="M25" s="50">
        <v>18</v>
      </c>
      <c r="N25" s="50">
        <v>0</v>
      </c>
      <c r="O25" s="15">
        <f t="shared" si="0"/>
        <v>46</v>
      </c>
      <c r="P25" s="15">
        <f t="shared" si="1"/>
        <v>64</v>
      </c>
      <c r="R25" s="37" t="s">
        <v>85</v>
      </c>
      <c r="S25" s="35">
        <f t="shared" ref="S25:AF25" si="17">SUM(S10:S12)</f>
        <v>215</v>
      </c>
      <c r="T25" s="16">
        <f t="shared" si="17"/>
        <v>22</v>
      </c>
      <c r="U25" s="16">
        <f t="shared" si="17"/>
        <v>36</v>
      </c>
      <c r="V25" s="16">
        <f t="shared" si="17"/>
        <v>216</v>
      </c>
      <c r="W25" s="16">
        <f t="shared" si="17"/>
        <v>2</v>
      </c>
      <c r="X25" s="16">
        <f t="shared" si="17"/>
        <v>1</v>
      </c>
      <c r="Y25" s="16">
        <f t="shared" si="17"/>
        <v>32</v>
      </c>
      <c r="Z25" s="16">
        <f t="shared" si="17"/>
        <v>23</v>
      </c>
      <c r="AA25" s="16">
        <f t="shared" si="17"/>
        <v>3</v>
      </c>
      <c r="AB25" s="16">
        <f t="shared" si="17"/>
        <v>3</v>
      </c>
      <c r="AC25" s="16">
        <f t="shared" si="17"/>
        <v>257</v>
      </c>
      <c r="AD25" s="16">
        <f t="shared" si="17"/>
        <v>0</v>
      </c>
      <c r="AE25" s="32">
        <f t="shared" si="17"/>
        <v>553</v>
      </c>
      <c r="AF25" s="32">
        <f t="shared" si="17"/>
        <v>810</v>
      </c>
    </row>
    <row r="26" spans="2:32" ht="23.1" customHeight="1" x14ac:dyDescent="0.25">
      <c r="B26" s="23" t="s">
        <v>53</v>
      </c>
      <c r="C26" s="50">
        <v>12</v>
      </c>
      <c r="D26" s="50">
        <v>1</v>
      </c>
      <c r="E26" s="50">
        <v>2</v>
      </c>
      <c r="F26" s="50">
        <v>11</v>
      </c>
      <c r="G26" s="50">
        <v>0</v>
      </c>
      <c r="H26" s="50">
        <v>0</v>
      </c>
      <c r="I26" s="50">
        <v>7</v>
      </c>
      <c r="J26" s="50">
        <v>0</v>
      </c>
      <c r="K26" s="50">
        <v>1</v>
      </c>
      <c r="L26" s="50">
        <v>1</v>
      </c>
      <c r="M26" s="50">
        <v>22</v>
      </c>
      <c r="N26" s="50">
        <v>0</v>
      </c>
      <c r="O26" s="15">
        <f t="shared" si="0"/>
        <v>35</v>
      </c>
      <c r="P26" s="15">
        <f t="shared" si="1"/>
        <v>57</v>
      </c>
      <c r="R26" s="28" t="s">
        <v>86</v>
      </c>
      <c r="S26" s="16">
        <f t="shared" ref="S26:AF26" si="18">SUM(S13:S18)</f>
        <v>421</v>
      </c>
      <c r="T26" s="16">
        <f t="shared" si="18"/>
        <v>80</v>
      </c>
      <c r="U26" s="16">
        <f t="shared" si="18"/>
        <v>104</v>
      </c>
      <c r="V26" s="16">
        <f t="shared" si="18"/>
        <v>352</v>
      </c>
      <c r="W26" s="16">
        <f t="shared" si="18"/>
        <v>2</v>
      </c>
      <c r="X26" s="16">
        <f t="shared" si="18"/>
        <v>7</v>
      </c>
      <c r="Y26" s="16">
        <f t="shared" si="18"/>
        <v>123</v>
      </c>
      <c r="Z26" s="16">
        <f t="shared" si="18"/>
        <v>54</v>
      </c>
      <c r="AA26" s="16">
        <f t="shared" si="18"/>
        <v>16</v>
      </c>
      <c r="AB26" s="16">
        <f t="shared" si="18"/>
        <v>13</v>
      </c>
      <c r="AC26" s="16">
        <f t="shared" si="18"/>
        <v>363</v>
      </c>
      <c r="AD26" s="16">
        <f t="shared" si="18"/>
        <v>0</v>
      </c>
      <c r="AE26" s="32">
        <f t="shared" si="18"/>
        <v>1172</v>
      </c>
      <c r="AF26" s="32">
        <f t="shared" si="18"/>
        <v>1535</v>
      </c>
    </row>
    <row r="27" spans="2:32" ht="23.1" customHeight="1" x14ac:dyDescent="0.25">
      <c r="B27" s="23" t="s">
        <v>54</v>
      </c>
      <c r="C27" s="50">
        <v>28</v>
      </c>
      <c r="D27" s="50">
        <v>3</v>
      </c>
      <c r="E27" s="50">
        <v>2</v>
      </c>
      <c r="F27" s="50">
        <v>22</v>
      </c>
      <c r="G27" s="50">
        <v>0</v>
      </c>
      <c r="H27" s="50">
        <v>0</v>
      </c>
      <c r="I27" s="50">
        <v>5</v>
      </c>
      <c r="J27" s="50">
        <v>3</v>
      </c>
      <c r="K27" s="50">
        <v>4</v>
      </c>
      <c r="L27" s="50">
        <v>1</v>
      </c>
      <c r="M27" s="50">
        <v>26</v>
      </c>
      <c r="N27" s="50">
        <v>0</v>
      </c>
      <c r="O27" s="15">
        <f t="shared" si="0"/>
        <v>68</v>
      </c>
      <c r="P27" s="15">
        <f t="shared" si="1"/>
        <v>94</v>
      </c>
      <c r="R27" s="29" t="s">
        <v>87</v>
      </c>
      <c r="S27" s="16">
        <f t="shared" ref="S27:AF27" si="19">SUM(S19:S21)</f>
        <v>338</v>
      </c>
      <c r="T27" s="16">
        <f t="shared" si="19"/>
        <v>88</v>
      </c>
      <c r="U27" s="16">
        <f t="shared" si="19"/>
        <v>61</v>
      </c>
      <c r="V27" s="16">
        <f t="shared" si="19"/>
        <v>269</v>
      </c>
      <c r="W27" s="16">
        <f t="shared" si="19"/>
        <v>14</v>
      </c>
      <c r="X27" s="16">
        <f t="shared" si="19"/>
        <v>6</v>
      </c>
      <c r="Y27" s="16">
        <f t="shared" si="19"/>
        <v>77</v>
      </c>
      <c r="Z27" s="16">
        <f t="shared" si="19"/>
        <v>39</v>
      </c>
      <c r="AA27" s="16">
        <f t="shared" si="19"/>
        <v>16</v>
      </c>
      <c r="AB27" s="16">
        <f t="shared" si="19"/>
        <v>13</v>
      </c>
      <c r="AC27" s="16">
        <f t="shared" si="19"/>
        <v>285</v>
      </c>
      <c r="AD27" s="16">
        <f t="shared" si="19"/>
        <v>0</v>
      </c>
      <c r="AE27" s="32">
        <f t="shared" si="19"/>
        <v>921</v>
      </c>
      <c r="AF27" s="32">
        <f t="shared" si="19"/>
        <v>1206</v>
      </c>
    </row>
    <row r="28" spans="2:32" ht="23.1" customHeight="1" x14ac:dyDescent="0.25">
      <c r="B28" s="23" t="s">
        <v>55</v>
      </c>
      <c r="C28" s="50">
        <v>8</v>
      </c>
      <c r="D28" s="50">
        <v>7</v>
      </c>
      <c r="E28" s="50">
        <v>4</v>
      </c>
      <c r="F28" s="50">
        <v>9</v>
      </c>
      <c r="G28" s="50">
        <v>0</v>
      </c>
      <c r="H28" s="50">
        <v>0</v>
      </c>
      <c r="I28" s="50">
        <v>3</v>
      </c>
      <c r="J28" s="50">
        <v>1</v>
      </c>
      <c r="K28" s="50">
        <v>0</v>
      </c>
      <c r="L28" s="50">
        <v>0</v>
      </c>
      <c r="M28" s="50">
        <v>21</v>
      </c>
      <c r="N28" s="50">
        <v>0</v>
      </c>
      <c r="O28" s="15">
        <f t="shared" si="0"/>
        <v>32</v>
      </c>
      <c r="P28" s="15">
        <f t="shared" si="1"/>
        <v>53</v>
      </c>
      <c r="R28" s="5" t="s">
        <v>17</v>
      </c>
      <c r="S28" s="16">
        <f t="shared" ref="S28:AF28" si="20">SUM(S10:S21)</f>
        <v>974</v>
      </c>
      <c r="T28" s="16">
        <f t="shared" si="20"/>
        <v>190</v>
      </c>
      <c r="U28" s="16">
        <f t="shared" si="20"/>
        <v>201</v>
      </c>
      <c r="V28" s="16">
        <f t="shared" si="20"/>
        <v>837</v>
      </c>
      <c r="W28" s="16">
        <f t="shared" si="20"/>
        <v>18</v>
      </c>
      <c r="X28" s="16">
        <f t="shared" si="20"/>
        <v>14</v>
      </c>
      <c r="Y28" s="16">
        <f t="shared" si="20"/>
        <v>232</v>
      </c>
      <c r="Z28" s="16">
        <f t="shared" si="20"/>
        <v>116</v>
      </c>
      <c r="AA28" s="16">
        <f t="shared" si="20"/>
        <v>35</v>
      </c>
      <c r="AB28" s="16">
        <f t="shared" si="20"/>
        <v>29</v>
      </c>
      <c r="AC28" s="16">
        <f t="shared" si="20"/>
        <v>905</v>
      </c>
      <c r="AD28" s="16">
        <f t="shared" si="20"/>
        <v>0</v>
      </c>
      <c r="AE28" s="32">
        <f t="shared" si="20"/>
        <v>2646</v>
      </c>
      <c r="AF28" s="32">
        <f t="shared" si="20"/>
        <v>3551</v>
      </c>
    </row>
    <row r="29" spans="2:32" ht="23.1" customHeight="1" x14ac:dyDescent="0.25">
      <c r="B29" s="23" t="s">
        <v>56</v>
      </c>
      <c r="C29" s="50">
        <v>20</v>
      </c>
      <c r="D29" s="50">
        <v>4</v>
      </c>
      <c r="E29" s="50">
        <v>4</v>
      </c>
      <c r="F29" s="50">
        <v>21</v>
      </c>
      <c r="G29" s="50">
        <v>0</v>
      </c>
      <c r="H29" s="50">
        <v>0</v>
      </c>
      <c r="I29" s="50">
        <v>3</v>
      </c>
      <c r="J29" s="50">
        <v>6</v>
      </c>
      <c r="K29" s="50">
        <v>1</v>
      </c>
      <c r="L29" s="50">
        <v>0</v>
      </c>
      <c r="M29" s="50">
        <v>18</v>
      </c>
      <c r="N29" s="50">
        <v>0</v>
      </c>
      <c r="O29" s="15">
        <f t="shared" si="0"/>
        <v>59</v>
      </c>
      <c r="P29" s="15">
        <f t="shared" si="1"/>
        <v>77</v>
      </c>
      <c r="R29"/>
      <c r="S29" s="20"/>
      <c r="T29" s="19"/>
    </row>
    <row r="30" spans="2:32" ht="23.1" customHeight="1" x14ac:dyDescent="0.25">
      <c r="B30" s="23" t="s">
        <v>57</v>
      </c>
      <c r="C30" s="50">
        <v>10</v>
      </c>
      <c r="D30" s="50">
        <v>1</v>
      </c>
      <c r="E30" s="50">
        <v>5</v>
      </c>
      <c r="F30" s="50">
        <v>15</v>
      </c>
      <c r="G30" s="50">
        <v>1</v>
      </c>
      <c r="H30" s="50">
        <v>0</v>
      </c>
      <c r="I30" s="50">
        <v>9</v>
      </c>
      <c r="J30" s="50">
        <v>2</v>
      </c>
      <c r="K30" s="50">
        <v>0</v>
      </c>
      <c r="L30" s="50">
        <v>0</v>
      </c>
      <c r="M30" s="50">
        <v>19</v>
      </c>
      <c r="N30" s="50">
        <v>0</v>
      </c>
      <c r="O30" s="15">
        <f t="shared" si="0"/>
        <v>43</v>
      </c>
      <c r="P30" s="15">
        <f t="shared" si="1"/>
        <v>62</v>
      </c>
    </row>
    <row r="31" spans="2:32" ht="23.1" customHeight="1" x14ac:dyDescent="0.25">
      <c r="B31" s="24" t="s">
        <v>58</v>
      </c>
      <c r="C31" s="50">
        <v>13</v>
      </c>
      <c r="D31" s="50">
        <v>7</v>
      </c>
      <c r="E31" s="50">
        <v>2</v>
      </c>
      <c r="F31" s="50">
        <v>13</v>
      </c>
      <c r="G31" s="50">
        <v>0</v>
      </c>
      <c r="H31" s="50">
        <v>0</v>
      </c>
      <c r="I31" s="50">
        <v>3</v>
      </c>
      <c r="J31" s="50">
        <v>2</v>
      </c>
      <c r="K31" s="50">
        <v>2</v>
      </c>
      <c r="L31" s="50">
        <v>1</v>
      </c>
      <c r="M31" s="50">
        <v>17</v>
      </c>
      <c r="N31" s="50">
        <v>0</v>
      </c>
      <c r="O31" s="15">
        <f t="shared" si="0"/>
        <v>43</v>
      </c>
      <c r="P31" s="15">
        <f t="shared" si="1"/>
        <v>60</v>
      </c>
    </row>
    <row r="32" spans="2:32" ht="23.1" customHeight="1" x14ac:dyDescent="0.25">
      <c r="B32" s="24" t="s">
        <v>59</v>
      </c>
      <c r="C32" s="50">
        <v>15</v>
      </c>
      <c r="D32" s="50">
        <v>2</v>
      </c>
      <c r="E32" s="50">
        <v>3</v>
      </c>
      <c r="F32" s="50">
        <v>12</v>
      </c>
      <c r="G32" s="50">
        <v>1</v>
      </c>
      <c r="H32" s="50">
        <v>1</v>
      </c>
      <c r="I32" s="50">
        <v>5</v>
      </c>
      <c r="J32" s="50">
        <v>2</v>
      </c>
      <c r="K32" s="50">
        <v>0</v>
      </c>
      <c r="L32" s="50">
        <v>0</v>
      </c>
      <c r="M32" s="50">
        <v>19</v>
      </c>
      <c r="N32" s="50">
        <v>0</v>
      </c>
      <c r="O32" s="15">
        <f t="shared" si="0"/>
        <v>41</v>
      </c>
      <c r="P32" s="15">
        <f t="shared" si="1"/>
        <v>60</v>
      </c>
    </row>
    <row r="33" spans="2:20" ht="23.1" customHeight="1" x14ac:dyDescent="0.25">
      <c r="B33" s="23" t="s">
        <v>60</v>
      </c>
      <c r="C33" s="50">
        <v>20</v>
      </c>
      <c r="D33" s="50">
        <v>3</v>
      </c>
      <c r="E33" s="50">
        <v>3</v>
      </c>
      <c r="F33" s="50">
        <v>18</v>
      </c>
      <c r="G33" s="50">
        <v>0</v>
      </c>
      <c r="H33" s="50">
        <v>0</v>
      </c>
      <c r="I33" s="50">
        <v>9</v>
      </c>
      <c r="J33" s="50">
        <v>2</v>
      </c>
      <c r="K33" s="50">
        <v>0</v>
      </c>
      <c r="L33" s="50">
        <v>1</v>
      </c>
      <c r="M33" s="50">
        <v>14</v>
      </c>
      <c r="N33" s="50">
        <v>0</v>
      </c>
      <c r="O33" s="15">
        <f t="shared" si="0"/>
        <v>56</v>
      </c>
      <c r="P33" s="15">
        <f t="shared" si="1"/>
        <v>70</v>
      </c>
    </row>
    <row r="34" spans="2:20" ht="23.1" customHeight="1" x14ac:dyDescent="0.25">
      <c r="B34" s="24" t="s">
        <v>61</v>
      </c>
      <c r="C34" s="50">
        <v>14</v>
      </c>
      <c r="D34" s="50">
        <v>4</v>
      </c>
      <c r="E34" s="50">
        <v>2</v>
      </c>
      <c r="F34" s="50">
        <v>9</v>
      </c>
      <c r="G34" s="50">
        <v>0</v>
      </c>
      <c r="H34" s="50">
        <v>0</v>
      </c>
      <c r="I34" s="50">
        <v>3</v>
      </c>
      <c r="J34" s="50">
        <v>1</v>
      </c>
      <c r="K34" s="50">
        <v>2</v>
      </c>
      <c r="L34" s="50">
        <v>0</v>
      </c>
      <c r="M34" s="50">
        <v>10</v>
      </c>
      <c r="N34" s="50">
        <v>0</v>
      </c>
      <c r="O34" s="15">
        <f t="shared" si="0"/>
        <v>35</v>
      </c>
      <c r="P34" s="15">
        <f t="shared" si="1"/>
        <v>45</v>
      </c>
    </row>
    <row r="35" spans="2:20" ht="23.1" customHeight="1" x14ac:dyDescent="0.25">
      <c r="B35" s="24" t="s">
        <v>62</v>
      </c>
      <c r="C35" s="50">
        <v>23</v>
      </c>
      <c r="D35" s="50">
        <v>5</v>
      </c>
      <c r="E35" s="50">
        <v>2</v>
      </c>
      <c r="F35" s="50">
        <v>16</v>
      </c>
      <c r="G35" s="50">
        <v>0</v>
      </c>
      <c r="H35" s="50">
        <v>0</v>
      </c>
      <c r="I35" s="50">
        <v>8</v>
      </c>
      <c r="J35" s="50">
        <v>0</v>
      </c>
      <c r="K35" s="50">
        <v>0</v>
      </c>
      <c r="L35" s="50">
        <v>0</v>
      </c>
      <c r="M35" s="50">
        <v>15</v>
      </c>
      <c r="N35" s="50">
        <v>0</v>
      </c>
      <c r="O35" s="15">
        <f t="shared" si="0"/>
        <v>54</v>
      </c>
      <c r="P35" s="15">
        <f t="shared" si="1"/>
        <v>69</v>
      </c>
    </row>
    <row r="36" spans="2:20" ht="23.1" customHeight="1" x14ac:dyDescent="0.25">
      <c r="B36" s="24" t="s">
        <v>63</v>
      </c>
      <c r="C36" s="50">
        <v>29</v>
      </c>
      <c r="D36" s="50">
        <v>2</v>
      </c>
      <c r="E36" s="50">
        <v>5</v>
      </c>
      <c r="F36" s="50">
        <v>13</v>
      </c>
      <c r="G36" s="50">
        <v>0</v>
      </c>
      <c r="H36" s="50">
        <v>1</v>
      </c>
      <c r="I36" s="50">
        <v>1</v>
      </c>
      <c r="J36" s="50">
        <v>1</v>
      </c>
      <c r="K36" s="50">
        <v>0</v>
      </c>
      <c r="L36" s="50">
        <v>2</v>
      </c>
      <c r="M36" s="50">
        <v>24</v>
      </c>
      <c r="N36" s="50">
        <v>0</v>
      </c>
      <c r="O36" s="15">
        <f t="shared" si="0"/>
        <v>54</v>
      </c>
      <c r="P36" s="15">
        <f t="shared" si="1"/>
        <v>78</v>
      </c>
    </row>
    <row r="37" spans="2:20" ht="23.1" customHeight="1" x14ac:dyDescent="0.25">
      <c r="B37" s="23" t="s">
        <v>64</v>
      </c>
      <c r="C37" s="50">
        <v>16</v>
      </c>
      <c r="D37" s="50">
        <v>4</v>
      </c>
      <c r="E37" s="50">
        <v>6</v>
      </c>
      <c r="F37" s="50">
        <v>12</v>
      </c>
      <c r="G37" s="50">
        <v>0</v>
      </c>
      <c r="H37" s="50">
        <v>1</v>
      </c>
      <c r="I37" s="50">
        <v>7</v>
      </c>
      <c r="J37" s="50">
        <v>1</v>
      </c>
      <c r="K37" s="50">
        <v>0</v>
      </c>
      <c r="L37" s="50">
        <v>0</v>
      </c>
      <c r="M37" s="50">
        <v>14</v>
      </c>
      <c r="N37" s="50">
        <v>0</v>
      </c>
      <c r="O37" s="15">
        <f t="shared" si="0"/>
        <v>47</v>
      </c>
      <c r="P37" s="15">
        <f t="shared" si="1"/>
        <v>61</v>
      </c>
    </row>
    <row r="38" spans="2:20" ht="23.1" customHeight="1" x14ac:dyDescent="0.25">
      <c r="B38" s="24" t="s">
        <v>65</v>
      </c>
      <c r="C38" s="50">
        <v>17</v>
      </c>
      <c r="D38" s="50">
        <v>4</v>
      </c>
      <c r="E38" s="50">
        <v>4</v>
      </c>
      <c r="F38" s="50">
        <v>11</v>
      </c>
      <c r="G38" s="50">
        <v>0</v>
      </c>
      <c r="H38" s="50">
        <v>0</v>
      </c>
      <c r="I38" s="50">
        <v>11</v>
      </c>
      <c r="J38" s="50">
        <v>4</v>
      </c>
      <c r="K38" s="50">
        <v>0</v>
      </c>
      <c r="L38" s="50">
        <v>0</v>
      </c>
      <c r="M38" s="50">
        <v>7</v>
      </c>
      <c r="N38" s="50">
        <v>0</v>
      </c>
      <c r="O38" s="15">
        <f t="shared" si="0"/>
        <v>51</v>
      </c>
      <c r="P38" s="15">
        <f t="shared" si="1"/>
        <v>58</v>
      </c>
    </row>
    <row r="39" spans="2:20" ht="23.1" customHeight="1" x14ac:dyDescent="0.25">
      <c r="B39" s="24" t="s">
        <v>66</v>
      </c>
      <c r="C39" s="50">
        <v>8</v>
      </c>
      <c r="D39" s="50">
        <v>2</v>
      </c>
      <c r="E39" s="50">
        <v>8</v>
      </c>
      <c r="F39" s="50">
        <v>9</v>
      </c>
      <c r="G39" s="50">
        <v>0</v>
      </c>
      <c r="H39" s="50">
        <v>0</v>
      </c>
      <c r="I39" s="50">
        <v>5</v>
      </c>
      <c r="J39" s="50">
        <v>3</v>
      </c>
      <c r="K39" s="50">
        <v>1</v>
      </c>
      <c r="L39" s="50">
        <v>1</v>
      </c>
      <c r="M39" s="50">
        <v>1</v>
      </c>
      <c r="N39" s="50">
        <v>0</v>
      </c>
      <c r="O39" s="15">
        <f t="shared" si="0"/>
        <v>37</v>
      </c>
      <c r="P39" s="15">
        <f t="shared" si="1"/>
        <v>38</v>
      </c>
    </row>
    <row r="40" spans="2:20" ht="23.1" customHeight="1" x14ac:dyDescent="0.25">
      <c r="B40" s="24" t="s">
        <v>67</v>
      </c>
      <c r="C40" s="50">
        <v>11</v>
      </c>
      <c r="D40" s="50">
        <v>6</v>
      </c>
      <c r="E40" s="50">
        <v>7</v>
      </c>
      <c r="F40" s="50">
        <v>11</v>
      </c>
      <c r="G40" s="50">
        <v>0</v>
      </c>
      <c r="H40" s="50">
        <v>0</v>
      </c>
      <c r="I40" s="50">
        <v>5</v>
      </c>
      <c r="J40" s="50">
        <v>4</v>
      </c>
      <c r="K40" s="50">
        <v>0</v>
      </c>
      <c r="L40" s="50">
        <v>3</v>
      </c>
      <c r="M40" s="50">
        <v>0</v>
      </c>
      <c r="N40" s="50">
        <v>0</v>
      </c>
      <c r="O40" s="15">
        <f t="shared" si="0"/>
        <v>47</v>
      </c>
      <c r="P40" s="15">
        <f t="shared" si="1"/>
        <v>47</v>
      </c>
    </row>
    <row r="41" spans="2:20" ht="23.1" customHeight="1" x14ac:dyDescent="0.25">
      <c r="B41" s="23" t="s">
        <v>68</v>
      </c>
      <c r="C41" s="50">
        <v>20</v>
      </c>
      <c r="D41" s="50">
        <v>0</v>
      </c>
      <c r="E41" s="50">
        <v>4</v>
      </c>
      <c r="F41" s="50">
        <v>19</v>
      </c>
      <c r="G41" s="50">
        <v>0</v>
      </c>
      <c r="H41" s="50">
        <v>0</v>
      </c>
      <c r="I41" s="50">
        <v>5</v>
      </c>
      <c r="J41" s="50">
        <v>3</v>
      </c>
      <c r="K41" s="50">
        <v>1</v>
      </c>
      <c r="L41" s="50">
        <v>1</v>
      </c>
      <c r="M41" s="50">
        <v>2</v>
      </c>
      <c r="N41" s="50">
        <v>0</v>
      </c>
      <c r="O41" s="15">
        <f t="shared" si="0"/>
        <v>53</v>
      </c>
      <c r="P41" s="15">
        <f t="shared" si="1"/>
        <v>55</v>
      </c>
    </row>
    <row r="42" spans="2:20" ht="23.1" customHeight="1" x14ac:dyDescent="0.25">
      <c r="B42" s="24" t="s">
        <v>69</v>
      </c>
      <c r="C42" s="50">
        <v>19</v>
      </c>
      <c r="D42" s="50">
        <v>5</v>
      </c>
      <c r="E42" s="50">
        <v>5</v>
      </c>
      <c r="F42" s="50">
        <v>20</v>
      </c>
      <c r="G42" s="50">
        <v>0</v>
      </c>
      <c r="H42" s="50">
        <v>1</v>
      </c>
      <c r="I42" s="50">
        <v>8</v>
      </c>
      <c r="J42" s="50">
        <v>6</v>
      </c>
      <c r="K42" s="50">
        <v>1</v>
      </c>
      <c r="L42" s="50">
        <v>0</v>
      </c>
      <c r="M42" s="50">
        <v>10</v>
      </c>
      <c r="N42" s="50">
        <v>0</v>
      </c>
      <c r="O42" s="15">
        <f t="shared" si="0"/>
        <v>65</v>
      </c>
      <c r="P42" s="15">
        <f t="shared" si="1"/>
        <v>75</v>
      </c>
    </row>
    <row r="43" spans="2:20" ht="23.1" customHeight="1" x14ac:dyDescent="0.25">
      <c r="B43" s="23" t="s">
        <v>70</v>
      </c>
      <c r="C43" s="50">
        <v>10</v>
      </c>
      <c r="D43" s="50">
        <v>1</v>
      </c>
      <c r="E43" s="50">
        <v>8</v>
      </c>
      <c r="F43" s="50">
        <v>16</v>
      </c>
      <c r="G43" s="50">
        <v>0</v>
      </c>
      <c r="H43" s="50">
        <v>1</v>
      </c>
      <c r="I43" s="50">
        <v>7</v>
      </c>
      <c r="J43" s="50">
        <v>3</v>
      </c>
      <c r="K43" s="50">
        <v>1</v>
      </c>
      <c r="L43" s="50">
        <v>0</v>
      </c>
      <c r="M43" s="50">
        <v>6</v>
      </c>
      <c r="N43" s="50">
        <v>0</v>
      </c>
      <c r="O43" s="15">
        <f t="shared" si="0"/>
        <v>47</v>
      </c>
      <c r="P43" s="15">
        <f t="shared" si="1"/>
        <v>53</v>
      </c>
    </row>
    <row r="44" spans="2:20" ht="23.1" customHeight="1" x14ac:dyDescent="0.25">
      <c r="B44" s="25" t="s">
        <v>71</v>
      </c>
      <c r="C44" s="50">
        <v>30</v>
      </c>
      <c r="D44" s="50">
        <v>3</v>
      </c>
      <c r="E44" s="50">
        <v>5</v>
      </c>
      <c r="F44" s="50">
        <v>19</v>
      </c>
      <c r="G44" s="50">
        <v>0</v>
      </c>
      <c r="H44" s="50">
        <v>1</v>
      </c>
      <c r="I44" s="50">
        <v>9</v>
      </c>
      <c r="J44" s="50">
        <v>3</v>
      </c>
      <c r="K44" s="50">
        <v>1</v>
      </c>
      <c r="L44" s="50">
        <v>0</v>
      </c>
      <c r="M44" s="50">
        <v>11</v>
      </c>
      <c r="N44" s="50">
        <v>0</v>
      </c>
      <c r="O44" s="15">
        <f t="shared" si="0"/>
        <v>71</v>
      </c>
      <c r="P44" s="15">
        <f t="shared" si="1"/>
        <v>82</v>
      </c>
    </row>
    <row r="45" spans="2:20" ht="23.1" customHeight="1" x14ac:dyDescent="0.25">
      <c r="B45" s="23" t="s">
        <v>72</v>
      </c>
      <c r="C45" s="50">
        <v>28</v>
      </c>
      <c r="D45" s="50">
        <v>4</v>
      </c>
      <c r="E45" s="50">
        <v>9</v>
      </c>
      <c r="F45" s="50">
        <v>20</v>
      </c>
      <c r="G45" s="50">
        <v>0</v>
      </c>
      <c r="H45" s="50">
        <v>0</v>
      </c>
      <c r="I45" s="50">
        <v>4</v>
      </c>
      <c r="J45" s="50">
        <v>0</v>
      </c>
      <c r="K45" s="50">
        <v>1</v>
      </c>
      <c r="L45" s="50">
        <v>0</v>
      </c>
      <c r="M45" s="50">
        <v>25</v>
      </c>
      <c r="N45" s="50">
        <v>0</v>
      </c>
      <c r="O45" s="15">
        <f t="shared" si="0"/>
        <v>66</v>
      </c>
      <c r="P45" s="15">
        <f t="shared" si="1"/>
        <v>91</v>
      </c>
    </row>
    <row r="46" spans="2:20" ht="23.1" customHeight="1" x14ac:dyDescent="0.25">
      <c r="B46" s="24" t="s">
        <v>73</v>
      </c>
      <c r="C46" s="50">
        <v>20</v>
      </c>
      <c r="D46" s="50">
        <v>6</v>
      </c>
      <c r="E46" s="50">
        <v>9</v>
      </c>
      <c r="F46" s="50">
        <v>19</v>
      </c>
      <c r="G46" s="50">
        <v>0</v>
      </c>
      <c r="H46" s="50">
        <v>0</v>
      </c>
      <c r="I46" s="50">
        <v>7</v>
      </c>
      <c r="J46" s="50">
        <v>5</v>
      </c>
      <c r="K46" s="50">
        <v>1</v>
      </c>
      <c r="L46" s="50">
        <v>0</v>
      </c>
      <c r="M46" s="50">
        <v>34</v>
      </c>
      <c r="N46" s="50">
        <v>0</v>
      </c>
      <c r="O46" s="15">
        <f t="shared" si="0"/>
        <v>67</v>
      </c>
      <c r="P46" s="15">
        <f t="shared" si="1"/>
        <v>101</v>
      </c>
      <c r="R46" s="8"/>
      <c r="T46"/>
    </row>
    <row r="47" spans="2:20" ht="23.1" customHeight="1" x14ac:dyDescent="0.25">
      <c r="B47" s="24" t="s">
        <v>74</v>
      </c>
      <c r="C47" s="50">
        <v>28</v>
      </c>
      <c r="D47" s="50">
        <v>6</v>
      </c>
      <c r="E47" s="50">
        <v>4</v>
      </c>
      <c r="F47" s="50">
        <v>15</v>
      </c>
      <c r="G47" s="50">
        <v>0</v>
      </c>
      <c r="H47" s="50">
        <v>1</v>
      </c>
      <c r="I47" s="50">
        <v>3</v>
      </c>
      <c r="J47" s="50">
        <v>4</v>
      </c>
      <c r="K47" s="50">
        <v>1</v>
      </c>
      <c r="L47" s="50">
        <v>1</v>
      </c>
      <c r="M47" s="50">
        <v>21</v>
      </c>
      <c r="N47" s="50">
        <v>0</v>
      </c>
      <c r="O47" s="15">
        <f t="shared" si="0"/>
        <v>63</v>
      </c>
      <c r="P47" s="15">
        <f t="shared" si="1"/>
        <v>84</v>
      </c>
      <c r="R47" s="8"/>
      <c r="T47"/>
    </row>
    <row r="48" spans="2:20" ht="23.1" customHeight="1" x14ac:dyDescent="0.25">
      <c r="B48" s="24" t="s">
        <v>75</v>
      </c>
      <c r="C48" s="50">
        <v>27</v>
      </c>
      <c r="D48" s="50">
        <v>6</v>
      </c>
      <c r="E48" s="50">
        <v>5</v>
      </c>
      <c r="F48" s="50">
        <v>20</v>
      </c>
      <c r="G48" s="50">
        <v>1</v>
      </c>
      <c r="H48" s="50">
        <v>0</v>
      </c>
      <c r="I48" s="50">
        <v>6</v>
      </c>
      <c r="J48" s="50">
        <v>4</v>
      </c>
      <c r="K48" s="50">
        <v>1</v>
      </c>
      <c r="L48" s="50">
        <v>1</v>
      </c>
      <c r="M48" s="50">
        <v>26</v>
      </c>
      <c r="N48" s="50">
        <v>0</v>
      </c>
      <c r="O48" s="15">
        <f t="shared" si="0"/>
        <v>71</v>
      </c>
      <c r="P48" s="15">
        <f t="shared" si="1"/>
        <v>97</v>
      </c>
      <c r="R48" s="8"/>
      <c r="T48"/>
    </row>
    <row r="49" spans="2:20" ht="23.1" customHeight="1" x14ac:dyDescent="0.25">
      <c r="B49" s="23" t="s">
        <v>76</v>
      </c>
      <c r="C49" s="50">
        <v>21</v>
      </c>
      <c r="D49" s="50">
        <v>6</v>
      </c>
      <c r="E49" s="50">
        <v>0</v>
      </c>
      <c r="F49" s="50">
        <v>15</v>
      </c>
      <c r="G49" s="50">
        <v>0</v>
      </c>
      <c r="H49" s="50">
        <v>0</v>
      </c>
      <c r="I49" s="50">
        <v>11</v>
      </c>
      <c r="J49" s="50">
        <v>2</v>
      </c>
      <c r="K49" s="50">
        <v>2</v>
      </c>
      <c r="L49" s="50">
        <v>4</v>
      </c>
      <c r="M49" s="50">
        <v>18</v>
      </c>
      <c r="N49" s="50">
        <v>0</v>
      </c>
      <c r="O49" s="15">
        <f t="shared" si="0"/>
        <v>61</v>
      </c>
      <c r="P49" s="15">
        <f t="shared" si="1"/>
        <v>79</v>
      </c>
      <c r="R49" s="8"/>
      <c r="T49"/>
    </row>
    <row r="50" spans="2:20" ht="23.1" customHeight="1" x14ac:dyDescent="0.25">
      <c r="B50" s="24" t="s">
        <v>77</v>
      </c>
      <c r="C50" s="50">
        <v>24</v>
      </c>
      <c r="D50" s="50">
        <v>11</v>
      </c>
      <c r="E50" s="50">
        <v>8</v>
      </c>
      <c r="F50" s="50">
        <v>22</v>
      </c>
      <c r="G50" s="50">
        <v>0</v>
      </c>
      <c r="H50" s="50">
        <v>2</v>
      </c>
      <c r="I50" s="50">
        <v>6</v>
      </c>
      <c r="J50" s="50">
        <v>3</v>
      </c>
      <c r="K50" s="50">
        <v>1</v>
      </c>
      <c r="L50" s="50">
        <v>1</v>
      </c>
      <c r="M50" s="50">
        <v>19</v>
      </c>
      <c r="N50" s="50">
        <v>0</v>
      </c>
      <c r="O50" s="15">
        <f t="shared" si="0"/>
        <v>78</v>
      </c>
      <c r="P50" s="15">
        <f t="shared" si="1"/>
        <v>97</v>
      </c>
      <c r="R50" s="8"/>
      <c r="T50"/>
    </row>
    <row r="51" spans="2:20" ht="23.1" customHeight="1" x14ac:dyDescent="0.25">
      <c r="B51" s="24" t="s">
        <v>78</v>
      </c>
      <c r="C51" s="50">
        <v>27</v>
      </c>
      <c r="D51" s="50">
        <v>11</v>
      </c>
      <c r="E51" s="50">
        <v>6</v>
      </c>
      <c r="F51" s="50">
        <v>22</v>
      </c>
      <c r="G51" s="50">
        <v>0</v>
      </c>
      <c r="H51" s="50">
        <v>0</v>
      </c>
      <c r="I51" s="50">
        <v>7</v>
      </c>
      <c r="J51" s="50">
        <v>4</v>
      </c>
      <c r="K51" s="50">
        <v>1</v>
      </c>
      <c r="L51" s="50">
        <v>1</v>
      </c>
      <c r="M51" s="50">
        <v>34</v>
      </c>
      <c r="N51" s="50">
        <v>0</v>
      </c>
      <c r="O51" s="15">
        <f t="shared" si="0"/>
        <v>79</v>
      </c>
      <c r="P51" s="15">
        <f t="shared" si="1"/>
        <v>113</v>
      </c>
      <c r="R51" s="8"/>
      <c r="T51"/>
    </row>
    <row r="52" spans="2:20" ht="23.1" customHeight="1" x14ac:dyDescent="0.25">
      <c r="B52" s="24" t="s">
        <v>79</v>
      </c>
      <c r="C52" s="50">
        <v>19</v>
      </c>
      <c r="D52" s="50">
        <v>3</v>
      </c>
      <c r="E52" s="50">
        <v>2</v>
      </c>
      <c r="F52" s="50">
        <v>15</v>
      </c>
      <c r="G52" s="50">
        <v>0</v>
      </c>
      <c r="H52" s="50">
        <v>0</v>
      </c>
      <c r="I52" s="50">
        <v>3</v>
      </c>
      <c r="J52" s="50">
        <v>1</v>
      </c>
      <c r="K52" s="50">
        <v>2</v>
      </c>
      <c r="L52" s="50">
        <v>0</v>
      </c>
      <c r="M52" s="50">
        <v>18</v>
      </c>
      <c r="N52" s="50">
        <v>0</v>
      </c>
      <c r="O52" s="15">
        <f t="shared" si="0"/>
        <v>45</v>
      </c>
      <c r="P52" s="15">
        <f t="shared" si="1"/>
        <v>63</v>
      </c>
      <c r="R52" s="8"/>
      <c r="T52"/>
    </row>
    <row r="53" spans="2:20" ht="23.1" customHeight="1" x14ac:dyDescent="0.25">
      <c r="B53" s="23" t="s">
        <v>80</v>
      </c>
      <c r="C53" s="50">
        <v>34</v>
      </c>
      <c r="D53" s="50">
        <v>10</v>
      </c>
      <c r="E53" s="50">
        <v>2</v>
      </c>
      <c r="F53" s="50">
        <v>21</v>
      </c>
      <c r="G53" s="50">
        <v>1</v>
      </c>
      <c r="H53" s="50">
        <v>0</v>
      </c>
      <c r="I53" s="50">
        <v>3</v>
      </c>
      <c r="J53" s="50">
        <v>3</v>
      </c>
      <c r="K53" s="50">
        <v>3</v>
      </c>
      <c r="L53" s="50">
        <v>2</v>
      </c>
      <c r="M53" s="50">
        <v>18</v>
      </c>
      <c r="N53" s="50">
        <v>0</v>
      </c>
      <c r="O53" s="15">
        <f t="shared" si="0"/>
        <v>79</v>
      </c>
      <c r="P53" s="15">
        <f t="shared" si="1"/>
        <v>97</v>
      </c>
      <c r="R53" s="8"/>
      <c r="T53"/>
    </row>
    <row r="54" spans="2:20" ht="23.1" customHeight="1" x14ac:dyDescent="0.25">
      <c r="B54" s="23" t="s">
        <v>81</v>
      </c>
      <c r="C54" s="50">
        <v>39</v>
      </c>
      <c r="D54" s="50">
        <v>4</v>
      </c>
      <c r="E54" s="50">
        <v>3</v>
      </c>
      <c r="F54" s="50">
        <v>29</v>
      </c>
      <c r="G54" s="50">
        <v>3</v>
      </c>
      <c r="H54" s="50">
        <v>1</v>
      </c>
      <c r="I54" s="50">
        <v>7</v>
      </c>
      <c r="J54" s="50">
        <v>4</v>
      </c>
      <c r="K54" s="50">
        <v>1</v>
      </c>
      <c r="L54" s="50">
        <v>1</v>
      </c>
      <c r="M54" s="50">
        <v>19</v>
      </c>
      <c r="N54" s="50">
        <v>0</v>
      </c>
      <c r="O54" s="15">
        <f t="shared" si="0"/>
        <v>92</v>
      </c>
      <c r="P54" s="15">
        <f t="shared" si="1"/>
        <v>111</v>
      </c>
      <c r="R54" s="8"/>
      <c r="T54"/>
    </row>
    <row r="55" spans="2:20" ht="23.1" customHeight="1" x14ac:dyDescent="0.25">
      <c r="B55" s="23" t="s">
        <v>82</v>
      </c>
      <c r="C55" s="50">
        <v>40</v>
      </c>
      <c r="D55" s="50">
        <v>13</v>
      </c>
      <c r="E55" s="50">
        <v>11</v>
      </c>
      <c r="F55" s="50">
        <v>39</v>
      </c>
      <c r="G55" s="50">
        <v>6</v>
      </c>
      <c r="H55" s="50">
        <v>2</v>
      </c>
      <c r="I55" s="50">
        <v>3</v>
      </c>
      <c r="J55" s="50">
        <v>1</v>
      </c>
      <c r="K55" s="50">
        <v>2</v>
      </c>
      <c r="L55" s="50">
        <v>1</v>
      </c>
      <c r="M55" s="50">
        <v>13</v>
      </c>
      <c r="N55" s="50">
        <v>0</v>
      </c>
      <c r="O55" s="15">
        <f t="shared" si="0"/>
        <v>118</v>
      </c>
      <c r="P55" s="15">
        <f t="shared" si="1"/>
        <v>131</v>
      </c>
      <c r="R55" s="8"/>
      <c r="T55"/>
    </row>
    <row r="56" spans="2:20" ht="23.1" customHeight="1" x14ac:dyDescent="0.25">
      <c r="B56" s="23" t="s">
        <v>83</v>
      </c>
      <c r="C56" s="50">
        <v>27</v>
      </c>
      <c r="D56" s="50">
        <v>7</v>
      </c>
      <c r="E56" s="50">
        <v>6</v>
      </c>
      <c r="F56" s="50">
        <v>30</v>
      </c>
      <c r="G56" s="50">
        <v>1</v>
      </c>
      <c r="H56" s="50">
        <v>0</v>
      </c>
      <c r="I56" s="50">
        <v>12</v>
      </c>
      <c r="J56" s="50">
        <v>2</v>
      </c>
      <c r="K56" s="50">
        <v>1</v>
      </c>
      <c r="L56" s="50">
        <v>0</v>
      </c>
      <c r="M56" s="50">
        <v>27</v>
      </c>
      <c r="N56" s="50">
        <v>0</v>
      </c>
      <c r="O56" s="15">
        <f t="shared" si="0"/>
        <v>86</v>
      </c>
      <c r="P56" s="15">
        <f t="shared" si="1"/>
        <v>113</v>
      </c>
      <c r="R56" s="8"/>
      <c r="T56"/>
    </row>
    <row r="57" spans="2:20" ht="23.1" customHeight="1" x14ac:dyDescent="0.25">
      <c r="B57" s="23" t="s">
        <v>84</v>
      </c>
      <c r="C57" s="50">
        <v>32</v>
      </c>
      <c r="D57" s="50">
        <v>5</v>
      </c>
      <c r="E57" s="50">
        <v>5</v>
      </c>
      <c r="F57" s="50">
        <v>22</v>
      </c>
      <c r="G57" s="50">
        <v>2</v>
      </c>
      <c r="H57" s="50">
        <v>0</v>
      </c>
      <c r="I57" s="50">
        <v>9</v>
      </c>
      <c r="J57" s="50">
        <v>6</v>
      </c>
      <c r="K57" s="50">
        <v>0</v>
      </c>
      <c r="L57" s="50">
        <v>1</v>
      </c>
      <c r="M57" s="50">
        <v>38</v>
      </c>
      <c r="N57" s="50">
        <v>0</v>
      </c>
      <c r="O57" s="15">
        <f t="shared" si="0"/>
        <v>82</v>
      </c>
      <c r="P57" s="15">
        <f t="shared" si="1"/>
        <v>120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974</v>
      </c>
      <c r="D58" s="16">
        <f t="shared" si="21"/>
        <v>190</v>
      </c>
      <c r="E58" s="16">
        <f t="shared" si="21"/>
        <v>201</v>
      </c>
      <c r="F58" s="16">
        <f t="shared" si="21"/>
        <v>837</v>
      </c>
      <c r="G58" s="16">
        <f t="shared" si="21"/>
        <v>18</v>
      </c>
      <c r="H58" s="16">
        <f t="shared" si="21"/>
        <v>14</v>
      </c>
      <c r="I58" s="16">
        <f t="shared" si="21"/>
        <v>232</v>
      </c>
      <c r="J58" s="16">
        <f t="shared" si="21"/>
        <v>116</v>
      </c>
      <c r="K58" s="16">
        <f t="shared" si="21"/>
        <v>35</v>
      </c>
      <c r="L58" s="16">
        <f t="shared" si="21"/>
        <v>29</v>
      </c>
      <c r="M58" s="16">
        <f t="shared" si="21"/>
        <v>905</v>
      </c>
      <c r="N58" s="16">
        <f t="shared" si="21"/>
        <v>0</v>
      </c>
      <c r="O58" s="16">
        <f t="shared" si="21"/>
        <v>2646</v>
      </c>
      <c r="P58" s="16">
        <f t="shared" si="21"/>
        <v>3551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0.27428893269501547</v>
      </c>
      <c r="D59" s="43">
        <f t="shared" si="22"/>
        <v>5.3506054632497885E-2</v>
      </c>
      <c r="E59" s="43">
        <f t="shared" si="22"/>
        <v>5.6603773584905662E-2</v>
      </c>
      <c r="F59" s="43">
        <f t="shared" si="22"/>
        <v>0.23570825119684596</v>
      </c>
      <c r="G59" s="43">
        <f t="shared" si="22"/>
        <v>5.0689946493945367E-3</v>
      </c>
      <c r="H59" s="43">
        <f t="shared" si="22"/>
        <v>3.942551393973529E-3</v>
      </c>
      <c r="I59" s="43">
        <f t="shared" si="22"/>
        <v>6.5333708814418467E-2</v>
      </c>
      <c r="J59" s="43">
        <f t="shared" si="22"/>
        <v>3.2666854407209234E-2</v>
      </c>
      <c r="K59" s="43">
        <f t="shared" si="22"/>
        <v>9.8563784849338212E-3</v>
      </c>
      <c r="L59" s="43">
        <f t="shared" si="22"/>
        <v>8.1667136018023084E-3</v>
      </c>
      <c r="M59" s="43">
        <f t="shared" si="22"/>
        <v>0.25485778653900309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0.36810279667422524</v>
      </c>
      <c r="D60" s="44">
        <f t="shared" ref="D60:N60" si="23">D58/$O$58</f>
        <v>7.1806500377928947E-2</v>
      </c>
      <c r="E60" s="44">
        <f t="shared" si="23"/>
        <v>7.5963718820861684E-2</v>
      </c>
      <c r="F60" s="44">
        <f t="shared" si="23"/>
        <v>0.31632653061224492</v>
      </c>
      <c r="G60" s="44">
        <f t="shared" si="23"/>
        <v>6.8027210884353739E-3</v>
      </c>
      <c r="H60" s="44">
        <f t="shared" si="23"/>
        <v>5.2910052910052907E-3</v>
      </c>
      <c r="I60" s="44">
        <f t="shared" si="23"/>
        <v>8.7679516250944819E-2</v>
      </c>
      <c r="J60" s="44">
        <f t="shared" si="23"/>
        <v>4.383975812547241E-2</v>
      </c>
      <c r="K60" s="44">
        <f t="shared" si="23"/>
        <v>1.3227513227513227E-2</v>
      </c>
      <c r="L60" s="44">
        <f t="shared" si="23"/>
        <v>1.0959939531368102E-2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F126"/>
  <sheetViews>
    <sheetView view="pageBreakPreview" topLeftCell="A34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'29.10 Buloba-Bujuko'!C3:G3</f>
        <v>MCC - C2 - STN62 - BUJUKO-BULOBA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'1.11 Bujuko-Buloba'!D5</f>
        <v>1.11.19</v>
      </c>
      <c r="E5" s="3"/>
      <c r="F5" s="41" t="s">
        <v>1</v>
      </c>
      <c r="G5" s="66" t="str">
        <f>'29.10 Bujuko-Buloba'!G5:H5</f>
        <v>Buloba Pop Oil</v>
      </c>
      <c r="H5" s="67"/>
      <c r="I5" s="14"/>
      <c r="J5" s="2" t="s">
        <v>5</v>
      </c>
      <c r="K5" s="66" t="s">
        <v>177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'29.10 Buloba-Bujuko'!D6:E6</f>
        <v>Buloba</v>
      </c>
      <c r="E6" s="67"/>
      <c r="F6" s="2" t="s">
        <v>2</v>
      </c>
      <c r="G6" s="66" t="str">
        <f>'29.10 Buloba-Bujuko'!G6:H6</f>
        <v>Bujuko</v>
      </c>
      <c r="H6" s="67"/>
      <c r="J6" s="2" t="s">
        <v>21</v>
      </c>
      <c r="K6" s="66" t="str">
        <f>'29.10 Bujuko-Buloba'!K6:L6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17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10</v>
      </c>
      <c r="N10" s="50">
        <v>0</v>
      </c>
      <c r="O10" s="15">
        <f t="shared" ref="O10:O57" si="0">SUM(C10:L10,N10)</f>
        <v>17</v>
      </c>
      <c r="P10" s="15">
        <f t="shared" ref="P10:P57" si="1">SUM(C10:N10)</f>
        <v>27</v>
      </c>
      <c r="R10" s="1" t="s">
        <v>6</v>
      </c>
      <c r="S10" s="17">
        <f t="shared" ref="S10:AF10" si="2">SUM(C10:C13)</f>
        <v>73</v>
      </c>
      <c r="T10" s="17">
        <f t="shared" si="2"/>
        <v>9</v>
      </c>
      <c r="U10" s="17">
        <f t="shared" si="2"/>
        <v>9</v>
      </c>
      <c r="V10" s="17">
        <f t="shared" si="2"/>
        <v>29</v>
      </c>
      <c r="W10" s="17">
        <f t="shared" si="2"/>
        <v>0</v>
      </c>
      <c r="X10" s="17">
        <f t="shared" si="2"/>
        <v>0</v>
      </c>
      <c r="Y10" s="17">
        <f t="shared" si="2"/>
        <v>8</v>
      </c>
      <c r="Z10" s="17">
        <f t="shared" si="2"/>
        <v>13</v>
      </c>
      <c r="AA10" s="17">
        <f t="shared" si="2"/>
        <v>2</v>
      </c>
      <c r="AB10" s="17">
        <f t="shared" si="2"/>
        <v>1</v>
      </c>
      <c r="AC10" s="17">
        <f t="shared" si="2"/>
        <v>46</v>
      </c>
      <c r="AD10" s="17">
        <f t="shared" si="2"/>
        <v>0</v>
      </c>
      <c r="AE10" s="31">
        <f t="shared" si="2"/>
        <v>144</v>
      </c>
      <c r="AF10" s="31">
        <f t="shared" si="2"/>
        <v>190</v>
      </c>
    </row>
    <row r="11" spans="2:32" s="6" customFormat="1" ht="23.1" customHeight="1" x14ac:dyDescent="0.25">
      <c r="B11" s="23" t="s">
        <v>38</v>
      </c>
      <c r="C11" s="50">
        <v>14</v>
      </c>
      <c r="D11" s="50">
        <v>1</v>
      </c>
      <c r="E11" s="50">
        <v>0</v>
      </c>
      <c r="F11" s="50">
        <v>8</v>
      </c>
      <c r="G11" s="50">
        <v>0</v>
      </c>
      <c r="H11" s="50">
        <v>0</v>
      </c>
      <c r="I11" s="50">
        <v>0</v>
      </c>
      <c r="J11" s="50">
        <v>0</v>
      </c>
      <c r="K11" s="50">
        <v>1</v>
      </c>
      <c r="L11" s="50">
        <v>1</v>
      </c>
      <c r="M11" s="50">
        <v>7</v>
      </c>
      <c r="N11" s="50">
        <v>0</v>
      </c>
      <c r="O11" s="15">
        <f t="shared" si="0"/>
        <v>25</v>
      </c>
      <c r="P11" s="15">
        <f t="shared" si="1"/>
        <v>32</v>
      </c>
      <c r="R11" s="1" t="s">
        <v>7</v>
      </c>
      <c r="S11" s="17">
        <f t="shared" ref="S11:AF11" si="3">SUM(C14:C17)</f>
        <v>45</v>
      </c>
      <c r="T11" s="17">
        <f t="shared" si="3"/>
        <v>21</v>
      </c>
      <c r="U11" s="17">
        <f t="shared" si="3"/>
        <v>16</v>
      </c>
      <c r="V11" s="17">
        <f t="shared" si="3"/>
        <v>34</v>
      </c>
      <c r="W11" s="17">
        <f t="shared" si="3"/>
        <v>0</v>
      </c>
      <c r="X11" s="17">
        <f t="shared" si="3"/>
        <v>1</v>
      </c>
      <c r="Y11" s="17">
        <f t="shared" si="3"/>
        <v>14</v>
      </c>
      <c r="Z11" s="17">
        <f t="shared" si="3"/>
        <v>17</v>
      </c>
      <c r="AA11" s="17">
        <f t="shared" si="3"/>
        <v>1</v>
      </c>
      <c r="AB11" s="17">
        <f t="shared" si="3"/>
        <v>2</v>
      </c>
      <c r="AC11" s="17">
        <f t="shared" si="3"/>
        <v>53</v>
      </c>
      <c r="AD11" s="17">
        <f t="shared" si="3"/>
        <v>0</v>
      </c>
      <c r="AE11" s="31">
        <f t="shared" si="3"/>
        <v>151</v>
      </c>
      <c r="AF11" s="31">
        <f t="shared" si="3"/>
        <v>204</v>
      </c>
    </row>
    <row r="12" spans="2:32" ht="23.1" customHeight="1" x14ac:dyDescent="0.25">
      <c r="B12" s="23" t="s">
        <v>39</v>
      </c>
      <c r="C12" s="50">
        <v>16</v>
      </c>
      <c r="D12" s="50">
        <v>3</v>
      </c>
      <c r="E12" s="50">
        <v>3</v>
      </c>
      <c r="F12" s="50">
        <v>11</v>
      </c>
      <c r="G12" s="50">
        <v>0</v>
      </c>
      <c r="H12" s="50">
        <v>0</v>
      </c>
      <c r="I12" s="50">
        <v>5</v>
      </c>
      <c r="J12" s="50">
        <v>5</v>
      </c>
      <c r="K12" s="50">
        <v>1</v>
      </c>
      <c r="L12" s="50">
        <v>0</v>
      </c>
      <c r="M12" s="50">
        <v>11</v>
      </c>
      <c r="N12" s="50">
        <v>0</v>
      </c>
      <c r="O12" s="15">
        <f t="shared" si="0"/>
        <v>44</v>
      </c>
      <c r="P12" s="15">
        <f t="shared" si="1"/>
        <v>55</v>
      </c>
      <c r="R12" s="1" t="s">
        <v>8</v>
      </c>
      <c r="S12" s="17">
        <f t="shared" ref="S12:AF12" si="4">SUM(C18:C21)</f>
        <v>21</v>
      </c>
      <c r="T12" s="17">
        <f t="shared" si="4"/>
        <v>14</v>
      </c>
      <c r="U12" s="17">
        <f t="shared" si="4"/>
        <v>10</v>
      </c>
      <c r="V12" s="17">
        <f t="shared" si="4"/>
        <v>26</v>
      </c>
      <c r="W12" s="17">
        <f t="shared" si="4"/>
        <v>1</v>
      </c>
      <c r="X12" s="17">
        <f t="shared" si="4"/>
        <v>1</v>
      </c>
      <c r="Y12" s="17">
        <f t="shared" si="4"/>
        <v>8</v>
      </c>
      <c r="Z12" s="17">
        <f t="shared" si="4"/>
        <v>10</v>
      </c>
      <c r="AA12" s="17">
        <f t="shared" si="4"/>
        <v>5</v>
      </c>
      <c r="AB12" s="17">
        <f t="shared" si="4"/>
        <v>1</v>
      </c>
      <c r="AC12" s="17">
        <f t="shared" si="4"/>
        <v>36</v>
      </c>
      <c r="AD12" s="17">
        <f t="shared" si="4"/>
        <v>0</v>
      </c>
      <c r="AE12" s="31">
        <f t="shared" si="4"/>
        <v>97</v>
      </c>
      <c r="AF12" s="31">
        <f t="shared" si="4"/>
        <v>133</v>
      </c>
    </row>
    <row r="13" spans="2:32" ht="23.1" customHeight="1" x14ac:dyDescent="0.25">
      <c r="B13" s="23" t="s">
        <v>40</v>
      </c>
      <c r="C13" s="50">
        <v>26</v>
      </c>
      <c r="D13" s="50">
        <v>5</v>
      </c>
      <c r="E13" s="50">
        <v>6</v>
      </c>
      <c r="F13" s="50">
        <v>10</v>
      </c>
      <c r="G13" s="50">
        <v>0</v>
      </c>
      <c r="H13" s="50">
        <v>0</v>
      </c>
      <c r="I13" s="50">
        <v>3</v>
      </c>
      <c r="J13" s="50">
        <v>8</v>
      </c>
      <c r="K13" s="50">
        <v>0</v>
      </c>
      <c r="L13" s="50">
        <v>0</v>
      </c>
      <c r="M13" s="50">
        <v>18</v>
      </c>
      <c r="N13" s="50">
        <v>0</v>
      </c>
      <c r="O13" s="15">
        <f t="shared" si="0"/>
        <v>58</v>
      </c>
      <c r="P13" s="15">
        <f t="shared" si="1"/>
        <v>76</v>
      </c>
      <c r="R13" s="1" t="s">
        <v>9</v>
      </c>
      <c r="S13" s="17">
        <f t="shared" ref="S13:AF13" si="5">SUM(C22:C25)</f>
        <v>43</v>
      </c>
      <c r="T13" s="17">
        <f t="shared" si="5"/>
        <v>22</v>
      </c>
      <c r="U13" s="17">
        <f t="shared" si="5"/>
        <v>15</v>
      </c>
      <c r="V13" s="17">
        <f t="shared" si="5"/>
        <v>65</v>
      </c>
      <c r="W13" s="17">
        <f t="shared" si="5"/>
        <v>0</v>
      </c>
      <c r="X13" s="17">
        <f t="shared" si="5"/>
        <v>3</v>
      </c>
      <c r="Y13" s="17">
        <f t="shared" si="5"/>
        <v>26</v>
      </c>
      <c r="Z13" s="17">
        <f t="shared" si="5"/>
        <v>12</v>
      </c>
      <c r="AA13" s="17">
        <f t="shared" si="5"/>
        <v>6</v>
      </c>
      <c r="AB13" s="17">
        <f t="shared" si="5"/>
        <v>3</v>
      </c>
      <c r="AC13" s="17">
        <f t="shared" si="5"/>
        <v>82</v>
      </c>
      <c r="AD13" s="17">
        <f t="shared" si="5"/>
        <v>0</v>
      </c>
      <c r="AE13" s="31">
        <f t="shared" si="5"/>
        <v>195</v>
      </c>
      <c r="AF13" s="31">
        <f t="shared" si="5"/>
        <v>277</v>
      </c>
    </row>
    <row r="14" spans="2:32" ht="23.1" customHeight="1" x14ac:dyDescent="0.25">
      <c r="B14" s="23" t="s">
        <v>41</v>
      </c>
      <c r="C14" s="50">
        <v>17</v>
      </c>
      <c r="D14" s="50">
        <v>10</v>
      </c>
      <c r="E14" s="50">
        <v>4</v>
      </c>
      <c r="F14" s="50">
        <v>11</v>
      </c>
      <c r="G14" s="50">
        <v>0</v>
      </c>
      <c r="H14" s="50">
        <v>1</v>
      </c>
      <c r="I14" s="50">
        <v>4</v>
      </c>
      <c r="J14" s="50">
        <v>5</v>
      </c>
      <c r="K14" s="50">
        <v>0</v>
      </c>
      <c r="L14" s="50">
        <v>2</v>
      </c>
      <c r="M14" s="50">
        <v>18</v>
      </c>
      <c r="N14" s="50">
        <v>0</v>
      </c>
      <c r="O14" s="15">
        <f t="shared" si="0"/>
        <v>54</v>
      </c>
      <c r="P14" s="15">
        <f t="shared" si="1"/>
        <v>72</v>
      </c>
      <c r="R14" s="1" t="s">
        <v>10</v>
      </c>
      <c r="S14" s="17">
        <f t="shared" ref="S14:AF14" si="6">SUM(C26:C29)</f>
        <v>31</v>
      </c>
      <c r="T14" s="17">
        <f t="shared" si="6"/>
        <v>16</v>
      </c>
      <c r="U14" s="17">
        <f t="shared" si="6"/>
        <v>6</v>
      </c>
      <c r="V14" s="17">
        <f t="shared" si="6"/>
        <v>78</v>
      </c>
      <c r="W14" s="17">
        <f t="shared" si="6"/>
        <v>1</v>
      </c>
      <c r="X14" s="17">
        <f t="shared" si="6"/>
        <v>4</v>
      </c>
      <c r="Y14" s="17">
        <f t="shared" si="6"/>
        <v>28</v>
      </c>
      <c r="Z14" s="17">
        <f t="shared" si="6"/>
        <v>13</v>
      </c>
      <c r="AA14" s="17">
        <f t="shared" si="6"/>
        <v>1</v>
      </c>
      <c r="AB14" s="17">
        <f t="shared" si="6"/>
        <v>0</v>
      </c>
      <c r="AC14" s="17">
        <f t="shared" si="6"/>
        <v>92</v>
      </c>
      <c r="AD14" s="17">
        <f t="shared" si="6"/>
        <v>0</v>
      </c>
      <c r="AE14" s="31">
        <f t="shared" si="6"/>
        <v>178</v>
      </c>
      <c r="AF14" s="31">
        <f t="shared" si="6"/>
        <v>270</v>
      </c>
    </row>
    <row r="15" spans="2:32" ht="23.1" customHeight="1" x14ac:dyDescent="0.25">
      <c r="B15" s="23" t="s">
        <v>42</v>
      </c>
      <c r="C15" s="50">
        <v>8</v>
      </c>
      <c r="D15" s="50">
        <v>3</v>
      </c>
      <c r="E15" s="50">
        <v>1</v>
      </c>
      <c r="F15" s="50">
        <v>9</v>
      </c>
      <c r="G15" s="50">
        <v>0</v>
      </c>
      <c r="H15" s="50">
        <v>0</v>
      </c>
      <c r="I15" s="50">
        <v>2</v>
      </c>
      <c r="J15" s="50">
        <v>4</v>
      </c>
      <c r="K15" s="50">
        <v>0</v>
      </c>
      <c r="L15" s="50">
        <v>0</v>
      </c>
      <c r="M15" s="50">
        <v>11</v>
      </c>
      <c r="N15" s="50">
        <v>0</v>
      </c>
      <c r="O15" s="15">
        <f t="shared" si="0"/>
        <v>27</v>
      </c>
      <c r="P15" s="15">
        <f t="shared" si="1"/>
        <v>38</v>
      </c>
      <c r="R15" s="1" t="s">
        <v>11</v>
      </c>
      <c r="S15" s="17">
        <f t="shared" ref="S15:AF15" si="7">SUM(C30:C33)</f>
        <v>36</v>
      </c>
      <c r="T15" s="17">
        <f t="shared" si="7"/>
        <v>21</v>
      </c>
      <c r="U15" s="17">
        <f t="shared" si="7"/>
        <v>7</v>
      </c>
      <c r="V15" s="17">
        <f t="shared" si="7"/>
        <v>39</v>
      </c>
      <c r="W15" s="17">
        <f t="shared" si="7"/>
        <v>0</v>
      </c>
      <c r="X15" s="17">
        <f t="shared" si="7"/>
        <v>0</v>
      </c>
      <c r="Y15" s="17">
        <f t="shared" si="7"/>
        <v>26</v>
      </c>
      <c r="Z15" s="17">
        <f t="shared" si="7"/>
        <v>10</v>
      </c>
      <c r="AA15" s="17">
        <f t="shared" si="7"/>
        <v>7</v>
      </c>
      <c r="AB15" s="17">
        <f t="shared" si="7"/>
        <v>1</v>
      </c>
      <c r="AC15" s="17">
        <f t="shared" si="7"/>
        <v>65</v>
      </c>
      <c r="AD15" s="17">
        <f t="shared" si="7"/>
        <v>0</v>
      </c>
      <c r="AE15" s="31">
        <f t="shared" si="7"/>
        <v>147</v>
      </c>
      <c r="AF15" s="31">
        <f t="shared" si="7"/>
        <v>212</v>
      </c>
    </row>
    <row r="16" spans="2:32" ht="23.1" customHeight="1" x14ac:dyDescent="0.25">
      <c r="B16" s="23" t="s">
        <v>43</v>
      </c>
      <c r="C16" s="50">
        <v>12</v>
      </c>
      <c r="D16" s="50">
        <v>3</v>
      </c>
      <c r="E16" s="50">
        <v>2</v>
      </c>
      <c r="F16" s="50">
        <v>7</v>
      </c>
      <c r="G16" s="50">
        <v>0</v>
      </c>
      <c r="H16" s="50">
        <v>0</v>
      </c>
      <c r="I16" s="50">
        <v>5</v>
      </c>
      <c r="J16" s="50">
        <v>8</v>
      </c>
      <c r="K16" s="50">
        <v>0</v>
      </c>
      <c r="L16" s="50">
        <v>0</v>
      </c>
      <c r="M16" s="50">
        <v>9</v>
      </c>
      <c r="N16" s="50">
        <v>0</v>
      </c>
      <c r="O16" s="15">
        <f t="shared" si="0"/>
        <v>37</v>
      </c>
      <c r="P16" s="15">
        <f t="shared" si="1"/>
        <v>46</v>
      </c>
      <c r="R16" s="1" t="s">
        <v>12</v>
      </c>
      <c r="S16" s="17">
        <f t="shared" ref="S16:AF16" si="8">SUM(C34:C37)</f>
        <v>64</v>
      </c>
      <c r="T16" s="17">
        <f t="shared" si="8"/>
        <v>14</v>
      </c>
      <c r="U16" s="17">
        <f t="shared" si="8"/>
        <v>12</v>
      </c>
      <c r="V16" s="17">
        <f t="shared" si="8"/>
        <v>86</v>
      </c>
      <c r="W16" s="17">
        <f t="shared" si="8"/>
        <v>4</v>
      </c>
      <c r="X16" s="17">
        <f t="shared" si="8"/>
        <v>4</v>
      </c>
      <c r="Y16" s="17">
        <f t="shared" si="8"/>
        <v>26</v>
      </c>
      <c r="Z16" s="17">
        <f t="shared" si="8"/>
        <v>11</v>
      </c>
      <c r="AA16" s="17">
        <f t="shared" si="8"/>
        <v>6</v>
      </c>
      <c r="AB16" s="17">
        <f t="shared" si="8"/>
        <v>1</v>
      </c>
      <c r="AC16" s="17">
        <f t="shared" si="8"/>
        <v>49</v>
      </c>
      <c r="AD16" s="17">
        <f t="shared" si="8"/>
        <v>0</v>
      </c>
      <c r="AE16" s="31">
        <f t="shared" si="8"/>
        <v>228</v>
      </c>
      <c r="AF16" s="31">
        <f t="shared" si="8"/>
        <v>277</v>
      </c>
    </row>
    <row r="17" spans="2:32" ht="23.1" customHeight="1" x14ac:dyDescent="0.25">
      <c r="B17" s="23" t="s">
        <v>44</v>
      </c>
      <c r="C17" s="50">
        <v>8</v>
      </c>
      <c r="D17" s="50">
        <v>5</v>
      </c>
      <c r="E17" s="50">
        <v>9</v>
      </c>
      <c r="F17" s="50">
        <v>7</v>
      </c>
      <c r="G17" s="50">
        <v>0</v>
      </c>
      <c r="H17" s="50">
        <v>0</v>
      </c>
      <c r="I17" s="50">
        <v>3</v>
      </c>
      <c r="J17" s="50">
        <v>0</v>
      </c>
      <c r="K17" s="50">
        <v>1</v>
      </c>
      <c r="L17" s="50">
        <v>0</v>
      </c>
      <c r="M17" s="50">
        <v>15</v>
      </c>
      <c r="N17" s="50">
        <v>0</v>
      </c>
      <c r="O17" s="15">
        <f t="shared" si="0"/>
        <v>33</v>
      </c>
      <c r="P17" s="15">
        <f t="shared" si="1"/>
        <v>48</v>
      </c>
      <c r="R17" s="1" t="s">
        <v>13</v>
      </c>
      <c r="S17" s="17">
        <f t="shared" ref="S17:AF17" si="9">SUM(C38:C41)</f>
        <v>54</v>
      </c>
      <c r="T17" s="17">
        <f t="shared" si="9"/>
        <v>4</v>
      </c>
      <c r="U17" s="17">
        <f t="shared" si="9"/>
        <v>6</v>
      </c>
      <c r="V17" s="17">
        <f t="shared" si="9"/>
        <v>75</v>
      </c>
      <c r="W17" s="17">
        <f t="shared" si="9"/>
        <v>1</v>
      </c>
      <c r="X17" s="17">
        <f t="shared" si="9"/>
        <v>1</v>
      </c>
      <c r="Y17" s="17">
        <f t="shared" si="9"/>
        <v>21</v>
      </c>
      <c r="Z17" s="17">
        <f t="shared" si="9"/>
        <v>12</v>
      </c>
      <c r="AA17" s="17">
        <f t="shared" si="9"/>
        <v>1</v>
      </c>
      <c r="AB17" s="17">
        <f t="shared" si="9"/>
        <v>3</v>
      </c>
      <c r="AC17" s="17">
        <f t="shared" si="9"/>
        <v>10</v>
      </c>
      <c r="AD17" s="17">
        <f t="shared" si="9"/>
        <v>0</v>
      </c>
      <c r="AE17" s="31">
        <f t="shared" si="9"/>
        <v>178</v>
      </c>
      <c r="AF17" s="31">
        <f t="shared" si="9"/>
        <v>188</v>
      </c>
    </row>
    <row r="18" spans="2:32" ht="23.1" customHeight="1" x14ac:dyDescent="0.25">
      <c r="B18" s="23" t="s">
        <v>45</v>
      </c>
      <c r="C18" s="50">
        <v>2</v>
      </c>
      <c r="D18" s="50">
        <v>7</v>
      </c>
      <c r="E18" s="50">
        <v>2</v>
      </c>
      <c r="F18" s="50">
        <v>7</v>
      </c>
      <c r="G18" s="50">
        <v>0</v>
      </c>
      <c r="H18" s="50">
        <v>1</v>
      </c>
      <c r="I18" s="50">
        <v>4</v>
      </c>
      <c r="J18" s="50">
        <v>7</v>
      </c>
      <c r="K18" s="50">
        <v>1</v>
      </c>
      <c r="L18" s="50">
        <v>1</v>
      </c>
      <c r="M18" s="50">
        <v>14</v>
      </c>
      <c r="N18" s="50">
        <v>0</v>
      </c>
      <c r="O18" s="15">
        <f t="shared" si="0"/>
        <v>32</v>
      </c>
      <c r="P18" s="15">
        <f t="shared" si="1"/>
        <v>46</v>
      </c>
      <c r="R18" s="1" t="s">
        <v>14</v>
      </c>
      <c r="S18" s="17">
        <f t="shared" ref="S18:AF18" si="10">SUM(C42:C45)</f>
        <v>75</v>
      </c>
      <c r="T18" s="17">
        <f t="shared" si="10"/>
        <v>16</v>
      </c>
      <c r="U18" s="17">
        <f t="shared" si="10"/>
        <v>8</v>
      </c>
      <c r="V18" s="17">
        <f t="shared" si="10"/>
        <v>73</v>
      </c>
      <c r="W18" s="17">
        <f t="shared" si="10"/>
        <v>0</v>
      </c>
      <c r="X18" s="17">
        <f t="shared" si="10"/>
        <v>3</v>
      </c>
      <c r="Y18" s="17">
        <f t="shared" si="10"/>
        <v>25</v>
      </c>
      <c r="Z18" s="17">
        <f t="shared" si="10"/>
        <v>20</v>
      </c>
      <c r="AA18" s="17">
        <f t="shared" si="10"/>
        <v>4</v>
      </c>
      <c r="AB18" s="17">
        <f t="shared" si="10"/>
        <v>3</v>
      </c>
      <c r="AC18" s="17">
        <f t="shared" si="10"/>
        <v>45</v>
      </c>
      <c r="AD18" s="17">
        <f t="shared" si="10"/>
        <v>0</v>
      </c>
      <c r="AE18" s="31">
        <f t="shared" si="10"/>
        <v>227</v>
      </c>
      <c r="AF18" s="31">
        <f t="shared" si="10"/>
        <v>272</v>
      </c>
    </row>
    <row r="19" spans="2:32" ht="23.1" customHeight="1" x14ac:dyDescent="0.25">
      <c r="B19" s="23" t="s">
        <v>46</v>
      </c>
      <c r="C19" s="50">
        <v>11</v>
      </c>
      <c r="D19" s="50">
        <v>3</v>
      </c>
      <c r="E19" s="50">
        <v>3</v>
      </c>
      <c r="F19" s="50">
        <v>2</v>
      </c>
      <c r="G19" s="50">
        <v>0</v>
      </c>
      <c r="H19" s="50">
        <v>0</v>
      </c>
      <c r="I19" s="50">
        <v>0</v>
      </c>
      <c r="J19" s="50">
        <v>0</v>
      </c>
      <c r="K19" s="50">
        <v>3</v>
      </c>
      <c r="L19" s="50">
        <v>0</v>
      </c>
      <c r="M19" s="50">
        <v>9</v>
      </c>
      <c r="N19" s="50">
        <v>0</v>
      </c>
      <c r="O19" s="15">
        <f t="shared" si="0"/>
        <v>22</v>
      </c>
      <c r="P19" s="15">
        <f t="shared" si="1"/>
        <v>31</v>
      </c>
      <c r="R19" s="1" t="s">
        <v>15</v>
      </c>
      <c r="S19" s="17">
        <f t="shared" ref="S19:AF19" si="11">SUM(C46:C49)</f>
        <v>71</v>
      </c>
      <c r="T19" s="17">
        <f t="shared" si="11"/>
        <v>15</v>
      </c>
      <c r="U19" s="17">
        <f t="shared" si="11"/>
        <v>15</v>
      </c>
      <c r="V19" s="17">
        <f t="shared" si="11"/>
        <v>74</v>
      </c>
      <c r="W19" s="17">
        <f t="shared" si="11"/>
        <v>0</v>
      </c>
      <c r="X19" s="17">
        <f t="shared" si="11"/>
        <v>2</v>
      </c>
      <c r="Y19" s="17">
        <f t="shared" si="11"/>
        <v>23</v>
      </c>
      <c r="Z19" s="17">
        <f t="shared" si="11"/>
        <v>9</v>
      </c>
      <c r="AA19" s="17">
        <f t="shared" si="11"/>
        <v>6</v>
      </c>
      <c r="AB19" s="17">
        <f t="shared" si="11"/>
        <v>5</v>
      </c>
      <c r="AC19" s="17">
        <f t="shared" si="11"/>
        <v>50</v>
      </c>
      <c r="AD19" s="17">
        <f t="shared" si="11"/>
        <v>0</v>
      </c>
      <c r="AE19" s="31">
        <f t="shared" si="11"/>
        <v>220</v>
      </c>
      <c r="AF19" s="31">
        <f t="shared" si="11"/>
        <v>270</v>
      </c>
    </row>
    <row r="20" spans="2:32" ht="23.1" customHeight="1" x14ac:dyDescent="0.25">
      <c r="B20" s="23" t="s">
        <v>47</v>
      </c>
      <c r="C20" s="50">
        <v>3</v>
      </c>
      <c r="D20" s="50">
        <v>3</v>
      </c>
      <c r="E20" s="50">
        <v>2</v>
      </c>
      <c r="F20" s="50">
        <v>10</v>
      </c>
      <c r="G20" s="50">
        <v>1</v>
      </c>
      <c r="H20" s="50">
        <v>0</v>
      </c>
      <c r="I20" s="50">
        <v>3</v>
      </c>
      <c r="J20" s="50">
        <v>3</v>
      </c>
      <c r="K20" s="50">
        <v>1</v>
      </c>
      <c r="L20" s="50">
        <v>0</v>
      </c>
      <c r="M20" s="50">
        <v>6</v>
      </c>
      <c r="N20" s="50">
        <v>0</v>
      </c>
      <c r="O20" s="15">
        <f t="shared" si="0"/>
        <v>26</v>
      </c>
      <c r="P20" s="15">
        <f t="shared" si="1"/>
        <v>32</v>
      </c>
      <c r="R20" s="1" t="s">
        <v>16</v>
      </c>
      <c r="S20" s="17">
        <f t="shared" ref="S20:AF20" si="12">SUM(C50:C53)</f>
        <v>53</v>
      </c>
      <c r="T20" s="17">
        <f t="shared" si="12"/>
        <v>18</v>
      </c>
      <c r="U20" s="17">
        <f t="shared" si="12"/>
        <v>8</v>
      </c>
      <c r="V20" s="17">
        <f t="shared" si="12"/>
        <v>48</v>
      </c>
      <c r="W20" s="17">
        <f t="shared" si="12"/>
        <v>0</v>
      </c>
      <c r="X20" s="17">
        <f t="shared" si="12"/>
        <v>1</v>
      </c>
      <c r="Y20" s="17">
        <f t="shared" si="12"/>
        <v>17</v>
      </c>
      <c r="Z20" s="17">
        <f t="shared" si="12"/>
        <v>23</v>
      </c>
      <c r="AA20" s="17">
        <f t="shared" si="12"/>
        <v>1</v>
      </c>
      <c r="AB20" s="17">
        <f t="shared" si="12"/>
        <v>3</v>
      </c>
      <c r="AC20" s="17">
        <f t="shared" si="12"/>
        <v>33</v>
      </c>
      <c r="AD20" s="17">
        <f t="shared" si="12"/>
        <v>0</v>
      </c>
      <c r="AE20" s="31">
        <f t="shared" si="12"/>
        <v>172</v>
      </c>
      <c r="AF20" s="31">
        <f t="shared" si="12"/>
        <v>205</v>
      </c>
    </row>
    <row r="21" spans="2:32" ht="23.1" customHeight="1" x14ac:dyDescent="0.25">
      <c r="B21" s="23" t="s">
        <v>48</v>
      </c>
      <c r="C21" s="50">
        <v>5</v>
      </c>
      <c r="D21" s="50">
        <v>1</v>
      </c>
      <c r="E21" s="50">
        <v>3</v>
      </c>
      <c r="F21" s="50">
        <v>7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7</v>
      </c>
      <c r="N21" s="50">
        <v>0</v>
      </c>
      <c r="O21" s="15">
        <f t="shared" si="0"/>
        <v>17</v>
      </c>
      <c r="P21" s="15">
        <f t="shared" si="1"/>
        <v>24</v>
      </c>
      <c r="R21" s="36" t="s">
        <v>20</v>
      </c>
      <c r="S21" s="34">
        <f t="shared" ref="S21:AF21" si="13">SUM(C54:C57)</f>
        <v>71</v>
      </c>
      <c r="T21" s="17">
        <f t="shared" si="13"/>
        <v>10</v>
      </c>
      <c r="U21" s="17">
        <f t="shared" si="13"/>
        <v>11</v>
      </c>
      <c r="V21" s="17">
        <f t="shared" si="13"/>
        <v>58</v>
      </c>
      <c r="W21" s="17">
        <f t="shared" si="13"/>
        <v>1</v>
      </c>
      <c r="X21" s="17">
        <f t="shared" si="13"/>
        <v>3</v>
      </c>
      <c r="Y21" s="17">
        <f t="shared" si="13"/>
        <v>17</v>
      </c>
      <c r="Z21" s="17">
        <f t="shared" si="13"/>
        <v>19</v>
      </c>
      <c r="AA21" s="17">
        <f t="shared" si="13"/>
        <v>0</v>
      </c>
      <c r="AB21" s="17">
        <f t="shared" si="13"/>
        <v>7</v>
      </c>
      <c r="AC21" s="17">
        <f t="shared" si="13"/>
        <v>66</v>
      </c>
      <c r="AD21" s="17">
        <f t="shared" si="13"/>
        <v>0</v>
      </c>
      <c r="AE21" s="31">
        <f t="shared" si="13"/>
        <v>197</v>
      </c>
      <c r="AF21" s="31">
        <f t="shared" si="13"/>
        <v>263</v>
      </c>
    </row>
    <row r="22" spans="2:32" ht="23.1" customHeight="1" x14ac:dyDescent="0.25">
      <c r="B22" s="23" t="s">
        <v>49</v>
      </c>
      <c r="C22" s="50">
        <v>8</v>
      </c>
      <c r="D22" s="50">
        <v>6</v>
      </c>
      <c r="E22" s="50">
        <v>3</v>
      </c>
      <c r="F22" s="50">
        <v>11</v>
      </c>
      <c r="G22" s="50">
        <v>0</v>
      </c>
      <c r="H22" s="50">
        <v>0</v>
      </c>
      <c r="I22" s="50">
        <v>9</v>
      </c>
      <c r="J22" s="50">
        <v>2</v>
      </c>
      <c r="K22" s="50">
        <v>1</v>
      </c>
      <c r="L22" s="50">
        <v>1</v>
      </c>
      <c r="M22" s="50">
        <v>14</v>
      </c>
      <c r="N22" s="50">
        <v>0</v>
      </c>
      <c r="O22" s="15">
        <f t="shared" si="0"/>
        <v>41</v>
      </c>
      <c r="P22" s="15">
        <f t="shared" si="1"/>
        <v>55</v>
      </c>
      <c r="R22" s="38" t="s">
        <v>90</v>
      </c>
      <c r="S22" s="39">
        <f>MAX(S10:S12)</f>
        <v>73</v>
      </c>
      <c r="T22" s="39">
        <f t="shared" ref="T22:AF22" si="14">MAX(T10:T12)</f>
        <v>21</v>
      </c>
      <c r="U22" s="39">
        <f t="shared" si="14"/>
        <v>16</v>
      </c>
      <c r="V22" s="39">
        <f t="shared" si="14"/>
        <v>34</v>
      </c>
      <c r="W22" s="39">
        <f t="shared" si="14"/>
        <v>1</v>
      </c>
      <c r="X22" s="39">
        <f t="shared" si="14"/>
        <v>1</v>
      </c>
      <c r="Y22" s="39">
        <f t="shared" si="14"/>
        <v>14</v>
      </c>
      <c r="Z22" s="39">
        <f t="shared" si="14"/>
        <v>17</v>
      </c>
      <c r="AA22" s="39">
        <f t="shared" si="14"/>
        <v>5</v>
      </c>
      <c r="AB22" s="39">
        <f t="shared" si="14"/>
        <v>2</v>
      </c>
      <c r="AC22" s="39">
        <f t="shared" si="14"/>
        <v>53</v>
      </c>
      <c r="AD22" s="39">
        <f t="shared" si="14"/>
        <v>0</v>
      </c>
      <c r="AE22" s="40">
        <f t="shared" si="14"/>
        <v>151</v>
      </c>
      <c r="AF22" s="40">
        <f t="shared" si="14"/>
        <v>204</v>
      </c>
    </row>
    <row r="23" spans="2:32" ht="23.1" customHeight="1" x14ac:dyDescent="0.25">
      <c r="B23" s="23" t="s">
        <v>50</v>
      </c>
      <c r="C23" s="50">
        <v>7</v>
      </c>
      <c r="D23" s="50">
        <v>6</v>
      </c>
      <c r="E23" s="50">
        <v>4</v>
      </c>
      <c r="F23" s="50">
        <v>13</v>
      </c>
      <c r="G23" s="50">
        <v>0</v>
      </c>
      <c r="H23" s="50">
        <v>2</v>
      </c>
      <c r="I23" s="50">
        <v>4</v>
      </c>
      <c r="J23" s="50">
        <v>2</v>
      </c>
      <c r="K23" s="50">
        <v>1</v>
      </c>
      <c r="L23" s="50">
        <v>1</v>
      </c>
      <c r="M23" s="50">
        <v>18</v>
      </c>
      <c r="N23" s="50">
        <v>0</v>
      </c>
      <c r="O23" s="15">
        <f t="shared" si="0"/>
        <v>40</v>
      </c>
      <c r="P23" s="15">
        <f t="shared" si="1"/>
        <v>58</v>
      </c>
      <c r="R23" s="38" t="s">
        <v>91</v>
      </c>
      <c r="S23" s="39">
        <f>MAX(S13:S18)</f>
        <v>75</v>
      </c>
      <c r="T23" s="39">
        <f t="shared" ref="T23:AF23" si="15">MAX(T13:T18)</f>
        <v>22</v>
      </c>
      <c r="U23" s="39">
        <f t="shared" si="15"/>
        <v>15</v>
      </c>
      <c r="V23" s="39">
        <f t="shared" si="15"/>
        <v>86</v>
      </c>
      <c r="W23" s="39">
        <f t="shared" si="15"/>
        <v>4</v>
      </c>
      <c r="X23" s="39">
        <f t="shared" si="15"/>
        <v>4</v>
      </c>
      <c r="Y23" s="39">
        <f t="shared" si="15"/>
        <v>28</v>
      </c>
      <c r="Z23" s="39">
        <f t="shared" si="15"/>
        <v>20</v>
      </c>
      <c r="AA23" s="39">
        <f t="shared" si="15"/>
        <v>7</v>
      </c>
      <c r="AB23" s="39">
        <f t="shared" si="15"/>
        <v>3</v>
      </c>
      <c r="AC23" s="39">
        <f t="shared" si="15"/>
        <v>92</v>
      </c>
      <c r="AD23" s="39">
        <f t="shared" si="15"/>
        <v>0</v>
      </c>
      <c r="AE23" s="40">
        <f t="shared" si="15"/>
        <v>228</v>
      </c>
      <c r="AF23" s="40">
        <f t="shared" si="15"/>
        <v>277</v>
      </c>
    </row>
    <row r="24" spans="2:32" ht="23.1" customHeight="1" x14ac:dyDescent="0.25">
      <c r="B24" s="23" t="s">
        <v>51</v>
      </c>
      <c r="C24" s="50">
        <v>13</v>
      </c>
      <c r="D24" s="50">
        <v>4</v>
      </c>
      <c r="E24" s="50">
        <v>3</v>
      </c>
      <c r="F24" s="50">
        <v>18</v>
      </c>
      <c r="G24" s="50">
        <v>0</v>
      </c>
      <c r="H24" s="50">
        <v>1</v>
      </c>
      <c r="I24" s="50">
        <v>7</v>
      </c>
      <c r="J24" s="50">
        <v>4</v>
      </c>
      <c r="K24" s="50">
        <v>1</v>
      </c>
      <c r="L24" s="50">
        <v>1</v>
      </c>
      <c r="M24" s="50">
        <v>20</v>
      </c>
      <c r="N24" s="50">
        <v>0</v>
      </c>
      <c r="O24" s="15">
        <f t="shared" si="0"/>
        <v>52</v>
      </c>
      <c r="P24" s="15">
        <f t="shared" si="1"/>
        <v>72</v>
      </c>
      <c r="R24" s="38" t="s">
        <v>92</v>
      </c>
      <c r="S24" s="39">
        <f>MAX(S19:S21)</f>
        <v>71</v>
      </c>
      <c r="T24" s="39">
        <f t="shared" ref="T24:AF24" si="16">MAX(T19:T21)</f>
        <v>18</v>
      </c>
      <c r="U24" s="39">
        <f t="shared" si="16"/>
        <v>15</v>
      </c>
      <c r="V24" s="39">
        <f t="shared" si="16"/>
        <v>74</v>
      </c>
      <c r="W24" s="39">
        <f t="shared" si="16"/>
        <v>1</v>
      </c>
      <c r="X24" s="39">
        <f t="shared" si="16"/>
        <v>3</v>
      </c>
      <c r="Y24" s="39">
        <f t="shared" si="16"/>
        <v>23</v>
      </c>
      <c r="Z24" s="39">
        <f t="shared" si="16"/>
        <v>23</v>
      </c>
      <c r="AA24" s="39">
        <f t="shared" si="16"/>
        <v>6</v>
      </c>
      <c r="AB24" s="39">
        <f t="shared" si="16"/>
        <v>7</v>
      </c>
      <c r="AC24" s="39">
        <f t="shared" si="16"/>
        <v>66</v>
      </c>
      <c r="AD24" s="39">
        <f t="shared" si="16"/>
        <v>0</v>
      </c>
      <c r="AE24" s="40">
        <f t="shared" si="16"/>
        <v>220</v>
      </c>
      <c r="AF24" s="40">
        <f t="shared" si="16"/>
        <v>270</v>
      </c>
    </row>
    <row r="25" spans="2:32" ht="23.1" customHeight="1" x14ac:dyDescent="0.25">
      <c r="B25" s="23" t="s">
        <v>52</v>
      </c>
      <c r="C25" s="50">
        <v>15</v>
      </c>
      <c r="D25" s="50">
        <v>6</v>
      </c>
      <c r="E25" s="50">
        <v>5</v>
      </c>
      <c r="F25" s="50">
        <v>23</v>
      </c>
      <c r="G25" s="50">
        <v>0</v>
      </c>
      <c r="H25" s="50">
        <v>0</v>
      </c>
      <c r="I25" s="50">
        <v>6</v>
      </c>
      <c r="J25" s="50">
        <v>4</v>
      </c>
      <c r="K25" s="50">
        <v>3</v>
      </c>
      <c r="L25" s="50">
        <v>0</v>
      </c>
      <c r="M25" s="50">
        <v>30</v>
      </c>
      <c r="N25" s="50">
        <v>0</v>
      </c>
      <c r="O25" s="15">
        <f t="shared" si="0"/>
        <v>62</v>
      </c>
      <c r="P25" s="15">
        <f t="shared" si="1"/>
        <v>92</v>
      </c>
      <c r="R25" s="37" t="s">
        <v>85</v>
      </c>
      <c r="S25" s="35">
        <f t="shared" ref="S25:AF25" si="17">SUM(S10:S12)</f>
        <v>139</v>
      </c>
      <c r="T25" s="16">
        <f t="shared" si="17"/>
        <v>44</v>
      </c>
      <c r="U25" s="16">
        <f t="shared" si="17"/>
        <v>35</v>
      </c>
      <c r="V25" s="16">
        <f t="shared" si="17"/>
        <v>89</v>
      </c>
      <c r="W25" s="16">
        <f t="shared" si="17"/>
        <v>1</v>
      </c>
      <c r="X25" s="16">
        <f t="shared" si="17"/>
        <v>2</v>
      </c>
      <c r="Y25" s="16">
        <f t="shared" si="17"/>
        <v>30</v>
      </c>
      <c r="Z25" s="16">
        <f t="shared" si="17"/>
        <v>40</v>
      </c>
      <c r="AA25" s="16">
        <f t="shared" si="17"/>
        <v>8</v>
      </c>
      <c r="AB25" s="16">
        <f t="shared" si="17"/>
        <v>4</v>
      </c>
      <c r="AC25" s="16">
        <f t="shared" si="17"/>
        <v>135</v>
      </c>
      <c r="AD25" s="16">
        <f t="shared" si="17"/>
        <v>0</v>
      </c>
      <c r="AE25" s="32">
        <f t="shared" si="17"/>
        <v>392</v>
      </c>
      <c r="AF25" s="32">
        <f t="shared" si="17"/>
        <v>527</v>
      </c>
    </row>
    <row r="26" spans="2:32" ht="23.1" customHeight="1" x14ac:dyDescent="0.25">
      <c r="B26" s="23" t="s">
        <v>53</v>
      </c>
      <c r="C26" s="50">
        <v>14</v>
      </c>
      <c r="D26" s="50">
        <v>4</v>
      </c>
      <c r="E26" s="50">
        <v>2</v>
      </c>
      <c r="F26" s="50">
        <v>17</v>
      </c>
      <c r="G26" s="50">
        <v>0</v>
      </c>
      <c r="H26" s="50">
        <v>0</v>
      </c>
      <c r="I26" s="50">
        <v>10</v>
      </c>
      <c r="J26" s="50">
        <v>8</v>
      </c>
      <c r="K26" s="50">
        <v>0</v>
      </c>
      <c r="L26" s="50">
        <v>0</v>
      </c>
      <c r="M26" s="50">
        <v>38</v>
      </c>
      <c r="N26" s="50">
        <v>0</v>
      </c>
      <c r="O26" s="15">
        <f t="shared" si="0"/>
        <v>55</v>
      </c>
      <c r="P26" s="15">
        <f t="shared" si="1"/>
        <v>93</v>
      </c>
      <c r="R26" s="28" t="s">
        <v>86</v>
      </c>
      <c r="S26" s="16">
        <f t="shared" ref="S26:AF26" si="18">SUM(S13:S18)</f>
        <v>303</v>
      </c>
      <c r="T26" s="16">
        <f t="shared" si="18"/>
        <v>93</v>
      </c>
      <c r="U26" s="16">
        <f t="shared" si="18"/>
        <v>54</v>
      </c>
      <c r="V26" s="16">
        <f t="shared" si="18"/>
        <v>416</v>
      </c>
      <c r="W26" s="16">
        <f t="shared" si="18"/>
        <v>6</v>
      </c>
      <c r="X26" s="16">
        <f t="shared" si="18"/>
        <v>15</v>
      </c>
      <c r="Y26" s="16">
        <f t="shared" si="18"/>
        <v>152</v>
      </c>
      <c r="Z26" s="16">
        <f t="shared" si="18"/>
        <v>78</v>
      </c>
      <c r="AA26" s="16">
        <f t="shared" si="18"/>
        <v>25</v>
      </c>
      <c r="AB26" s="16">
        <f t="shared" si="18"/>
        <v>11</v>
      </c>
      <c r="AC26" s="16">
        <f t="shared" si="18"/>
        <v>343</v>
      </c>
      <c r="AD26" s="16">
        <f t="shared" si="18"/>
        <v>0</v>
      </c>
      <c r="AE26" s="32">
        <f t="shared" si="18"/>
        <v>1153</v>
      </c>
      <c r="AF26" s="32">
        <f t="shared" si="18"/>
        <v>1496</v>
      </c>
    </row>
    <row r="27" spans="2:32" ht="23.1" customHeight="1" x14ac:dyDescent="0.25">
      <c r="B27" s="23" t="s">
        <v>54</v>
      </c>
      <c r="C27" s="50">
        <v>5</v>
      </c>
      <c r="D27" s="50">
        <v>3</v>
      </c>
      <c r="E27" s="50">
        <v>1</v>
      </c>
      <c r="F27" s="50">
        <v>26</v>
      </c>
      <c r="G27" s="50">
        <v>1</v>
      </c>
      <c r="H27" s="50">
        <v>4</v>
      </c>
      <c r="I27" s="50">
        <v>8</v>
      </c>
      <c r="J27" s="50">
        <v>3</v>
      </c>
      <c r="K27" s="50">
        <v>0</v>
      </c>
      <c r="L27" s="50">
        <v>0</v>
      </c>
      <c r="M27" s="50">
        <v>30</v>
      </c>
      <c r="N27" s="50">
        <v>0</v>
      </c>
      <c r="O27" s="15">
        <f t="shared" si="0"/>
        <v>51</v>
      </c>
      <c r="P27" s="15">
        <f t="shared" si="1"/>
        <v>81</v>
      </c>
      <c r="R27" s="29" t="s">
        <v>87</v>
      </c>
      <c r="S27" s="16">
        <f t="shared" ref="S27:AF27" si="19">SUM(S19:S21)</f>
        <v>195</v>
      </c>
      <c r="T27" s="16">
        <f t="shared" si="19"/>
        <v>43</v>
      </c>
      <c r="U27" s="16">
        <f t="shared" si="19"/>
        <v>34</v>
      </c>
      <c r="V27" s="16">
        <f t="shared" si="19"/>
        <v>180</v>
      </c>
      <c r="W27" s="16">
        <f t="shared" si="19"/>
        <v>1</v>
      </c>
      <c r="X27" s="16">
        <f t="shared" si="19"/>
        <v>6</v>
      </c>
      <c r="Y27" s="16">
        <f t="shared" si="19"/>
        <v>57</v>
      </c>
      <c r="Z27" s="16">
        <f t="shared" si="19"/>
        <v>51</v>
      </c>
      <c r="AA27" s="16">
        <f t="shared" si="19"/>
        <v>7</v>
      </c>
      <c r="AB27" s="16">
        <f t="shared" si="19"/>
        <v>15</v>
      </c>
      <c r="AC27" s="16">
        <f t="shared" si="19"/>
        <v>149</v>
      </c>
      <c r="AD27" s="16">
        <f t="shared" si="19"/>
        <v>0</v>
      </c>
      <c r="AE27" s="32">
        <f t="shared" si="19"/>
        <v>589</v>
      </c>
      <c r="AF27" s="32">
        <f t="shared" si="19"/>
        <v>738</v>
      </c>
    </row>
    <row r="28" spans="2:32" ht="23.1" customHeight="1" x14ac:dyDescent="0.25">
      <c r="B28" s="23" t="s">
        <v>55</v>
      </c>
      <c r="C28" s="50">
        <v>10</v>
      </c>
      <c r="D28" s="50">
        <v>3</v>
      </c>
      <c r="E28" s="50">
        <v>2</v>
      </c>
      <c r="F28" s="50">
        <v>25</v>
      </c>
      <c r="G28" s="50">
        <v>0</v>
      </c>
      <c r="H28" s="50">
        <v>0</v>
      </c>
      <c r="I28" s="50">
        <v>5</v>
      </c>
      <c r="J28" s="50">
        <v>1</v>
      </c>
      <c r="K28" s="50">
        <v>1</v>
      </c>
      <c r="L28" s="50">
        <v>0</v>
      </c>
      <c r="M28" s="50">
        <v>15</v>
      </c>
      <c r="N28" s="50">
        <v>0</v>
      </c>
      <c r="O28" s="15">
        <f t="shared" si="0"/>
        <v>47</v>
      </c>
      <c r="P28" s="15">
        <f t="shared" si="1"/>
        <v>62</v>
      </c>
      <c r="R28" s="5" t="s">
        <v>17</v>
      </c>
      <c r="S28" s="16">
        <f t="shared" ref="S28:AF28" si="20">SUM(S10:S21)</f>
        <v>637</v>
      </c>
      <c r="T28" s="16">
        <f t="shared" si="20"/>
        <v>180</v>
      </c>
      <c r="U28" s="16">
        <f t="shared" si="20"/>
        <v>123</v>
      </c>
      <c r="V28" s="16">
        <f t="shared" si="20"/>
        <v>685</v>
      </c>
      <c r="W28" s="16">
        <f t="shared" si="20"/>
        <v>8</v>
      </c>
      <c r="X28" s="16">
        <f t="shared" si="20"/>
        <v>23</v>
      </c>
      <c r="Y28" s="16">
        <f t="shared" si="20"/>
        <v>239</v>
      </c>
      <c r="Z28" s="16">
        <f t="shared" si="20"/>
        <v>169</v>
      </c>
      <c r="AA28" s="16">
        <f t="shared" si="20"/>
        <v>40</v>
      </c>
      <c r="AB28" s="16">
        <f t="shared" si="20"/>
        <v>30</v>
      </c>
      <c r="AC28" s="16">
        <f t="shared" si="20"/>
        <v>627</v>
      </c>
      <c r="AD28" s="16">
        <f t="shared" si="20"/>
        <v>0</v>
      </c>
      <c r="AE28" s="32">
        <f t="shared" si="20"/>
        <v>2134</v>
      </c>
      <c r="AF28" s="32">
        <f t="shared" si="20"/>
        <v>2761</v>
      </c>
    </row>
    <row r="29" spans="2:32" ht="23.1" customHeight="1" x14ac:dyDescent="0.25">
      <c r="B29" s="23" t="s">
        <v>56</v>
      </c>
      <c r="C29" s="50">
        <v>2</v>
      </c>
      <c r="D29" s="50">
        <v>6</v>
      </c>
      <c r="E29" s="50">
        <v>1</v>
      </c>
      <c r="F29" s="50">
        <v>10</v>
      </c>
      <c r="G29" s="50">
        <v>0</v>
      </c>
      <c r="H29" s="50">
        <v>0</v>
      </c>
      <c r="I29" s="50">
        <v>5</v>
      </c>
      <c r="J29" s="50">
        <v>1</v>
      </c>
      <c r="K29" s="50">
        <v>0</v>
      </c>
      <c r="L29" s="50">
        <v>0</v>
      </c>
      <c r="M29" s="50">
        <v>9</v>
      </c>
      <c r="N29" s="50">
        <v>0</v>
      </c>
      <c r="O29" s="15">
        <f t="shared" si="0"/>
        <v>25</v>
      </c>
      <c r="P29" s="15">
        <f t="shared" si="1"/>
        <v>34</v>
      </c>
      <c r="R29"/>
      <c r="S29" s="20"/>
      <c r="T29" s="19"/>
    </row>
    <row r="30" spans="2:32" ht="23.1" customHeight="1" x14ac:dyDescent="0.25">
      <c r="B30" s="23" t="s">
        <v>57</v>
      </c>
      <c r="C30" s="50">
        <v>10</v>
      </c>
      <c r="D30" s="50">
        <v>6</v>
      </c>
      <c r="E30" s="50">
        <v>0</v>
      </c>
      <c r="F30" s="50">
        <v>7</v>
      </c>
      <c r="G30" s="50">
        <v>0</v>
      </c>
      <c r="H30" s="50">
        <v>0</v>
      </c>
      <c r="I30" s="50">
        <v>4</v>
      </c>
      <c r="J30" s="50">
        <v>6</v>
      </c>
      <c r="K30" s="50">
        <v>2</v>
      </c>
      <c r="L30" s="50">
        <v>0</v>
      </c>
      <c r="M30" s="50">
        <v>16</v>
      </c>
      <c r="N30" s="50">
        <v>0</v>
      </c>
      <c r="O30" s="15">
        <f t="shared" si="0"/>
        <v>35</v>
      </c>
      <c r="P30" s="15">
        <f t="shared" si="1"/>
        <v>51</v>
      </c>
    </row>
    <row r="31" spans="2:32" ht="23.1" customHeight="1" x14ac:dyDescent="0.25">
      <c r="B31" s="24" t="s">
        <v>58</v>
      </c>
      <c r="C31" s="50">
        <v>11</v>
      </c>
      <c r="D31" s="50">
        <v>1</v>
      </c>
      <c r="E31" s="50">
        <v>2</v>
      </c>
      <c r="F31" s="50">
        <v>16</v>
      </c>
      <c r="G31" s="50">
        <v>0</v>
      </c>
      <c r="H31" s="50">
        <v>0</v>
      </c>
      <c r="I31" s="50">
        <v>3</v>
      </c>
      <c r="J31" s="50">
        <v>2</v>
      </c>
      <c r="K31" s="50">
        <v>3</v>
      </c>
      <c r="L31" s="50">
        <v>0</v>
      </c>
      <c r="M31" s="50">
        <v>25</v>
      </c>
      <c r="N31" s="50">
        <v>0</v>
      </c>
      <c r="O31" s="15">
        <f t="shared" si="0"/>
        <v>38</v>
      </c>
      <c r="P31" s="15">
        <f t="shared" si="1"/>
        <v>63</v>
      </c>
    </row>
    <row r="32" spans="2:32" ht="23.1" customHeight="1" x14ac:dyDescent="0.25">
      <c r="B32" s="24" t="s">
        <v>59</v>
      </c>
      <c r="C32" s="50">
        <v>10</v>
      </c>
      <c r="D32" s="50">
        <v>3</v>
      </c>
      <c r="E32" s="50">
        <v>3</v>
      </c>
      <c r="F32" s="50">
        <v>13</v>
      </c>
      <c r="G32" s="50">
        <v>0</v>
      </c>
      <c r="H32" s="50">
        <v>0</v>
      </c>
      <c r="I32" s="50">
        <v>13</v>
      </c>
      <c r="J32" s="50">
        <v>1</v>
      </c>
      <c r="K32" s="50">
        <v>1</v>
      </c>
      <c r="L32" s="50">
        <v>1</v>
      </c>
      <c r="M32" s="50">
        <v>8</v>
      </c>
      <c r="N32" s="50">
        <v>0</v>
      </c>
      <c r="O32" s="15">
        <f t="shared" si="0"/>
        <v>45</v>
      </c>
      <c r="P32" s="15">
        <f t="shared" si="1"/>
        <v>53</v>
      </c>
    </row>
    <row r="33" spans="2:20" ht="23.1" customHeight="1" x14ac:dyDescent="0.25">
      <c r="B33" s="23" t="s">
        <v>60</v>
      </c>
      <c r="C33" s="50">
        <v>5</v>
      </c>
      <c r="D33" s="50">
        <v>11</v>
      </c>
      <c r="E33" s="50">
        <v>2</v>
      </c>
      <c r="F33" s="50">
        <v>3</v>
      </c>
      <c r="G33" s="50">
        <v>0</v>
      </c>
      <c r="H33" s="50">
        <v>0</v>
      </c>
      <c r="I33" s="50">
        <v>6</v>
      </c>
      <c r="J33" s="50">
        <v>1</v>
      </c>
      <c r="K33" s="50">
        <v>1</v>
      </c>
      <c r="L33" s="50">
        <v>0</v>
      </c>
      <c r="M33" s="50">
        <v>16</v>
      </c>
      <c r="N33" s="50">
        <v>0</v>
      </c>
      <c r="O33" s="15">
        <f t="shared" si="0"/>
        <v>29</v>
      </c>
      <c r="P33" s="15">
        <f t="shared" si="1"/>
        <v>45</v>
      </c>
    </row>
    <row r="34" spans="2:20" ht="23.1" customHeight="1" x14ac:dyDescent="0.25">
      <c r="B34" s="24" t="s">
        <v>61</v>
      </c>
      <c r="C34" s="50">
        <v>12</v>
      </c>
      <c r="D34" s="50">
        <v>5</v>
      </c>
      <c r="E34" s="50">
        <v>2</v>
      </c>
      <c r="F34" s="50">
        <v>25</v>
      </c>
      <c r="G34" s="50">
        <v>0</v>
      </c>
      <c r="H34" s="50">
        <v>3</v>
      </c>
      <c r="I34" s="50">
        <v>6</v>
      </c>
      <c r="J34" s="50">
        <v>3</v>
      </c>
      <c r="K34" s="50">
        <v>3</v>
      </c>
      <c r="L34" s="50">
        <v>1</v>
      </c>
      <c r="M34" s="50">
        <v>16</v>
      </c>
      <c r="N34" s="50">
        <v>0</v>
      </c>
      <c r="O34" s="15">
        <f t="shared" si="0"/>
        <v>60</v>
      </c>
      <c r="P34" s="15">
        <f t="shared" si="1"/>
        <v>76</v>
      </c>
    </row>
    <row r="35" spans="2:20" ht="23.1" customHeight="1" x14ac:dyDescent="0.25">
      <c r="B35" s="24" t="s">
        <v>62</v>
      </c>
      <c r="C35" s="50">
        <v>18</v>
      </c>
      <c r="D35" s="50">
        <v>4</v>
      </c>
      <c r="E35" s="50">
        <v>5</v>
      </c>
      <c r="F35" s="50">
        <v>22</v>
      </c>
      <c r="G35" s="50">
        <v>1</v>
      </c>
      <c r="H35" s="50">
        <v>0</v>
      </c>
      <c r="I35" s="50">
        <v>5</v>
      </c>
      <c r="J35" s="50">
        <v>4</v>
      </c>
      <c r="K35" s="50">
        <v>2</v>
      </c>
      <c r="L35" s="50">
        <v>0</v>
      </c>
      <c r="M35" s="50">
        <v>12</v>
      </c>
      <c r="N35" s="50">
        <v>0</v>
      </c>
      <c r="O35" s="15">
        <f t="shared" si="0"/>
        <v>61</v>
      </c>
      <c r="P35" s="15">
        <f t="shared" si="1"/>
        <v>73</v>
      </c>
    </row>
    <row r="36" spans="2:20" ht="23.1" customHeight="1" x14ac:dyDescent="0.25">
      <c r="B36" s="24" t="s">
        <v>63</v>
      </c>
      <c r="C36" s="50">
        <v>18</v>
      </c>
      <c r="D36" s="50">
        <v>4</v>
      </c>
      <c r="E36" s="50">
        <v>4</v>
      </c>
      <c r="F36" s="50">
        <v>20</v>
      </c>
      <c r="G36" s="50">
        <v>2</v>
      </c>
      <c r="H36" s="50">
        <v>0</v>
      </c>
      <c r="I36" s="50">
        <v>6</v>
      </c>
      <c r="J36" s="50">
        <v>3</v>
      </c>
      <c r="K36" s="50">
        <v>1</v>
      </c>
      <c r="L36" s="50">
        <v>0</v>
      </c>
      <c r="M36" s="50">
        <v>12</v>
      </c>
      <c r="N36" s="50">
        <v>0</v>
      </c>
      <c r="O36" s="15">
        <f t="shared" si="0"/>
        <v>58</v>
      </c>
      <c r="P36" s="15">
        <f t="shared" si="1"/>
        <v>70</v>
      </c>
    </row>
    <row r="37" spans="2:20" ht="23.1" customHeight="1" x14ac:dyDescent="0.25">
      <c r="B37" s="23" t="s">
        <v>64</v>
      </c>
      <c r="C37" s="50">
        <v>16</v>
      </c>
      <c r="D37" s="50">
        <v>1</v>
      </c>
      <c r="E37" s="50">
        <v>1</v>
      </c>
      <c r="F37" s="50">
        <v>19</v>
      </c>
      <c r="G37" s="50">
        <v>1</v>
      </c>
      <c r="H37" s="50">
        <v>1</v>
      </c>
      <c r="I37" s="50">
        <v>9</v>
      </c>
      <c r="J37" s="50">
        <v>1</v>
      </c>
      <c r="K37" s="50">
        <v>0</v>
      </c>
      <c r="L37" s="50">
        <v>0</v>
      </c>
      <c r="M37" s="50">
        <v>9</v>
      </c>
      <c r="N37" s="50">
        <v>0</v>
      </c>
      <c r="O37" s="15">
        <f t="shared" si="0"/>
        <v>49</v>
      </c>
      <c r="P37" s="15">
        <f t="shared" si="1"/>
        <v>58</v>
      </c>
    </row>
    <row r="38" spans="2:20" ht="23.1" customHeight="1" x14ac:dyDescent="0.25">
      <c r="B38" s="24" t="s">
        <v>65</v>
      </c>
      <c r="C38" s="50">
        <v>12</v>
      </c>
      <c r="D38" s="50">
        <v>1</v>
      </c>
      <c r="E38" s="50">
        <v>2</v>
      </c>
      <c r="F38" s="50">
        <v>22</v>
      </c>
      <c r="G38" s="50">
        <v>1</v>
      </c>
      <c r="H38" s="50">
        <v>0</v>
      </c>
      <c r="I38" s="50">
        <v>3</v>
      </c>
      <c r="J38" s="50">
        <v>3</v>
      </c>
      <c r="K38" s="50">
        <v>1</v>
      </c>
      <c r="L38" s="50">
        <v>0</v>
      </c>
      <c r="M38" s="50">
        <v>5</v>
      </c>
      <c r="N38" s="50">
        <v>0</v>
      </c>
      <c r="O38" s="15">
        <f t="shared" si="0"/>
        <v>45</v>
      </c>
      <c r="P38" s="15">
        <f t="shared" si="1"/>
        <v>50</v>
      </c>
    </row>
    <row r="39" spans="2:20" ht="23.1" customHeight="1" x14ac:dyDescent="0.25">
      <c r="B39" s="24" t="s">
        <v>66</v>
      </c>
      <c r="C39" s="50">
        <v>4</v>
      </c>
      <c r="D39" s="50">
        <v>2</v>
      </c>
      <c r="E39" s="50">
        <v>1</v>
      </c>
      <c r="F39" s="50">
        <v>3</v>
      </c>
      <c r="G39" s="50">
        <v>0</v>
      </c>
      <c r="H39" s="50">
        <v>1</v>
      </c>
      <c r="I39" s="50">
        <v>5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16</v>
      </c>
      <c r="P39" s="15">
        <f t="shared" si="1"/>
        <v>16</v>
      </c>
    </row>
    <row r="40" spans="2:20" ht="23.1" customHeight="1" x14ac:dyDescent="0.25">
      <c r="B40" s="24" t="s">
        <v>67</v>
      </c>
      <c r="C40" s="50">
        <v>23</v>
      </c>
      <c r="D40" s="50">
        <v>1</v>
      </c>
      <c r="E40" s="50">
        <v>3</v>
      </c>
      <c r="F40" s="50">
        <v>28</v>
      </c>
      <c r="G40" s="50">
        <v>0</v>
      </c>
      <c r="H40" s="50">
        <v>0</v>
      </c>
      <c r="I40" s="50">
        <v>7</v>
      </c>
      <c r="J40" s="50">
        <v>6</v>
      </c>
      <c r="K40" s="50">
        <v>0</v>
      </c>
      <c r="L40" s="50">
        <v>1</v>
      </c>
      <c r="M40" s="50">
        <v>0</v>
      </c>
      <c r="N40" s="50">
        <v>0</v>
      </c>
      <c r="O40" s="15">
        <f t="shared" si="0"/>
        <v>69</v>
      </c>
      <c r="P40" s="15">
        <f t="shared" si="1"/>
        <v>69</v>
      </c>
    </row>
    <row r="41" spans="2:20" ht="23.1" customHeight="1" x14ac:dyDescent="0.25">
      <c r="B41" s="23" t="s">
        <v>68</v>
      </c>
      <c r="C41" s="50">
        <v>15</v>
      </c>
      <c r="D41" s="50">
        <v>0</v>
      </c>
      <c r="E41" s="50">
        <v>0</v>
      </c>
      <c r="F41" s="50">
        <v>22</v>
      </c>
      <c r="G41" s="50">
        <v>0</v>
      </c>
      <c r="H41" s="50">
        <v>0</v>
      </c>
      <c r="I41" s="50">
        <v>6</v>
      </c>
      <c r="J41" s="50">
        <v>3</v>
      </c>
      <c r="K41" s="50">
        <v>0</v>
      </c>
      <c r="L41" s="50">
        <v>2</v>
      </c>
      <c r="M41" s="50">
        <v>5</v>
      </c>
      <c r="N41" s="50">
        <v>0</v>
      </c>
      <c r="O41" s="15">
        <f t="shared" si="0"/>
        <v>48</v>
      </c>
      <c r="P41" s="15">
        <f t="shared" si="1"/>
        <v>53</v>
      </c>
    </row>
    <row r="42" spans="2:20" ht="23.1" customHeight="1" x14ac:dyDescent="0.25">
      <c r="B42" s="24" t="s">
        <v>69</v>
      </c>
      <c r="C42" s="50">
        <v>25</v>
      </c>
      <c r="D42" s="50">
        <v>5</v>
      </c>
      <c r="E42" s="50">
        <v>2</v>
      </c>
      <c r="F42" s="50">
        <v>16</v>
      </c>
      <c r="G42" s="50">
        <v>0</v>
      </c>
      <c r="H42" s="50">
        <v>1</v>
      </c>
      <c r="I42" s="50">
        <v>10</v>
      </c>
      <c r="J42" s="50">
        <v>5</v>
      </c>
      <c r="K42" s="50">
        <v>1</v>
      </c>
      <c r="L42" s="50">
        <v>1</v>
      </c>
      <c r="M42" s="50">
        <v>20</v>
      </c>
      <c r="N42" s="50">
        <v>0</v>
      </c>
      <c r="O42" s="15">
        <f t="shared" si="0"/>
        <v>66</v>
      </c>
      <c r="P42" s="15">
        <f t="shared" si="1"/>
        <v>86</v>
      </c>
    </row>
    <row r="43" spans="2:20" ht="23.1" customHeight="1" x14ac:dyDescent="0.25">
      <c r="B43" s="23" t="s">
        <v>70</v>
      </c>
      <c r="C43" s="50">
        <v>19</v>
      </c>
      <c r="D43" s="50">
        <v>4</v>
      </c>
      <c r="E43" s="50">
        <v>1</v>
      </c>
      <c r="F43" s="50">
        <v>15</v>
      </c>
      <c r="G43" s="50">
        <v>0</v>
      </c>
      <c r="H43" s="50">
        <v>0</v>
      </c>
      <c r="I43" s="50">
        <v>3</v>
      </c>
      <c r="J43" s="50">
        <v>6</v>
      </c>
      <c r="K43" s="50">
        <v>2</v>
      </c>
      <c r="L43" s="50">
        <v>1</v>
      </c>
      <c r="M43" s="50">
        <v>9</v>
      </c>
      <c r="N43" s="50">
        <v>0</v>
      </c>
      <c r="O43" s="15">
        <f t="shared" si="0"/>
        <v>51</v>
      </c>
      <c r="P43" s="15">
        <f t="shared" si="1"/>
        <v>60</v>
      </c>
    </row>
    <row r="44" spans="2:20" ht="23.1" customHeight="1" x14ac:dyDescent="0.25">
      <c r="B44" s="25" t="s">
        <v>71</v>
      </c>
      <c r="C44" s="50">
        <v>19</v>
      </c>
      <c r="D44" s="50">
        <v>3</v>
      </c>
      <c r="E44" s="50">
        <v>2</v>
      </c>
      <c r="F44" s="50">
        <v>23</v>
      </c>
      <c r="G44" s="50">
        <v>0</v>
      </c>
      <c r="H44" s="50">
        <v>2</v>
      </c>
      <c r="I44" s="50">
        <v>7</v>
      </c>
      <c r="J44" s="50">
        <v>7</v>
      </c>
      <c r="K44" s="50">
        <v>1</v>
      </c>
      <c r="L44" s="50">
        <v>0</v>
      </c>
      <c r="M44" s="50">
        <v>5</v>
      </c>
      <c r="N44" s="50">
        <v>0</v>
      </c>
      <c r="O44" s="15">
        <f t="shared" si="0"/>
        <v>64</v>
      </c>
      <c r="P44" s="15">
        <f t="shared" si="1"/>
        <v>69</v>
      </c>
    </row>
    <row r="45" spans="2:20" ht="23.1" customHeight="1" x14ac:dyDescent="0.25">
      <c r="B45" s="23" t="s">
        <v>72</v>
      </c>
      <c r="C45" s="50">
        <v>12</v>
      </c>
      <c r="D45" s="50">
        <v>4</v>
      </c>
      <c r="E45" s="50">
        <v>3</v>
      </c>
      <c r="F45" s="50">
        <v>19</v>
      </c>
      <c r="G45" s="50">
        <v>0</v>
      </c>
      <c r="H45" s="50">
        <v>0</v>
      </c>
      <c r="I45" s="50">
        <v>5</v>
      </c>
      <c r="J45" s="50">
        <v>2</v>
      </c>
      <c r="K45" s="50">
        <v>0</v>
      </c>
      <c r="L45" s="50">
        <v>1</v>
      </c>
      <c r="M45" s="50">
        <v>11</v>
      </c>
      <c r="N45" s="50">
        <v>0</v>
      </c>
      <c r="O45" s="15">
        <f t="shared" si="0"/>
        <v>46</v>
      </c>
      <c r="P45" s="15">
        <f t="shared" si="1"/>
        <v>57</v>
      </c>
    </row>
    <row r="46" spans="2:20" ht="23.1" customHeight="1" x14ac:dyDescent="0.25">
      <c r="B46" s="24" t="s">
        <v>73</v>
      </c>
      <c r="C46" s="50">
        <v>22</v>
      </c>
      <c r="D46" s="50">
        <v>2</v>
      </c>
      <c r="E46" s="50">
        <v>4</v>
      </c>
      <c r="F46" s="50">
        <v>19</v>
      </c>
      <c r="G46" s="50">
        <v>0</v>
      </c>
      <c r="H46" s="50">
        <v>1</v>
      </c>
      <c r="I46" s="50">
        <v>6</v>
      </c>
      <c r="J46" s="50">
        <v>2</v>
      </c>
      <c r="K46" s="50">
        <v>0</v>
      </c>
      <c r="L46" s="50">
        <v>2</v>
      </c>
      <c r="M46" s="50">
        <v>10</v>
      </c>
      <c r="N46" s="50">
        <v>0</v>
      </c>
      <c r="O46" s="15">
        <f t="shared" si="0"/>
        <v>58</v>
      </c>
      <c r="P46" s="15">
        <f t="shared" si="1"/>
        <v>68</v>
      </c>
      <c r="R46" s="8"/>
      <c r="T46"/>
    </row>
    <row r="47" spans="2:20" ht="23.1" customHeight="1" x14ac:dyDescent="0.25">
      <c r="B47" s="24" t="s">
        <v>74</v>
      </c>
      <c r="C47" s="50">
        <v>21</v>
      </c>
      <c r="D47" s="50">
        <v>4</v>
      </c>
      <c r="E47" s="50">
        <v>5</v>
      </c>
      <c r="F47" s="50">
        <v>16</v>
      </c>
      <c r="G47" s="50">
        <v>0</v>
      </c>
      <c r="H47" s="50">
        <v>0</v>
      </c>
      <c r="I47" s="50">
        <v>9</v>
      </c>
      <c r="J47" s="50">
        <v>1</v>
      </c>
      <c r="K47" s="50">
        <v>0</v>
      </c>
      <c r="L47" s="50">
        <v>2</v>
      </c>
      <c r="M47" s="50">
        <v>10</v>
      </c>
      <c r="N47" s="50">
        <v>0</v>
      </c>
      <c r="O47" s="15">
        <f t="shared" si="0"/>
        <v>58</v>
      </c>
      <c r="P47" s="15">
        <f t="shared" si="1"/>
        <v>68</v>
      </c>
      <c r="R47" s="8"/>
      <c r="T47"/>
    </row>
    <row r="48" spans="2:20" ht="23.1" customHeight="1" x14ac:dyDescent="0.25">
      <c r="B48" s="24" t="s">
        <v>75</v>
      </c>
      <c r="C48" s="50">
        <v>16</v>
      </c>
      <c r="D48" s="50">
        <v>4</v>
      </c>
      <c r="E48" s="50">
        <v>2</v>
      </c>
      <c r="F48" s="50">
        <v>20</v>
      </c>
      <c r="G48" s="50">
        <v>0</v>
      </c>
      <c r="H48" s="50">
        <v>0</v>
      </c>
      <c r="I48" s="50">
        <v>4</v>
      </c>
      <c r="J48" s="50">
        <v>4</v>
      </c>
      <c r="K48" s="50">
        <v>4</v>
      </c>
      <c r="L48" s="50">
        <v>1</v>
      </c>
      <c r="M48" s="50">
        <v>11</v>
      </c>
      <c r="N48" s="50">
        <v>0</v>
      </c>
      <c r="O48" s="15">
        <f t="shared" si="0"/>
        <v>55</v>
      </c>
      <c r="P48" s="15">
        <f t="shared" si="1"/>
        <v>66</v>
      </c>
      <c r="R48" s="8"/>
      <c r="T48"/>
    </row>
    <row r="49" spans="2:20" ht="23.1" customHeight="1" x14ac:dyDescent="0.25">
      <c r="B49" s="23" t="s">
        <v>76</v>
      </c>
      <c r="C49" s="50">
        <v>12</v>
      </c>
      <c r="D49" s="50">
        <v>5</v>
      </c>
      <c r="E49" s="50">
        <v>4</v>
      </c>
      <c r="F49" s="50">
        <v>19</v>
      </c>
      <c r="G49" s="50">
        <v>0</v>
      </c>
      <c r="H49" s="50">
        <v>1</v>
      </c>
      <c r="I49" s="50">
        <v>4</v>
      </c>
      <c r="J49" s="50">
        <v>2</v>
      </c>
      <c r="K49" s="50">
        <v>2</v>
      </c>
      <c r="L49" s="50">
        <v>0</v>
      </c>
      <c r="M49" s="50">
        <v>19</v>
      </c>
      <c r="N49" s="50">
        <v>0</v>
      </c>
      <c r="O49" s="15">
        <f t="shared" si="0"/>
        <v>49</v>
      </c>
      <c r="P49" s="15">
        <f t="shared" si="1"/>
        <v>68</v>
      </c>
      <c r="R49" s="8"/>
      <c r="T49"/>
    </row>
    <row r="50" spans="2:20" ht="23.1" customHeight="1" x14ac:dyDescent="0.25">
      <c r="B50" s="24" t="s">
        <v>77</v>
      </c>
      <c r="C50" s="50">
        <v>8</v>
      </c>
      <c r="D50" s="50">
        <v>12</v>
      </c>
      <c r="E50" s="50">
        <v>1</v>
      </c>
      <c r="F50" s="50">
        <v>12</v>
      </c>
      <c r="G50" s="50">
        <v>0</v>
      </c>
      <c r="H50" s="50">
        <v>0</v>
      </c>
      <c r="I50" s="50">
        <v>3</v>
      </c>
      <c r="J50" s="50">
        <v>5</v>
      </c>
      <c r="K50" s="50">
        <v>1</v>
      </c>
      <c r="L50" s="50">
        <v>3</v>
      </c>
      <c r="M50" s="50">
        <v>12</v>
      </c>
      <c r="N50" s="50">
        <v>0</v>
      </c>
      <c r="O50" s="15">
        <f t="shared" si="0"/>
        <v>45</v>
      </c>
      <c r="P50" s="15">
        <f t="shared" si="1"/>
        <v>57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3</v>
      </c>
      <c r="E51" s="50">
        <v>0</v>
      </c>
      <c r="F51" s="50">
        <v>6</v>
      </c>
      <c r="G51" s="50">
        <v>0</v>
      </c>
      <c r="H51" s="50">
        <v>0</v>
      </c>
      <c r="I51" s="50">
        <v>7</v>
      </c>
      <c r="J51" s="50">
        <v>3</v>
      </c>
      <c r="K51" s="50">
        <v>0</v>
      </c>
      <c r="L51" s="50">
        <v>0</v>
      </c>
      <c r="M51" s="50">
        <v>3</v>
      </c>
      <c r="N51" s="50">
        <v>0</v>
      </c>
      <c r="O51" s="15">
        <f t="shared" si="0"/>
        <v>26</v>
      </c>
      <c r="P51" s="15">
        <f t="shared" si="1"/>
        <v>29</v>
      </c>
      <c r="R51" s="8"/>
      <c r="T51"/>
    </row>
    <row r="52" spans="2:20" ht="23.1" customHeight="1" x14ac:dyDescent="0.25">
      <c r="B52" s="24" t="s">
        <v>79</v>
      </c>
      <c r="C52" s="50">
        <v>18</v>
      </c>
      <c r="D52" s="50">
        <v>0</v>
      </c>
      <c r="E52" s="50">
        <v>3</v>
      </c>
      <c r="F52" s="50">
        <v>20</v>
      </c>
      <c r="G52" s="50">
        <v>0</v>
      </c>
      <c r="H52" s="50">
        <v>0</v>
      </c>
      <c r="I52" s="50">
        <v>4</v>
      </c>
      <c r="J52" s="50">
        <v>6</v>
      </c>
      <c r="K52" s="50">
        <v>0</v>
      </c>
      <c r="L52" s="50">
        <v>0</v>
      </c>
      <c r="M52" s="50">
        <v>9</v>
      </c>
      <c r="N52" s="50">
        <v>0</v>
      </c>
      <c r="O52" s="15">
        <f t="shared" si="0"/>
        <v>51</v>
      </c>
      <c r="P52" s="15">
        <f t="shared" si="1"/>
        <v>60</v>
      </c>
      <c r="R52" s="8"/>
      <c r="T52"/>
    </row>
    <row r="53" spans="2:20" ht="23.1" customHeight="1" x14ac:dyDescent="0.25">
      <c r="B53" s="23" t="s">
        <v>80</v>
      </c>
      <c r="C53" s="50">
        <v>20</v>
      </c>
      <c r="D53" s="50">
        <v>3</v>
      </c>
      <c r="E53" s="50">
        <v>4</v>
      </c>
      <c r="F53" s="50">
        <v>10</v>
      </c>
      <c r="G53" s="50">
        <v>0</v>
      </c>
      <c r="H53" s="50">
        <v>1</v>
      </c>
      <c r="I53" s="50">
        <v>3</v>
      </c>
      <c r="J53" s="50">
        <v>9</v>
      </c>
      <c r="K53" s="50">
        <v>0</v>
      </c>
      <c r="L53" s="50">
        <v>0</v>
      </c>
      <c r="M53" s="50">
        <v>9</v>
      </c>
      <c r="N53" s="50">
        <v>0</v>
      </c>
      <c r="O53" s="15">
        <f t="shared" si="0"/>
        <v>50</v>
      </c>
      <c r="P53" s="15">
        <f t="shared" si="1"/>
        <v>59</v>
      </c>
      <c r="R53" s="8"/>
      <c r="T53"/>
    </row>
    <row r="54" spans="2:20" ht="23.1" customHeight="1" x14ac:dyDescent="0.25">
      <c r="B54" s="23" t="s">
        <v>81</v>
      </c>
      <c r="C54" s="50">
        <v>18</v>
      </c>
      <c r="D54" s="50">
        <v>3</v>
      </c>
      <c r="E54" s="50">
        <v>2</v>
      </c>
      <c r="F54" s="50">
        <v>18</v>
      </c>
      <c r="G54" s="50">
        <v>0</v>
      </c>
      <c r="H54" s="50">
        <v>1</v>
      </c>
      <c r="I54" s="50">
        <v>5</v>
      </c>
      <c r="J54" s="50">
        <v>4</v>
      </c>
      <c r="K54" s="50">
        <v>0</v>
      </c>
      <c r="L54" s="50">
        <v>2</v>
      </c>
      <c r="M54" s="50">
        <v>19</v>
      </c>
      <c r="N54" s="50">
        <v>0</v>
      </c>
      <c r="O54" s="15">
        <f t="shared" si="0"/>
        <v>53</v>
      </c>
      <c r="P54" s="15">
        <f t="shared" si="1"/>
        <v>72</v>
      </c>
      <c r="R54" s="8"/>
      <c r="T54"/>
    </row>
    <row r="55" spans="2:20" ht="23.1" customHeight="1" x14ac:dyDescent="0.25">
      <c r="B55" s="23" t="s">
        <v>82</v>
      </c>
      <c r="C55" s="50">
        <v>28</v>
      </c>
      <c r="D55" s="50">
        <v>1</v>
      </c>
      <c r="E55" s="50">
        <v>5</v>
      </c>
      <c r="F55" s="50">
        <v>18</v>
      </c>
      <c r="G55" s="50">
        <v>0</v>
      </c>
      <c r="H55" s="50">
        <v>0</v>
      </c>
      <c r="I55" s="50">
        <v>7</v>
      </c>
      <c r="J55" s="50">
        <v>9</v>
      </c>
      <c r="K55" s="50">
        <v>0</v>
      </c>
      <c r="L55" s="50">
        <v>0</v>
      </c>
      <c r="M55" s="50">
        <v>19</v>
      </c>
      <c r="N55" s="50">
        <v>0</v>
      </c>
      <c r="O55" s="15">
        <f t="shared" si="0"/>
        <v>68</v>
      </c>
      <c r="P55" s="15">
        <f t="shared" si="1"/>
        <v>87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4</v>
      </c>
      <c r="E56" s="50">
        <v>1</v>
      </c>
      <c r="F56" s="50">
        <v>10</v>
      </c>
      <c r="G56" s="50">
        <v>0</v>
      </c>
      <c r="H56" s="50">
        <v>1</v>
      </c>
      <c r="I56" s="50">
        <v>3</v>
      </c>
      <c r="J56" s="50">
        <v>2</v>
      </c>
      <c r="K56" s="50">
        <v>0</v>
      </c>
      <c r="L56" s="50">
        <v>2</v>
      </c>
      <c r="M56" s="50">
        <v>13</v>
      </c>
      <c r="N56" s="50">
        <v>0</v>
      </c>
      <c r="O56" s="15">
        <f t="shared" si="0"/>
        <v>31</v>
      </c>
      <c r="P56" s="15">
        <f t="shared" si="1"/>
        <v>44</v>
      </c>
      <c r="R56" s="8"/>
      <c r="T56"/>
    </row>
    <row r="57" spans="2:20" ht="23.1" customHeight="1" x14ac:dyDescent="0.25">
      <c r="B57" s="23" t="s">
        <v>84</v>
      </c>
      <c r="C57" s="50">
        <v>17</v>
      </c>
      <c r="D57" s="50">
        <v>2</v>
      </c>
      <c r="E57" s="50">
        <v>3</v>
      </c>
      <c r="F57" s="50">
        <v>12</v>
      </c>
      <c r="G57" s="50">
        <v>1</v>
      </c>
      <c r="H57" s="50">
        <v>1</v>
      </c>
      <c r="I57" s="50">
        <v>2</v>
      </c>
      <c r="J57" s="50">
        <v>4</v>
      </c>
      <c r="K57" s="50">
        <v>0</v>
      </c>
      <c r="L57" s="50">
        <v>3</v>
      </c>
      <c r="M57" s="50">
        <v>15</v>
      </c>
      <c r="N57" s="50">
        <v>0</v>
      </c>
      <c r="O57" s="15">
        <f t="shared" si="0"/>
        <v>45</v>
      </c>
      <c r="P57" s="15">
        <f t="shared" si="1"/>
        <v>60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637</v>
      </c>
      <c r="D58" s="16">
        <f t="shared" si="21"/>
        <v>180</v>
      </c>
      <c r="E58" s="16">
        <f t="shared" si="21"/>
        <v>123</v>
      </c>
      <c r="F58" s="16">
        <f t="shared" si="21"/>
        <v>685</v>
      </c>
      <c r="G58" s="16">
        <f t="shared" si="21"/>
        <v>8</v>
      </c>
      <c r="H58" s="16">
        <f t="shared" si="21"/>
        <v>23</v>
      </c>
      <c r="I58" s="16">
        <f t="shared" si="21"/>
        <v>239</v>
      </c>
      <c r="J58" s="16">
        <f t="shared" si="21"/>
        <v>169</v>
      </c>
      <c r="K58" s="16">
        <f t="shared" si="21"/>
        <v>40</v>
      </c>
      <c r="L58" s="16">
        <f t="shared" si="21"/>
        <v>30</v>
      </c>
      <c r="M58" s="16">
        <f t="shared" si="21"/>
        <v>627</v>
      </c>
      <c r="N58" s="16">
        <f t="shared" si="21"/>
        <v>0</v>
      </c>
      <c r="O58" s="16">
        <f t="shared" si="21"/>
        <v>2134</v>
      </c>
      <c r="P58" s="16">
        <f t="shared" si="21"/>
        <v>2761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0.23071350959797174</v>
      </c>
      <c r="D59" s="43">
        <f t="shared" si="22"/>
        <v>6.5193770373053239E-2</v>
      </c>
      <c r="E59" s="43">
        <f t="shared" si="22"/>
        <v>4.4549076421586384E-2</v>
      </c>
      <c r="F59" s="43">
        <f t="shared" si="22"/>
        <v>0.24809851503078595</v>
      </c>
      <c r="G59" s="43">
        <f t="shared" si="22"/>
        <v>2.897500905469033E-3</v>
      </c>
      <c r="H59" s="43">
        <f t="shared" si="22"/>
        <v>8.3303151032234693E-3</v>
      </c>
      <c r="I59" s="43">
        <f t="shared" si="22"/>
        <v>8.6562839550887366E-2</v>
      </c>
      <c r="J59" s="43">
        <f t="shared" si="22"/>
        <v>6.1209706628033322E-2</v>
      </c>
      <c r="K59" s="43">
        <f t="shared" si="22"/>
        <v>1.4487504527345164E-2</v>
      </c>
      <c r="L59" s="43">
        <f t="shared" si="22"/>
        <v>1.0865628395508874E-2</v>
      </c>
      <c r="M59" s="43">
        <f t="shared" si="22"/>
        <v>0.22709163346613545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0.29850046860356139</v>
      </c>
      <c r="D60" s="44">
        <f t="shared" ref="D60:N60" si="23">D58/$O$58</f>
        <v>8.4348641049671977E-2</v>
      </c>
      <c r="E60" s="44">
        <f t="shared" si="23"/>
        <v>5.7638238050609185E-2</v>
      </c>
      <c r="F60" s="44">
        <f t="shared" si="23"/>
        <v>0.32099343955014059</v>
      </c>
      <c r="G60" s="44">
        <f t="shared" si="23"/>
        <v>3.7488284910965324E-3</v>
      </c>
      <c r="H60" s="44">
        <f t="shared" si="23"/>
        <v>1.077788191190253E-2</v>
      </c>
      <c r="I60" s="44">
        <f t="shared" si="23"/>
        <v>0.11199625117150891</v>
      </c>
      <c r="J60" s="44">
        <f t="shared" si="23"/>
        <v>7.9194001874414249E-2</v>
      </c>
      <c r="K60" s="44">
        <f t="shared" si="23"/>
        <v>1.874414245548266E-2</v>
      </c>
      <c r="L60" s="44">
        <f t="shared" si="23"/>
        <v>1.4058106841611996E-2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249977111117893"/>
  </sheetPr>
  <dimension ref="B1:AF174"/>
  <sheetViews>
    <sheetView view="pageBreakPreview" topLeftCell="A56" zoomScale="60" workbookViewId="0">
      <selection activeCell="B58" sqref="B58:B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'29.10 Bujuko-Buloba'!C3:G3</f>
        <v>MCC - C2 - STN62 - BUJUKO-BULOBA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178</v>
      </c>
      <c r="E5" s="3"/>
      <c r="F5" s="41" t="s">
        <v>1</v>
      </c>
      <c r="G5" s="66" t="str">
        <f>'31.10 Buloba-Bujuko-24h'!G5:H5</f>
        <v>Buloba Pop Oil</v>
      </c>
      <c r="H5" s="67"/>
      <c r="I5" s="14"/>
      <c r="J5" s="2" t="s">
        <v>5</v>
      </c>
      <c r="K5" s="66" t="s">
        <v>179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'29.10 Bujuko-Buloba'!D6:E6</f>
        <v>Bujuko</v>
      </c>
      <c r="E6" s="67"/>
      <c r="F6" s="2" t="s">
        <v>2</v>
      </c>
      <c r="G6" s="66" t="str">
        <f>'29.10 Bujuko-Buloba'!G6:H6</f>
        <v xml:space="preserve">Buloba </v>
      </c>
      <c r="H6" s="67"/>
      <c r="J6" s="2" t="s">
        <v>21</v>
      </c>
      <c r="K6" s="66" t="str">
        <f>'31.10 Buloba-Bujuko-24h'!K6:L6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</v>
      </c>
      <c r="D10" s="50">
        <v>2</v>
      </c>
      <c r="E10" s="50">
        <v>1</v>
      </c>
      <c r="F10" s="50">
        <v>8</v>
      </c>
      <c r="G10" s="50">
        <v>1</v>
      </c>
      <c r="H10" s="50">
        <v>0</v>
      </c>
      <c r="I10" s="50">
        <v>4</v>
      </c>
      <c r="J10" s="50">
        <v>0</v>
      </c>
      <c r="K10" s="50">
        <v>0</v>
      </c>
      <c r="L10" s="50">
        <v>0</v>
      </c>
      <c r="M10" s="50">
        <v>10</v>
      </c>
      <c r="N10" s="50">
        <v>0</v>
      </c>
      <c r="O10" s="15">
        <f t="shared" ref="O10:O73" si="0">SUM(C10:L10,N10)</f>
        <v>19</v>
      </c>
      <c r="P10" s="15">
        <f t="shared" ref="P10:P73" si="1">SUM(C10:N10)</f>
        <v>29</v>
      </c>
      <c r="R10" s="1" t="s">
        <v>6</v>
      </c>
      <c r="S10" s="17">
        <f t="shared" ref="S10:AF10" si="2">SUM(C10:C13)</f>
        <v>31</v>
      </c>
      <c r="T10" s="17">
        <f t="shared" si="2"/>
        <v>10</v>
      </c>
      <c r="U10" s="17">
        <f t="shared" si="2"/>
        <v>6</v>
      </c>
      <c r="V10" s="17">
        <f t="shared" si="2"/>
        <v>46</v>
      </c>
      <c r="W10" s="17">
        <f t="shared" si="2"/>
        <v>1</v>
      </c>
      <c r="X10" s="17">
        <f t="shared" si="2"/>
        <v>0</v>
      </c>
      <c r="Y10" s="17">
        <f t="shared" si="2"/>
        <v>10</v>
      </c>
      <c r="Z10" s="17">
        <f t="shared" si="2"/>
        <v>3</v>
      </c>
      <c r="AA10" s="17">
        <f t="shared" si="2"/>
        <v>4</v>
      </c>
      <c r="AB10" s="17">
        <f t="shared" si="2"/>
        <v>0</v>
      </c>
      <c r="AC10" s="17">
        <f t="shared" si="2"/>
        <v>50</v>
      </c>
      <c r="AD10" s="17">
        <f t="shared" si="2"/>
        <v>0</v>
      </c>
      <c r="AE10" s="31">
        <f t="shared" si="2"/>
        <v>111</v>
      </c>
      <c r="AF10" s="31">
        <f t="shared" si="2"/>
        <v>161</v>
      </c>
    </row>
    <row r="11" spans="2:32" s="6" customFormat="1" ht="23.1" customHeight="1" x14ac:dyDescent="0.25">
      <c r="B11" s="45" t="s">
        <v>38</v>
      </c>
      <c r="C11" s="50">
        <v>4</v>
      </c>
      <c r="D11" s="50">
        <v>2</v>
      </c>
      <c r="E11" s="50">
        <v>0</v>
      </c>
      <c r="F11" s="50">
        <v>9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10</v>
      </c>
      <c r="N11" s="50">
        <v>0</v>
      </c>
      <c r="O11" s="15">
        <f t="shared" si="0"/>
        <v>16</v>
      </c>
      <c r="P11" s="15">
        <f t="shared" si="1"/>
        <v>26</v>
      </c>
      <c r="R11" s="1" t="s">
        <v>7</v>
      </c>
      <c r="S11" s="17">
        <f t="shared" ref="S11:AF11" si="3">SUM(C14:C17)</f>
        <v>26</v>
      </c>
      <c r="T11" s="17">
        <f t="shared" si="3"/>
        <v>11</v>
      </c>
      <c r="U11" s="17">
        <f t="shared" si="3"/>
        <v>8</v>
      </c>
      <c r="V11" s="17">
        <f t="shared" si="3"/>
        <v>63</v>
      </c>
      <c r="W11" s="17">
        <f t="shared" si="3"/>
        <v>0</v>
      </c>
      <c r="X11" s="17">
        <f t="shared" si="3"/>
        <v>0</v>
      </c>
      <c r="Y11" s="17">
        <f t="shared" si="3"/>
        <v>16</v>
      </c>
      <c r="Z11" s="17">
        <f t="shared" si="3"/>
        <v>7</v>
      </c>
      <c r="AA11" s="17">
        <f t="shared" si="3"/>
        <v>1</v>
      </c>
      <c r="AB11" s="17">
        <f t="shared" si="3"/>
        <v>0</v>
      </c>
      <c r="AC11" s="17">
        <f t="shared" si="3"/>
        <v>57</v>
      </c>
      <c r="AD11" s="17">
        <f t="shared" si="3"/>
        <v>0</v>
      </c>
      <c r="AE11" s="31">
        <f t="shared" si="3"/>
        <v>132</v>
      </c>
      <c r="AF11" s="31">
        <f t="shared" si="3"/>
        <v>189</v>
      </c>
    </row>
    <row r="12" spans="2:32" ht="23.1" customHeight="1" x14ac:dyDescent="0.25">
      <c r="B12" s="45" t="s">
        <v>39</v>
      </c>
      <c r="C12" s="50">
        <v>9</v>
      </c>
      <c r="D12" s="50">
        <v>3</v>
      </c>
      <c r="E12" s="50">
        <v>3</v>
      </c>
      <c r="F12" s="50">
        <v>15</v>
      </c>
      <c r="G12" s="50">
        <v>0</v>
      </c>
      <c r="H12" s="50">
        <v>0</v>
      </c>
      <c r="I12" s="50">
        <v>2</v>
      </c>
      <c r="J12" s="50">
        <v>2</v>
      </c>
      <c r="K12" s="50">
        <v>3</v>
      </c>
      <c r="L12" s="50">
        <v>0</v>
      </c>
      <c r="M12" s="50">
        <v>11</v>
      </c>
      <c r="N12" s="50">
        <v>0</v>
      </c>
      <c r="O12" s="15">
        <f t="shared" si="0"/>
        <v>37</v>
      </c>
      <c r="P12" s="15">
        <f t="shared" si="1"/>
        <v>48</v>
      </c>
      <c r="R12" s="1" t="s">
        <v>8</v>
      </c>
      <c r="S12" s="17">
        <f t="shared" ref="S12:AF12" si="4">SUM(C18:C21)</f>
        <v>38</v>
      </c>
      <c r="T12" s="17">
        <f t="shared" si="4"/>
        <v>21</v>
      </c>
      <c r="U12" s="17">
        <f t="shared" si="4"/>
        <v>8</v>
      </c>
      <c r="V12" s="17">
        <f t="shared" si="4"/>
        <v>62</v>
      </c>
      <c r="W12" s="17">
        <f t="shared" si="4"/>
        <v>0</v>
      </c>
      <c r="X12" s="17">
        <f t="shared" si="4"/>
        <v>1</v>
      </c>
      <c r="Y12" s="17">
        <f t="shared" si="4"/>
        <v>24</v>
      </c>
      <c r="Z12" s="17">
        <f t="shared" si="4"/>
        <v>7</v>
      </c>
      <c r="AA12" s="17">
        <f t="shared" si="4"/>
        <v>4</v>
      </c>
      <c r="AB12" s="17">
        <f t="shared" si="4"/>
        <v>1</v>
      </c>
      <c r="AC12" s="17">
        <f t="shared" si="4"/>
        <v>70</v>
      </c>
      <c r="AD12" s="17">
        <f t="shared" si="4"/>
        <v>0</v>
      </c>
      <c r="AE12" s="31">
        <f t="shared" si="4"/>
        <v>166</v>
      </c>
      <c r="AF12" s="31">
        <f t="shared" si="4"/>
        <v>236</v>
      </c>
    </row>
    <row r="13" spans="2:32" ht="23.1" customHeight="1" x14ac:dyDescent="0.25">
      <c r="B13" s="45" t="s">
        <v>40</v>
      </c>
      <c r="C13" s="50">
        <v>15</v>
      </c>
      <c r="D13" s="50">
        <v>3</v>
      </c>
      <c r="E13" s="50">
        <v>2</v>
      </c>
      <c r="F13" s="50">
        <v>14</v>
      </c>
      <c r="G13" s="50">
        <v>0</v>
      </c>
      <c r="H13" s="50">
        <v>0</v>
      </c>
      <c r="I13" s="50">
        <v>3</v>
      </c>
      <c r="J13" s="50">
        <v>1</v>
      </c>
      <c r="K13" s="50">
        <v>1</v>
      </c>
      <c r="L13" s="50">
        <v>0</v>
      </c>
      <c r="M13" s="50">
        <v>19</v>
      </c>
      <c r="N13" s="50">
        <v>0</v>
      </c>
      <c r="O13" s="15">
        <f t="shared" si="0"/>
        <v>39</v>
      </c>
      <c r="P13" s="15">
        <f t="shared" si="1"/>
        <v>58</v>
      </c>
      <c r="R13" s="1" t="s">
        <v>9</v>
      </c>
      <c r="S13" s="17">
        <f t="shared" ref="S13:AF13" si="5">SUM(C22:C25)</f>
        <v>35</v>
      </c>
      <c r="T13" s="17">
        <f t="shared" si="5"/>
        <v>12</v>
      </c>
      <c r="U13" s="17">
        <f t="shared" si="5"/>
        <v>5</v>
      </c>
      <c r="V13" s="17">
        <f t="shared" si="5"/>
        <v>43</v>
      </c>
      <c r="W13" s="17">
        <f t="shared" si="5"/>
        <v>0</v>
      </c>
      <c r="X13" s="17">
        <f t="shared" si="5"/>
        <v>1</v>
      </c>
      <c r="Y13" s="17">
        <f t="shared" si="5"/>
        <v>16</v>
      </c>
      <c r="Z13" s="17">
        <f t="shared" si="5"/>
        <v>4</v>
      </c>
      <c r="AA13" s="17">
        <f t="shared" si="5"/>
        <v>2</v>
      </c>
      <c r="AB13" s="17">
        <f t="shared" si="5"/>
        <v>2</v>
      </c>
      <c r="AC13" s="17">
        <f t="shared" si="5"/>
        <v>61</v>
      </c>
      <c r="AD13" s="17">
        <f t="shared" si="5"/>
        <v>0</v>
      </c>
      <c r="AE13" s="31">
        <f t="shared" si="5"/>
        <v>120</v>
      </c>
      <c r="AF13" s="31">
        <f t="shared" si="5"/>
        <v>181</v>
      </c>
    </row>
    <row r="14" spans="2:32" ht="23.1" customHeight="1" x14ac:dyDescent="0.25">
      <c r="B14" s="45" t="s">
        <v>41</v>
      </c>
      <c r="C14" s="50">
        <v>6</v>
      </c>
      <c r="D14" s="50">
        <v>3</v>
      </c>
      <c r="E14" s="50">
        <v>2</v>
      </c>
      <c r="F14" s="50">
        <v>13</v>
      </c>
      <c r="G14" s="50">
        <v>0</v>
      </c>
      <c r="H14" s="50">
        <v>0</v>
      </c>
      <c r="I14" s="50">
        <v>3</v>
      </c>
      <c r="J14" s="50">
        <v>1</v>
      </c>
      <c r="K14" s="50">
        <v>0</v>
      </c>
      <c r="L14" s="50">
        <v>0</v>
      </c>
      <c r="M14" s="50">
        <v>15</v>
      </c>
      <c r="N14" s="50">
        <v>0</v>
      </c>
      <c r="O14" s="15">
        <f t="shared" si="0"/>
        <v>28</v>
      </c>
      <c r="P14" s="15">
        <f t="shared" si="1"/>
        <v>43</v>
      </c>
      <c r="R14" s="1" t="s">
        <v>10</v>
      </c>
      <c r="S14" s="17">
        <f t="shared" ref="S14:AF14" si="6">SUM(C26:C29)</f>
        <v>30</v>
      </c>
      <c r="T14" s="17">
        <f t="shared" si="6"/>
        <v>21</v>
      </c>
      <c r="U14" s="17">
        <f t="shared" si="6"/>
        <v>8</v>
      </c>
      <c r="V14" s="17">
        <f t="shared" si="6"/>
        <v>36</v>
      </c>
      <c r="W14" s="17">
        <f t="shared" si="6"/>
        <v>1</v>
      </c>
      <c r="X14" s="17">
        <f t="shared" si="6"/>
        <v>0</v>
      </c>
      <c r="Y14" s="17">
        <f t="shared" si="6"/>
        <v>14</v>
      </c>
      <c r="Z14" s="17">
        <f t="shared" si="6"/>
        <v>7</v>
      </c>
      <c r="AA14" s="17">
        <f t="shared" si="6"/>
        <v>0</v>
      </c>
      <c r="AB14" s="17">
        <f t="shared" si="6"/>
        <v>3</v>
      </c>
      <c r="AC14" s="17">
        <f t="shared" si="6"/>
        <v>34</v>
      </c>
      <c r="AD14" s="17">
        <f t="shared" si="6"/>
        <v>0</v>
      </c>
      <c r="AE14" s="31">
        <f t="shared" si="6"/>
        <v>120</v>
      </c>
      <c r="AF14" s="31">
        <f t="shared" si="6"/>
        <v>154</v>
      </c>
    </row>
    <row r="15" spans="2:32" ht="23.1" customHeight="1" x14ac:dyDescent="0.25">
      <c r="B15" s="45" t="s">
        <v>42</v>
      </c>
      <c r="C15" s="50">
        <v>7</v>
      </c>
      <c r="D15" s="50">
        <v>2</v>
      </c>
      <c r="E15" s="50">
        <v>6</v>
      </c>
      <c r="F15" s="50">
        <v>15</v>
      </c>
      <c r="G15" s="50">
        <v>0</v>
      </c>
      <c r="H15" s="50">
        <v>0</v>
      </c>
      <c r="I15" s="50">
        <v>4</v>
      </c>
      <c r="J15" s="50">
        <v>2</v>
      </c>
      <c r="K15" s="50">
        <v>1</v>
      </c>
      <c r="L15" s="50">
        <v>0</v>
      </c>
      <c r="M15" s="50">
        <v>18</v>
      </c>
      <c r="N15" s="50">
        <v>0</v>
      </c>
      <c r="O15" s="15">
        <f t="shared" si="0"/>
        <v>37</v>
      </c>
      <c r="P15" s="15">
        <f t="shared" si="1"/>
        <v>55</v>
      </c>
      <c r="R15" s="1" t="s">
        <v>11</v>
      </c>
      <c r="S15" s="17">
        <f t="shared" ref="S15:AF15" si="7">SUM(C30:C33)</f>
        <v>37</v>
      </c>
      <c r="T15" s="17">
        <f t="shared" si="7"/>
        <v>16</v>
      </c>
      <c r="U15" s="17">
        <f t="shared" si="7"/>
        <v>10</v>
      </c>
      <c r="V15" s="17">
        <f t="shared" si="7"/>
        <v>35</v>
      </c>
      <c r="W15" s="17">
        <f t="shared" si="7"/>
        <v>0</v>
      </c>
      <c r="X15" s="17">
        <f t="shared" si="7"/>
        <v>1</v>
      </c>
      <c r="Y15" s="17">
        <f t="shared" si="7"/>
        <v>31</v>
      </c>
      <c r="Z15" s="17">
        <f t="shared" si="7"/>
        <v>10</v>
      </c>
      <c r="AA15" s="17">
        <f t="shared" si="7"/>
        <v>3</v>
      </c>
      <c r="AB15" s="17">
        <f t="shared" si="7"/>
        <v>3</v>
      </c>
      <c r="AC15" s="17">
        <f t="shared" si="7"/>
        <v>59</v>
      </c>
      <c r="AD15" s="17">
        <f t="shared" si="7"/>
        <v>0</v>
      </c>
      <c r="AE15" s="31">
        <f t="shared" si="7"/>
        <v>146</v>
      </c>
      <c r="AF15" s="31">
        <f t="shared" si="7"/>
        <v>205</v>
      </c>
    </row>
    <row r="16" spans="2:32" ht="23.1" customHeight="1" x14ac:dyDescent="0.25">
      <c r="B16" s="45" t="s">
        <v>43</v>
      </c>
      <c r="C16" s="50">
        <v>11</v>
      </c>
      <c r="D16" s="50">
        <v>3</v>
      </c>
      <c r="E16" s="50">
        <v>0</v>
      </c>
      <c r="F16" s="50">
        <v>19</v>
      </c>
      <c r="G16" s="50">
        <v>0</v>
      </c>
      <c r="H16" s="50">
        <v>0</v>
      </c>
      <c r="I16" s="50">
        <v>3</v>
      </c>
      <c r="J16" s="50">
        <v>1</v>
      </c>
      <c r="K16" s="50">
        <v>0</v>
      </c>
      <c r="L16" s="50">
        <v>0</v>
      </c>
      <c r="M16" s="50">
        <v>13</v>
      </c>
      <c r="N16" s="50">
        <v>0</v>
      </c>
      <c r="O16" s="15">
        <f t="shared" si="0"/>
        <v>37</v>
      </c>
      <c r="P16" s="15">
        <f t="shared" si="1"/>
        <v>50</v>
      </c>
      <c r="R16" s="1" t="s">
        <v>12</v>
      </c>
      <c r="S16" s="17">
        <f t="shared" ref="S16:AF16" si="8">SUM(C34:C37)</f>
        <v>37</v>
      </c>
      <c r="T16" s="17">
        <f t="shared" si="8"/>
        <v>17</v>
      </c>
      <c r="U16" s="17">
        <f t="shared" si="8"/>
        <v>10</v>
      </c>
      <c r="V16" s="17">
        <f t="shared" si="8"/>
        <v>46</v>
      </c>
      <c r="W16" s="17">
        <f t="shared" si="8"/>
        <v>1</v>
      </c>
      <c r="X16" s="17">
        <f t="shared" si="8"/>
        <v>0</v>
      </c>
      <c r="Y16" s="17">
        <f t="shared" si="8"/>
        <v>29</v>
      </c>
      <c r="Z16" s="17">
        <f t="shared" si="8"/>
        <v>9</v>
      </c>
      <c r="AA16" s="17">
        <f t="shared" si="8"/>
        <v>0</v>
      </c>
      <c r="AB16" s="17">
        <f t="shared" si="8"/>
        <v>3</v>
      </c>
      <c r="AC16" s="17">
        <f t="shared" si="8"/>
        <v>61</v>
      </c>
      <c r="AD16" s="17">
        <f t="shared" si="8"/>
        <v>0</v>
      </c>
      <c r="AE16" s="31">
        <f t="shared" si="8"/>
        <v>152</v>
      </c>
      <c r="AF16" s="31">
        <f t="shared" si="8"/>
        <v>213</v>
      </c>
    </row>
    <row r="17" spans="2:32" ht="23.1" customHeight="1" x14ac:dyDescent="0.25">
      <c r="B17" s="45" t="s">
        <v>44</v>
      </c>
      <c r="C17" s="50">
        <v>2</v>
      </c>
      <c r="D17" s="50">
        <v>3</v>
      </c>
      <c r="E17" s="50">
        <v>0</v>
      </c>
      <c r="F17" s="50">
        <v>16</v>
      </c>
      <c r="G17" s="50">
        <v>0</v>
      </c>
      <c r="H17" s="50">
        <v>0</v>
      </c>
      <c r="I17" s="50">
        <v>6</v>
      </c>
      <c r="J17" s="50">
        <v>3</v>
      </c>
      <c r="K17" s="50">
        <v>0</v>
      </c>
      <c r="L17" s="50">
        <v>0</v>
      </c>
      <c r="M17" s="50">
        <v>11</v>
      </c>
      <c r="N17" s="50">
        <v>0</v>
      </c>
      <c r="O17" s="15">
        <f t="shared" si="0"/>
        <v>30</v>
      </c>
      <c r="P17" s="15">
        <f t="shared" si="1"/>
        <v>41</v>
      </c>
      <c r="R17" s="1" t="s">
        <v>13</v>
      </c>
      <c r="S17" s="17">
        <f t="shared" ref="S17:AF17" si="9">SUM(C38:C41)</f>
        <v>58</v>
      </c>
      <c r="T17" s="17">
        <f t="shared" si="9"/>
        <v>18</v>
      </c>
      <c r="U17" s="17">
        <f t="shared" si="9"/>
        <v>8</v>
      </c>
      <c r="V17" s="17">
        <f t="shared" si="9"/>
        <v>42</v>
      </c>
      <c r="W17" s="17">
        <f t="shared" si="9"/>
        <v>0</v>
      </c>
      <c r="X17" s="17">
        <f t="shared" si="9"/>
        <v>1</v>
      </c>
      <c r="Y17" s="17">
        <f t="shared" si="9"/>
        <v>10</v>
      </c>
      <c r="Z17" s="17">
        <f t="shared" si="9"/>
        <v>9</v>
      </c>
      <c r="AA17" s="17">
        <f t="shared" si="9"/>
        <v>8</v>
      </c>
      <c r="AB17" s="17">
        <f t="shared" si="9"/>
        <v>2</v>
      </c>
      <c r="AC17" s="17">
        <f t="shared" si="9"/>
        <v>51</v>
      </c>
      <c r="AD17" s="17">
        <f t="shared" si="9"/>
        <v>0</v>
      </c>
      <c r="AE17" s="31">
        <f t="shared" si="9"/>
        <v>156</v>
      </c>
      <c r="AF17" s="31">
        <f t="shared" si="9"/>
        <v>207</v>
      </c>
    </row>
    <row r="18" spans="2:32" ht="23.1" customHeight="1" x14ac:dyDescent="0.25">
      <c r="B18" s="45" t="s">
        <v>45</v>
      </c>
      <c r="C18" s="50">
        <v>10</v>
      </c>
      <c r="D18" s="50">
        <v>5</v>
      </c>
      <c r="E18" s="50">
        <v>2</v>
      </c>
      <c r="F18" s="50">
        <v>17</v>
      </c>
      <c r="G18" s="50">
        <v>0</v>
      </c>
      <c r="H18" s="50">
        <v>1</v>
      </c>
      <c r="I18" s="50">
        <v>6</v>
      </c>
      <c r="J18" s="50">
        <v>1</v>
      </c>
      <c r="K18" s="50">
        <v>0</v>
      </c>
      <c r="L18" s="50">
        <v>0</v>
      </c>
      <c r="M18" s="50">
        <v>20</v>
      </c>
      <c r="N18" s="50">
        <v>0</v>
      </c>
      <c r="O18" s="15">
        <f t="shared" si="0"/>
        <v>42</v>
      </c>
      <c r="P18" s="15">
        <f t="shared" si="1"/>
        <v>62</v>
      </c>
      <c r="R18" s="1" t="s">
        <v>14</v>
      </c>
      <c r="S18" s="17">
        <f t="shared" ref="S18:AF18" si="10">SUM(C42:C45)</f>
        <v>45</v>
      </c>
      <c r="T18" s="17">
        <f t="shared" si="10"/>
        <v>22</v>
      </c>
      <c r="U18" s="17">
        <f t="shared" si="10"/>
        <v>7</v>
      </c>
      <c r="V18" s="17">
        <f t="shared" si="10"/>
        <v>36</v>
      </c>
      <c r="W18" s="17">
        <f t="shared" si="10"/>
        <v>0</v>
      </c>
      <c r="X18" s="17">
        <f t="shared" si="10"/>
        <v>2</v>
      </c>
      <c r="Y18" s="17">
        <f t="shared" si="10"/>
        <v>12</v>
      </c>
      <c r="Z18" s="17">
        <f t="shared" si="10"/>
        <v>5</v>
      </c>
      <c r="AA18" s="17">
        <f t="shared" si="10"/>
        <v>7</v>
      </c>
      <c r="AB18" s="17">
        <f t="shared" si="10"/>
        <v>1</v>
      </c>
      <c r="AC18" s="17">
        <f t="shared" si="10"/>
        <v>39</v>
      </c>
      <c r="AD18" s="17">
        <f t="shared" si="10"/>
        <v>0</v>
      </c>
      <c r="AE18" s="31">
        <f t="shared" si="10"/>
        <v>137</v>
      </c>
      <c r="AF18" s="31">
        <f t="shared" si="10"/>
        <v>176</v>
      </c>
    </row>
    <row r="19" spans="2:32" ht="23.1" customHeight="1" x14ac:dyDescent="0.25">
      <c r="B19" s="45" t="s">
        <v>46</v>
      </c>
      <c r="C19" s="50">
        <v>11</v>
      </c>
      <c r="D19" s="50">
        <v>2</v>
      </c>
      <c r="E19" s="50">
        <v>3</v>
      </c>
      <c r="F19" s="50">
        <v>18</v>
      </c>
      <c r="G19" s="50">
        <v>0</v>
      </c>
      <c r="H19" s="50">
        <v>0</v>
      </c>
      <c r="I19" s="50">
        <v>2</v>
      </c>
      <c r="J19" s="50">
        <v>2</v>
      </c>
      <c r="K19" s="50">
        <v>1</v>
      </c>
      <c r="L19" s="50">
        <v>0</v>
      </c>
      <c r="M19" s="50">
        <v>23</v>
      </c>
      <c r="N19" s="50">
        <v>0</v>
      </c>
      <c r="O19" s="15">
        <f t="shared" si="0"/>
        <v>39</v>
      </c>
      <c r="P19" s="15">
        <f t="shared" si="1"/>
        <v>62</v>
      </c>
      <c r="R19" s="1" t="s">
        <v>15</v>
      </c>
      <c r="S19" s="17">
        <f t="shared" ref="S19:AF19" si="11">SUM(C46:C49)</f>
        <v>17</v>
      </c>
      <c r="T19" s="17">
        <f t="shared" si="11"/>
        <v>7</v>
      </c>
      <c r="U19" s="17">
        <f t="shared" si="11"/>
        <v>5</v>
      </c>
      <c r="V19" s="17">
        <f t="shared" si="11"/>
        <v>15</v>
      </c>
      <c r="W19" s="17">
        <f t="shared" si="11"/>
        <v>1</v>
      </c>
      <c r="X19" s="17">
        <f t="shared" si="11"/>
        <v>2</v>
      </c>
      <c r="Y19" s="17">
        <f t="shared" si="11"/>
        <v>8</v>
      </c>
      <c r="Z19" s="17">
        <f t="shared" si="11"/>
        <v>4</v>
      </c>
      <c r="AA19" s="17">
        <f t="shared" si="11"/>
        <v>1</v>
      </c>
      <c r="AB19" s="17">
        <f t="shared" si="11"/>
        <v>5</v>
      </c>
      <c r="AC19" s="17">
        <f t="shared" si="11"/>
        <v>19</v>
      </c>
      <c r="AD19" s="17">
        <f t="shared" si="11"/>
        <v>0</v>
      </c>
      <c r="AE19" s="31">
        <f t="shared" si="11"/>
        <v>65</v>
      </c>
      <c r="AF19" s="31">
        <f t="shared" si="11"/>
        <v>84</v>
      </c>
    </row>
    <row r="20" spans="2:32" ht="23.1" customHeight="1" x14ac:dyDescent="0.25">
      <c r="B20" s="45" t="s">
        <v>47</v>
      </c>
      <c r="C20" s="50">
        <v>10</v>
      </c>
      <c r="D20" s="50">
        <v>4</v>
      </c>
      <c r="E20" s="50">
        <v>2</v>
      </c>
      <c r="F20" s="50">
        <v>11</v>
      </c>
      <c r="G20" s="50">
        <v>0</v>
      </c>
      <c r="H20" s="50">
        <v>0</v>
      </c>
      <c r="I20" s="50">
        <v>9</v>
      </c>
      <c r="J20" s="50">
        <v>3</v>
      </c>
      <c r="K20" s="50">
        <v>1</v>
      </c>
      <c r="L20" s="50">
        <v>0</v>
      </c>
      <c r="M20" s="50">
        <v>16</v>
      </c>
      <c r="N20" s="50">
        <v>0</v>
      </c>
      <c r="O20" s="15">
        <f t="shared" si="0"/>
        <v>40</v>
      </c>
      <c r="P20" s="15">
        <f t="shared" si="1"/>
        <v>56</v>
      </c>
      <c r="R20" s="1" t="s">
        <v>16</v>
      </c>
      <c r="S20" s="17">
        <f t="shared" ref="S20:AF20" si="12">SUM(C50:C53)</f>
        <v>12</v>
      </c>
      <c r="T20" s="17">
        <f t="shared" si="12"/>
        <v>8</v>
      </c>
      <c r="U20" s="17">
        <f t="shared" si="12"/>
        <v>10</v>
      </c>
      <c r="V20" s="17">
        <f t="shared" si="12"/>
        <v>19</v>
      </c>
      <c r="W20" s="17">
        <f t="shared" si="12"/>
        <v>0</v>
      </c>
      <c r="X20" s="17">
        <f t="shared" si="12"/>
        <v>0</v>
      </c>
      <c r="Y20" s="17">
        <f t="shared" si="12"/>
        <v>8</v>
      </c>
      <c r="Z20" s="17">
        <f t="shared" si="12"/>
        <v>4</v>
      </c>
      <c r="AA20" s="17">
        <f t="shared" si="12"/>
        <v>1</v>
      </c>
      <c r="AB20" s="17">
        <f t="shared" si="12"/>
        <v>1</v>
      </c>
      <c r="AC20" s="17">
        <f t="shared" si="12"/>
        <v>31</v>
      </c>
      <c r="AD20" s="17">
        <f t="shared" si="12"/>
        <v>0</v>
      </c>
      <c r="AE20" s="31">
        <f t="shared" si="12"/>
        <v>63</v>
      </c>
      <c r="AF20" s="31">
        <f t="shared" si="12"/>
        <v>94</v>
      </c>
    </row>
    <row r="21" spans="2:32" ht="23.1" customHeight="1" x14ac:dyDescent="0.25">
      <c r="B21" s="45" t="s">
        <v>48</v>
      </c>
      <c r="C21" s="50">
        <v>7</v>
      </c>
      <c r="D21" s="50">
        <v>10</v>
      </c>
      <c r="E21" s="50">
        <v>1</v>
      </c>
      <c r="F21" s="50">
        <v>16</v>
      </c>
      <c r="G21" s="50">
        <v>0</v>
      </c>
      <c r="H21" s="50">
        <v>0</v>
      </c>
      <c r="I21" s="50">
        <v>7</v>
      </c>
      <c r="J21" s="50">
        <v>1</v>
      </c>
      <c r="K21" s="50">
        <v>2</v>
      </c>
      <c r="L21" s="50">
        <v>1</v>
      </c>
      <c r="M21" s="50">
        <v>11</v>
      </c>
      <c r="N21" s="50">
        <v>0</v>
      </c>
      <c r="O21" s="15">
        <f t="shared" si="0"/>
        <v>45</v>
      </c>
      <c r="P21" s="15">
        <f t="shared" si="1"/>
        <v>56</v>
      </c>
      <c r="R21" s="36" t="s">
        <v>20</v>
      </c>
      <c r="S21" s="34">
        <f t="shared" ref="S21:AF21" si="13">SUM(C54:C57)</f>
        <v>83</v>
      </c>
      <c r="T21" s="17">
        <f t="shared" si="13"/>
        <v>14</v>
      </c>
      <c r="U21" s="17">
        <f t="shared" si="13"/>
        <v>8</v>
      </c>
      <c r="V21" s="17">
        <f t="shared" si="13"/>
        <v>55</v>
      </c>
      <c r="W21" s="17">
        <f t="shared" si="13"/>
        <v>2</v>
      </c>
      <c r="X21" s="17">
        <f t="shared" si="13"/>
        <v>1</v>
      </c>
      <c r="Y21" s="17">
        <f t="shared" si="13"/>
        <v>18</v>
      </c>
      <c r="Z21" s="17">
        <f t="shared" si="13"/>
        <v>5</v>
      </c>
      <c r="AA21" s="17">
        <f t="shared" si="13"/>
        <v>0</v>
      </c>
      <c r="AB21" s="17">
        <f t="shared" si="13"/>
        <v>5</v>
      </c>
      <c r="AC21" s="17">
        <f t="shared" si="13"/>
        <v>49</v>
      </c>
      <c r="AD21" s="17">
        <f t="shared" si="13"/>
        <v>0</v>
      </c>
      <c r="AE21" s="31">
        <f t="shared" si="13"/>
        <v>191</v>
      </c>
      <c r="AF21" s="31">
        <f t="shared" si="13"/>
        <v>240</v>
      </c>
    </row>
    <row r="22" spans="2:32" ht="23.1" customHeight="1" x14ac:dyDescent="0.25">
      <c r="B22" s="45" t="s">
        <v>49</v>
      </c>
      <c r="C22" s="50">
        <v>10</v>
      </c>
      <c r="D22" s="50">
        <v>3</v>
      </c>
      <c r="E22" s="50">
        <v>4</v>
      </c>
      <c r="F22" s="50">
        <v>10</v>
      </c>
      <c r="G22" s="50">
        <v>0</v>
      </c>
      <c r="H22" s="50">
        <v>0</v>
      </c>
      <c r="I22" s="50">
        <v>2</v>
      </c>
      <c r="J22" s="50">
        <v>1</v>
      </c>
      <c r="K22" s="50">
        <v>0</v>
      </c>
      <c r="L22" s="50">
        <v>1</v>
      </c>
      <c r="M22" s="50">
        <v>15</v>
      </c>
      <c r="N22" s="50">
        <v>0</v>
      </c>
      <c r="O22" s="15">
        <f t="shared" si="0"/>
        <v>31</v>
      </c>
      <c r="P22" s="15">
        <f t="shared" si="1"/>
        <v>46</v>
      </c>
      <c r="R22" s="36" t="s">
        <v>146</v>
      </c>
      <c r="S22" s="34">
        <f>SUM(C58:C61)</f>
        <v>135</v>
      </c>
      <c r="T22" s="34">
        <f t="shared" ref="T22:AF22" si="14">SUM(D58:D61)</f>
        <v>36</v>
      </c>
      <c r="U22" s="34">
        <f t="shared" si="14"/>
        <v>30</v>
      </c>
      <c r="V22" s="34">
        <f t="shared" si="14"/>
        <v>93</v>
      </c>
      <c r="W22" s="34">
        <f t="shared" si="14"/>
        <v>0</v>
      </c>
      <c r="X22" s="34">
        <f t="shared" si="14"/>
        <v>2</v>
      </c>
      <c r="Y22" s="34">
        <f t="shared" si="14"/>
        <v>30</v>
      </c>
      <c r="Z22" s="34">
        <f t="shared" si="14"/>
        <v>16</v>
      </c>
      <c r="AA22" s="34">
        <f t="shared" si="14"/>
        <v>3</v>
      </c>
      <c r="AB22" s="34">
        <f t="shared" si="14"/>
        <v>5</v>
      </c>
      <c r="AC22" s="34">
        <f t="shared" si="14"/>
        <v>101</v>
      </c>
      <c r="AD22" s="34">
        <f t="shared" si="14"/>
        <v>0</v>
      </c>
      <c r="AE22" s="31">
        <f t="shared" si="14"/>
        <v>350</v>
      </c>
      <c r="AF22" s="31">
        <f t="shared" si="14"/>
        <v>451</v>
      </c>
    </row>
    <row r="23" spans="2:32" ht="23.1" customHeight="1" x14ac:dyDescent="0.25">
      <c r="B23" s="45" t="s">
        <v>50</v>
      </c>
      <c r="C23" s="50">
        <v>6</v>
      </c>
      <c r="D23" s="50">
        <v>4</v>
      </c>
      <c r="E23" s="50">
        <v>0</v>
      </c>
      <c r="F23" s="50">
        <v>10</v>
      </c>
      <c r="G23" s="50">
        <v>0</v>
      </c>
      <c r="H23" s="50">
        <v>0</v>
      </c>
      <c r="I23" s="50">
        <v>7</v>
      </c>
      <c r="J23" s="50">
        <v>1</v>
      </c>
      <c r="K23" s="50">
        <v>0</v>
      </c>
      <c r="L23" s="50">
        <v>0</v>
      </c>
      <c r="M23" s="50">
        <v>16</v>
      </c>
      <c r="N23" s="50">
        <v>0</v>
      </c>
      <c r="O23" s="15">
        <f t="shared" si="0"/>
        <v>28</v>
      </c>
      <c r="P23" s="15">
        <f t="shared" si="1"/>
        <v>44</v>
      </c>
      <c r="R23" s="36" t="s">
        <v>147</v>
      </c>
      <c r="S23" s="34">
        <f>SUM(C62:C65)</f>
        <v>87</v>
      </c>
      <c r="T23" s="34">
        <f t="shared" ref="T23:AF23" si="15">SUM(D62:D65)</f>
        <v>15</v>
      </c>
      <c r="U23" s="34">
        <f t="shared" si="15"/>
        <v>17</v>
      </c>
      <c r="V23" s="34">
        <f t="shared" si="15"/>
        <v>47</v>
      </c>
      <c r="W23" s="34">
        <f t="shared" si="15"/>
        <v>4</v>
      </c>
      <c r="X23" s="34">
        <f t="shared" si="15"/>
        <v>3</v>
      </c>
      <c r="Y23" s="34">
        <f t="shared" si="15"/>
        <v>36</v>
      </c>
      <c r="Z23" s="34">
        <f t="shared" si="15"/>
        <v>8</v>
      </c>
      <c r="AA23" s="34">
        <f t="shared" si="15"/>
        <v>4</v>
      </c>
      <c r="AB23" s="34">
        <f t="shared" si="15"/>
        <v>3</v>
      </c>
      <c r="AC23" s="34">
        <f t="shared" si="15"/>
        <v>40</v>
      </c>
      <c r="AD23" s="34">
        <f t="shared" si="15"/>
        <v>0</v>
      </c>
      <c r="AE23" s="31">
        <f t="shared" si="15"/>
        <v>224</v>
      </c>
      <c r="AF23" s="31">
        <f t="shared" si="15"/>
        <v>264</v>
      </c>
    </row>
    <row r="24" spans="2:32" ht="23.1" customHeight="1" x14ac:dyDescent="0.25">
      <c r="B24" s="45" t="s">
        <v>51</v>
      </c>
      <c r="C24" s="50">
        <v>9</v>
      </c>
      <c r="D24" s="50">
        <v>2</v>
      </c>
      <c r="E24" s="50">
        <v>0</v>
      </c>
      <c r="F24" s="50">
        <v>10</v>
      </c>
      <c r="G24" s="50">
        <v>0</v>
      </c>
      <c r="H24" s="50">
        <v>1</v>
      </c>
      <c r="I24" s="50">
        <v>5</v>
      </c>
      <c r="J24" s="50">
        <v>0</v>
      </c>
      <c r="K24" s="50">
        <v>0</v>
      </c>
      <c r="L24" s="50">
        <v>1</v>
      </c>
      <c r="M24" s="50">
        <v>15</v>
      </c>
      <c r="N24" s="50">
        <v>0</v>
      </c>
      <c r="O24" s="15">
        <f t="shared" si="0"/>
        <v>28</v>
      </c>
      <c r="P24" s="15">
        <f t="shared" si="1"/>
        <v>43</v>
      </c>
      <c r="R24" s="36" t="s">
        <v>148</v>
      </c>
      <c r="S24" s="34">
        <f>SUM(C66:C69)</f>
        <v>59</v>
      </c>
      <c r="T24" s="34">
        <f t="shared" ref="T24:AF24" si="16">SUM(D66:D69)</f>
        <v>9</v>
      </c>
      <c r="U24" s="34">
        <f t="shared" si="16"/>
        <v>18</v>
      </c>
      <c r="V24" s="34">
        <f t="shared" si="16"/>
        <v>46</v>
      </c>
      <c r="W24" s="34">
        <f t="shared" si="16"/>
        <v>2</v>
      </c>
      <c r="X24" s="34">
        <f t="shared" si="16"/>
        <v>2</v>
      </c>
      <c r="Y24" s="34">
        <f t="shared" si="16"/>
        <v>27</v>
      </c>
      <c r="Z24" s="34">
        <f t="shared" si="16"/>
        <v>21</v>
      </c>
      <c r="AA24" s="34">
        <f t="shared" si="16"/>
        <v>4</v>
      </c>
      <c r="AB24" s="34">
        <f t="shared" si="16"/>
        <v>6</v>
      </c>
      <c r="AC24" s="34">
        <f t="shared" si="16"/>
        <v>41</v>
      </c>
      <c r="AD24" s="34">
        <f t="shared" si="16"/>
        <v>0</v>
      </c>
      <c r="AE24" s="31">
        <f t="shared" si="16"/>
        <v>194</v>
      </c>
      <c r="AF24" s="31">
        <f t="shared" si="16"/>
        <v>235</v>
      </c>
    </row>
    <row r="25" spans="2:32" ht="23.1" customHeight="1" x14ac:dyDescent="0.25">
      <c r="B25" s="45" t="s">
        <v>52</v>
      </c>
      <c r="C25" s="50">
        <v>10</v>
      </c>
      <c r="D25" s="50">
        <v>3</v>
      </c>
      <c r="E25" s="50">
        <v>1</v>
      </c>
      <c r="F25" s="50">
        <v>13</v>
      </c>
      <c r="G25" s="50">
        <v>0</v>
      </c>
      <c r="H25" s="50">
        <v>0</v>
      </c>
      <c r="I25" s="50">
        <v>2</v>
      </c>
      <c r="J25" s="50">
        <v>2</v>
      </c>
      <c r="K25" s="50">
        <v>2</v>
      </c>
      <c r="L25" s="50">
        <v>0</v>
      </c>
      <c r="M25" s="50">
        <v>15</v>
      </c>
      <c r="N25" s="50">
        <v>0</v>
      </c>
      <c r="O25" s="15">
        <f t="shared" si="0"/>
        <v>33</v>
      </c>
      <c r="P25" s="15">
        <f t="shared" si="1"/>
        <v>48</v>
      </c>
      <c r="R25" s="36" t="s">
        <v>149</v>
      </c>
      <c r="S25" s="34">
        <f>SUM(C70:C73)</f>
        <v>34</v>
      </c>
      <c r="T25" s="34">
        <f t="shared" ref="T25:AF25" si="17">SUM(D70:D73)</f>
        <v>8</v>
      </c>
      <c r="U25" s="34">
        <f t="shared" si="17"/>
        <v>11</v>
      </c>
      <c r="V25" s="34">
        <f t="shared" si="17"/>
        <v>23</v>
      </c>
      <c r="W25" s="34">
        <f t="shared" si="17"/>
        <v>2</v>
      </c>
      <c r="X25" s="34">
        <f t="shared" si="17"/>
        <v>0</v>
      </c>
      <c r="Y25" s="34">
        <f t="shared" si="17"/>
        <v>21</v>
      </c>
      <c r="Z25" s="34">
        <f t="shared" si="17"/>
        <v>10</v>
      </c>
      <c r="AA25" s="34">
        <f t="shared" si="17"/>
        <v>3</v>
      </c>
      <c r="AB25" s="34">
        <f t="shared" si="17"/>
        <v>3</v>
      </c>
      <c r="AC25" s="34">
        <f t="shared" si="17"/>
        <v>32</v>
      </c>
      <c r="AD25" s="34">
        <f t="shared" si="17"/>
        <v>0</v>
      </c>
      <c r="AE25" s="31">
        <f t="shared" si="17"/>
        <v>115</v>
      </c>
      <c r="AF25" s="31">
        <f t="shared" si="17"/>
        <v>147</v>
      </c>
    </row>
    <row r="26" spans="2:32" ht="23.1" customHeight="1" x14ac:dyDescent="0.25">
      <c r="B26" s="45" t="s">
        <v>53</v>
      </c>
      <c r="C26" s="50">
        <v>2</v>
      </c>
      <c r="D26" s="50">
        <v>8</v>
      </c>
      <c r="E26" s="50">
        <v>2</v>
      </c>
      <c r="F26" s="50">
        <v>10</v>
      </c>
      <c r="G26" s="50">
        <v>0</v>
      </c>
      <c r="H26" s="50">
        <v>0</v>
      </c>
      <c r="I26" s="50">
        <v>3</v>
      </c>
      <c r="J26" s="50">
        <v>1</v>
      </c>
      <c r="K26" s="50">
        <v>0</v>
      </c>
      <c r="L26" s="50">
        <v>0</v>
      </c>
      <c r="M26" s="50">
        <v>8</v>
      </c>
      <c r="N26" s="50">
        <v>0</v>
      </c>
      <c r="O26" s="15">
        <f t="shared" si="0"/>
        <v>26</v>
      </c>
      <c r="P26" s="15">
        <f t="shared" si="1"/>
        <v>34</v>
      </c>
      <c r="R26" s="36" t="s">
        <v>150</v>
      </c>
      <c r="S26" s="34">
        <f>SUM(C74:C77)</f>
        <v>25</v>
      </c>
      <c r="T26" s="34">
        <f t="shared" ref="T26:AF26" si="18">SUM(D74:D77)</f>
        <v>8</v>
      </c>
      <c r="U26" s="34">
        <f t="shared" si="18"/>
        <v>7</v>
      </c>
      <c r="V26" s="34">
        <f t="shared" si="18"/>
        <v>9</v>
      </c>
      <c r="W26" s="34">
        <f t="shared" si="18"/>
        <v>0</v>
      </c>
      <c r="X26" s="34">
        <f t="shared" si="18"/>
        <v>0</v>
      </c>
      <c r="Y26" s="34">
        <f t="shared" si="18"/>
        <v>10</v>
      </c>
      <c r="Z26" s="34">
        <f t="shared" si="18"/>
        <v>19</v>
      </c>
      <c r="AA26" s="34">
        <f t="shared" si="18"/>
        <v>2</v>
      </c>
      <c r="AB26" s="34">
        <f t="shared" si="18"/>
        <v>5</v>
      </c>
      <c r="AC26" s="34">
        <f t="shared" si="18"/>
        <v>26</v>
      </c>
      <c r="AD26" s="34">
        <f t="shared" si="18"/>
        <v>0</v>
      </c>
      <c r="AE26" s="31">
        <f t="shared" si="18"/>
        <v>85</v>
      </c>
      <c r="AF26" s="31">
        <f t="shared" si="18"/>
        <v>111</v>
      </c>
    </row>
    <row r="27" spans="2:32" ht="23.1" customHeight="1" x14ac:dyDescent="0.25">
      <c r="B27" s="45" t="s">
        <v>54</v>
      </c>
      <c r="C27" s="50">
        <v>7</v>
      </c>
      <c r="D27" s="50">
        <v>4</v>
      </c>
      <c r="E27" s="50">
        <v>2</v>
      </c>
      <c r="F27" s="50">
        <v>8</v>
      </c>
      <c r="G27" s="50">
        <v>0</v>
      </c>
      <c r="H27" s="50">
        <v>0</v>
      </c>
      <c r="I27" s="50">
        <v>2</v>
      </c>
      <c r="J27" s="50">
        <v>3</v>
      </c>
      <c r="K27" s="50">
        <v>0</v>
      </c>
      <c r="L27" s="50">
        <v>0</v>
      </c>
      <c r="M27" s="50">
        <v>3</v>
      </c>
      <c r="N27" s="50">
        <v>0</v>
      </c>
      <c r="O27" s="15">
        <f t="shared" si="0"/>
        <v>26</v>
      </c>
      <c r="P27" s="15">
        <f t="shared" si="1"/>
        <v>29</v>
      </c>
      <c r="R27" s="36" t="s">
        <v>151</v>
      </c>
      <c r="S27" s="34">
        <f>SUM(C78:C81)</f>
        <v>19</v>
      </c>
      <c r="T27" s="34">
        <f t="shared" ref="T27:AF27" si="19">SUM(D78:D81)</f>
        <v>1</v>
      </c>
      <c r="U27" s="34">
        <f t="shared" si="19"/>
        <v>1</v>
      </c>
      <c r="V27" s="34">
        <f t="shared" si="19"/>
        <v>3</v>
      </c>
      <c r="W27" s="34">
        <f t="shared" si="19"/>
        <v>0</v>
      </c>
      <c r="X27" s="34">
        <f t="shared" si="19"/>
        <v>0</v>
      </c>
      <c r="Y27" s="34">
        <f t="shared" si="19"/>
        <v>17</v>
      </c>
      <c r="Z27" s="34">
        <f t="shared" si="19"/>
        <v>1</v>
      </c>
      <c r="AA27" s="34">
        <f t="shared" si="19"/>
        <v>1</v>
      </c>
      <c r="AB27" s="34">
        <f t="shared" si="19"/>
        <v>0</v>
      </c>
      <c r="AC27" s="34">
        <f t="shared" si="19"/>
        <v>13</v>
      </c>
      <c r="AD27" s="34">
        <f t="shared" si="19"/>
        <v>0</v>
      </c>
      <c r="AE27" s="31">
        <f t="shared" si="19"/>
        <v>43</v>
      </c>
      <c r="AF27" s="31">
        <f t="shared" si="19"/>
        <v>56</v>
      </c>
    </row>
    <row r="28" spans="2:32" ht="23.1" customHeight="1" x14ac:dyDescent="0.25">
      <c r="B28" s="45" t="s">
        <v>55</v>
      </c>
      <c r="C28" s="50">
        <v>11</v>
      </c>
      <c r="D28" s="50">
        <v>6</v>
      </c>
      <c r="E28" s="50">
        <v>1</v>
      </c>
      <c r="F28" s="50">
        <v>9</v>
      </c>
      <c r="G28" s="50">
        <v>0</v>
      </c>
      <c r="H28" s="50">
        <v>0</v>
      </c>
      <c r="I28" s="50">
        <v>4</v>
      </c>
      <c r="J28" s="50">
        <v>1</v>
      </c>
      <c r="K28" s="50">
        <v>0</v>
      </c>
      <c r="L28" s="50">
        <v>1</v>
      </c>
      <c r="M28" s="50">
        <v>16</v>
      </c>
      <c r="N28" s="50">
        <v>0</v>
      </c>
      <c r="O28" s="15">
        <f t="shared" si="0"/>
        <v>33</v>
      </c>
      <c r="P28" s="15">
        <f t="shared" si="1"/>
        <v>49</v>
      </c>
      <c r="R28" s="36" t="s">
        <v>152</v>
      </c>
      <c r="S28" s="34">
        <f>SUM(C82:C85)</f>
        <v>14</v>
      </c>
      <c r="T28" s="34">
        <f t="shared" ref="T28:AF28" si="20">SUM(D82:D85)</f>
        <v>11</v>
      </c>
      <c r="U28" s="34">
        <f t="shared" si="20"/>
        <v>2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12</v>
      </c>
      <c r="Z28" s="34">
        <f t="shared" si="20"/>
        <v>5</v>
      </c>
      <c r="AA28" s="34">
        <f t="shared" si="20"/>
        <v>1</v>
      </c>
      <c r="AB28" s="34">
        <f t="shared" si="20"/>
        <v>4</v>
      </c>
      <c r="AC28" s="34">
        <f t="shared" si="20"/>
        <v>14</v>
      </c>
      <c r="AD28" s="34">
        <f t="shared" si="20"/>
        <v>0</v>
      </c>
      <c r="AE28" s="31">
        <f t="shared" si="20"/>
        <v>50</v>
      </c>
      <c r="AF28" s="31">
        <f t="shared" si="20"/>
        <v>64</v>
      </c>
    </row>
    <row r="29" spans="2:32" ht="23.1" customHeight="1" x14ac:dyDescent="0.25">
      <c r="B29" s="45" t="s">
        <v>56</v>
      </c>
      <c r="C29" s="50">
        <v>10</v>
      </c>
      <c r="D29" s="50">
        <v>3</v>
      </c>
      <c r="E29" s="50">
        <v>3</v>
      </c>
      <c r="F29" s="50">
        <v>9</v>
      </c>
      <c r="G29" s="50">
        <v>1</v>
      </c>
      <c r="H29" s="50">
        <v>0</v>
      </c>
      <c r="I29" s="50">
        <v>5</v>
      </c>
      <c r="J29" s="50">
        <v>2</v>
      </c>
      <c r="K29" s="50">
        <v>0</v>
      </c>
      <c r="L29" s="50">
        <v>2</v>
      </c>
      <c r="M29" s="50">
        <v>7</v>
      </c>
      <c r="N29" s="50">
        <v>0</v>
      </c>
      <c r="O29" s="15">
        <f t="shared" si="0"/>
        <v>35</v>
      </c>
      <c r="P29" s="15">
        <f t="shared" si="1"/>
        <v>42</v>
      </c>
      <c r="R29" s="36" t="s">
        <v>153</v>
      </c>
      <c r="S29" s="34">
        <f>SUM(C86:C89)</f>
        <v>12</v>
      </c>
      <c r="T29" s="34">
        <f t="shared" ref="T29:AF29" si="21">SUM(D86:D89)</f>
        <v>0</v>
      </c>
      <c r="U29" s="34">
        <f t="shared" si="21"/>
        <v>4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4</v>
      </c>
      <c r="Z29" s="34">
        <f t="shared" si="21"/>
        <v>0</v>
      </c>
      <c r="AA29" s="34">
        <f t="shared" si="21"/>
        <v>7</v>
      </c>
      <c r="AB29" s="34">
        <f t="shared" si="21"/>
        <v>4</v>
      </c>
      <c r="AC29" s="34">
        <f t="shared" si="21"/>
        <v>17</v>
      </c>
      <c r="AD29" s="34">
        <f t="shared" si="21"/>
        <v>0</v>
      </c>
      <c r="AE29" s="31">
        <f t="shared" si="21"/>
        <v>32</v>
      </c>
      <c r="AF29" s="31">
        <f t="shared" si="21"/>
        <v>49</v>
      </c>
    </row>
    <row r="30" spans="2:32" ht="23.1" customHeight="1" x14ac:dyDescent="0.25">
      <c r="B30" s="45" t="s">
        <v>57</v>
      </c>
      <c r="C30" s="50">
        <v>14</v>
      </c>
      <c r="D30" s="50">
        <v>4</v>
      </c>
      <c r="E30" s="50">
        <v>5</v>
      </c>
      <c r="F30" s="50">
        <v>15</v>
      </c>
      <c r="G30" s="50">
        <v>0</v>
      </c>
      <c r="H30" s="50">
        <v>0</v>
      </c>
      <c r="I30" s="50">
        <v>5</v>
      </c>
      <c r="J30" s="50">
        <v>3</v>
      </c>
      <c r="K30" s="50">
        <v>1</v>
      </c>
      <c r="L30" s="50">
        <v>0</v>
      </c>
      <c r="M30" s="50">
        <v>15</v>
      </c>
      <c r="N30" s="50">
        <v>0</v>
      </c>
      <c r="O30" s="15">
        <f t="shared" si="0"/>
        <v>47</v>
      </c>
      <c r="P30" s="15">
        <f t="shared" si="1"/>
        <v>62</v>
      </c>
      <c r="R30" s="36" t="s">
        <v>154</v>
      </c>
      <c r="S30" s="34">
        <f>SUM(C90:C93)</f>
        <v>8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4</v>
      </c>
      <c r="AA30" s="34">
        <f t="shared" si="22"/>
        <v>0</v>
      </c>
      <c r="AB30" s="34">
        <f t="shared" si="22"/>
        <v>0</v>
      </c>
      <c r="AC30" s="34">
        <f t="shared" si="22"/>
        <v>6</v>
      </c>
      <c r="AD30" s="34">
        <f t="shared" si="22"/>
        <v>0</v>
      </c>
      <c r="AE30" s="31">
        <f t="shared" si="22"/>
        <v>14</v>
      </c>
      <c r="AF30" s="31">
        <f t="shared" si="22"/>
        <v>20</v>
      </c>
    </row>
    <row r="31" spans="2:32" ht="23.1" customHeight="1" x14ac:dyDescent="0.25">
      <c r="B31" s="46" t="s">
        <v>58</v>
      </c>
      <c r="C31" s="50">
        <v>6</v>
      </c>
      <c r="D31" s="50">
        <v>6</v>
      </c>
      <c r="E31" s="50">
        <v>1</v>
      </c>
      <c r="F31" s="50">
        <v>7</v>
      </c>
      <c r="G31" s="50">
        <v>0</v>
      </c>
      <c r="H31" s="50">
        <v>0</v>
      </c>
      <c r="I31" s="50">
        <v>5</v>
      </c>
      <c r="J31" s="50">
        <v>2</v>
      </c>
      <c r="K31" s="50">
        <v>1</v>
      </c>
      <c r="L31" s="50">
        <v>1</v>
      </c>
      <c r="M31" s="50">
        <v>14</v>
      </c>
      <c r="N31" s="50">
        <v>0</v>
      </c>
      <c r="O31" s="15">
        <f t="shared" si="0"/>
        <v>29</v>
      </c>
      <c r="P31" s="15">
        <f t="shared" si="1"/>
        <v>43</v>
      </c>
      <c r="R31" s="36" t="s">
        <v>155</v>
      </c>
      <c r="S31" s="34">
        <f>SUM(C94:C97)</f>
        <v>23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3</v>
      </c>
      <c r="W31" s="34">
        <f t="shared" si="23"/>
        <v>0</v>
      </c>
      <c r="X31" s="34">
        <f t="shared" si="23"/>
        <v>1</v>
      </c>
      <c r="Y31" s="34">
        <f t="shared" si="23"/>
        <v>10</v>
      </c>
      <c r="Z31" s="34">
        <f t="shared" si="23"/>
        <v>2</v>
      </c>
      <c r="AA31" s="34">
        <f t="shared" si="23"/>
        <v>0</v>
      </c>
      <c r="AB31" s="34">
        <f t="shared" si="23"/>
        <v>0</v>
      </c>
      <c r="AC31" s="34">
        <f t="shared" si="23"/>
        <v>11</v>
      </c>
      <c r="AD31" s="34">
        <f t="shared" si="23"/>
        <v>0</v>
      </c>
      <c r="AE31" s="31">
        <f t="shared" si="23"/>
        <v>39</v>
      </c>
      <c r="AF31" s="31">
        <f t="shared" si="23"/>
        <v>50</v>
      </c>
    </row>
    <row r="32" spans="2:32" ht="23.1" customHeight="1" x14ac:dyDescent="0.25">
      <c r="B32" s="46" t="s">
        <v>59</v>
      </c>
      <c r="C32" s="50">
        <v>10</v>
      </c>
      <c r="D32" s="50">
        <v>3</v>
      </c>
      <c r="E32" s="50">
        <v>2</v>
      </c>
      <c r="F32" s="50">
        <v>6</v>
      </c>
      <c r="G32" s="50">
        <v>0</v>
      </c>
      <c r="H32" s="50">
        <v>1</v>
      </c>
      <c r="I32" s="50">
        <v>16</v>
      </c>
      <c r="J32" s="50">
        <v>2</v>
      </c>
      <c r="K32" s="50">
        <v>1</v>
      </c>
      <c r="L32" s="50">
        <v>2</v>
      </c>
      <c r="M32" s="50">
        <v>16</v>
      </c>
      <c r="N32" s="50">
        <v>0</v>
      </c>
      <c r="O32" s="15">
        <f t="shared" si="0"/>
        <v>43</v>
      </c>
      <c r="P32" s="15">
        <f t="shared" si="1"/>
        <v>59</v>
      </c>
      <c r="R32" s="33" t="s">
        <v>156</v>
      </c>
      <c r="S32" s="34">
        <f>SUM(C98:C101)</f>
        <v>22</v>
      </c>
      <c r="T32" s="34">
        <f t="shared" ref="T32:AF32" si="24">SUM(D98:D101)</f>
        <v>8</v>
      </c>
      <c r="U32" s="34">
        <f t="shared" si="24"/>
        <v>2</v>
      </c>
      <c r="V32" s="34">
        <f t="shared" si="24"/>
        <v>19</v>
      </c>
      <c r="W32" s="34">
        <f t="shared" si="24"/>
        <v>0</v>
      </c>
      <c r="X32" s="34">
        <f t="shared" si="24"/>
        <v>1</v>
      </c>
      <c r="Y32" s="34">
        <f t="shared" si="24"/>
        <v>7</v>
      </c>
      <c r="Z32" s="34">
        <f t="shared" si="24"/>
        <v>11</v>
      </c>
      <c r="AA32" s="34">
        <f t="shared" si="24"/>
        <v>3</v>
      </c>
      <c r="AB32" s="34">
        <f t="shared" si="24"/>
        <v>3</v>
      </c>
      <c r="AC32" s="34">
        <f t="shared" si="24"/>
        <v>37</v>
      </c>
      <c r="AD32" s="34">
        <f t="shared" si="24"/>
        <v>0</v>
      </c>
      <c r="AE32" s="31">
        <f t="shared" si="24"/>
        <v>76</v>
      </c>
      <c r="AF32" s="31">
        <f t="shared" si="24"/>
        <v>113</v>
      </c>
    </row>
    <row r="33" spans="2:32" ht="23.1" customHeight="1" x14ac:dyDescent="0.25">
      <c r="B33" s="45" t="s">
        <v>60</v>
      </c>
      <c r="C33" s="50">
        <v>7</v>
      </c>
      <c r="D33" s="50">
        <v>3</v>
      </c>
      <c r="E33" s="50">
        <v>2</v>
      </c>
      <c r="F33" s="50">
        <v>7</v>
      </c>
      <c r="G33" s="50">
        <v>0</v>
      </c>
      <c r="H33" s="50">
        <v>0</v>
      </c>
      <c r="I33" s="50">
        <v>5</v>
      </c>
      <c r="J33" s="50">
        <v>3</v>
      </c>
      <c r="K33" s="50">
        <v>0</v>
      </c>
      <c r="L33" s="50">
        <v>0</v>
      </c>
      <c r="M33" s="50">
        <v>14</v>
      </c>
      <c r="N33" s="50">
        <v>0</v>
      </c>
      <c r="O33" s="15">
        <f t="shared" si="0"/>
        <v>27</v>
      </c>
      <c r="P33" s="15">
        <f t="shared" si="1"/>
        <v>41</v>
      </c>
      <c r="R33" s="33" t="s">
        <v>157</v>
      </c>
      <c r="S33" s="34">
        <f>SUM(C102:C105)</f>
        <v>33</v>
      </c>
      <c r="T33" s="34">
        <f t="shared" ref="T33:AF33" si="25">SUM(D102:D105)</f>
        <v>0</v>
      </c>
      <c r="U33" s="34">
        <f t="shared" si="25"/>
        <v>2</v>
      </c>
      <c r="V33" s="34">
        <f t="shared" si="25"/>
        <v>25</v>
      </c>
      <c r="W33" s="34">
        <f t="shared" si="25"/>
        <v>0</v>
      </c>
      <c r="X33" s="34">
        <f t="shared" si="25"/>
        <v>2</v>
      </c>
      <c r="Y33" s="34">
        <f t="shared" si="25"/>
        <v>5</v>
      </c>
      <c r="Z33" s="34">
        <f t="shared" si="25"/>
        <v>2</v>
      </c>
      <c r="AA33" s="34">
        <f t="shared" si="25"/>
        <v>3</v>
      </c>
      <c r="AB33" s="34">
        <f t="shared" si="25"/>
        <v>2</v>
      </c>
      <c r="AC33" s="34">
        <f t="shared" si="25"/>
        <v>29</v>
      </c>
      <c r="AD33" s="34">
        <f t="shared" si="25"/>
        <v>0</v>
      </c>
      <c r="AE33" s="31">
        <f t="shared" si="25"/>
        <v>74</v>
      </c>
      <c r="AF33" s="31">
        <f t="shared" si="25"/>
        <v>103</v>
      </c>
    </row>
    <row r="34" spans="2:32" ht="23.1" customHeight="1" x14ac:dyDescent="0.25">
      <c r="B34" s="46" t="s">
        <v>61</v>
      </c>
      <c r="C34" s="50">
        <v>7</v>
      </c>
      <c r="D34" s="50">
        <v>3</v>
      </c>
      <c r="E34" s="50">
        <v>0</v>
      </c>
      <c r="F34" s="50">
        <v>12</v>
      </c>
      <c r="G34" s="50">
        <v>1</v>
      </c>
      <c r="H34" s="50">
        <v>0</v>
      </c>
      <c r="I34" s="50">
        <v>7</v>
      </c>
      <c r="J34" s="50">
        <v>2</v>
      </c>
      <c r="K34" s="50">
        <v>0</v>
      </c>
      <c r="L34" s="50">
        <v>2</v>
      </c>
      <c r="M34" s="50">
        <v>11</v>
      </c>
      <c r="N34" s="50">
        <v>0</v>
      </c>
      <c r="O34" s="15">
        <f t="shared" si="0"/>
        <v>34</v>
      </c>
      <c r="P34" s="15">
        <f t="shared" si="1"/>
        <v>45</v>
      </c>
      <c r="R34" s="38" t="s">
        <v>90</v>
      </c>
      <c r="S34" s="39">
        <f t="shared" ref="S34:AF34" si="26">MAX(S10:S12)</f>
        <v>38</v>
      </c>
      <c r="T34" s="39">
        <f t="shared" si="26"/>
        <v>21</v>
      </c>
      <c r="U34" s="39">
        <f t="shared" si="26"/>
        <v>8</v>
      </c>
      <c r="V34" s="39">
        <f t="shared" si="26"/>
        <v>63</v>
      </c>
      <c r="W34" s="39">
        <f t="shared" si="26"/>
        <v>1</v>
      </c>
      <c r="X34" s="39">
        <f t="shared" si="26"/>
        <v>1</v>
      </c>
      <c r="Y34" s="39">
        <f t="shared" si="26"/>
        <v>24</v>
      </c>
      <c r="Z34" s="39">
        <f t="shared" si="26"/>
        <v>7</v>
      </c>
      <c r="AA34" s="39">
        <f t="shared" si="26"/>
        <v>4</v>
      </c>
      <c r="AB34" s="39">
        <f t="shared" si="26"/>
        <v>1</v>
      </c>
      <c r="AC34" s="39">
        <f t="shared" si="26"/>
        <v>70</v>
      </c>
      <c r="AD34" s="39">
        <f t="shared" si="26"/>
        <v>0</v>
      </c>
      <c r="AE34" s="40">
        <f t="shared" si="26"/>
        <v>166</v>
      </c>
      <c r="AF34" s="40">
        <f t="shared" si="26"/>
        <v>236</v>
      </c>
    </row>
    <row r="35" spans="2:32" ht="23.1" customHeight="1" x14ac:dyDescent="0.25">
      <c r="B35" s="46" t="s">
        <v>62</v>
      </c>
      <c r="C35" s="50">
        <v>7</v>
      </c>
      <c r="D35" s="50">
        <v>5</v>
      </c>
      <c r="E35" s="50">
        <v>4</v>
      </c>
      <c r="F35" s="50">
        <v>7</v>
      </c>
      <c r="G35" s="50">
        <v>0</v>
      </c>
      <c r="H35" s="50">
        <v>0</v>
      </c>
      <c r="I35" s="50">
        <v>7</v>
      </c>
      <c r="J35" s="50">
        <v>3</v>
      </c>
      <c r="K35" s="50">
        <v>0</v>
      </c>
      <c r="L35" s="50">
        <v>1</v>
      </c>
      <c r="M35" s="50">
        <v>23</v>
      </c>
      <c r="N35" s="50">
        <v>0</v>
      </c>
      <c r="O35" s="15">
        <f t="shared" si="0"/>
        <v>34</v>
      </c>
      <c r="P35" s="15">
        <f t="shared" si="1"/>
        <v>57</v>
      </c>
      <c r="R35" s="38" t="s">
        <v>91</v>
      </c>
      <c r="S35" s="39">
        <f t="shared" ref="S35:AF35" si="27">MAX(S13:S18)</f>
        <v>58</v>
      </c>
      <c r="T35" s="39">
        <f t="shared" si="27"/>
        <v>22</v>
      </c>
      <c r="U35" s="39">
        <f t="shared" si="27"/>
        <v>10</v>
      </c>
      <c r="V35" s="39">
        <f t="shared" si="27"/>
        <v>46</v>
      </c>
      <c r="W35" s="39">
        <f t="shared" si="27"/>
        <v>1</v>
      </c>
      <c r="X35" s="39">
        <f t="shared" si="27"/>
        <v>2</v>
      </c>
      <c r="Y35" s="39">
        <f t="shared" si="27"/>
        <v>31</v>
      </c>
      <c r="Z35" s="39">
        <f t="shared" si="27"/>
        <v>10</v>
      </c>
      <c r="AA35" s="39">
        <f t="shared" si="27"/>
        <v>8</v>
      </c>
      <c r="AB35" s="39">
        <f t="shared" si="27"/>
        <v>3</v>
      </c>
      <c r="AC35" s="39">
        <f t="shared" si="27"/>
        <v>61</v>
      </c>
      <c r="AD35" s="39">
        <f t="shared" si="27"/>
        <v>0</v>
      </c>
      <c r="AE35" s="40">
        <f t="shared" si="27"/>
        <v>156</v>
      </c>
      <c r="AF35" s="40">
        <f t="shared" si="27"/>
        <v>213</v>
      </c>
    </row>
    <row r="36" spans="2:32" ht="23.1" customHeight="1" x14ac:dyDescent="0.25">
      <c r="B36" s="46" t="s">
        <v>63</v>
      </c>
      <c r="C36" s="50">
        <v>8</v>
      </c>
      <c r="D36" s="50">
        <v>2</v>
      </c>
      <c r="E36" s="50">
        <v>4</v>
      </c>
      <c r="F36" s="50">
        <v>7</v>
      </c>
      <c r="G36" s="50">
        <v>0</v>
      </c>
      <c r="H36" s="50">
        <v>0</v>
      </c>
      <c r="I36" s="50">
        <v>5</v>
      </c>
      <c r="J36" s="50">
        <v>1</v>
      </c>
      <c r="K36" s="50">
        <v>0</v>
      </c>
      <c r="L36" s="50">
        <v>0</v>
      </c>
      <c r="M36" s="50">
        <v>9</v>
      </c>
      <c r="N36" s="50">
        <v>0</v>
      </c>
      <c r="O36" s="15">
        <f t="shared" si="0"/>
        <v>27</v>
      </c>
      <c r="P36" s="15">
        <f t="shared" si="1"/>
        <v>36</v>
      </c>
      <c r="R36" s="38" t="s">
        <v>92</v>
      </c>
      <c r="S36" s="39">
        <f t="shared" ref="S36:AF36" si="28">MAX(S19:S21)</f>
        <v>83</v>
      </c>
      <c r="T36" s="39">
        <f t="shared" si="28"/>
        <v>14</v>
      </c>
      <c r="U36" s="39">
        <f t="shared" si="28"/>
        <v>10</v>
      </c>
      <c r="V36" s="39">
        <f t="shared" si="28"/>
        <v>55</v>
      </c>
      <c r="W36" s="39">
        <f t="shared" si="28"/>
        <v>2</v>
      </c>
      <c r="X36" s="39">
        <f t="shared" si="28"/>
        <v>2</v>
      </c>
      <c r="Y36" s="39">
        <f t="shared" si="28"/>
        <v>18</v>
      </c>
      <c r="Z36" s="39">
        <f t="shared" si="28"/>
        <v>5</v>
      </c>
      <c r="AA36" s="39">
        <f t="shared" si="28"/>
        <v>1</v>
      </c>
      <c r="AB36" s="39">
        <f t="shared" si="28"/>
        <v>5</v>
      </c>
      <c r="AC36" s="39">
        <f t="shared" si="28"/>
        <v>49</v>
      </c>
      <c r="AD36" s="39">
        <f t="shared" si="28"/>
        <v>0</v>
      </c>
      <c r="AE36" s="40">
        <f t="shared" si="28"/>
        <v>191</v>
      </c>
      <c r="AF36" s="40">
        <f t="shared" si="28"/>
        <v>240</v>
      </c>
    </row>
    <row r="37" spans="2:32" ht="23.1" customHeight="1" x14ac:dyDescent="0.25">
      <c r="B37" s="45" t="s">
        <v>64</v>
      </c>
      <c r="C37" s="50">
        <v>15</v>
      </c>
      <c r="D37" s="50">
        <v>7</v>
      </c>
      <c r="E37" s="50">
        <v>2</v>
      </c>
      <c r="F37" s="50">
        <v>20</v>
      </c>
      <c r="G37" s="50">
        <v>0</v>
      </c>
      <c r="H37" s="50">
        <v>0</v>
      </c>
      <c r="I37" s="50">
        <v>10</v>
      </c>
      <c r="J37" s="50">
        <v>3</v>
      </c>
      <c r="K37" s="50">
        <v>0</v>
      </c>
      <c r="L37" s="50">
        <v>0</v>
      </c>
      <c r="M37" s="50">
        <v>18</v>
      </c>
      <c r="N37" s="50">
        <v>0</v>
      </c>
      <c r="O37" s="15">
        <f t="shared" si="0"/>
        <v>57</v>
      </c>
      <c r="P37" s="15">
        <f t="shared" si="1"/>
        <v>75</v>
      </c>
      <c r="R37" s="37" t="s">
        <v>85</v>
      </c>
      <c r="S37" s="35">
        <f t="shared" ref="S37:AF37" si="29">SUM(S10:S12)</f>
        <v>95</v>
      </c>
      <c r="T37" s="16">
        <f t="shared" si="29"/>
        <v>42</v>
      </c>
      <c r="U37" s="16">
        <f t="shared" si="29"/>
        <v>22</v>
      </c>
      <c r="V37" s="16">
        <f t="shared" si="29"/>
        <v>171</v>
      </c>
      <c r="W37" s="16">
        <f t="shared" si="29"/>
        <v>1</v>
      </c>
      <c r="X37" s="16">
        <f t="shared" si="29"/>
        <v>1</v>
      </c>
      <c r="Y37" s="16">
        <f t="shared" si="29"/>
        <v>50</v>
      </c>
      <c r="Z37" s="16">
        <f t="shared" si="29"/>
        <v>17</v>
      </c>
      <c r="AA37" s="16">
        <f t="shared" si="29"/>
        <v>9</v>
      </c>
      <c r="AB37" s="16">
        <f t="shared" si="29"/>
        <v>1</v>
      </c>
      <c r="AC37" s="16">
        <f t="shared" si="29"/>
        <v>177</v>
      </c>
      <c r="AD37" s="16">
        <f t="shared" si="29"/>
        <v>0</v>
      </c>
      <c r="AE37" s="32">
        <f t="shared" si="29"/>
        <v>409</v>
      </c>
      <c r="AF37" s="32">
        <f t="shared" si="29"/>
        <v>586</v>
      </c>
    </row>
    <row r="38" spans="2:32" ht="23.1" customHeight="1" x14ac:dyDescent="0.25">
      <c r="B38" s="46" t="s">
        <v>65</v>
      </c>
      <c r="C38" s="50">
        <v>24</v>
      </c>
      <c r="D38" s="50">
        <v>4</v>
      </c>
      <c r="E38" s="50">
        <v>4</v>
      </c>
      <c r="F38" s="50">
        <v>12</v>
      </c>
      <c r="G38" s="50">
        <v>0</v>
      </c>
      <c r="H38" s="50">
        <v>0</v>
      </c>
      <c r="I38" s="50">
        <v>3</v>
      </c>
      <c r="J38" s="50">
        <v>3</v>
      </c>
      <c r="K38" s="50">
        <v>3</v>
      </c>
      <c r="L38" s="50">
        <v>1</v>
      </c>
      <c r="M38" s="50">
        <v>19</v>
      </c>
      <c r="N38" s="50">
        <v>0</v>
      </c>
      <c r="O38" s="15">
        <f t="shared" si="0"/>
        <v>54</v>
      </c>
      <c r="P38" s="15">
        <f t="shared" si="1"/>
        <v>73</v>
      </c>
      <c r="R38" s="28" t="s">
        <v>86</v>
      </c>
      <c r="S38" s="16">
        <f t="shared" ref="S38:AF38" si="30">SUM(S13:S18)</f>
        <v>242</v>
      </c>
      <c r="T38" s="16">
        <f t="shared" si="30"/>
        <v>106</v>
      </c>
      <c r="U38" s="16">
        <f t="shared" si="30"/>
        <v>48</v>
      </c>
      <c r="V38" s="16">
        <f t="shared" si="30"/>
        <v>238</v>
      </c>
      <c r="W38" s="16">
        <f t="shared" si="30"/>
        <v>2</v>
      </c>
      <c r="X38" s="16">
        <f t="shared" si="30"/>
        <v>5</v>
      </c>
      <c r="Y38" s="16">
        <f t="shared" si="30"/>
        <v>112</v>
      </c>
      <c r="Z38" s="16">
        <f t="shared" si="30"/>
        <v>44</v>
      </c>
      <c r="AA38" s="16">
        <f t="shared" si="30"/>
        <v>20</v>
      </c>
      <c r="AB38" s="16">
        <f t="shared" si="30"/>
        <v>14</v>
      </c>
      <c r="AC38" s="16">
        <f t="shared" si="30"/>
        <v>305</v>
      </c>
      <c r="AD38" s="16">
        <f t="shared" si="30"/>
        <v>0</v>
      </c>
      <c r="AE38" s="32">
        <f t="shared" si="30"/>
        <v>831</v>
      </c>
      <c r="AF38" s="32">
        <f t="shared" si="30"/>
        <v>1136</v>
      </c>
    </row>
    <row r="39" spans="2:32" ht="23.1" customHeight="1" x14ac:dyDescent="0.25">
      <c r="B39" s="46" t="s">
        <v>66</v>
      </c>
      <c r="C39" s="50">
        <v>9</v>
      </c>
      <c r="D39" s="50">
        <v>8</v>
      </c>
      <c r="E39" s="50">
        <v>2</v>
      </c>
      <c r="F39" s="50">
        <v>8</v>
      </c>
      <c r="G39" s="50">
        <v>0</v>
      </c>
      <c r="H39" s="50">
        <v>0</v>
      </c>
      <c r="I39" s="50">
        <v>5</v>
      </c>
      <c r="J39" s="50">
        <v>1</v>
      </c>
      <c r="K39" s="50">
        <v>1</v>
      </c>
      <c r="L39" s="50">
        <v>1</v>
      </c>
      <c r="M39" s="50">
        <v>15</v>
      </c>
      <c r="N39" s="50">
        <v>0</v>
      </c>
      <c r="O39" s="15">
        <f t="shared" si="0"/>
        <v>35</v>
      </c>
      <c r="P39" s="15">
        <f t="shared" si="1"/>
        <v>50</v>
      </c>
      <c r="R39" s="29" t="s">
        <v>87</v>
      </c>
      <c r="S39" s="16">
        <f t="shared" ref="S39:AF39" si="31">SUM(S19:S21)</f>
        <v>112</v>
      </c>
      <c r="T39" s="16">
        <f t="shared" si="31"/>
        <v>29</v>
      </c>
      <c r="U39" s="16">
        <f t="shared" si="31"/>
        <v>23</v>
      </c>
      <c r="V39" s="16">
        <f t="shared" si="31"/>
        <v>89</v>
      </c>
      <c r="W39" s="16">
        <f t="shared" si="31"/>
        <v>3</v>
      </c>
      <c r="X39" s="16">
        <f t="shared" si="31"/>
        <v>3</v>
      </c>
      <c r="Y39" s="16">
        <f t="shared" si="31"/>
        <v>34</v>
      </c>
      <c r="Z39" s="16">
        <f t="shared" si="31"/>
        <v>13</v>
      </c>
      <c r="AA39" s="16">
        <f t="shared" si="31"/>
        <v>2</v>
      </c>
      <c r="AB39" s="16">
        <f t="shared" si="31"/>
        <v>11</v>
      </c>
      <c r="AC39" s="16">
        <f t="shared" si="31"/>
        <v>99</v>
      </c>
      <c r="AD39" s="16">
        <f t="shared" si="31"/>
        <v>0</v>
      </c>
      <c r="AE39" s="32">
        <f t="shared" si="31"/>
        <v>319</v>
      </c>
      <c r="AF39" s="32">
        <f t="shared" si="31"/>
        <v>418</v>
      </c>
    </row>
    <row r="40" spans="2:32" ht="23.1" customHeight="1" x14ac:dyDescent="0.25">
      <c r="B40" s="46" t="s">
        <v>67</v>
      </c>
      <c r="C40" s="50">
        <v>10</v>
      </c>
      <c r="D40" s="50">
        <v>3</v>
      </c>
      <c r="E40" s="50">
        <v>0</v>
      </c>
      <c r="F40" s="50">
        <v>10</v>
      </c>
      <c r="G40" s="50">
        <v>0</v>
      </c>
      <c r="H40" s="50">
        <v>1</v>
      </c>
      <c r="I40" s="50">
        <v>0</v>
      </c>
      <c r="J40" s="50">
        <v>4</v>
      </c>
      <c r="K40" s="50">
        <v>2</v>
      </c>
      <c r="L40" s="50">
        <v>0</v>
      </c>
      <c r="M40" s="50">
        <v>8</v>
      </c>
      <c r="N40" s="50">
        <v>0</v>
      </c>
      <c r="O40" s="15">
        <f t="shared" si="0"/>
        <v>30</v>
      </c>
      <c r="P40" s="15">
        <f t="shared" si="1"/>
        <v>38</v>
      </c>
      <c r="R40" s="5" t="s">
        <v>17</v>
      </c>
      <c r="S40" s="16">
        <f t="shared" ref="S40:AF40" si="32">SUM(S10:S21)</f>
        <v>449</v>
      </c>
      <c r="T40" s="16">
        <f t="shared" si="32"/>
        <v>177</v>
      </c>
      <c r="U40" s="16">
        <f t="shared" si="32"/>
        <v>93</v>
      </c>
      <c r="V40" s="16">
        <f t="shared" si="32"/>
        <v>498</v>
      </c>
      <c r="W40" s="16">
        <f t="shared" si="32"/>
        <v>6</v>
      </c>
      <c r="X40" s="16">
        <f t="shared" si="32"/>
        <v>9</v>
      </c>
      <c r="Y40" s="16">
        <f t="shared" si="32"/>
        <v>196</v>
      </c>
      <c r="Z40" s="16">
        <f t="shared" si="32"/>
        <v>74</v>
      </c>
      <c r="AA40" s="16">
        <f t="shared" si="32"/>
        <v>31</v>
      </c>
      <c r="AB40" s="16">
        <f t="shared" si="32"/>
        <v>26</v>
      </c>
      <c r="AC40" s="16">
        <f t="shared" si="32"/>
        <v>581</v>
      </c>
      <c r="AD40" s="16">
        <f t="shared" si="32"/>
        <v>0</v>
      </c>
      <c r="AE40" s="32">
        <f t="shared" si="32"/>
        <v>1559</v>
      </c>
      <c r="AF40" s="32">
        <f t="shared" si="32"/>
        <v>2140</v>
      </c>
    </row>
    <row r="41" spans="2:32" ht="23.1" customHeight="1" x14ac:dyDescent="0.25">
      <c r="B41" s="45" t="s">
        <v>68</v>
      </c>
      <c r="C41" s="50">
        <v>15</v>
      </c>
      <c r="D41" s="50">
        <v>3</v>
      </c>
      <c r="E41" s="50">
        <v>2</v>
      </c>
      <c r="F41" s="50">
        <v>12</v>
      </c>
      <c r="G41" s="50">
        <v>0</v>
      </c>
      <c r="H41" s="50">
        <v>0</v>
      </c>
      <c r="I41" s="50">
        <v>2</v>
      </c>
      <c r="J41" s="50">
        <v>1</v>
      </c>
      <c r="K41" s="50">
        <v>2</v>
      </c>
      <c r="L41" s="50">
        <v>0</v>
      </c>
      <c r="M41" s="50">
        <v>9</v>
      </c>
      <c r="N41" s="50">
        <v>0</v>
      </c>
      <c r="O41" s="15">
        <f t="shared" si="0"/>
        <v>37</v>
      </c>
      <c r="P41" s="15">
        <f t="shared" si="1"/>
        <v>46</v>
      </c>
      <c r="R41" s="5" t="s">
        <v>159</v>
      </c>
      <c r="S41" s="16">
        <f>SUM(S10:S33)</f>
        <v>920</v>
      </c>
      <c r="T41" s="16">
        <f t="shared" ref="T41:AF41" si="33">SUM(T10:T33)</f>
        <v>273</v>
      </c>
      <c r="U41" s="16">
        <f t="shared" si="33"/>
        <v>187</v>
      </c>
      <c r="V41" s="16">
        <f t="shared" si="33"/>
        <v>768</v>
      </c>
      <c r="W41" s="16">
        <f t="shared" si="33"/>
        <v>14</v>
      </c>
      <c r="X41" s="16">
        <f t="shared" si="33"/>
        <v>20</v>
      </c>
      <c r="Y41" s="16">
        <f t="shared" si="33"/>
        <v>377</v>
      </c>
      <c r="Z41" s="16">
        <f t="shared" si="33"/>
        <v>173</v>
      </c>
      <c r="AA41" s="16">
        <f t="shared" si="33"/>
        <v>62</v>
      </c>
      <c r="AB41" s="16">
        <f t="shared" si="33"/>
        <v>61</v>
      </c>
      <c r="AC41" s="16">
        <f t="shared" si="33"/>
        <v>948</v>
      </c>
      <c r="AD41" s="16">
        <f t="shared" si="33"/>
        <v>0</v>
      </c>
      <c r="AE41" s="32">
        <f t="shared" si="33"/>
        <v>2855</v>
      </c>
      <c r="AF41" s="32">
        <f t="shared" si="33"/>
        <v>3803</v>
      </c>
    </row>
    <row r="42" spans="2:32" ht="23.1" customHeight="1" x14ac:dyDescent="0.25">
      <c r="B42" s="46" t="s">
        <v>69</v>
      </c>
      <c r="C42" s="50">
        <v>15</v>
      </c>
      <c r="D42" s="50">
        <v>5</v>
      </c>
      <c r="E42" s="50">
        <v>3</v>
      </c>
      <c r="F42" s="50">
        <v>9</v>
      </c>
      <c r="G42" s="50">
        <v>0</v>
      </c>
      <c r="H42" s="50">
        <v>0</v>
      </c>
      <c r="I42" s="50">
        <v>3</v>
      </c>
      <c r="J42" s="50">
        <v>0</v>
      </c>
      <c r="K42" s="50">
        <v>3</v>
      </c>
      <c r="L42" s="50">
        <v>0</v>
      </c>
      <c r="M42" s="50">
        <v>15</v>
      </c>
      <c r="N42" s="50">
        <v>0</v>
      </c>
      <c r="O42" s="15">
        <f t="shared" si="0"/>
        <v>38</v>
      </c>
      <c r="P42" s="15">
        <f t="shared" si="1"/>
        <v>53</v>
      </c>
      <c r="R42" s="5" t="s">
        <v>160</v>
      </c>
      <c r="S42" s="48">
        <f>S41/S40</f>
        <v>2.0489977728285078</v>
      </c>
      <c r="T42" s="48">
        <f t="shared" ref="T42:AF42" si="34">T41/T40</f>
        <v>1.5423728813559323</v>
      </c>
      <c r="U42" s="48">
        <f t="shared" si="34"/>
        <v>2.010752688172043</v>
      </c>
      <c r="V42" s="48">
        <f t="shared" si="34"/>
        <v>1.5421686746987953</v>
      </c>
      <c r="W42" s="48">
        <f t="shared" si="34"/>
        <v>2.3333333333333335</v>
      </c>
      <c r="X42" s="48">
        <f t="shared" si="34"/>
        <v>2.2222222222222223</v>
      </c>
      <c r="Y42" s="48">
        <f t="shared" si="34"/>
        <v>1.9234693877551021</v>
      </c>
      <c r="Z42" s="48">
        <f t="shared" si="34"/>
        <v>2.3378378378378377</v>
      </c>
      <c r="AA42" s="48">
        <f t="shared" si="34"/>
        <v>2</v>
      </c>
      <c r="AB42" s="48">
        <f t="shared" si="34"/>
        <v>2.3461538461538463</v>
      </c>
      <c r="AC42" s="48">
        <f t="shared" si="34"/>
        <v>1.6316695352839932</v>
      </c>
      <c r="AD42" s="48" t="e">
        <f t="shared" si="34"/>
        <v>#DIV/0!</v>
      </c>
      <c r="AE42" s="48">
        <f t="shared" si="34"/>
        <v>1.8313021167415009</v>
      </c>
      <c r="AF42" s="48">
        <f t="shared" si="34"/>
        <v>1.7771028037383179</v>
      </c>
    </row>
    <row r="43" spans="2:32" ht="23.1" customHeight="1" x14ac:dyDescent="0.25">
      <c r="B43" s="45" t="s">
        <v>70</v>
      </c>
      <c r="C43" s="50">
        <v>10</v>
      </c>
      <c r="D43" s="50">
        <v>12</v>
      </c>
      <c r="E43" s="50">
        <v>0</v>
      </c>
      <c r="F43" s="50">
        <v>10</v>
      </c>
      <c r="G43" s="50">
        <v>0</v>
      </c>
      <c r="H43" s="50">
        <v>1</v>
      </c>
      <c r="I43" s="50">
        <v>3</v>
      </c>
      <c r="J43" s="50">
        <v>3</v>
      </c>
      <c r="K43" s="50">
        <v>0</v>
      </c>
      <c r="L43" s="50">
        <v>0</v>
      </c>
      <c r="M43" s="50">
        <v>10</v>
      </c>
      <c r="N43" s="50">
        <v>0</v>
      </c>
      <c r="O43" s="15">
        <f t="shared" si="0"/>
        <v>39</v>
      </c>
      <c r="P43" s="15">
        <f t="shared" si="1"/>
        <v>49</v>
      </c>
    </row>
    <row r="44" spans="2:32" ht="23.1" customHeight="1" x14ac:dyDescent="0.25">
      <c r="B44" s="47" t="s">
        <v>71</v>
      </c>
      <c r="C44" s="50">
        <v>9</v>
      </c>
      <c r="D44" s="50">
        <v>3</v>
      </c>
      <c r="E44" s="50">
        <v>4</v>
      </c>
      <c r="F44" s="50">
        <v>8</v>
      </c>
      <c r="G44" s="50">
        <v>0</v>
      </c>
      <c r="H44" s="50">
        <v>1</v>
      </c>
      <c r="I44" s="50">
        <v>3</v>
      </c>
      <c r="J44" s="50">
        <v>2</v>
      </c>
      <c r="K44" s="50">
        <v>3</v>
      </c>
      <c r="L44" s="50">
        <v>1</v>
      </c>
      <c r="M44" s="50">
        <v>8</v>
      </c>
      <c r="N44" s="50">
        <v>0</v>
      </c>
      <c r="O44" s="15">
        <f t="shared" si="0"/>
        <v>34</v>
      </c>
      <c r="P44" s="15">
        <f t="shared" si="1"/>
        <v>42</v>
      </c>
    </row>
    <row r="45" spans="2:32" ht="23.1" customHeight="1" x14ac:dyDescent="0.25">
      <c r="B45" s="45" t="s">
        <v>72</v>
      </c>
      <c r="C45" s="50">
        <v>11</v>
      </c>
      <c r="D45" s="50">
        <v>2</v>
      </c>
      <c r="E45" s="50">
        <v>0</v>
      </c>
      <c r="F45" s="50">
        <v>9</v>
      </c>
      <c r="G45" s="50">
        <v>0</v>
      </c>
      <c r="H45" s="50">
        <v>0</v>
      </c>
      <c r="I45" s="50">
        <v>3</v>
      </c>
      <c r="J45" s="50">
        <v>0</v>
      </c>
      <c r="K45" s="50">
        <v>1</v>
      </c>
      <c r="L45" s="50">
        <v>0</v>
      </c>
      <c r="M45" s="50">
        <v>6</v>
      </c>
      <c r="N45" s="50">
        <v>0</v>
      </c>
      <c r="O45" s="15">
        <f t="shared" si="0"/>
        <v>26</v>
      </c>
      <c r="P45" s="15">
        <f t="shared" si="1"/>
        <v>32</v>
      </c>
    </row>
    <row r="46" spans="2:32" ht="23.1" customHeight="1" x14ac:dyDescent="0.25">
      <c r="B46" s="46" t="s">
        <v>73</v>
      </c>
      <c r="C46" s="50">
        <v>5</v>
      </c>
      <c r="D46" s="50">
        <v>2</v>
      </c>
      <c r="E46" s="50">
        <v>0</v>
      </c>
      <c r="F46" s="50">
        <v>5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7</v>
      </c>
      <c r="N46" s="50">
        <v>0</v>
      </c>
      <c r="O46" s="15">
        <f t="shared" si="0"/>
        <v>12</v>
      </c>
      <c r="P46" s="15">
        <f t="shared" si="1"/>
        <v>19</v>
      </c>
      <c r="R46" s="8"/>
      <c r="T46"/>
    </row>
    <row r="47" spans="2:32" ht="23.1" customHeight="1" x14ac:dyDescent="0.25">
      <c r="B47" s="46" t="s">
        <v>74</v>
      </c>
      <c r="C47" s="50">
        <v>6</v>
      </c>
      <c r="D47" s="50">
        <v>0</v>
      </c>
      <c r="E47" s="50">
        <v>2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4</v>
      </c>
      <c r="N47" s="50">
        <v>0</v>
      </c>
      <c r="O47" s="15">
        <f t="shared" si="0"/>
        <v>10</v>
      </c>
      <c r="P47" s="15">
        <f t="shared" si="1"/>
        <v>14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v>2</v>
      </c>
      <c r="E48" s="50">
        <v>1</v>
      </c>
      <c r="F48" s="50">
        <v>3</v>
      </c>
      <c r="G48" s="50">
        <v>1</v>
      </c>
      <c r="H48" s="50">
        <v>2</v>
      </c>
      <c r="I48" s="50">
        <v>3</v>
      </c>
      <c r="J48" s="50">
        <v>3</v>
      </c>
      <c r="K48" s="50">
        <v>0</v>
      </c>
      <c r="L48" s="50">
        <v>1</v>
      </c>
      <c r="M48" s="50">
        <v>5</v>
      </c>
      <c r="N48" s="50">
        <v>0</v>
      </c>
      <c r="O48" s="15">
        <f t="shared" si="0"/>
        <v>18</v>
      </c>
      <c r="P48" s="15">
        <f t="shared" si="1"/>
        <v>23</v>
      </c>
      <c r="R48" s="8"/>
      <c r="T48"/>
    </row>
    <row r="49" spans="2:20" ht="23.1" customHeight="1" x14ac:dyDescent="0.25">
      <c r="B49" s="45" t="s">
        <v>76</v>
      </c>
      <c r="C49" s="50">
        <v>4</v>
      </c>
      <c r="D49" s="50">
        <v>3</v>
      </c>
      <c r="E49" s="50">
        <v>2</v>
      </c>
      <c r="F49" s="50">
        <v>7</v>
      </c>
      <c r="G49" s="50">
        <v>0</v>
      </c>
      <c r="H49" s="50">
        <v>0</v>
      </c>
      <c r="I49" s="50">
        <v>3</v>
      </c>
      <c r="J49" s="50">
        <v>1</v>
      </c>
      <c r="K49" s="50">
        <v>1</v>
      </c>
      <c r="L49" s="50">
        <v>4</v>
      </c>
      <c r="M49" s="50">
        <v>3</v>
      </c>
      <c r="N49" s="50">
        <v>0</v>
      </c>
      <c r="O49" s="15">
        <f t="shared" si="0"/>
        <v>25</v>
      </c>
      <c r="P49" s="15">
        <f t="shared" si="1"/>
        <v>28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v>4</v>
      </c>
      <c r="E50" s="50">
        <v>0</v>
      </c>
      <c r="F50" s="50">
        <v>6</v>
      </c>
      <c r="G50" s="50">
        <v>0</v>
      </c>
      <c r="H50" s="50">
        <v>0</v>
      </c>
      <c r="I50" s="50">
        <v>3</v>
      </c>
      <c r="J50" s="50">
        <v>2</v>
      </c>
      <c r="K50" s="50">
        <v>0</v>
      </c>
      <c r="L50" s="50">
        <v>0</v>
      </c>
      <c r="M50" s="50">
        <v>5</v>
      </c>
      <c r="N50" s="50">
        <v>0</v>
      </c>
      <c r="O50" s="15">
        <f t="shared" si="0"/>
        <v>16</v>
      </c>
      <c r="P50" s="15">
        <f t="shared" si="1"/>
        <v>21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2</v>
      </c>
      <c r="E51" s="50">
        <v>4</v>
      </c>
      <c r="F51" s="50">
        <v>3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4</v>
      </c>
      <c r="N51" s="50">
        <v>0</v>
      </c>
      <c r="O51" s="15">
        <f t="shared" si="0"/>
        <v>9</v>
      </c>
      <c r="P51" s="15">
        <f t="shared" si="1"/>
        <v>13</v>
      </c>
      <c r="R51" s="8"/>
      <c r="T51"/>
    </row>
    <row r="52" spans="2:20" ht="23.1" customHeight="1" x14ac:dyDescent="0.25">
      <c r="B52" s="46" t="s">
        <v>79</v>
      </c>
      <c r="C52" s="50">
        <v>4</v>
      </c>
      <c r="D52" s="50">
        <v>0</v>
      </c>
      <c r="E52" s="50">
        <v>3</v>
      </c>
      <c r="F52" s="50">
        <v>3</v>
      </c>
      <c r="G52" s="50">
        <v>0</v>
      </c>
      <c r="H52" s="50">
        <v>0</v>
      </c>
      <c r="I52" s="50">
        <v>1</v>
      </c>
      <c r="J52" s="50">
        <v>0</v>
      </c>
      <c r="K52" s="50">
        <v>1</v>
      </c>
      <c r="L52" s="50">
        <v>1</v>
      </c>
      <c r="M52" s="50">
        <v>10</v>
      </c>
      <c r="N52" s="50">
        <v>0</v>
      </c>
      <c r="O52" s="15">
        <f t="shared" si="0"/>
        <v>13</v>
      </c>
      <c r="P52" s="15">
        <f t="shared" si="1"/>
        <v>23</v>
      </c>
      <c r="R52" s="8"/>
      <c r="T52"/>
    </row>
    <row r="53" spans="2:20" ht="23.1" customHeight="1" x14ac:dyDescent="0.25">
      <c r="B53" s="45" t="s">
        <v>80</v>
      </c>
      <c r="C53" s="50">
        <v>7</v>
      </c>
      <c r="D53" s="50">
        <v>2</v>
      </c>
      <c r="E53" s="50">
        <v>3</v>
      </c>
      <c r="F53" s="50">
        <v>7</v>
      </c>
      <c r="G53" s="50">
        <v>0</v>
      </c>
      <c r="H53" s="50">
        <v>0</v>
      </c>
      <c r="I53" s="50">
        <v>4</v>
      </c>
      <c r="J53" s="50">
        <v>2</v>
      </c>
      <c r="K53" s="50">
        <v>0</v>
      </c>
      <c r="L53" s="50">
        <v>0</v>
      </c>
      <c r="M53" s="50">
        <v>12</v>
      </c>
      <c r="N53" s="50">
        <v>0</v>
      </c>
      <c r="O53" s="15">
        <f t="shared" si="0"/>
        <v>25</v>
      </c>
      <c r="P53" s="15">
        <f t="shared" si="1"/>
        <v>37</v>
      </c>
      <c r="R53" s="8"/>
      <c r="T53"/>
    </row>
    <row r="54" spans="2:20" ht="23.1" customHeight="1" x14ac:dyDescent="0.25">
      <c r="B54" s="45" t="s">
        <v>81</v>
      </c>
      <c r="C54" s="50">
        <v>13</v>
      </c>
      <c r="D54" s="50">
        <v>3</v>
      </c>
      <c r="E54" s="50">
        <v>2</v>
      </c>
      <c r="F54" s="50">
        <v>10</v>
      </c>
      <c r="G54" s="50">
        <v>0</v>
      </c>
      <c r="H54" s="50">
        <v>1</v>
      </c>
      <c r="I54" s="50">
        <v>3</v>
      </c>
      <c r="J54" s="50">
        <v>0</v>
      </c>
      <c r="K54" s="50">
        <v>0</v>
      </c>
      <c r="L54" s="50">
        <v>2</v>
      </c>
      <c r="M54" s="50">
        <v>10</v>
      </c>
      <c r="N54" s="50">
        <v>0</v>
      </c>
      <c r="O54" s="15">
        <f t="shared" si="0"/>
        <v>34</v>
      </c>
      <c r="P54" s="15">
        <f t="shared" si="1"/>
        <v>44</v>
      </c>
      <c r="R54" s="8"/>
      <c r="T54"/>
    </row>
    <row r="55" spans="2:20" ht="23.1" customHeight="1" x14ac:dyDescent="0.25">
      <c r="B55" s="45" t="s">
        <v>82</v>
      </c>
      <c r="C55" s="50">
        <v>13</v>
      </c>
      <c r="D55" s="50">
        <v>0</v>
      </c>
      <c r="E55" s="50">
        <v>0</v>
      </c>
      <c r="F55" s="50">
        <v>9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8</v>
      </c>
      <c r="N55" s="50">
        <v>0</v>
      </c>
      <c r="O55" s="15">
        <f t="shared" si="0"/>
        <v>22</v>
      </c>
      <c r="P55" s="15">
        <f t="shared" si="1"/>
        <v>30</v>
      </c>
      <c r="R55" s="8"/>
      <c r="T55"/>
    </row>
    <row r="56" spans="2:20" ht="23.1" customHeight="1" x14ac:dyDescent="0.25">
      <c r="B56" s="45" t="s">
        <v>83</v>
      </c>
      <c r="C56" s="50">
        <v>27</v>
      </c>
      <c r="D56" s="50">
        <v>3</v>
      </c>
      <c r="E56" s="50">
        <v>0</v>
      </c>
      <c r="F56" s="50">
        <v>17</v>
      </c>
      <c r="G56" s="50">
        <v>2</v>
      </c>
      <c r="H56" s="50">
        <v>0</v>
      </c>
      <c r="I56" s="50">
        <v>6</v>
      </c>
      <c r="J56" s="50">
        <v>2</v>
      </c>
      <c r="K56" s="50">
        <v>0</v>
      </c>
      <c r="L56" s="50">
        <v>2</v>
      </c>
      <c r="M56" s="50">
        <v>18</v>
      </c>
      <c r="N56" s="50">
        <v>0</v>
      </c>
      <c r="O56" s="15">
        <f t="shared" si="0"/>
        <v>59</v>
      </c>
      <c r="P56" s="15">
        <f t="shared" si="1"/>
        <v>77</v>
      </c>
      <c r="R56" s="8"/>
      <c r="T56"/>
    </row>
    <row r="57" spans="2:20" ht="23.1" customHeight="1" x14ac:dyDescent="0.25">
      <c r="B57" s="45" t="s">
        <v>84</v>
      </c>
      <c r="C57" s="50">
        <v>30</v>
      </c>
      <c r="D57" s="50">
        <v>8</v>
      </c>
      <c r="E57" s="50">
        <v>6</v>
      </c>
      <c r="F57" s="50">
        <v>19</v>
      </c>
      <c r="G57" s="50">
        <v>0</v>
      </c>
      <c r="H57" s="50">
        <v>0</v>
      </c>
      <c r="I57" s="50">
        <v>9</v>
      </c>
      <c r="J57" s="50">
        <v>3</v>
      </c>
      <c r="K57" s="50">
        <v>0</v>
      </c>
      <c r="L57" s="50">
        <v>1</v>
      </c>
      <c r="M57" s="50">
        <v>13</v>
      </c>
      <c r="N57" s="50">
        <v>0</v>
      </c>
      <c r="O57" s="15">
        <f t="shared" si="0"/>
        <v>76</v>
      </c>
      <c r="P57" s="15">
        <f t="shared" si="1"/>
        <v>89</v>
      </c>
      <c r="R57" s="8"/>
      <c r="T57"/>
    </row>
    <row r="58" spans="2:20" ht="23.1" customHeight="1" x14ac:dyDescent="0.25">
      <c r="B58" s="45" t="s">
        <v>99</v>
      </c>
      <c r="C58" s="50">
        <v>25</v>
      </c>
      <c r="D58" s="50">
        <v>7</v>
      </c>
      <c r="E58" s="50">
        <v>13</v>
      </c>
      <c r="F58" s="50">
        <v>11</v>
      </c>
      <c r="G58" s="50">
        <v>0</v>
      </c>
      <c r="H58" s="50">
        <v>0</v>
      </c>
      <c r="I58" s="50">
        <v>3</v>
      </c>
      <c r="J58" s="50">
        <v>4</v>
      </c>
      <c r="K58" s="50">
        <v>0</v>
      </c>
      <c r="L58" s="50">
        <v>3</v>
      </c>
      <c r="M58" s="50">
        <v>14</v>
      </c>
      <c r="N58" s="50">
        <v>0</v>
      </c>
      <c r="O58" s="15">
        <f t="shared" si="0"/>
        <v>66</v>
      </c>
      <c r="P58" s="15">
        <f t="shared" si="1"/>
        <v>80</v>
      </c>
      <c r="R58" s="8"/>
      <c r="T58"/>
    </row>
    <row r="59" spans="2:20" ht="23.1" customHeight="1" x14ac:dyDescent="0.25">
      <c r="B59" s="45" t="s">
        <v>100</v>
      </c>
      <c r="C59" s="50">
        <v>34</v>
      </c>
      <c r="D59" s="50">
        <v>11</v>
      </c>
      <c r="E59" s="50">
        <v>8</v>
      </c>
      <c r="F59" s="50">
        <v>26</v>
      </c>
      <c r="G59" s="50">
        <v>0</v>
      </c>
      <c r="H59" s="50">
        <v>1</v>
      </c>
      <c r="I59" s="50">
        <v>14</v>
      </c>
      <c r="J59" s="50">
        <v>5</v>
      </c>
      <c r="K59" s="50">
        <v>0</v>
      </c>
      <c r="L59" s="50">
        <v>2</v>
      </c>
      <c r="M59" s="50">
        <v>37</v>
      </c>
      <c r="N59" s="50">
        <v>0</v>
      </c>
      <c r="O59" s="15">
        <f t="shared" si="0"/>
        <v>101</v>
      </c>
      <c r="P59" s="15">
        <f t="shared" si="1"/>
        <v>138</v>
      </c>
      <c r="R59" s="8"/>
      <c r="T59"/>
    </row>
    <row r="60" spans="2:20" ht="23.1" customHeight="1" x14ac:dyDescent="0.25">
      <c r="B60" s="45" t="s">
        <v>101</v>
      </c>
      <c r="C60" s="50">
        <v>40</v>
      </c>
      <c r="D60" s="50">
        <v>16</v>
      </c>
      <c r="E60" s="50">
        <v>6</v>
      </c>
      <c r="F60" s="50">
        <v>29</v>
      </c>
      <c r="G60" s="50">
        <v>0</v>
      </c>
      <c r="H60" s="50">
        <v>0</v>
      </c>
      <c r="I60" s="50">
        <v>8</v>
      </c>
      <c r="J60" s="50">
        <v>4</v>
      </c>
      <c r="K60" s="50">
        <v>1</v>
      </c>
      <c r="L60" s="50">
        <v>0</v>
      </c>
      <c r="M60" s="50">
        <v>30</v>
      </c>
      <c r="N60" s="50">
        <v>0</v>
      </c>
      <c r="O60" s="15">
        <f t="shared" si="0"/>
        <v>104</v>
      </c>
      <c r="P60" s="15">
        <f t="shared" si="1"/>
        <v>134</v>
      </c>
      <c r="R60" s="8"/>
      <c r="T60"/>
    </row>
    <row r="61" spans="2:20" ht="23.1" customHeight="1" x14ac:dyDescent="0.25">
      <c r="B61" s="45" t="s">
        <v>102</v>
      </c>
      <c r="C61" s="50">
        <v>36</v>
      </c>
      <c r="D61" s="50">
        <v>2</v>
      </c>
      <c r="E61" s="50">
        <v>3</v>
      </c>
      <c r="F61" s="50">
        <v>27</v>
      </c>
      <c r="G61" s="50">
        <v>0</v>
      </c>
      <c r="H61" s="50">
        <v>1</v>
      </c>
      <c r="I61" s="50">
        <v>5</v>
      </c>
      <c r="J61" s="50">
        <v>3</v>
      </c>
      <c r="K61" s="50">
        <v>2</v>
      </c>
      <c r="L61" s="50">
        <v>0</v>
      </c>
      <c r="M61" s="50">
        <v>20</v>
      </c>
      <c r="N61" s="50">
        <v>0</v>
      </c>
      <c r="O61" s="15">
        <f t="shared" si="0"/>
        <v>79</v>
      </c>
      <c r="P61" s="15">
        <f t="shared" si="1"/>
        <v>99</v>
      </c>
      <c r="R61" s="8"/>
      <c r="T61"/>
    </row>
    <row r="62" spans="2:20" ht="23.1" customHeight="1" x14ac:dyDescent="0.25">
      <c r="B62" s="45" t="s">
        <v>107</v>
      </c>
      <c r="C62" s="50">
        <v>6</v>
      </c>
      <c r="D62" s="50">
        <v>7</v>
      </c>
      <c r="E62" s="50">
        <v>7</v>
      </c>
      <c r="F62" s="50">
        <v>7</v>
      </c>
      <c r="G62" s="50">
        <v>1</v>
      </c>
      <c r="H62" s="50">
        <v>0</v>
      </c>
      <c r="I62" s="50">
        <v>10</v>
      </c>
      <c r="J62" s="50">
        <v>0</v>
      </c>
      <c r="K62" s="50">
        <v>2</v>
      </c>
      <c r="L62" s="50">
        <v>1</v>
      </c>
      <c r="M62" s="50">
        <v>8</v>
      </c>
      <c r="N62" s="50">
        <v>0</v>
      </c>
      <c r="O62" s="15">
        <f t="shared" si="0"/>
        <v>41</v>
      </c>
      <c r="P62" s="15">
        <f t="shared" si="1"/>
        <v>49</v>
      </c>
      <c r="R62" s="8"/>
      <c r="T62"/>
    </row>
    <row r="63" spans="2:20" ht="23.1" customHeight="1" x14ac:dyDescent="0.25">
      <c r="B63" s="45" t="s">
        <v>108</v>
      </c>
      <c r="C63" s="50">
        <v>21</v>
      </c>
      <c r="D63" s="50">
        <v>5</v>
      </c>
      <c r="E63" s="50">
        <v>4</v>
      </c>
      <c r="F63" s="50">
        <v>12</v>
      </c>
      <c r="G63" s="50">
        <v>3</v>
      </c>
      <c r="H63" s="50">
        <v>3</v>
      </c>
      <c r="I63" s="50">
        <v>10</v>
      </c>
      <c r="J63" s="50">
        <v>1</v>
      </c>
      <c r="K63" s="50">
        <v>1</v>
      </c>
      <c r="L63" s="50">
        <v>0</v>
      </c>
      <c r="M63" s="50">
        <v>10</v>
      </c>
      <c r="N63" s="50">
        <v>0</v>
      </c>
      <c r="O63" s="15">
        <f t="shared" si="0"/>
        <v>60</v>
      </c>
      <c r="P63" s="15">
        <f t="shared" si="1"/>
        <v>70</v>
      </c>
      <c r="R63" s="8"/>
      <c r="T63"/>
    </row>
    <row r="64" spans="2:20" ht="23.1" customHeight="1" x14ac:dyDescent="0.25">
      <c r="B64" s="45" t="s">
        <v>109</v>
      </c>
      <c r="C64" s="50">
        <v>36</v>
      </c>
      <c r="D64" s="50">
        <v>2</v>
      </c>
      <c r="E64" s="50">
        <v>1</v>
      </c>
      <c r="F64" s="50">
        <v>16</v>
      </c>
      <c r="G64" s="50">
        <v>0</v>
      </c>
      <c r="H64" s="50">
        <v>0</v>
      </c>
      <c r="I64" s="50">
        <v>12</v>
      </c>
      <c r="J64" s="50">
        <v>5</v>
      </c>
      <c r="K64" s="50">
        <v>1</v>
      </c>
      <c r="L64" s="50">
        <v>1</v>
      </c>
      <c r="M64" s="50">
        <v>12</v>
      </c>
      <c r="N64" s="50">
        <v>0</v>
      </c>
      <c r="O64" s="15">
        <f t="shared" si="0"/>
        <v>74</v>
      </c>
      <c r="P64" s="15">
        <f t="shared" si="1"/>
        <v>86</v>
      </c>
      <c r="R64" s="8"/>
      <c r="T64"/>
    </row>
    <row r="65" spans="2:20" ht="23.1" customHeight="1" x14ac:dyDescent="0.25">
      <c r="B65" s="45" t="s">
        <v>158</v>
      </c>
      <c r="C65" s="50">
        <v>24</v>
      </c>
      <c r="D65" s="50">
        <v>1</v>
      </c>
      <c r="E65" s="50">
        <v>5</v>
      </c>
      <c r="F65" s="50">
        <v>12</v>
      </c>
      <c r="G65" s="50">
        <v>0</v>
      </c>
      <c r="H65" s="50">
        <v>0</v>
      </c>
      <c r="I65" s="50">
        <v>4</v>
      </c>
      <c r="J65" s="50">
        <v>2</v>
      </c>
      <c r="K65" s="50">
        <v>0</v>
      </c>
      <c r="L65" s="50">
        <v>1</v>
      </c>
      <c r="M65" s="50">
        <v>10</v>
      </c>
      <c r="N65" s="50">
        <v>0</v>
      </c>
      <c r="O65" s="15">
        <f t="shared" si="0"/>
        <v>49</v>
      </c>
      <c r="P65" s="15">
        <f t="shared" si="1"/>
        <v>59</v>
      </c>
      <c r="R65" s="8"/>
      <c r="T65"/>
    </row>
    <row r="66" spans="2:20" ht="23.1" customHeight="1" x14ac:dyDescent="0.25">
      <c r="B66" s="45" t="s">
        <v>103</v>
      </c>
      <c r="C66" s="50">
        <v>17</v>
      </c>
      <c r="D66" s="50">
        <v>3</v>
      </c>
      <c r="E66" s="50">
        <v>7</v>
      </c>
      <c r="F66" s="50">
        <v>13</v>
      </c>
      <c r="G66" s="50">
        <v>2</v>
      </c>
      <c r="H66" s="50">
        <v>2</v>
      </c>
      <c r="I66" s="50">
        <v>5</v>
      </c>
      <c r="J66" s="50">
        <v>6</v>
      </c>
      <c r="K66" s="50">
        <v>0</v>
      </c>
      <c r="L66" s="50">
        <v>1</v>
      </c>
      <c r="M66" s="50">
        <v>18</v>
      </c>
      <c r="N66" s="50">
        <v>0</v>
      </c>
      <c r="O66" s="15">
        <f t="shared" si="0"/>
        <v>56</v>
      </c>
      <c r="P66" s="15">
        <f t="shared" si="1"/>
        <v>74</v>
      </c>
      <c r="R66" s="8"/>
      <c r="T66"/>
    </row>
    <row r="67" spans="2:20" ht="23.1" customHeight="1" x14ac:dyDescent="0.25">
      <c r="B67" s="45" t="s">
        <v>104</v>
      </c>
      <c r="C67" s="50">
        <v>12</v>
      </c>
      <c r="D67" s="50">
        <v>3</v>
      </c>
      <c r="E67" s="50">
        <v>4</v>
      </c>
      <c r="F67" s="50">
        <v>12</v>
      </c>
      <c r="G67" s="50">
        <v>0</v>
      </c>
      <c r="H67" s="50">
        <v>0</v>
      </c>
      <c r="I67" s="50">
        <v>6</v>
      </c>
      <c r="J67" s="50">
        <v>1</v>
      </c>
      <c r="K67" s="50">
        <v>1</v>
      </c>
      <c r="L67" s="50">
        <v>2</v>
      </c>
      <c r="M67" s="50">
        <v>9</v>
      </c>
      <c r="N67" s="50">
        <v>0</v>
      </c>
      <c r="O67" s="15">
        <f t="shared" si="0"/>
        <v>41</v>
      </c>
      <c r="P67" s="15">
        <f t="shared" si="1"/>
        <v>50</v>
      </c>
      <c r="R67" s="8"/>
      <c r="T67"/>
    </row>
    <row r="68" spans="2:20" ht="23.1" customHeight="1" x14ac:dyDescent="0.25">
      <c r="B68" s="45" t="s">
        <v>105</v>
      </c>
      <c r="C68" s="50">
        <v>8</v>
      </c>
      <c r="D68" s="50">
        <v>1</v>
      </c>
      <c r="E68" s="50">
        <v>4</v>
      </c>
      <c r="F68" s="50">
        <v>10</v>
      </c>
      <c r="G68" s="50">
        <v>0</v>
      </c>
      <c r="H68" s="50">
        <v>0</v>
      </c>
      <c r="I68" s="50">
        <v>8</v>
      </c>
      <c r="J68" s="50">
        <v>7</v>
      </c>
      <c r="K68" s="50">
        <v>1</v>
      </c>
      <c r="L68" s="50">
        <v>0</v>
      </c>
      <c r="M68" s="50">
        <v>2</v>
      </c>
      <c r="N68" s="50">
        <v>0</v>
      </c>
      <c r="O68" s="15">
        <f t="shared" si="0"/>
        <v>39</v>
      </c>
      <c r="P68" s="15">
        <f t="shared" si="1"/>
        <v>41</v>
      </c>
      <c r="R68" s="8"/>
      <c r="T68"/>
    </row>
    <row r="69" spans="2:20" ht="23.1" customHeight="1" x14ac:dyDescent="0.25">
      <c r="B69" s="45" t="s">
        <v>106</v>
      </c>
      <c r="C69" s="50">
        <v>22</v>
      </c>
      <c r="D69" s="50">
        <v>2</v>
      </c>
      <c r="E69" s="50">
        <v>3</v>
      </c>
      <c r="F69" s="50">
        <v>11</v>
      </c>
      <c r="G69" s="50">
        <v>0</v>
      </c>
      <c r="H69" s="50">
        <v>0</v>
      </c>
      <c r="I69" s="50">
        <v>8</v>
      </c>
      <c r="J69" s="50">
        <v>7</v>
      </c>
      <c r="K69" s="50">
        <v>2</v>
      </c>
      <c r="L69" s="50">
        <v>3</v>
      </c>
      <c r="M69" s="50">
        <v>12</v>
      </c>
      <c r="N69" s="50">
        <v>0</v>
      </c>
      <c r="O69" s="15">
        <f t="shared" si="0"/>
        <v>58</v>
      </c>
      <c r="P69" s="15">
        <f t="shared" si="1"/>
        <v>70</v>
      </c>
      <c r="R69" s="8"/>
      <c r="T69"/>
    </row>
    <row r="70" spans="2:20" ht="23.1" customHeight="1" x14ac:dyDescent="0.25">
      <c r="B70" s="45" t="s">
        <v>110</v>
      </c>
      <c r="C70" s="50">
        <v>11</v>
      </c>
      <c r="D70" s="50">
        <v>5</v>
      </c>
      <c r="E70" s="50">
        <v>2</v>
      </c>
      <c r="F70" s="50">
        <v>6</v>
      </c>
      <c r="G70" s="50">
        <v>0</v>
      </c>
      <c r="H70" s="50">
        <v>0</v>
      </c>
      <c r="I70" s="50">
        <v>7</v>
      </c>
      <c r="J70" s="50">
        <v>1</v>
      </c>
      <c r="K70" s="50">
        <v>0</v>
      </c>
      <c r="L70" s="50">
        <v>0</v>
      </c>
      <c r="M70" s="50">
        <v>8</v>
      </c>
      <c r="N70" s="50">
        <v>0</v>
      </c>
      <c r="O70" s="15">
        <f t="shared" si="0"/>
        <v>32</v>
      </c>
      <c r="P70" s="15">
        <f t="shared" si="1"/>
        <v>40</v>
      </c>
      <c r="R70" s="8"/>
      <c r="T70"/>
    </row>
    <row r="71" spans="2:20" ht="23.1" customHeight="1" x14ac:dyDescent="0.25">
      <c r="B71" s="45" t="s">
        <v>111</v>
      </c>
      <c r="C71" s="50">
        <v>8</v>
      </c>
      <c r="D71" s="50">
        <v>0</v>
      </c>
      <c r="E71" s="50">
        <v>4</v>
      </c>
      <c r="F71" s="50">
        <v>3</v>
      </c>
      <c r="G71" s="50">
        <v>2</v>
      </c>
      <c r="H71" s="50">
        <v>0</v>
      </c>
      <c r="I71" s="50">
        <v>4</v>
      </c>
      <c r="J71" s="50">
        <v>1</v>
      </c>
      <c r="K71" s="50">
        <v>1</v>
      </c>
      <c r="L71" s="50">
        <v>1</v>
      </c>
      <c r="M71" s="50">
        <v>5</v>
      </c>
      <c r="N71" s="50">
        <v>0</v>
      </c>
      <c r="O71" s="15">
        <f t="shared" si="0"/>
        <v>24</v>
      </c>
      <c r="P71" s="15">
        <f t="shared" si="1"/>
        <v>29</v>
      </c>
      <c r="R71" s="8"/>
      <c r="T71"/>
    </row>
    <row r="72" spans="2:20" ht="23.1" customHeight="1" x14ac:dyDescent="0.25">
      <c r="B72" s="45" t="s">
        <v>112</v>
      </c>
      <c r="C72" s="50">
        <v>11</v>
      </c>
      <c r="D72" s="50">
        <v>2</v>
      </c>
      <c r="E72" s="50">
        <v>4</v>
      </c>
      <c r="F72" s="50">
        <v>9</v>
      </c>
      <c r="G72" s="50">
        <v>0</v>
      </c>
      <c r="H72" s="50">
        <v>0</v>
      </c>
      <c r="I72" s="50">
        <v>5</v>
      </c>
      <c r="J72" s="50">
        <v>4</v>
      </c>
      <c r="K72" s="50">
        <v>0</v>
      </c>
      <c r="L72" s="50">
        <v>1</v>
      </c>
      <c r="M72" s="50">
        <v>11</v>
      </c>
      <c r="N72" s="50">
        <v>0</v>
      </c>
      <c r="O72" s="15">
        <f t="shared" si="0"/>
        <v>36</v>
      </c>
      <c r="P72" s="15">
        <f t="shared" si="1"/>
        <v>47</v>
      </c>
      <c r="R72" s="8"/>
      <c r="T72"/>
    </row>
    <row r="73" spans="2:20" ht="23.1" customHeight="1" x14ac:dyDescent="0.25">
      <c r="B73" s="45" t="s">
        <v>113</v>
      </c>
      <c r="C73" s="50">
        <v>4</v>
      </c>
      <c r="D73" s="50">
        <v>1</v>
      </c>
      <c r="E73" s="50">
        <v>1</v>
      </c>
      <c r="F73" s="50">
        <v>5</v>
      </c>
      <c r="G73" s="50">
        <v>0</v>
      </c>
      <c r="H73" s="50">
        <v>0</v>
      </c>
      <c r="I73" s="50">
        <v>5</v>
      </c>
      <c r="J73" s="50">
        <v>4</v>
      </c>
      <c r="K73" s="50">
        <v>2</v>
      </c>
      <c r="L73" s="50">
        <v>1</v>
      </c>
      <c r="M73" s="50">
        <v>8</v>
      </c>
      <c r="N73" s="50">
        <v>0</v>
      </c>
      <c r="O73" s="15">
        <f t="shared" si="0"/>
        <v>23</v>
      </c>
      <c r="P73" s="15">
        <f t="shared" si="1"/>
        <v>31</v>
      </c>
      <c r="R73" s="8"/>
      <c r="T73"/>
    </row>
    <row r="74" spans="2:20" ht="23.1" customHeight="1" x14ac:dyDescent="0.25">
      <c r="B74" s="45" t="s">
        <v>114</v>
      </c>
      <c r="C74" s="50">
        <v>4</v>
      </c>
      <c r="D74" s="50">
        <v>2</v>
      </c>
      <c r="E74" s="50">
        <v>1</v>
      </c>
      <c r="F74" s="50">
        <v>3</v>
      </c>
      <c r="G74" s="50">
        <v>0</v>
      </c>
      <c r="H74" s="50">
        <v>0</v>
      </c>
      <c r="I74" s="50">
        <v>2</v>
      </c>
      <c r="J74" s="50">
        <v>2</v>
      </c>
      <c r="K74" s="50">
        <v>1</v>
      </c>
      <c r="L74" s="50">
        <v>0</v>
      </c>
      <c r="M74" s="50">
        <v>8</v>
      </c>
      <c r="N74" s="50">
        <v>0</v>
      </c>
      <c r="O74" s="15">
        <f t="shared" ref="O74:O105" si="35">SUM(C74:L74,N74)</f>
        <v>15</v>
      </c>
      <c r="P74" s="15">
        <f t="shared" ref="P74:P105" si="36">SUM(C74:N74)</f>
        <v>23</v>
      </c>
      <c r="R74" s="8"/>
      <c r="T74"/>
    </row>
    <row r="75" spans="2:20" ht="23.1" customHeight="1" x14ac:dyDescent="0.25">
      <c r="B75" s="45" t="s">
        <v>115</v>
      </c>
      <c r="C75" s="50">
        <v>11</v>
      </c>
      <c r="D75" s="50">
        <v>4</v>
      </c>
      <c r="E75" s="50">
        <v>3</v>
      </c>
      <c r="F75" s="50">
        <v>0</v>
      </c>
      <c r="G75" s="50">
        <v>0</v>
      </c>
      <c r="H75" s="50">
        <v>0</v>
      </c>
      <c r="I75" s="50">
        <v>4</v>
      </c>
      <c r="J75" s="50">
        <v>8</v>
      </c>
      <c r="K75" s="50">
        <v>0</v>
      </c>
      <c r="L75" s="50">
        <v>0</v>
      </c>
      <c r="M75" s="50">
        <v>7</v>
      </c>
      <c r="N75" s="50">
        <v>0</v>
      </c>
      <c r="O75" s="15">
        <f t="shared" si="35"/>
        <v>30</v>
      </c>
      <c r="P75" s="15">
        <f t="shared" si="36"/>
        <v>37</v>
      </c>
      <c r="R75" s="8"/>
      <c r="T75"/>
    </row>
    <row r="76" spans="2:20" ht="23.1" customHeight="1" x14ac:dyDescent="0.25">
      <c r="B76" s="45" t="s">
        <v>116</v>
      </c>
      <c r="C76" s="50">
        <v>3</v>
      </c>
      <c r="D76" s="50">
        <v>0</v>
      </c>
      <c r="E76" s="50">
        <v>0</v>
      </c>
      <c r="F76" s="50">
        <v>3</v>
      </c>
      <c r="G76" s="50">
        <v>0</v>
      </c>
      <c r="H76" s="50">
        <v>0</v>
      </c>
      <c r="I76" s="50">
        <v>4</v>
      </c>
      <c r="J76" s="50">
        <v>5</v>
      </c>
      <c r="K76" s="50">
        <v>1</v>
      </c>
      <c r="L76" s="50">
        <v>2</v>
      </c>
      <c r="M76" s="50">
        <v>7</v>
      </c>
      <c r="N76" s="50">
        <v>0</v>
      </c>
      <c r="O76" s="15">
        <f t="shared" si="35"/>
        <v>18</v>
      </c>
      <c r="P76" s="15">
        <f t="shared" si="36"/>
        <v>25</v>
      </c>
      <c r="R76" s="8"/>
      <c r="T76"/>
    </row>
    <row r="77" spans="2:20" ht="23.1" customHeight="1" x14ac:dyDescent="0.25">
      <c r="B77" s="45" t="s">
        <v>117</v>
      </c>
      <c r="C77" s="50">
        <v>7</v>
      </c>
      <c r="D77" s="50">
        <v>2</v>
      </c>
      <c r="E77" s="50">
        <v>3</v>
      </c>
      <c r="F77" s="50">
        <v>3</v>
      </c>
      <c r="G77" s="50">
        <v>0</v>
      </c>
      <c r="H77" s="50">
        <v>0</v>
      </c>
      <c r="I77" s="50">
        <v>0</v>
      </c>
      <c r="J77" s="50">
        <v>4</v>
      </c>
      <c r="K77" s="50">
        <v>0</v>
      </c>
      <c r="L77" s="50">
        <v>3</v>
      </c>
      <c r="M77" s="50">
        <v>4</v>
      </c>
      <c r="N77" s="50">
        <v>0</v>
      </c>
      <c r="O77" s="15">
        <f t="shared" si="35"/>
        <v>22</v>
      </c>
      <c r="P77" s="15">
        <f t="shared" si="36"/>
        <v>26</v>
      </c>
      <c r="R77" s="8"/>
      <c r="T77"/>
    </row>
    <row r="78" spans="2:20" ht="23.1" customHeight="1" x14ac:dyDescent="0.25">
      <c r="B78" s="46" t="s">
        <v>118</v>
      </c>
      <c r="C78" s="50">
        <v>9</v>
      </c>
      <c r="D78" s="50">
        <v>1</v>
      </c>
      <c r="E78" s="50">
        <v>1</v>
      </c>
      <c r="F78" s="50">
        <v>2</v>
      </c>
      <c r="G78" s="50">
        <v>0</v>
      </c>
      <c r="H78" s="50">
        <v>0</v>
      </c>
      <c r="I78" s="50">
        <v>4</v>
      </c>
      <c r="J78" s="50">
        <v>1</v>
      </c>
      <c r="K78" s="50">
        <v>1</v>
      </c>
      <c r="L78" s="50">
        <v>0</v>
      </c>
      <c r="M78" s="50">
        <v>6</v>
      </c>
      <c r="N78" s="50">
        <v>0</v>
      </c>
      <c r="O78" s="15">
        <f t="shared" si="35"/>
        <v>19</v>
      </c>
      <c r="P78" s="15">
        <f t="shared" si="36"/>
        <v>25</v>
      </c>
      <c r="R78" s="8"/>
      <c r="T78"/>
    </row>
    <row r="79" spans="2:20" ht="23.1" customHeight="1" x14ac:dyDescent="0.25">
      <c r="B79" s="45" t="s">
        <v>119</v>
      </c>
      <c r="C79" s="50">
        <v>4</v>
      </c>
      <c r="D79" s="50">
        <v>0</v>
      </c>
      <c r="E79" s="50">
        <v>0</v>
      </c>
      <c r="F79" s="50">
        <v>1</v>
      </c>
      <c r="G79" s="50">
        <v>0</v>
      </c>
      <c r="H79" s="50">
        <v>0</v>
      </c>
      <c r="I79" s="50">
        <v>7</v>
      </c>
      <c r="J79" s="50">
        <v>0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5"/>
        <v>12</v>
      </c>
      <c r="P79" s="15">
        <f t="shared" si="36"/>
        <v>14</v>
      </c>
      <c r="R79" s="8"/>
      <c r="T79"/>
    </row>
    <row r="80" spans="2:20" ht="23.1" customHeight="1" x14ac:dyDescent="0.25">
      <c r="B80" s="47" t="s">
        <v>120</v>
      </c>
      <c r="C80" s="50">
        <v>3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2</v>
      </c>
      <c r="J80" s="50">
        <v>0</v>
      </c>
      <c r="K80" s="50">
        <v>0</v>
      </c>
      <c r="L80" s="50">
        <v>0</v>
      </c>
      <c r="M80" s="50">
        <v>2</v>
      </c>
      <c r="N80" s="50">
        <v>0</v>
      </c>
      <c r="O80" s="15">
        <f t="shared" si="35"/>
        <v>5</v>
      </c>
      <c r="P80" s="15">
        <f t="shared" si="36"/>
        <v>7</v>
      </c>
      <c r="R80" s="8"/>
      <c r="T80"/>
    </row>
    <row r="81" spans="2:20" ht="23.1" customHeight="1" x14ac:dyDescent="0.25">
      <c r="B81" s="45" t="s">
        <v>121</v>
      </c>
      <c r="C81" s="50">
        <v>3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4</v>
      </c>
      <c r="J81" s="50">
        <v>0</v>
      </c>
      <c r="K81" s="50">
        <v>0</v>
      </c>
      <c r="L81" s="50">
        <v>0</v>
      </c>
      <c r="M81" s="50">
        <v>3</v>
      </c>
      <c r="N81" s="50">
        <v>0</v>
      </c>
      <c r="O81" s="15">
        <f t="shared" si="35"/>
        <v>7</v>
      </c>
      <c r="P81" s="15">
        <f t="shared" si="36"/>
        <v>10</v>
      </c>
      <c r="R81" s="8"/>
      <c r="T81"/>
    </row>
    <row r="82" spans="2:20" ht="23.1" customHeight="1" x14ac:dyDescent="0.25">
      <c r="B82" s="46" t="s">
        <v>122</v>
      </c>
      <c r="C82" s="50">
        <v>2</v>
      </c>
      <c r="D82" s="50">
        <v>4</v>
      </c>
      <c r="E82" s="50">
        <v>1</v>
      </c>
      <c r="F82" s="50">
        <v>0</v>
      </c>
      <c r="G82" s="50">
        <v>0</v>
      </c>
      <c r="H82" s="50">
        <v>0</v>
      </c>
      <c r="I82" s="50">
        <v>1</v>
      </c>
      <c r="J82" s="50">
        <v>3</v>
      </c>
      <c r="K82" s="50">
        <v>1</v>
      </c>
      <c r="L82" s="50">
        <v>3</v>
      </c>
      <c r="M82" s="50">
        <v>3</v>
      </c>
      <c r="N82" s="50">
        <v>0</v>
      </c>
      <c r="O82" s="15">
        <f t="shared" si="35"/>
        <v>15</v>
      </c>
      <c r="P82" s="15">
        <f t="shared" si="36"/>
        <v>18</v>
      </c>
      <c r="R82" s="8"/>
      <c r="T82"/>
    </row>
    <row r="83" spans="2:20" ht="23.1" customHeight="1" x14ac:dyDescent="0.25">
      <c r="B83" s="45" t="s">
        <v>123</v>
      </c>
      <c r="C83" s="50">
        <v>3</v>
      </c>
      <c r="D83" s="50">
        <v>1</v>
      </c>
      <c r="E83" s="50">
        <v>0</v>
      </c>
      <c r="F83" s="50">
        <v>1</v>
      </c>
      <c r="G83" s="50">
        <v>0</v>
      </c>
      <c r="H83" s="50">
        <v>0</v>
      </c>
      <c r="I83" s="50">
        <v>5</v>
      </c>
      <c r="J83" s="50">
        <v>1</v>
      </c>
      <c r="K83" s="50">
        <v>0</v>
      </c>
      <c r="L83" s="50">
        <v>1</v>
      </c>
      <c r="M83" s="50">
        <v>4</v>
      </c>
      <c r="N83" s="50">
        <v>0</v>
      </c>
      <c r="O83" s="15">
        <f t="shared" si="35"/>
        <v>12</v>
      </c>
      <c r="P83" s="15">
        <f t="shared" si="36"/>
        <v>16</v>
      </c>
      <c r="R83" s="8"/>
      <c r="T83"/>
    </row>
    <row r="84" spans="2:20" ht="23.1" customHeight="1" x14ac:dyDescent="0.25">
      <c r="B84" s="47" t="s">
        <v>124</v>
      </c>
      <c r="C84" s="50">
        <v>6</v>
      </c>
      <c r="D84" s="50">
        <v>2</v>
      </c>
      <c r="E84" s="50">
        <v>0</v>
      </c>
      <c r="F84" s="50">
        <v>0</v>
      </c>
      <c r="G84" s="50">
        <v>0</v>
      </c>
      <c r="H84" s="50">
        <v>0</v>
      </c>
      <c r="I84" s="50">
        <v>2</v>
      </c>
      <c r="J84" s="50">
        <v>1</v>
      </c>
      <c r="K84" s="50">
        <v>0</v>
      </c>
      <c r="L84" s="50">
        <v>0</v>
      </c>
      <c r="M84" s="50">
        <v>3</v>
      </c>
      <c r="N84" s="50">
        <v>0</v>
      </c>
      <c r="O84" s="15">
        <f t="shared" si="35"/>
        <v>11</v>
      </c>
      <c r="P84" s="15">
        <f t="shared" si="36"/>
        <v>14</v>
      </c>
      <c r="R84" s="8"/>
      <c r="T84"/>
    </row>
    <row r="85" spans="2:20" ht="23.1" customHeight="1" x14ac:dyDescent="0.25">
      <c r="B85" s="45" t="s">
        <v>125</v>
      </c>
      <c r="C85" s="50">
        <v>3</v>
      </c>
      <c r="D85" s="50">
        <v>4</v>
      </c>
      <c r="E85" s="50">
        <v>1</v>
      </c>
      <c r="F85" s="50">
        <v>0</v>
      </c>
      <c r="G85" s="50">
        <v>0</v>
      </c>
      <c r="H85" s="50">
        <v>0</v>
      </c>
      <c r="I85" s="50">
        <v>4</v>
      </c>
      <c r="J85" s="50">
        <v>0</v>
      </c>
      <c r="K85" s="50">
        <v>0</v>
      </c>
      <c r="L85" s="50">
        <v>0</v>
      </c>
      <c r="M85" s="50">
        <v>4</v>
      </c>
      <c r="N85" s="50">
        <v>0</v>
      </c>
      <c r="O85" s="15">
        <f t="shared" si="35"/>
        <v>12</v>
      </c>
      <c r="P85" s="15">
        <f t="shared" si="36"/>
        <v>16</v>
      </c>
      <c r="R85" s="8"/>
      <c r="T85"/>
    </row>
    <row r="86" spans="2:20" ht="23.1" customHeight="1" x14ac:dyDescent="0.25">
      <c r="B86" s="46" t="s">
        <v>126</v>
      </c>
      <c r="C86" s="50">
        <v>3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2</v>
      </c>
      <c r="J86" s="50">
        <v>0</v>
      </c>
      <c r="K86" s="50">
        <v>2</v>
      </c>
      <c r="L86" s="50">
        <v>3</v>
      </c>
      <c r="M86" s="50">
        <v>6</v>
      </c>
      <c r="N86" s="50">
        <v>0</v>
      </c>
      <c r="O86" s="15">
        <f t="shared" si="35"/>
        <v>10</v>
      </c>
      <c r="P86" s="15">
        <f t="shared" si="36"/>
        <v>16</v>
      </c>
      <c r="R86" s="8"/>
      <c r="T86"/>
    </row>
    <row r="87" spans="2:20" ht="23.1" customHeight="1" x14ac:dyDescent="0.25">
      <c r="B87" s="45" t="s">
        <v>127</v>
      </c>
      <c r="C87" s="50">
        <v>3</v>
      </c>
      <c r="D87" s="50">
        <v>0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8</v>
      </c>
      <c r="N87" s="50">
        <v>0</v>
      </c>
      <c r="O87" s="15">
        <f t="shared" si="35"/>
        <v>4</v>
      </c>
      <c r="P87" s="15">
        <f t="shared" si="36"/>
        <v>12</v>
      </c>
      <c r="R87" s="8"/>
      <c r="T87"/>
    </row>
    <row r="88" spans="2:20" ht="23.1" customHeight="1" x14ac:dyDescent="0.25">
      <c r="B88" s="47" t="s">
        <v>128</v>
      </c>
      <c r="C88" s="50">
        <v>2</v>
      </c>
      <c r="D88" s="50">
        <v>0</v>
      </c>
      <c r="E88" s="50">
        <v>3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2</v>
      </c>
      <c r="L88" s="50">
        <v>1</v>
      </c>
      <c r="M88" s="50">
        <v>3</v>
      </c>
      <c r="N88" s="50">
        <v>0</v>
      </c>
      <c r="O88" s="15">
        <f t="shared" si="35"/>
        <v>8</v>
      </c>
      <c r="P88" s="15">
        <f t="shared" si="36"/>
        <v>11</v>
      </c>
      <c r="R88" s="8"/>
      <c r="T88"/>
    </row>
    <row r="89" spans="2:20" ht="23.1" customHeight="1" x14ac:dyDescent="0.25">
      <c r="B89" s="45" t="s">
        <v>129</v>
      </c>
      <c r="C89" s="50">
        <v>4</v>
      </c>
      <c r="D89" s="50">
        <v>0</v>
      </c>
      <c r="E89" s="50">
        <v>0</v>
      </c>
      <c r="F89" s="50">
        <v>1</v>
      </c>
      <c r="G89" s="50">
        <v>0</v>
      </c>
      <c r="H89" s="50">
        <v>0</v>
      </c>
      <c r="I89" s="50">
        <v>2</v>
      </c>
      <c r="J89" s="50">
        <v>0</v>
      </c>
      <c r="K89" s="50">
        <v>3</v>
      </c>
      <c r="L89" s="50">
        <v>0</v>
      </c>
      <c r="M89" s="50">
        <v>0</v>
      </c>
      <c r="N89" s="50">
        <v>0</v>
      </c>
      <c r="O89" s="15">
        <f t="shared" si="35"/>
        <v>10</v>
      </c>
      <c r="P89" s="15">
        <f t="shared" si="36"/>
        <v>10</v>
      </c>
      <c r="R89" s="8"/>
      <c r="T89"/>
    </row>
    <row r="90" spans="2:20" ht="23.1" customHeight="1" x14ac:dyDescent="0.25">
      <c r="B90" s="46" t="s">
        <v>130</v>
      </c>
      <c r="C90" s="50">
        <v>2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2</v>
      </c>
      <c r="J90" s="50">
        <v>2</v>
      </c>
      <c r="K90" s="50">
        <v>0</v>
      </c>
      <c r="L90" s="50">
        <v>0</v>
      </c>
      <c r="M90" s="50">
        <v>2</v>
      </c>
      <c r="N90" s="50">
        <v>0</v>
      </c>
      <c r="O90" s="15">
        <f t="shared" si="35"/>
        <v>6</v>
      </c>
      <c r="P90" s="15">
        <f t="shared" si="36"/>
        <v>8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1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2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3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1</v>
      </c>
      <c r="N92" s="50">
        <v>0</v>
      </c>
      <c r="O92" s="15">
        <f t="shared" si="35"/>
        <v>4</v>
      </c>
      <c r="P92" s="15">
        <f t="shared" si="36"/>
        <v>5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3</v>
      </c>
      <c r="N93" s="50">
        <v>0</v>
      </c>
      <c r="O93" s="15">
        <f t="shared" si="35"/>
        <v>2</v>
      </c>
      <c r="P93" s="15">
        <f t="shared" si="36"/>
        <v>5</v>
      </c>
      <c r="R93" s="8"/>
      <c r="T93"/>
    </row>
    <row r="94" spans="2:20" ht="23.1" customHeight="1" x14ac:dyDescent="0.25">
      <c r="B94" s="46" t="s">
        <v>134</v>
      </c>
      <c r="C94" s="50">
        <v>8</v>
      </c>
      <c r="D94" s="50">
        <v>0</v>
      </c>
      <c r="E94" s="50">
        <v>0</v>
      </c>
      <c r="F94" s="50">
        <v>3</v>
      </c>
      <c r="G94" s="50">
        <v>0</v>
      </c>
      <c r="H94" s="50">
        <v>1</v>
      </c>
      <c r="I94" s="50">
        <v>4</v>
      </c>
      <c r="J94" s="50">
        <v>0</v>
      </c>
      <c r="K94" s="50">
        <v>0</v>
      </c>
      <c r="L94" s="50">
        <v>0</v>
      </c>
      <c r="M94" s="50">
        <v>3</v>
      </c>
      <c r="N94" s="50">
        <v>0</v>
      </c>
      <c r="O94" s="15">
        <f t="shared" si="35"/>
        <v>16</v>
      </c>
      <c r="P94" s="15">
        <f t="shared" si="36"/>
        <v>19</v>
      </c>
      <c r="R94" s="8"/>
      <c r="T94"/>
    </row>
    <row r="95" spans="2:20" ht="23.1" customHeight="1" x14ac:dyDescent="0.25">
      <c r="B95" s="45" t="s">
        <v>135</v>
      </c>
      <c r="C95" s="50">
        <v>2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3</v>
      </c>
      <c r="J95" s="50">
        <v>0</v>
      </c>
      <c r="K95" s="50">
        <v>0</v>
      </c>
      <c r="L95" s="50">
        <v>0</v>
      </c>
      <c r="M95" s="50">
        <v>6</v>
      </c>
      <c r="N95" s="50">
        <v>0</v>
      </c>
      <c r="O95" s="15">
        <f t="shared" si="35"/>
        <v>5</v>
      </c>
      <c r="P95" s="15">
        <f t="shared" si="36"/>
        <v>11</v>
      </c>
      <c r="R95" s="8"/>
      <c r="T95"/>
    </row>
    <row r="96" spans="2:20" ht="23.1" customHeight="1" x14ac:dyDescent="0.25">
      <c r="B96" s="47" t="s">
        <v>136</v>
      </c>
      <c r="C96" s="50">
        <v>10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2</v>
      </c>
      <c r="K96" s="50">
        <v>0</v>
      </c>
      <c r="L96" s="50">
        <v>0</v>
      </c>
      <c r="M96" s="50">
        <v>1</v>
      </c>
      <c r="N96" s="50">
        <v>0</v>
      </c>
      <c r="O96" s="15">
        <f t="shared" si="35"/>
        <v>13</v>
      </c>
      <c r="P96" s="15">
        <f t="shared" si="36"/>
        <v>14</v>
      </c>
      <c r="R96" s="8"/>
      <c r="T96"/>
    </row>
    <row r="97" spans="2:20" ht="23.1" customHeight="1" x14ac:dyDescent="0.25">
      <c r="B97" s="45" t="s">
        <v>137</v>
      </c>
      <c r="C97" s="50">
        <v>3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2</v>
      </c>
      <c r="J97" s="50">
        <v>0</v>
      </c>
      <c r="K97" s="50">
        <v>0</v>
      </c>
      <c r="L97" s="50">
        <v>0</v>
      </c>
      <c r="M97" s="50">
        <v>1</v>
      </c>
      <c r="N97" s="50">
        <v>0</v>
      </c>
      <c r="O97" s="15">
        <f t="shared" si="35"/>
        <v>5</v>
      </c>
      <c r="P97" s="15">
        <f t="shared" si="36"/>
        <v>6</v>
      </c>
      <c r="R97" s="8"/>
      <c r="T97"/>
    </row>
    <row r="98" spans="2:20" ht="23.1" customHeight="1" x14ac:dyDescent="0.25">
      <c r="B98" s="46" t="s">
        <v>138</v>
      </c>
      <c r="C98" s="50">
        <v>6</v>
      </c>
      <c r="D98" s="50">
        <v>1</v>
      </c>
      <c r="E98" s="50">
        <v>0</v>
      </c>
      <c r="F98" s="50">
        <v>0</v>
      </c>
      <c r="G98" s="50">
        <v>0</v>
      </c>
      <c r="H98" s="50">
        <v>0</v>
      </c>
      <c r="I98" s="50">
        <v>1</v>
      </c>
      <c r="J98" s="50">
        <v>0</v>
      </c>
      <c r="K98" s="50">
        <v>3</v>
      </c>
      <c r="L98" s="50">
        <v>3</v>
      </c>
      <c r="M98" s="50">
        <v>5</v>
      </c>
      <c r="N98" s="50">
        <v>0</v>
      </c>
      <c r="O98" s="15">
        <f t="shared" si="35"/>
        <v>14</v>
      </c>
      <c r="P98" s="15">
        <f t="shared" si="36"/>
        <v>19</v>
      </c>
      <c r="R98" s="8"/>
      <c r="T98"/>
    </row>
    <row r="99" spans="2:20" ht="23.1" customHeight="1" x14ac:dyDescent="0.25">
      <c r="B99" s="45" t="s">
        <v>139</v>
      </c>
      <c r="C99" s="50">
        <v>7</v>
      </c>
      <c r="D99" s="50">
        <v>3</v>
      </c>
      <c r="E99" s="50">
        <v>0</v>
      </c>
      <c r="F99" s="50">
        <v>8</v>
      </c>
      <c r="G99" s="50">
        <v>0</v>
      </c>
      <c r="H99" s="50">
        <v>0</v>
      </c>
      <c r="I99" s="50">
        <v>2</v>
      </c>
      <c r="J99" s="50">
        <v>3</v>
      </c>
      <c r="K99" s="50">
        <v>0</v>
      </c>
      <c r="L99" s="50">
        <v>0</v>
      </c>
      <c r="M99" s="50">
        <v>6</v>
      </c>
      <c r="N99" s="50">
        <v>0</v>
      </c>
      <c r="O99" s="15">
        <f t="shared" si="35"/>
        <v>23</v>
      </c>
      <c r="P99" s="15">
        <f t="shared" si="36"/>
        <v>29</v>
      </c>
      <c r="R99" s="8"/>
      <c r="T99"/>
    </row>
    <row r="100" spans="2:20" ht="23.1" customHeight="1" x14ac:dyDescent="0.25">
      <c r="B100" s="47" t="s">
        <v>140</v>
      </c>
      <c r="C100" s="50">
        <v>3</v>
      </c>
      <c r="D100" s="50">
        <v>0</v>
      </c>
      <c r="E100" s="50">
        <v>0</v>
      </c>
      <c r="F100" s="50">
        <v>3</v>
      </c>
      <c r="G100" s="50">
        <v>0</v>
      </c>
      <c r="H100" s="50">
        <v>0</v>
      </c>
      <c r="I100" s="50">
        <v>4</v>
      </c>
      <c r="J100" s="50">
        <v>5</v>
      </c>
      <c r="K100" s="50">
        <v>0</v>
      </c>
      <c r="L100" s="50">
        <v>0</v>
      </c>
      <c r="M100" s="50">
        <v>11</v>
      </c>
      <c r="N100" s="50">
        <v>0</v>
      </c>
      <c r="O100" s="15">
        <f t="shared" si="35"/>
        <v>15</v>
      </c>
      <c r="P100" s="15">
        <f t="shared" si="36"/>
        <v>26</v>
      </c>
      <c r="R100" s="8"/>
      <c r="T100"/>
    </row>
    <row r="101" spans="2:20" ht="23.1" customHeight="1" x14ac:dyDescent="0.25">
      <c r="B101" s="45" t="s">
        <v>141</v>
      </c>
      <c r="C101" s="50">
        <v>6</v>
      </c>
      <c r="D101" s="50">
        <v>4</v>
      </c>
      <c r="E101" s="50">
        <v>2</v>
      </c>
      <c r="F101" s="50">
        <v>8</v>
      </c>
      <c r="G101" s="50">
        <v>0</v>
      </c>
      <c r="H101" s="50">
        <v>1</v>
      </c>
      <c r="I101" s="50">
        <v>0</v>
      </c>
      <c r="J101" s="50">
        <v>3</v>
      </c>
      <c r="K101" s="50">
        <v>0</v>
      </c>
      <c r="L101" s="50">
        <v>0</v>
      </c>
      <c r="M101" s="50">
        <v>15</v>
      </c>
      <c r="N101" s="50">
        <v>0</v>
      </c>
      <c r="O101" s="15">
        <f t="shared" si="35"/>
        <v>24</v>
      </c>
      <c r="P101" s="15">
        <f t="shared" si="36"/>
        <v>39</v>
      </c>
      <c r="R101" s="8"/>
      <c r="T101"/>
    </row>
    <row r="102" spans="2:20" ht="23.1" customHeight="1" x14ac:dyDescent="0.25">
      <c r="B102" s="46" t="s">
        <v>142</v>
      </c>
      <c r="C102" s="50">
        <v>8</v>
      </c>
      <c r="D102" s="50">
        <v>0</v>
      </c>
      <c r="E102" s="50">
        <v>0</v>
      </c>
      <c r="F102" s="50">
        <v>4</v>
      </c>
      <c r="G102" s="50">
        <v>0</v>
      </c>
      <c r="H102" s="50">
        <v>1</v>
      </c>
      <c r="I102" s="50">
        <v>0</v>
      </c>
      <c r="J102" s="50">
        <v>2</v>
      </c>
      <c r="K102" s="50">
        <v>3</v>
      </c>
      <c r="L102" s="50">
        <v>0</v>
      </c>
      <c r="M102" s="50">
        <v>8</v>
      </c>
      <c r="N102" s="50">
        <v>0</v>
      </c>
      <c r="O102" s="15">
        <f t="shared" si="35"/>
        <v>18</v>
      </c>
      <c r="P102" s="15">
        <f t="shared" si="36"/>
        <v>26</v>
      </c>
      <c r="R102" s="8"/>
      <c r="T102"/>
    </row>
    <row r="103" spans="2:20" ht="23.1" customHeight="1" x14ac:dyDescent="0.25">
      <c r="B103" s="45" t="s">
        <v>143</v>
      </c>
      <c r="C103" s="50">
        <v>8</v>
      </c>
      <c r="D103" s="50">
        <v>0</v>
      </c>
      <c r="E103" s="50">
        <v>0</v>
      </c>
      <c r="F103" s="50">
        <v>7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2</v>
      </c>
      <c r="M103" s="50">
        <v>11</v>
      </c>
      <c r="N103" s="50">
        <v>0</v>
      </c>
      <c r="O103" s="15">
        <f t="shared" si="35"/>
        <v>17</v>
      </c>
      <c r="P103" s="15">
        <f t="shared" si="36"/>
        <v>28</v>
      </c>
      <c r="R103" s="8"/>
      <c r="T103"/>
    </row>
    <row r="104" spans="2:20" ht="23.1" customHeight="1" x14ac:dyDescent="0.25">
      <c r="B104" s="47" t="s">
        <v>144</v>
      </c>
      <c r="C104" s="50">
        <v>6</v>
      </c>
      <c r="D104" s="50">
        <v>0</v>
      </c>
      <c r="E104" s="50">
        <v>1</v>
      </c>
      <c r="F104" s="50">
        <v>5</v>
      </c>
      <c r="G104" s="50">
        <v>0</v>
      </c>
      <c r="H104" s="50">
        <v>1</v>
      </c>
      <c r="I104" s="50">
        <v>2</v>
      </c>
      <c r="J104" s="50">
        <v>0</v>
      </c>
      <c r="K104" s="50">
        <v>0</v>
      </c>
      <c r="L104" s="50">
        <v>0</v>
      </c>
      <c r="M104" s="50">
        <v>5</v>
      </c>
      <c r="N104" s="50">
        <v>0</v>
      </c>
      <c r="O104" s="15">
        <f t="shared" si="35"/>
        <v>15</v>
      </c>
      <c r="P104" s="15">
        <f t="shared" si="36"/>
        <v>20</v>
      </c>
      <c r="R104" s="8"/>
      <c r="T104"/>
    </row>
    <row r="105" spans="2:20" ht="23.1" customHeight="1" x14ac:dyDescent="0.25">
      <c r="B105" s="45" t="s">
        <v>145</v>
      </c>
      <c r="C105" s="50">
        <v>11</v>
      </c>
      <c r="D105" s="50">
        <v>0</v>
      </c>
      <c r="E105" s="50">
        <v>1</v>
      </c>
      <c r="F105" s="50">
        <v>9</v>
      </c>
      <c r="G105" s="50">
        <v>0</v>
      </c>
      <c r="H105" s="50">
        <v>0</v>
      </c>
      <c r="I105" s="50">
        <v>3</v>
      </c>
      <c r="J105" s="50">
        <v>0</v>
      </c>
      <c r="K105" s="50">
        <v>0</v>
      </c>
      <c r="L105" s="50">
        <v>0</v>
      </c>
      <c r="M105" s="50">
        <v>5</v>
      </c>
      <c r="N105" s="50">
        <v>0</v>
      </c>
      <c r="O105" s="15">
        <f t="shared" si="35"/>
        <v>24</v>
      </c>
      <c r="P105" s="15">
        <f t="shared" si="36"/>
        <v>29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920</v>
      </c>
      <c r="D106" s="16">
        <f t="shared" ref="D106:P106" si="37">SUM(D10:D105)</f>
        <v>273</v>
      </c>
      <c r="E106" s="16">
        <f t="shared" si="37"/>
        <v>187</v>
      </c>
      <c r="F106" s="16">
        <f t="shared" si="37"/>
        <v>768</v>
      </c>
      <c r="G106" s="16">
        <f t="shared" si="37"/>
        <v>14</v>
      </c>
      <c r="H106" s="16">
        <f t="shared" si="37"/>
        <v>20</v>
      </c>
      <c r="I106" s="16">
        <f t="shared" si="37"/>
        <v>377</v>
      </c>
      <c r="J106" s="16">
        <f t="shared" si="37"/>
        <v>173</v>
      </c>
      <c r="K106" s="16">
        <f t="shared" si="37"/>
        <v>62</v>
      </c>
      <c r="L106" s="16">
        <f t="shared" si="37"/>
        <v>61</v>
      </c>
      <c r="M106" s="16">
        <f t="shared" si="37"/>
        <v>948</v>
      </c>
      <c r="N106" s="16">
        <f t="shared" si="37"/>
        <v>0</v>
      </c>
      <c r="O106" s="16">
        <f t="shared" si="37"/>
        <v>2855</v>
      </c>
      <c r="P106" s="16">
        <f t="shared" si="37"/>
        <v>3803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0.24191427820141992</v>
      </c>
      <c r="D107" s="43">
        <f t="shared" si="38"/>
        <v>7.178543255324743E-2</v>
      </c>
      <c r="E107" s="43">
        <f t="shared" si="38"/>
        <v>4.9171706547462529E-2</v>
      </c>
      <c r="F107" s="43">
        <f t="shared" si="38"/>
        <v>0.20194583223770707</v>
      </c>
      <c r="G107" s="43">
        <f t="shared" si="38"/>
        <v>3.6813042334998686E-3</v>
      </c>
      <c r="H107" s="43">
        <f t="shared" si="38"/>
        <v>5.2590060478569546E-3</v>
      </c>
      <c r="I107" s="43">
        <f t="shared" si="38"/>
        <v>9.9132264002103607E-2</v>
      </c>
      <c r="J107" s="43">
        <f t="shared" si="38"/>
        <v>4.5490402313962661E-2</v>
      </c>
      <c r="K107" s="43">
        <f t="shared" si="38"/>
        <v>1.630291874835656E-2</v>
      </c>
      <c r="L107" s="43">
        <f t="shared" si="38"/>
        <v>1.6039968445963712E-2</v>
      </c>
      <c r="M107" s="43">
        <f t="shared" si="38"/>
        <v>0.24927688666841966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0.32224168126094571</v>
      </c>
      <c r="D108" s="44">
        <f t="shared" ref="D108:N108" si="39">D106/$O$106</f>
        <v>9.5621716287215414E-2</v>
      </c>
      <c r="E108" s="44">
        <f t="shared" si="39"/>
        <v>6.5499124343257442E-2</v>
      </c>
      <c r="F108" s="44">
        <f t="shared" si="39"/>
        <v>0.26900175131348514</v>
      </c>
      <c r="G108" s="44">
        <f t="shared" si="39"/>
        <v>4.9036777583187389E-3</v>
      </c>
      <c r="H108" s="44">
        <f t="shared" si="39"/>
        <v>7.0052539404553416E-3</v>
      </c>
      <c r="I108" s="44">
        <f t="shared" si="39"/>
        <v>0.1320490367775832</v>
      </c>
      <c r="J108" s="44">
        <f t="shared" si="39"/>
        <v>6.0595446584938706E-2</v>
      </c>
      <c r="K108" s="44">
        <f t="shared" si="39"/>
        <v>2.1716287215411557E-2</v>
      </c>
      <c r="L108" s="44">
        <f t="shared" si="39"/>
        <v>2.1366024518388791E-2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249977111117893"/>
  </sheetPr>
  <dimension ref="B1:AF174"/>
  <sheetViews>
    <sheetView view="pageBreakPreview" topLeftCell="A55" zoomScale="60" workbookViewId="0">
      <selection activeCell="V101" sqref="V10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'29.10 Bujuko-Buloba'!C3:G3</f>
        <v>MCC - C2 - STN62 - BUJUKO-BULOBA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'2.11 Bujuko-Buloba-24HR'!D5</f>
        <v>2.11.19</v>
      </c>
      <c r="E5" s="3"/>
      <c r="F5" s="41" t="s">
        <v>1</v>
      </c>
      <c r="G5" s="66" t="str">
        <f>'2.11 Bujuko-Buloba-24HR'!G5:H5</f>
        <v>Buloba Pop Oil</v>
      </c>
      <c r="H5" s="67"/>
      <c r="I5" s="14"/>
      <c r="J5" s="2" t="s">
        <v>5</v>
      </c>
      <c r="K5" s="66" t="s">
        <v>180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'29.10 Buloba-Bujuko'!D6:E6</f>
        <v>Buloba</v>
      </c>
      <c r="E6" s="67"/>
      <c r="F6" s="2" t="s">
        <v>2</v>
      </c>
      <c r="G6" s="66" t="str">
        <f>'29.10 Buloba-Bujuko'!G6:H6</f>
        <v>Bujuko</v>
      </c>
      <c r="H6" s="67"/>
      <c r="J6" s="2" t="s">
        <v>21</v>
      </c>
      <c r="K6" s="66" t="str">
        <f>'2.11 Bujuko-Buloba-24HR'!K6:L6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</v>
      </c>
      <c r="D10" s="50">
        <v>2</v>
      </c>
      <c r="E10" s="50">
        <v>1</v>
      </c>
      <c r="F10" s="50">
        <v>4</v>
      </c>
      <c r="G10" s="50">
        <v>5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73" si="0">SUM(C10:L10,N10)</f>
        <v>15</v>
      </c>
      <c r="P10" s="15">
        <f t="shared" ref="P10:P73" si="1">SUM(C10:N10)</f>
        <v>17</v>
      </c>
      <c r="R10" s="1" t="s">
        <v>6</v>
      </c>
      <c r="S10" s="17">
        <f t="shared" ref="S10:AF10" si="2">SUM(C10:C13)</f>
        <v>27</v>
      </c>
      <c r="T10" s="17">
        <f t="shared" si="2"/>
        <v>19</v>
      </c>
      <c r="U10" s="17">
        <f t="shared" si="2"/>
        <v>21</v>
      </c>
      <c r="V10" s="17">
        <f t="shared" si="2"/>
        <v>38</v>
      </c>
      <c r="W10" s="17">
        <f t="shared" si="2"/>
        <v>5</v>
      </c>
      <c r="X10" s="17">
        <f t="shared" si="2"/>
        <v>0</v>
      </c>
      <c r="Y10" s="17">
        <f t="shared" si="2"/>
        <v>20</v>
      </c>
      <c r="Z10" s="17">
        <f t="shared" si="2"/>
        <v>1</v>
      </c>
      <c r="AA10" s="17">
        <f t="shared" si="2"/>
        <v>2</v>
      </c>
      <c r="AB10" s="17">
        <f t="shared" si="2"/>
        <v>1</v>
      </c>
      <c r="AC10" s="17">
        <f t="shared" si="2"/>
        <v>54</v>
      </c>
      <c r="AD10" s="17">
        <f t="shared" si="2"/>
        <v>0</v>
      </c>
      <c r="AE10" s="31">
        <f t="shared" si="2"/>
        <v>134</v>
      </c>
      <c r="AF10" s="31">
        <f t="shared" si="2"/>
        <v>188</v>
      </c>
    </row>
    <row r="11" spans="2:32" s="6" customFormat="1" ht="23.1" customHeight="1" x14ac:dyDescent="0.25">
      <c r="B11" s="45" t="s">
        <v>38</v>
      </c>
      <c r="C11" s="50">
        <v>6</v>
      </c>
      <c r="D11" s="50">
        <v>7</v>
      </c>
      <c r="E11" s="50">
        <v>2</v>
      </c>
      <c r="F11" s="50">
        <v>6</v>
      </c>
      <c r="G11" s="50">
        <v>0</v>
      </c>
      <c r="H11" s="50">
        <v>0</v>
      </c>
      <c r="I11" s="50">
        <v>11</v>
      </c>
      <c r="J11" s="50">
        <v>1</v>
      </c>
      <c r="K11" s="50">
        <v>0</v>
      </c>
      <c r="L11" s="50">
        <v>0</v>
      </c>
      <c r="M11" s="50">
        <v>10</v>
      </c>
      <c r="N11" s="50">
        <v>0</v>
      </c>
      <c r="O11" s="15">
        <f t="shared" si="0"/>
        <v>33</v>
      </c>
      <c r="P11" s="15">
        <f t="shared" si="1"/>
        <v>43</v>
      </c>
      <c r="R11" s="1" t="s">
        <v>7</v>
      </c>
      <c r="S11" s="17">
        <f t="shared" ref="S11:AF11" si="3">SUM(C14:C17)</f>
        <v>50</v>
      </c>
      <c r="T11" s="17">
        <f t="shared" si="3"/>
        <v>33</v>
      </c>
      <c r="U11" s="17">
        <f t="shared" si="3"/>
        <v>19</v>
      </c>
      <c r="V11" s="17">
        <f t="shared" si="3"/>
        <v>63</v>
      </c>
      <c r="W11" s="17">
        <f t="shared" si="3"/>
        <v>1</v>
      </c>
      <c r="X11" s="17">
        <f t="shared" si="3"/>
        <v>2</v>
      </c>
      <c r="Y11" s="17">
        <f t="shared" si="3"/>
        <v>20</v>
      </c>
      <c r="Z11" s="17">
        <f t="shared" si="3"/>
        <v>4</v>
      </c>
      <c r="AA11" s="17">
        <f t="shared" si="3"/>
        <v>2</v>
      </c>
      <c r="AB11" s="17">
        <f t="shared" si="3"/>
        <v>0</v>
      </c>
      <c r="AC11" s="17">
        <f t="shared" si="3"/>
        <v>92</v>
      </c>
      <c r="AD11" s="17">
        <f t="shared" si="3"/>
        <v>0</v>
      </c>
      <c r="AE11" s="31">
        <f t="shared" si="3"/>
        <v>194</v>
      </c>
      <c r="AF11" s="31">
        <f t="shared" si="3"/>
        <v>286</v>
      </c>
    </row>
    <row r="12" spans="2:32" ht="23.1" customHeight="1" x14ac:dyDescent="0.25">
      <c r="B12" s="45" t="s">
        <v>39</v>
      </c>
      <c r="C12" s="50">
        <v>10</v>
      </c>
      <c r="D12" s="50">
        <v>6</v>
      </c>
      <c r="E12" s="50">
        <v>6</v>
      </c>
      <c r="F12" s="50">
        <v>14</v>
      </c>
      <c r="G12" s="50">
        <v>0</v>
      </c>
      <c r="H12" s="50">
        <v>0</v>
      </c>
      <c r="I12" s="50">
        <v>5</v>
      </c>
      <c r="J12" s="50">
        <v>0</v>
      </c>
      <c r="K12" s="50">
        <v>1</v>
      </c>
      <c r="L12" s="50">
        <v>0</v>
      </c>
      <c r="M12" s="50">
        <v>19</v>
      </c>
      <c r="N12" s="50">
        <v>0</v>
      </c>
      <c r="O12" s="15">
        <f t="shared" si="0"/>
        <v>42</v>
      </c>
      <c r="P12" s="15">
        <f t="shared" si="1"/>
        <v>61</v>
      </c>
      <c r="R12" s="1" t="s">
        <v>8</v>
      </c>
      <c r="S12" s="17">
        <f t="shared" ref="S12:AF12" si="4">SUM(C18:C21)</f>
        <v>61</v>
      </c>
      <c r="T12" s="17">
        <f t="shared" si="4"/>
        <v>35</v>
      </c>
      <c r="U12" s="17">
        <f t="shared" si="4"/>
        <v>28</v>
      </c>
      <c r="V12" s="17">
        <f t="shared" si="4"/>
        <v>79</v>
      </c>
      <c r="W12" s="17">
        <f t="shared" si="4"/>
        <v>2</v>
      </c>
      <c r="X12" s="17">
        <f t="shared" si="4"/>
        <v>2</v>
      </c>
      <c r="Y12" s="17">
        <f t="shared" si="4"/>
        <v>38</v>
      </c>
      <c r="Z12" s="17">
        <f t="shared" si="4"/>
        <v>3</v>
      </c>
      <c r="AA12" s="17">
        <f t="shared" si="4"/>
        <v>8</v>
      </c>
      <c r="AB12" s="17">
        <f t="shared" si="4"/>
        <v>0</v>
      </c>
      <c r="AC12" s="17">
        <f t="shared" si="4"/>
        <v>114</v>
      </c>
      <c r="AD12" s="17">
        <f t="shared" si="4"/>
        <v>0</v>
      </c>
      <c r="AE12" s="31">
        <f t="shared" si="4"/>
        <v>256</v>
      </c>
      <c r="AF12" s="31">
        <f t="shared" si="4"/>
        <v>370</v>
      </c>
    </row>
    <row r="13" spans="2:32" ht="23.1" customHeight="1" x14ac:dyDescent="0.25">
      <c r="B13" s="45" t="s">
        <v>40</v>
      </c>
      <c r="C13" s="50">
        <v>8</v>
      </c>
      <c r="D13" s="50">
        <v>4</v>
      </c>
      <c r="E13" s="50">
        <v>12</v>
      </c>
      <c r="F13" s="50">
        <v>14</v>
      </c>
      <c r="G13" s="50">
        <v>0</v>
      </c>
      <c r="H13" s="50">
        <v>0</v>
      </c>
      <c r="I13" s="50">
        <v>4</v>
      </c>
      <c r="J13" s="50">
        <v>0</v>
      </c>
      <c r="K13" s="50">
        <v>1</v>
      </c>
      <c r="L13" s="50">
        <v>1</v>
      </c>
      <c r="M13" s="50">
        <v>23</v>
      </c>
      <c r="N13" s="50">
        <v>0</v>
      </c>
      <c r="O13" s="15">
        <f t="shared" si="0"/>
        <v>44</v>
      </c>
      <c r="P13" s="15">
        <f t="shared" si="1"/>
        <v>67</v>
      </c>
      <c r="R13" s="1" t="s">
        <v>9</v>
      </c>
      <c r="S13" s="17">
        <f t="shared" ref="S13:AF13" si="5">SUM(C22:C25)</f>
        <v>95</v>
      </c>
      <c r="T13" s="17">
        <f t="shared" si="5"/>
        <v>52</v>
      </c>
      <c r="U13" s="17">
        <f t="shared" si="5"/>
        <v>28</v>
      </c>
      <c r="V13" s="17">
        <f t="shared" si="5"/>
        <v>96</v>
      </c>
      <c r="W13" s="17">
        <f t="shared" si="5"/>
        <v>3</v>
      </c>
      <c r="X13" s="17">
        <f t="shared" si="5"/>
        <v>1</v>
      </c>
      <c r="Y13" s="17">
        <f t="shared" si="5"/>
        <v>44</v>
      </c>
      <c r="Z13" s="17">
        <f t="shared" si="5"/>
        <v>9</v>
      </c>
      <c r="AA13" s="17">
        <f t="shared" si="5"/>
        <v>3</v>
      </c>
      <c r="AB13" s="17">
        <f t="shared" si="5"/>
        <v>0</v>
      </c>
      <c r="AC13" s="17">
        <f t="shared" si="5"/>
        <v>102</v>
      </c>
      <c r="AD13" s="17">
        <f t="shared" si="5"/>
        <v>0</v>
      </c>
      <c r="AE13" s="31">
        <f t="shared" si="5"/>
        <v>331</v>
      </c>
      <c r="AF13" s="31">
        <f t="shared" si="5"/>
        <v>433</v>
      </c>
    </row>
    <row r="14" spans="2:32" ht="23.1" customHeight="1" x14ac:dyDescent="0.25">
      <c r="B14" s="45" t="s">
        <v>41</v>
      </c>
      <c r="C14" s="50">
        <v>15</v>
      </c>
      <c r="D14" s="50">
        <v>6</v>
      </c>
      <c r="E14" s="50">
        <v>6</v>
      </c>
      <c r="F14" s="50">
        <v>14</v>
      </c>
      <c r="G14" s="50">
        <v>1</v>
      </c>
      <c r="H14" s="50">
        <v>1</v>
      </c>
      <c r="I14" s="50">
        <v>7</v>
      </c>
      <c r="J14" s="50">
        <v>2</v>
      </c>
      <c r="K14" s="50">
        <v>0</v>
      </c>
      <c r="L14" s="50">
        <v>0</v>
      </c>
      <c r="M14" s="50">
        <v>26</v>
      </c>
      <c r="N14" s="50">
        <v>0</v>
      </c>
      <c r="O14" s="15">
        <f t="shared" si="0"/>
        <v>52</v>
      </c>
      <c r="P14" s="15">
        <f t="shared" si="1"/>
        <v>78</v>
      </c>
      <c r="R14" s="1" t="s">
        <v>10</v>
      </c>
      <c r="S14" s="17">
        <f t="shared" ref="S14:AF14" si="6">SUM(C26:C29)</f>
        <v>80</v>
      </c>
      <c r="T14" s="17">
        <f t="shared" si="6"/>
        <v>38</v>
      </c>
      <c r="U14" s="17">
        <f t="shared" si="6"/>
        <v>21</v>
      </c>
      <c r="V14" s="17">
        <f t="shared" si="6"/>
        <v>77</v>
      </c>
      <c r="W14" s="17">
        <f t="shared" si="6"/>
        <v>0</v>
      </c>
      <c r="X14" s="17">
        <f t="shared" si="6"/>
        <v>3</v>
      </c>
      <c r="Y14" s="17">
        <f t="shared" si="6"/>
        <v>28</v>
      </c>
      <c r="Z14" s="17">
        <f t="shared" si="6"/>
        <v>5</v>
      </c>
      <c r="AA14" s="17">
        <f t="shared" si="6"/>
        <v>4</v>
      </c>
      <c r="AB14" s="17">
        <f t="shared" si="6"/>
        <v>0</v>
      </c>
      <c r="AC14" s="17">
        <f t="shared" si="6"/>
        <v>73</v>
      </c>
      <c r="AD14" s="17">
        <f t="shared" si="6"/>
        <v>0</v>
      </c>
      <c r="AE14" s="31">
        <f t="shared" si="6"/>
        <v>256</v>
      </c>
      <c r="AF14" s="31">
        <f t="shared" si="6"/>
        <v>329</v>
      </c>
    </row>
    <row r="15" spans="2:32" ht="23.1" customHeight="1" x14ac:dyDescent="0.25">
      <c r="B15" s="45" t="s">
        <v>42</v>
      </c>
      <c r="C15" s="50">
        <v>12</v>
      </c>
      <c r="D15" s="50">
        <v>16</v>
      </c>
      <c r="E15" s="50">
        <v>3</v>
      </c>
      <c r="F15" s="50">
        <v>22</v>
      </c>
      <c r="G15" s="50">
        <v>0</v>
      </c>
      <c r="H15" s="50">
        <v>1</v>
      </c>
      <c r="I15" s="50">
        <v>5</v>
      </c>
      <c r="J15" s="50">
        <v>1</v>
      </c>
      <c r="K15" s="50">
        <v>1</v>
      </c>
      <c r="L15" s="50">
        <v>0</v>
      </c>
      <c r="M15" s="50">
        <v>18</v>
      </c>
      <c r="N15" s="50">
        <v>0</v>
      </c>
      <c r="O15" s="15">
        <f t="shared" si="0"/>
        <v>61</v>
      </c>
      <c r="P15" s="15">
        <f t="shared" si="1"/>
        <v>79</v>
      </c>
      <c r="R15" s="1" t="s">
        <v>11</v>
      </c>
      <c r="S15" s="17">
        <f t="shared" ref="S15:AF15" si="7">SUM(C30:C33)</f>
        <v>70</v>
      </c>
      <c r="T15" s="17">
        <f t="shared" si="7"/>
        <v>52</v>
      </c>
      <c r="U15" s="17">
        <f t="shared" si="7"/>
        <v>31</v>
      </c>
      <c r="V15" s="17">
        <f t="shared" si="7"/>
        <v>80</v>
      </c>
      <c r="W15" s="17">
        <f t="shared" si="7"/>
        <v>3</v>
      </c>
      <c r="X15" s="17">
        <f t="shared" si="7"/>
        <v>1</v>
      </c>
      <c r="Y15" s="17">
        <f t="shared" si="7"/>
        <v>47</v>
      </c>
      <c r="Z15" s="17">
        <f t="shared" si="7"/>
        <v>3</v>
      </c>
      <c r="AA15" s="17">
        <f t="shared" si="7"/>
        <v>2</v>
      </c>
      <c r="AB15" s="17">
        <f t="shared" si="7"/>
        <v>0</v>
      </c>
      <c r="AC15" s="17">
        <f t="shared" si="7"/>
        <v>88</v>
      </c>
      <c r="AD15" s="17">
        <f t="shared" si="7"/>
        <v>0</v>
      </c>
      <c r="AE15" s="31">
        <f t="shared" si="7"/>
        <v>289</v>
      </c>
      <c r="AF15" s="31">
        <f t="shared" si="7"/>
        <v>377</v>
      </c>
    </row>
    <row r="16" spans="2:32" ht="23.1" customHeight="1" x14ac:dyDescent="0.25">
      <c r="B16" s="45" t="s">
        <v>43</v>
      </c>
      <c r="C16" s="50">
        <v>13</v>
      </c>
      <c r="D16" s="50">
        <v>4</v>
      </c>
      <c r="E16" s="50">
        <v>6</v>
      </c>
      <c r="F16" s="50">
        <v>14</v>
      </c>
      <c r="G16" s="50">
        <v>0</v>
      </c>
      <c r="H16" s="50">
        <v>0</v>
      </c>
      <c r="I16" s="50">
        <v>4</v>
      </c>
      <c r="J16" s="50">
        <v>0</v>
      </c>
      <c r="K16" s="50">
        <v>1</v>
      </c>
      <c r="L16" s="50">
        <v>0</v>
      </c>
      <c r="M16" s="50">
        <v>18</v>
      </c>
      <c r="N16" s="50">
        <v>0</v>
      </c>
      <c r="O16" s="15">
        <f t="shared" si="0"/>
        <v>42</v>
      </c>
      <c r="P16" s="15">
        <f t="shared" si="1"/>
        <v>60</v>
      </c>
      <c r="R16" s="1" t="s">
        <v>12</v>
      </c>
      <c r="S16" s="17">
        <f t="shared" ref="S16:AF16" si="8">SUM(C34:C37)</f>
        <v>51</v>
      </c>
      <c r="T16" s="17">
        <f t="shared" si="8"/>
        <v>49</v>
      </c>
      <c r="U16" s="17">
        <f t="shared" si="8"/>
        <v>25</v>
      </c>
      <c r="V16" s="17">
        <f t="shared" si="8"/>
        <v>71</v>
      </c>
      <c r="W16" s="17">
        <f t="shared" si="8"/>
        <v>3</v>
      </c>
      <c r="X16" s="17">
        <f t="shared" si="8"/>
        <v>2</v>
      </c>
      <c r="Y16" s="17">
        <f t="shared" si="8"/>
        <v>24</v>
      </c>
      <c r="Z16" s="17">
        <f t="shared" si="8"/>
        <v>0</v>
      </c>
      <c r="AA16" s="17">
        <f t="shared" si="8"/>
        <v>4</v>
      </c>
      <c r="AB16" s="17">
        <f t="shared" si="8"/>
        <v>5</v>
      </c>
      <c r="AC16" s="17">
        <f t="shared" si="8"/>
        <v>96</v>
      </c>
      <c r="AD16" s="17">
        <f t="shared" si="8"/>
        <v>0</v>
      </c>
      <c r="AE16" s="31">
        <f t="shared" si="8"/>
        <v>234</v>
      </c>
      <c r="AF16" s="31">
        <f t="shared" si="8"/>
        <v>330</v>
      </c>
    </row>
    <row r="17" spans="2:32" ht="23.1" customHeight="1" x14ac:dyDescent="0.25">
      <c r="B17" s="45" t="s">
        <v>44</v>
      </c>
      <c r="C17" s="50">
        <v>10</v>
      </c>
      <c r="D17" s="50">
        <v>7</v>
      </c>
      <c r="E17" s="50">
        <v>4</v>
      </c>
      <c r="F17" s="50">
        <v>13</v>
      </c>
      <c r="G17" s="50">
        <v>0</v>
      </c>
      <c r="H17" s="50">
        <v>0</v>
      </c>
      <c r="I17" s="50">
        <v>4</v>
      </c>
      <c r="J17" s="50">
        <v>1</v>
      </c>
      <c r="K17" s="50">
        <v>0</v>
      </c>
      <c r="L17" s="50">
        <v>0</v>
      </c>
      <c r="M17" s="50">
        <v>30</v>
      </c>
      <c r="N17" s="50">
        <v>0</v>
      </c>
      <c r="O17" s="15">
        <f t="shared" si="0"/>
        <v>39</v>
      </c>
      <c r="P17" s="15">
        <f t="shared" si="1"/>
        <v>69</v>
      </c>
      <c r="R17" s="1" t="s">
        <v>13</v>
      </c>
      <c r="S17" s="17">
        <f t="shared" ref="S17:AF17" si="9">SUM(C38:C41)</f>
        <v>75</v>
      </c>
      <c r="T17" s="17">
        <f t="shared" si="9"/>
        <v>62</v>
      </c>
      <c r="U17" s="17">
        <f t="shared" si="9"/>
        <v>55</v>
      </c>
      <c r="V17" s="17">
        <f t="shared" si="9"/>
        <v>100</v>
      </c>
      <c r="W17" s="17">
        <f t="shared" si="9"/>
        <v>2</v>
      </c>
      <c r="X17" s="17">
        <f t="shared" si="9"/>
        <v>1</v>
      </c>
      <c r="Y17" s="17">
        <f t="shared" si="9"/>
        <v>46</v>
      </c>
      <c r="Z17" s="17">
        <f t="shared" si="9"/>
        <v>6</v>
      </c>
      <c r="AA17" s="17">
        <f t="shared" si="9"/>
        <v>6</v>
      </c>
      <c r="AB17" s="17">
        <f t="shared" si="9"/>
        <v>2</v>
      </c>
      <c r="AC17" s="17">
        <f t="shared" si="9"/>
        <v>94</v>
      </c>
      <c r="AD17" s="17">
        <f t="shared" si="9"/>
        <v>0</v>
      </c>
      <c r="AE17" s="31">
        <f t="shared" si="9"/>
        <v>355</v>
      </c>
      <c r="AF17" s="31">
        <f t="shared" si="9"/>
        <v>449</v>
      </c>
    </row>
    <row r="18" spans="2:32" ht="23.1" customHeight="1" x14ac:dyDescent="0.25">
      <c r="B18" s="45" t="s">
        <v>45</v>
      </c>
      <c r="C18" s="50">
        <v>18</v>
      </c>
      <c r="D18" s="50">
        <v>6</v>
      </c>
      <c r="E18" s="50">
        <v>6</v>
      </c>
      <c r="F18" s="50">
        <v>19</v>
      </c>
      <c r="G18" s="50">
        <v>1</v>
      </c>
      <c r="H18" s="50">
        <v>1</v>
      </c>
      <c r="I18" s="50">
        <v>12</v>
      </c>
      <c r="J18" s="50">
        <v>0</v>
      </c>
      <c r="K18" s="50">
        <v>1</v>
      </c>
      <c r="L18" s="50">
        <v>0</v>
      </c>
      <c r="M18" s="50">
        <v>37</v>
      </c>
      <c r="N18" s="50">
        <v>0</v>
      </c>
      <c r="O18" s="15">
        <f t="shared" si="0"/>
        <v>64</v>
      </c>
      <c r="P18" s="15">
        <f t="shared" si="1"/>
        <v>101</v>
      </c>
      <c r="R18" s="1" t="s">
        <v>14</v>
      </c>
      <c r="S18" s="17">
        <f t="shared" ref="S18:AF18" si="10">SUM(C42:C45)</f>
        <v>84</v>
      </c>
      <c r="T18" s="17">
        <f t="shared" si="10"/>
        <v>38</v>
      </c>
      <c r="U18" s="17">
        <f t="shared" si="10"/>
        <v>28</v>
      </c>
      <c r="V18" s="17">
        <f t="shared" si="10"/>
        <v>68</v>
      </c>
      <c r="W18" s="17">
        <f t="shared" si="10"/>
        <v>2</v>
      </c>
      <c r="X18" s="17">
        <f t="shared" si="10"/>
        <v>2</v>
      </c>
      <c r="Y18" s="17">
        <f t="shared" si="10"/>
        <v>38</v>
      </c>
      <c r="Z18" s="17">
        <f t="shared" si="10"/>
        <v>7</v>
      </c>
      <c r="AA18" s="17">
        <f t="shared" si="10"/>
        <v>8</v>
      </c>
      <c r="AB18" s="17">
        <f t="shared" si="10"/>
        <v>2</v>
      </c>
      <c r="AC18" s="17">
        <f t="shared" si="10"/>
        <v>65</v>
      </c>
      <c r="AD18" s="17">
        <f t="shared" si="10"/>
        <v>0</v>
      </c>
      <c r="AE18" s="31">
        <f t="shared" si="10"/>
        <v>277</v>
      </c>
      <c r="AF18" s="31">
        <f t="shared" si="10"/>
        <v>342</v>
      </c>
    </row>
    <row r="19" spans="2:32" ht="23.1" customHeight="1" x14ac:dyDescent="0.25">
      <c r="B19" s="45" t="s">
        <v>46</v>
      </c>
      <c r="C19" s="50">
        <v>12</v>
      </c>
      <c r="D19" s="50">
        <v>12</v>
      </c>
      <c r="E19" s="50">
        <v>8</v>
      </c>
      <c r="F19" s="50">
        <v>20</v>
      </c>
      <c r="G19" s="50">
        <v>0</v>
      </c>
      <c r="H19" s="50">
        <v>1</v>
      </c>
      <c r="I19" s="50">
        <v>7</v>
      </c>
      <c r="J19" s="50">
        <v>0</v>
      </c>
      <c r="K19" s="50">
        <v>5</v>
      </c>
      <c r="L19" s="50">
        <v>0</v>
      </c>
      <c r="M19" s="50">
        <v>23</v>
      </c>
      <c r="N19" s="50">
        <v>0</v>
      </c>
      <c r="O19" s="15">
        <f t="shared" si="0"/>
        <v>65</v>
      </c>
      <c r="P19" s="15">
        <f t="shared" si="1"/>
        <v>88</v>
      </c>
      <c r="R19" s="1" t="s">
        <v>15</v>
      </c>
      <c r="S19" s="17">
        <f t="shared" ref="S19:AF19" si="11">SUM(C46:C49)</f>
        <v>49</v>
      </c>
      <c r="T19" s="17">
        <f t="shared" si="11"/>
        <v>59</v>
      </c>
      <c r="U19" s="17">
        <f t="shared" si="11"/>
        <v>22</v>
      </c>
      <c r="V19" s="17">
        <f t="shared" si="11"/>
        <v>62</v>
      </c>
      <c r="W19" s="17">
        <f t="shared" si="11"/>
        <v>2</v>
      </c>
      <c r="X19" s="17">
        <f t="shared" si="11"/>
        <v>2</v>
      </c>
      <c r="Y19" s="17">
        <f t="shared" si="11"/>
        <v>32</v>
      </c>
      <c r="Z19" s="17">
        <f t="shared" si="11"/>
        <v>4</v>
      </c>
      <c r="AA19" s="17">
        <f t="shared" si="11"/>
        <v>3</v>
      </c>
      <c r="AB19" s="17">
        <f t="shared" si="11"/>
        <v>1</v>
      </c>
      <c r="AC19" s="17">
        <f t="shared" si="11"/>
        <v>67</v>
      </c>
      <c r="AD19" s="17">
        <f t="shared" si="11"/>
        <v>1</v>
      </c>
      <c r="AE19" s="31">
        <f t="shared" si="11"/>
        <v>237</v>
      </c>
      <c r="AF19" s="31">
        <f t="shared" si="11"/>
        <v>304</v>
      </c>
    </row>
    <row r="20" spans="2:32" ht="23.1" customHeight="1" x14ac:dyDescent="0.25">
      <c r="B20" s="45" t="s">
        <v>47</v>
      </c>
      <c r="C20" s="50">
        <v>17</v>
      </c>
      <c r="D20" s="50">
        <v>5</v>
      </c>
      <c r="E20" s="50">
        <v>8</v>
      </c>
      <c r="F20" s="50">
        <v>16</v>
      </c>
      <c r="G20" s="50">
        <v>0</v>
      </c>
      <c r="H20" s="50">
        <v>0</v>
      </c>
      <c r="I20" s="50">
        <v>14</v>
      </c>
      <c r="J20" s="50">
        <v>3</v>
      </c>
      <c r="K20" s="50">
        <v>1</v>
      </c>
      <c r="L20" s="50">
        <v>0</v>
      </c>
      <c r="M20" s="50">
        <v>20</v>
      </c>
      <c r="N20" s="50">
        <v>0</v>
      </c>
      <c r="O20" s="15">
        <f t="shared" si="0"/>
        <v>64</v>
      </c>
      <c r="P20" s="15">
        <f t="shared" si="1"/>
        <v>84</v>
      </c>
      <c r="R20" s="1" t="s">
        <v>16</v>
      </c>
      <c r="S20" s="17">
        <f t="shared" ref="S20:AF20" si="12">SUM(C50:C53)</f>
        <v>75</v>
      </c>
      <c r="T20" s="17">
        <f t="shared" si="12"/>
        <v>64</v>
      </c>
      <c r="U20" s="17">
        <f t="shared" si="12"/>
        <v>59</v>
      </c>
      <c r="V20" s="17">
        <f t="shared" si="12"/>
        <v>85</v>
      </c>
      <c r="W20" s="17">
        <f t="shared" si="12"/>
        <v>1</v>
      </c>
      <c r="X20" s="17">
        <f t="shared" si="12"/>
        <v>1</v>
      </c>
      <c r="Y20" s="17">
        <f t="shared" si="12"/>
        <v>35</v>
      </c>
      <c r="Z20" s="17">
        <f t="shared" si="12"/>
        <v>2</v>
      </c>
      <c r="AA20" s="17">
        <f t="shared" si="12"/>
        <v>5</v>
      </c>
      <c r="AB20" s="17">
        <f t="shared" si="12"/>
        <v>2</v>
      </c>
      <c r="AC20" s="17">
        <f t="shared" si="12"/>
        <v>83</v>
      </c>
      <c r="AD20" s="17">
        <f t="shared" si="12"/>
        <v>0</v>
      </c>
      <c r="AE20" s="31">
        <f t="shared" si="12"/>
        <v>329</v>
      </c>
      <c r="AF20" s="31">
        <f t="shared" si="12"/>
        <v>412</v>
      </c>
    </row>
    <row r="21" spans="2:32" ht="23.1" customHeight="1" x14ac:dyDescent="0.25">
      <c r="B21" s="45" t="s">
        <v>48</v>
      </c>
      <c r="C21" s="50">
        <v>14</v>
      </c>
      <c r="D21" s="50">
        <v>12</v>
      </c>
      <c r="E21" s="50">
        <v>6</v>
      </c>
      <c r="F21" s="50">
        <v>24</v>
      </c>
      <c r="G21" s="50">
        <v>1</v>
      </c>
      <c r="H21" s="50">
        <v>0</v>
      </c>
      <c r="I21" s="50">
        <v>5</v>
      </c>
      <c r="J21" s="50">
        <v>0</v>
      </c>
      <c r="K21" s="50">
        <v>1</v>
      </c>
      <c r="L21" s="50">
        <v>0</v>
      </c>
      <c r="M21" s="50">
        <v>34</v>
      </c>
      <c r="N21" s="50">
        <v>0</v>
      </c>
      <c r="O21" s="15">
        <f t="shared" si="0"/>
        <v>63</v>
      </c>
      <c r="P21" s="15">
        <f t="shared" si="1"/>
        <v>97</v>
      </c>
      <c r="R21" s="36" t="s">
        <v>20</v>
      </c>
      <c r="S21" s="34">
        <f t="shared" ref="S21:AF21" si="13">SUM(C54:C57)</f>
        <v>84</v>
      </c>
      <c r="T21" s="17">
        <f t="shared" si="13"/>
        <v>56</v>
      </c>
      <c r="U21" s="17">
        <f t="shared" si="13"/>
        <v>47</v>
      </c>
      <c r="V21" s="17">
        <f t="shared" si="13"/>
        <v>62</v>
      </c>
      <c r="W21" s="17">
        <f t="shared" si="13"/>
        <v>2</v>
      </c>
      <c r="X21" s="17">
        <f t="shared" si="13"/>
        <v>2</v>
      </c>
      <c r="Y21" s="17">
        <f t="shared" si="13"/>
        <v>45</v>
      </c>
      <c r="Z21" s="17">
        <f t="shared" si="13"/>
        <v>5</v>
      </c>
      <c r="AA21" s="17">
        <f t="shared" si="13"/>
        <v>2</v>
      </c>
      <c r="AB21" s="17">
        <f t="shared" si="13"/>
        <v>0</v>
      </c>
      <c r="AC21" s="17">
        <f t="shared" si="13"/>
        <v>76</v>
      </c>
      <c r="AD21" s="17">
        <f t="shared" si="13"/>
        <v>0</v>
      </c>
      <c r="AE21" s="31">
        <f t="shared" si="13"/>
        <v>305</v>
      </c>
      <c r="AF21" s="31">
        <f t="shared" si="13"/>
        <v>381</v>
      </c>
    </row>
    <row r="22" spans="2:32" ht="23.1" customHeight="1" x14ac:dyDescent="0.25">
      <c r="B22" s="45" t="s">
        <v>49</v>
      </c>
      <c r="C22" s="50">
        <v>19</v>
      </c>
      <c r="D22" s="50">
        <v>12</v>
      </c>
      <c r="E22" s="50">
        <v>8</v>
      </c>
      <c r="F22" s="50">
        <v>20</v>
      </c>
      <c r="G22" s="50">
        <v>0</v>
      </c>
      <c r="H22" s="50">
        <v>0</v>
      </c>
      <c r="I22" s="50">
        <v>7</v>
      </c>
      <c r="J22" s="50">
        <v>2</v>
      </c>
      <c r="K22" s="50">
        <v>1</v>
      </c>
      <c r="L22" s="50">
        <v>0</v>
      </c>
      <c r="M22" s="50">
        <v>25</v>
      </c>
      <c r="N22" s="50">
        <v>0</v>
      </c>
      <c r="O22" s="15">
        <f t="shared" si="0"/>
        <v>69</v>
      </c>
      <c r="P22" s="15">
        <f t="shared" si="1"/>
        <v>94</v>
      </c>
      <c r="R22" s="36" t="s">
        <v>146</v>
      </c>
      <c r="S22" s="34">
        <f>SUM(C58:C61)</f>
        <v>48</v>
      </c>
      <c r="T22" s="34">
        <f t="shared" ref="T22:AF22" si="14">SUM(D58:D61)</f>
        <v>13</v>
      </c>
      <c r="U22" s="34">
        <f t="shared" si="14"/>
        <v>10</v>
      </c>
      <c r="V22" s="34">
        <f t="shared" si="14"/>
        <v>47</v>
      </c>
      <c r="W22" s="34">
        <f t="shared" si="14"/>
        <v>0</v>
      </c>
      <c r="X22" s="34">
        <f t="shared" si="14"/>
        <v>2</v>
      </c>
      <c r="Y22" s="34">
        <f t="shared" si="14"/>
        <v>20</v>
      </c>
      <c r="Z22" s="34">
        <f t="shared" si="14"/>
        <v>13</v>
      </c>
      <c r="AA22" s="34">
        <f t="shared" si="14"/>
        <v>0</v>
      </c>
      <c r="AB22" s="34">
        <f t="shared" si="14"/>
        <v>5</v>
      </c>
      <c r="AC22" s="34">
        <f t="shared" si="14"/>
        <v>72</v>
      </c>
      <c r="AD22" s="34">
        <f t="shared" si="14"/>
        <v>0</v>
      </c>
      <c r="AE22" s="31">
        <f t="shared" si="14"/>
        <v>158</v>
      </c>
      <c r="AF22" s="31">
        <f t="shared" si="14"/>
        <v>230</v>
      </c>
    </row>
    <row r="23" spans="2:32" ht="23.1" customHeight="1" x14ac:dyDescent="0.25">
      <c r="B23" s="45" t="s">
        <v>50</v>
      </c>
      <c r="C23" s="50">
        <v>23</v>
      </c>
      <c r="D23" s="50">
        <v>10</v>
      </c>
      <c r="E23" s="50">
        <v>8</v>
      </c>
      <c r="F23" s="50">
        <v>27</v>
      </c>
      <c r="G23" s="50">
        <v>0</v>
      </c>
      <c r="H23" s="50">
        <v>0</v>
      </c>
      <c r="I23" s="50">
        <v>9</v>
      </c>
      <c r="J23" s="50">
        <v>1</v>
      </c>
      <c r="K23" s="50">
        <v>1</v>
      </c>
      <c r="L23" s="50">
        <v>0</v>
      </c>
      <c r="M23" s="50">
        <v>19</v>
      </c>
      <c r="N23" s="50">
        <v>0</v>
      </c>
      <c r="O23" s="15">
        <f t="shared" si="0"/>
        <v>79</v>
      </c>
      <c r="P23" s="15">
        <f t="shared" si="1"/>
        <v>98</v>
      </c>
      <c r="R23" s="36" t="s">
        <v>147</v>
      </c>
      <c r="S23" s="34">
        <f>SUM(C62:C65)</f>
        <v>22</v>
      </c>
      <c r="T23" s="34">
        <f t="shared" ref="T23:AF23" si="15">SUM(D62:D65)</f>
        <v>4</v>
      </c>
      <c r="U23" s="34">
        <f t="shared" si="15"/>
        <v>4</v>
      </c>
      <c r="V23" s="34">
        <f t="shared" si="15"/>
        <v>29</v>
      </c>
      <c r="W23" s="34">
        <f t="shared" si="15"/>
        <v>0</v>
      </c>
      <c r="X23" s="34">
        <f t="shared" si="15"/>
        <v>0</v>
      </c>
      <c r="Y23" s="34">
        <f t="shared" si="15"/>
        <v>6</v>
      </c>
      <c r="Z23" s="34">
        <f t="shared" si="15"/>
        <v>3</v>
      </c>
      <c r="AA23" s="34">
        <f t="shared" si="15"/>
        <v>9</v>
      </c>
      <c r="AB23" s="34">
        <f t="shared" si="15"/>
        <v>1</v>
      </c>
      <c r="AC23" s="34">
        <f t="shared" si="15"/>
        <v>37</v>
      </c>
      <c r="AD23" s="34">
        <f t="shared" si="15"/>
        <v>0</v>
      </c>
      <c r="AE23" s="31">
        <f t="shared" si="15"/>
        <v>78</v>
      </c>
      <c r="AF23" s="31">
        <f t="shared" si="15"/>
        <v>115</v>
      </c>
    </row>
    <row r="24" spans="2:32" ht="23.1" customHeight="1" x14ac:dyDescent="0.25">
      <c r="B24" s="45" t="s">
        <v>51</v>
      </c>
      <c r="C24" s="50">
        <v>24</v>
      </c>
      <c r="D24" s="50">
        <v>18</v>
      </c>
      <c r="E24" s="50">
        <v>7</v>
      </c>
      <c r="F24" s="50">
        <v>29</v>
      </c>
      <c r="G24" s="50">
        <v>0</v>
      </c>
      <c r="H24" s="50">
        <v>0</v>
      </c>
      <c r="I24" s="50">
        <v>13</v>
      </c>
      <c r="J24" s="50">
        <v>4</v>
      </c>
      <c r="K24" s="50">
        <v>0</v>
      </c>
      <c r="L24" s="50">
        <v>0</v>
      </c>
      <c r="M24" s="50">
        <v>34</v>
      </c>
      <c r="N24" s="50">
        <v>0</v>
      </c>
      <c r="O24" s="15">
        <f t="shared" si="0"/>
        <v>95</v>
      </c>
      <c r="P24" s="15">
        <f t="shared" si="1"/>
        <v>129</v>
      </c>
      <c r="R24" s="36" t="s">
        <v>148</v>
      </c>
      <c r="S24" s="34">
        <f>SUM(C66:C69)</f>
        <v>21</v>
      </c>
      <c r="T24" s="34">
        <f t="shared" ref="T24:AF24" si="16">SUM(D66:D69)</f>
        <v>7</v>
      </c>
      <c r="U24" s="34">
        <f t="shared" si="16"/>
        <v>0</v>
      </c>
      <c r="V24" s="34">
        <f t="shared" si="16"/>
        <v>33</v>
      </c>
      <c r="W24" s="34">
        <f t="shared" si="16"/>
        <v>0</v>
      </c>
      <c r="X24" s="34">
        <f t="shared" si="16"/>
        <v>1</v>
      </c>
      <c r="Y24" s="34">
        <f t="shared" si="16"/>
        <v>12</v>
      </c>
      <c r="Z24" s="34">
        <f t="shared" si="16"/>
        <v>7</v>
      </c>
      <c r="AA24" s="34">
        <f t="shared" si="16"/>
        <v>8</v>
      </c>
      <c r="AB24" s="34">
        <f t="shared" si="16"/>
        <v>10</v>
      </c>
      <c r="AC24" s="34">
        <f t="shared" si="16"/>
        <v>26</v>
      </c>
      <c r="AD24" s="34">
        <f t="shared" si="16"/>
        <v>0</v>
      </c>
      <c r="AE24" s="31">
        <f t="shared" si="16"/>
        <v>99</v>
      </c>
      <c r="AF24" s="31">
        <f t="shared" si="16"/>
        <v>125</v>
      </c>
    </row>
    <row r="25" spans="2:32" ht="23.1" customHeight="1" x14ac:dyDescent="0.25">
      <c r="B25" s="45" t="s">
        <v>52</v>
      </c>
      <c r="C25" s="50">
        <v>29</v>
      </c>
      <c r="D25" s="50">
        <v>12</v>
      </c>
      <c r="E25" s="50">
        <v>5</v>
      </c>
      <c r="F25" s="50">
        <v>20</v>
      </c>
      <c r="G25" s="50">
        <v>3</v>
      </c>
      <c r="H25" s="50">
        <v>1</v>
      </c>
      <c r="I25" s="50">
        <v>15</v>
      </c>
      <c r="J25" s="50">
        <v>2</v>
      </c>
      <c r="K25" s="50">
        <v>1</v>
      </c>
      <c r="L25" s="50">
        <v>0</v>
      </c>
      <c r="M25" s="50">
        <v>24</v>
      </c>
      <c r="N25" s="50">
        <v>0</v>
      </c>
      <c r="O25" s="15">
        <f t="shared" si="0"/>
        <v>88</v>
      </c>
      <c r="P25" s="15">
        <f t="shared" si="1"/>
        <v>112</v>
      </c>
      <c r="R25" s="36" t="s">
        <v>149</v>
      </c>
      <c r="S25" s="34">
        <f>SUM(C70:C73)</f>
        <v>44</v>
      </c>
      <c r="T25" s="34">
        <f t="shared" ref="T25:AF25" si="17">SUM(D70:D73)</f>
        <v>7</v>
      </c>
      <c r="U25" s="34">
        <f t="shared" si="17"/>
        <v>5</v>
      </c>
      <c r="V25" s="34">
        <f t="shared" si="17"/>
        <v>32</v>
      </c>
      <c r="W25" s="34">
        <f t="shared" si="17"/>
        <v>0</v>
      </c>
      <c r="X25" s="34">
        <f t="shared" si="17"/>
        <v>1</v>
      </c>
      <c r="Y25" s="34">
        <f t="shared" si="17"/>
        <v>14</v>
      </c>
      <c r="Z25" s="34">
        <f t="shared" si="17"/>
        <v>7</v>
      </c>
      <c r="AA25" s="34">
        <f t="shared" si="17"/>
        <v>1</v>
      </c>
      <c r="AB25" s="34">
        <f t="shared" si="17"/>
        <v>4</v>
      </c>
      <c r="AC25" s="34">
        <f t="shared" si="17"/>
        <v>37</v>
      </c>
      <c r="AD25" s="34">
        <f t="shared" si="17"/>
        <v>0</v>
      </c>
      <c r="AE25" s="31">
        <f t="shared" si="17"/>
        <v>115</v>
      </c>
      <c r="AF25" s="31">
        <f t="shared" si="17"/>
        <v>152</v>
      </c>
    </row>
    <row r="26" spans="2:32" ht="23.1" customHeight="1" x14ac:dyDescent="0.25">
      <c r="B26" s="45" t="s">
        <v>53</v>
      </c>
      <c r="C26" s="50">
        <v>11</v>
      </c>
      <c r="D26" s="50">
        <v>8</v>
      </c>
      <c r="E26" s="50">
        <v>1</v>
      </c>
      <c r="F26" s="50">
        <v>16</v>
      </c>
      <c r="G26" s="50">
        <v>0</v>
      </c>
      <c r="H26" s="50">
        <v>1</v>
      </c>
      <c r="I26" s="50">
        <v>8</v>
      </c>
      <c r="J26" s="50">
        <v>3</v>
      </c>
      <c r="K26" s="50">
        <v>2</v>
      </c>
      <c r="L26" s="50">
        <v>0</v>
      </c>
      <c r="M26" s="50">
        <v>14</v>
      </c>
      <c r="N26" s="50">
        <v>0</v>
      </c>
      <c r="O26" s="15">
        <f t="shared" si="0"/>
        <v>50</v>
      </c>
      <c r="P26" s="15">
        <f t="shared" si="1"/>
        <v>64</v>
      </c>
      <c r="R26" s="36" t="s">
        <v>150</v>
      </c>
      <c r="S26" s="34">
        <f>SUM(C74:C77)</f>
        <v>59</v>
      </c>
      <c r="T26" s="34">
        <f t="shared" ref="T26:AF26" si="18">SUM(D74:D77)</f>
        <v>3</v>
      </c>
      <c r="U26" s="34">
        <f t="shared" si="18"/>
        <v>6</v>
      </c>
      <c r="V26" s="34">
        <f t="shared" si="18"/>
        <v>22</v>
      </c>
      <c r="W26" s="34">
        <f t="shared" si="18"/>
        <v>0</v>
      </c>
      <c r="X26" s="34">
        <f t="shared" si="18"/>
        <v>1</v>
      </c>
      <c r="Y26" s="34">
        <f t="shared" si="18"/>
        <v>10</v>
      </c>
      <c r="Z26" s="34">
        <f t="shared" si="18"/>
        <v>12</v>
      </c>
      <c r="AA26" s="34">
        <f t="shared" si="18"/>
        <v>9</v>
      </c>
      <c r="AB26" s="34">
        <f t="shared" si="18"/>
        <v>5</v>
      </c>
      <c r="AC26" s="34">
        <f t="shared" si="18"/>
        <v>29</v>
      </c>
      <c r="AD26" s="34">
        <f t="shared" si="18"/>
        <v>0</v>
      </c>
      <c r="AE26" s="31">
        <f t="shared" si="18"/>
        <v>127</v>
      </c>
      <c r="AF26" s="31">
        <f t="shared" si="18"/>
        <v>156</v>
      </c>
    </row>
    <row r="27" spans="2:32" ht="23.1" customHeight="1" x14ac:dyDescent="0.25">
      <c r="B27" s="45" t="s">
        <v>54</v>
      </c>
      <c r="C27" s="50">
        <v>23</v>
      </c>
      <c r="D27" s="50">
        <v>5</v>
      </c>
      <c r="E27" s="50">
        <v>6</v>
      </c>
      <c r="F27" s="50">
        <v>26</v>
      </c>
      <c r="G27" s="50">
        <v>0</v>
      </c>
      <c r="H27" s="50">
        <v>1</v>
      </c>
      <c r="I27" s="50">
        <v>4</v>
      </c>
      <c r="J27" s="50">
        <v>2</v>
      </c>
      <c r="K27" s="50">
        <v>1</v>
      </c>
      <c r="L27" s="50">
        <v>0</v>
      </c>
      <c r="M27" s="50">
        <v>21</v>
      </c>
      <c r="N27" s="50">
        <v>0</v>
      </c>
      <c r="O27" s="15">
        <f t="shared" si="0"/>
        <v>68</v>
      </c>
      <c r="P27" s="15">
        <f t="shared" si="1"/>
        <v>89</v>
      </c>
      <c r="R27" s="36" t="s">
        <v>151</v>
      </c>
      <c r="S27" s="34">
        <f>SUM(C78:C81)</f>
        <v>36</v>
      </c>
      <c r="T27" s="34">
        <f t="shared" ref="T27:AF27" si="19">SUM(D78:D81)</f>
        <v>4</v>
      </c>
      <c r="U27" s="34">
        <f t="shared" si="19"/>
        <v>5</v>
      </c>
      <c r="V27" s="34">
        <f t="shared" si="19"/>
        <v>21</v>
      </c>
      <c r="W27" s="34">
        <f t="shared" si="19"/>
        <v>0</v>
      </c>
      <c r="X27" s="34">
        <f t="shared" si="19"/>
        <v>0</v>
      </c>
      <c r="Y27" s="34">
        <f t="shared" si="19"/>
        <v>10</v>
      </c>
      <c r="Z27" s="34">
        <f t="shared" si="19"/>
        <v>3</v>
      </c>
      <c r="AA27" s="34">
        <f t="shared" si="19"/>
        <v>0</v>
      </c>
      <c r="AB27" s="34">
        <f t="shared" si="19"/>
        <v>2</v>
      </c>
      <c r="AC27" s="34">
        <f t="shared" si="19"/>
        <v>20</v>
      </c>
      <c r="AD27" s="34">
        <f t="shared" si="19"/>
        <v>0</v>
      </c>
      <c r="AE27" s="31">
        <f t="shared" si="19"/>
        <v>81</v>
      </c>
      <c r="AF27" s="31">
        <f t="shared" si="19"/>
        <v>101</v>
      </c>
    </row>
    <row r="28" spans="2:32" ht="23.1" customHeight="1" x14ac:dyDescent="0.25">
      <c r="B28" s="45" t="s">
        <v>55</v>
      </c>
      <c r="C28" s="50">
        <v>20</v>
      </c>
      <c r="D28" s="50">
        <v>13</v>
      </c>
      <c r="E28" s="50">
        <v>6</v>
      </c>
      <c r="F28" s="50">
        <v>18</v>
      </c>
      <c r="G28" s="50">
        <v>0</v>
      </c>
      <c r="H28" s="50">
        <v>1</v>
      </c>
      <c r="I28" s="50">
        <v>7</v>
      </c>
      <c r="J28" s="50">
        <v>0</v>
      </c>
      <c r="K28" s="50">
        <v>1</v>
      </c>
      <c r="L28" s="50">
        <v>0</v>
      </c>
      <c r="M28" s="50">
        <v>25</v>
      </c>
      <c r="N28" s="50">
        <v>0</v>
      </c>
      <c r="O28" s="15">
        <f t="shared" si="0"/>
        <v>66</v>
      </c>
      <c r="P28" s="15">
        <f t="shared" si="1"/>
        <v>91</v>
      </c>
      <c r="R28" s="36" t="s">
        <v>152</v>
      </c>
      <c r="S28" s="34">
        <f>SUM(C82:C85)</f>
        <v>15</v>
      </c>
      <c r="T28" s="34">
        <f t="shared" ref="T28:AF28" si="20">SUM(D82:D85)</f>
        <v>8</v>
      </c>
      <c r="U28" s="34">
        <f t="shared" si="20"/>
        <v>2</v>
      </c>
      <c r="V28" s="34">
        <f t="shared" si="20"/>
        <v>3</v>
      </c>
      <c r="W28" s="34">
        <f t="shared" si="20"/>
        <v>0</v>
      </c>
      <c r="X28" s="34">
        <f t="shared" si="20"/>
        <v>0</v>
      </c>
      <c r="Y28" s="34">
        <f t="shared" si="20"/>
        <v>5</v>
      </c>
      <c r="Z28" s="34">
        <f t="shared" si="20"/>
        <v>5</v>
      </c>
      <c r="AA28" s="34">
        <f t="shared" si="20"/>
        <v>3</v>
      </c>
      <c r="AB28" s="34">
        <f t="shared" si="20"/>
        <v>3</v>
      </c>
      <c r="AC28" s="34">
        <f t="shared" si="20"/>
        <v>11</v>
      </c>
      <c r="AD28" s="34">
        <f t="shared" si="20"/>
        <v>0</v>
      </c>
      <c r="AE28" s="31">
        <f t="shared" si="20"/>
        <v>44</v>
      </c>
      <c r="AF28" s="31">
        <f t="shared" si="20"/>
        <v>55</v>
      </c>
    </row>
    <row r="29" spans="2:32" ht="23.1" customHeight="1" x14ac:dyDescent="0.25">
      <c r="B29" s="45" t="s">
        <v>56</v>
      </c>
      <c r="C29" s="50">
        <v>26</v>
      </c>
      <c r="D29" s="50">
        <v>12</v>
      </c>
      <c r="E29" s="50">
        <v>8</v>
      </c>
      <c r="F29" s="50">
        <v>17</v>
      </c>
      <c r="G29" s="50">
        <v>0</v>
      </c>
      <c r="H29" s="50">
        <v>0</v>
      </c>
      <c r="I29" s="50">
        <v>9</v>
      </c>
      <c r="J29" s="50">
        <v>0</v>
      </c>
      <c r="K29" s="50">
        <v>0</v>
      </c>
      <c r="L29" s="50">
        <v>0</v>
      </c>
      <c r="M29" s="50">
        <v>13</v>
      </c>
      <c r="N29" s="50">
        <v>0</v>
      </c>
      <c r="O29" s="15">
        <f t="shared" si="0"/>
        <v>72</v>
      </c>
      <c r="P29" s="15">
        <f t="shared" si="1"/>
        <v>85</v>
      </c>
      <c r="R29" s="36" t="s">
        <v>153</v>
      </c>
      <c r="S29" s="34">
        <f>SUM(C86:C89)</f>
        <v>7</v>
      </c>
      <c r="T29" s="34">
        <f t="shared" ref="T29:AF29" si="21">SUM(D86:D89)</f>
        <v>4</v>
      </c>
      <c r="U29" s="34">
        <f t="shared" si="21"/>
        <v>5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4</v>
      </c>
      <c r="Z29" s="34">
        <f t="shared" si="21"/>
        <v>4</v>
      </c>
      <c r="AA29" s="34">
        <f t="shared" si="21"/>
        <v>6</v>
      </c>
      <c r="AB29" s="34">
        <f t="shared" si="21"/>
        <v>1</v>
      </c>
      <c r="AC29" s="34">
        <f t="shared" si="21"/>
        <v>5</v>
      </c>
      <c r="AD29" s="34">
        <f t="shared" si="21"/>
        <v>0</v>
      </c>
      <c r="AE29" s="31">
        <f t="shared" si="21"/>
        <v>32</v>
      </c>
      <c r="AF29" s="31">
        <f t="shared" si="21"/>
        <v>37</v>
      </c>
    </row>
    <row r="30" spans="2:32" ht="23.1" customHeight="1" x14ac:dyDescent="0.25">
      <c r="B30" s="45" t="s">
        <v>57</v>
      </c>
      <c r="C30" s="50">
        <v>17</v>
      </c>
      <c r="D30" s="50">
        <v>10</v>
      </c>
      <c r="E30" s="50">
        <v>13</v>
      </c>
      <c r="F30" s="50">
        <v>24</v>
      </c>
      <c r="G30" s="50">
        <v>1</v>
      </c>
      <c r="H30" s="50">
        <v>0</v>
      </c>
      <c r="I30" s="50">
        <v>8</v>
      </c>
      <c r="J30" s="50">
        <v>0</v>
      </c>
      <c r="K30" s="50">
        <v>0</v>
      </c>
      <c r="L30" s="50">
        <v>0</v>
      </c>
      <c r="M30" s="50">
        <v>22</v>
      </c>
      <c r="N30" s="50">
        <v>0</v>
      </c>
      <c r="O30" s="15">
        <f t="shared" si="0"/>
        <v>73</v>
      </c>
      <c r="P30" s="15">
        <f t="shared" si="1"/>
        <v>95</v>
      </c>
      <c r="R30" s="36" t="s">
        <v>154</v>
      </c>
      <c r="S30" s="34">
        <f>SUM(C90:C93)</f>
        <v>6</v>
      </c>
      <c r="T30" s="34">
        <f t="shared" ref="T30:AF30" si="22">SUM(D90:D93)</f>
        <v>2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5</v>
      </c>
      <c r="Z30" s="34">
        <f t="shared" si="22"/>
        <v>5</v>
      </c>
      <c r="AA30" s="34">
        <f t="shared" si="22"/>
        <v>1</v>
      </c>
      <c r="AB30" s="34">
        <f t="shared" si="22"/>
        <v>1</v>
      </c>
      <c r="AC30" s="34">
        <f t="shared" si="22"/>
        <v>4</v>
      </c>
      <c r="AD30" s="34">
        <f t="shared" si="22"/>
        <v>0</v>
      </c>
      <c r="AE30" s="31">
        <f t="shared" si="22"/>
        <v>22</v>
      </c>
      <c r="AF30" s="31">
        <f t="shared" si="22"/>
        <v>26</v>
      </c>
    </row>
    <row r="31" spans="2:32" ht="23.1" customHeight="1" x14ac:dyDescent="0.25">
      <c r="B31" s="46" t="s">
        <v>58</v>
      </c>
      <c r="C31" s="50">
        <v>15</v>
      </c>
      <c r="D31" s="50">
        <v>13</v>
      </c>
      <c r="E31" s="50">
        <v>1</v>
      </c>
      <c r="F31" s="50">
        <v>17</v>
      </c>
      <c r="G31" s="50">
        <v>1</v>
      </c>
      <c r="H31" s="50">
        <v>1</v>
      </c>
      <c r="I31" s="50">
        <v>17</v>
      </c>
      <c r="J31" s="50">
        <v>2</v>
      </c>
      <c r="K31" s="50">
        <v>1</v>
      </c>
      <c r="L31" s="50">
        <v>0</v>
      </c>
      <c r="M31" s="50">
        <v>30</v>
      </c>
      <c r="N31" s="50">
        <v>0</v>
      </c>
      <c r="O31" s="15">
        <f t="shared" si="0"/>
        <v>68</v>
      </c>
      <c r="P31" s="15">
        <f t="shared" si="1"/>
        <v>98</v>
      </c>
      <c r="R31" s="36" t="s">
        <v>155</v>
      </c>
      <c r="S31" s="34">
        <f>SUM(C94:C97)</f>
        <v>7</v>
      </c>
      <c r="T31" s="34">
        <f t="shared" ref="T31:AF31" si="23">SUM(D94:D97)</f>
        <v>2</v>
      </c>
      <c r="U31" s="34">
        <f t="shared" si="23"/>
        <v>0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8</v>
      </c>
      <c r="Z31" s="34">
        <f t="shared" si="23"/>
        <v>1</v>
      </c>
      <c r="AA31" s="34">
        <f t="shared" si="23"/>
        <v>2</v>
      </c>
      <c r="AB31" s="34">
        <f t="shared" si="23"/>
        <v>0</v>
      </c>
      <c r="AC31" s="34">
        <f t="shared" si="23"/>
        <v>12</v>
      </c>
      <c r="AD31" s="34">
        <f t="shared" si="23"/>
        <v>0</v>
      </c>
      <c r="AE31" s="31">
        <f t="shared" si="23"/>
        <v>22</v>
      </c>
      <c r="AF31" s="31">
        <f t="shared" si="23"/>
        <v>34</v>
      </c>
    </row>
    <row r="32" spans="2:32" ht="23.1" customHeight="1" x14ac:dyDescent="0.25">
      <c r="B32" s="46" t="s">
        <v>59</v>
      </c>
      <c r="C32" s="50">
        <v>19</v>
      </c>
      <c r="D32" s="50">
        <v>22</v>
      </c>
      <c r="E32" s="50">
        <v>15</v>
      </c>
      <c r="F32" s="50">
        <v>16</v>
      </c>
      <c r="G32" s="50">
        <v>1</v>
      </c>
      <c r="H32" s="50">
        <v>0</v>
      </c>
      <c r="I32" s="50">
        <v>7</v>
      </c>
      <c r="J32" s="50">
        <v>0</v>
      </c>
      <c r="K32" s="50">
        <v>0</v>
      </c>
      <c r="L32" s="50">
        <v>0</v>
      </c>
      <c r="M32" s="50">
        <v>17</v>
      </c>
      <c r="N32" s="50">
        <v>0</v>
      </c>
      <c r="O32" s="15">
        <f t="shared" si="0"/>
        <v>80</v>
      </c>
      <c r="P32" s="15">
        <f t="shared" si="1"/>
        <v>97</v>
      </c>
      <c r="R32" s="33" t="s">
        <v>156</v>
      </c>
      <c r="S32" s="34">
        <f>SUM(C98:C101)</f>
        <v>21</v>
      </c>
      <c r="T32" s="34">
        <f t="shared" ref="T32:AF32" si="24">SUM(D98:D101)</f>
        <v>4</v>
      </c>
      <c r="U32" s="34">
        <f t="shared" si="24"/>
        <v>3</v>
      </c>
      <c r="V32" s="34">
        <f t="shared" si="24"/>
        <v>2</v>
      </c>
      <c r="W32" s="34">
        <f t="shared" si="24"/>
        <v>1</v>
      </c>
      <c r="X32" s="34">
        <f t="shared" si="24"/>
        <v>1</v>
      </c>
      <c r="Y32" s="34">
        <f t="shared" si="24"/>
        <v>7</v>
      </c>
      <c r="Z32" s="34">
        <f t="shared" si="24"/>
        <v>0</v>
      </c>
      <c r="AA32" s="34">
        <f t="shared" si="24"/>
        <v>4</v>
      </c>
      <c r="AB32" s="34">
        <f t="shared" si="24"/>
        <v>1</v>
      </c>
      <c r="AC32" s="34">
        <f t="shared" si="24"/>
        <v>24</v>
      </c>
      <c r="AD32" s="34">
        <f t="shared" si="24"/>
        <v>0</v>
      </c>
      <c r="AE32" s="31">
        <f t="shared" si="24"/>
        <v>44</v>
      </c>
      <c r="AF32" s="31">
        <f t="shared" si="24"/>
        <v>68</v>
      </c>
    </row>
    <row r="33" spans="2:32" ht="23.1" customHeight="1" x14ac:dyDescent="0.25">
      <c r="B33" s="45" t="s">
        <v>60</v>
      </c>
      <c r="C33" s="50">
        <v>19</v>
      </c>
      <c r="D33" s="50">
        <v>7</v>
      </c>
      <c r="E33" s="50">
        <v>2</v>
      </c>
      <c r="F33" s="50">
        <v>23</v>
      </c>
      <c r="G33" s="50">
        <v>0</v>
      </c>
      <c r="H33" s="50">
        <v>0</v>
      </c>
      <c r="I33" s="50">
        <v>15</v>
      </c>
      <c r="J33" s="50">
        <v>1</v>
      </c>
      <c r="K33" s="50">
        <v>1</v>
      </c>
      <c r="L33" s="50">
        <v>0</v>
      </c>
      <c r="M33" s="50">
        <v>19</v>
      </c>
      <c r="N33" s="50">
        <v>0</v>
      </c>
      <c r="O33" s="15">
        <f t="shared" si="0"/>
        <v>68</v>
      </c>
      <c r="P33" s="15">
        <f t="shared" si="1"/>
        <v>87</v>
      </c>
      <c r="R33" s="33" t="s">
        <v>157</v>
      </c>
      <c r="S33" s="34">
        <f>SUM(C102:C105)</f>
        <v>13</v>
      </c>
      <c r="T33" s="34">
        <f t="shared" ref="T33:AF33" si="25">SUM(D102:D105)</f>
        <v>4</v>
      </c>
      <c r="U33" s="34">
        <f t="shared" si="25"/>
        <v>3</v>
      </c>
      <c r="V33" s="34">
        <f t="shared" si="25"/>
        <v>0</v>
      </c>
      <c r="W33" s="34">
        <f t="shared" si="25"/>
        <v>2</v>
      </c>
      <c r="X33" s="34">
        <f t="shared" si="25"/>
        <v>0</v>
      </c>
      <c r="Y33" s="34">
        <f t="shared" si="25"/>
        <v>6</v>
      </c>
      <c r="Z33" s="34">
        <f t="shared" si="25"/>
        <v>3</v>
      </c>
      <c r="AA33" s="34">
        <f t="shared" si="25"/>
        <v>2</v>
      </c>
      <c r="AB33" s="34">
        <f t="shared" si="25"/>
        <v>0</v>
      </c>
      <c r="AC33" s="34">
        <f t="shared" si="25"/>
        <v>25</v>
      </c>
      <c r="AD33" s="34">
        <f t="shared" si="25"/>
        <v>0</v>
      </c>
      <c r="AE33" s="31">
        <f t="shared" si="25"/>
        <v>33</v>
      </c>
      <c r="AF33" s="31">
        <f t="shared" si="25"/>
        <v>58</v>
      </c>
    </row>
    <row r="34" spans="2:32" ht="23.1" customHeight="1" x14ac:dyDescent="0.25">
      <c r="B34" s="46" t="s">
        <v>61</v>
      </c>
      <c r="C34" s="50">
        <v>24</v>
      </c>
      <c r="D34" s="50">
        <v>12</v>
      </c>
      <c r="E34" s="50">
        <v>8</v>
      </c>
      <c r="F34" s="50">
        <v>15</v>
      </c>
      <c r="G34" s="50">
        <v>1</v>
      </c>
      <c r="H34" s="50">
        <v>0</v>
      </c>
      <c r="I34" s="50">
        <v>8</v>
      </c>
      <c r="J34" s="50">
        <v>0</v>
      </c>
      <c r="K34" s="50">
        <v>3</v>
      </c>
      <c r="L34" s="50">
        <v>3</v>
      </c>
      <c r="M34" s="50">
        <v>20</v>
      </c>
      <c r="N34" s="50">
        <v>0</v>
      </c>
      <c r="O34" s="15">
        <f t="shared" si="0"/>
        <v>74</v>
      </c>
      <c r="P34" s="15">
        <f t="shared" si="1"/>
        <v>94</v>
      </c>
      <c r="R34" s="38" t="s">
        <v>90</v>
      </c>
      <c r="S34" s="39">
        <f t="shared" ref="S34:AF34" si="26">MAX(S10:S12)</f>
        <v>61</v>
      </c>
      <c r="T34" s="39">
        <f t="shared" si="26"/>
        <v>35</v>
      </c>
      <c r="U34" s="39">
        <f t="shared" si="26"/>
        <v>28</v>
      </c>
      <c r="V34" s="39">
        <f t="shared" si="26"/>
        <v>79</v>
      </c>
      <c r="W34" s="39">
        <f t="shared" si="26"/>
        <v>5</v>
      </c>
      <c r="X34" s="39">
        <f t="shared" si="26"/>
        <v>2</v>
      </c>
      <c r="Y34" s="39">
        <f t="shared" si="26"/>
        <v>38</v>
      </c>
      <c r="Z34" s="39">
        <f t="shared" si="26"/>
        <v>4</v>
      </c>
      <c r="AA34" s="39">
        <f t="shared" si="26"/>
        <v>8</v>
      </c>
      <c r="AB34" s="39">
        <f t="shared" si="26"/>
        <v>1</v>
      </c>
      <c r="AC34" s="39">
        <f t="shared" si="26"/>
        <v>114</v>
      </c>
      <c r="AD34" s="39">
        <f t="shared" si="26"/>
        <v>0</v>
      </c>
      <c r="AE34" s="40">
        <f t="shared" si="26"/>
        <v>256</v>
      </c>
      <c r="AF34" s="40">
        <f t="shared" si="26"/>
        <v>370</v>
      </c>
    </row>
    <row r="35" spans="2:32" ht="23.1" customHeight="1" x14ac:dyDescent="0.25">
      <c r="B35" s="46" t="s">
        <v>62</v>
      </c>
      <c r="C35" s="50">
        <v>10</v>
      </c>
      <c r="D35" s="50">
        <v>17</v>
      </c>
      <c r="E35" s="50">
        <v>5</v>
      </c>
      <c r="F35" s="50">
        <v>20</v>
      </c>
      <c r="G35" s="50">
        <v>0</v>
      </c>
      <c r="H35" s="50">
        <v>2</v>
      </c>
      <c r="I35" s="50">
        <v>6</v>
      </c>
      <c r="J35" s="50">
        <v>0</v>
      </c>
      <c r="K35" s="50">
        <v>0</v>
      </c>
      <c r="L35" s="50">
        <v>1</v>
      </c>
      <c r="M35" s="50">
        <v>34</v>
      </c>
      <c r="N35" s="50">
        <v>0</v>
      </c>
      <c r="O35" s="15">
        <f t="shared" si="0"/>
        <v>61</v>
      </c>
      <c r="P35" s="15">
        <f t="shared" si="1"/>
        <v>95</v>
      </c>
      <c r="R35" s="38" t="s">
        <v>91</v>
      </c>
      <c r="S35" s="39">
        <f t="shared" ref="S35:AF35" si="27">MAX(S13:S18)</f>
        <v>95</v>
      </c>
      <c r="T35" s="39">
        <f t="shared" si="27"/>
        <v>62</v>
      </c>
      <c r="U35" s="39">
        <f t="shared" si="27"/>
        <v>55</v>
      </c>
      <c r="V35" s="39">
        <f t="shared" si="27"/>
        <v>100</v>
      </c>
      <c r="W35" s="39">
        <f t="shared" si="27"/>
        <v>3</v>
      </c>
      <c r="X35" s="39">
        <f t="shared" si="27"/>
        <v>3</v>
      </c>
      <c r="Y35" s="39">
        <f t="shared" si="27"/>
        <v>47</v>
      </c>
      <c r="Z35" s="39">
        <f t="shared" si="27"/>
        <v>9</v>
      </c>
      <c r="AA35" s="39">
        <f t="shared" si="27"/>
        <v>8</v>
      </c>
      <c r="AB35" s="39">
        <f t="shared" si="27"/>
        <v>5</v>
      </c>
      <c r="AC35" s="39">
        <f t="shared" si="27"/>
        <v>102</v>
      </c>
      <c r="AD35" s="39">
        <f t="shared" si="27"/>
        <v>0</v>
      </c>
      <c r="AE35" s="40">
        <f t="shared" si="27"/>
        <v>355</v>
      </c>
      <c r="AF35" s="40">
        <f t="shared" si="27"/>
        <v>449</v>
      </c>
    </row>
    <row r="36" spans="2:32" ht="23.1" customHeight="1" x14ac:dyDescent="0.25">
      <c r="B36" s="46" t="s">
        <v>63</v>
      </c>
      <c r="C36" s="50">
        <v>7</v>
      </c>
      <c r="D36" s="50">
        <v>4</v>
      </c>
      <c r="E36" s="50">
        <v>6</v>
      </c>
      <c r="F36" s="50">
        <v>13</v>
      </c>
      <c r="G36" s="50">
        <v>0</v>
      </c>
      <c r="H36" s="50">
        <v>0</v>
      </c>
      <c r="I36" s="50">
        <v>5</v>
      </c>
      <c r="J36" s="50">
        <v>0</v>
      </c>
      <c r="K36" s="50">
        <v>1</v>
      </c>
      <c r="L36" s="50">
        <v>0</v>
      </c>
      <c r="M36" s="50">
        <v>21</v>
      </c>
      <c r="N36" s="50">
        <v>0</v>
      </c>
      <c r="O36" s="15">
        <f t="shared" si="0"/>
        <v>36</v>
      </c>
      <c r="P36" s="15">
        <f t="shared" si="1"/>
        <v>57</v>
      </c>
      <c r="R36" s="38" t="s">
        <v>92</v>
      </c>
      <c r="S36" s="39">
        <f t="shared" ref="S36:AF36" si="28">MAX(S19:S21)</f>
        <v>84</v>
      </c>
      <c r="T36" s="39">
        <f t="shared" si="28"/>
        <v>64</v>
      </c>
      <c r="U36" s="39">
        <f t="shared" si="28"/>
        <v>59</v>
      </c>
      <c r="V36" s="39">
        <f t="shared" si="28"/>
        <v>85</v>
      </c>
      <c r="W36" s="39">
        <f t="shared" si="28"/>
        <v>2</v>
      </c>
      <c r="X36" s="39">
        <f t="shared" si="28"/>
        <v>2</v>
      </c>
      <c r="Y36" s="39">
        <f t="shared" si="28"/>
        <v>45</v>
      </c>
      <c r="Z36" s="39">
        <f t="shared" si="28"/>
        <v>5</v>
      </c>
      <c r="AA36" s="39">
        <f t="shared" si="28"/>
        <v>5</v>
      </c>
      <c r="AB36" s="39">
        <f t="shared" si="28"/>
        <v>2</v>
      </c>
      <c r="AC36" s="39">
        <f t="shared" si="28"/>
        <v>83</v>
      </c>
      <c r="AD36" s="39">
        <f t="shared" si="28"/>
        <v>1</v>
      </c>
      <c r="AE36" s="40">
        <f t="shared" si="28"/>
        <v>329</v>
      </c>
      <c r="AF36" s="40">
        <f t="shared" si="28"/>
        <v>412</v>
      </c>
    </row>
    <row r="37" spans="2:32" ht="23.1" customHeight="1" x14ac:dyDescent="0.25">
      <c r="B37" s="45" t="s">
        <v>64</v>
      </c>
      <c r="C37" s="50">
        <v>10</v>
      </c>
      <c r="D37" s="50">
        <v>16</v>
      </c>
      <c r="E37" s="50">
        <v>6</v>
      </c>
      <c r="F37" s="50">
        <v>23</v>
      </c>
      <c r="G37" s="50">
        <v>2</v>
      </c>
      <c r="H37" s="50">
        <v>0</v>
      </c>
      <c r="I37" s="50">
        <v>5</v>
      </c>
      <c r="J37" s="50">
        <v>0</v>
      </c>
      <c r="K37" s="50">
        <v>0</v>
      </c>
      <c r="L37" s="50">
        <v>1</v>
      </c>
      <c r="M37" s="50">
        <v>21</v>
      </c>
      <c r="N37" s="50">
        <v>0</v>
      </c>
      <c r="O37" s="15">
        <f t="shared" si="0"/>
        <v>63</v>
      </c>
      <c r="P37" s="15">
        <f t="shared" si="1"/>
        <v>84</v>
      </c>
      <c r="R37" s="37" t="s">
        <v>85</v>
      </c>
      <c r="S37" s="35">
        <f t="shared" ref="S37:AF37" si="29">SUM(S10:S12)</f>
        <v>138</v>
      </c>
      <c r="T37" s="16">
        <f t="shared" si="29"/>
        <v>87</v>
      </c>
      <c r="U37" s="16">
        <f t="shared" si="29"/>
        <v>68</v>
      </c>
      <c r="V37" s="16">
        <f t="shared" si="29"/>
        <v>180</v>
      </c>
      <c r="W37" s="16">
        <f t="shared" si="29"/>
        <v>8</v>
      </c>
      <c r="X37" s="16">
        <f t="shared" si="29"/>
        <v>4</v>
      </c>
      <c r="Y37" s="16">
        <f t="shared" si="29"/>
        <v>78</v>
      </c>
      <c r="Z37" s="16">
        <f t="shared" si="29"/>
        <v>8</v>
      </c>
      <c r="AA37" s="16">
        <f t="shared" si="29"/>
        <v>12</v>
      </c>
      <c r="AB37" s="16">
        <f t="shared" si="29"/>
        <v>1</v>
      </c>
      <c r="AC37" s="16">
        <f t="shared" si="29"/>
        <v>260</v>
      </c>
      <c r="AD37" s="16">
        <f t="shared" si="29"/>
        <v>0</v>
      </c>
      <c r="AE37" s="32">
        <f t="shared" si="29"/>
        <v>584</v>
      </c>
      <c r="AF37" s="32">
        <f t="shared" si="29"/>
        <v>844</v>
      </c>
    </row>
    <row r="38" spans="2:32" ht="23.1" customHeight="1" x14ac:dyDescent="0.25">
      <c r="B38" s="46" t="s">
        <v>65</v>
      </c>
      <c r="C38" s="50">
        <v>30</v>
      </c>
      <c r="D38" s="50">
        <v>17</v>
      </c>
      <c r="E38" s="50">
        <v>15</v>
      </c>
      <c r="F38" s="50">
        <v>23</v>
      </c>
      <c r="G38" s="50">
        <v>2</v>
      </c>
      <c r="H38" s="50">
        <v>0</v>
      </c>
      <c r="I38" s="50">
        <v>19</v>
      </c>
      <c r="J38" s="50">
        <v>1</v>
      </c>
      <c r="K38" s="50">
        <v>1</v>
      </c>
      <c r="L38" s="50">
        <v>0</v>
      </c>
      <c r="M38" s="50">
        <v>33</v>
      </c>
      <c r="N38" s="50">
        <v>0</v>
      </c>
      <c r="O38" s="15">
        <f t="shared" si="0"/>
        <v>108</v>
      </c>
      <c r="P38" s="15">
        <f t="shared" si="1"/>
        <v>141</v>
      </c>
      <c r="R38" s="28" t="s">
        <v>86</v>
      </c>
      <c r="S38" s="16">
        <f t="shared" ref="S38:AF38" si="30">SUM(S13:S18)</f>
        <v>455</v>
      </c>
      <c r="T38" s="16">
        <f t="shared" si="30"/>
        <v>291</v>
      </c>
      <c r="U38" s="16">
        <f t="shared" si="30"/>
        <v>188</v>
      </c>
      <c r="V38" s="16">
        <f t="shared" si="30"/>
        <v>492</v>
      </c>
      <c r="W38" s="16">
        <f t="shared" si="30"/>
        <v>13</v>
      </c>
      <c r="X38" s="16">
        <f t="shared" si="30"/>
        <v>10</v>
      </c>
      <c r="Y38" s="16">
        <f t="shared" si="30"/>
        <v>227</v>
      </c>
      <c r="Z38" s="16">
        <f t="shared" si="30"/>
        <v>30</v>
      </c>
      <c r="AA38" s="16">
        <f t="shared" si="30"/>
        <v>27</v>
      </c>
      <c r="AB38" s="16">
        <f t="shared" si="30"/>
        <v>9</v>
      </c>
      <c r="AC38" s="16">
        <f t="shared" si="30"/>
        <v>518</v>
      </c>
      <c r="AD38" s="16">
        <f t="shared" si="30"/>
        <v>0</v>
      </c>
      <c r="AE38" s="32">
        <f t="shared" si="30"/>
        <v>1742</v>
      </c>
      <c r="AF38" s="32">
        <f t="shared" si="30"/>
        <v>2260</v>
      </c>
    </row>
    <row r="39" spans="2:32" ht="23.1" customHeight="1" x14ac:dyDescent="0.25">
      <c r="B39" s="46" t="s">
        <v>66</v>
      </c>
      <c r="C39" s="50">
        <v>10</v>
      </c>
      <c r="D39" s="50">
        <v>18</v>
      </c>
      <c r="E39" s="50">
        <v>3</v>
      </c>
      <c r="F39" s="50">
        <v>25</v>
      </c>
      <c r="G39" s="50">
        <v>0</v>
      </c>
      <c r="H39" s="50">
        <v>0</v>
      </c>
      <c r="I39" s="50">
        <v>8</v>
      </c>
      <c r="J39" s="50">
        <v>2</v>
      </c>
      <c r="K39" s="50">
        <v>0</v>
      </c>
      <c r="L39" s="50">
        <v>0</v>
      </c>
      <c r="M39" s="50">
        <v>12</v>
      </c>
      <c r="N39" s="50">
        <v>0</v>
      </c>
      <c r="O39" s="15">
        <f t="shared" si="0"/>
        <v>66</v>
      </c>
      <c r="P39" s="15">
        <f t="shared" si="1"/>
        <v>78</v>
      </c>
      <c r="R39" s="29" t="s">
        <v>87</v>
      </c>
      <c r="S39" s="16">
        <f t="shared" ref="S39:AF39" si="31">SUM(S19:S21)</f>
        <v>208</v>
      </c>
      <c r="T39" s="16">
        <f t="shared" si="31"/>
        <v>179</v>
      </c>
      <c r="U39" s="16">
        <f t="shared" si="31"/>
        <v>128</v>
      </c>
      <c r="V39" s="16">
        <f t="shared" si="31"/>
        <v>209</v>
      </c>
      <c r="W39" s="16">
        <f t="shared" si="31"/>
        <v>5</v>
      </c>
      <c r="X39" s="16">
        <f t="shared" si="31"/>
        <v>5</v>
      </c>
      <c r="Y39" s="16">
        <f t="shared" si="31"/>
        <v>112</v>
      </c>
      <c r="Z39" s="16">
        <f t="shared" si="31"/>
        <v>11</v>
      </c>
      <c r="AA39" s="16">
        <f t="shared" si="31"/>
        <v>10</v>
      </c>
      <c r="AB39" s="16">
        <f t="shared" si="31"/>
        <v>3</v>
      </c>
      <c r="AC39" s="16">
        <f t="shared" si="31"/>
        <v>226</v>
      </c>
      <c r="AD39" s="16">
        <f t="shared" si="31"/>
        <v>1</v>
      </c>
      <c r="AE39" s="32">
        <f t="shared" si="31"/>
        <v>871</v>
      </c>
      <c r="AF39" s="32">
        <f t="shared" si="31"/>
        <v>1097</v>
      </c>
    </row>
    <row r="40" spans="2:32" ht="23.1" customHeight="1" x14ac:dyDescent="0.25">
      <c r="B40" s="46" t="s">
        <v>67</v>
      </c>
      <c r="C40" s="50">
        <v>15</v>
      </c>
      <c r="D40" s="50">
        <v>10</v>
      </c>
      <c r="E40" s="50">
        <v>15</v>
      </c>
      <c r="F40" s="50">
        <v>29</v>
      </c>
      <c r="G40" s="50">
        <v>0</v>
      </c>
      <c r="H40" s="50">
        <v>1</v>
      </c>
      <c r="I40" s="50">
        <v>4</v>
      </c>
      <c r="J40" s="50">
        <v>0</v>
      </c>
      <c r="K40" s="50">
        <v>2</v>
      </c>
      <c r="L40" s="50">
        <v>0</v>
      </c>
      <c r="M40" s="50">
        <v>15</v>
      </c>
      <c r="N40" s="50">
        <v>0</v>
      </c>
      <c r="O40" s="15">
        <f t="shared" si="0"/>
        <v>76</v>
      </c>
      <c r="P40" s="15">
        <f t="shared" si="1"/>
        <v>91</v>
      </c>
      <c r="R40" s="5" t="s">
        <v>17</v>
      </c>
      <c r="S40" s="16">
        <f t="shared" ref="S40:AF40" si="32">SUM(S10:S21)</f>
        <v>801</v>
      </c>
      <c r="T40" s="16">
        <f t="shared" si="32"/>
        <v>557</v>
      </c>
      <c r="U40" s="16">
        <f t="shared" si="32"/>
        <v>384</v>
      </c>
      <c r="V40" s="16">
        <f t="shared" si="32"/>
        <v>881</v>
      </c>
      <c r="W40" s="16">
        <f t="shared" si="32"/>
        <v>26</v>
      </c>
      <c r="X40" s="16">
        <f t="shared" si="32"/>
        <v>19</v>
      </c>
      <c r="Y40" s="16">
        <f t="shared" si="32"/>
        <v>417</v>
      </c>
      <c r="Z40" s="16">
        <f t="shared" si="32"/>
        <v>49</v>
      </c>
      <c r="AA40" s="16">
        <f t="shared" si="32"/>
        <v>49</v>
      </c>
      <c r="AB40" s="16">
        <f t="shared" si="32"/>
        <v>13</v>
      </c>
      <c r="AC40" s="16">
        <f t="shared" si="32"/>
        <v>1004</v>
      </c>
      <c r="AD40" s="16">
        <f t="shared" si="32"/>
        <v>1</v>
      </c>
      <c r="AE40" s="32">
        <f t="shared" si="32"/>
        <v>3197</v>
      </c>
      <c r="AF40" s="32">
        <f t="shared" si="32"/>
        <v>4201</v>
      </c>
    </row>
    <row r="41" spans="2:32" ht="23.1" customHeight="1" x14ac:dyDescent="0.25">
      <c r="B41" s="45" t="s">
        <v>68</v>
      </c>
      <c r="C41" s="50">
        <v>20</v>
      </c>
      <c r="D41" s="50">
        <v>17</v>
      </c>
      <c r="E41" s="50">
        <v>22</v>
      </c>
      <c r="F41" s="50">
        <v>23</v>
      </c>
      <c r="G41" s="50">
        <v>0</v>
      </c>
      <c r="H41" s="50">
        <v>0</v>
      </c>
      <c r="I41" s="50">
        <v>15</v>
      </c>
      <c r="J41" s="50">
        <v>3</v>
      </c>
      <c r="K41" s="50">
        <v>3</v>
      </c>
      <c r="L41" s="50">
        <v>2</v>
      </c>
      <c r="M41" s="50">
        <v>34</v>
      </c>
      <c r="N41" s="50">
        <v>0</v>
      </c>
      <c r="O41" s="15">
        <f t="shared" si="0"/>
        <v>105</v>
      </c>
      <c r="P41" s="15">
        <f t="shared" si="1"/>
        <v>139</v>
      </c>
      <c r="R41" s="5" t="s">
        <v>159</v>
      </c>
      <c r="S41" s="16">
        <f>SUM(S10:S33)</f>
        <v>1100</v>
      </c>
      <c r="T41" s="16">
        <f t="shared" ref="T41:AF41" si="33">SUM(T10:T33)</f>
        <v>619</v>
      </c>
      <c r="U41" s="16">
        <f t="shared" si="33"/>
        <v>428</v>
      </c>
      <c r="V41" s="16">
        <f t="shared" si="33"/>
        <v>1074</v>
      </c>
      <c r="W41" s="16">
        <f t="shared" si="33"/>
        <v>29</v>
      </c>
      <c r="X41" s="16">
        <f t="shared" si="33"/>
        <v>25</v>
      </c>
      <c r="Y41" s="16">
        <f t="shared" si="33"/>
        <v>524</v>
      </c>
      <c r="Z41" s="16">
        <f t="shared" si="33"/>
        <v>112</v>
      </c>
      <c r="AA41" s="16">
        <f t="shared" si="33"/>
        <v>94</v>
      </c>
      <c r="AB41" s="16">
        <f t="shared" si="33"/>
        <v>46</v>
      </c>
      <c r="AC41" s="16">
        <f t="shared" si="33"/>
        <v>1306</v>
      </c>
      <c r="AD41" s="16">
        <f t="shared" si="33"/>
        <v>1</v>
      </c>
      <c r="AE41" s="32">
        <f t="shared" si="33"/>
        <v>4052</v>
      </c>
      <c r="AF41" s="32">
        <f t="shared" si="33"/>
        <v>5358</v>
      </c>
    </row>
    <row r="42" spans="2:32" ht="23.1" customHeight="1" x14ac:dyDescent="0.25">
      <c r="B42" s="46" t="s">
        <v>69</v>
      </c>
      <c r="C42" s="50">
        <v>20</v>
      </c>
      <c r="D42" s="50">
        <v>4</v>
      </c>
      <c r="E42" s="50">
        <v>4</v>
      </c>
      <c r="F42" s="50">
        <v>13</v>
      </c>
      <c r="G42" s="50">
        <v>0</v>
      </c>
      <c r="H42" s="50">
        <v>0</v>
      </c>
      <c r="I42" s="50">
        <v>8</v>
      </c>
      <c r="J42" s="50">
        <v>2</v>
      </c>
      <c r="K42" s="50">
        <v>2</v>
      </c>
      <c r="L42" s="50">
        <v>0</v>
      </c>
      <c r="M42" s="50">
        <v>13</v>
      </c>
      <c r="N42" s="50">
        <v>0</v>
      </c>
      <c r="O42" s="15">
        <f t="shared" si="0"/>
        <v>53</v>
      </c>
      <c r="P42" s="15">
        <f t="shared" si="1"/>
        <v>66</v>
      </c>
      <c r="R42" s="5" t="s">
        <v>160</v>
      </c>
      <c r="S42" s="48">
        <f>S41/S40</f>
        <v>1.3732833957553059</v>
      </c>
      <c r="T42" s="48">
        <f t="shared" ref="T42:AF42" si="34">T41/T40</f>
        <v>1.111310592459605</v>
      </c>
      <c r="U42" s="48">
        <f t="shared" si="34"/>
        <v>1.1145833333333333</v>
      </c>
      <c r="V42" s="48">
        <f t="shared" si="34"/>
        <v>1.2190692395005676</v>
      </c>
      <c r="W42" s="48">
        <f t="shared" si="34"/>
        <v>1.1153846153846154</v>
      </c>
      <c r="X42" s="48">
        <f t="shared" si="34"/>
        <v>1.3157894736842106</v>
      </c>
      <c r="Y42" s="48">
        <f t="shared" si="34"/>
        <v>1.2565947242206235</v>
      </c>
      <c r="Z42" s="48">
        <f t="shared" si="34"/>
        <v>2.2857142857142856</v>
      </c>
      <c r="AA42" s="48">
        <f t="shared" si="34"/>
        <v>1.9183673469387754</v>
      </c>
      <c r="AB42" s="48">
        <f t="shared" si="34"/>
        <v>3.5384615384615383</v>
      </c>
      <c r="AC42" s="48">
        <f t="shared" si="34"/>
        <v>1.3007968127490039</v>
      </c>
      <c r="AD42" s="48">
        <f t="shared" si="34"/>
        <v>1</v>
      </c>
      <c r="AE42" s="48">
        <f t="shared" si="34"/>
        <v>1.2674382233343759</v>
      </c>
      <c r="AF42" s="48">
        <f t="shared" si="34"/>
        <v>1.2754106165198762</v>
      </c>
    </row>
    <row r="43" spans="2:32" ht="23.1" customHeight="1" x14ac:dyDescent="0.25">
      <c r="B43" s="45" t="s">
        <v>70</v>
      </c>
      <c r="C43" s="50">
        <v>27</v>
      </c>
      <c r="D43" s="50">
        <v>7</v>
      </c>
      <c r="E43" s="50">
        <v>4</v>
      </c>
      <c r="F43" s="50">
        <v>15</v>
      </c>
      <c r="G43" s="50">
        <v>1</v>
      </c>
      <c r="H43" s="50">
        <v>1</v>
      </c>
      <c r="I43" s="50">
        <v>7</v>
      </c>
      <c r="J43" s="50">
        <v>4</v>
      </c>
      <c r="K43" s="50">
        <v>2</v>
      </c>
      <c r="L43" s="50">
        <v>2</v>
      </c>
      <c r="M43" s="50">
        <v>15</v>
      </c>
      <c r="N43" s="50">
        <v>0</v>
      </c>
      <c r="O43" s="15">
        <f t="shared" si="0"/>
        <v>70</v>
      </c>
      <c r="P43" s="15">
        <f t="shared" si="1"/>
        <v>85</v>
      </c>
    </row>
    <row r="44" spans="2:32" ht="23.1" customHeight="1" x14ac:dyDescent="0.25">
      <c r="B44" s="47" t="s">
        <v>71</v>
      </c>
      <c r="C44" s="50">
        <v>15</v>
      </c>
      <c r="D44" s="50">
        <v>12</v>
      </c>
      <c r="E44" s="50">
        <v>8</v>
      </c>
      <c r="F44" s="50">
        <v>12</v>
      </c>
      <c r="G44" s="50">
        <v>1</v>
      </c>
      <c r="H44" s="50">
        <v>0</v>
      </c>
      <c r="I44" s="50">
        <v>9</v>
      </c>
      <c r="J44" s="50">
        <v>0</v>
      </c>
      <c r="K44" s="50">
        <v>2</v>
      </c>
      <c r="L44" s="50">
        <v>0</v>
      </c>
      <c r="M44" s="50">
        <v>23</v>
      </c>
      <c r="N44" s="50">
        <v>0</v>
      </c>
      <c r="O44" s="15">
        <f t="shared" si="0"/>
        <v>59</v>
      </c>
      <c r="P44" s="15">
        <f t="shared" si="1"/>
        <v>82</v>
      </c>
    </row>
    <row r="45" spans="2:32" ht="23.1" customHeight="1" x14ac:dyDescent="0.25">
      <c r="B45" s="45" t="s">
        <v>72</v>
      </c>
      <c r="C45" s="50">
        <v>22</v>
      </c>
      <c r="D45" s="50">
        <v>15</v>
      </c>
      <c r="E45" s="50">
        <v>12</v>
      </c>
      <c r="F45" s="50">
        <v>28</v>
      </c>
      <c r="G45" s="50">
        <v>0</v>
      </c>
      <c r="H45" s="50">
        <v>1</v>
      </c>
      <c r="I45" s="50">
        <v>14</v>
      </c>
      <c r="J45" s="50">
        <v>1</v>
      </c>
      <c r="K45" s="50">
        <v>2</v>
      </c>
      <c r="L45" s="50">
        <v>0</v>
      </c>
      <c r="M45" s="50">
        <v>14</v>
      </c>
      <c r="N45" s="50">
        <v>0</v>
      </c>
      <c r="O45" s="15">
        <f t="shared" si="0"/>
        <v>95</v>
      </c>
      <c r="P45" s="15">
        <f t="shared" si="1"/>
        <v>109</v>
      </c>
    </row>
    <row r="46" spans="2:32" ht="23.1" customHeight="1" x14ac:dyDescent="0.25">
      <c r="B46" s="46" t="s">
        <v>73</v>
      </c>
      <c r="C46" s="50">
        <v>18</v>
      </c>
      <c r="D46" s="50">
        <v>17</v>
      </c>
      <c r="E46" s="50">
        <v>3</v>
      </c>
      <c r="F46" s="50">
        <v>25</v>
      </c>
      <c r="G46" s="50">
        <v>0</v>
      </c>
      <c r="H46" s="50">
        <v>1</v>
      </c>
      <c r="I46" s="50">
        <v>11</v>
      </c>
      <c r="J46" s="50">
        <v>0</v>
      </c>
      <c r="K46" s="50">
        <v>1</v>
      </c>
      <c r="L46" s="50">
        <v>0</v>
      </c>
      <c r="M46" s="50">
        <v>17</v>
      </c>
      <c r="N46" s="50">
        <v>1</v>
      </c>
      <c r="O46" s="15">
        <f t="shared" si="0"/>
        <v>77</v>
      </c>
      <c r="P46" s="15">
        <f t="shared" si="1"/>
        <v>94</v>
      </c>
      <c r="R46" s="8"/>
      <c r="T46"/>
    </row>
    <row r="47" spans="2:32" ht="23.1" customHeight="1" x14ac:dyDescent="0.25">
      <c r="B47" s="46" t="s">
        <v>74</v>
      </c>
      <c r="C47" s="50">
        <v>6</v>
      </c>
      <c r="D47" s="50">
        <v>15</v>
      </c>
      <c r="E47" s="50">
        <v>3</v>
      </c>
      <c r="F47" s="50">
        <v>9</v>
      </c>
      <c r="G47" s="50">
        <v>1</v>
      </c>
      <c r="H47" s="50">
        <v>0</v>
      </c>
      <c r="I47" s="50">
        <v>8</v>
      </c>
      <c r="J47" s="50">
        <v>1</v>
      </c>
      <c r="K47" s="50">
        <v>1</v>
      </c>
      <c r="L47" s="50">
        <v>0</v>
      </c>
      <c r="M47" s="50">
        <v>13</v>
      </c>
      <c r="N47" s="50">
        <v>0</v>
      </c>
      <c r="O47" s="15">
        <f t="shared" si="0"/>
        <v>44</v>
      </c>
      <c r="P47" s="15">
        <f t="shared" si="1"/>
        <v>57</v>
      </c>
      <c r="R47" s="8"/>
      <c r="T47"/>
    </row>
    <row r="48" spans="2:32" ht="23.1" customHeight="1" x14ac:dyDescent="0.25">
      <c r="B48" s="46" t="s">
        <v>75</v>
      </c>
      <c r="C48" s="50">
        <v>10</v>
      </c>
      <c r="D48" s="50">
        <v>10</v>
      </c>
      <c r="E48" s="50">
        <v>6</v>
      </c>
      <c r="F48" s="50">
        <v>9</v>
      </c>
      <c r="G48" s="50">
        <v>1</v>
      </c>
      <c r="H48" s="50">
        <v>1</v>
      </c>
      <c r="I48" s="50">
        <v>10</v>
      </c>
      <c r="J48" s="50">
        <v>1</v>
      </c>
      <c r="K48" s="50">
        <v>1</v>
      </c>
      <c r="L48" s="50">
        <v>1</v>
      </c>
      <c r="M48" s="50">
        <v>20</v>
      </c>
      <c r="N48" s="50">
        <v>0</v>
      </c>
      <c r="O48" s="15">
        <f t="shared" si="0"/>
        <v>50</v>
      </c>
      <c r="P48" s="15">
        <f t="shared" si="1"/>
        <v>70</v>
      </c>
      <c r="R48" s="8"/>
      <c r="T48"/>
    </row>
    <row r="49" spans="2:20" ht="23.1" customHeight="1" x14ac:dyDescent="0.25">
      <c r="B49" s="45" t="s">
        <v>76</v>
      </c>
      <c r="C49" s="50">
        <v>15</v>
      </c>
      <c r="D49" s="50">
        <v>17</v>
      </c>
      <c r="E49" s="50">
        <v>10</v>
      </c>
      <c r="F49" s="50">
        <v>19</v>
      </c>
      <c r="G49" s="50">
        <v>0</v>
      </c>
      <c r="H49" s="50">
        <v>0</v>
      </c>
      <c r="I49" s="50">
        <v>3</v>
      </c>
      <c r="J49" s="50">
        <v>2</v>
      </c>
      <c r="K49" s="50">
        <v>0</v>
      </c>
      <c r="L49" s="50">
        <v>0</v>
      </c>
      <c r="M49" s="50">
        <v>17</v>
      </c>
      <c r="N49" s="50">
        <v>0</v>
      </c>
      <c r="O49" s="15">
        <f t="shared" si="0"/>
        <v>66</v>
      </c>
      <c r="P49" s="15">
        <f t="shared" si="1"/>
        <v>83</v>
      </c>
      <c r="R49" s="8"/>
      <c r="T49"/>
    </row>
    <row r="50" spans="2:20" ht="23.1" customHeight="1" x14ac:dyDescent="0.25">
      <c r="B50" s="46" t="s">
        <v>77</v>
      </c>
      <c r="C50" s="50">
        <v>14</v>
      </c>
      <c r="D50" s="50">
        <v>10</v>
      </c>
      <c r="E50" s="50">
        <v>18</v>
      </c>
      <c r="F50" s="50">
        <v>22</v>
      </c>
      <c r="G50" s="50">
        <v>0</v>
      </c>
      <c r="H50" s="50">
        <v>0</v>
      </c>
      <c r="I50" s="50">
        <v>4</v>
      </c>
      <c r="J50" s="50">
        <v>1</v>
      </c>
      <c r="K50" s="50">
        <v>2</v>
      </c>
      <c r="L50" s="50">
        <v>1</v>
      </c>
      <c r="M50" s="50">
        <v>15</v>
      </c>
      <c r="N50" s="50">
        <v>0</v>
      </c>
      <c r="O50" s="15">
        <f t="shared" si="0"/>
        <v>72</v>
      </c>
      <c r="P50" s="15">
        <f t="shared" si="1"/>
        <v>87</v>
      </c>
      <c r="R50" s="8"/>
      <c r="T50"/>
    </row>
    <row r="51" spans="2:20" ht="23.1" customHeight="1" x14ac:dyDescent="0.25">
      <c r="B51" s="46" t="s">
        <v>78</v>
      </c>
      <c r="C51" s="50">
        <v>32</v>
      </c>
      <c r="D51" s="50">
        <v>18</v>
      </c>
      <c r="E51" s="50">
        <v>14</v>
      </c>
      <c r="F51" s="50">
        <v>24</v>
      </c>
      <c r="G51" s="50">
        <v>1</v>
      </c>
      <c r="H51" s="50">
        <v>0</v>
      </c>
      <c r="I51" s="50">
        <v>10</v>
      </c>
      <c r="J51" s="50">
        <v>0</v>
      </c>
      <c r="K51" s="50">
        <v>1</v>
      </c>
      <c r="L51" s="50">
        <v>1</v>
      </c>
      <c r="M51" s="50">
        <v>18</v>
      </c>
      <c r="N51" s="50">
        <v>0</v>
      </c>
      <c r="O51" s="15">
        <f t="shared" si="0"/>
        <v>101</v>
      </c>
      <c r="P51" s="15">
        <f t="shared" si="1"/>
        <v>119</v>
      </c>
      <c r="R51" s="8"/>
      <c r="T51"/>
    </row>
    <row r="52" spans="2:20" ht="23.1" customHeight="1" x14ac:dyDescent="0.25">
      <c r="B52" s="46" t="s">
        <v>79</v>
      </c>
      <c r="C52" s="50">
        <v>10</v>
      </c>
      <c r="D52" s="50">
        <v>15</v>
      </c>
      <c r="E52" s="50">
        <v>12</v>
      </c>
      <c r="F52" s="50">
        <v>17</v>
      </c>
      <c r="G52" s="50">
        <v>0</v>
      </c>
      <c r="H52" s="50">
        <v>0</v>
      </c>
      <c r="I52" s="50">
        <v>9</v>
      </c>
      <c r="J52" s="50">
        <v>0</v>
      </c>
      <c r="K52" s="50">
        <v>0</v>
      </c>
      <c r="L52" s="50">
        <v>0</v>
      </c>
      <c r="M52" s="50">
        <v>32</v>
      </c>
      <c r="N52" s="50">
        <v>0</v>
      </c>
      <c r="O52" s="15">
        <f t="shared" si="0"/>
        <v>63</v>
      </c>
      <c r="P52" s="15">
        <f t="shared" si="1"/>
        <v>95</v>
      </c>
      <c r="R52" s="8"/>
      <c r="T52"/>
    </row>
    <row r="53" spans="2:20" ht="23.1" customHeight="1" x14ac:dyDescent="0.25">
      <c r="B53" s="45" t="s">
        <v>80</v>
      </c>
      <c r="C53" s="50">
        <v>19</v>
      </c>
      <c r="D53" s="50">
        <v>21</v>
      </c>
      <c r="E53" s="50">
        <v>15</v>
      </c>
      <c r="F53" s="50">
        <v>22</v>
      </c>
      <c r="G53" s="50">
        <v>0</v>
      </c>
      <c r="H53" s="50">
        <v>1</v>
      </c>
      <c r="I53" s="50">
        <v>12</v>
      </c>
      <c r="J53" s="50">
        <v>1</v>
      </c>
      <c r="K53" s="50">
        <v>2</v>
      </c>
      <c r="L53" s="50">
        <v>0</v>
      </c>
      <c r="M53" s="50">
        <v>18</v>
      </c>
      <c r="N53" s="50">
        <v>0</v>
      </c>
      <c r="O53" s="15">
        <f t="shared" si="0"/>
        <v>93</v>
      </c>
      <c r="P53" s="15">
        <f t="shared" si="1"/>
        <v>111</v>
      </c>
      <c r="R53" s="8"/>
      <c r="T53"/>
    </row>
    <row r="54" spans="2:20" ht="23.1" customHeight="1" x14ac:dyDescent="0.25">
      <c r="B54" s="45" t="s">
        <v>81</v>
      </c>
      <c r="C54" s="50">
        <v>30</v>
      </c>
      <c r="D54" s="50">
        <v>23</v>
      </c>
      <c r="E54" s="50">
        <v>15</v>
      </c>
      <c r="F54" s="50">
        <v>25</v>
      </c>
      <c r="G54" s="50">
        <v>1</v>
      </c>
      <c r="H54" s="50">
        <v>0</v>
      </c>
      <c r="I54" s="50">
        <v>20</v>
      </c>
      <c r="J54" s="50">
        <v>3</v>
      </c>
      <c r="K54" s="50">
        <v>0</v>
      </c>
      <c r="L54" s="50">
        <v>0</v>
      </c>
      <c r="M54" s="50">
        <v>31</v>
      </c>
      <c r="N54" s="50">
        <v>0</v>
      </c>
      <c r="O54" s="15">
        <f t="shared" si="0"/>
        <v>117</v>
      </c>
      <c r="P54" s="15">
        <f t="shared" si="1"/>
        <v>148</v>
      </c>
      <c r="R54" s="8"/>
      <c r="T54"/>
    </row>
    <row r="55" spans="2:20" ht="23.1" customHeight="1" x14ac:dyDescent="0.25">
      <c r="B55" s="45" t="s">
        <v>82</v>
      </c>
      <c r="C55" s="50">
        <v>22</v>
      </c>
      <c r="D55" s="50">
        <v>15</v>
      </c>
      <c r="E55" s="50">
        <v>12</v>
      </c>
      <c r="F55" s="50">
        <v>15</v>
      </c>
      <c r="G55" s="50">
        <v>0</v>
      </c>
      <c r="H55" s="50">
        <v>1</v>
      </c>
      <c r="I55" s="50">
        <v>15</v>
      </c>
      <c r="J55" s="50">
        <v>2</v>
      </c>
      <c r="K55" s="50">
        <v>0</v>
      </c>
      <c r="L55" s="50">
        <v>0</v>
      </c>
      <c r="M55" s="50">
        <v>23</v>
      </c>
      <c r="N55" s="50">
        <v>0</v>
      </c>
      <c r="O55" s="15">
        <f t="shared" si="0"/>
        <v>82</v>
      </c>
      <c r="P55" s="15">
        <f t="shared" si="1"/>
        <v>105</v>
      </c>
      <c r="R55" s="8"/>
      <c r="T55"/>
    </row>
    <row r="56" spans="2:20" ht="23.1" customHeight="1" x14ac:dyDescent="0.25">
      <c r="B56" s="45" t="s">
        <v>83</v>
      </c>
      <c r="C56" s="50">
        <v>15</v>
      </c>
      <c r="D56" s="50">
        <v>8</v>
      </c>
      <c r="E56" s="50">
        <v>8</v>
      </c>
      <c r="F56" s="50">
        <v>12</v>
      </c>
      <c r="G56" s="50">
        <v>1</v>
      </c>
      <c r="H56" s="50">
        <v>1</v>
      </c>
      <c r="I56" s="50">
        <v>2</v>
      </c>
      <c r="J56" s="50">
        <v>0</v>
      </c>
      <c r="K56" s="50">
        <v>2</v>
      </c>
      <c r="L56" s="50">
        <v>0</v>
      </c>
      <c r="M56" s="50">
        <v>9</v>
      </c>
      <c r="N56" s="50">
        <v>0</v>
      </c>
      <c r="O56" s="15">
        <f t="shared" si="0"/>
        <v>49</v>
      </c>
      <c r="P56" s="15">
        <f t="shared" si="1"/>
        <v>58</v>
      </c>
      <c r="R56" s="8"/>
      <c r="T56"/>
    </row>
    <row r="57" spans="2:20" ht="23.1" customHeight="1" x14ac:dyDescent="0.25">
      <c r="B57" s="45" t="s">
        <v>84</v>
      </c>
      <c r="C57" s="50">
        <v>17</v>
      </c>
      <c r="D57" s="50">
        <v>10</v>
      </c>
      <c r="E57" s="50">
        <v>12</v>
      </c>
      <c r="F57" s="50">
        <v>10</v>
      </c>
      <c r="G57" s="50">
        <v>0</v>
      </c>
      <c r="H57" s="50">
        <v>0</v>
      </c>
      <c r="I57" s="50">
        <v>8</v>
      </c>
      <c r="J57" s="50">
        <v>0</v>
      </c>
      <c r="K57" s="50">
        <v>0</v>
      </c>
      <c r="L57" s="50">
        <v>0</v>
      </c>
      <c r="M57" s="50">
        <v>13</v>
      </c>
      <c r="N57" s="50">
        <v>0</v>
      </c>
      <c r="O57" s="15">
        <f t="shared" si="0"/>
        <v>57</v>
      </c>
      <c r="P57" s="15">
        <f t="shared" si="1"/>
        <v>70</v>
      </c>
      <c r="R57" s="8"/>
      <c r="T57"/>
    </row>
    <row r="58" spans="2:20" ht="23.1" customHeight="1" x14ac:dyDescent="0.25">
      <c r="B58" s="45" t="s">
        <v>99</v>
      </c>
      <c r="C58" s="50">
        <v>14</v>
      </c>
      <c r="D58" s="50">
        <v>1</v>
      </c>
      <c r="E58" s="50">
        <v>2</v>
      </c>
      <c r="F58" s="50">
        <v>12</v>
      </c>
      <c r="G58" s="50">
        <v>0</v>
      </c>
      <c r="H58" s="50">
        <v>0</v>
      </c>
      <c r="I58" s="50">
        <v>2</v>
      </c>
      <c r="J58" s="50">
        <v>1</v>
      </c>
      <c r="K58" s="50">
        <v>0</v>
      </c>
      <c r="L58" s="50">
        <v>1</v>
      </c>
      <c r="M58" s="50">
        <v>14</v>
      </c>
      <c r="N58" s="50">
        <v>0</v>
      </c>
      <c r="O58" s="15">
        <f t="shared" si="0"/>
        <v>33</v>
      </c>
      <c r="P58" s="15">
        <f t="shared" si="1"/>
        <v>47</v>
      </c>
      <c r="R58" s="8"/>
      <c r="T58"/>
    </row>
    <row r="59" spans="2:20" ht="23.1" customHeight="1" x14ac:dyDescent="0.25">
      <c r="B59" s="45" t="s">
        <v>100</v>
      </c>
      <c r="C59" s="50">
        <v>13</v>
      </c>
      <c r="D59" s="50">
        <v>5</v>
      </c>
      <c r="E59" s="50">
        <v>5</v>
      </c>
      <c r="F59" s="50">
        <v>13</v>
      </c>
      <c r="G59" s="50">
        <v>0</v>
      </c>
      <c r="H59" s="50">
        <v>0</v>
      </c>
      <c r="I59" s="50">
        <v>11</v>
      </c>
      <c r="J59" s="50">
        <v>8</v>
      </c>
      <c r="K59" s="50">
        <v>0</v>
      </c>
      <c r="L59" s="50">
        <v>3</v>
      </c>
      <c r="M59" s="50">
        <v>31</v>
      </c>
      <c r="N59" s="50">
        <v>0</v>
      </c>
      <c r="O59" s="15">
        <f t="shared" si="0"/>
        <v>58</v>
      </c>
      <c r="P59" s="15">
        <f t="shared" si="1"/>
        <v>89</v>
      </c>
      <c r="R59" s="8"/>
      <c r="T59"/>
    </row>
    <row r="60" spans="2:20" ht="23.1" customHeight="1" x14ac:dyDescent="0.25">
      <c r="B60" s="45" t="s">
        <v>101</v>
      </c>
      <c r="C60" s="50">
        <v>7</v>
      </c>
      <c r="D60" s="50">
        <v>4</v>
      </c>
      <c r="E60" s="50">
        <v>1</v>
      </c>
      <c r="F60" s="50">
        <v>10</v>
      </c>
      <c r="G60" s="50">
        <v>0</v>
      </c>
      <c r="H60" s="50">
        <v>1</v>
      </c>
      <c r="I60" s="50">
        <v>4</v>
      </c>
      <c r="J60" s="50">
        <v>3</v>
      </c>
      <c r="K60" s="50">
        <v>0</v>
      </c>
      <c r="L60" s="50">
        <v>1</v>
      </c>
      <c r="M60" s="50">
        <v>19</v>
      </c>
      <c r="N60" s="50">
        <v>0</v>
      </c>
      <c r="O60" s="15">
        <f t="shared" si="0"/>
        <v>31</v>
      </c>
      <c r="P60" s="15">
        <f t="shared" si="1"/>
        <v>50</v>
      </c>
      <c r="R60" s="8"/>
      <c r="T60"/>
    </row>
    <row r="61" spans="2:20" ht="23.1" customHeight="1" x14ac:dyDescent="0.25">
      <c r="B61" s="45" t="s">
        <v>102</v>
      </c>
      <c r="C61" s="50">
        <v>14</v>
      </c>
      <c r="D61" s="50">
        <v>3</v>
      </c>
      <c r="E61" s="50">
        <v>2</v>
      </c>
      <c r="F61" s="50">
        <v>12</v>
      </c>
      <c r="G61" s="50">
        <v>0</v>
      </c>
      <c r="H61" s="50">
        <v>1</v>
      </c>
      <c r="I61" s="50">
        <v>3</v>
      </c>
      <c r="J61" s="50">
        <v>1</v>
      </c>
      <c r="K61" s="50">
        <v>0</v>
      </c>
      <c r="L61" s="50">
        <v>0</v>
      </c>
      <c r="M61" s="50">
        <v>8</v>
      </c>
      <c r="N61" s="50">
        <v>0</v>
      </c>
      <c r="O61" s="15">
        <f t="shared" si="0"/>
        <v>36</v>
      </c>
      <c r="P61" s="15">
        <f t="shared" si="1"/>
        <v>44</v>
      </c>
      <c r="R61" s="8"/>
      <c r="T61"/>
    </row>
    <row r="62" spans="2:20" ht="23.1" customHeight="1" x14ac:dyDescent="0.25">
      <c r="B62" s="45" t="s">
        <v>107</v>
      </c>
      <c r="C62" s="50">
        <v>10</v>
      </c>
      <c r="D62" s="50">
        <v>0</v>
      </c>
      <c r="E62" s="50">
        <v>2</v>
      </c>
      <c r="F62" s="50">
        <v>17</v>
      </c>
      <c r="G62" s="50">
        <v>0</v>
      </c>
      <c r="H62" s="50">
        <v>0</v>
      </c>
      <c r="I62" s="50">
        <v>3</v>
      </c>
      <c r="J62" s="50">
        <v>3</v>
      </c>
      <c r="K62" s="50">
        <v>2</v>
      </c>
      <c r="L62" s="50">
        <v>1</v>
      </c>
      <c r="M62" s="50">
        <v>16</v>
      </c>
      <c r="N62" s="50">
        <v>0</v>
      </c>
      <c r="O62" s="15">
        <f t="shared" si="0"/>
        <v>38</v>
      </c>
      <c r="P62" s="15">
        <f t="shared" si="1"/>
        <v>54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2</v>
      </c>
      <c r="E63" s="50">
        <v>0</v>
      </c>
      <c r="F63" s="50">
        <v>5</v>
      </c>
      <c r="G63" s="50">
        <v>0</v>
      </c>
      <c r="H63" s="50">
        <v>0</v>
      </c>
      <c r="I63" s="50">
        <v>1</v>
      </c>
      <c r="J63" s="50">
        <v>0</v>
      </c>
      <c r="K63" s="50">
        <v>5</v>
      </c>
      <c r="L63" s="50">
        <v>0</v>
      </c>
      <c r="M63" s="50">
        <v>9</v>
      </c>
      <c r="N63" s="50">
        <v>0</v>
      </c>
      <c r="O63" s="15">
        <f t="shared" si="0"/>
        <v>15</v>
      </c>
      <c r="P63" s="15">
        <f t="shared" si="1"/>
        <v>24</v>
      </c>
      <c r="R63" s="8"/>
      <c r="T63"/>
    </row>
    <row r="64" spans="2:20" ht="23.1" customHeight="1" x14ac:dyDescent="0.25">
      <c r="B64" s="45" t="s">
        <v>109</v>
      </c>
      <c r="C64" s="50">
        <v>5</v>
      </c>
      <c r="D64" s="50">
        <v>0</v>
      </c>
      <c r="E64" s="50">
        <v>0</v>
      </c>
      <c r="F64" s="50">
        <v>4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4</v>
      </c>
      <c r="N64" s="50">
        <v>0</v>
      </c>
      <c r="O64" s="15">
        <f t="shared" si="0"/>
        <v>9</v>
      </c>
      <c r="P64" s="15">
        <f t="shared" si="1"/>
        <v>13</v>
      </c>
      <c r="R64" s="8"/>
      <c r="T64"/>
    </row>
    <row r="65" spans="2:20" ht="23.1" customHeight="1" x14ac:dyDescent="0.25">
      <c r="B65" s="45" t="s">
        <v>158</v>
      </c>
      <c r="C65" s="50">
        <v>5</v>
      </c>
      <c r="D65" s="50">
        <v>2</v>
      </c>
      <c r="E65" s="50">
        <v>2</v>
      </c>
      <c r="F65" s="50">
        <v>3</v>
      </c>
      <c r="G65" s="50">
        <v>0</v>
      </c>
      <c r="H65" s="50">
        <v>0</v>
      </c>
      <c r="I65" s="50">
        <v>2</v>
      </c>
      <c r="J65" s="50">
        <v>0</v>
      </c>
      <c r="K65" s="50">
        <v>2</v>
      </c>
      <c r="L65" s="50">
        <v>0</v>
      </c>
      <c r="M65" s="50">
        <v>8</v>
      </c>
      <c r="N65" s="50">
        <v>0</v>
      </c>
      <c r="O65" s="15">
        <f t="shared" si="0"/>
        <v>16</v>
      </c>
      <c r="P65" s="15">
        <f t="shared" si="1"/>
        <v>24</v>
      </c>
      <c r="R65" s="8"/>
      <c r="T65"/>
    </row>
    <row r="66" spans="2:20" ht="23.1" customHeight="1" x14ac:dyDescent="0.25">
      <c r="B66" s="45" t="s">
        <v>103</v>
      </c>
      <c r="C66" s="50">
        <v>2</v>
      </c>
      <c r="D66" s="50">
        <v>2</v>
      </c>
      <c r="E66" s="50">
        <v>0</v>
      </c>
      <c r="F66" s="50">
        <v>6</v>
      </c>
      <c r="G66" s="50">
        <v>0</v>
      </c>
      <c r="H66" s="50">
        <v>0</v>
      </c>
      <c r="I66" s="50">
        <v>3</v>
      </c>
      <c r="J66" s="50">
        <v>1</v>
      </c>
      <c r="K66" s="50">
        <v>1</v>
      </c>
      <c r="L66" s="50">
        <v>5</v>
      </c>
      <c r="M66" s="50">
        <v>1</v>
      </c>
      <c r="N66" s="50">
        <v>0</v>
      </c>
      <c r="O66" s="15">
        <f t="shared" si="0"/>
        <v>20</v>
      </c>
      <c r="P66" s="15">
        <f t="shared" si="1"/>
        <v>21</v>
      </c>
      <c r="R66" s="8"/>
      <c r="T66"/>
    </row>
    <row r="67" spans="2:20" ht="23.1" customHeight="1" x14ac:dyDescent="0.25">
      <c r="B67" s="45" t="s">
        <v>104</v>
      </c>
      <c r="C67" s="50">
        <v>3</v>
      </c>
      <c r="D67" s="50">
        <v>3</v>
      </c>
      <c r="E67" s="50">
        <v>0</v>
      </c>
      <c r="F67" s="50">
        <v>4</v>
      </c>
      <c r="G67" s="50">
        <v>0</v>
      </c>
      <c r="H67" s="50">
        <v>0</v>
      </c>
      <c r="I67" s="50">
        <v>2</v>
      </c>
      <c r="J67" s="50">
        <v>0</v>
      </c>
      <c r="K67" s="50">
        <v>2</v>
      </c>
      <c r="L67" s="50">
        <v>0</v>
      </c>
      <c r="M67" s="50">
        <v>7</v>
      </c>
      <c r="N67" s="50">
        <v>0</v>
      </c>
      <c r="O67" s="15">
        <f t="shared" si="0"/>
        <v>14</v>
      </c>
      <c r="P67" s="15">
        <f t="shared" si="1"/>
        <v>21</v>
      </c>
      <c r="R67" s="8"/>
      <c r="T67"/>
    </row>
    <row r="68" spans="2:20" ht="23.1" customHeight="1" x14ac:dyDescent="0.25">
      <c r="B68" s="45" t="s">
        <v>105</v>
      </c>
      <c r="C68" s="50">
        <v>4</v>
      </c>
      <c r="D68" s="50">
        <v>2</v>
      </c>
      <c r="E68" s="50">
        <v>0</v>
      </c>
      <c r="F68" s="50">
        <v>12</v>
      </c>
      <c r="G68" s="50">
        <v>0</v>
      </c>
      <c r="H68" s="50">
        <v>0</v>
      </c>
      <c r="I68" s="50">
        <v>2</v>
      </c>
      <c r="J68" s="50">
        <v>3</v>
      </c>
      <c r="K68" s="50">
        <v>3</v>
      </c>
      <c r="L68" s="50">
        <v>5</v>
      </c>
      <c r="M68" s="50">
        <v>3</v>
      </c>
      <c r="N68" s="50">
        <v>0</v>
      </c>
      <c r="O68" s="15">
        <f t="shared" si="0"/>
        <v>31</v>
      </c>
      <c r="P68" s="15">
        <f t="shared" si="1"/>
        <v>34</v>
      </c>
      <c r="R68" s="8"/>
      <c r="T68"/>
    </row>
    <row r="69" spans="2:20" ht="23.1" customHeight="1" x14ac:dyDescent="0.25">
      <c r="B69" s="45" t="s">
        <v>106</v>
      </c>
      <c r="C69" s="50">
        <v>12</v>
      </c>
      <c r="D69" s="50">
        <v>0</v>
      </c>
      <c r="E69" s="50">
        <v>0</v>
      </c>
      <c r="F69" s="50">
        <v>11</v>
      </c>
      <c r="G69" s="50">
        <v>0</v>
      </c>
      <c r="H69" s="50">
        <v>1</v>
      </c>
      <c r="I69" s="50">
        <v>5</v>
      </c>
      <c r="J69" s="50">
        <v>3</v>
      </c>
      <c r="K69" s="50">
        <v>2</v>
      </c>
      <c r="L69" s="50">
        <v>0</v>
      </c>
      <c r="M69" s="50">
        <v>15</v>
      </c>
      <c r="N69" s="50">
        <v>0</v>
      </c>
      <c r="O69" s="15">
        <f t="shared" si="0"/>
        <v>34</v>
      </c>
      <c r="P69" s="15">
        <f t="shared" si="1"/>
        <v>49</v>
      </c>
      <c r="R69" s="8"/>
      <c r="T69"/>
    </row>
    <row r="70" spans="2:20" ht="23.1" customHeight="1" x14ac:dyDescent="0.25">
      <c r="B70" s="45" t="s">
        <v>110</v>
      </c>
      <c r="C70" s="50">
        <v>13</v>
      </c>
      <c r="D70" s="50">
        <v>2</v>
      </c>
      <c r="E70" s="50">
        <v>1</v>
      </c>
      <c r="F70" s="50">
        <v>11</v>
      </c>
      <c r="G70" s="50">
        <v>0</v>
      </c>
      <c r="H70" s="50">
        <v>0</v>
      </c>
      <c r="I70" s="50">
        <v>3</v>
      </c>
      <c r="J70" s="50">
        <v>1</v>
      </c>
      <c r="K70" s="50">
        <v>1</v>
      </c>
      <c r="L70" s="50">
        <v>1</v>
      </c>
      <c r="M70" s="50">
        <v>8</v>
      </c>
      <c r="N70" s="50">
        <v>0</v>
      </c>
      <c r="O70" s="15">
        <f t="shared" si="0"/>
        <v>33</v>
      </c>
      <c r="P70" s="15">
        <f t="shared" si="1"/>
        <v>41</v>
      </c>
      <c r="R70" s="8"/>
      <c r="T70"/>
    </row>
    <row r="71" spans="2:20" ht="23.1" customHeight="1" x14ac:dyDescent="0.25">
      <c r="B71" s="45" t="s">
        <v>111</v>
      </c>
      <c r="C71" s="50">
        <v>4</v>
      </c>
      <c r="D71" s="50">
        <v>0</v>
      </c>
      <c r="E71" s="50">
        <v>1</v>
      </c>
      <c r="F71" s="50">
        <v>2</v>
      </c>
      <c r="G71" s="50">
        <v>0</v>
      </c>
      <c r="H71" s="50">
        <v>0</v>
      </c>
      <c r="I71" s="50">
        <v>3</v>
      </c>
      <c r="J71" s="50">
        <v>0</v>
      </c>
      <c r="K71" s="50">
        <v>0</v>
      </c>
      <c r="L71" s="50">
        <v>0</v>
      </c>
      <c r="M71" s="50">
        <v>6</v>
      </c>
      <c r="N71" s="50">
        <v>0</v>
      </c>
      <c r="O71" s="15">
        <f t="shared" si="0"/>
        <v>10</v>
      </c>
      <c r="P71" s="15">
        <f t="shared" si="1"/>
        <v>16</v>
      </c>
      <c r="R71" s="8"/>
      <c r="T71"/>
    </row>
    <row r="72" spans="2:20" ht="23.1" customHeight="1" x14ac:dyDescent="0.25">
      <c r="B72" s="45" t="s">
        <v>112</v>
      </c>
      <c r="C72" s="50">
        <v>9</v>
      </c>
      <c r="D72" s="50">
        <v>3</v>
      </c>
      <c r="E72" s="50">
        <v>2</v>
      </c>
      <c r="F72" s="50">
        <v>13</v>
      </c>
      <c r="G72" s="50">
        <v>0</v>
      </c>
      <c r="H72" s="50">
        <v>1</v>
      </c>
      <c r="I72" s="50">
        <v>3</v>
      </c>
      <c r="J72" s="50">
        <v>5</v>
      </c>
      <c r="K72" s="50">
        <v>0</v>
      </c>
      <c r="L72" s="50">
        <v>0</v>
      </c>
      <c r="M72" s="50">
        <v>12</v>
      </c>
      <c r="N72" s="50">
        <v>0</v>
      </c>
      <c r="O72" s="15">
        <f t="shared" si="0"/>
        <v>36</v>
      </c>
      <c r="P72" s="15">
        <f t="shared" si="1"/>
        <v>48</v>
      </c>
      <c r="R72" s="8"/>
      <c r="T72"/>
    </row>
    <row r="73" spans="2:20" ht="23.1" customHeight="1" x14ac:dyDescent="0.25">
      <c r="B73" s="45" t="s">
        <v>113</v>
      </c>
      <c r="C73" s="50">
        <v>18</v>
      </c>
      <c r="D73" s="50">
        <v>2</v>
      </c>
      <c r="E73" s="50">
        <v>1</v>
      </c>
      <c r="F73" s="50">
        <v>6</v>
      </c>
      <c r="G73" s="50">
        <v>0</v>
      </c>
      <c r="H73" s="50">
        <v>0</v>
      </c>
      <c r="I73" s="50">
        <v>5</v>
      </c>
      <c r="J73" s="50">
        <v>1</v>
      </c>
      <c r="K73" s="50">
        <v>0</v>
      </c>
      <c r="L73" s="50">
        <v>3</v>
      </c>
      <c r="M73" s="50">
        <v>11</v>
      </c>
      <c r="N73" s="50">
        <v>0</v>
      </c>
      <c r="O73" s="15">
        <f t="shared" si="0"/>
        <v>36</v>
      </c>
      <c r="P73" s="15">
        <f t="shared" si="1"/>
        <v>47</v>
      </c>
      <c r="R73" s="8"/>
      <c r="T73"/>
    </row>
    <row r="74" spans="2:20" ht="23.1" customHeight="1" x14ac:dyDescent="0.25">
      <c r="B74" s="45" t="s">
        <v>114</v>
      </c>
      <c r="C74" s="50">
        <v>16</v>
      </c>
      <c r="D74" s="50">
        <v>2</v>
      </c>
      <c r="E74" s="50">
        <v>1</v>
      </c>
      <c r="F74" s="50">
        <v>14</v>
      </c>
      <c r="G74" s="50">
        <v>0</v>
      </c>
      <c r="H74" s="50">
        <v>0</v>
      </c>
      <c r="I74" s="50">
        <v>4</v>
      </c>
      <c r="J74" s="50">
        <v>4</v>
      </c>
      <c r="K74" s="50">
        <v>2</v>
      </c>
      <c r="L74" s="50">
        <v>2</v>
      </c>
      <c r="M74" s="50">
        <v>9</v>
      </c>
      <c r="N74" s="50">
        <v>0</v>
      </c>
      <c r="O74" s="15">
        <f t="shared" ref="O74:O105" si="35">SUM(C74:L74,N74)</f>
        <v>45</v>
      </c>
      <c r="P74" s="15">
        <f t="shared" ref="P74:P105" si="36">SUM(C74:N74)</f>
        <v>54</v>
      </c>
      <c r="R74" s="8"/>
      <c r="T74"/>
    </row>
    <row r="75" spans="2:20" ht="23.1" customHeight="1" x14ac:dyDescent="0.25">
      <c r="B75" s="45" t="s">
        <v>115</v>
      </c>
      <c r="C75" s="50">
        <v>17</v>
      </c>
      <c r="D75" s="50">
        <v>0</v>
      </c>
      <c r="E75" s="50">
        <v>1</v>
      </c>
      <c r="F75" s="50">
        <v>2</v>
      </c>
      <c r="G75" s="50">
        <v>0</v>
      </c>
      <c r="H75" s="50">
        <v>1</v>
      </c>
      <c r="I75" s="50">
        <v>2</v>
      </c>
      <c r="J75" s="50">
        <v>4</v>
      </c>
      <c r="K75" s="50">
        <v>4</v>
      </c>
      <c r="L75" s="50">
        <v>1</v>
      </c>
      <c r="M75" s="50">
        <v>5</v>
      </c>
      <c r="N75" s="50">
        <v>0</v>
      </c>
      <c r="O75" s="15">
        <f t="shared" si="35"/>
        <v>32</v>
      </c>
      <c r="P75" s="15">
        <f t="shared" si="36"/>
        <v>37</v>
      </c>
      <c r="R75" s="8"/>
      <c r="T75"/>
    </row>
    <row r="76" spans="2:20" ht="23.1" customHeight="1" x14ac:dyDescent="0.25">
      <c r="B76" s="45" t="s">
        <v>116</v>
      </c>
      <c r="C76" s="50">
        <v>15</v>
      </c>
      <c r="D76" s="50">
        <v>0</v>
      </c>
      <c r="E76" s="50">
        <v>4</v>
      </c>
      <c r="F76" s="50">
        <v>3</v>
      </c>
      <c r="G76" s="50">
        <v>0</v>
      </c>
      <c r="H76" s="50">
        <v>0</v>
      </c>
      <c r="I76" s="50">
        <v>2</v>
      </c>
      <c r="J76" s="50">
        <v>4</v>
      </c>
      <c r="K76" s="50">
        <v>0</v>
      </c>
      <c r="L76" s="50">
        <v>2</v>
      </c>
      <c r="M76" s="50">
        <v>10</v>
      </c>
      <c r="N76" s="50">
        <v>0</v>
      </c>
      <c r="O76" s="15">
        <f t="shared" si="35"/>
        <v>30</v>
      </c>
      <c r="P76" s="15">
        <f t="shared" si="36"/>
        <v>40</v>
      </c>
      <c r="R76" s="8"/>
      <c r="T76"/>
    </row>
    <row r="77" spans="2:20" ht="23.1" customHeight="1" x14ac:dyDescent="0.25">
      <c r="B77" s="45" t="s">
        <v>117</v>
      </c>
      <c r="C77" s="50">
        <v>11</v>
      </c>
      <c r="D77" s="50">
        <v>1</v>
      </c>
      <c r="E77" s="50">
        <v>0</v>
      </c>
      <c r="F77" s="50">
        <v>3</v>
      </c>
      <c r="G77" s="50">
        <v>0</v>
      </c>
      <c r="H77" s="50">
        <v>0</v>
      </c>
      <c r="I77" s="50">
        <v>2</v>
      </c>
      <c r="J77" s="50">
        <v>0</v>
      </c>
      <c r="K77" s="50">
        <v>3</v>
      </c>
      <c r="L77" s="50">
        <v>0</v>
      </c>
      <c r="M77" s="50">
        <v>5</v>
      </c>
      <c r="N77" s="50">
        <v>0</v>
      </c>
      <c r="O77" s="15">
        <f t="shared" si="35"/>
        <v>20</v>
      </c>
      <c r="P77" s="15">
        <f t="shared" si="36"/>
        <v>25</v>
      </c>
      <c r="R77" s="8"/>
      <c r="T77"/>
    </row>
    <row r="78" spans="2:20" ht="23.1" customHeight="1" x14ac:dyDescent="0.25">
      <c r="B78" s="46" t="s">
        <v>118</v>
      </c>
      <c r="C78" s="50">
        <v>10</v>
      </c>
      <c r="D78" s="50">
        <v>1</v>
      </c>
      <c r="E78" s="50">
        <v>1</v>
      </c>
      <c r="F78" s="50">
        <v>7</v>
      </c>
      <c r="G78" s="50">
        <v>0</v>
      </c>
      <c r="H78" s="50">
        <v>0</v>
      </c>
      <c r="I78" s="50">
        <v>4</v>
      </c>
      <c r="J78" s="50">
        <v>1</v>
      </c>
      <c r="K78" s="50">
        <v>0</v>
      </c>
      <c r="L78" s="50">
        <v>1</v>
      </c>
      <c r="M78" s="50">
        <v>5</v>
      </c>
      <c r="N78" s="50">
        <v>0</v>
      </c>
      <c r="O78" s="15">
        <f t="shared" si="35"/>
        <v>25</v>
      </c>
      <c r="P78" s="15">
        <f t="shared" si="36"/>
        <v>30</v>
      </c>
      <c r="R78" s="8"/>
      <c r="T78"/>
    </row>
    <row r="79" spans="2:20" ht="23.1" customHeight="1" x14ac:dyDescent="0.25">
      <c r="B79" s="45" t="s">
        <v>119</v>
      </c>
      <c r="C79" s="50">
        <v>11</v>
      </c>
      <c r="D79" s="50">
        <v>1</v>
      </c>
      <c r="E79" s="50">
        <v>0</v>
      </c>
      <c r="F79" s="50">
        <v>7</v>
      </c>
      <c r="G79" s="50">
        <v>0</v>
      </c>
      <c r="H79" s="50">
        <v>0</v>
      </c>
      <c r="I79" s="50">
        <v>2</v>
      </c>
      <c r="J79" s="50">
        <v>1</v>
      </c>
      <c r="K79" s="50">
        <v>0</v>
      </c>
      <c r="L79" s="50">
        <v>1</v>
      </c>
      <c r="M79" s="50">
        <v>6</v>
      </c>
      <c r="N79" s="50">
        <v>0</v>
      </c>
      <c r="O79" s="15">
        <f t="shared" si="35"/>
        <v>23</v>
      </c>
      <c r="P79" s="15">
        <f t="shared" si="36"/>
        <v>29</v>
      </c>
      <c r="R79" s="8"/>
      <c r="T79"/>
    </row>
    <row r="80" spans="2:20" ht="23.1" customHeight="1" x14ac:dyDescent="0.25">
      <c r="B80" s="47" t="s">
        <v>120</v>
      </c>
      <c r="C80" s="50">
        <v>10</v>
      </c>
      <c r="D80" s="50">
        <v>1</v>
      </c>
      <c r="E80" s="50">
        <v>4</v>
      </c>
      <c r="F80" s="50">
        <v>5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6</v>
      </c>
      <c r="N80" s="50">
        <v>0</v>
      </c>
      <c r="O80" s="15">
        <f t="shared" si="35"/>
        <v>21</v>
      </c>
      <c r="P80" s="15">
        <f t="shared" si="36"/>
        <v>27</v>
      </c>
      <c r="R80" s="8"/>
      <c r="T80"/>
    </row>
    <row r="81" spans="2:20" ht="23.1" customHeight="1" x14ac:dyDescent="0.25">
      <c r="B81" s="45" t="s">
        <v>121</v>
      </c>
      <c r="C81" s="50">
        <v>5</v>
      </c>
      <c r="D81" s="50">
        <v>1</v>
      </c>
      <c r="E81" s="50">
        <v>0</v>
      </c>
      <c r="F81" s="50">
        <v>2</v>
      </c>
      <c r="G81" s="50">
        <v>0</v>
      </c>
      <c r="H81" s="50">
        <v>0</v>
      </c>
      <c r="I81" s="50">
        <v>3</v>
      </c>
      <c r="J81" s="50">
        <v>1</v>
      </c>
      <c r="K81" s="50">
        <v>0</v>
      </c>
      <c r="L81" s="50">
        <v>0</v>
      </c>
      <c r="M81" s="50">
        <v>3</v>
      </c>
      <c r="N81" s="50">
        <v>0</v>
      </c>
      <c r="O81" s="15">
        <f t="shared" si="35"/>
        <v>12</v>
      </c>
      <c r="P81" s="15">
        <f t="shared" si="36"/>
        <v>15</v>
      </c>
      <c r="R81" s="8"/>
      <c r="T81"/>
    </row>
    <row r="82" spans="2:20" ht="23.1" customHeight="1" x14ac:dyDescent="0.25">
      <c r="B82" s="46" t="s">
        <v>122</v>
      </c>
      <c r="C82" s="50">
        <v>3</v>
      </c>
      <c r="D82" s="50">
        <v>1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3</v>
      </c>
      <c r="K82" s="50">
        <v>1</v>
      </c>
      <c r="L82" s="50">
        <v>0</v>
      </c>
      <c r="M82" s="50">
        <v>2</v>
      </c>
      <c r="N82" s="50">
        <v>0</v>
      </c>
      <c r="O82" s="15">
        <f t="shared" si="35"/>
        <v>9</v>
      </c>
      <c r="P82" s="15">
        <f t="shared" si="36"/>
        <v>11</v>
      </c>
      <c r="R82" s="8"/>
      <c r="T82"/>
    </row>
    <row r="83" spans="2:20" ht="23.1" customHeight="1" x14ac:dyDescent="0.25">
      <c r="B83" s="45" t="s">
        <v>123</v>
      </c>
      <c r="C83" s="50">
        <v>4</v>
      </c>
      <c r="D83" s="50">
        <v>3</v>
      </c>
      <c r="E83" s="50">
        <v>1</v>
      </c>
      <c r="F83" s="50">
        <v>1</v>
      </c>
      <c r="G83" s="50">
        <v>0</v>
      </c>
      <c r="H83" s="50">
        <v>0</v>
      </c>
      <c r="I83" s="50">
        <v>3</v>
      </c>
      <c r="J83" s="50">
        <v>0</v>
      </c>
      <c r="K83" s="50">
        <v>0</v>
      </c>
      <c r="L83" s="50">
        <v>2</v>
      </c>
      <c r="M83" s="50">
        <v>3</v>
      </c>
      <c r="N83" s="50">
        <v>0</v>
      </c>
      <c r="O83" s="15">
        <f t="shared" si="35"/>
        <v>14</v>
      </c>
      <c r="P83" s="15">
        <f t="shared" si="36"/>
        <v>17</v>
      </c>
      <c r="R83" s="8"/>
      <c r="T83"/>
    </row>
    <row r="84" spans="2:20" ht="23.1" customHeight="1" x14ac:dyDescent="0.25">
      <c r="B84" s="47" t="s">
        <v>124</v>
      </c>
      <c r="C84" s="50">
        <v>6</v>
      </c>
      <c r="D84" s="50">
        <v>1</v>
      </c>
      <c r="E84" s="50">
        <v>0</v>
      </c>
      <c r="F84" s="50">
        <v>0</v>
      </c>
      <c r="G84" s="50">
        <v>0</v>
      </c>
      <c r="H84" s="50">
        <v>0</v>
      </c>
      <c r="I84" s="50">
        <v>2</v>
      </c>
      <c r="J84" s="50">
        <v>0</v>
      </c>
      <c r="K84" s="50">
        <v>2</v>
      </c>
      <c r="L84" s="50">
        <v>1</v>
      </c>
      <c r="M84" s="50">
        <v>1</v>
      </c>
      <c r="N84" s="50">
        <v>0</v>
      </c>
      <c r="O84" s="15">
        <f t="shared" si="35"/>
        <v>12</v>
      </c>
      <c r="P84" s="15">
        <f t="shared" si="36"/>
        <v>13</v>
      </c>
      <c r="R84" s="8"/>
      <c r="T84"/>
    </row>
    <row r="85" spans="2:20" ht="23.1" customHeight="1" x14ac:dyDescent="0.25">
      <c r="B85" s="45" t="s">
        <v>125</v>
      </c>
      <c r="C85" s="50">
        <v>2</v>
      </c>
      <c r="D85" s="50">
        <v>3</v>
      </c>
      <c r="E85" s="50">
        <v>0</v>
      </c>
      <c r="F85" s="50">
        <v>2</v>
      </c>
      <c r="G85" s="50">
        <v>0</v>
      </c>
      <c r="H85" s="50">
        <v>0</v>
      </c>
      <c r="I85" s="50">
        <v>0</v>
      </c>
      <c r="J85" s="50">
        <v>2</v>
      </c>
      <c r="K85" s="50">
        <v>0</v>
      </c>
      <c r="L85" s="50">
        <v>0</v>
      </c>
      <c r="M85" s="50">
        <v>5</v>
      </c>
      <c r="N85" s="50">
        <v>0</v>
      </c>
      <c r="O85" s="15">
        <f t="shared" si="35"/>
        <v>9</v>
      </c>
      <c r="P85" s="15">
        <f t="shared" si="36"/>
        <v>14</v>
      </c>
      <c r="R85" s="8"/>
      <c r="T85"/>
    </row>
    <row r="86" spans="2:20" ht="23.1" customHeight="1" x14ac:dyDescent="0.25">
      <c r="B86" s="46" t="s">
        <v>126</v>
      </c>
      <c r="C86" s="50">
        <v>4</v>
      </c>
      <c r="D86" s="50">
        <v>2</v>
      </c>
      <c r="E86" s="50">
        <v>1</v>
      </c>
      <c r="F86" s="50">
        <v>0</v>
      </c>
      <c r="G86" s="50">
        <v>0</v>
      </c>
      <c r="H86" s="50">
        <v>0</v>
      </c>
      <c r="I86" s="50">
        <v>0</v>
      </c>
      <c r="J86" s="50">
        <v>2</v>
      </c>
      <c r="K86" s="50">
        <v>3</v>
      </c>
      <c r="L86" s="50">
        <v>0</v>
      </c>
      <c r="M86" s="50">
        <v>2</v>
      </c>
      <c r="N86" s="50">
        <v>0</v>
      </c>
      <c r="O86" s="15">
        <f t="shared" si="35"/>
        <v>12</v>
      </c>
      <c r="P86" s="15">
        <f t="shared" si="36"/>
        <v>14</v>
      </c>
      <c r="R86" s="8"/>
      <c r="T86"/>
    </row>
    <row r="87" spans="2:20" ht="23.1" customHeight="1" x14ac:dyDescent="0.25">
      <c r="B87" s="45" t="s">
        <v>127</v>
      </c>
      <c r="C87" s="50">
        <v>2</v>
      </c>
      <c r="D87" s="50">
        <v>1</v>
      </c>
      <c r="E87" s="50">
        <v>4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1</v>
      </c>
      <c r="L87" s="50">
        <v>1</v>
      </c>
      <c r="M87" s="50">
        <v>0</v>
      </c>
      <c r="N87" s="50">
        <v>0</v>
      </c>
      <c r="O87" s="15">
        <f t="shared" si="35"/>
        <v>9</v>
      </c>
      <c r="P87" s="15">
        <f t="shared" si="36"/>
        <v>9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3</v>
      </c>
      <c r="J88" s="50">
        <v>0</v>
      </c>
      <c r="K88" s="50">
        <v>2</v>
      </c>
      <c r="L88" s="50">
        <v>0</v>
      </c>
      <c r="M88" s="50">
        <v>2</v>
      </c>
      <c r="N88" s="50">
        <v>0</v>
      </c>
      <c r="O88" s="15">
        <f t="shared" si="35"/>
        <v>5</v>
      </c>
      <c r="P88" s="15">
        <f t="shared" si="36"/>
        <v>7</v>
      </c>
      <c r="R88" s="8"/>
      <c r="T88"/>
    </row>
    <row r="89" spans="2:20" ht="23.1" customHeight="1" x14ac:dyDescent="0.25">
      <c r="B89" s="45" t="s">
        <v>129</v>
      </c>
      <c r="C89" s="50">
        <v>1</v>
      </c>
      <c r="D89" s="50">
        <v>1</v>
      </c>
      <c r="E89" s="50">
        <v>0</v>
      </c>
      <c r="F89" s="50">
        <v>1</v>
      </c>
      <c r="G89" s="50">
        <v>0</v>
      </c>
      <c r="H89" s="50">
        <v>0</v>
      </c>
      <c r="I89" s="50">
        <v>1</v>
      </c>
      <c r="J89" s="50">
        <v>2</v>
      </c>
      <c r="K89" s="50">
        <v>0</v>
      </c>
      <c r="L89" s="50">
        <v>0</v>
      </c>
      <c r="M89" s="50">
        <v>1</v>
      </c>
      <c r="N89" s="50">
        <v>0</v>
      </c>
      <c r="O89" s="15">
        <f t="shared" si="35"/>
        <v>6</v>
      </c>
      <c r="P89" s="15">
        <f t="shared" si="36"/>
        <v>7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2</v>
      </c>
      <c r="K90" s="50">
        <v>1</v>
      </c>
      <c r="L90" s="50">
        <v>0</v>
      </c>
      <c r="M90" s="50">
        <v>1</v>
      </c>
      <c r="N90" s="50">
        <v>0</v>
      </c>
      <c r="O90" s="15">
        <f t="shared" si="35"/>
        <v>5</v>
      </c>
      <c r="P90" s="15">
        <f t="shared" si="36"/>
        <v>6</v>
      </c>
      <c r="R90" s="8"/>
      <c r="T90"/>
    </row>
    <row r="91" spans="2:20" ht="23.1" customHeight="1" x14ac:dyDescent="0.25">
      <c r="B91" s="45" t="s">
        <v>131</v>
      </c>
      <c r="C91" s="50">
        <v>2</v>
      </c>
      <c r="D91" s="50">
        <v>1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1</v>
      </c>
      <c r="M91" s="50">
        <v>0</v>
      </c>
      <c r="N91" s="50">
        <v>0</v>
      </c>
      <c r="O91" s="15">
        <f t="shared" si="35"/>
        <v>4</v>
      </c>
      <c r="P91" s="15">
        <f t="shared" si="36"/>
        <v>4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1</v>
      </c>
      <c r="E92" s="50">
        <v>0</v>
      </c>
      <c r="F92" s="50">
        <v>0</v>
      </c>
      <c r="G92" s="50">
        <v>0</v>
      </c>
      <c r="H92" s="50">
        <v>0</v>
      </c>
      <c r="I92" s="50">
        <v>2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3</v>
      </c>
      <c r="P92" s="15">
        <f t="shared" si="36"/>
        <v>3</v>
      </c>
      <c r="R92" s="8"/>
      <c r="T92"/>
    </row>
    <row r="93" spans="2:20" ht="23.1" customHeight="1" x14ac:dyDescent="0.25">
      <c r="B93" s="45" t="s">
        <v>133</v>
      </c>
      <c r="C93" s="50">
        <v>3</v>
      </c>
      <c r="D93" s="50">
        <v>0</v>
      </c>
      <c r="E93" s="50">
        <v>1</v>
      </c>
      <c r="F93" s="50">
        <v>1</v>
      </c>
      <c r="G93" s="50">
        <v>0</v>
      </c>
      <c r="H93" s="50">
        <v>0</v>
      </c>
      <c r="I93" s="50">
        <v>2</v>
      </c>
      <c r="J93" s="50">
        <v>3</v>
      </c>
      <c r="K93" s="50">
        <v>0</v>
      </c>
      <c r="L93" s="50">
        <v>0</v>
      </c>
      <c r="M93" s="50">
        <v>3</v>
      </c>
      <c r="N93" s="50">
        <v>0</v>
      </c>
      <c r="O93" s="15">
        <f t="shared" si="35"/>
        <v>10</v>
      </c>
      <c r="P93" s="15">
        <f t="shared" si="36"/>
        <v>13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2</v>
      </c>
      <c r="J94" s="50">
        <v>0</v>
      </c>
      <c r="K94" s="50">
        <v>1</v>
      </c>
      <c r="L94" s="50">
        <v>0</v>
      </c>
      <c r="M94" s="50">
        <v>2</v>
      </c>
      <c r="N94" s="50">
        <v>0</v>
      </c>
      <c r="O94" s="15">
        <f t="shared" si="35"/>
        <v>5</v>
      </c>
      <c r="P94" s="15">
        <f t="shared" si="36"/>
        <v>7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2</v>
      </c>
      <c r="N95" s="50">
        <v>0</v>
      </c>
      <c r="O95" s="15">
        <f t="shared" si="35"/>
        <v>0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1</v>
      </c>
      <c r="E96" s="50">
        <v>0</v>
      </c>
      <c r="F96" s="50">
        <v>0</v>
      </c>
      <c r="G96" s="50">
        <v>0</v>
      </c>
      <c r="H96" s="50">
        <v>0</v>
      </c>
      <c r="I96" s="50">
        <v>2</v>
      </c>
      <c r="J96" s="50">
        <v>0</v>
      </c>
      <c r="K96" s="50">
        <v>1</v>
      </c>
      <c r="L96" s="50">
        <v>0</v>
      </c>
      <c r="M96" s="50">
        <v>6</v>
      </c>
      <c r="N96" s="50">
        <v>0</v>
      </c>
      <c r="O96" s="15">
        <f t="shared" si="35"/>
        <v>7</v>
      </c>
      <c r="P96" s="15">
        <f t="shared" si="36"/>
        <v>13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1</v>
      </c>
      <c r="E97" s="50">
        <v>0</v>
      </c>
      <c r="F97" s="50">
        <v>2</v>
      </c>
      <c r="G97" s="50">
        <v>0</v>
      </c>
      <c r="H97" s="50">
        <v>0</v>
      </c>
      <c r="I97" s="50">
        <v>4</v>
      </c>
      <c r="J97" s="50">
        <v>1</v>
      </c>
      <c r="K97" s="50">
        <v>0</v>
      </c>
      <c r="L97" s="50">
        <v>0</v>
      </c>
      <c r="M97" s="50">
        <v>2</v>
      </c>
      <c r="N97" s="50">
        <v>0</v>
      </c>
      <c r="O97" s="15">
        <f t="shared" si="35"/>
        <v>10</v>
      </c>
      <c r="P97" s="15">
        <f t="shared" si="36"/>
        <v>12</v>
      </c>
      <c r="R97" s="8"/>
      <c r="T97"/>
    </row>
    <row r="98" spans="2:20" ht="23.1" customHeight="1" x14ac:dyDescent="0.25">
      <c r="B98" s="46" t="s">
        <v>138</v>
      </c>
      <c r="C98" s="50">
        <v>3</v>
      </c>
      <c r="D98" s="50">
        <v>1</v>
      </c>
      <c r="E98" s="50">
        <v>1</v>
      </c>
      <c r="F98" s="50">
        <v>0</v>
      </c>
      <c r="G98" s="50">
        <v>0</v>
      </c>
      <c r="H98" s="50">
        <v>1</v>
      </c>
      <c r="I98" s="50">
        <v>3</v>
      </c>
      <c r="J98" s="50">
        <v>0</v>
      </c>
      <c r="K98" s="50">
        <v>2</v>
      </c>
      <c r="L98" s="50">
        <v>0</v>
      </c>
      <c r="M98" s="50">
        <v>7</v>
      </c>
      <c r="N98" s="50">
        <v>0</v>
      </c>
      <c r="O98" s="15">
        <f t="shared" si="35"/>
        <v>11</v>
      </c>
      <c r="P98" s="15">
        <f t="shared" si="36"/>
        <v>18</v>
      </c>
      <c r="R98" s="8"/>
      <c r="T98"/>
    </row>
    <row r="99" spans="2:20" ht="23.1" customHeight="1" x14ac:dyDescent="0.25">
      <c r="B99" s="45" t="s">
        <v>139</v>
      </c>
      <c r="C99" s="50">
        <v>7</v>
      </c>
      <c r="D99" s="50">
        <v>0</v>
      </c>
      <c r="E99" s="50">
        <v>0</v>
      </c>
      <c r="F99" s="50">
        <v>2</v>
      </c>
      <c r="G99" s="50">
        <v>1</v>
      </c>
      <c r="H99" s="50">
        <v>0</v>
      </c>
      <c r="I99" s="50">
        <v>0</v>
      </c>
      <c r="J99" s="50">
        <v>0</v>
      </c>
      <c r="K99" s="50">
        <v>1</v>
      </c>
      <c r="L99" s="50">
        <v>0</v>
      </c>
      <c r="M99" s="50">
        <v>4</v>
      </c>
      <c r="N99" s="50">
        <v>0</v>
      </c>
      <c r="O99" s="15">
        <f t="shared" si="35"/>
        <v>11</v>
      </c>
      <c r="P99" s="15">
        <f t="shared" si="36"/>
        <v>15</v>
      </c>
      <c r="R99" s="8"/>
      <c r="T99"/>
    </row>
    <row r="100" spans="2:20" ht="23.1" customHeight="1" x14ac:dyDescent="0.25">
      <c r="B100" s="47" t="s">
        <v>140</v>
      </c>
      <c r="C100" s="50">
        <v>4</v>
      </c>
      <c r="D100" s="50">
        <v>1</v>
      </c>
      <c r="E100" s="50">
        <v>2</v>
      </c>
      <c r="F100" s="50">
        <v>0</v>
      </c>
      <c r="G100" s="50">
        <v>0</v>
      </c>
      <c r="H100" s="50">
        <v>0</v>
      </c>
      <c r="I100" s="50">
        <v>1</v>
      </c>
      <c r="J100" s="50">
        <v>0</v>
      </c>
      <c r="K100" s="50">
        <v>1</v>
      </c>
      <c r="L100" s="50">
        <v>0</v>
      </c>
      <c r="M100" s="50">
        <v>10</v>
      </c>
      <c r="N100" s="50">
        <v>0</v>
      </c>
      <c r="O100" s="15">
        <f t="shared" si="35"/>
        <v>9</v>
      </c>
      <c r="P100" s="15">
        <f t="shared" si="36"/>
        <v>19</v>
      </c>
      <c r="R100" s="8"/>
      <c r="T100"/>
    </row>
    <row r="101" spans="2:20" ht="23.1" customHeight="1" x14ac:dyDescent="0.25">
      <c r="B101" s="45" t="s">
        <v>141</v>
      </c>
      <c r="C101" s="50">
        <v>7</v>
      </c>
      <c r="D101" s="50">
        <v>2</v>
      </c>
      <c r="E101" s="50">
        <v>0</v>
      </c>
      <c r="F101" s="50">
        <v>0</v>
      </c>
      <c r="G101" s="50">
        <v>0</v>
      </c>
      <c r="H101" s="50">
        <v>0</v>
      </c>
      <c r="I101" s="50">
        <v>3</v>
      </c>
      <c r="J101" s="50">
        <v>0</v>
      </c>
      <c r="K101" s="50">
        <v>0</v>
      </c>
      <c r="L101" s="50">
        <v>1</v>
      </c>
      <c r="M101" s="50">
        <v>3</v>
      </c>
      <c r="N101" s="50">
        <v>0</v>
      </c>
      <c r="O101" s="15">
        <f t="shared" si="35"/>
        <v>13</v>
      </c>
      <c r="P101" s="15">
        <f t="shared" si="36"/>
        <v>16</v>
      </c>
      <c r="R101" s="8"/>
      <c r="T101"/>
    </row>
    <row r="102" spans="2:20" ht="23.1" customHeight="1" x14ac:dyDescent="0.25">
      <c r="B102" s="46" t="s">
        <v>142</v>
      </c>
      <c r="C102" s="50">
        <v>2</v>
      </c>
      <c r="D102" s="50">
        <v>1</v>
      </c>
      <c r="E102" s="50">
        <v>1</v>
      </c>
      <c r="F102" s="50">
        <v>0</v>
      </c>
      <c r="G102" s="50">
        <v>0</v>
      </c>
      <c r="H102" s="50">
        <v>0</v>
      </c>
      <c r="I102" s="50">
        <v>2</v>
      </c>
      <c r="J102" s="50">
        <v>2</v>
      </c>
      <c r="K102" s="50">
        <v>1</v>
      </c>
      <c r="L102" s="50">
        <v>0</v>
      </c>
      <c r="M102" s="50">
        <v>5</v>
      </c>
      <c r="N102" s="50">
        <v>0</v>
      </c>
      <c r="O102" s="15">
        <f t="shared" si="35"/>
        <v>9</v>
      </c>
      <c r="P102" s="15">
        <f t="shared" si="36"/>
        <v>14</v>
      </c>
      <c r="R102" s="8"/>
      <c r="T102"/>
    </row>
    <row r="103" spans="2:20" ht="23.1" customHeight="1" x14ac:dyDescent="0.25">
      <c r="B103" s="45" t="s">
        <v>143</v>
      </c>
      <c r="C103" s="50">
        <v>6</v>
      </c>
      <c r="D103" s="50">
        <v>1</v>
      </c>
      <c r="E103" s="50">
        <v>2</v>
      </c>
      <c r="F103" s="50">
        <v>0</v>
      </c>
      <c r="G103" s="50">
        <v>1</v>
      </c>
      <c r="H103" s="50">
        <v>0</v>
      </c>
      <c r="I103" s="50">
        <v>0</v>
      </c>
      <c r="J103" s="50">
        <v>1</v>
      </c>
      <c r="K103" s="50">
        <v>0</v>
      </c>
      <c r="L103" s="50">
        <v>0</v>
      </c>
      <c r="M103" s="50">
        <v>3</v>
      </c>
      <c r="N103" s="50">
        <v>0</v>
      </c>
      <c r="O103" s="15">
        <f t="shared" si="35"/>
        <v>11</v>
      </c>
      <c r="P103" s="15">
        <f t="shared" si="36"/>
        <v>14</v>
      </c>
      <c r="R103" s="8"/>
      <c r="T103"/>
    </row>
    <row r="104" spans="2:20" ht="23.1" customHeight="1" x14ac:dyDescent="0.25">
      <c r="B104" s="47" t="s">
        <v>144</v>
      </c>
      <c r="C104" s="50">
        <v>3</v>
      </c>
      <c r="D104" s="50">
        <v>1</v>
      </c>
      <c r="E104" s="50">
        <v>0</v>
      </c>
      <c r="F104" s="50">
        <v>0</v>
      </c>
      <c r="G104" s="50">
        <v>0</v>
      </c>
      <c r="H104" s="50">
        <v>0</v>
      </c>
      <c r="I104" s="50">
        <v>4</v>
      </c>
      <c r="J104" s="50">
        <v>0</v>
      </c>
      <c r="K104" s="50">
        <v>0</v>
      </c>
      <c r="L104" s="50">
        <v>0</v>
      </c>
      <c r="M104" s="50">
        <v>8</v>
      </c>
      <c r="N104" s="50">
        <v>0</v>
      </c>
      <c r="O104" s="15">
        <f t="shared" si="35"/>
        <v>8</v>
      </c>
      <c r="P104" s="15">
        <f t="shared" si="36"/>
        <v>16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1</v>
      </c>
      <c r="E105" s="50">
        <v>0</v>
      </c>
      <c r="F105" s="50">
        <v>0</v>
      </c>
      <c r="G105" s="50">
        <v>1</v>
      </c>
      <c r="H105" s="50">
        <v>0</v>
      </c>
      <c r="I105" s="50">
        <v>0</v>
      </c>
      <c r="J105" s="50">
        <v>0</v>
      </c>
      <c r="K105" s="50">
        <v>1</v>
      </c>
      <c r="L105" s="50">
        <v>0</v>
      </c>
      <c r="M105" s="50">
        <v>9</v>
      </c>
      <c r="N105" s="50">
        <v>0</v>
      </c>
      <c r="O105" s="15">
        <f t="shared" si="35"/>
        <v>5</v>
      </c>
      <c r="P105" s="15">
        <f t="shared" si="36"/>
        <v>14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1100</v>
      </c>
      <c r="D106" s="16">
        <f t="shared" ref="D106:P106" si="37">SUM(D10:D105)</f>
        <v>619</v>
      </c>
      <c r="E106" s="16">
        <f t="shared" si="37"/>
        <v>428</v>
      </c>
      <c r="F106" s="16">
        <f t="shared" si="37"/>
        <v>1074</v>
      </c>
      <c r="G106" s="16">
        <f t="shared" si="37"/>
        <v>29</v>
      </c>
      <c r="H106" s="16">
        <f t="shared" si="37"/>
        <v>25</v>
      </c>
      <c r="I106" s="16">
        <f t="shared" si="37"/>
        <v>524</v>
      </c>
      <c r="J106" s="16">
        <f t="shared" si="37"/>
        <v>112</v>
      </c>
      <c r="K106" s="16">
        <f t="shared" si="37"/>
        <v>94</v>
      </c>
      <c r="L106" s="16">
        <f t="shared" si="37"/>
        <v>46</v>
      </c>
      <c r="M106" s="16">
        <f t="shared" si="37"/>
        <v>1306</v>
      </c>
      <c r="N106" s="16">
        <f t="shared" si="37"/>
        <v>1</v>
      </c>
      <c r="O106" s="16">
        <f t="shared" si="37"/>
        <v>4052</v>
      </c>
      <c r="P106" s="16">
        <f t="shared" si="37"/>
        <v>5358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0.20530048525569242</v>
      </c>
      <c r="D107" s="43">
        <f t="shared" si="38"/>
        <v>0.11552818215752146</v>
      </c>
      <c r="E107" s="43">
        <f t="shared" si="38"/>
        <v>7.9880552444942146E-2</v>
      </c>
      <c r="F107" s="43">
        <f t="shared" si="38"/>
        <v>0.20044792833146696</v>
      </c>
      <c r="G107" s="43">
        <f t="shared" si="38"/>
        <v>5.412467338559164E-3</v>
      </c>
      <c r="H107" s="43">
        <f t="shared" si="38"/>
        <v>4.6659201194475548E-3</v>
      </c>
      <c r="I107" s="43">
        <f t="shared" si="38"/>
        <v>9.7797685703620754E-2</v>
      </c>
      <c r="J107" s="43">
        <f t="shared" si="38"/>
        <v>2.0903322135125045E-2</v>
      </c>
      <c r="K107" s="43">
        <f t="shared" si="38"/>
        <v>1.7543859649122806E-2</v>
      </c>
      <c r="L107" s="43">
        <f t="shared" si="38"/>
        <v>8.585293019783502E-3</v>
      </c>
      <c r="M107" s="43">
        <f t="shared" si="38"/>
        <v>0.24374766703994027</v>
      </c>
      <c r="N107" s="43">
        <f t="shared" si="38"/>
        <v>1.866368047779022E-4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0.27147087857847979</v>
      </c>
      <c r="D108" s="44">
        <f t="shared" ref="D108:N108" si="39">D106/$O$106</f>
        <v>0.15276406712734453</v>
      </c>
      <c r="E108" s="44">
        <f t="shared" si="39"/>
        <v>0.10562685093780849</v>
      </c>
      <c r="F108" s="44">
        <f t="shared" si="39"/>
        <v>0.26505429417571569</v>
      </c>
      <c r="G108" s="44">
        <f t="shared" si="39"/>
        <v>7.1569595261599213E-3</v>
      </c>
      <c r="H108" s="44">
        <f t="shared" si="39"/>
        <v>6.1697926949654492E-3</v>
      </c>
      <c r="I108" s="44">
        <f t="shared" si="39"/>
        <v>0.12931885488647582</v>
      </c>
      <c r="J108" s="44">
        <f t="shared" si="39"/>
        <v>2.7640671273445213E-2</v>
      </c>
      <c r="K108" s="44">
        <f t="shared" si="39"/>
        <v>2.3198420533070089E-2</v>
      </c>
      <c r="L108" s="44">
        <f t="shared" si="39"/>
        <v>1.1352418558736426E-2</v>
      </c>
      <c r="M108" s="44"/>
      <c r="N108" s="44">
        <f t="shared" si="39"/>
        <v>2.4679170779861795E-4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F126"/>
  <sheetViews>
    <sheetView view="pageBreakPreview" topLeftCell="A31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'29.10 Bujuko-Buloba'!C3:G3</f>
        <v>MCC - C2 - STN62 - BUJUKO-BULOBA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181</v>
      </c>
      <c r="E5" s="3"/>
      <c r="F5" s="41" t="s">
        <v>1</v>
      </c>
      <c r="G5" s="66" t="str">
        <f>'1.11 Buloba-Bujuko'!G5:H5</f>
        <v>Buloba Pop Oil</v>
      </c>
      <c r="H5" s="67"/>
      <c r="I5" s="14"/>
      <c r="J5" s="2" t="s">
        <v>5</v>
      </c>
      <c r="K5" s="66" t="s">
        <v>166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'29.10 Bujuko-Buloba'!D6:E6</f>
        <v>Bujuko</v>
      </c>
      <c r="E6" s="67"/>
      <c r="F6" s="2" t="s">
        <v>2</v>
      </c>
      <c r="G6" s="66" t="str">
        <f>'29.10 Bujuko-Buloba'!G6:H6</f>
        <v xml:space="preserve">Buloba </v>
      </c>
      <c r="H6" s="67"/>
      <c r="J6" s="2" t="s">
        <v>21</v>
      </c>
      <c r="K6" s="66" t="str">
        <f>'29.10 Bujuko-Buloba'!K6:L6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2</v>
      </c>
      <c r="E10" s="50">
        <v>0</v>
      </c>
      <c r="F10" s="50">
        <v>15</v>
      </c>
      <c r="G10" s="50">
        <v>0</v>
      </c>
      <c r="H10" s="50">
        <v>0</v>
      </c>
      <c r="I10" s="50">
        <v>3</v>
      </c>
      <c r="J10" s="50">
        <v>5</v>
      </c>
      <c r="K10" s="50">
        <v>0</v>
      </c>
      <c r="L10" s="50">
        <v>2</v>
      </c>
      <c r="M10" s="50">
        <v>10</v>
      </c>
      <c r="N10" s="50">
        <v>0</v>
      </c>
      <c r="O10" s="15">
        <f t="shared" ref="O10:O57" si="0">SUM(C10:L10,N10)</f>
        <v>29</v>
      </c>
      <c r="P10" s="15">
        <f t="shared" ref="P10:P57" si="1">SUM(C10:N10)</f>
        <v>39</v>
      </c>
      <c r="R10" s="1" t="s">
        <v>6</v>
      </c>
      <c r="S10" s="17">
        <f t="shared" ref="S10:AF10" si="2">SUM(C10:C13)</f>
        <v>25</v>
      </c>
      <c r="T10" s="17">
        <f t="shared" si="2"/>
        <v>6</v>
      </c>
      <c r="U10" s="17">
        <f t="shared" si="2"/>
        <v>3</v>
      </c>
      <c r="V10" s="17">
        <f t="shared" si="2"/>
        <v>59</v>
      </c>
      <c r="W10" s="17">
        <f t="shared" si="2"/>
        <v>1</v>
      </c>
      <c r="X10" s="17">
        <f t="shared" si="2"/>
        <v>0</v>
      </c>
      <c r="Y10" s="17">
        <f t="shared" si="2"/>
        <v>13</v>
      </c>
      <c r="Z10" s="17">
        <f t="shared" si="2"/>
        <v>10</v>
      </c>
      <c r="AA10" s="17">
        <f t="shared" si="2"/>
        <v>1</v>
      </c>
      <c r="AB10" s="17">
        <f t="shared" si="2"/>
        <v>3</v>
      </c>
      <c r="AC10" s="17">
        <f t="shared" si="2"/>
        <v>32</v>
      </c>
      <c r="AD10" s="17">
        <f t="shared" si="2"/>
        <v>0</v>
      </c>
      <c r="AE10" s="31">
        <f t="shared" si="2"/>
        <v>121</v>
      </c>
      <c r="AF10" s="31">
        <f t="shared" si="2"/>
        <v>153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11</v>
      </c>
      <c r="G11" s="50">
        <v>0</v>
      </c>
      <c r="H11" s="50">
        <v>0</v>
      </c>
      <c r="I11" s="50">
        <v>7</v>
      </c>
      <c r="J11" s="50">
        <v>2</v>
      </c>
      <c r="K11" s="50">
        <v>1</v>
      </c>
      <c r="L11" s="50">
        <v>1</v>
      </c>
      <c r="M11" s="50">
        <v>0</v>
      </c>
      <c r="N11" s="50">
        <v>0</v>
      </c>
      <c r="O11" s="15">
        <f t="shared" si="0"/>
        <v>24</v>
      </c>
      <c r="P11" s="15">
        <f t="shared" si="1"/>
        <v>24</v>
      </c>
      <c r="R11" s="1" t="s">
        <v>7</v>
      </c>
      <c r="S11" s="17">
        <f t="shared" ref="S11:AF11" si="3">SUM(C14:C17)</f>
        <v>58</v>
      </c>
      <c r="T11" s="17">
        <f t="shared" si="3"/>
        <v>4</v>
      </c>
      <c r="U11" s="17">
        <f t="shared" si="3"/>
        <v>8</v>
      </c>
      <c r="V11" s="17">
        <f t="shared" si="3"/>
        <v>51</v>
      </c>
      <c r="W11" s="17">
        <f t="shared" si="3"/>
        <v>1</v>
      </c>
      <c r="X11" s="17">
        <f t="shared" si="3"/>
        <v>0</v>
      </c>
      <c r="Y11" s="17">
        <f t="shared" si="3"/>
        <v>8</v>
      </c>
      <c r="Z11" s="17">
        <f t="shared" si="3"/>
        <v>1</v>
      </c>
      <c r="AA11" s="17">
        <f t="shared" si="3"/>
        <v>2</v>
      </c>
      <c r="AB11" s="17">
        <f t="shared" si="3"/>
        <v>4</v>
      </c>
      <c r="AC11" s="17">
        <f t="shared" si="3"/>
        <v>66</v>
      </c>
      <c r="AD11" s="17">
        <f t="shared" si="3"/>
        <v>0</v>
      </c>
      <c r="AE11" s="31">
        <f t="shared" si="3"/>
        <v>137</v>
      </c>
      <c r="AF11" s="31">
        <f t="shared" si="3"/>
        <v>203</v>
      </c>
    </row>
    <row r="12" spans="2:32" ht="23.1" customHeight="1" x14ac:dyDescent="0.25">
      <c r="B12" s="23" t="s">
        <v>39</v>
      </c>
      <c r="C12" s="50">
        <v>15</v>
      </c>
      <c r="D12" s="50">
        <v>3</v>
      </c>
      <c r="E12" s="50">
        <v>1</v>
      </c>
      <c r="F12" s="50">
        <v>24</v>
      </c>
      <c r="G12" s="50">
        <v>0</v>
      </c>
      <c r="H12" s="50">
        <v>0</v>
      </c>
      <c r="I12" s="50">
        <v>3</v>
      </c>
      <c r="J12" s="50">
        <v>2</v>
      </c>
      <c r="K12" s="50">
        <v>0</v>
      </c>
      <c r="L12" s="50">
        <v>0</v>
      </c>
      <c r="M12" s="50">
        <v>18</v>
      </c>
      <c r="N12" s="50">
        <v>0</v>
      </c>
      <c r="O12" s="15">
        <f t="shared" si="0"/>
        <v>48</v>
      </c>
      <c r="P12" s="15">
        <f t="shared" si="1"/>
        <v>66</v>
      </c>
      <c r="R12" s="1" t="s">
        <v>8</v>
      </c>
      <c r="S12" s="17">
        <f t="shared" ref="S12:AF12" si="4">SUM(C18:C21)</f>
        <v>64</v>
      </c>
      <c r="T12" s="17">
        <f t="shared" si="4"/>
        <v>7</v>
      </c>
      <c r="U12" s="17">
        <f t="shared" si="4"/>
        <v>8</v>
      </c>
      <c r="V12" s="17">
        <f t="shared" si="4"/>
        <v>53</v>
      </c>
      <c r="W12" s="17">
        <f t="shared" si="4"/>
        <v>1</v>
      </c>
      <c r="X12" s="17">
        <f t="shared" si="4"/>
        <v>0</v>
      </c>
      <c r="Y12" s="17">
        <f t="shared" si="4"/>
        <v>19</v>
      </c>
      <c r="Z12" s="17">
        <f t="shared" si="4"/>
        <v>5</v>
      </c>
      <c r="AA12" s="17">
        <f t="shared" si="4"/>
        <v>1</v>
      </c>
      <c r="AB12" s="17">
        <f t="shared" si="4"/>
        <v>3</v>
      </c>
      <c r="AC12" s="17">
        <f t="shared" si="4"/>
        <v>96</v>
      </c>
      <c r="AD12" s="17">
        <f t="shared" si="4"/>
        <v>0</v>
      </c>
      <c r="AE12" s="31">
        <f t="shared" si="4"/>
        <v>161</v>
      </c>
      <c r="AF12" s="31">
        <f t="shared" si="4"/>
        <v>257</v>
      </c>
    </row>
    <row r="13" spans="2:32" ht="23.1" customHeight="1" x14ac:dyDescent="0.25">
      <c r="B13" s="23" t="s">
        <v>40</v>
      </c>
      <c r="C13" s="50">
        <v>6</v>
      </c>
      <c r="D13" s="50">
        <v>1</v>
      </c>
      <c r="E13" s="50">
        <v>2</v>
      </c>
      <c r="F13" s="50">
        <v>9</v>
      </c>
      <c r="G13" s="50">
        <v>1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20</v>
      </c>
      <c r="P13" s="15">
        <f t="shared" si="1"/>
        <v>24</v>
      </c>
      <c r="R13" s="1" t="s">
        <v>9</v>
      </c>
      <c r="S13" s="17">
        <f t="shared" ref="S13:AF13" si="5">SUM(C22:C25)</f>
        <v>55</v>
      </c>
      <c r="T13" s="17">
        <f t="shared" si="5"/>
        <v>4</v>
      </c>
      <c r="U13" s="17">
        <f t="shared" si="5"/>
        <v>3</v>
      </c>
      <c r="V13" s="17">
        <f t="shared" si="5"/>
        <v>54</v>
      </c>
      <c r="W13" s="17">
        <f t="shared" si="5"/>
        <v>3</v>
      </c>
      <c r="X13" s="17">
        <f t="shared" si="5"/>
        <v>1</v>
      </c>
      <c r="Y13" s="17">
        <f t="shared" si="5"/>
        <v>12</v>
      </c>
      <c r="Z13" s="17">
        <f t="shared" si="5"/>
        <v>7</v>
      </c>
      <c r="AA13" s="17">
        <f t="shared" si="5"/>
        <v>2</v>
      </c>
      <c r="AB13" s="17">
        <f t="shared" si="5"/>
        <v>2</v>
      </c>
      <c r="AC13" s="17">
        <f t="shared" si="5"/>
        <v>77</v>
      </c>
      <c r="AD13" s="17">
        <f t="shared" si="5"/>
        <v>0</v>
      </c>
      <c r="AE13" s="31">
        <f t="shared" si="5"/>
        <v>143</v>
      </c>
      <c r="AF13" s="31">
        <f t="shared" si="5"/>
        <v>220</v>
      </c>
    </row>
    <row r="14" spans="2:32" ht="23.1" customHeight="1" x14ac:dyDescent="0.25">
      <c r="B14" s="23" t="s">
        <v>41</v>
      </c>
      <c r="C14" s="50">
        <v>11</v>
      </c>
      <c r="D14" s="50">
        <v>2</v>
      </c>
      <c r="E14" s="50">
        <v>2</v>
      </c>
      <c r="F14" s="50">
        <v>13</v>
      </c>
      <c r="G14" s="50">
        <v>0</v>
      </c>
      <c r="H14" s="50">
        <v>0</v>
      </c>
      <c r="I14" s="50">
        <v>4</v>
      </c>
      <c r="J14" s="50">
        <v>1</v>
      </c>
      <c r="K14" s="50">
        <v>2</v>
      </c>
      <c r="L14" s="50">
        <v>2</v>
      </c>
      <c r="M14" s="50">
        <v>10</v>
      </c>
      <c r="N14" s="50">
        <v>0</v>
      </c>
      <c r="O14" s="15">
        <f t="shared" si="0"/>
        <v>37</v>
      </c>
      <c r="P14" s="15">
        <f t="shared" si="1"/>
        <v>47</v>
      </c>
      <c r="R14" s="1" t="s">
        <v>10</v>
      </c>
      <c r="S14" s="17">
        <f t="shared" ref="S14:AF14" si="6">SUM(C26:C29)</f>
        <v>73</v>
      </c>
      <c r="T14" s="17">
        <f t="shared" si="6"/>
        <v>12</v>
      </c>
      <c r="U14" s="17">
        <f t="shared" si="6"/>
        <v>10</v>
      </c>
      <c r="V14" s="17">
        <f t="shared" si="6"/>
        <v>54</v>
      </c>
      <c r="W14" s="17">
        <f t="shared" si="6"/>
        <v>0</v>
      </c>
      <c r="X14" s="17">
        <f t="shared" si="6"/>
        <v>0</v>
      </c>
      <c r="Y14" s="17">
        <f t="shared" si="6"/>
        <v>10</v>
      </c>
      <c r="Z14" s="17">
        <f t="shared" si="6"/>
        <v>5</v>
      </c>
      <c r="AA14" s="17">
        <f t="shared" si="6"/>
        <v>0</v>
      </c>
      <c r="AB14" s="17">
        <f t="shared" si="6"/>
        <v>4</v>
      </c>
      <c r="AC14" s="17">
        <f t="shared" si="6"/>
        <v>95</v>
      </c>
      <c r="AD14" s="17">
        <f t="shared" si="6"/>
        <v>0</v>
      </c>
      <c r="AE14" s="31">
        <f t="shared" si="6"/>
        <v>168</v>
      </c>
      <c r="AF14" s="31">
        <f t="shared" si="6"/>
        <v>263</v>
      </c>
    </row>
    <row r="15" spans="2:32" ht="23.1" customHeight="1" x14ac:dyDescent="0.25">
      <c r="B15" s="23" t="s">
        <v>42</v>
      </c>
      <c r="C15" s="50">
        <v>12</v>
      </c>
      <c r="D15" s="50">
        <v>1</v>
      </c>
      <c r="E15" s="50">
        <v>3</v>
      </c>
      <c r="F15" s="50">
        <v>12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2</v>
      </c>
      <c r="M15" s="50">
        <v>19</v>
      </c>
      <c r="N15" s="50">
        <v>0</v>
      </c>
      <c r="O15" s="15">
        <f t="shared" si="0"/>
        <v>31</v>
      </c>
      <c r="P15" s="15">
        <f t="shared" si="1"/>
        <v>50</v>
      </c>
      <c r="R15" s="1" t="s">
        <v>11</v>
      </c>
      <c r="S15" s="17">
        <f t="shared" ref="S15:AF15" si="7">SUM(C30:C33)</f>
        <v>86</v>
      </c>
      <c r="T15" s="17">
        <f t="shared" si="7"/>
        <v>13</v>
      </c>
      <c r="U15" s="17">
        <f t="shared" si="7"/>
        <v>11</v>
      </c>
      <c r="V15" s="17">
        <f t="shared" si="7"/>
        <v>57</v>
      </c>
      <c r="W15" s="17">
        <f t="shared" si="7"/>
        <v>1</v>
      </c>
      <c r="X15" s="17">
        <f t="shared" si="7"/>
        <v>0</v>
      </c>
      <c r="Y15" s="17">
        <f t="shared" si="7"/>
        <v>20</v>
      </c>
      <c r="Z15" s="17">
        <f t="shared" si="7"/>
        <v>7</v>
      </c>
      <c r="AA15" s="17">
        <f t="shared" si="7"/>
        <v>1</v>
      </c>
      <c r="AB15" s="17">
        <f t="shared" si="7"/>
        <v>2</v>
      </c>
      <c r="AC15" s="17">
        <f t="shared" si="7"/>
        <v>85</v>
      </c>
      <c r="AD15" s="17">
        <f t="shared" si="7"/>
        <v>0</v>
      </c>
      <c r="AE15" s="31">
        <f t="shared" si="7"/>
        <v>198</v>
      </c>
      <c r="AF15" s="31">
        <f t="shared" si="7"/>
        <v>283</v>
      </c>
    </row>
    <row r="16" spans="2:32" ht="23.1" customHeight="1" x14ac:dyDescent="0.25">
      <c r="B16" s="23" t="s">
        <v>43</v>
      </c>
      <c r="C16" s="50">
        <v>15</v>
      </c>
      <c r="D16" s="50">
        <v>0</v>
      </c>
      <c r="E16" s="50">
        <v>2</v>
      </c>
      <c r="F16" s="50">
        <v>8</v>
      </c>
      <c r="G16" s="50">
        <v>1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29</v>
      </c>
      <c r="N16" s="50">
        <v>0</v>
      </c>
      <c r="O16" s="15">
        <f t="shared" si="0"/>
        <v>26</v>
      </c>
      <c r="P16" s="15">
        <f t="shared" si="1"/>
        <v>55</v>
      </c>
      <c r="R16" s="1" t="s">
        <v>12</v>
      </c>
      <c r="S16" s="17">
        <f t="shared" ref="S16:AF16" si="8">SUM(C34:C37)</f>
        <v>84</v>
      </c>
      <c r="T16" s="17">
        <f t="shared" si="8"/>
        <v>13</v>
      </c>
      <c r="U16" s="17">
        <f t="shared" si="8"/>
        <v>9</v>
      </c>
      <c r="V16" s="17">
        <f t="shared" si="8"/>
        <v>68</v>
      </c>
      <c r="W16" s="17">
        <f t="shared" si="8"/>
        <v>0</v>
      </c>
      <c r="X16" s="17">
        <f t="shared" si="8"/>
        <v>3</v>
      </c>
      <c r="Y16" s="17">
        <f t="shared" si="8"/>
        <v>28</v>
      </c>
      <c r="Z16" s="17">
        <f t="shared" si="8"/>
        <v>4</v>
      </c>
      <c r="AA16" s="17">
        <f t="shared" si="8"/>
        <v>4</v>
      </c>
      <c r="AB16" s="17">
        <f t="shared" si="8"/>
        <v>5</v>
      </c>
      <c r="AC16" s="17">
        <f t="shared" si="8"/>
        <v>68</v>
      </c>
      <c r="AD16" s="17">
        <f t="shared" si="8"/>
        <v>0</v>
      </c>
      <c r="AE16" s="31">
        <f t="shared" si="8"/>
        <v>218</v>
      </c>
      <c r="AF16" s="31">
        <f t="shared" si="8"/>
        <v>286</v>
      </c>
    </row>
    <row r="17" spans="2:32" ht="23.1" customHeight="1" x14ac:dyDescent="0.25">
      <c r="B17" s="23" t="s">
        <v>44</v>
      </c>
      <c r="C17" s="50">
        <v>20</v>
      </c>
      <c r="D17" s="50">
        <v>1</v>
      </c>
      <c r="E17" s="50">
        <v>1</v>
      </c>
      <c r="F17" s="50">
        <v>18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0</v>
      </c>
      <c r="M17" s="50">
        <v>8</v>
      </c>
      <c r="N17" s="50">
        <v>0</v>
      </c>
      <c r="O17" s="15">
        <f t="shared" si="0"/>
        <v>43</v>
      </c>
      <c r="P17" s="15">
        <f t="shared" si="1"/>
        <v>51</v>
      </c>
      <c r="R17" s="1" t="s">
        <v>13</v>
      </c>
      <c r="S17" s="17">
        <f t="shared" ref="S17:AF17" si="9">SUM(C38:C41)</f>
        <v>107</v>
      </c>
      <c r="T17" s="17">
        <f t="shared" si="9"/>
        <v>21</v>
      </c>
      <c r="U17" s="17">
        <f t="shared" si="9"/>
        <v>21</v>
      </c>
      <c r="V17" s="17">
        <f t="shared" si="9"/>
        <v>77</v>
      </c>
      <c r="W17" s="17">
        <f t="shared" si="9"/>
        <v>1</v>
      </c>
      <c r="X17" s="17">
        <f t="shared" si="9"/>
        <v>1</v>
      </c>
      <c r="Y17" s="17">
        <f t="shared" si="9"/>
        <v>14</v>
      </c>
      <c r="Z17" s="17">
        <f t="shared" si="9"/>
        <v>7</v>
      </c>
      <c r="AA17" s="17">
        <f t="shared" si="9"/>
        <v>6</v>
      </c>
      <c r="AB17" s="17">
        <f t="shared" si="9"/>
        <v>5</v>
      </c>
      <c r="AC17" s="17">
        <f t="shared" si="9"/>
        <v>89</v>
      </c>
      <c r="AD17" s="17">
        <f t="shared" si="9"/>
        <v>0</v>
      </c>
      <c r="AE17" s="31">
        <f t="shared" si="9"/>
        <v>260</v>
      </c>
      <c r="AF17" s="31">
        <f t="shared" si="9"/>
        <v>349</v>
      </c>
    </row>
    <row r="18" spans="2:32" ht="23.1" customHeight="1" x14ac:dyDescent="0.25">
      <c r="B18" s="23" t="s">
        <v>45</v>
      </c>
      <c r="C18" s="50">
        <v>20</v>
      </c>
      <c r="D18" s="50">
        <v>1</v>
      </c>
      <c r="E18" s="50">
        <v>1</v>
      </c>
      <c r="F18" s="50">
        <v>11</v>
      </c>
      <c r="G18" s="50">
        <v>1</v>
      </c>
      <c r="H18" s="50">
        <v>0</v>
      </c>
      <c r="I18" s="50">
        <v>7</v>
      </c>
      <c r="J18" s="50">
        <v>1</v>
      </c>
      <c r="K18" s="50">
        <v>0</v>
      </c>
      <c r="L18" s="50">
        <v>2</v>
      </c>
      <c r="M18" s="50">
        <v>23</v>
      </c>
      <c r="N18" s="50">
        <v>0</v>
      </c>
      <c r="O18" s="15">
        <f t="shared" si="0"/>
        <v>44</v>
      </c>
      <c r="P18" s="15">
        <f t="shared" si="1"/>
        <v>67</v>
      </c>
      <c r="R18" s="1" t="s">
        <v>14</v>
      </c>
      <c r="S18" s="17">
        <f t="shared" ref="S18:AF18" si="10">SUM(C42:C45)</f>
        <v>105</v>
      </c>
      <c r="T18" s="17">
        <f t="shared" si="10"/>
        <v>22</v>
      </c>
      <c r="U18" s="17">
        <f t="shared" si="10"/>
        <v>20</v>
      </c>
      <c r="V18" s="17">
        <f t="shared" si="10"/>
        <v>75</v>
      </c>
      <c r="W18" s="17">
        <f t="shared" si="10"/>
        <v>1</v>
      </c>
      <c r="X18" s="17">
        <f t="shared" si="10"/>
        <v>3</v>
      </c>
      <c r="Y18" s="17">
        <f t="shared" si="10"/>
        <v>31</v>
      </c>
      <c r="Z18" s="17">
        <f t="shared" si="10"/>
        <v>7</v>
      </c>
      <c r="AA18" s="17">
        <f t="shared" si="10"/>
        <v>3</v>
      </c>
      <c r="AB18" s="17">
        <f t="shared" si="10"/>
        <v>4</v>
      </c>
      <c r="AC18" s="17">
        <f t="shared" si="10"/>
        <v>79</v>
      </c>
      <c r="AD18" s="17">
        <f t="shared" si="10"/>
        <v>0</v>
      </c>
      <c r="AE18" s="31">
        <f t="shared" si="10"/>
        <v>271</v>
      </c>
      <c r="AF18" s="31">
        <f t="shared" si="10"/>
        <v>350</v>
      </c>
    </row>
    <row r="19" spans="2:32" ht="23.1" customHeight="1" x14ac:dyDescent="0.25">
      <c r="B19" s="23" t="s">
        <v>46</v>
      </c>
      <c r="C19" s="50">
        <v>10</v>
      </c>
      <c r="D19" s="50">
        <v>2</v>
      </c>
      <c r="E19" s="50">
        <v>2</v>
      </c>
      <c r="F19" s="50">
        <v>12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1</v>
      </c>
      <c r="M19" s="50">
        <v>23</v>
      </c>
      <c r="N19" s="50">
        <v>0</v>
      </c>
      <c r="O19" s="15">
        <f t="shared" si="0"/>
        <v>29</v>
      </c>
      <c r="P19" s="15">
        <f t="shared" si="1"/>
        <v>52</v>
      </c>
      <c r="R19" s="1" t="s">
        <v>15</v>
      </c>
      <c r="S19" s="17">
        <f t="shared" ref="S19:AF19" si="11">SUM(C46:C49)</f>
        <v>139</v>
      </c>
      <c r="T19" s="17">
        <f t="shared" si="11"/>
        <v>20</v>
      </c>
      <c r="U19" s="17">
        <f t="shared" si="11"/>
        <v>26</v>
      </c>
      <c r="V19" s="17">
        <f t="shared" si="11"/>
        <v>95</v>
      </c>
      <c r="W19" s="17">
        <f t="shared" si="11"/>
        <v>10</v>
      </c>
      <c r="X19" s="17">
        <f t="shared" si="11"/>
        <v>3</v>
      </c>
      <c r="Y19" s="17">
        <f t="shared" si="11"/>
        <v>25</v>
      </c>
      <c r="Z19" s="17">
        <f t="shared" si="11"/>
        <v>7</v>
      </c>
      <c r="AA19" s="17">
        <f t="shared" si="11"/>
        <v>1</v>
      </c>
      <c r="AB19" s="17">
        <f t="shared" si="11"/>
        <v>6</v>
      </c>
      <c r="AC19" s="17">
        <f t="shared" si="11"/>
        <v>109</v>
      </c>
      <c r="AD19" s="17">
        <f t="shared" si="11"/>
        <v>0</v>
      </c>
      <c r="AE19" s="31">
        <f t="shared" si="11"/>
        <v>332</v>
      </c>
      <c r="AF19" s="31">
        <f t="shared" si="11"/>
        <v>441</v>
      </c>
    </row>
    <row r="20" spans="2:32" ht="23.1" customHeight="1" x14ac:dyDescent="0.25">
      <c r="B20" s="23" t="s">
        <v>47</v>
      </c>
      <c r="C20" s="50">
        <v>17</v>
      </c>
      <c r="D20" s="50">
        <v>2</v>
      </c>
      <c r="E20" s="50">
        <v>2</v>
      </c>
      <c r="F20" s="50">
        <v>11</v>
      </c>
      <c r="G20" s="50">
        <v>0</v>
      </c>
      <c r="H20" s="50">
        <v>0</v>
      </c>
      <c r="I20" s="50">
        <v>4</v>
      </c>
      <c r="J20" s="50">
        <v>0</v>
      </c>
      <c r="K20" s="50">
        <v>1</v>
      </c>
      <c r="L20" s="50">
        <v>0</v>
      </c>
      <c r="M20" s="50">
        <v>19</v>
      </c>
      <c r="N20" s="50">
        <v>0</v>
      </c>
      <c r="O20" s="15">
        <f t="shared" si="0"/>
        <v>37</v>
      </c>
      <c r="P20" s="15">
        <f t="shared" si="1"/>
        <v>56</v>
      </c>
      <c r="R20" s="1" t="s">
        <v>16</v>
      </c>
      <c r="S20" s="17">
        <f t="shared" ref="S20:AF20" si="12">SUM(C50:C53)</f>
        <v>173</v>
      </c>
      <c r="T20" s="17">
        <f t="shared" si="12"/>
        <v>33</v>
      </c>
      <c r="U20" s="17">
        <f t="shared" si="12"/>
        <v>29</v>
      </c>
      <c r="V20" s="17">
        <f t="shared" si="12"/>
        <v>91</v>
      </c>
      <c r="W20" s="17">
        <f t="shared" si="12"/>
        <v>6</v>
      </c>
      <c r="X20" s="17">
        <f t="shared" si="12"/>
        <v>4</v>
      </c>
      <c r="Y20" s="17">
        <f t="shared" si="12"/>
        <v>37</v>
      </c>
      <c r="Z20" s="17">
        <f t="shared" si="12"/>
        <v>4</v>
      </c>
      <c r="AA20" s="17">
        <f t="shared" si="12"/>
        <v>3</v>
      </c>
      <c r="AB20" s="17">
        <f t="shared" si="12"/>
        <v>4</v>
      </c>
      <c r="AC20" s="17">
        <f t="shared" si="12"/>
        <v>123</v>
      </c>
      <c r="AD20" s="17">
        <f t="shared" si="12"/>
        <v>0</v>
      </c>
      <c r="AE20" s="31">
        <f t="shared" si="12"/>
        <v>384</v>
      </c>
      <c r="AF20" s="31">
        <f t="shared" si="12"/>
        <v>507</v>
      </c>
    </row>
    <row r="21" spans="2:32" ht="23.1" customHeight="1" x14ac:dyDescent="0.25">
      <c r="B21" s="23" t="s">
        <v>48</v>
      </c>
      <c r="C21" s="50">
        <v>17</v>
      </c>
      <c r="D21" s="50">
        <v>2</v>
      </c>
      <c r="E21" s="50">
        <v>3</v>
      </c>
      <c r="F21" s="50">
        <v>19</v>
      </c>
      <c r="G21" s="50">
        <v>0</v>
      </c>
      <c r="H21" s="50">
        <v>0</v>
      </c>
      <c r="I21" s="50">
        <v>6</v>
      </c>
      <c r="J21" s="50">
        <v>4</v>
      </c>
      <c r="K21" s="50">
        <v>0</v>
      </c>
      <c r="L21" s="50">
        <v>0</v>
      </c>
      <c r="M21" s="50">
        <v>31</v>
      </c>
      <c r="N21" s="50">
        <v>0</v>
      </c>
      <c r="O21" s="15">
        <f t="shared" si="0"/>
        <v>51</v>
      </c>
      <c r="P21" s="15">
        <f t="shared" si="1"/>
        <v>82</v>
      </c>
      <c r="R21" s="36" t="s">
        <v>20</v>
      </c>
      <c r="S21" s="34">
        <f t="shared" ref="S21:AF21" si="13">SUM(C54:C57)</f>
        <v>207</v>
      </c>
      <c r="T21" s="17">
        <f t="shared" si="13"/>
        <v>57</v>
      </c>
      <c r="U21" s="17">
        <f t="shared" si="13"/>
        <v>33</v>
      </c>
      <c r="V21" s="17">
        <f t="shared" si="13"/>
        <v>106</v>
      </c>
      <c r="W21" s="17">
        <f t="shared" si="13"/>
        <v>17</v>
      </c>
      <c r="X21" s="17">
        <f t="shared" si="13"/>
        <v>2</v>
      </c>
      <c r="Y21" s="17">
        <f t="shared" si="13"/>
        <v>25</v>
      </c>
      <c r="Z21" s="17">
        <f t="shared" si="13"/>
        <v>11</v>
      </c>
      <c r="AA21" s="17">
        <f t="shared" si="13"/>
        <v>1</v>
      </c>
      <c r="AB21" s="17">
        <f t="shared" si="13"/>
        <v>5</v>
      </c>
      <c r="AC21" s="17">
        <f t="shared" si="13"/>
        <v>145</v>
      </c>
      <c r="AD21" s="17">
        <f t="shared" si="13"/>
        <v>0</v>
      </c>
      <c r="AE21" s="31">
        <f t="shared" si="13"/>
        <v>464</v>
      </c>
      <c r="AF21" s="31">
        <f t="shared" si="13"/>
        <v>609</v>
      </c>
    </row>
    <row r="22" spans="2:32" ht="23.1" customHeight="1" x14ac:dyDescent="0.25">
      <c r="B22" s="23" t="s">
        <v>49</v>
      </c>
      <c r="C22" s="50">
        <v>14</v>
      </c>
      <c r="D22" s="50">
        <v>1</v>
      </c>
      <c r="E22" s="50">
        <v>0</v>
      </c>
      <c r="F22" s="50">
        <v>17</v>
      </c>
      <c r="G22" s="50">
        <v>0</v>
      </c>
      <c r="H22" s="50">
        <v>0</v>
      </c>
      <c r="I22" s="50">
        <v>3</v>
      </c>
      <c r="J22" s="50">
        <v>3</v>
      </c>
      <c r="K22" s="50">
        <v>0</v>
      </c>
      <c r="L22" s="50">
        <v>1</v>
      </c>
      <c r="M22" s="50">
        <v>23</v>
      </c>
      <c r="N22" s="50">
        <v>0</v>
      </c>
      <c r="O22" s="15">
        <f t="shared" si="0"/>
        <v>39</v>
      </c>
      <c r="P22" s="15">
        <f t="shared" si="1"/>
        <v>62</v>
      </c>
      <c r="R22" s="38" t="s">
        <v>90</v>
      </c>
      <c r="S22" s="39">
        <f>MAX(S10:S12)</f>
        <v>64</v>
      </c>
      <c r="T22" s="39">
        <f t="shared" ref="T22:AF22" si="14">MAX(T10:T12)</f>
        <v>7</v>
      </c>
      <c r="U22" s="39">
        <f t="shared" si="14"/>
        <v>8</v>
      </c>
      <c r="V22" s="39">
        <f t="shared" si="14"/>
        <v>59</v>
      </c>
      <c r="W22" s="39">
        <f t="shared" si="14"/>
        <v>1</v>
      </c>
      <c r="X22" s="39">
        <f t="shared" si="14"/>
        <v>0</v>
      </c>
      <c r="Y22" s="39">
        <f t="shared" si="14"/>
        <v>19</v>
      </c>
      <c r="Z22" s="39">
        <f t="shared" si="14"/>
        <v>10</v>
      </c>
      <c r="AA22" s="39">
        <f t="shared" si="14"/>
        <v>2</v>
      </c>
      <c r="AB22" s="39">
        <f t="shared" si="14"/>
        <v>4</v>
      </c>
      <c r="AC22" s="39">
        <f t="shared" si="14"/>
        <v>96</v>
      </c>
      <c r="AD22" s="39">
        <f t="shared" si="14"/>
        <v>0</v>
      </c>
      <c r="AE22" s="40">
        <f t="shared" si="14"/>
        <v>161</v>
      </c>
      <c r="AF22" s="40">
        <f t="shared" si="14"/>
        <v>257</v>
      </c>
    </row>
    <row r="23" spans="2:32" ht="23.1" customHeight="1" x14ac:dyDescent="0.25">
      <c r="B23" s="23" t="s">
        <v>50</v>
      </c>
      <c r="C23" s="50">
        <v>12</v>
      </c>
      <c r="D23" s="50">
        <v>1</v>
      </c>
      <c r="E23" s="50">
        <v>0</v>
      </c>
      <c r="F23" s="50">
        <v>16</v>
      </c>
      <c r="G23" s="50">
        <v>1</v>
      </c>
      <c r="H23" s="50">
        <v>0</v>
      </c>
      <c r="I23" s="50">
        <v>2</v>
      </c>
      <c r="J23" s="50">
        <v>1</v>
      </c>
      <c r="K23" s="50">
        <v>0</v>
      </c>
      <c r="L23" s="50">
        <v>1</v>
      </c>
      <c r="M23" s="50">
        <v>17</v>
      </c>
      <c r="N23" s="50">
        <v>0</v>
      </c>
      <c r="O23" s="15">
        <f t="shared" si="0"/>
        <v>34</v>
      </c>
      <c r="P23" s="15">
        <f t="shared" si="1"/>
        <v>51</v>
      </c>
      <c r="R23" s="38" t="s">
        <v>91</v>
      </c>
      <c r="S23" s="39">
        <f>MAX(S13:S18)</f>
        <v>107</v>
      </c>
      <c r="T23" s="39">
        <f t="shared" ref="T23:AF23" si="15">MAX(T13:T18)</f>
        <v>22</v>
      </c>
      <c r="U23" s="39">
        <f t="shared" si="15"/>
        <v>21</v>
      </c>
      <c r="V23" s="39">
        <f t="shared" si="15"/>
        <v>77</v>
      </c>
      <c r="W23" s="39">
        <f t="shared" si="15"/>
        <v>3</v>
      </c>
      <c r="X23" s="39">
        <f t="shared" si="15"/>
        <v>3</v>
      </c>
      <c r="Y23" s="39">
        <f t="shared" si="15"/>
        <v>31</v>
      </c>
      <c r="Z23" s="39">
        <f t="shared" si="15"/>
        <v>7</v>
      </c>
      <c r="AA23" s="39">
        <f t="shared" si="15"/>
        <v>6</v>
      </c>
      <c r="AB23" s="39">
        <f t="shared" si="15"/>
        <v>5</v>
      </c>
      <c r="AC23" s="39">
        <f t="shared" si="15"/>
        <v>95</v>
      </c>
      <c r="AD23" s="39">
        <f t="shared" si="15"/>
        <v>0</v>
      </c>
      <c r="AE23" s="40">
        <f t="shared" si="15"/>
        <v>271</v>
      </c>
      <c r="AF23" s="40">
        <f t="shared" si="15"/>
        <v>350</v>
      </c>
    </row>
    <row r="24" spans="2:32" ht="23.1" customHeight="1" x14ac:dyDescent="0.25">
      <c r="B24" s="23" t="s">
        <v>51</v>
      </c>
      <c r="C24" s="50">
        <v>15</v>
      </c>
      <c r="D24" s="50">
        <v>1</v>
      </c>
      <c r="E24" s="50">
        <v>3</v>
      </c>
      <c r="F24" s="50">
        <v>13</v>
      </c>
      <c r="G24" s="50">
        <v>0</v>
      </c>
      <c r="H24" s="50">
        <v>0</v>
      </c>
      <c r="I24" s="50">
        <v>5</v>
      </c>
      <c r="J24" s="50">
        <v>2</v>
      </c>
      <c r="K24" s="50">
        <v>1</v>
      </c>
      <c r="L24" s="50">
        <v>0</v>
      </c>
      <c r="M24" s="50">
        <v>16</v>
      </c>
      <c r="N24" s="50">
        <v>0</v>
      </c>
      <c r="O24" s="15">
        <f t="shared" si="0"/>
        <v>40</v>
      </c>
      <c r="P24" s="15">
        <f t="shared" si="1"/>
        <v>56</v>
      </c>
      <c r="R24" s="38" t="s">
        <v>92</v>
      </c>
      <c r="S24" s="39">
        <f>MAX(S19:S21)</f>
        <v>207</v>
      </c>
      <c r="T24" s="39">
        <f t="shared" ref="T24:AF24" si="16">MAX(T19:T21)</f>
        <v>57</v>
      </c>
      <c r="U24" s="39">
        <f t="shared" si="16"/>
        <v>33</v>
      </c>
      <c r="V24" s="39">
        <f t="shared" si="16"/>
        <v>106</v>
      </c>
      <c r="W24" s="39">
        <f t="shared" si="16"/>
        <v>17</v>
      </c>
      <c r="X24" s="39">
        <f t="shared" si="16"/>
        <v>4</v>
      </c>
      <c r="Y24" s="39">
        <f t="shared" si="16"/>
        <v>37</v>
      </c>
      <c r="Z24" s="39">
        <f t="shared" si="16"/>
        <v>11</v>
      </c>
      <c r="AA24" s="39">
        <f t="shared" si="16"/>
        <v>3</v>
      </c>
      <c r="AB24" s="39">
        <f t="shared" si="16"/>
        <v>6</v>
      </c>
      <c r="AC24" s="39">
        <f t="shared" si="16"/>
        <v>145</v>
      </c>
      <c r="AD24" s="39">
        <f t="shared" si="16"/>
        <v>0</v>
      </c>
      <c r="AE24" s="40">
        <f t="shared" si="16"/>
        <v>464</v>
      </c>
      <c r="AF24" s="40">
        <f t="shared" si="16"/>
        <v>609</v>
      </c>
    </row>
    <row r="25" spans="2:32" ht="23.1" customHeight="1" x14ac:dyDescent="0.25">
      <c r="B25" s="23" t="s">
        <v>52</v>
      </c>
      <c r="C25" s="50">
        <v>14</v>
      </c>
      <c r="D25" s="50">
        <v>1</v>
      </c>
      <c r="E25" s="50">
        <v>0</v>
      </c>
      <c r="F25" s="50">
        <v>8</v>
      </c>
      <c r="G25" s="50">
        <v>2</v>
      </c>
      <c r="H25" s="50">
        <v>1</v>
      </c>
      <c r="I25" s="50">
        <v>2</v>
      </c>
      <c r="J25" s="50">
        <v>1</v>
      </c>
      <c r="K25" s="50">
        <v>1</v>
      </c>
      <c r="L25" s="50">
        <v>0</v>
      </c>
      <c r="M25" s="50">
        <v>21</v>
      </c>
      <c r="N25" s="50">
        <v>0</v>
      </c>
      <c r="O25" s="15">
        <f t="shared" si="0"/>
        <v>30</v>
      </c>
      <c r="P25" s="15">
        <f t="shared" si="1"/>
        <v>51</v>
      </c>
      <c r="R25" s="37" t="s">
        <v>85</v>
      </c>
      <c r="S25" s="35">
        <f t="shared" ref="S25:AF25" si="17">SUM(S10:S12)</f>
        <v>147</v>
      </c>
      <c r="T25" s="16">
        <f t="shared" si="17"/>
        <v>17</v>
      </c>
      <c r="U25" s="16">
        <f t="shared" si="17"/>
        <v>19</v>
      </c>
      <c r="V25" s="16">
        <f t="shared" si="17"/>
        <v>163</v>
      </c>
      <c r="W25" s="16">
        <f t="shared" si="17"/>
        <v>3</v>
      </c>
      <c r="X25" s="16">
        <f t="shared" si="17"/>
        <v>0</v>
      </c>
      <c r="Y25" s="16">
        <f t="shared" si="17"/>
        <v>40</v>
      </c>
      <c r="Z25" s="16">
        <f t="shared" si="17"/>
        <v>16</v>
      </c>
      <c r="AA25" s="16">
        <f t="shared" si="17"/>
        <v>4</v>
      </c>
      <c r="AB25" s="16">
        <f t="shared" si="17"/>
        <v>10</v>
      </c>
      <c r="AC25" s="16">
        <f t="shared" si="17"/>
        <v>194</v>
      </c>
      <c r="AD25" s="16">
        <f t="shared" si="17"/>
        <v>0</v>
      </c>
      <c r="AE25" s="32">
        <f t="shared" si="17"/>
        <v>419</v>
      </c>
      <c r="AF25" s="32">
        <f t="shared" si="17"/>
        <v>613</v>
      </c>
    </row>
    <row r="26" spans="2:32" ht="23.1" customHeight="1" x14ac:dyDescent="0.25">
      <c r="B26" s="23" t="s">
        <v>53</v>
      </c>
      <c r="C26" s="50">
        <v>18</v>
      </c>
      <c r="D26" s="50">
        <v>1</v>
      </c>
      <c r="E26" s="50">
        <v>2</v>
      </c>
      <c r="F26" s="50">
        <v>11</v>
      </c>
      <c r="G26" s="50">
        <v>0</v>
      </c>
      <c r="H26" s="50">
        <v>0</v>
      </c>
      <c r="I26" s="50">
        <v>2</v>
      </c>
      <c r="J26" s="50">
        <v>2</v>
      </c>
      <c r="K26" s="50">
        <v>0</v>
      </c>
      <c r="L26" s="50">
        <v>2</v>
      </c>
      <c r="M26" s="50">
        <v>17</v>
      </c>
      <c r="N26" s="50">
        <v>0</v>
      </c>
      <c r="O26" s="15">
        <f t="shared" si="0"/>
        <v>38</v>
      </c>
      <c r="P26" s="15">
        <f t="shared" si="1"/>
        <v>55</v>
      </c>
      <c r="R26" s="28" t="s">
        <v>86</v>
      </c>
      <c r="S26" s="16">
        <f t="shared" ref="S26:AF26" si="18">SUM(S13:S18)</f>
        <v>510</v>
      </c>
      <c r="T26" s="16">
        <f t="shared" si="18"/>
        <v>85</v>
      </c>
      <c r="U26" s="16">
        <f t="shared" si="18"/>
        <v>74</v>
      </c>
      <c r="V26" s="16">
        <f t="shared" si="18"/>
        <v>385</v>
      </c>
      <c r="W26" s="16">
        <f t="shared" si="18"/>
        <v>6</v>
      </c>
      <c r="X26" s="16">
        <f t="shared" si="18"/>
        <v>8</v>
      </c>
      <c r="Y26" s="16">
        <f t="shared" si="18"/>
        <v>115</v>
      </c>
      <c r="Z26" s="16">
        <f t="shared" si="18"/>
        <v>37</v>
      </c>
      <c r="AA26" s="16">
        <f t="shared" si="18"/>
        <v>16</v>
      </c>
      <c r="AB26" s="16">
        <f t="shared" si="18"/>
        <v>22</v>
      </c>
      <c r="AC26" s="16">
        <f t="shared" si="18"/>
        <v>493</v>
      </c>
      <c r="AD26" s="16">
        <f t="shared" si="18"/>
        <v>0</v>
      </c>
      <c r="AE26" s="32">
        <f t="shared" si="18"/>
        <v>1258</v>
      </c>
      <c r="AF26" s="32">
        <f t="shared" si="18"/>
        <v>1751</v>
      </c>
    </row>
    <row r="27" spans="2:32" ht="23.1" customHeight="1" x14ac:dyDescent="0.25">
      <c r="B27" s="23" t="s">
        <v>54</v>
      </c>
      <c r="C27" s="50">
        <v>17</v>
      </c>
      <c r="D27" s="50">
        <v>4</v>
      </c>
      <c r="E27" s="50">
        <v>2</v>
      </c>
      <c r="F27" s="50">
        <v>13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2</v>
      </c>
      <c r="M27" s="50">
        <v>26</v>
      </c>
      <c r="N27" s="50">
        <v>0</v>
      </c>
      <c r="O27" s="15">
        <f t="shared" si="0"/>
        <v>40</v>
      </c>
      <c r="P27" s="15">
        <f t="shared" si="1"/>
        <v>66</v>
      </c>
      <c r="R27" s="29" t="s">
        <v>87</v>
      </c>
      <c r="S27" s="16">
        <f t="shared" ref="S27:AF27" si="19">SUM(S19:S21)</f>
        <v>519</v>
      </c>
      <c r="T27" s="16">
        <f t="shared" si="19"/>
        <v>110</v>
      </c>
      <c r="U27" s="16">
        <f t="shared" si="19"/>
        <v>88</v>
      </c>
      <c r="V27" s="16">
        <f t="shared" si="19"/>
        <v>292</v>
      </c>
      <c r="W27" s="16">
        <f t="shared" si="19"/>
        <v>33</v>
      </c>
      <c r="X27" s="16">
        <f t="shared" si="19"/>
        <v>9</v>
      </c>
      <c r="Y27" s="16">
        <f t="shared" si="19"/>
        <v>87</v>
      </c>
      <c r="Z27" s="16">
        <f t="shared" si="19"/>
        <v>22</v>
      </c>
      <c r="AA27" s="16">
        <f t="shared" si="19"/>
        <v>5</v>
      </c>
      <c r="AB27" s="16">
        <f t="shared" si="19"/>
        <v>15</v>
      </c>
      <c r="AC27" s="16">
        <f t="shared" si="19"/>
        <v>377</v>
      </c>
      <c r="AD27" s="16">
        <f t="shared" si="19"/>
        <v>0</v>
      </c>
      <c r="AE27" s="32">
        <f t="shared" si="19"/>
        <v>1180</v>
      </c>
      <c r="AF27" s="32">
        <f t="shared" si="19"/>
        <v>1557</v>
      </c>
    </row>
    <row r="28" spans="2:32" ht="23.1" customHeight="1" x14ac:dyDescent="0.25">
      <c r="B28" s="23" t="s">
        <v>55</v>
      </c>
      <c r="C28" s="50">
        <v>26</v>
      </c>
      <c r="D28" s="50">
        <v>2</v>
      </c>
      <c r="E28" s="50">
        <v>4</v>
      </c>
      <c r="F28" s="50">
        <v>16</v>
      </c>
      <c r="G28" s="50">
        <v>0</v>
      </c>
      <c r="H28" s="50">
        <v>0</v>
      </c>
      <c r="I28" s="50">
        <v>5</v>
      </c>
      <c r="J28" s="50">
        <v>1</v>
      </c>
      <c r="K28" s="50">
        <v>0</v>
      </c>
      <c r="L28" s="50">
        <v>0</v>
      </c>
      <c r="M28" s="50">
        <v>26</v>
      </c>
      <c r="N28" s="50">
        <v>0</v>
      </c>
      <c r="O28" s="15">
        <f t="shared" si="0"/>
        <v>54</v>
      </c>
      <c r="P28" s="15">
        <f t="shared" si="1"/>
        <v>80</v>
      </c>
      <c r="R28" s="5" t="s">
        <v>17</v>
      </c>
      <c r="S28" s="16">
        <f t="shared" ref="S28:AF28" si="20">SUM(S10:S21)</f>
        <v>1176</v>
      </c>
      <c r="T28" s="16">
        <f t="shared" si="20"/>
        <v>212</v>
      </c>
      <c r="U28" s="16">
        <f t="shared" si="20"/>
        <v>181</v>
      </c>
      <c r="V28" s="16">
        <f t="shared" si="20"/>
        <v>840</v>
      </c>
      <c r="W28" s="16">
        <f t="shared" si="20"/>
        <v>42</v>
      </c>
      <c r="X28" s="16">
        <f t="shared" si="20"/>
        <v>17</v>
      </c>
      <c r="Y28" s="16">
        <f t="shared" si="20"/>
        <v>242</v>
      </c>
      <c r="Z28" s="16">
        <f t="shared" si="20"/>
        <v>75</v>
      </c>
      <c r="AA28" s="16">
        <f t="shared" si="20"/>
        <v>25</v>
      </c>
      <c r="AB28" s="16">
        <f t="shared" si="20"/>
        <v>47</v>
      </c>
      <c r="AC28" s="16">
        <f t="shared" si="20"/>
        <v>1064</v>
      </c>
      <c r="AD28" s="16">
        <f t="shared" si="20"/>
        <v>0</v>
      </c>
      <c r="AE28" s="32">
        <f t="shared" si="20"/>
        <v>2857</v>
      </c>
      <c r="AF28" s="32">
        <f t="shared" si="20"/>
        <v>3921</v>
      </c>
    </row>
    <row r="29" spans="2:32" ht="23.1" customHeight="1" x14ac:dyDescent="0.25">
      <c r="B29" s="23" t="s">
        <v>56</v>
      </c>
      <c r="C29" s="50">
        <v>12</v>
      </c>
      <c r="D29" s="50">
        <v>5</v>
      </c>
      <c r="E29" s="50">
        <v>2</v>
      </c>
      <c r="F29" s="50">
        <v>14</v>
      </c>
      <c r="G29" s="50">
        <v>0</v>
      </c>
      <c r="H29" s="50">
        <v>0</v>
      </c>
      <c r="I29" s="50">
        <v>1</v>
      </c>
      <c r="J29" s="50">
        <v>2</v>
      </c>
      <c r="K29" s="50">
        <v>0</v>
      </c>
      <c r="L29" s="50">
        <v>0</v>
      </c>
      <c r="M29" s="50">
        <v>26</v>
      </c>
      <c r="N29" s="50">
        <v>0</v>
      </c>
      <c r="O29" s="15">
        <f t="shared" si="0"/>
        <v>36</v>
      </c>
      <c r="P29" s="15">
        <f t="shared" si="1"/>
        <v>62</v>
      </c>
      <c r="R29"/>
      <c r="S29" s="20"/>
      <c r="T29" s="19"/>
    </row>
    <row r="30" spans="2:32" ht="23.1" customHeight="1" x14ac:dyDescent="0.25">
      <c r="B30" s="23" t="s">
        <v>57</v>
      </c>
      <c r="C30" s="50">
        <v>30</v>
      </c>
      <c r="D30" s="50">
        <v>1</v>
      </c>
      <c r="E30" s="50">
        <v>0</v>
      </c>
      <c r="F30" s="50">
        <v>14</v>
      </c>
      <c r="G30" s="50">
        <v>1</v>
      </c>
      <c r="H30" s="50">
        <v>0</v>
      </c>
      <c r="I30" s="50">
        <v>5</v>
      </c>
      <c r="J30" s="50">
        <v>0</v>
      </c>
      <c r="K30" s="50">
        <v>0</v>
      </c>
      <c r="L30" s="50">
        <v>1</v>
      </c>
      <c r="M30" s="50">
        <v>28</v>
      </c>
      <c r="N30" s="50">
        <v>0</v>
      </c>
      <c r="O30" s="15">
        <f t="shared" si="0"/>
        <v>52</v>
      </c>
      <c r="P30" s="15">
        <f t="shared" si="1"/>
        <v>80</v>
      </c>
    </row>
    <row r="31" spans="2:32" ht="23.1" customHeight="1" x14ac:dyDescent="0.25">
      <c r="B31" s="24" t="s">
        <v>58</v>
      </c>
      <c r="C31" s="50">
        <v>20</v>
      </c>
      <c r="D31" s="50">
        <v>3</v>
      </c>
      <c r="E31" s="50">
        <v>4</v>
      </c>
      <c r="F31" s="50">
        <v>14</v>
      </c>
      <c r="G31" s="50">
        <v>0</v>
      </c>
      <c r="H31" s="50">
        <v>0</v>
      </c>
      <c r="I31" s="50">
        <v>7</v>
      </c>
      <c r="J31" s="50">
        <v>2</v>
      </c>
      <c r="K31" s="50">
        <v>0</v>
      </c>
      <c r="L31" s="50">
        <v>0</v>
      </c>
      <c r="M31" s="50">
        <v>19</v>
      </c>
      <c r="N31" s="50">
        <v>0</v>
      </c>
      <c r="O31" s="15">
        <f t="shared" si="0"/>
        <v>50</v>
      </c>
      <c r="P31" s="15">
        <f t="shared" si="1"/>
        <v>69</v>
      </c>
    </row>
    <row r="32" spans="2:32" ht="23.1" customHeight="1" x14ac:dyDescent="0.25">
      <c r="B32" s="24" t="s">
        <v>59</v>
      </c>
      <c r="C32" s="50">
        <v>25</v>
      </c>
      <c r="D32" s="50">
        <v>6</v>
      </c>
      <c r="E32" s="50">
        <v>5</v>
      </c>
      <c r="F32" s="50">
        <v>16</v>
      </c>
      <c r="G32" s="50">
        <v>0</v>
      </c>
      <c r="H32" s="50">
        <v>0</v>
      </c>
      <c r="I32" s="50">
        <v>3</v>
      </c>
      <c r="J32" s="50">
        <v>2</v>
      </c>
      <c r="K32" s="50">
        <v>0</v>
      </c>
      <c r="L32" s="50">
        <v>0</v>
      </c>
      <c r="M32" s="50">
        <v>23</v>
      </c>
      <c r="N32" s="50">
        <v>0</v>
      </c>
      <c r="O32" s="15">
        <f t="shared" si="0"/>
        <v>57</v>
      </c>
      <c r="P32" s="15">
        <f t="shared" si="1"/>
        <v>80</v>
      </c>
    </row>
    <row r="33" spans="2:20" ht="23.1" customHeight="1" x14ac:dyDescent="0.25">
      <c r="B33" s="23" t="s">
        <v>60</v>
      </c>
      <c r="C33" s="50">
        <v>11</v>
      </c>
      <c r="D33" s="50">
        <v>3</v>
      </c>
      <c r="E33" s="50">
        <v>2</v>
      </c>
      <c r="F33" s="50">
        <v>13</v>
      </c>
      <c r="G33" s="50">
        <v>0</v>
      </c>
      <c r="H33" s="50">
        <v>0</v>
      </c>
      <c r="I33" s="50">
        <v>5</v>
      </c>
      <c r="J33" s="50">
        <v>3</v>
      </c>
      <c r="K33" s="50">
        <v>1</v>
      </c>
      <c r="L33" s="50">
        <v>1</v>
      </c>
      <c r="M33" s="50">
        <v>15</v>
      </c>
      <c r="N33" s="50">
        <v>0</v>
      </c>
      <c r="O33" s="15">
        <f t="shared" si="0"/>
        <v>39</v>
      </c>
      <c r="P33" s="15">
        <f t="shared" si="1"/>
        <v>54</v>
      </c>
    </row>
    <row r="34" spans="2:20" ht="23.1" customHeight="1" x14ac:dyDescent="0.25">
      <c r="B34" s="24" t="s">
        <v>61</v>
      </c>
      <c r="C34" s="50">
        <v>24</v>
      </c>
      <c r="D34" s="50">
        <v>3</v>
      </c>
      <c r="E34" s="50">
        <v>3</v>
      </c>
      <c r="F34" s="50">
        <v>21</v>
      </c>
      <c r="G34" s="50">
        <v>0</v>
      </c>
      <c r="H34" s="50">
        <v>1</v>
      </c>
      <c r="I34" s="50">
        <v>7</v>
      </c>
      <c r="J34" s="50">
        <v>1</v>
      </c>
      <c r="K34" s="50">
        <v>1</v>
      </c>
      <c r="L34" s="50">
        <v>3</v>
      </c>
      <c r="M34" s="50">
        <v>18</v>
      </c>
      <c r="N34" s="50">
        <v>0</v>
      </c>
      <c r="O34" s="15">
        <f t="shared" si="0"/>
        <v>64</v>
      </c>
      <c r="P34" s="15">
        <f t="shared" si="1"/>
        <v>82</v>
      </c>
    </row>
    <row r="35" spans="2:20" ht="23.1" customHeight="1" x14ac:dyDescent="0.25">
      <c r="B35" s="24" t="s">
        <v>62</v>
      </c>
      <c r="C35" s="50">
        <v>20</v>
      </c>
      <c r="D35" s="50">
        <v>2</v>
      </c>
      <c r="E35" s="50">
        <v>3</v>
      </c>
      <c r="F35" s="50">
        <v>18</v>
      </c>
      <c r="G35" s="50">
        <v>0</v>
      </c>
      <c r="H35" s="50">
        <v>0</v>
      </c>
      <c r="I35" s="50">
        <v>5</v>
      </c>
      <c r="J35" s="50">
        <v>2</v>
      </c>
      <c r="K35" s="50">
        <v>0</v>
      </c>
      <c r="L35" s="50">
        <v>1</v>
      </c>
      <c r="M35" s="50">
        <v>20</v>
      </c>
      <c r="N35" s="50">
        <v>0</v>
      </c>
      <c r="O35" s="15">
        <f t="shared" si="0"/>
        <v>51</v>
      </c>
      <c r="P35" s="15">
        <f t="shared" si="1"/>
        <v>71</v>
      </c>
    </row>
    <row r="36" spans="2:20" ht="23.1" customHeight="1" x14ac:dyDescent="0.25">
      <c r="B36" s="24" t="s">
        <v>63</v>
      </c>
      <c r="C36" s="50">
        <v>23</v>
      </c>
      <c r="D36" s="50">
        <v>3</v>
      </c>
      <c r="E36" s="50">
        <v>2</v>
      </c>
      <c r="F36" s="50">
        <v>17</v>
      </c>
      <c r="G36" s="50">
        <v>0</v>
      </c>
      <c r="H36" s="50">
        <v>2</v>
      </c>
      <c r="I36" s="50">
        <v>9</v>
      </c>
      <c r="J36" s="50">
        <v>1</v>
      </c>
      <c r="K36" s="50">
        <v>0</v>
      </c>
      <c r="L36" s="50">
        <v>1</v>
      </c>
      <c r="M36" s="50">
        <v>17</v>
      </c>
      <c r="N36" s="50">
        <v>0</v>
      </c>
      <c r="O36" s="15">
        <f t="shared" si="0"/>
        <v>58</v>
      </c>
      <c r="P36" s="15">
        <f t="shared" si="1"/>
        <v>75</v>
      </c>
    </row>
    <row r="37" spans="2:20" ht="23.1" customHeight="1" x14ac:dyDescent="0.25">
      <c r="B37" s="23" t="s">
        <v>64</v>
      </c>
      <c r="C37" s="50">
        <v>17</v>
      </c>
      <c r="D37" s="50">
        <v>5</v>
      </c>
      <c r="E37" s="50">
        <v>1</v>
      </c>
      <c r="F37" s="50">
        <v>12</v>
      </c>
      <c r="G37" s="50">
        <v>0</v>
      </c>
      <c r="H37" s="50">
        <v>0</v>
      </c>
      <c r="I37" s="50">
        <v>7</v>
      </c>
      <c r="J37" s="50">
        <v>0</v>
      </c>
      <c r="K37" s="50">
        <v>3</v>
      </c>
      <c r="L37" s="50">
        <v>0</v>
      </c>
      <c r="M37" s="50">
        <v>13</v>
      </c>
      <c r="N37" s="50">
        <v>0</v>
      </c>
      <c r="O37" s="15">
        <f t="shared" si="0"/>
        <v>45</v>
      </c>
      <c r="P37" s="15">
        <f t="shared" si="1"/>
        <v>58</v>
      </c>
    </row>
    <row r="38" spans="2:20" ht="23.1" customHeight="1" x14ac:dyDescent="0.25">
      <c r="B38" s="24" t="s">
        <v>65</v>
      </c>
      <c r="C38" s="50">
        <v>30</v>
      </c>
      <c r="D38" s="50">
        <v>4</v>
      </c>
      <c r="E38" s="50">
        <v>4</v>
      </c>
      <c r="F38" s="50">
        <v>25</v>
      </c>
      <c r="G38" s="50">
        <v>0</v>
      </c>
      <c r="H38" s="50">
        <v>0</v>
      </c>
      <c r="I38" s="50">
        <v>8</v>
      </c>
      <c r="J38" s="50">
        <v>0</v>
      </c>
      <c r="K38" s="50">
        <v>2</v>
      </c>
      <c r="L38" s="50">
        <v>3</v>
      </c>
      <c r="M38" s="50">
        <v>23</v>
      </c>
      <c r="N38" s="50">
        <v>0</v>
      </c>
      <c r="O38" s="15">
        <f t="shared" si="0"/>
        <v>76</v>
      </c>
      <c r="P38" s="15">
        <f t="shared" si="1"/>
        <v>99</v>
      </c>
    </row>
    <row r="39" spans="2:20" ht="23.1" customHeight="1" x14ac:dyDescent="0.25">
      <c r="B39" s="24" t="s">
        <v>66</v>
      </c>
      <c r="C39" s="50">
        <v>26</v>
      </c>
      <c r="D39" s="50">
        <v>7</v>
      </c>
      <c r="E39" s="50">
        <v>10</v>
      </c>
      <c r="F39" s="50">
        <v>21</v>
      </c>
      <c r="G39" s="50">
        <v>0</v>
      </c>
      <c r="H39" s="50">
        <v>0</v>
      </c>
      <c r="I39" s="50">
        <v>3</v>
      </c>
      <c r="J39" s="50">
        <v>3</v>
      </c>
      <c r="K39" s="50">
        <v>1</v>
      </c>
      <c r="L39" s="50">
        <v>1</v>
      </c>
      <c r="M39" s="50">
        <v>30</v>
      </c>
      <c r="N39" s="50">
        <v>0</v>
      </c>
      <c r="O39" s="15">
        <f t="shared" si="0"/>
        <v>72</v>
      </c>
      <c r="P39" s="15">
        <f t="shared" si="1"/>
        <v>102</v>
      </c>
    </row>
    <row r="40" spans="2:20" ht="23.1" customHeight="1" x14ac:dyDescent="0.25">
      <c r="B40" s="24" t="s">
        <v>67</v>
      </c>
      <c r="C40" s="50">
        <v>32</v>
      </c>
      <c r="D40" s="50">
        <v>7</v>
      </c>
      <c r="E40" s="50">
        <v>6</v>
      </c>
      <c r="F40" s="50">
        <v>14</v>
      </c>
      <c r="G40" s="50">
        <v>1</v>
      </c>
      <c r="H40" s="50">
        <v>1</v>
      </c>
      <c r="I40" s="50">
        <v>1</v>
      </c>
      <c r="J40" s="50">
        <v>0</v>
      </c>
      <c r="K40" s="50">
        <v>0</v>
      </c>
      <c r="L40" s="50">
        <v>1</v>
      </c>
      <c r="M40" s="50">
        <v>19</v>
      </c>
      <c r="N40" s="50">
        <v>0</v>
      </c>
      <c r="O40" s="15">
        <f t="shared" si="0"/>
        <v>63</v>
      </c>
      <c r="P40" s="15">
        <f t="shared" si="1"/>
        <v>82</v>
      </c>
    </row>
    <row r="41" spans="2:20" ht="23.1" customHeight="1" x14ac:dyDescent="0.25">
      <c r="B41" s="23" t="s">
        <v>68</v>
      </c>
      <c r="C41" s="50">
        <v>19</v>
      </c>
      <c r="D41" s="50">
        <v>3</v>
      </c>
      <c r="E41" s="50">
        <v>1</v>
      </c>
      <c r="F41" s="50">
        <v>17</v>
      </c>
      <c r="G41" s="50">
        <v>0</v>
      </c>
      <c r="H41" s="50">
        <v>0</v>
      </c>
      <c r="I41" s="50">
        <v>2</v>
      </c>
      <c r="J41" s="50">
        <v>4</v>
      </c>
      <c r="K41" s="50">
        <v>3</v>
      </c>
      <c r="L41" s="50">
        <v>0</v>
      </c>
      <c r="M41" s="50">
        <v>17</v>
      </c>
      <c r="N41" s="50">
        <v>0</v>
      </c>
      <c r="O41" s="15">
        <f t="shared" si="0"/>
        <v>49</v>
      </c>
      <c r="P41" s="15">
        <f t="shared" si="1"/>
        <v>66</v>
      </c>
    </row>
    <row r="42" spans="2:20" ht="23.1" customHeight="1" x14ac:dyDescent="0.25">
      <c r="B42" s="24" t="s">
        <v>69</v>
      </c>
      <c r="C42" s="50">
        <v>16</v>
      </c>
      <c r="D42" s="50">
        <v>5</v>
      </c>
      <c r="E42" s="50">
        <v>3</v>
      </c>
      <c r="F42" s="50">
        <v>13</v>
      </c>
      <c r="G42" s="50">
        <v>0</v>
      </c>
      <c r="H42" s="50">
        <v>0</v>
      </c>
      <c r="I42" s="50">
        <v>4</v>
      </c>
      <c r="J42" s="50">
        <v>1</v>
      </c>
      <c r="K42" s="50">
        <v>2</v>
      </c>
      <c r="L42" s="50">
        <v>2</v>
      </c>
      <c r="M42" s="50">
        <v>12</v>
      </c>
      <c r="N42" s="50">
        <v>0</v>
      </c>
      <c r="O42" s="15">
        <f t="shared" si="0"/>
        <v>46</v>
      </c>
      <c r="P42" s="15">
        <f t="shared" si="1"/>
        <v>58</v>
      </c>
    </row>
    <row r="43" spans="2:20" ht="23.1" customHeight="1" x14ac:dyDescent="0.25">
      <c r="B43" s="23" t="s">
        <v>70</v>
      </c>
      <c r="C43" s="50">
        <v>32</v>
      </c>
      <c r="D43" s="50">
        <v>6</v>
      </c>
      <c r="E43" s="50">
        <v>10</v>
      </c>
      <c r="F43" s="50">
        <v>20</v>
      </c>
      <c r="G43" s="50">
        <v>1</v>
      </c>
      <c r="H43" s="50">
        <v>3</v>
      </c>
      <c r="I43" s="50">
        <v>10</v>
      </c>
      <c r="J43" s="50">
        <v>1</v>
      </c>
      <c r="K43" s="50">
        <v>0</v>
      </c>
      <c r="L43" s="50">
        <v>0</v>
      </c>
      <c r="M43" s="50">
        <v>23</v>
      </c>
      <c r="N43" s="50">
        <v>0</v>
      </c>
      <c r="O43" s="15">
        <f t="shared" si="0"/>
        <v>83</v>
      </c>
      <c r="P43" s="15">
        <f t="shared" si="1"/>
        <v>106</v>
      </c>
    </row>
    <row r="44" spans="2:20" ht="23.1" customHeight="1" x14ac:dyDescent="0.25">
      <c r="B44" s="25" t="s">
        <v>71</v>
      </c>
      <c r="C44" s="50">
        <v>23</v>
      </c>
      <c r="D44" s="50">
        <v>3</v>
      </c>
      <c r="E44" s="50">
        <v>2</v>
      </c>
      <c r="F44" s="50">
        <v>25</v>
      </c>
      <c r="G44" s="50">
        <v>0</v>
      </c>
      <c r="H44" s="50">
        <v>0</v>
      </c>
      <c r="I44" s="50">
        <v>6</v>
      </c>
      <c r="J44" s="50">
        <v>0</v>
      </c>
      <c r="K44" s="50">
        <v>0</v>
      </c>
      <c r="L44" s="50">
        <v>1</v>
      </c>
      <c r="M44" s="50">
        <v>28</v>
      </c>
      <c r="N44" s="50">
        <v>0</v>
      </c>
      <c r="O44" s="15">
        <f t="shared" si="0"/>
        <v>60</v>
      </c>
      <c r="P44" s="15">
        <f t="shared" si="1"/>
        <v>88</v>
      </c>
    </row>
    <row r="45" spans="2:20" ht="23.1" customHeight="1" x14ac:dyDescent="0.25">
      <c r="B45" s="23" t="s">
        <v>72</v>
      </c>
      <c r="C45" s="50">
        <v>34</v>
      </c>
      <c r="D45" s="50">
        <v>8</v>
      </c>
      <c r="E45" s="50">
        <v>5</v>
      </c>
      <c r="F45" s="50">
        <v>17</v>
      </c>
      <c r="G45" s="50">
        <v>0</v>
      </c>
      <c r="H45" s="50">
        <v>0</v>
      </c>
      <c r="I45" s="50">
        <v>11</v>
      </c>
      <c r="J45" s="50">
        <v>5</v>
      </c>
      <c r="K45" s="50">
        <v>1</v>
      </c>
      <c r="L45" s="50">
        <v>1</v>
      </c>
      <c r="M45" s="50">
        <v>16</v>
      </c>
      <c r="N45" s="50">
        <v>0</v>
      </c>
      <c r="O45" s="15">
        <f t="shared" si="0"/>
        <v>82</v>
      </c>
      <c r="P45" s="15">
        <f t="shared" si="1"/>
        <v>98</v>
      </c>
    </row>
    <row r="46" spans="2:20" ht="23.1" customHeight="1" x14ac:dyDescent="0.25">
      <c r="B46" s="24" t="s">
        <v>73</v>
      </c>
      <c r="C46" s="50">
        <v>39</v>
      </c>
      <c r="D46" s="50">
        <v>3</v>
      </c>
      <c r="E46" s="50">
        <v>5</v>
      </c>
      <c r="F46" s="50">
        <v>20</v>
      </c>
      <c r="G46" s="50">
        <v>0</v>
      </c>
      <c r="H46" s="50">
        <v>1</v>
      </c>
      <c r="I46" s="50">
        <v>9</v>
      </c>
      <c r="J46" s="50">
        <v>1</v>
      </c>
      <c r="K46" s="50">
        <v>0</v>
      </c>
      <c r="L46" s="50">
        <v>2</v>
      </c>
      <c r="M46" s="50">
        <v>34</v>
      </c>
      <c r="N46" s="50">
        <v>0</v>
      </c>
      <c r="O46" s="15">
        <f t="shared" si="0"/>
        <v>80</v>
      </c>
      <c r="P46" s="15">
        <f t="shared" si="1"/>
        <v>114</v>
      </c>
      <c r="R46" s="8"/>
      <c r="T46"/>
    </row>
    <row r="47" spans="2:20" ht="23.1" customHeight="1" x14ac:dyDescent="0.25">
      <c r="B47" s="24" t="s">
        <v>74</v>
      </c>
      <c r="C47" s="50">
        <v>31</v>
      </c>
      <c r="D47" s="50">
        <v>8</v>
      </c>
      <c r="E47" s="50">
        <v>7</v>
      </c>
      <c r="F47" s="50">
        <v>19</v>
      </c>
      <c r="G47" s="50">
        <v>1</v>
      </c>
      <c r="H47" s="50">
        <v>1</v>
      </c>
      <c r="I47" s="50">
        <v>5</v>
      </c>
      <c r="J47" s="50">
        <v>1</v>
      </c>
      <c r="K47" s="50">
        <v>1</v>
      </c>
      <c r="L47" s="50">
        <v>2</v>
      </c>
      <c r="M47" s="50">
        <v>30</v>
      </c>
      <c r="N47" s="50">
        <v>0</v>
      </c>
      <c r="O47" s="15">
        <f t="shared" si="0"/>
        <v>76</v>
      </c>
      <c r="P47" s="15">
        <f t="shared" si="1"/>
        <v>106</v>
      </c>
      <c r="R47" s="8"/>
      <c r="T47"/>
    </row>
    <row r="48" spans="2:20" ht="23.1" customHeight="1" x14ac:dyDescent="0.25">
      <c r="B48" s="24" t="s">
        <v>75</v>
      </c>
      <c r="C48" s="50">
        <v>29</v>
      </c>
      <c r="D48" s="50">
        <v>6</v>
      </c>
      <c r="E48" s="50">
        <v>9</v>
      </c>
      <c r="F48" s="50">
        <v>33</v>
      </c>
      <c r="G48" s="50">
        <v>8</v>
      </c>
      <c r="H48" s="50">
        <v>0</v>
      </c>
      <c r="I48" s="50">
        <v>3</v>
      </c>
      <c r="J48" s="50">
        <v>3</v>
      </c>
      <c r="K48" s="50">
        <v>0</v>
      </c>
      <c r="L48" s="50">
        <v>1</v>
      </c>
      <c r="M48" s="50">
        <v>32</v>
      </c>
      <c r="N48" s="50">
        <v>0</v>
      </c>
      <c r="O48" s="15">
        <f t="shared" si="0"/>
        <v>92</v>
      </c>
      <c r="P48" s="15">
        <f t="shared" si="1"/>
        <v>124</v>
      </c>
      <c r="R48" s="8"/>
      <c r="T48"/>
    </row>
    <row r="49" spans="2:20" ht="23.1" customHeight="1" x14ac:dyDescent="0.25">
      <c r="B49" s="23" t="s">
        <v>76</v>
      </c>
      <c r="C49" s="50">
        <v>40</v>
      </c>
      <c r="D49" s="50">
        <v>3</v>
      </c>
      <c r="E49" s="50">
        <v>5</v>
      </c>
      <c r="F49" s="50">
        <v>23</v>
      </c>
      <c r="G49" s="50">
        <v>1</v>
      </c>
      <c r="H49" s="50">
        <v>1</v>
      </c>
      <c r="I49" s="50">
        <v>8</v>
      </c>
      <c r="J49" s="50">
        <v>2</v>
      </c>
      <c r="K49" s="50">
        <v>0</v>
      </c>
      <c r="L49" s="50">
        <v>1</v>
      </c>
      <c r="M49" s="50">
        <v>13</v>
      </c>
      <c r="N49" s="50">
        <v>0</v>
      </c>
      <c r="O49" s="15">
        <f t="shared" si="0"/>
        <v>84</v>
      </c>
      <c r="P49" s="15">
        <f t="shared" si="1"/>
        <v>97</v>
      </c>
      <c r="R49" s="8"/>
      <c r="T49"/>
    </row>
    <row r="50" spans="2:20" ht="23.1" customHeight="1" x14ac:dyDescent="0.25">
      <c r="B50" s="24" t="s">
        <v>77</v>
      </c>
      <c r="C50" s="50">
        <v>35</v>
      </c>
      <c r="D50" s="50">
        <v>8</v>
      </c>
      <c r="E50" s="50">
        <v>9</v>
      </c>
      <c r="F50" s="50">
        <v>25</v>
      </c>
      <c r="G50" s="50">
        <v>0</v>
      </c>
      <c r="H50" s="50">
        <v>0</v>
      </c>
      <c r="I50" s="50">
        <v>5</v>
      </c>
      <c r="J50" s="50">
        <v>1</v>
      </c>
      <c r="K50" s="50">
        <v>1</v>
      </c>
      <c r="L50" s="50">
        <v>3</v>
      </c>
      <c r="M50" s="50">
        <v>37</v>
      </c>
      <c r="N50" s="50">
        <v>0</v>
      </c>
      <c r="O50" s="15">
        <f t="shared" si="0"/>
        <v>87</v>
      </c>
      <c r="P50" s="15">
        <f t="shared" si="1"/>
        <v>124</v>
      </c>
      <c r="R50" s="8"/>
      <c r="T50"/>
    </row>
    <row r="51" spans="2:20" ht="23.1" customHeight="1" x14ac:dyDescent="0.25">
      <c r="B51" s="24" t="s">
        <v>78</v>
      </c>
      <c r="C51" s="50">
        <v>34</v>
      </c>
      <c r="D51" s="50">
        <v>10</v>
      </c>
      <c r="E51" s="50">
        <v>6</v>
      </c>
      <c r="F51" s="50">
        <v>13</v>
      </c>
      <c r="G51" s="50">
        <v>0</v>
      </c>
      <c r="H51" s="50">
        <v>1</v>
      </c>
      <c r="I51" s="50">
        <v>9</v>
      </c>
      <c r="J51" s="50">
        <v>2</v>
      </c>
      <c r="K51" s="50">
        <v>0</v>
      </c>
      <c r="L51" s="50">
        <v>1</v>
      </c>
      <c r="M51" s="50">
        <v>20</v>
      </c>
      <c r="N51" s="50">
        <v>0</v>
      </c>
      <c r="O51" s="15">
        <f t="shared" si="0"/>
        <v>76</v>
      </c>
      <c r="P51" s="15">
        <f t="shared" si="1"/>
        <v>96</v>
      </c>
      <c r="R51" s="8"/>
      <c r="T51"/>
    </row>
    <row r="52" spans="2:20" ht="23.1" customHeight="1" x14ac:dyDescent="0.25">
      <c r="B52" s="24" t="s">
        <v>79</v>
      </c>
      <c r="C52" s="50">
        <v>49</v>
      </c>
      <c r="D52" s="50">
        <v>6</v>
      </c>
      <c r="E52" s="50">
        <v>6</v>
      </c>
      <c r="F52" s="50">
        <v>14</v>
      </c>
      <c r="G52" s="50">
        <v>0</v>
      </c>
      <c r="H52" s="50">
        <v>1</v>
      </c>
      <c r="I52" s="50">
        <v>12</v>
      </c>
      <c r="J52" s="50">
        <v>1</v>
      </c>
      <c r="K52" s="50">
        <v>0</v>
      </c>
      <c r="L52" s="50">
        <v>0</v>
      </c>
      <c r="M52" s="50">
        <v>36</v>
      </c>
      <c r="N52" s="50">
        <v>0</v>
      </c>
      <c r="O52" s="15">
        <f t="shared" si="0"/>
        <v>89</v>
      </c>
      <c r="P52" s="15">
        <f t="shared" si="1"/>
        <v>125</v>
      </c>
      <c r="R52" s="8"/>
      <c r="T52"/>
    </row>
    <row r="53" spans="2:20" ht="23.1" customHeight="1" x14ac:dyDescent="0.25">
      <c r="B53" s="23" t="s">
        <v>80</v>
      </c>
      <c r="C53" s="50">
        <v>55</v>
      </c>
      <c r="D53" s="50">
        <v>9</v>
      </c>
      <c r="E53" s="50">
        <v>8</v>
      </c>
      <c r="F53" s="50">
        <v>39</v>
      </c>
      <c r="G53" s="50">
        <v>6</v>
      </c>
      <c r="H53" s="50">
        <v>2</v>
      </c>
      <c r="I53" s="50">
        <v>11</v>
      </c>
      <c r="J53" s="50">
        <v>0</v>
      </c>
      <c r="K53" s="50">
        <v>2</v>
      </c>
      <c r="L53" s="50">
        <v>0</v>
      </c>
      <c r="M53" s="50">
        <v>30</v>
      </c>
      <c r="N53" s="50">
        <v>0</v>
      </c>
      <c r="O53" s="15">
        <f t="shared" si="0"/>
        <v>132</v>
      </c>
      <c r="P53" s="15">
        <f t="shared" si="1"/>
        <v>162</v>
      </c>
      <c r="R53" s="8"/>
      <c r="T53"/>
    </row>
    <row r="54" spans="2:20" ht="23.1" customHeight="1" x14ac:dyDescent="0.25">
      <c r="B54" s="23" t="s">
        <v>81</v>
      </c>
      <c r="C54" s="50">
        <v>50</v>
      </c>
      <c r="D54" s="50">
        <v>16</v>
      </c>
      <c r="E54" s="50">
        <v>7</v>
      </c>
      <c r="F54" s="50">
        <v>23</v>
      </c>
      <c r="G54" s="50">
        <v>5</v>
      </c>
      <c r="H54" s="50">
        <v>2</v>
      </c>
      <c r="I54" s="50">
        <v>6</v>
      </c>
      <c r="J54" s="50">
        <v>4</v>
      </c>
      <c r="K54" s="50">
        <v>0</v>
      </c>
      <c r="L54" s="50">
        <v>2</v>
      </c>
      <c r="M54" s="50">
        <v>44</v>
      </c>
      <c r="N54" s="50">
        <v>0</v>
      </c>
      <c r="O54" s="15">
        <f t="shared" si="0"/>
        <v>115</v>
      </c>
      <c r="P54" s="15">
        <f t="shared" si="1"/>
        <v>159</v>
      </c>
      <c r="R54" s="8"/>
      <c r="T54"/>
    </row>
    <row r="55" spans="2:20" ht="23.1" customHeight="1" x14ac:dyDescent="0.25">
      <c r="B55" s="23" t="s">
        <v>82</v>
      </c>
      <c r="C55" s="50">
        <v>39</v>
      </c>
      <c r="D55" s="50">
        <v>15</v>
      </c>
      <c r="E55" s="50">
        <v>11</v>
      </c>
      <c r="F55" s="50">
        <v>32</v>
      </c>
      <c r="G55" s="50">
        <v>5</v>
      </c>
      <c r="H55" s="50">
        <v>0</v>
      </c>
      <c r="I55" s="50">
        <v>9</v>
      </c>
      <c r="J55" s="50">
        <v>1</v>
      </c>
      <c r="K55" s="50">
        <v>0</v>
      </c>
      <c r="L55" s="50">
        <v>2</v>
      </c>
      <c r="M55" s="50">
        <v>38</v>
      </c>
      <c r="N55" s="50">
        <v>0</v>
      </c>
      <c r="O55" s="15">
        <f t="shared" si="0"/>
        <v>114</v>
      </c>
      <c r="P55" s="15">
        <f t="shared" si="1"/>
        <v>152</v>
      </c>
      <c r="R55" s="8"/>
      <c r="T55"/>
    </row>
    <row r="56" spans="2:20" ht="23.1" customHeight="1" x14ac:dyDescent="0.25">
      <c r="B56" s="23" t="s">
        <v>83</v>
      </c>
      <c r="C56" s="50">
        <v>50</v>
      </c>
      <c r="D56" s="50">
        <v>12</v>
      </c>
      <c r="E56" s="50">
        <v>7</v>
      </c>
      <c r="F56" s="50">
        <v>16</v>
      </c>
      <c r="G56" s="50">
        <v>6</v>
      </c>
      <c r="H56" s="50">
        <v>0</v>
      </c>
      <c r="I56" s="50">
        <v>4</v>
      </c>
      <c r="J56" s="50">
        <v>2</v>
      </c>
      <c r="K56" s="50">
        <v>1</v>
      </c>
      <c r="L56" s="50">
        <v>1</v>
      </c>
      <c r="M56" s="50">
        <v>25</v>
      </c>
      <c r="N56" s="50">
        <v>0</v>
      </c>
      <c r="O56" s="15">
        <f t="shared" si="0"/>
        <v>99</v>
      </c>
      <c r="P56" s="15">
        <f t="shared" si="1"/>
        <v>124</v>
      </c>
      <c r="R56" s="8"/>
      <c r="T56"/>
    </row>
    <row r="57" spans="2:20" ht="23.1" customHeight="1" x14ac:dyDescent="0.25">
      <c r="B57" s="23" t="s">
        <v>84</v>
      </c>
      <c r="C57" s="50">
        <v>68</v>
      </c>
      <c r="D57" s="50">
        <v>14</v>
      </c>
      <c r="E57" s="50">
        <v>8</v>
      </c>
      <c r="F57" s="50">
        <v>35</v>
      </c>
      <c r="G57" s="50">
        <v>1</v>
      </c>
      <c r="H57" s="50">
        <v>0</v>
      </c>
      <c r="I57" s="50">
        <v>6</v>
      </c>
      <c r="J57" s="50">
        <v>4</v>
      </c>
      <c r="K57" s="50">
        <v>0</v>
      </c>
      <c r="L57" s="50">
        <v>0</v>
      </c>
      <c r="M57" s="50">
        <v>38</v>
      </c>
      <c r="N57" s="50">
        <v>0</v>
      </c>
      <c r="O57" s="15">
        <f t="shared" si="0"/>
        <v>136</v>
      </c>
      <c r="P57" s="15">
        <f t="shared" si="1"/>
        <v>174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1176</v>
      </c>
      <c r="D58" s="16">
        <f t="shared" si="21"/>
        <v>212</v>
      </c>
      <c r="E58" s="16">
        <f t="shared" si="21"/>
        <v>181</v>
      </c>
      <c r="F58" s="16">
        <f t="shared" si="21"/>
        <v>840</v>
      </c>
      <c r="G58" s="16">
        <f t="shared" si="21"/>
        <v>42</v>
      </c>
      <c r="H58" s="16">
        <f t="shared" si="21"/>
        <v>17</v>
      </c>
      <c r="I58" s="16">
        <f t="shared" si="21"/>
        <v>242</v>
      </c>
      <c r="J58" s="16">
        <f t="shared" si="21"/>
        <v>75</v>
      </c>
      <c r="K58" s="16">
        <f t="shared" si="21"/>
        <v>25</v>
      </c>
      <c r="L58" s="16">
        <f t="shared" si="21"/>
        <v>47</v>
      </c>
      <c r="M58" s="16">
        <f t="shared" si="21"/>
        <v>1064</v>
      </c>
      <c r="N58" s="16">
        <f t="shared" si="21"/>
        <v>0</v>
      </c>
      <c r="O58" s="16">
        <f t="shared" si="21"/>
        <v>2857</v>
      </c>
      <c r="P58" s="16">
        <f t="shared" si="21"/>
        <v>3921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0.29992348890589138</v>
      </c>
      <c r="D59" s="43">
        <f t="shared" si="22"/>
        <v>5.4067839836776335E-2</v>
      </c>
      <c r="E59" s="43">
        <f t="shared" si="22"/>
        <v>4.6161693445549608E-2</v>
      </c>
      <c r="F59" s="43">
        <f t="shared" si="22"/>
        <v>0.21423106350420812</v>
      </c>
      <c r="G59" s="43">
        <f t="shared" si="22"/>
        <v>1.0711553175210406E-2</v>
      </c>
      <c r="H59" s="43">
        <f t="shared" si="22"/>
        <v>4.3356286661565928E-3</v>
      </c>
      <c r="I59" s="43">
        <f t="shared" si="22"/>
        <v>6.171894924764091E-2</v>
      </c>
      <c r="J59" s="43">
        <f t="shared" si="22"/>
        <v>1.9127773527161437E-2</v>
      </c>
      <c r="K59" s="43">
        <f t="shared" si="22"/>
        <v>6.3759245090538128E-3</v>
      </c>
      <c r="L59" s="43">
        <f t="shared" si="22"/>
        <v>1.1986738077021167E-2</v>
      </c>
      <c r="M59" s="43">
        <f t="shared" si="22"/>
        <v>0.27135934710533027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0.41162058102905147</v>
      </c>
      <c r="D60" s="44">
        <f t="shared" ref="D60:N60" si="23">D58/$O$58</f>
        <v>7.4203710185509281E-2</v>
      </c>
      <c r="E60" s="44">
        <f t="shared" si="23"/>
        <v>6.335316765838292E-2</v>
      </c>
      <c r="F60" s="44">
        <f t="shared" si="23"/>
        <v>0.29401470073503677</v>
      </c>
      <c r="G60" s="44">
        <f t="shared" si="23"/>
        <v>1.4700735036751837E-2</v>
      </c>
      <c r="H60" s="44">
        <f t="shared" si="23"/>
        <v>5.9502975148757438E-3</v>
      </c>
      <c r="I60" s="44">
        <f t="shared" si="23"/>
        <v>8.4704235211760584E-2</v>
      </c>
      <c r="J60" s="44">
        <f t="shared" si="23"/>
        <v>2.6251312565628283E-2</v>
      </c>
      <c r="K60" s="44">
        <f t="shared" si="23"/>
        <v>8.7504375218760942E-3</v>
      </c>
      <c r="L60" s="44">
        <f t="shared" si="23"/>
        <v>1.6450822541127057E-2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F126"/>
  <sheetViews>
    <sheetView view="pageBreakPreview" topLeftCell="A31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'29.10 Buloba-Bujuko'!C3:G3</f>
        <v>MCC - C2 - STN62 - BUJUKO-BULOBA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'3.11 Bujuko-Buloba'!D5</f>
        <v>3.11.19</v>
      </c>
      <c r="E5" s="3"/>
      <c r="F5" s="41" t="s">
        <v>1</v>
      </c>
      <c r="G5" s="66" t="str">
        <f>'3.11 Bujuko-Buloba'!G5:H5</f>
        <v>Buloba Pop Oil</v>
      </c>
      <c r="H5" s="67"/>
      <c r="I5" s="14"/>
      <c r="J5" s="2" t="s">
        <v>5</v>
      </c>
      <c r="K5" s="66" t="s">
        <v>182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'29.10 Buloba-Bujuko'!D6:E6</f>
        <v>Buloba</v>
      </c>
      <c r="E6" s="67"/>
      <c r="F6" s="2" t="s">
        <v>2</v>
      </c>
      <c r="G6" s="66" t="str">
        <f>'29.10 Buloba-Bujuko'!G6:H6</f>
        <v>Bujuko</v>
      </c>
      <c r="H6" s="67"/>
      <c r="J6" s="2" t="s">
        <v>21</v>
      </c>
      <c r="K6" s="66" t="str">
        <f>'3.11 Bujuko-Buloba'!K6:L6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26</v>
      </c>
      <c r="T10" s="17">
        <f t="shared" si="2"/>
        <v>1</v>
      </c>
      <c r="U10" s="17">
        <f t="shared" si="2"/>
        <v>3</v>
      </c>
      <c r="V10" s="17">
        <f t="shared" si="2"/>
        <v>20</v>
      </c>
      <c r="W10" s="17">
        <f t="shared" si="2"/>
        <v>0</v>
      </c>
      <c r="X10" s="17">
        <f t="shared" si="2"/>
        <v>1</v>
      </c>
      <c r="Y10" s="17">
        <f t="shared" si="2"/>
        <v>8</v>
      </c>
      <c r="Z10" s="17">
        <f t="shared" si="2"/>
        <v>4</v>
      </c>
      <c r="AA10" s="17">
        <f t="shared" si="2"/>
        <v>0</v>
      </c>
      <c r="AB10" s="17">
        <f t="shared" si="2"/>
        <v>1</v>
      </c>
      <c r="AC10" s="17">
        <f t="shared" si="2"/>
        <v>16</v>
      </c>
      <c r="AD10" s="17">
        <f t="shared" si="2"/>
        <v>0</v>
      </c>
      <c r="AE10" s="31">
        <f t="shared" si="2"/>
        <v>64</v>
      </c>
      <c r="AF10" s="31">
        <f t="shared" si="2"/>
        <v>80</v>
      </c>
    </row>
    <row r="11" spans="2:32" s="6" customFormat="1" ht="23.1" customHeight="1" x14ac:dyDescent="0.25">
      <c r="B11" s="23" t="s">
        <v>38</v>
      </c>
      <c r="C11" s="50">
        <v>5</v>
      </c>
      <c r="D11" s="50">
        <v>0</v>
      </c>
      <c r="E11" s="50">
        <v>0</v>
      </c>
      <c r="F11" s="50">
        <v>3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4</v>
      </c>
      <c r="N11" s="50">
        <v>0</v>
      </c>
      <c r="O11" s="15">
        <f t="shared" si="0"/>
        <v>9</v>
      </c>
      <c r="P11" s="15">
        <f t="shared" si="1"/>
        <v>13</v>
      </c>
      <c r="R11" s="1" t="s">
        <v>7</v>
      </c>
      <c r="S11" s="17">
        <f t="shared" ref="S11:AF11" si="3">SUM(C14:C17)</f>
        <v>36</v>
      </c>
      <c r="T11" s="17">
        <f t="shared" si="3"/>
        <v>7</v>
      </c>
      <c r="U11" s="17">
        <f t="shared" si="3"/>
        <v>10</v>
      </c>
      <c r="V11" s="17">
        <f t="shared" si="3"/>
        <v>37</v>
      </c>
      <c r="W11" s="17">
        <f t="shared" si="3"/>
        <v>1</v>
      </c>
      <c r="X11" s="17">
        <f t="shared" si="3"/>
        <v>2</v>
      </c>
      <c r="Y11" s="17">
        <f t="shared" si="3"/>
        <v>10</v>
      </c>
      <c r="Z11" s="17">
        <f t="shared" si="3"/>
        <v>5</v>
      </c>
      <c r="AA11" s="17">
        <f t="shared" si="3"/>
        <v>2</v>
      </c>
      <c r="AB11" s="17">
        <f t="shared" si="3"/>
        <v>0</v>
      </c>
      <c r="AC11" s="17">
        <f t="shared" si="3"/>
        <v>34</v>
      </c>
      <c r="AD11" s="17">
        <f t="shared" si="3"/>
        <v>0</v>
      </c>
      <c r="AE11" s="31">
        <f t="shared" si="3"/>
        <v>110</v>
      </c>
      <c r="AF11" s="31">
        <f t="shared" si="3"/>
        <v>144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3</v>
      </c>
      <c r="J12" s="50">
        <v>1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7</v>
      </c>
      <c r="P12" s="15">
        <f t="shared" si="1"/>
        <v>10</v>
      </c>
      <c r="R12" s="1" t="s">
        <v>8</v>
      </c>
      <c r="S12" s="17">
        <f t="shared" ref="S12:AF12" si="4">SUM(C18:C21)</f>
        <v>73</v>
      </c>
      <c r="T12" s="17">
        <f t="shared" si="4"/>
        <v>14</v>
      </c>
      <c r="U12" s="17">
        <f t="shared" si="4"/>
        <v>9</v>
      </c>
      <c r="V12" s="17">
        <f t="shared" si="4"/>
        <v>57</v>
      </c>
      <c r="W12" s="17">
        <f t="shared" si="4"/>
        <v>1</v>
      </c>
      <c r="X12" s="17">
        <f t="shared" si="4"/>
        <v>0</v>
      </c>
      <c r="Y12" s="17">
        <f t="shared" si="4"/>
        <v>18</v>
      </c>
      <c r="Z12" s="17">
        <f t="shared" si="4"/>
        <v>6</v>
      </c>
      <c r="AA12" s="17">
        <f t="shared" si="4"/>
        <v>0</v>
      </c>
      <c r="AB12" s="17">
        <f t="shared" si="4"/>
        <v>4</v>
      </c>
      <c r="AC12" s="17">
        <f t="shared" si="4"/>
        <v>34</v>
      </c>
      <c r="AD12" s="17">
        <f t="shared" si="4"/>
        <v>0</v>
      </c>
      <c r="AE12" s="31">
        <f t="shared" si="4"/>
        <v>182</v>
      </c>
      <c r="AF12" s="31">
        <f t="shared" si="4"/>
        <v>216</v>
      </c>
    </row>
    <row r="13" spans="2:32" ht="23.1" customHeight="1" x14ac:dyDescent="0.25">
      <c r="B13" s="23" t="s">
        <v>40</v>
      </c>
      <c r="C13" s="50">
        <v>17</v>
      </c>
      <c r="D13" s="50">
        <v>1</v>
      </c>
      <c r="E13" s="50">
        <v>3</v>
      </c>
      <c r="F13" s="50">
        <v>15</v>
      </c>
      <c r="G13" s="50">
        <v>0</v>
      </c>
      <c r="H13" s="50">
        <v>1</v>
      </c>
      <c r="I13" s="50">
        <v>4</v>
      </c>
      <c r="J13" s="50">
        <v>3</v>
      </c>
      <c r="K13" s="50">
        <v>0</v>
      </c>
      <c r="L13" s="50">
        <v>1</v>
      </c>
      <c r="M13" s="50">
        <v>7</v>
      </c>
      <c r="N13" s="50">
        <v>0</v>
      </c>
      <c r="O13" s="15">
        <f t="shared" si="0"/>
        <v>45</v>
      </c>
      <c r="P13" s="15">
        <f t="shared" si="1"/>
        <v>52</v>
      </c>
      <c r="R13" s="1" t="s">
        <v>9</v>
      </c>
      <c r="S13" s="17">
        <f t="shared" ref="S13:AF13" si="5">SUM(C22:C25)</f>
        <v>87</v>
      </c>
      <c r="T13" s="17">
        <f t="shared" si="5"/>
        <v>21</v>
      </c>
      <c r="U13" s="17">
        <f t="shared" si="5"/>
        <v>10</v>
      </c>
      <c r="V13" s="17">
        <f t="shared" si="5"/>
        <v>69</v>
      </c>
      <c r="W13" s="17">
        <f t="shared" si="5"/>
        <v>1</v>
      </c>
      <c r="X13" s="17">
        <f t="shared" si="5"/>
        <v>1</v>
      </c>
      <c r="Y13" s="17">
        <f t="shared" si="5"/>
        <v>18</v>
      </c>
      <c r="Z13" s="17">
        <f t="shared" si="5"/>
        <v>4</v>
      </c>
      <c r="AA13" s="17">
        <f t="shared" si="5"/>
        <v>4</v>
      </c>
      <c r="AB13" s="17">
        <f t="shared" si="5"/>
        <v>1</v>
      </c>
      <c r="AC13" s="17">
        <f t="shared" si="5"/>
        <v>68</v>
      </c>
      <c r="AD13" s="17">
        <f t="shared" si="5"/>
        <v>0</v>
      </c>
      <c r="AE13" s="31">
        <f t="shared" si="5"/>
        <v>216</v>
      </c>
      <c r="AF13" s="31">
        <f t="shared" si="5"/>
        <v>284</v>
      </c>
    </row>
    <row r="14" spans="2:32" ht="23.1" customHeight="1" x14ac:dyDescent="0.25">
      <c r="B14" s="23" t="s">
        <v>41</v>
      </c>
      <c r="C14" s="50">
        <v>7</v>
      </c>
      <c r="D14" s="50">
        <v>2</v>
      </c>
      <c r="E14" s="50">
        <v>5</v>
      </c>
      <c r="F14" s="50">
        <v>11</v>
      </c>
      <c r="G14" s="50">
        <v>0</v>
      </c>
      <c r="H14" s="50">
        <v>0</v>
      </c>
      <c r="I14" s="50">
        <v>7</v>
      </c>
      <c r="J14" s="50">
        <v>1</v>
      </c>
      <c r="K14" s="50">
        <v>2</v>
      </c>
      <c r="L14" s="50">
        <v>0</v>
      </c>
      <c r="M14" s="50">
        <v>11</v>
      </c>
      <c r="N14" s="50">
        <v>0</v>
      </c>
      <c r="O14" s="15">
        <f t="shared" si="0"/>
        <v>35</v>
      </c>
      <c r="P14" s="15">
        <f t="shared" si="1"/>
        <v>46</v>
      </c>
      <c r="R14" s="1" t="s">
        <v>10</v>
      </c>
      <c r="S14" s="17">
        <f t="shared" ref="S14:AF14" si="6">SUM(C26:C29)</f>
        <v>114</v>
      </c>
      <c r="T14" s="17">
        <f t="shared" si="6"/>
        <v>22</v>
      </c>
      <c r="U14" s="17">
        <f t="shared" si="6"/>
        <v>16</v>
      </c>
      <c r="V14" s="17">
        <f t="shared" si="6"/>
        <v>57</v>
      </c>
      <c r="W14" s="17">
        <f t="shared" si="6"/>
        <v>4</v>
      </c>
      <c r="X14" s="17">
        <f t="shared" si="6"/>
        <v>3</v>
      </c>
      <c r="Y14" s="17">
        <f t="shared" si="6"/>
        <v>33</v>
      </c>
      <c r="Z14" s="17">
        <f t="shared" si="6"/>
        <v>6</v>
      </c>
      <c r="AA14" s="17">
        <f t="shared" si="6"/>
        <v>1</v>
      </c>
      <c r="AB14" s="17">
        <f t="shared" si="6"/>
        <v>1</v>
      </c>
      <c r="AC14" s="17">
        <f t="shared" si="6"/>
        <v>54</v>
      </c>
      <c r="AD14" s="17">
        <f t="shared" si="6"/>
        <v>0</v>
      </c>
      <c r="AE14" s="31">
        <f t="shared" si="6"/>
        <v>257</v>
      </c>
      <c r="AF14" s="31">
        <f t="shared" si="6"/>
        <v>311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0</v>
      </c>
      <c r="F15" s="50">
        <v>7</v>
      </c>
      <c r="G15" s="50">
        <v>1</v>
      </c>
      <c r="H15" s="50">
        <v>0</v>
      </c>
      <c r="I15" s="50">
        <v>1</v>
      </c>
      <c r="J15" s="50">
        <v>3</v>
      </c>
      <c r="K15" s="50">
        <v>0</v>
      </c>
      <c r="L15" s="50">
        <v>0</v>
      </c>
      <c r="M15" s="50">
        <v>5</v>
      </c>
      <c r="N15" s="50">
        <v>0</v>
      </c>
      <c r="O15" s="15">
        <f t="shared" si="0"/>
        <v>15</v>
      </c>
      <c r="P15" s="15">
        <f t="shared" si="1"/>
        <v>20</v>
      </c>
      <c r="R15" s="1" t="s">
        <v>11</v>
      </c>
      <c r="S15" s="17">
        <f t="shared" ref="S15:AF15" si="7">SUM(C30:C33)</f>
        <v>138</v>
      </c>
      <c r="T15" s="17">
        <f t="shared" si="7"/>
        <v>32</v>
      </c>
      <c r="U15" s="17">
        <f t="shared" si="7"/>
        <v>19</v>
      </c>
      <c r="V15" s="17">
        <f t="shared" si="7"/>
        <v>72</v>
      </c>
      <c r="W15" s="17">
        <f t="shared" si="7"/>
        <v>5</v>
      </c>
      <c r="X15" s="17">
        <f t="shared" si="7"/>
        <v>3</v>
      </c>
      <c r="Y15" s="17">
        <f t="shared" si="7"/>
        <v>21</v>
      </c>
      <c r="Z15" s="17">
        <f t="shared" si="7"/>
        <v>12</v>
      </c>
      <c r="AA15" s="17">
        <f t="shared" si="7"/>
        <v>1</v>
      </c>
      <c r="AB15" s="17">
        <f t="shared" si="7"/>
        <v>2</v>
      </c>
      <c r="AC15" s="17">
        <f t="shared" si="7"/>
        <v>69</v>
      </c>
      <c r="AD15" s="17">
        <f t="shared" si="7"/>
        <v>0</v>
      </c>
      <c r="AE15" s="31">
        <f t="shared" si="7"/>
        <v>305</v>
      </c>
      <c r="AF15" s="31">
        <f t="shared" si="7"/>
        <v>374</v>
      </c>
    </row>
    <row r="16" spans="2:32" ht="23.1" customHeight="1" x14ac:dyDescent="0.25">
      <c r="B16" s="23" t="s">
        <v>43</v>
      </c>
      <c r="C16" s="50">
        <v>16</v>
      </c>
      <c r="D16" s="50">
        <v>2</v>
      </c>
      <c r="E16" s="50">
        <v>4</v>
      </c>
      <c r="F16" s="50">
        <v>8</v>
      </c>
      <c r="G16" s="50">
        <v>0</v>
      </c>
      <c r="H16" s="50">
        <v>1</v>
      </c>
      <c r="I16" s="50">
        <v>0</v>
      </c>
      <c r="J16" s="50">
        <v>1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32</v>
      </c>
      <c r="P16" s="15">
        <f t="shared" si="1"/>
        <v>40</v>
      </c>
      <c r="R16" s="1" t="s">
        <v>12</v>
      </c>
      <c r="S16" s="17">
        <f t="shared" ref="S16:AF16" si="8">SUM(C34:C37)</f>
        <v>102</v>
      </c>
      <c r="T16" s="17">
        <f t="shared" si="8"/>
        <v>25</v>
      </c>
      <c r="U16" s="17">
        <f t="shared" si="8"/>
        <v>23</v>
      </c>
      <c r="V16" s="17">
        <f t="shared" si="8"/>
        <v>83</v>
      </c>
      <c r="W16" s="17">
        <f t="shared" si="8"/>
        <v>11</v>
      </c>
      <c r="X16" s="17">
        <f t="shared" si="8"/>
        <v>3</v>
      </c>
      <c r="Y16" s="17">
        <f t="shared" si="8"/>
        <v>31</v>
      </c>
      <c r="Z16" s="17">
        <f t="shared" si="8"/>
        <v>6</v>
      </c>
      <c r="AA16" s="17">
        <f t="shared" si="8"/>
        <v>1</v>
      </c>
      <c r="AB16" s="17">
        <f t="shared" si="8"/>
        <v>3</v>
      </c>
      <c r="AC16" s="17">
        <f t="shared" si="8"/>
        <v>67</v>
      </c>
      <c r="AD16" s="17">
        <f t="shared" si="8"/>
        <v>0</v>
      </c>
      <c r="AE16" s="31">
        <f t="shared" si="8"/>
        <v>288</v>
      </c>
      <c r="AF16" s="31">
        <f t="shared" si="8"/>
        <v>355</v>
      </c>
    </row>
    <row r="17" spans="2:32" ht="23.1" customHeight="1" x14ac:dyDescent="0.25">
      <c r="B17" s="23" t="s">
        <v>44</v>
      </c>
      <c r="C17" s="50">
        <v>10</v>
      </c>
      <c r="D17" s="50">
        <v>3</v>
      </c>
      <c r="E17" s="50">
        <v>1</v>
      </c>
      <c r="F17" s="50">
        <v>11</v>
      </c>
      <c r="G17" s="50">
        <v>0</v>
      </c>
      <c r="H17" s="50">
        <v>1</v>
      </c>
      <c r="I17" s="50">
        <v>2</v>
      </c>
      <c r="J17" s="50">
        <v>0</v>
      </c>
      <c r="K17" s="50">
        <v>0</v>
      </c>
      <c r="L17" s="50">
        <v>0</v>
      </c>
      <c r="M17" s="50">
        <v>10</v>
      </c>
      <c r="N17" s="50">
        <v>0</v>
      </c>
      <c r="O17" s="15">
        <f t="shared" si="0"/>
        <v>28</v>
      </c>
      <c r="P17" s="15">
        <f t="shared" si="1"/>
        <v>38</v>
      </c>
      <c r="R17" s="1" t="s">
        <v>13</v>
      </c>
      <c r="S17" s="17">
        <f t="shared" ref="S17:AF17" si="9">SUM(C38:C41)</f>
        <v>145</v>
      </c>
      <c r="T17" s="17">
        <f t="shared" si="9"/>
        <v>39</v>
      </c>
      <c r="U17" s="17">
        <f t="shared" si="9"/>
        <v>30</v>
      </c>
      <c r="V17" s="17">
        <f t="shared" si="9"/>
        <v>122</v>
      </c>
      <c r="W17" s="17">
        <f t="shared" si="9"/>
        <v>6</v>
      </c>
      <c r="X17" s="17">
        <f t="shared" si="9"/>
        <v>3</v>
      </c>
      <c r="Y17" s="17">
        <f t="shared" si="9"/>
        <v>55</v>
      </c>
      <c r="Z17" s="17">
        <f t="shared" si="9"/>
        <v>16</v>
      </c>
      <c r="AA17" s="17">
        <f t="shared" si="9"/>
        <v>8</v>
      </c>
      <c r="AB17" s="17">
        <f t="shared" si="9"/>
        <v>4</v>
      </c>
      <c r="AC17" s="17">
        <f t="shared" si="9"/>
        <v>107</v>
      </c>
      <c r="AD17" s="17">
        <f t="shared" si="9"/>
        <v>0</v>
      </c>
      <c r="AE17" s="31">
        <f t="shared" si="9"/>
        <v>428</v>
      </c>
      <c r="AF17" s="31">
        <f t="shared" si="9"/>
        <v>535</v>
      </c>
    </row>
    <row r="18" spans="2:32" ht="23.1" customHeight="1" x14ac:dyDescent="0.25">
      <c r="B18" s="23" t="s">
        <v>45</v>
      </c>
      <c r="C18" s="50">
        <v>11</v>
      </c>
      <c r="D18" s="50">
        <v>1</v>
      </c>
      <c r="E18" s="50">
        <v>3</v>
      </c>
      <c r="F18" s="50">
        <v>12</v>
      </c>
      <c r="G18" s="50">
        <v>1</v>
      </c>
      <c r="H18" s="50">
        <v>0</v>
      </c>
      <c r="I18" s="50">
        <v>4</v>
      </c>
      <c r="J18" s="50">
        <v>2</v>
      </c>
      <c r="K18" s="50">
        <v>0</v>
      </c>
      <c r="L18" s="50">
        <v>1</v>
      </c>
      <c r="M18" s="50">
        <v>6</v>
      </c>
      <c r="N18" s="50">
        <v>0</v>
      </c>
      <c r="O18" s="15">
        <f t="shared" si="0"/>
        <v>35</v>
      </c>
      <c r="P18" s="15">
        <f t="shared" si="1"/>
        <v>41</v>
      </c>
      <c r="R18" s="1" t="s">
        <v>14</v>
      </c>
      <c r="S18" s="17">
        <f t="shared" ref="S18:AF18" si="10">SUM(C42:C45)</f>
        <v>100</v>
      </c>
      <c r="T18" s="17">
        <f t="shared" si="10"/>
        <v>20</v>
      </c>
      <c r="U18" s="17">
        <f t="shared" si="10"/>
        <v>20</v>
      </c>
      <c r="V18" s="17">
        <f t="shared" si="10"/>
        <v>85</v>
      </c>
      <c r="W18" s="17">
        <f t="shared" si="10"/>
        <v>2</v>
      </c>
      <c r="X18" s="17">
        <f t="shared" si="10"/>
        <v>1</v>
      </c>
      <c r="Y18" s="17">
        <f t="shared" si="10"/>
        <v>28</v>
      </c>
      <c r="Z18" s="17">
        <f t="shared" si="10"/>
        <v>8</v>
      </c>
      <c r="AA18" s="17">
        <f t="shared" si="10"/>
        <v>2</v>
      </c>
      <c r="AB18" s="17">
        <f t="shared" si="10"/>
        <v>0</v>
      </c>
      <c r="AC18" s="17">
        <f t="shared" si="10"/>
        <v>63</v>
      </c>
      <c r="AD18" s="17">
        <f t="shared" si="10"/>
        <v>0</v>
      </c>
      <c r="AE18" s="31">
        <f t="shared" si="10"/>
        <v>266</v>
      </c>
      <c r="AF18" s="31">
        <f t="shared" si="10"/>
        <v>329</v>
      </c>
    </row>
    <row r="19" spans="2:32" ht="23.1" customHeight="1" x14ac:dyDescent="0.25">
      <c r="B19" s="23" t="s">
        <v>46</v>
      </c>
      <c r="C19" s="50">
        <v>22</v>
      </c>
      <c r="D19" s="50">
        <v>6</v>
      </c>
      <c r="E19" s="50">
        <v>3</v>
      </c>
      <c r="F19" s="50">
        <v>13</v>
      </c>
      <c r="G19" s="50">
        <v>0</v>
      </c>
      <c r="H19" s="50">
        <v>0</v>
      </c>
      <c r="I19" s="50">
        <v>6</v>
      </c>
      <c r="J19" s="50">
        <v>0</v>
      </c>
      <c r="K19" s="50">
        <v>0</v>
      </c>
      <c r="L19" s="50">
        <v>1</v>
      </c>
      <c r="M19" s="50">
        <v>3</v>
      </c>
      <c r="N19" s="50">
        <v>0</v>
      </c>
      <c r="O19" s="15">
        <f t="shared" si="0"/>
        <v>51</v>
      </c>
      <c r="P19" s="15">
        <f t="shared" si="1"/>
        <v>54</v>
      </c>
      <c r="R19" s="1" t="s">
        <v>15</v>
      </c>
      <c r="S19" s="17">
        <f t="shared" ref="S19:AF19" si="11">SUM(C46:C49)</f>
        <v>105</v>
      </c>
      <c r="T19" s="17">
        <f t="shared" si="11"/>
        <v>15</v>
      </c>
      <c r="U19" s="17">
        <f t="shared" si="11"/>
        <v>9</v>
      </c>
      <c r="V19" s="17">
        <f t="shared" si="11"/>
        <v>74</v>
      </c>
      <c r="W19" s="17">
        <f t="shared" si="11"/>
        <v>1</v>
      </c>
      <c r="X19" s="17">
        <f t="shared" si="11"/>
        <v>2</v>
      </c>
      <c r="Y19" s="17">
        <f t="shared" si="11"/>
        <v>28</v>
      </c>
      <c r="Z19" s="17">
        <f t="shared" si="11"/>
        <v>15</v>
      </c>
      <c r="AA19" s="17">
        <f t="shared" si="11"/>
        <v>0</v>
      </c>
      <c r="AB19" s="17">
        <f t="shared" si="11"/>
        <v>3</v>
      </c>
      <c r="AC19" s="17">
        <f t="shared" si="11"/>
        <v>51</v>
      </c>
      <c r="AD19" s="17">
        <f t="shared" si="11"/>
        <v>0</v>
      </c>
      <c r="AE19" s="31">
        <f t="shared" si="11"/>
        <v>252</v>
      </c>
      <c r="AF19" s="31">
        <f t="shared" si="11"/>
        <v>303</v>
      </c>
    </row>
    <row r="20" spans="2:32" ht="23.1" customHeight="1" x14ac:dyDescent="0.25">
      <c r="B20" s="23" t="s">
        <v>47</v>
      </c>
      <c r="C20" s="50">
        <v>20</v>
      </c>
      <c r="D20" s="50">
        <v>2</v>
      </c>
      <c r="E20" s="50">
        <v>2</v>
      </c>
      <c r="F20" s="50">
        <v>13</v>
      </c>
      <c r="G20" s="50">
        <v>0</v>
      </c>
      <c r="H20" s="50">
        <v>0</v>
      </c>
      <c r="I20" s="50">
        <v>3</v>
      </c>
      <c r="J20" s="50">
        <v>4</v>
      </c>
      <c r="K20" s="50">
        <v>0</v>
      </c>
      <c r="L20" s="50">
        <v>0</v>
      </c>
      <c r="M20" s="50">
        <v>9</v>
      </c>
      <c r="N20" s="50">
        <v>0</v>
      </c>
      <c r="O20" s="15">
        <f t="shared" si="0"/>
        <v>44</v>
      </c>
      <c r="P20" s="15">
        <f t="shared" si="1"/>
        <v>53</v>
      </c>
      <c r="R20" s="1" t="s">
        <v>16</v>
      </c>
      <c r="S20" s="17">
        <f t="shared" ref="S20:AF20" si="12">SUM(C50:C53)</f>
        <v>82</v>
      </c>
      <c r="T20" s="17">
        <f t="shared" si="12"/>
        <v>8</v>
      </c>
      <c r="U20" s="17">
        <f t="shared" si="12"/>
        <v>10</v>
      </c>
      <c r="V20" s="17">
        <f t="shared" si="12"/>
        <v>61</v>
      </c>
      <c r="W20" s="17">
        <f t="shared" si="12"/>
        <v>1</v>
      </c>
      <c r="X20" s="17">
        <f t="shared" si="12"/>
        <v>2</v>
      </c>
      <c r="Y20" s="17">
        <f t="shared" si="12"/>
        <v>19</v>
      </c>
      <c r="Z20" s="17">
        <f t="shared" si="12"/>
        <v>11</v>
      </c>
      <c r="AA20" s="17">
        <f t="shared" si="12"/>
        <v>5</v>
      </c>
      <c r="AB20" s="17">
        <f t="shared" si="12"/>
        <v>2</v>
      </c>
      <c r="AC20" s="17">
        <f t="shared" si="12"/>
        <v>44</v>
      </c>
      <c r="AD20" s="17">
        <f t="shared" si="12"/>
        <v>0</v>
      </c>
      <c r="AE20" s="31">
        <f t="shared" si="12"/>
        <v>201</v>
      </c>
      <c r="AF20" s="31">
        <f t="shared" si="12"/>
        <v>245</v>
      </c>
    </row>
    <row r="21" spans="2:32" ht="23.1" customHeight="1" x14ac:dyDescent="0.25">
      <c r="B21" s="23" t="s">
        <v>48</v>
      </c>
      <c r="C21" s="50">
        <v>20</v>
      </c>
      <c r="D21" s="50">
        <v>5</v>
      </c>
      <c r="E21" s="50">
        <v>1</v>
      </c>
      <c r="F21" s="50">
        <v>19</v>
      </c>
      <c r="G21" s="50">
        <v>0</v>
      </c>
      <c r="H21" s="50">
        <v>0</v>
      </c>
      <c r="I21" s="50">
        <v>5</v>
      </c>
      <c r="J21" s="50">
        <v>0</v>
      </c>
      <c r="K21" s="50">
        <v>0</v>
      </c>
      <c r="L21" s="50">
        <v>2</v>
      </c>
      <c r="M21" s="50">
        <v>16</v>
      </c>
      <c r="N21" s="50">
        <v>0</v>
      </c>
      <c r="O21" s="15">
        <f t="shared" si="0"/>
        <v>52</v>
      </c>
      <c r="P21" s="15">
        <f t="shared" si="1"/>
        <v>68</v>
      </c>
      <c r="R21" s="36" t="s">
        <v>20</v>
      </c>
      <c r="S21" s="34">
        <f t="shared" ref="S21:AF21" si="13">SUM(C54:C57)</f>
        <v>66</v>
      </c>
      <c r="T21" s="17">
        <f t="shared" si="13"/>
        <v>6</v>
      </c>
      <c r="U21" s="17">
        <f t="shared" si="13"/>
        <v>15</v>
      </c>
      <c r="V21" s="17">
        <f t="shared" si="13"/>
        <v>68</v>
      </c>
      <c r="W21" s="17">
        <f t="shared" si="13"/>
        <v>1</v>
      </c>
      <c r="X21" s="17">
        <f t="shared" si="13"/>
        <v>1</v>
      </c>
      <c r="Y21" s="17">
        <f t="shared" si="13"/>
        <v>13</v>
      </c>
      <c r="Z21" s="17">
        <f t="shared" si="13"/>
        <v>11</v>
      </c>
      <c r="AA21" s="17">
        <f t="shared" si="13"/>
        <v>4</v>
      </c>
      <c r="AB21" s="17">
        <f t="shared" si="13"/>
        <v>2</v>
      </c>
      <c r="AC21" s="17">
        <f t="shared" si="13"/>
        <v>36</v>
      </c>
      <c r="AD21" s="17">
        <f t="shared" si="13"/>
        <v>0</v>
      </c>
      <c r="AE21" s="31">
        <f t="shared" si="13"/>
        <v>187</v>
      </c>
      <c r="AF21" s="31">
        <f t="shared" si="13"/>
        <v>223</v>
      </c>
    </row>
    <row r="22" spans="2:32" ht="23.1" customHeight="1" x14ac:dyDescent="0.25">
      <c r="B22" s="23" t="s">
        <v>49</v>
      </c>
      <c r="C22" s="50">
        <v>18</v>
      </c>
      <c r="D22" s="50">
        <v>7</v>
      </c>
      <c r="E22" s="50">
        <v>3</v>
      </c>
      <c r="F22" s="50">
        <v>11</v>
      </c>
      <c r="G22" s="50">
        <v>0</v>
      </c>
      <c r="H22" s="50">
        <v>0</v>
      </c>
      <c r="I22" s="50">
        <v>8</v>
      </c>
      <c r="J22" s="50">
        <v>2</v>
      </c>
      <c r="K22" s="50">
        <v>0</v>
      </c>
      <c r="L22" s="50">
        <v>1</v>
      </c>
      <c r="M22" s="50">
        <v>19</v>
      </c>
      <c r="N22" s="50">
        <v>0</v>
      </c>
      <c r="O22" s="15">
        <f t="shared" si="0"/>
        <v>50</v>
      </c>
      <c r="P22" s="15">
        <f t="shared" si="1"/>
        <v>69</v>
      </c>
      <c r="R22" s="38" t="s">
        <v>90</v>
      </c>
      <c r="S22" s="39">
        <f>MAX(S10:S12)</f>
        <v>73</v>
      </c>
      <c r="T22" s="39">
        <f t="shared" ref="T22:AF22" si="14">MAX(T10:T12)</f>
        <v>14</v>
      </c>
      <c r="U22" s="39">
        <f t="shared" si="14"/>
        <v>10</v>
      </c>
      <c r="V22" s="39">
        <f t="shared" si="14"/>
        <v>57</v>
      </c>
      <c r="W22" s="39">
        <f t="shared" si="14"/>
        <v>1</v>
      </c>
      <c r="X22" s="39">
        <f t="shared" si="14"/>
        <v>2</v>
      </c>
      <c r="Y22" s="39">
        <f t="shared" si="14"/>
        <v>18</v>
      </c>
      <c r="Z22" s="39">
        <f t="shared" si="14"/>
        <v>6</v>
      </c>
      <c r="AA22" s="39">
        <f t="shared" si="14"/>
        <v>2</v>
      </c>
      <c r="AB22" s="39">
        <f t="shared" si="14"/>
        <v>4</v>
      </c>
      <c r="AC22" s="39">
        <f t="shared" si="14"/>
        <v>34</v>
      </c>
      <c r="AD22" s="39">
        <f t="shared" si="14"/>
        <v>0</v>
      </c>
      <c r="AE22" s="40">
        <f t="shared" si="14"/>
        <v>182</v>
      </c>
      <c r="AF22" s="40">
        <f t="shared" si="14"/>
        <v>216</v>
      </c>
    </row>
    <row r="23" spans="2:32" ht="23.1" customHeight="1" x14ac:dyDescent="0.25">
      <c r="B23" s="23" t="s">
        <v>50</v>
      </c>
      <c r="C23" s="50">
        <v>22</v>
      </c>
      <c r="D23" s="50">
        <v>3</v>
      </c>
      <c r="E23" s="50">
        <v>3</v>
      </c>
      <c r="F23" s="50">
        <v>14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12</v>
      </c>
      <c r="N23" s="50">
        <v>0</v>
      </c>
      <c r="O23" s="15">
        <f t="shared" si="0"/>
        <v>44</v>
      </c>
      <c r="P23" s="15">
        <f t="shared" si="1"/>
        <v>56</v>
      </c>
      <c r="R23" s="38" t="s">
        <v>91</v>
      </c>
      <c r="S23" s="39">
        <f>MAX(S13:S18)</f>
        <v>145</v>
      </c>
      <c r="T23" s="39">
        <f t="shared" ref="T23:AF23" si="15">MAX(T13:T18)</f>
        <v>39</v>
      </c>
      <c r="U23" s="39">
        <f t="shared" si="15"/>
        <v>30</v>
      </c>
      <c r="V23" s="39">
        <f t="shared" si="15"/>
        <v>122</v>
      </c>
      <c r="W23" s="39">
        <f t="shared" si="15"/>
        <v>11</v>
      </c>
      <c r="X23" s="39">
        <f t="shared" si="15"/>
        <v>3</v>
      </c>
      <c r="Y23" s="39">
        <f t="shared" si="15"/>
        <v>55</v>
      </c>
      <c r="Z23" s="39">
        <f t="shared" si="15"/>
        <v>16</v>
      </c>
      <c r="AA23" s="39">
        <f t="shared" si="15"/>
        <v>8</v>
      </c>
      <c r="AB23" s="39">
        <f t="shared" si="15"/>
        <v>4</v>
      </c>
      <c r="AC23" s="39">
        <f t="shared" si="15"/>
        <v>107</v>
      </c>
      <c r="AD23" s="39">
        <f t="shared" si="15"/>
        <v>0</v>
      </c>
      <c r="AE23" s="40">
        <f t="shared" si="15"/>
        <v>428</v>
      </c>
      <c r="AF23" s="40">
        <f t="shared" si="15"/>
        <v>535</v>
      </c>
    </row>
    <row r="24" spans="2:32" ht="23.1" customHeight="1" x14ac:dyDescent="0.25">
      <c r="B24" s="23" t="s">
        <v>51</v>
      </c>
      <c r="C24" s="50">
        <v>25</v>
      </c>
      <c r="D24" s="50">
        <v>5</v>
      </c>
      <c r="E24" s="50">
        <v>1</v>
      </c>
      <c r="F24" s="50">
        <v>23</v>
      </c>
      <c r="G24" s="50">
        <v>1</v>
      </c>
      <c r="H24" s="50">
        <v>0</v>
      </c>
      <c r="I24" s="50">
        <v>5</v>
      </c>
      <c r="J24" s="50">
        <v>2</v>
      </c>
      <c r="K24" s="50">
        <v>3</v>
      </c>
      <c r="L24" s="50">
        <v>0</v>
      </c>
      <c r="M24" s="50">
        <v>19</v>
      </c>
      <c r="N24" s="50">
        <v>0</v>
      </c>
      <c r="O24" s="15">
        <f t="shared" si="0"/>
        <v>65</v>
      </c>
      <c r="P24" s="15">
        <f t="shared" si="1"/>
        <v>84</v>
      </c>
      <c r="R24" s="38" t="s">
        <v>92</v>
      </c>
      <c r="S24" s="39">
        <f>MAX(S19:S21)</f>
        <v>105</v>
      </c>
      <c r="T24" s="39">
        <f t="shared" ref="T24:AF24" si="16">MAX(T19:T21)</f>
        <v>15</v>
      </c>
      <c r="U24" s="39">
        <f t="shared" si="16"/>
        <v>15</v>
      </c>
      <c r="V24" s="39">
        <f t="shared" si="16"/>
        <v>74</v>
      </c>
      <c r="W24" s="39">
        <f t="shared" si="16"/>
        <v>1</v>
      </c>
      <c r="X24" s="39">
        <f t="shared" si="16"/>
        <v>2</v>
      </c>
      <c r="Y24" s="39">
        <f t="shared" si="16"/>
        <v>28</v>
      </c>
      <c r="Z24" s="39">
        <f t="shared" si="16"/>
        <v>15</v>
      </c>
      <c r="AA24" s="39">
        <f t="shared" si="16"/>
        <v>5</v>
      </c>
      <c r="AB24" s="39">
        <f t="shared" si="16"/>
        <v>3</v>
      </c>
      <c r="AC24" s="39">
        <f t="shared" si="16"/>
        <v>51</v>
      </c>
      <c r="AD24" s="39">
        <f t="shared" si="16"/>
        <v>0</v>
      </c>
      <c r="AE24" s="40">
        <f t="shared" si="16"/>
        <v>252</v>
      </c>
      <c r="AF24" s="40">
        <f t="shared" si="16"/>
        <v>303</v>
      </c>
    </row>
    <row r="25" spans="2:32" ht="23.1" customHeight="1" x14ac:dyDescent="0.25">
      <c r="B25" s="23" t="s">
        <v>52</v>
      </c>
      <c r="C25" s="50">
        <v>22</v>
      </c>
      <c r="D25" s="50">
        <v>6</v>
      </c>
      <c r="E25" s="50">
        <v>3</v>
      </c>
      <c r="F25" s="50">
        <v>21</v>
      </c>
      <c r="G25" s="50">
        <v>0</v>
      </c>
      <c r="H25" s="50">
        <v>1</v>
      </c>
      <c r="I25" s="50">
        <v>3</v>
      </c>
      <c r="J25" s="50">
        <v>0</v>
      </c>
      <c r="K25" s="50">
        <v>1</v>
      </c>
      <c r="L25" s="50">
        <v>0</v>
      </c>
      <c r="M25" s="50">
        <v>18</v>
      </c>
      <c r="N25" s="50">
        <v>0</v>
      </c>
      <c r="O25" s="15">
        <f t="shared" si="0"/>
        <v>57</v>
      </c>
      <c r="P25" s="15">
        <f t="shared" si="1"/>
        <v>75</v>
      </c>
      <c r="R25" s="37" t="s">
        <v>85</v>
      </c>
      <c r="S25" s="35">
        <f t="shared" ref="S25:AF25" si="17">SUM(S10:S12)</f>
        <v>135</v>
      </c>
      <c r="T25" s="16">
        <f t="shared" si="17"/>
        <v>22</v>
      </c>
      <c r="U25" s="16">
        <f t="shared" si="17"/>
        <v>22</v>
      </c>
      <c r="V25" s="16">
        <f t="shared" si="17"/>
        <v>114</v>
      </c>
      <c r="W25" s="16">
        <f t="shared" si="17"/>
        <v>2</v>
      </c>
      <c r="X25" s="16">
        <f t="shared" si="17"/>
        <v>3</v>
      </c>
      <c r="Y25" s="16">
        <f t="shared" si="17"/>
        <v>36</v>
      </c>
      <c r="Z25" s="16">
        <f t="shared" si="17"/>
        <v>15</v>
      </c>
      <c r="AA25" s="16">
        <f t="shared" si="17"/>
        <v>2</v>
      </c>
      <c r="AB25" s="16">
        <f t="shared" si="17"/>
        <v>5</v>
      </c>
      <c r="AC25" s="16">
        <f t="shared" si="17"/>
        <v>84</v>
      </c>
      <c r="AD25" s="16">
        <f t="shared" si="17"/>
        <v>0</v>
      </c>
      <c r="AE25" s="32">
        <f t="shared" si="17"/>
        <v>356</v>
      </c>
      <c r="AF25" s="32">
        <f t="shared" si="17"/>
        <v>440</v>
      </c>
    </row>
    <row r="26" spans="2:32" ht="23.1" customHeight="1" x14ac:dyDescent="0.25">
      <c r="B26" s="23" t="s">
        <v>53</v>
      </c>
      <c r="C26" s="50">
        <v>36</v>
      </c>
      <c r="D26" s="50">
        <v>3</v>
      </c>
      <c r="E26" s="50">
        <v>6</v>
      </c>
      <c r="F26" s="50">
        <v>19</v>
      </c>
      <c r="G26" s="50">
        <v>2</v>
      </c>
      <c r="H26" s="50">
        <v>1</v>
      </c>
      <c r="I26" s="50">
        <v>10</v>
      </c>
      <c r="J26" s="50">
        <v>1</v>
      </c>
      <c r="K26" s="50">
        <v>0</v>
      </c>
      <c r="L26" s="50">
        <v>0</v>
      </c>
      <c r="M26" s="50">
        <v>22</v>
      </c>
      <c r="N26" s="50">
        <v>0</v>
      </c>
      <c r="O26" s="15">
        <f t="shared" si="0"/>
        <v>78</v>
      </c>
      <c r="P26" s="15">
        <f t="shared" si="1"/>
        <v>100</v>
      </c>
      <c r="R26" s="28" t="s">
        <v>86</v>
      </c>
      <c r="S26" s="16">
        <f t="shared" ref="S26:AF26" si="18">SUM(S13:S18)</f>
        <v>686</v>
      </c>
      <c r="T26" s="16">
        <f t="shared" si="18"/>
        <v>159</v>
      </c>
      <c r="U26" s="16">
        <f t="shared" si="18"/>
        <v>118</v>
      </c>
      <c r="V26" s="16">
        <f t="shared" si="18"/>
        <v>488</v>
      </c>
      <c r="W26" s="16">
        <f t="shared" si="18"/>
        <v>29</v>
      </c>
      <c r="X26" s="16">
        <f t="shared" si="18"/>
        <v>14</v>
      </c>
      <c r="Y26" s="16">
        <f t="shared" si="18"/>
        <v>186</v>
      </c>
      <c r="Z26" s="16">
        <f t="shared" si="18"/>
        <v>52</v>
      </c>
      <c r="AA26" s="16">
        <f t="shared" si="18"/>
        <v>17</v>
      </c>
      <c r="AB26" s="16">
        <f t="shared" si="18"/>
        <v>11</v>
      </c>
      <c r="AC26" s="16">
        <f t="shared" si="18"/>
        <v>428</v>
      </c>
      <c r="AD26" s="16">
        <f t="shared" si="18"/>
        <v>0</v>
      </c>
      <c r="AE26" s="32">
        <f t="shared" si="18"/>
        <v>1760</v>
      </c>
      <c r="AF26" s="32">
        <f t="shared" si="18"/>
        <v>2188</v>
      </c>
    </row>
    <row r="27" spans="2:32" ht="23.1" customHeight="1" x14ac:dyDescent="0.25">
      <c r="B27" s="23" t="s">
        <v>54</v>
      </c>
      <c r="C27" s="50">
        <v>16</v>
      </c>
      <c r="D27" s="50">
        <v>3</v>
      </c>
      <c r="E27" s="50">
        <v>3</v>
      </c>
      <c r="F27" s="50">
        <v>10</v>
      </c>
      <c r="G27" s="50">
        <v>0</v>
      </c>
      <c r="H27" s="50">
        <v>0</v>
      </c>
      <c r="I27" s="50">
        <v>6</v>
      </c>
      <c r="J27" s="50">
        <v>3</v>
      </c>
      <c r="K27" s="50">
        <v>0</v>
      </c>
      <c r="L27" s="50">
        <v>0</v>
      </c>
      <c r="M27" s="50">
        <v>9</v>
      </c>
      <c r="N27" s="50">
        <v>0</v>
      </c>
      <c r="O27" s="15">
        <f t="shared" si="0"/>
        <v>41</v>
      </c>
      <c r="P27" s="15">
        <f t="shared" si="1"/>
        <v>50</v>
      </c>
      <c r="R27" s="29" t="s">
        <v>87</v>
      </c>
      <c r="S27" s="16">
        <f t="shared" ref="S27:AF27" si="19">SUM(S19:S21)</f>
        <v>253</v>
      </c>
      <c r="T27" s="16">
        <f t="shared" si="19"/>
        <v>29</v>
      </c>
      <c r="U27" s="16">
        <f t="shared" si="19"/>
        <v>34</v>
      </c>
      <c r="V27" s="16">
        <f t="shared" si="19"/>
        <v>203</v>
      </c>
      <c r="W27" s="16">
        <f t="shared" si="19"/>
        <v>3</v>
      </c>
      <c r="X27" s="16">
        <f t="shared" si="19"/>
        <v>5</v>
      </c>
      <c r="Y27" s="16">
        <f t="shared" si="19"/>
        <v>60</v>
      </c>
      <c r="Z27" s="16">
        <f t="shared" si="19"/>
        <v>37</v>
      </c>
      <c r="AA27" s="16">
        <f t="shared" si="19"/>
        <v>9</v>
      </c>
      <c r="AB27" s="16">
        <f t="shared" si="19"/>
        <v>7</v>
      </c>
      <c r="AC27" s="16">
        <f t="shared" si="19"/>
        <v>131</v>
      </c>
      <c r="AD27" s="16">
        <f t="shared" si="19"/>
        <v>0</v>
      </c>
      <c r="AE27" s="32">
        <f t="shared" si="19"/>
        <v>640</v>
      </c>
      <c r="AF27" s="32">
        <f t="shared" si="19"/>
        <v>771</v>
      </c>
    </row>
    <row r="28" spans="2:32" ht="23.1" customHeight="1" x14ac:dyDescent="0.25">
      <c r="B28" s="23" t="s">
        <v>55</v>
      </c>
      <c r="C28" s="50">
        <v>30</v>
      </c>
      <c r="D28" s="50">
        <v>9</v>
      </c>
      <c r="E28" s="50">
        <v>3</v>
      </c>
      <c r="F28" s="50">
        <v>19</v>
      </c>
      <c r="G28" s="50">
        <v>1</v>
      </c>
      <c r="H28" s="50">
        <v>2</v>
      </c>
      <c r="I28" s="50">
        <v>9</v>
      </c>
      <c r="J28" s="50">
        <v>2</v>
      </c>
      <c r="K28" s="50">
        <v>1</v>
      </c>
      <c r="L28" s="50">
        <v>1</v>
      </c>
      <c r="M28" s="50">
        <v>13</v>
      </c>
      <c r="N28" s="50">
        <v>0</v>
      </c>
      <c r="O28" s="15">
        <f t="shared" si="0"/>
        <v>77</v>
      </c>
      <c r="P28" s="15">
        <f t="shared" si="1"/>
        <v>90</v>
      </c>
      <c r="R28" s="5" t="s">
        <v>17</v>
      </c>
      <c r="S28" s="16">
        <f t="shared" ref="S28:AF28" si="20">SUM(S10:S21)</f>
        <v>1074</v>
      </c>
      <c r="T28" s="16">
        <f t="shared" si="20"/>
        <v>210</v>
      </c>
      <c r="U28" s="16">
        <f t="shared" si="20"/>
        <v>174</v>
      </c>
      <c r="V28" s="16">
        <f t="shared" si="20"/>
        <v>805</v>
      </c>
      <c r="W28" s="16">
        <f t="shared" si="20"/>
        <v>34</v>
      </c>
      <c r="X28" s="16">
        <f t="shared" si="20"/>
        <v>22</v>
      </c>
      <c r="Y28" s="16">
        <f t="shared" si="20"/>
        <v>282</v>
      </c>
      <c r="Z28" s="16">
        <f t="shared" si="20"/>
        <v>104</v>
      </c>
      <c r="AA28" s="16">
        <f t="shared" si="20"/>
        <v>28</v>
      </c>
      <c r="AB28" s="16">
        <f t="shared" si="20"/>
        <v>23</v>
      </c>
      <c r="AC28" s="16">
        <f t="shared" si="20"/>
        <v>643</v>
      </c>
      <c r="AD28" s="16">
        <f t="shared" si="20"/>
        <v>0</v>
      </c>
      <c r="AE28" s="32">
        <f t="shared" si="20"/>
        <v>2756</v>
      </c>
      <c r="AF28" s="32">
        <f t="shared" si="20"/>
        <v>3399</v>
      </c>
    </row>
    <row r="29" spans="2:32" ht="23.1" customHeight="1" x14ac:dyDescent="0.25">
      <c r="B29" s="23" t="s">
        <v>56</v>
      </c>
      <c r="C29" s="50">
        <v>32</v>
      </c>
      <c r="D29" s="50">
        <v>7</v>
      </c>
      <c r="E29" s="50">
        <v>4</v>
      </c>
      <c r="F29" s="50">
        <v>9</v>
      </c>
      <c r="G29" s="50">
        <v>1</v>
      </c>
      <c r="H29" s="50">
        <v>0</v>
      </c>
      <c r="I29" s="50">
        <v>8</v>
      </c>
      <c r="J29" s="50">
        <v>0</v>
      </c>
      <c r="K29" s="50">
        <v>0</v>
      </c>
      <c r="L29" s="50">
        <v>0</v>
      </c>
      <c r="M29" s="50">
        <v>10</v>
      </c>
      <c r="N29" s="50">
        <v>0</v>
      </c>
      <c r="O29" s="15">
        <f t="shared" si="0"/>
        <v>61</v>
      </c>
      <c r="P29" s="15">
        <f t="shared" si="1"/>
        <v>71</v>
      </c>
      <c r="R29"/>
      <c r="S29" s="20"/>
      <c r="T29" s="19"/>
    </row>
    <row r="30" spans="2:32" ht="23.1" customHeight="1" x14ac:dyDescent="0.25">
      <c r="B30" s="23" t="s">
        <v>57</v>
      </c>
      <c r="C30" s="50">
        <v>35</v>
      </c>
      <c r="D30" s="50">
        <v>14</v>
      </c>
      <c r="E30" s="50">
        <v>3</v>
      </c>
      <c r="F30" s="50">
        <v>16</v>
      </c>
      <c r="G30" s="50">
        <v>0</v>
      </c>
      <c r="H30" s="50">
        <v>1</v>
      </c>
      <c r="I30" s="50">
        <v>6</v>
      </c>
      <c r="J30" s="50">
        <v>4</v>
      </c>
      <c r="K30" s="50">
        <v>1</v>
      </c>
      <c r="L30" s="50">
        <v>0</v>
      </c>
      <c r="M30" s="50">
        <v>27</v>
      </c>
      <c r="N30" s="50">
        <v>0</v>
      </c>
      <c r="O30" s="15">
        <f t="shared" si="0"/>
        <v>80</v>
      </c>
      <c r="P30" s="15">
        <f t="shared" si="1"/>
        <v>107</v>
      </c>
    </row>
    <row r="31" spans="2:32" ht="23.1" customHeight="1" x14ac:dyDescent="0.25">
      <c r="B31" s="24" t="s">
        <v>58</v>
      </c>
      <c r="C31" s="50">
        <v>45</v>
      </c>
      <c r="D31" s="50">
        <v>8</v>
      </c>
      <c r="E31" s="50">
        <v>9</v>
      </c>
      <c r="F31" s="50">
        <v>25</v>
      </c>
      <c r="G31" s="50">
        <v>2</v>
      </c>
      <c r="H31" s="50">
        <v>1</v>
      </c>
      <c r="I31" s="50">
        <v>6</v>
      </c>
      <c r="J31" s="50">
        <v>4</v>
      </c>
      <c r="K31" s="50">
        <v>0</v>
      </c>
      <c r="L31" s="50">
        <v>1</v>
      </c>
      <c r="M31" s="50">
        <v>24</v>
      </c>
      <c r="N31" s="50">
        <v>0</v>
      </c>
      <c r="O31" s="15">
        <f t="shared" si="0"/>
        <v>101</v>
      </c>
      <c r="P31" s="15">
        <f t="shared" si="1"/>
        <v>125</v>
      </c>
    </row>
    <row r="32" spans="2:32" ht="23.1" customHeight="1" x14ac:dyDescent="0.25">
      <c r="B32" s="24" t="s">
        <v>59</v>
      </c>
      <c r="C32" s="50">
        <v>31</v>
      </c>
      <c r="D32" s="50">
        <v>9</v>
      </c>
      <c r="E32" s="50">
        <v>2</v>
      </c>
      <c r="F32" s="50">
        <v>14</v>
      </c>
      <c r="G32" s="50">
        <v>0</v>
      </c>
      <c r="H32" s="50">
        <v>1</v>
      </c>
      <c r="I32" s="50">
        <v>4</v>
      </c>
      <c r="J32" s="50">
        <v>2</v>
      </c>
      <c r="K32" s="50">
        <v>0</v>
      </c>
      <c r="L32" s="50">
        <v>0</v>
      </c>
      <c r="M32" s="50">
        <v>9</v>
      </c>
      <c r="N32" s="50">
        <v>0</v>
      </c>
      <c r="O32" s="15">
        <f t="shared" si="0"/>
        <v>63</v>
      </c>
      <c r="P32" s="15">
        <f t="shared" si="1"/>
        <v>72</v>
      </c>
    </row>
    <row r="33" spans="2:20" ht="23.1" customHeight="1" x14ac:dyDescent="0.25">
      <c r="B33" s="23" t="s">
        <v>60</v>
      </c>
      <c r="C33" s="50">
        <v>27</v>
      </c>
      <c r="D33" s="50">
        <v>1</v>
      </c>
      <c r="E33" s="50">
        <v>5</v>
      </c>
      <c r="F33" s="50">
        <v>17</v>
      </c>
      <c r="G33" s="50">
        <v>3</v>
      </c>
      <c r="H33" s="50">
        <v>0</v>
      </c>
      <c r="I33" s="50">
        <v>5</v>
      </c>
      <c r="J33" s="50">
        <v>2</v>
      </c>
      <c r="K33" s="50">
        <v>0</v>
      </c>
      <c r="L33" s="50">
        <v>1</v>
      </c>
      <c r="M33" s="50">
        <v>9</v>
      </c>
      <c r="N33" s="50">
        <v>0</v>
      </c>
      <c r="O33" s="15">
        <f t="shared" si="0"/>
        <v>61</v>
      </c>
      <c r="P33" s="15">
        <f t="shared" si="1"/>
        <v>70</v>
      </c>
    </row>
    <row r="34" spans="2:20" ht="23.1" customHeight="1" x14ac:dyDescent="0.25">
      <c r="B34" s="24" t="s">
        <v>61</v>
      </c>
      <c r="C34" s="50">
        <v>24</v>
      </c>
      <c r="D34" s="50">
        <v>8</v>
      </c>
      <c r="E34" s="50">
        <v>3</v>
      </c>
      <c r="F34" s="50">
        <v>25</v>
      </c>
      <c r="G34" s="50">
        <v>3</v>
      </c>
      <c r="H34" s="50">
        <v>0</v>
      </c>
      <c r="I34" s="50">
        <v>7</v>
      </c>
      <c r="J34" s="50">
        <v>0</v>
      </c>
      <c r="K34" s="50">
        <v>1</v>
      </c>
      <c r="L34" s="50">
        <v>2</v>
      </c>
      <c r="M34" s="50">
        <v>17</v>
      </c>
      <c r="N34" s="50">
        <v>0</v>
      </c>
      <c r="O34" s="15">
        <f t="shared" si="0"/>
        <v>73</v>
      </c>
      <c r="P34" s="15">
        <f t="shared" si="1"/>
        <v>90</v>
      </c>
    </row>
    <row r="35" spans="2:20" ht="23.1" customHeight="1" x14ac:dyDescent="0.25">
      <c r="B35" s="24" t="s">
        <v>62</v>
      </c>
      <c r="C35" s="50">
        <v>23</v>
      </c>
      <c r="D35" s="50">
        <v>3</v>
      </c>
      <c r="E35" s="50">
        <v>5</v>
      </c>
      <c r="F35" s="50">
        <v>21</v>
      </c>
      <c r="G35" s="50">
        <v>7</v>
      </c>
      <c r="H35" s="50">
        <v>1</v>
      </c>
      <c r="I35" s="50">
        <v>6</v>
      </c>
      <c r="J35" s="50">
        <v>2</v>
      </c>
      <c r="K35" s="50">
        <v>0</v>
      </c>
      <c r="L35" s="50">
        <v>0</v>
      </c>
      <c r="M35" s="50">
        <v>24</v>
      </c>
      <c r="N35" s="50">
        <v>0</v>
      </c>
      <c r="O35" s="15">
        <f t="shared" si="0"/>
        <v>68</v>
      </c>
      <c r="P35" s="15">
        <f t="shared" si="1"/>
        <v>92</v>
      </c>
    </row>
    <row r="36" spans="2:20" ht="23.1" customHeight="1" x14ac:dyDescent="0.25">
      <c r="B36" s="24" t="s">
        <v>63</v>
      </c>
      <c r="C36" s="50">
        <v>25</v>
      </c>
      <c r="D36" s="50">
        <v>6</v>
      </c>
      <c r="E36" s="50">
        <v>8</v>
      </c>
      <c r="F36" s="50">
        <v>16</v>
      </c>
      <c r="G36" s="50">
        <v>1</v>
      </c>
      <c r="H36" s="50">
        <v>1</v>
      </c>
      <c r="I36" s="50">
        <v>6</v>
      </c>
      <c r="J36" s="50">
        <v>4</v>
      </c>
      <c r="K36" s="50">
        <v>0</v>
      </c>
      <c r="L36" s="50">
        <v>1</v>
      </c>
      <c r="M36" s="50">
        <v>7</v>
      </c>
      <c r="N36" s="50">
        <v>0</v>
      </c>
      <c r="O36" s="15">
        <f t="shared" si="0"/>
        <v>68</v>
      </c>
      <c r="P36" s="15">
        <f t="shared" si="1"/>
        <v>75</v>
      </c>
    </row>
    <row r="37" spans="2:20" ht="23.1" customHeight="1" x14ac:dyDescent="0.25">
      <c r="B37" s="23" t="s">
        <v>64</v>
      </c>
      <c r="C37" s="50">
        <v>30</v>
      </c>
      <c r="D37" s="50">
        <v>8</v>
      </c>
      <c r="E37" s="50">
        <v>7</v>
      </c>
      <c r="F37" s="50">
        <v>21</v>
      </c>
      <c r="G37" s="50">
        <v>0</v>
      </c>
      <c r="H37" s="50">
        <v>1</v>
      </c>
      <c r="I37" s="50">
        <v>12</v>
      </c>
      <c r="J37" s="50">
        <v>0</v>
      </c>
      <c r="K37" s="50">
        <v>0</v>
      </c>
      <c r="L37" s="50">
        <v>0</v>
      </c>
      <c r="M37" s="50">
        <v>19</v>
      </c>
      <c r="N37" s="50">
        <v>0</v>
      </c>
      <c r="O37" s="15">
        <f t="shared" si="0"/>
        <v>79</v>
      </c>
      <c r="P37" s="15">
        <f t="shared" si="1"/>
        <v>98</v>
      </c>
    </row>
    <row r="38" spans="2:20" ht="23.1" customHeight="1" x14ac:dyDescent="0.25">
      <c r="B38" s="24" t="s">
        <v>65</v>
      </c>
      <c r="C38" s="50">
        <v>37</v>
      </c>
      <c r="D38" s="50">
        <v>16</v>
      </c>
      <c r="E38" s="50">
        <v>4</v>
      </c>
      <c r="F38" s="50">
        <v>30</v>
      </c>
      <c r="G38" s="50">
        <v>2</v>
      </c>
      <c r="H38" s="50">
        <v>1</v>
      </c>
      <c r="I38" s="50">
        <v>8</v>
      </c>
      <c r="J38" s="50">
        <v>9</v>
      </c>
      <c r="K38" s="50">
        <v>2</v>
      </c>
      <c r="L38" s="50">
        <v>0</v>
      </c>
      <c r="M38" s="50">
        <v>19</v>
      </c>
      <c r="N38" s="50">
        <v>0</v>
      </c>
      <c r="O38" s="15">
        <f t="shared" si="0"/>
        <v>109</v>
      </c>
      <c r="P38" s="15">
        <f t="shared" si="1"/>
        <v>128</v>
      </c>
    </row>
    <row r="39" spans="2:20" ht="23.1" customHeight="1" x14ac:dyDescent="0.25">
      <c r="B39" s="24" t="s">
        <v>66</v>
      </c>
      <c r="C39" s="50">
        <v>28</v>
      </c>
      <c r="D39" s="50">
        <v>11</v>
      </c>
      <c r="E39" s="50">
        <v>18</v>
      </c>
      <c r="F39" s="50">
        <v>34</v>
      </c>
      <c r="G39" s="50">
        <v>2</v>
      </c>
      <c r="H39" s="50">
        <v>1</v>
      </c>
      <c r="I39" s="50">
        <v>17</v>
      </c>
      <c r="J39" s="50">
        <v>4</v>
      </c>
      <c r="K39" s="50">
        <v>3</v>
      </c>
      <c r="L39" s="50">
        <v>2</v>
      </c>
      <c r="M39" s="50">
        <v>33</v>
      </c>
      <c r="N39" s="50">
        <v>0</v>
      </c>
      <c r="O39" s="15">
        <f t="shared" si="0"/>
        <v>120</v>
      </c>
      <c r="P39" s="15">
        <f t="shared" si="1"/>
        <v>153</v>
      </c>
    </row>
    <row r="40" spans="2:20" ht="23.1" customHeight="1" x14ac:dyDescent="0.25">
      <c r="B40" s="24" t="s">
        <v>67</v>
      </c>
      <c r="C40" s="50">
        <v>49</v>
      </c>
      <c r="D40" s="50">
        <v>7</v>
      </c>
      <c r="E40" s="50">
        <v>7</v>
      </c>
      <c r="F40" s="50">
        <v>25</v>
      </c>
      <c r="G40" s="50">
        <v>2</v>
      </c>
      <c r="H40" s="50">
        <v>0</v>
      </c>
      <c r="I40" s="50">
        <v>10</v>
      </c>
      <c r="J40" s="50">
        <v>0</v>
      </c>
      <c r="K40" s="50">
        <v>1</v>
      </c>
      <c r="L40" s="50">
        <v>2</v>
      </c>
      <c r="M40" s="50">
        <v>30</v>
      </c>
      <c r="N40" s="50">
        <v>0</v>
      </c>
      <c r="O40" s="15">
        <f t="shared" si="0"/>
        <v>103</v>
      </c>
      <c r="P40" s="15">
        <f t="shared" si="1"/>
        <v>133</v>
      </c>
    </row>
    <row r="41" spans="2:20" ht="23.1" customHeight="1" x14ac:dyDescent="0.25">
      <c r="B41" s="23" t="s">
        <v>68</v>
      </c>
      <c r="C41" s="50">
        <v>31</v>
      </c>
      <c r="D41" s="50">
        <v>5</v>
      </c>
      <c r="E41" s="50">
        <v>1</v>
      </c>
      <c r="F41" s="50">
        <v>33</v>
      </c>
      <c r="G41" s="50">
        <v>0</v>
      </c>
      <c r="H41" s="50">
        <v>1</v>
      </c>
      <c r="I41" s="50">
        <v>20</v>
      </c>
      <c r="J41" s="50">
        <v>3</v>
      </c>
      <c r="K41" s="50">
        <v>2</v>
      </c>
      <c r="L41" s="50">
        <v>0</v>
      </c>
      <c r="M41" s="50">
        <v>25</v>
      </c>
      <c r="N41" s="50">
        <v>0</v>
      </c>
      <c r="O41" s="15">
        <f t="shared" si="0"/>
        <v>96</v>
      </c>
      <c r="P41" s="15">
        <f t="shared" si="1"/>
        <v>121</v>
      </c>
    </row>
    <row r="42" spans="2:20" ht="23.1" customHeight="1" x14ac:dyDescent="0.25">
      <c r="B42" s="24" t="s">
        <v>69</v>
      </c>
      <c r="C42" s="50">
        <v>34</v>
      </c>
      <c r="D42" s="50">
        <v>2</v>
      </c>
      <c r="E42" s="50">
        <v>2</v>
      </c>
      <c r="F42" s="50">
        <v>35</v>
      </c>
      <c r="G42" s="50">
        <v>1</v>
      </c>
      <c r="H42" s="50">
        <v>0</v>
      </c>
      <c r="I42" s="50">
        <v>14</v>
      </c>
      <c r="J42" s="50">
        <v>3</v>
      </c>
      <c r="K42" s="50">
        <v>1</v>
      </c>
      <c r="L42" s="50">
        <v>0</v>
      </c>
      <c r="M42" s="50">
        <v>9</v>
      </c>
      <c r="N42" s="50">
        <v>0</v>
      </c>
      <c r="O42" s="15">
        <f t="shared" si="0"/>
        <v>92</v>
      </c>
      <c r="P42" s="15">
        <f t="shared" si="1"/>
        <v>101</v>
      </c>
    </row>
    <row r="43" spans="2:20" ht="23.1" customHeight="1" x14ac:dyDescent="0.25">
      <c r="B43" s="23" t="s">
        <v>70</v>
      </c>
      <c r="C43" s="50">
        <v>19</v>
      </c>
      <c r="D43" s="50">
        <v>6</v>
      </c>
      <c r="E43" s="50">
        <v>2</v>
      </c>
      <c r="F43" s="50">
        <v>19</v>
      </c>
      <c r="G43" s="50">
        <v>0</v>
      </c>
      <c r="H43" s="50">
        <v>0</v>
      </c>
      <c r="I43" s="50">
        <v>3</v>
      </c>
      <c r="J43" s="50">
        <v>1</v>
      </c>
      <c r="K43" s="50">
        <v>0</v>
      </c>
      <c r="L43" s="50">
        <v>0</v>
      </c>
      <c r="M43" s="50">
        <v>24</v>
      </c>
      <c r="N43" s="50">
        <v>0</v>
      </c>
      <c r="O43" s="15">
        <f t="shared" si="0"/>
        <v>50</v>
      </c>
      <c r="P43" s="15">
        <f t="shared" si="1"/>
        <v>74</v>
      </c>
    </row>
    <row r="44" spans="2:20" ht="23.1" customHeight="1" x14ac:dyDescent="0.25">
      <c r="B44" s="25" t="s">
        <v>71</v>
      </c>
      <c r="C44" s="50">
        <v>25</v>
      </c>
      <c r="D44" s="50">
        <v>7</v>
      </c>
      <c r="E44" s="50">
        <v>7</v>
      </c>
      <c r="F44" s="50">
        <v>12</v>
      </c>
      <c r="G44" s="50">
        <v>0</v>
      </c>
      <c r="H44" s="50">
        <v>1</v>
      </c>
      <c r="I44" s="50">
        <v>6</v>
      </c>
      <c r="J44" s="50">
        <v>3</v>
      </c>
      <c r="K44" s="50">
        <v>0</v>
      </c>
      <c r="L44" s="50">
        <v>0</v>
      </c>
      <c r="M44" s="50">
        <v>9</v>
      </c>
      <c r="N44" s="50">
        <v>0</v>
      </c>
      <c r="O44" s="15">
        <f t="shared" si="0"/>
        <v>61</v>
      </c>
      <c r="P44" s="15">
        <f t="shared" si="1"/>
        <v>70</v>
      </c>
    </row>
    <row r="45" spans="2:20" ht="23.1" customHeight="1" x14ac:dyDescent="0.25">
      <c r="B45" s="23" t="s">
        <v>72</v>
      </c>
      <c r="C45" s="50">
        <v>22</v>
      </c>
      <c r="D45" s="50">
        <v>5</v>
      </c>
      <c r="E45" s="50">
        <v>9</v>
      </c>
      <c r="F45" s="50">
        <v>19</v>
      </c>
      <c r="G45" s="50">
        <v>1</v>
      </c>
      <c r="H45" s="50">
        <v>0</v>
      </c>
      <c r="I45" s="50">
        <v>5</v>
      </c>
      <c r="J45" s="50">
        <v>1</v>
      </c>
      <c r="K45" s="50">
        <v>1</v>
      </c>
      <c r="L45" s="50">
        <v>0</v>
      </c>
      <c r="M45" s="50">
        <v>21</v>
      </c>
      <c r="N45" s="50">
        <v>0</v>
      </c>
      <c r="O45" s="15">
        <f t="shared" si="0"/>
        <v>63</v>
      </c>
      <c r="P45" s="15">
        <f t="shared" si="1"/>
        <v>84</v>
      </c>
    </row>
    <row r="46" spans="2:20" ht="23.1" customHeight="1" x14ac:dyDescent="0.25">
      <c r="B46" s="24" t="s">
        <v>73</v>
      </c>
      <c r="C46" s="50">
        <v>28</v>
      </c>
      <c r="D46" s="50">
        <v>5</v>
      </c>
      <c r="E46" s="50">
        <v>1</v>
      </c>
      <c r="F46" s="50">
        <v>24</v>
      </c>
      <c r="G46" s="50">
        <v>0</v>
      </c>
      <c r="H46" s="50">
        <v>0</v>
      </c>
      <c r="I46" s="50">
        <v>4</v>
      </c>
      <c r="J46" s="50">
        <v>5</v>
      </c>
      <c r="K46" s="50">
        <v>0</v>
      </c>
      <c r="L46" s="50">
        <v>3</v>
      </c>
      <c r="M46" s="50">
        <v>20</v>
      </c>
      <c r="N46" s="50">
        <v>0</v>
      </c>
      <c r="O46" s="15">
        <f t="shared" si="0"/>
        <v>70</v>
      </c>
      <c r="P46" s="15">
        <f t="shared" si="1"/>
        <v>90</v>
      </c>
      <c r="R46" s="8"/>
      <c r="T46"/>
    </row>
    <row r="47" spans="2:20" ht="23.1" customHeight="1" x14ac:dyDescent="0.25">
      <c r="B47" s="24" t="s">
        <v>74</v>
      </c>
      <c r="C47" s="50">
        <v>31</v>
      </c>
      <c r="D47" s="50">
        <v>1</v>
      </c>
      <c r="E47" s="50">
        <v>2</v>
      </c>
      <c r="F47" s="50">
        <v>19</v>
      </c>
      <c r="G47" s="50">
        <v>1</v>
      </c>
      <c r="H47" s="50">
        <v>1</v>
      </c>
      <c r="I47" s="50">
        <v>8</v>
      </c>
      <c r="J47" s="50">
        <v>2</v>
      </c>
      <c r="K47" s="50">
        <v>0</v>
      </c>
      <c r="L47" s="50">
        <v>0</v>
      </c>
      <c r="M47" s="50">
        <v>15</v>
      </c>
      <c r="N47" s="50">
        <v>0</v>
      </c>
      <c r="O47" s="15">
        <f t="shared" si="0"/>
        <v>65</v>
      </c>
      <c r="P47" s="15">
        <f t="shared" si="1"/>
        <v>80</v>
      </c>
      <c r="R47" s="8"/>
      <c r="T47"/>
    </row>
    <row r="48" spans="2:20" ht="23.1" customHeight="1" x14ac:dyDescent="0.25">
      <c r="B48" s="24" t="s">
        <v>75</v>
      </c>
      <c r="C48" s="50">
        <v>17</v>
      </c>
      <c r="D48" s="50">
        <v>5</v>
      </c>
      <c r="E48" s="50">
        <v>3</v>
      </c>
      <c r="F48" s="50">
        <v>10</v>
      </c>
      <c r="G48" s="50">
        <v>0</v>
      </c>
      <c r="H48" s="50">
        <v>0</v>
      </c>
      <c r="I48" s="50">
        <v>7</v>
      </c>
      <c r="J48" s="50">
        <v>3</v>
      </c>
      <c r="K48" s="50">
        <v>0</v>
      </c>
      <c r="L48" s="50">
        <v>0</v>
      </c>
      <c r="M48" s="50">
        <v>8</v>
      </c>
      <c r="N48" s="50">
        <v>0</v>
      </c>
      <c r="O48" s="15">
        <f t="shared" si="0"/>
        <v>45</v>
      </c>
      <c r="P48" s="15">
        <f t="shared" si="1"/>
        <v>53</v>
      </c>
      <c r="R48" s="8"/>
      <c r="T48"/>
    </row>
    <row r="49" spans="2:20" ht="23.1" customHeight="1" x14ac:dyDescent="0.25">
      <c r="B49" s="23" t="s">
        <v>76</v>
      </c>
      <c r="C49" s="50">
        <v>29</v>
      </c>
      <c r="D49" s="50">
        <v>4</v>
      </c>
      <c r="E49" s="50">
        <v>3</v>
      </c>
      <c r="F49" s="50">
        <v>21</v>
      </c>
      <c r="G49" s="50">
        <v>0</v>
      </c>
      <c r="H49" s="50">
        <v>1</v>
      </c>
      <c r="I49" s="50">
        <v>9</v>
      </c>
      <c r="J49" s="50">
        <v>5</v>
      </c>
      <c r="K49" s="50">
        <v>0</v>
      </c>
      <c r="L49" s="50">
        <v>0</v>
      </c>
      <c r="M49" s="50">
        <v>8</v>
      </c>
      <c r="N49" s="50">
        <v>0</v>
      </c>
      <c r="O49" s="15">
        <f t="shared" si="0"/>
        <v>72</v>
      </c>
      <c r="P49" s="15">
        <f t="shared" si="1"/>
        <v>80</v>
      </c>
      <c r="R49" s="8"/>
      <c r="T49"/>
    </row>
    <row r="50" spans="2:20" ht="23.1" customHeight="1" x14ac:dyDescent="0.25">
      <c r="B50" s="24" t="s">
        <v>77</v>
      </c>
      <c r="C50" s="50">
        <v>24</v>
      </c>
      <c r="D50" s="50">
        <v>3</v>
      </c>
      <c r="E50" s="50">
        <v>3</v>
      </c>
      <c r="F50" s="50">
        <v>14</v>
      </c>
      <c r="G50" s="50">
        <v>1</v>
      </c>
      <c r="H50" s="50">
        <v>1</v>
      </c>
      <c r="I50" s="50">
        <v>1</v>
      </c>
      <c r="J50" s="50">
        <v>2</v>
      </c>
      <c r="K50" s="50">
        <v>1</v>
      </c>
      <c r="L50" s="50">
        <v>1</v>
      </c>
      <c r="M50" s="50">
        <v>19</v>
      </c>
      <c r="N50" s="50">
        <v>0</v>
      </c>
      <c r="O50" s="15">
        <f t="shared" si="0"/>
        <v>51</v>
      </c>
      <c r="P50" s="15">
        <f t="shared" si="1"/>
        <v>70</v>
      </c>
      <c r="R50" s="8"/>
      <c r="T50"/>
    </row>
    <row r="51" spans="2:20" ht="23.1" customHeight="1" x14ac:dyDescent="0.25">
      <c r="B51" s="24" t="s">
        <v>78</v>
      </c>
      <c r="C51" s="50">
        <v>30</v>
      </c>
      <c r="D51" s="50">
        <v>2</v>
      </c>
      <c r="E51" s="50">
        <v>6</v>
      </c>
      <c r="F51" s="50">
        <v>15</v>
      </c>
      <c r="G51" s="50">
        <v>0</v>
      </c>
      <c r="H51" s="50">
        <v>0</v>
      </c>
      <c r="I51" s="50">
        <v>7</v>
      </c>
      <c r="J51" s="50">
        <v>2</v>
      </c>
      <c r="K51" s="50">
        <v>1</v>
      </c>
      <c r="L51" s="50">
        <v>0</v>
      </c>
      <c r="M51" s="50">
        <v>6</v>
      </c>
      <c r="N51" s="50">
        <v>0</v>
      </c>
      <c r="O51" s="15">
        <f t="shared" si="0"/>
        <v>63</v>
      </c>
      <c r="P51" s="15">
        <f t="shared" si="1"/>
        <v>69</v>
      </c>
      <c r="R51" s="8"/>
      <c r="T51"/>
    </row>
    <row r="52" spans="2:20" ht="23.1" customHeight="1" x14ac:dyDescent="0.25">
      <c r="B52" s="24" t="s">
        <v>79</v>
      </c>
      <c r="C52" s="50">
        <v>17</v>
      </c>
      <c r="D52" s="50">
        <v>3</v>
      </c>
      <c r="E52" s="50">
        <v>0</v>
      </c>
      <c r="F52" s="50">
        <v>18</v>
      </c>
      <c r="G52" s="50">
        <v>0</v>
      </c>
      <c r="H52" s="50">
        <v>0</v>
      </c>
      <c r="I52" s="50">
        <v>4</v>
      </c>
      <c r="J52" s="50">
        <v>2</v>
      </c>
      <c r="K52" s="50">
        <v>2</v>
      </c>
      <c r="L52" s="50">
        <v>0</v>
      </c>
      <c r="M52" s="50">
        <v>10</v>
      </c>
      <c r="N52" s="50">
        <v>0</v>
      </c>
      <c r="O52" s="15">
        <f t="shared" si="0"/>
        <v>46</v>
      </c>
      <c r="P52" s="15">
        <f t="shared" si="1"/>
        <v>56</v>
      </c>
      <c r="R52" s="8"/>
      <c r="T52"/>
    </row>
    <row r="53" spans="2:20" ht="23.1" customHeight="1" x14ac:dyDescent="0.25">
      <c r="B53" s="23" t="s">
        <v>80</v>
      </c>
      <c r="C53" s="50">
        <v>11</v>
      </c>
      <c r="D53" s="50">
        <v>0</v>
      </c>
      <c r="E53" s="50">
        <v>1</v>
      </c>
      <c r="F53" s="50">
        <v>14</v>
      </c>
      <c r="G53" s="50">
        <v>0</v>
      </c>
      <c r="H53" s="50">
        <v>1</v>
      </c>
      <c r="I53" s="50">
        <v>7</v>
      </c>
      <c r="J53" s="50">
        <v>5</v>
      </c>
      <c r="K53" s="50">
        <v>1</v>
      </c>
      <c r="L53" s="50">
        <v>1</v>
      </c>
      <c r="M53" s="50">
        <v>9</v>
      </c>
      <c r="N53" s="50">
        <v>0</v>
      </c>
      <c r="O53" s="15">
        <f t="shared" si="0"/>
        <v>41</v>
      </c>
      <c r="P53" s="15">
        <f t="shared" si="1"/>
        <v>50</v>
      </c>
      <c r="R53" s="8"/>
      <c r="T53"/>
    </row>
    <row r="54" spans="2:20" ht="23.1" customHeight="1" x14ac:dyDescent="0.25">
      <c r="B54" s="23" t="s">
        <v>81</v>
      </c>
      <c r="C54" s="50">
        <v>24</v>
      </c>
      <c r="D54" s="50">
        <v>0</v>
      </c>
      <c r="E54" s="50">
        <v>2</v>
      </c>
      <c r="F54" s="50">
        <v>25</v>
      </c>
      <c r="G54" s="50">
        <v>0</v>
      </c>
      <c r="H54" s="50">
        <v>0</v>
      </c>
      <c r="I54" s="50">
        <v>2</v>
      </c>
      <c r="J54" s="50">
        <v>2</v>
      </c>
      <c r="K54" s="50">
        <v>0</v>
      </c>
      <c r="L54" s="50">
        <v>0</v>
      </c>
      <c r="M54" s="50">
        <v>11</v>
      </c>
      <c r="N54" s="50">
        <v>0</v>
      </c>
      <c r="O54" s="15">
        <f t="shared" si="0"/>
        <v>55</v>
      </c>
      <c r="P54" s="15">
        <f t="shared" si="1"/>
        <v>66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1</v>
      </c>
      <c r="E55" s="50">
        <v>0</v>
      </c>
      <c r="F55" s="50">
        <v>12</v>
      </c>
      <c r="G55" s="50">
        <v>0</v>
      </c>
      <c r="H55" s="50">
        <v>0</v>
      </c>
      <c r="I55" s="50">
        <v>7</v>
      </c>
      <c r="J55" s="50">
        <v>4</v>
      </c>
      <c r="K55" s="50">
        <v>1</v>
      </c>
      <c r="L55" s="50">
        <v>1</v>
      </c>
      <c r="M55" s="50">
        <v>6</v>
      </c>
      <c r="N55" s="50">
        <v>0</v>
      </c>
      <c r="O55" s="15">
        <f t="shared" si="0"/>
        <v>33</v>
      </c>
      <c r="P55" s="15">
        <f t="shared" si="1"/>
        <v>39</v>
      </c>
      <c r="R55" s="8"/>
      <c r="T55"/>
    </row>
    <row r="56" spans="2:20" ht="23.1" customHeight="1" x14ac:dyDescent="0.25">
      <c r="B56" s="23" t="s">
        <v>83</v>
      </c>
      <c r="C56" s="50">
        <v>13</v>
      </c>
      <c r="D56" s="50">
        <v>2</v>
      </c>
      <c r="E56" s="50">
        <v>2</v>
      </c>
      <c r="F56" s="50">
        <v>14</v>
      </c>
      <c r="G56" s="50">
        <v>1</v>
      </c>
      <c r="H56" s="50">
        <v>1</v>
      </c>
      <c r="I56" s="50">
        <v>2</v>
      </c>
      <c r="J56" s="50">
        <v>3</v>
      </c>
      <c r="K56" s="50">
        <v>1</v>
      </c>
      <c r="L56" s="50">
        <v>0</v>
      </c>
      <c r="M56" s="50">
        <v>6</v>
      </c>
      <c r="N56" s="50">
        <v>0</v>
      </c>
      <c r="O56" s="15">
        <f t="shared" si="0"/>
        <v>39</v>
      </c>
      <c r="P56" s="15">
        <f t="shared" si="1"/>
        <v>45</v>
      </c>
      <c r="R56" s="8"/>
      <c r="T56"/>
    </row>
    <row r="57" spans="2:20" ht="23.1" customHeight="1" x14ac:dyDescent="0.25">
      <c r="B57" s="23" t="s">
        <v>84</v>
      </c>
      <c r="C57" s="50">
        <v>22</v>
      </c>
      <c r="D57" s="50">
        <v>3</v>
      </c>
      <c r="E57" s="50">
        <v>11</v>
      </c>
      <c r="F57" s="50">
        <v>17</v>
      </c>
      <c r="G57" s="50">
        <v>0</v>
      </c>
      <c r="H57" s="50">
        <v>0</v>
      </c>
      <c r="I57" s="50">
        <v>2</v>
      </c>
      <c r="J57" s="50">
        <v>2</v>
      </c>
      <c r="K57" s="50">
        <v>2</v>
      </c>
      <c r="L57" s="50">
        <v>1</v>
      </c>
      <c r="M57" s="50">
        <v>13</v>
      </c>
      <c r="N57" s="50">
        <v>0</v>
      </c>
      <c r="O57" s="15">
        <f t="shared" si="0"/>
        <v>60</v>
      </c>
      <c r="P57" s="15">
        <f t="shared" si="1"/>
        <v>73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1074</v>
      </c>
      <c r="D58" s="16">
        <f t="shared" si="21"/>
        <v>210</v>
      </c>
      <c r="E58" s="16">
        <f t="shared" si="21"/>
        <v>174</v>
      </c>
      <c r="F58" s="16">
        <f t="shared" si="21"/>
        <v>805</v>
      </c>
      <c r="G58" s="16">
        <f t="shared" si="21"/>
        <v>34</v>
      </c>
      <c r="H58" s="16">
        <f t="shared" si="21"/>
        <v>22</v>
      </c>
      <c r="I58" s="16">
        <f t="shared" si="21"/>
        <v>282</v>
      </c>
      <c r="J58" s="16">
        <f t="shared" si="21"/>
        <v>104</v>
      </c>
      <c r="K58" s="16">
        <f t="shared" si="21"/>
        <v>28</v>
      </c>
      <c r="L58" s="16">
        <f t="shared" si="21"/>
        <v>23</v>
      </c>
      <c r="M58" s="16">
        <f t="shared" si="21"/>
        <v>643</v>
      </c>
      <c r="N58" s="16">
        <f t="shared" si="21"/>
        <v>0</v>
      </c>
      <c r="O58" s="16">
        <f t="shared" si="21"/>
        <v>2756</v>
      </c>
      <c r="P58" s="16">
        <f t="shared" si="21"/>
        <v>3399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0.31597528684907328</v>
      </c>
      <c r="D59" s="43">
        <f t="shared" si="22"/>
        <v>6.1782877316857901E-2</v>
      </c>
      <c r="E59" s="43">
        <f t="shared" si="22"/>
        <v>5.1191526919682262E-2</v>
      </c>
      <c r="F59" s="43">
        <f t="shared" si="22"/>
        <v>0.23683436304795527</v>
      </c>
      <c r="G59" s="43">
        <f t="shared" si="22"/>
        <v>1.0002942041776992E-2</v>
      </c>
      <c r="H59" s="43">
        <f t="shared" si="22"/>
        <v>6.4724919093851136E-3</v>
      </c>
      <c r="I59" s="43">
        <f t="shared" si="22"/>
        <v>8.2965578111209179E-2</v>
      </c>
      <c r="J59" s="43">
        <f t="shared" si="22"/>
        <v>3.0597234480729627E-2</v>
      </c>
      <c r="K59" s="43">
        <f t="shared" si="22"/>
        <v>8.2377169755810525E-3</v>
      </c>
      <c r="L59" s="43">
        <f t="shared" si="22"/>
        <v>6.7666960870844369E-3</v>
      </c>
      <c r="M59" s="43">
        <f t="shared" si="22"/>
        <v>0.1891732862606649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0.38969521044992744</v>
      </c>
      <c r="D60" s="44">
        <f t="shared" ref="D60:N60" si="23">D58/$O$58</f>
        <v>7.6197387518142229E-2</v>
      </c>
      <c r="E60" s="44">
        <f t="shared" si="23"/>
        <v>6.3134978229317851E-2</v>
      </c>
      <c r="F60" s="44">
        <f t="shared" si="23"/>
        <v>0.2920899854862119</v>
      </c>
      <c r="G60" s="44">
        <f t="shared" si="23"/>
        <v>1.2336719883889695E-2</v>
      </c>
      <c r="H60" s="44">
        <f t="shared" si="23"/>
        <v>7.9825834542815669E-3</v>
      </c>
      <c r="I60" s="44">
        <f t="shared" si="23"/>
        <v>0.102322206095791</v>
      </c>
      <c r="J60" s="44">
        <f t="shared" si="23"/>
        <v>3.7735849056603772E-2</v>
      </c>
      <c r="K60" s="44">
        <f t="shared" si="23"/>
        <v>1.0159651669085631E-2</v>
      </c>
      <c r="L60" s="44">
        <f t="shared" si="23"/>
        <v>8.3454281567489109E-3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topLeftCell="A58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'29.10 Bujuko-Buloba'!C3:G3</f>
        <v>MCC - C2 - STN62 - BUJUKO-BULOBA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183</v>
      </c>
      <c r="E5" s="3"/>
      <c r="F5" s="41" t="s">
        <v>1</v>
      </c>
      <c r="G5" s="66" t="str">
        <f>'2.11 Buloba-Bujuko-24HR'!G5:H5</f>
        <v>Buloba Pop Oil</v>
      </c>
      <c r="H5" s="67"/>
      <c r="I5" s="14"/>
      <c r="J5" s="2" t="s">
        <v>5</v>
      </c>
      <c r="K5" s="66" t="str">
        <f>'2.11 Buloba-Bujuko-24HR'!K5:L5</f>
        <v>Doreen Geofrey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'29.10 Bujuko-Buloba'!D6:E6</f>
        <v>Bujuko</v>
      </c>
      <c r="E6" s="67"/>
      <c r="F6" s="2" t="s">
        <v>2</v>
      </c>
      <c r="G6" s="66" t="str">
        <f>'29.10 Bujuko-Buloba'!G6:H6</f>
        <v xml:space="preserve">Buloba </v>
      </c>
      <c r="H6" s="67"/>
      <c r="J6" s="2" t="s">
        <v>21</v>
      </c>
      <c r="K6" s="66" t="str">
        <f>'2.11 Buloba-Bujuko-24HR'!K6:L6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22</v>
      </c>
      <c r="D10" s="50">
        <v>1</v>
      </c>
      <c r="E10" s="50">
        <v>0</v>
      </c>
      <c r="F10" s="50">
        <v>18</v>
      </c>
      <c r="G10" s="50">
        <v>1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24</v>
      </c>
      <c r="N10" s="50">
        <v>0</v>
      </c>
      <c r="O10" s="15">
        <f t="shared" ref="O10:O57" si="0">SUM(C10:L10,N10)</f>
        <v>44</v>
      </c>
      <c r="P10" s="15">
        <f t="shared" ref="P10:P57" si="1">SUM(C10:N10)</f>
        <v>68</v>
      </c>
      <c r="R10" s="1" t="s">
        <v>6</v>
      </c>
      <c r="S10" s="17">
        <f t="shared" ref="S10:AF10" si="2">SUM(C10:C13)</f>
        <v>90</v>
      </c>
      <c r="T10" s="17">
        <f t="shared" si="2"/>
        <v>9</v>
      </c>
      <c r="U10" s="17">
        <f t="shared" si="2"/>
        <v>8</v>
      </c>
      <c r="V10" s="17">
        <f t="shared" si="2"/>
        <v>65</v>
      </c>
      <c r="W10" s="17">
        <f t="shared" si="2"/>
        <v>3</v>
      </c>
      <c r="X10" s="17">
        <f t="shared" si="2"/>
        <v>0</v>
      </c>
      <c r="Y10" s="17">
        <f t="shared" si="2"/>
        <v>8</v>
      </c>
      <c r="Z10" s="17">
        <f t="shared" si="2"/>
        <v>11</v>
      </c>
      <c r="AA10" s="17">
        <f t="shared" si="2"/>
        <v>0</v>
      </c>
      <c r="AB10" s="17">
        <f t="shared" si="2"/>
        <v>5</v>
      </c>
      <c r="AC10" s="17">
        <f t="shared" si="2"/>
        <v>128</v>
      </c>
      <c r="AD10" s="17">
        <f t="shared" si="2"/>
        <v>0</v>
      </c>
      <c r="AE10" s="31">
        <f t="shared" si="2"/>
        <v>199</v>
      </c>
      <c r="AF10" s="31">
        <f t="shared" si="2"/>
        <v>327</v>
      </c>
    </row>
    <row r="11" spans="2:32" s="6" customFormat="1" ht="23.1" customHeight="1" x14ac:dyDescent="0.25">
      <c r="B11" s="23" t="s">
        <v>38</v>
      </c>
      <c r="C11" s="50">
        <v>35</v>
      </c>
      <c r="D11" s="50">
        <v>4</v>
      </c>
      <c r="E11" s="50">
        <v>4</v>
      </c>
      <c r="F11" s="50">
        <v>18</v>
      </c>
      <c r="G11" s="50">
        <v>0</v>
      </c>
      <c r="H11" s="50">
        <v>0</v>
      </c>
      <c r="I11" s="50">
        <v>3</v>
      </c>
      <c r="J11" s="50">
        <v>5</v>
      </c>
      <c r="K11" s="50">
        <v>0</v>
      </c>
      <c r="L11" s="50">
        <v>1</v>
      </c>
      <c r="M11" s="50">
        <v>39</v>
      </c>
      <c r="N11" s="50">
        <v>0</v>
      </c>
      <c r="O11" s="15">
        <f t="shared" si="0"/>
        <v>70</v>
      </c>
      <c r="P11" s="15">
        <f t="shared" si="1"/>
        <v>109</v>
      </c>
      <c r="R11" s="1" t="s">
        <v>7</v>
      </c>
      <c r="S11" s="17">
        <f t="shared" ref="S11:AF11" si="3">SUM(C14:C17)</f>
        <v>88</v>
      </c>
      <c r="T11" s="17">
        <f t="shared" si="3"/>
        <v>9</v>
      </c>
      <c r="U11" s="17">
        <f t="shared" si="3"/>
        <v>10</v>
      </c>
      <c r="V11" s="17">
        <f t="shared" si="3"/>
        <v>77</v>
      </c>
      <c r="W11" s="17">
        <f t="shared" si="3"/>
        <v>1</v>
      </c>
      <c r="X11" s="17">
        <f t="shared" si="3"/>
        <v>0</v>
      </c>
      <c r="Y11" s="17">
        <f t="shared" si="3"/>
        <v>15</v>
      </c>
      <c r="Z11" s="17">
        <f t="shared" si="3"/>
        <v>3</v>
      </c>
      <c r="AA11" s="17">
        <f t="shared" si="3"/>
        <v>1</v>
      </c>
      <c r="AB11" s="17">
        <f t="shared" si="3"/>
        <v>3</v>
      </c>
      <c r="AC11" s="17">
        <f t="shared" si="3"/>
        <v>126</v>
      </c>
      <c r="AD11" s="17">
        <f t="shared" si="3"/>
        <v>0</v>
      </c>
      <c r="AE11" s="31">
        <f t="shared" si="3"/>
        <v>207</v>
      </c>
      <c r="AF11" s="31">
        <f t="shared" si="3"/>
        <v>333</v>
      </c>
    </row>
    <row r="12" spans="2:32" ht="23.1" customHeight="1" x14ac:dyDescent="0.25">
      <c r="B12" s="23" t="s">
        <v>39</v>
      </c>
      <c r="C12" s="50">
        <v>18</v>
      </c>
      <c r="D12" s="50">
        <v>2</v>
      </c>
      <c r="E12" s="50">
        <v>1</v>
      </c>
      <c r="F12" s="50">
        <v>21</v>
      </c>
      <c r="G12" s="50">
        <v>0</v>
      </c>
      <c r="H12" s="50">
        <v>0</v>
      </c>
      <c r="I12" s="50">
        <v>1</v>
      </c>
      <c r="J12" s="50">
        <v>4</v>
      </c>
      <c r="K12" s="50">
        <v>0</v>
      </c>
      <c r="L12" s="50">
        <v>2</v>
      </c>
      <c r="M12" s="50">
        <v>31</v>
      </c>
      <c r="N12" s="50">
        <v>0</v>
      </c>
      <c r="O12" s="15">
        <f t="shared" si="0"/>
        <v>49</v>
      </c>
      <c r="P12" s="15">
        <f t="shared" si="1"/>
        <v>80</v>
      </c>
      <c r="R12" s="1" t="s">
        <v>8</v>
      </c>
      <c r="S12" s="17">
        <f t="shared" ref="S12:AF12" si="4">SUM(C18:C21)</f>
        <v>70</v>
      </c>
      <c r="T12" s="17">
        <f t="shared" si="4"/>
        <v>6</v>
      </c>
      <c r="U12" s="17">
        <f t="shared" si="4"/>
        <v>14</v>
      </c>
      <c r="V12" s="17">
        <f t="shared" si="4"/>
        <v>74</v>
      </c>
      <c r="W12" s="17">
        <f t="shared" si="4"/>
        <v>1</v>
      </c>
      <c r="X12" s="17">
        <f t="shared" si="4"/>
        <v>1</v>
      </c>
      <c r="Y12" s="17">
        <f t="shared" si="4"/>
        <v>15</v>
      </c>
      <c r="Z12" s="17">
        <f t="shared" si="4"/>
        <v>11</v>
      </c>
      <c r="AA12" s="17">
        <f t="shared" si="4"/>
        <v>3</v>
      </c>
      <c r="AB12" s="17">
        <f t="shared" si="4"/>
        <v>1</v>
      </c>
      <c r="AC12" s="17">
        <f t="shared" si="4"/>
        <v>75</v>
      </c>
      <c r="AD12" s="17">
        <f t="shared" si="4"/>
        <v>0</v>
      </c>
      <c r="AE12" s="31">
        <f t="shared" si="4"/>
        <v>196</v>
      </c>
      <c r="AF12" s="31">
        <f t="shared" si="4"/>
        <v>271</v>
      </c>
    </row>
    <row r="13" spans="2:32" ht="23.1" customHeight="1" x14ac:dyDescent="0.25">
      <c r="B13" s="23" t="s">
        <v>40</v>
      </c>
      <c r="C13" s="50">
        <v>15</v>
      </c>
      <c r="D13" s="50">
        <v>2</v>
      </c>
      <c r="E13" s="50">
        <v>3</v>
      </c>
      <c r="F13" s="50">
        <v>8</v>
      </c>
      <c r="G13" s="50">
        <v>2</v>
      </c>
      <c r="H13" s="50">
        <v>0</v>
      </c>
      <c r="I13" s="50">
        <v>3</v>
      </c>
      <c r="J13" s="50">
        <v>1</v>
      </c>
      <c r="K13" s="50">
        <v>0</v>
      </c>
      <c r="L13" s="50">
        <v>2</v>
      </c>
      <c r="M13" s="50">
        <v>34</v>
      </c>
      <c r="N13" s="50">
        <v>0</v>
      </c>
      <c r="O13" s="15">
        <f t="shared" si="0"/>
        <v>36</v>
      </c>
      <c r="P13" s="15">
        <f t="shared" si="1"/>
        <v>70</v>
      </c>
      <c r="R13" s="1" t="s">
        <v>9</v>
      </c>
      <c r="S13" s="17">
        <f t="shared" ref="S13:AF13" si="5">SUM(C22:C25)</f>
        <v>58</v>
      </c>
      <c r="T13" s="17">
        <f t="shared" si="5"/>
        <v>11</v>
      </c>
      <c r="U13" s="17">
        <f t="shared" si="5"/>
        <v>9</v>
      </c>
      <c r="V13" s="17">
        <f t="shared" si="5"/>
        <v>62</v>
      </c>
      <c r="W13" s="17">
        <f t="shared" si="5"/>
        <v>0</v>
      </c>
      <c r="X13" s="17">
        <f t="shared" si="5"/>
        <v>1</v>
      </c>
      <c r="Y13" s="17">
        <f t="shared" si="5"/>
        <v>25</v>
      </c>
      <c r="Z13" s="17">
        <f t="shared" si="5"/>
        <v>2</v>
      </c>
      <c r="AA13" s="17">
        <f t="shared" si="5"/>
        <v>1</v>
      </c>
      <c r="AB13" s="17">
        <f t="shared" si="5"/>
        <v>1</v>
      </c>
      <c r="AC13" s="17">
        <f t="shared" si="5"/>
        <v>87</v>
      </c>
      <c r="AD13" s="17">
        <f t="shared" si="5"/>
        <v>0</v>
      </c>
      <c r="AE13" s="31">
        <f t="shared" si="5"/>
        <v>170</v>
      </c>
      <c r="AF13" s="31">
        <f t="shared" si="5"/>
        <v>257</v>
      </c>
    </row>
    <row r="14" spans="2:32" ht="23.1" customHeight="1" x14ac:dyDescent="0.25">
      <c r="B14" s="23" t="s">
        <v>41</v>
      </c>
      <c r="C14" s="50">
        <v>21</v>
      </c>
      <c r="D14" s="50">
        <v>5</v>
      </c>
      <c r="E14" s="50">
        <v>3</v>
      </c>
      <c r="F14" s="50">
        <v>15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26</v>
      </c>
      <c r="N14" s="50">
        <v>0</v>
      </c>
      <c r="O14" s="15">
        <f t="shared" si="0"/>
        <v>46</v>
      </c>
      <c r="P14" s="15">
        <f t="shared" si="1"/>
        <v>72</v>
      </c>
      <c r="R14" s="1" t="s">
        <v>10</v>
      </c>
      <c r="S14" s="17">
        <f t="shared" ref="S14:AF14" si="6">SUM(C26:C29)</f>
        <v>42</v>
      </c>
      <c r="T14" s="17">
        <f t="shared" si="6"/>
        <v>12</v>
      </c>
      <c r="U14" s="17">
        <f t="shared" si="6"/>
        <v>8</v>
      </c>
      <c r="V14" s="17">
        <f t="shared" si="6"/>
        <v>64</v>
      </c>
      <c r="W14" s="17">
        <f t="shared" si="6"/>
        <v>0</v>
      </c>
      <c r="X14" s="17">
        <f t="shared" si="6"/>
        <v>0</v>
      </c>
      <c r="Y14" s="17">
        <f t="shared" si="6"/>
        <v>26</v>
      </c>
      <c r="Z14" s="17">
        <f t="shared" si="6"/>
        <v>0</v>
      </c>
      <c r="AA14" s="17">
        <f t="shared" si="6"/>
        <v>1</v>
      </c>
      <c r="AB14" s="17">
        <f t="shared" si="6"/>
        <v>3</v>
      </c>
      <c r="AC14" s="17">
        <f t="shared" si="6"/>
        <v>73</v>
      </c>
      <c r="AD14" s="17">
        <f t="shared" si="6"/>
        <v>0</v>
      </c>
      <c r="AE14" s="31">
        <f t="shared" si="6"/>
        <v>156</v>
      </c>
      <c r="AF14" s="31">
        <f t="shared" si="6"/>
        <v>229</v>
      </c>
    </row>
    <row r="15" spans="2:32" ht="23.1" customHeight="1" x14ac:dyDescent="0.25">
      <c r="B15" s="23" t="s">
        <v>42</v>
      </c>
      <c r="C15" s="50">
        <v>19</v>
      </c>
      <c r="D15" s="50">
        <v>1</v>
      </c>
      <c r="E15" s="50">
        <v>1</v>
      </c>
      <c r="F15" s="50">
        <v>16</v>
      </c>
      <c r="G15" s="50">
        <v>0</v>
      </c>
      <c r="H15" s="50">
        <v>0</v>
      </c>
      <c r="I15" s="50">
        <v>5</v>
      </c>
      <c r="J15" s="50">
        <v>2</v>
      </c>
      <c r="K15" s="50">
        <v>1</v>
      </c>
      <c r="L15" s="50">
        <v>0</v>
      </c>
      <c r="M15" s="50">
        <v>35</v>
      </c>
      <c r="N15" s="50">
        <v>0</v>
      </c>
      <c r="O15" s="15">
        <f t="shared" si="0"/>
        <v>45</v>
      </c>
      <c r="P15" s="15">
        <f t="shared" si="1"/>
        <v>80</v>
      </c>
      <c r="R15" s="1" t="s">
        <v>11</v>
      </c>
      <c r="S15" s="17">
        <f t="shared" ref="S15:AF15" si="7">SUM(C30:C33)</f>
        <v>39</v>
      </c>
      <c r="T15" s="17">
        <f t="shared" si="7"/>
        <v>8</v>
      </c>
      <c r="U15" s="17">
        <f t="shared" si="7"/>
        <v>7</v>
      </c>
      <c r="V15" s="17">
        <f t="shared" si="7"/>
        <v>56</v>
      </c>
      <c r="W15" s="17">
        <f t="shared" si="7"/>
        <v>0</v>
      </c>
      <c r="X15" s="17">
        <f t="shared" si="7"/>
        <v>2</v>
      </c>
      <c r="Y15" s="17">
        <f t="shared" si="7"/>
        <v>25</v>
      </c>
      <c r="Z15" s="17">
        <f t="shared" si="7"/>
        <v>5</v>
      </c>
      <c r="AA15" s="17">
        <f t="shared" si="7"/>
        <v>1</v>
      </c>
      <c r="AB15" s="17">
        <f t="shared" si="7"/>
        <v>2</v>
      </c>
      <c r="AC15" s="17">
        <f t="shared" si="7"/>
        <v>73</v>
      </c>
      <c r="AD15" s="17">
        <f t="shared" si="7"/>
        <v>0</v>
      </c>
      <c r="AE15" s="31">
        <f t="shared" si="7"/>
        <v>145</v>
      </c>
      <c r="AF15" s="31">
        <f t="shared" si="7"/>
        <v>218</v>
      </c>
    </row>
    <row r="16" spans="2:32" ht="23.1" customHeight="1" x14ac:dyDescent="0.25">
      <c r="B16" s="23" t="s">
        <v>43</v>
      </c>
      <c r="C16" s="50">
        <v>23</v>
      </c>
      <c r="D16" s="50">
        <v>1</v>
      </c>
      <c r="E16" s="50">
        <v>3</v>
      </c>
      <c r="F16" s="50">
        <v>23</v>
      </c>
      <c r="G16" s="50">
        <v>0</v>
      </c>
      <c r="H16" s="50">
        <v>0</v>
      </c>
      <c r="I16" s="50">
        <v>4</v>
      </c>
      <c r="J16" s="50">
        <v>1</v>
      </c>
      <c r="K16" s="50">
        <v>0</v>
      </c>
      <c r="L16" s="50">
        <v>2</v>
      </c>
      <c r="M16" s="50">
        <v>32</v>
      </c>
      <c r="N16" s="50">
        <v>0</v>
      </c>
      <c r="O16" s="15">
        <f t="shared" si="0"/>
        <v>57</v>
      </c>
      <c r="P16" s="15">
        <f t="shared" si="1"/>
        <v>89</v>
      </c>
      <c r="R16" s="1" t="s">
        <v>12</v>
      </c>
      <c r="S16" s="17">
        <f t="shared" ref="S16:AF16" si="8">SUM(C34:C37)</f>
        <v>53</v>
      </c>
      <c r="T16" s="17">
        <f t="shared" si="8"/>
        <v>6</v>
      </c>
      <c r="U16" s="17">
        <f t="shared" si="8"/>
        <v>11</v>
      </c>
      <c r="V16" s="17">
        <f t="shared" si="8"/>
        <v>61</v>
      </c>
      <c r="W16" s="17">
        <f t="shared" si="8"/>
        <v>0</v>
      </c>
      <c r="X16" s="17">
        <f t="shared" si="8"/>
        <v>1</v>
      </c>
      <c r="Y16" s="17">
        <f t="shared" si="8"/>
        <v>18</v>
      </c>
      <c r="Z16" s="17">
        <f t="shared" si="8"/>
        <v>5</v>
      </c>
      <c r="AA16" s="17">
        <f t="shared" si="8"/>
        <v>0</v>
      </c>
      <c r="AB16" s="17">
        <f t="shared" si="8"/>
        <v>1</v>
      </c>
      <c r="AC16" s="17">
        <f t="shared" si="8"/>
        <v>79</v>
      </c>
      <c r="AD16" s="17">
        <f t="shared" si="8"/>
        <v>0</v>
      </c>
      <c r="AE16" s="31">
        <f t="shared" si="8"/>
        <v>156</v>
      </c>
      <c r="AF16" s="31">
        <f t="shared" si="8"/>
        <v>235</v>
      </c>
    </row>
    <row r="17" spans="2:32" ht="23.1" customHeight="1" x14ac:dyDescent="0.25">
      <c r="B17" s="23" t="s">
        <v>44</v>
      </c>
      <c r="C17" s="50">
        <v>25</v>
      </c>
      <c r="D17" s="50">
        <v>2</v>
      </c>
      <c r="E17" s="50">
        <v>3</v>
      </c>
      <c r="F17" s="50">
        <v>23</v>
      </c>
      <c r="G17" s="50">
        <v>1</v>
      </c>
      <c r="H17" s="50">
        <v>0</v>
      </c>
      <c r="I17" s="50">
        <v>4</v>
      </c>
      <c r="J17" s="50">
        <v>0</v>
      </c>
      <c r="K17" s="50">
        <v>0</v>
      </c>
      <c r="L17" s="50">
        <v>1</v>
      </c>
      <c r="M17" s="50">
        <v>33</v>
      </c>
      <c r="N17" s="50">
        <v>0</v>
      </c>
      <c r="O17" s="15">
        <f t="shared" si="0"/>
        <v>59</v>
      </c>
      <c r="P17" s="15">
        <f t="shared" si="1"/>
        <v>92</v>
      </c>
      <c r="R17" s="1" t="s">
        <v>13</v>
      </c>
      <c r="S17" s="17">
        <f t="shared" ref="S17:AF17" si="9">SUM(C38:C41)</f>
        <v>60</v>
      </c>
      <c r="T17" s="17">
        <f t="shared" si="9"/>
        <v>10</v>
      </c>
      <c r="U17" s="17">
        <f t="shared" si="9"/>
        <v>13</v>
      </c>
      <c r="V17" s="17">
        <f t="shared" si="9"/>
        <v>57</v>
      </c>
      <c r="W17" s="17">
        <f t="shared" si="9"/>
        <v>0</v>
      </c>
      <c r="X17" s="17">
        <f t="shared" si="9"/>
        <v>2</v>
      </c>
      <c r="Y17" s="17">
        <f t="shared" si="9"/>
        <v>17</v>
      </c>
      <c r="Z17" s="17">
        <f t="shared" si="9"/>
        <v>6</v>
      </c>
      <c r="AA17" s="17">
        <f t="shared" si="9"/>
        <v>0</v>
      </c>
      <c r="AB17" s="17">
        <f t="shared" si="9"/>
        <v>1</v>
      </c>
      <c r="AC17" s="17">
        <f t="shared" si="9"/>
        <v>81</v>
      </c>
      <c r="AD17" s="17">
        <f t="shared" si="9"/>
        <v>0</v>
      </c>
      <c r="AE17" s="31">
        <f t="shared" si="9"/>
        <v>166</v>
      </c>
      <c r="AF17" s="31">
        <f t="shared" si="9"/>
        <v>247</v>
      </c>
    </row>
    <row r="18" spans="2:32" ht="23.1" customHeight="1" x14ac:dyDescent="0.25">
      <c r="B18" s="23" t="s">
        <v>45</v>
      </c>
      <c r="C18" s="50">
        <v>25</v>
      </c>
      <c r="D18" s="50">
        <v>1</v>
      </c>
      <c r="E18" s="50">
        <v>4</v>
      </c>
      <c r="F18" s="50">
        <v>23</v>
      </c>
      <c r="G18" s="50">
        <v>1</v>
      </c>
      <c r="H18" s="50">
        <v>0</v>
      </c>
      <c r="I18" s="50">
        <v>6</v>
      </c>
      <c r="J18" s="50">
        <v>3</v>
      </c>
      <c r="K18" s="50">
        <v>2</v>
      </c>
      <c r="L18" s="50">
        <v>0</v>
      </c>
      <c r="M18" s="50">
        <v>22</v>
      </c>
      <c r="N18" s="50">
        <v>0</v>
      </c>
      <c r="O18" s="15">
        <f t="shared" si="0"/>
        <v>65</v>
      </c>
      <c r="P18" s="15">
        <f t="shared" si="1"/>
        <v>87</v>
      </c>
      <c r="R18" s="1" t="s">
        <v>14</v>
      </c>
      <c r="S18" s="17">
        <f t="shared" ref="S18:AF18" si="10">SUM(C42:C45)</f>
        <v>68</v>
      </c>
      <c r="T18" s="17">
        <f t="shared" si="10"/>
        <v>17</v>
      </c>
      <c r="U18" s="17">
        <f t="shared" si="10"/>
        <v>25</v>
      </c>
      <c r="V18" s="17">
        <f t="shared" si="10"/>
        <v>58</v>
      </c>
      <c r="W18" s="17">
        <f t="shared" si="10"/>
        <v>0</v>
      </c>
      <c r="X18" s="17">
        <f t="shared" si="10"/>
        <v>3</v>
      </c>
      <c r="Y18" s="17">
        <f t="shared" si="10"/>
        <v>25</v>
      </c>
      <c r="Z18" s="17">
        <f t="shared" si="10"/>
        <v>9</v>
      </c>
      <c r="AA18" s="17">
        <f t="shared" si="10"/>
        <v>2</v>
      </c>
      <c r="AB18" s="17">
        <f t="shared" si="10"/>
        <v>2</v>
      </c>
      <c r="AC18" s="17">
        <f t="shared" si="10"/>
        <v>89</v>
      </c>
      <c r="AD18" s="17">
        <f t="shared" si="10"/>
        <v>0</v>
      </c>
      <c r="AE18" s="31">
        <f t="shared" si="10"/>
        <v>209</v>
      </c>
      <c r="AF18" s="31">
        <f t="shared" si="10"/>
        <v>298</v>
      </c>
    </row>
    <row r="19" spans="2:32" ht="23.1" customHeight="1" x14ac:dyDescent="0.25">
      <c r="B19" s="23" t="s">
        <v>46</v>
      </c>
      <c r="C19" s="50">
        <v>14</v>
      </c>
      <c r="D19" s="50">
        <v>1</v>
      </c>
      <c r="E19" s="50">
        <v>3</v>
      </c>
      <c r="F19" s="50">
        <v>20</v>
      </c>
      <c r="G19" s="50">
        <v>0</v>
      </c>
      <c r="H19" s="50">
        <v>1</v>
      </c>
      <c r="I19" s="50">
        <v>4</v>
      </c>
      <c r="J19" s="50">
        <v>3</v>
      </c>
      <c r="K19" s="50">
        <v>0</v>
      </c>
      <c r="L19" s="50">
        <v>0</v>
      </c>
      <c r="M19" s="50">
        <v>24</v>
      </c>
      <c r="N19" s="50">
        <v>0</v>
      </c>
      <c r="O19" s="15">
        <f t="shared" si="0"/>
        <v>46</v>
      </c>
      <c r="P19" s="15">
        <f t="shared" si="1"/>
        <v>70</v>
      </c>
      <c r="R19" s="1" t="s">
        <v>15</v>
      </c>
      <c r="S19" s="17">
        <f t="shared" ref="S19:AF19" si="11">SUM(C46:C49)</f>
        <v>91</v>
      </c>
      <c r="T19" s="17">
        <f t="shared" si="11"/>
        <v>13</v>
      </c>
      <c r="U19" s="17">
        <f t="shared" si="11"/>
        <v>13</v>
      </c>
      <c r="V19" s="17">
        <f t="shared" si="11"/>
        <v>66</v>
      </c>
      <c r="W19" s="17">
        <f t="shared" si="11"/>
        <v>4</v>
      </c>
      <c r="X19" s="17">
        <f t="shared" si="11"/>
        <v>3</v>
      </c>
      <c r="Y19" s="17">
        <f t="shared" si="11"/>
        <v>31</v>
      </c>
      <c r="Z19" s="17">
        <f t="shared" si="11"/>
        <v>12</v>
      </c>
      <c r="AA19" s="17">
        <f t="shared" si="11"/>
        <v>4</v>
      </c>
      <c r="AB19" s="17">
        <f t="shared" si="11"/>
        <v>3</v>
      </c>
      <c r="AC19" s="17">
        <f t="shared" si="11"/>
        <v>83</v>
      </c>
      <c r="AD19" s="17">
        <f t="shared" si="11"/>
        <v>0</v>
      </c>
      <c r="AE19" s="31">
        <f t="shared" si="11"/>
        <v>240</v>
      </c>
      <c r="AF19" s="31">
        <f t="shared" si="11"/>
        <v>323</v>
      </c>
    </row>
    <row r="20" spans="2:32" ht="23.1" customHeight="1" x14ac:dyDescent="0.25">
      <c r="B20" s="23" t="s">
        <v>47</v>
      </c>
      <c r="C20" s="50">
        <v>18</v>
      </c>
      <c r="D20" s="50">
        <v>2</v>
      </c>
      <c r="E20" s="50">
        <v>3</v>
      </c>
      <c r="F20" s="50">
        <v>18</v>
      </c>
      <c r="G20" s="50">
        <v>0</v>
      </c>
      <c r="H20" s="50">
        <v>0</v>
      </c>
      <c r="I20" s="50">
        <v>4</v>
      </c>
      <c r="J20" s="50">
        <v>4</v>
      </c>
      <c r="K20" s="50">
        <v>0</v>
      </c>
      <c r="L20" s="50">
        <v>1</v>
      </c>
      <c r="M20" s="50">
        <v>18</v>
      </c>
      <c r="N20" s="50">
        <v>0</v>
      </c>
      <c r="O20" s="15">
        <f t="shared" si="0"/>
        <v>50</v>
      </c>
      <c r="P20" s="15">
        <f t="shared" si="1"/>
        <v>68</v>
      </c>
      <c r="R20" s="1" t="s">
        <v>16</v>
      </c>
      <c r="S20" s="17">
        <f t="shared" ref="S20:AF20" si="12">SUM(C50:C53)</f>
        <v>110</v>
      </c>
      <c r="T20" s="17">
        <f t="shared" si="12"/>
        <v>20</v>
      </c>
      <c r="U20" s="17">
        <f t="shared" si="12"/>
        <v>19</v>
      </c>
      <c r="V20" s="17">
        <f t="shared" si="12"/>
        <v>78</v>
      </c>
      <c r="W20" s="17">
        <f t="shared" si="12"/>
        <v>0</v>
      </c>
      <c r="X20" s="17">
        <f t="shared" si="12"/>
        <v>3</v>
      </c>
      <c r="Y20" s="17">
        <f t="shared" si="12"/>
        <v>33</v>
      </c>
      <c r="Z20" s="17">
        <f t="shared" si="12"/>
        <v>11</v>
      </c>
      <c r="AA20" s="17">
        <f t="shared" si="12"/>
        <v>1</v>
      </c>
      <c r="AB20" s="17">
        <f t="shared" si="12"/>
        <v>4</v>
      </c>
      <c r="AC20" s="17">
        <f t="shared" si="12"/>
        <v>110</v>
      </c>
      <c r="AD20" s="17">
        <f t="shared" si="12"/>
        <v>0</v>
      </c>
      <c r="AE20" s="31">
        <f t="shared" si="12"/>
        <v>279</v>
      </c>
      <c r="AF20" s="31">
        <f t="shared" si="12"/>
        <v>389</v>
      </c>
    </row>
    <row r="21" spans="2:32" ht="23.1" customHeight="1" x14ac:dyDescent="0.25">
      <c r="B21" s="23" t="s">
        <v>48</v>
      </c>
      <c r="C21" s="50">
        <v>13</v>
      </c>
      <c r="D21" s="50">
        <v>2</v>
      </c>
      <c r="E21" s="50">
        <v>4</v>
      </c>
      <c r="F21" s="50">
        <v>13</v>
      </c>
      <c r="G21" s="50">
        <v>0</v>
      </c>
      <c r="H21" s="50">
        <v>0</v>
      </c>
      <c r="I21" s="50">
        <v>1</v>
      </c>
      <c r="J21" s="50">
        <v>1</v>
      </c>
      <c r="K21" s="50">
        <v>1</v>
      </c>
      <c r="L21" s="50">
        <v>0</v>
      </c>
      <c r="M21" s="50">
        <v>11</v>
      </c>
      <c r="N21" s="50">
        <v>0</v>
      </c>
      <c r="O21" s="15">
        <f t="shared" si="0"/>
        <v>35</v>
      </c>
      <c r="P21" s="15">
        <f t="shared" si="1"/>
        <v>46</v>
      </c>
      <c r="R21" s="36" t="s">
        <v>20</v>
      </c>
      <c r="S21" s="34">
        <f t="shared" ref="S21:AF21" si="13">SUM(C54:C57)</f>
        <v>167</v>
      </c>
      <c r="T21" s="17">
        <f t="shared" si="13"/>
        <v>22</v>
      </c>
      <c r="U21" s="17">
        <f t="shared" si="13"/>
        <v>28</v>
      </c>
      <c r="V21" s="17">
        <f t="shared" si="13"/>
        <v>85</v>
      </c>
      <c r="W21" s="17">
        <f t="shared" si="13"/>
        <v>1</v>
      </c>
      <c r="X21" s="17">
        <f t="shared" si="13"/>
        <v>4</v>
      </c>
      <c r="Y21" s="17">
        <f t="shared" si="13"/>
        <v>26</v>
      </c>
      <c r="Z21" s="17">
        <f t="shared" si="13"/>
        <v>10</v>
      </c>
      <c r="AA21" s="17">
        <f t="shared" si="13"/>
        <v>4</v>
      </c>
      <c r="AB21" s="17">
        <f t="shared" si="13"/>
        <v>2</v>
      </c>
      <c r="AC21" s="17">
        <f t="shared" si="13"/>
        <v>98</v>
      </c>
      <c r="AD21" s="17">
        <f t="shared" si="13"/>
        <v>0</v>
      </c>
      <c r="AE21" s="31">
        <f t="shared" si="13"/>
        <v>349</v>
      </c>
      <c r="AF21" s="31">
        <f t="shared" si="13"/>
        <v>447</v>
      </c>
    </row>
    <row r="22" spans="2:32" ht="23.1" customHeight="1" x14ac:dyDescent="0.25">
      <c r="B22" s="23" t="s">
        <v>49</v>
      </c>
      <c r="C22" s="50">
        <v>18</v>
      </c>
      <c r="D22" s="50">
        <v>2</v>
      </c>
      <c r="E22" s="50">
        <v>3</v>
      </c>
      <c r="F22" s="50">
        <v>13</v>
      </c>
      <c r="G22" s="50">
        <v>0</v>
      </c>
      <c r="H22" s="50">
        <v>0</v>
      </c>
      <c r="I22" s="50">
        <v>7</v>
      </c>
      <c r="J22" s="50">
        <v>0</v>
      </c>
      <c r="K22" s="50">
        <v>0</v>
      </c>
      <c r="L22" s="50">
        <v>0</v>
      </c>
      <c r="M22" s="50">
        <v>30</v>
      </c>
      <c r="N22" s="50">
        <v>0</v>
      </c>
      <c r="O22" s="15">
        <f t="shared" si="0"/>
        <v>43</v>
      </c>
      <c r="P22" s="15">
        <f t="shared" si="1"/>
        <v>73</v>
      </c>
      <c r="R22" s="38" t="s">
        <v>90</v>
      </c>
      <c r="S22" s="39">
        <f>MAX(S10:S12)</f>
        <v>90</v>
      </c>
      <c r="T22" s="39">
        <f t="shared" ref="T22:AF22" si="14">MAX(T10:T12)</f>
        <v>9</v>
      </c>
      <c r="U22" s="39">
        <f t="shared" si="14"/>
        <v>14</v>
      </c>
      <c r="V22" s="39">
        <f t="shared" si="14"/>
        <v>77</v>
      </c>
      <c r="W22" s="39">
        <f t="shared" si="14"/>
        <v>3</v>
      </c>
      <c r="X22" s="39">
        <f t="shared" si="14"/>
        <v>1</v>
      </c>
      <c r="Y22" s="39">
        <f t="shared" si="14"/>
        <v>15</v>
      </c>
      <c r="Z22" s="39">
        <f t="shared" si="14"/>
        <v>11</v>
      </c>
      <c r="AA22" s="39">
        <f t="shared" si="14"/>
        <v>3</v>
      </c>
      <c r="AB22" s="39">
        <f t="shared" si="14"/>
        <v>5</v>
      </c>
      <c r="AC22" s="39">
        <f t="shared" si="14"/>
        <v>128</v>
      </c>
      <c r="AD22" s="39">
        <f t="shared" si="14"/>
        <v>0</v>
      </c>
      <c r="AE22" s="40">
        <f t="shared" si="14"/>
        <v>207</v>
      </c>
      <c r="AF22" s="40">
        <f t="shared" si="14"/>
        <v>333</v>
      </c>
    </row>
    <row r="23" spans="2:32" ht="23.1" customHeight="1" x14ac:dyDescent="0.25">
      <c r="B23" s="23" t="s">
        <v>50</v>
      </c>
      <c r="C23" s="50">
        <v>11</v>
      </c>
      <c r="D23" s="50">
        <v>2</v>
      </c>
      <c r="E23" s="50">
        <v>1</v>
      </c>
      <c r="F23" s="50">
        <v>16</v>
      </c>
      <c r="G23" s="50">
        <v>0</v>
      </c>
      <c r="H23" s="50">
        <v>0</v>
      </c>
      <c r="I23" s="50">
        <v>6</v>
      </c>
      <c r="J23" s="50">
        <v>0</v>
      </c>
      <c r="K23" s="50">
        <v>0</v>
      </c>
      <c r="L23" s="50">
        <v>0</v>
      </c>
      <c r="M23" s="50">
        <v>20</v>
      </c>
      <c r="N23" s="50">
        <v>0</v>
      </c>
      <c r="O23" s="15">
        <f t="shared" si="0"/>
        <v>36</v>
      </c>
      <c r="P23" s="15">
        <f t="shared" si="1"/>
        <v>56</v>
      </c>
      <c r="R23" s="38" t="s">
        <v>91</v>
      </c>
      <c r="S23" s="39">
        <f>MAX(S13:S18)</f>
        <v>68</v>
      </c>
      <c r="T23" s="39">
        <f t="shared" ref="T23:AF23" si="15">MAX(T13:T18)</f>
        <v>17</v>
      </c>
      <c r="U23" s="39">
        <f t="shared" si="15"/>
        <v>25</v>
      </c>
      <c r="V23" s="39">
        <f t="shared" si="15"/>
        <v>64</v>
      </c>
      <c r="W23" s="39">
        <f t="shared" si="15"/>
        <v>0</v>
      </c>
      <c r="X23" s="39">
        <f t="shared" si="15"/>
        <v>3</v>
      </c>
      <c r="Y23" s="39">
        <f t="shared" si="15"/>
        <v>26</v>
      </c>
      <c r="Z23" s="39">
        <f t="shared" si="15"/>
        <v>9</v>
      </c>
      <c r="AA23" s="39">
        <f t="shared" si="15"/>
        <v>2</v>
      </c>
      <c r="AB23" s="39">
        <f t="shared" si="15"/>
        <v>3</v>
      </c>
      <c r="AC23" s="39">
        <f t="shared" si="15"/>
        <v>89</v>
      </c>
      <c r="AD23" s="39">
        <f t="shared" si="15"/>
        <v>0</v>
      </c>
      <c r="AE23" s="40">
        <f t="shared" si="15"/>
        <v>209</v>
      </c>
      <c r="AF23" s="40">
        <f t="shared" si="15"/>
        <v>298</v>
      </c>
    </row>
    <row r="24" spans="2:32" ht="23.1" customHeight="1" x14ac:dyDescent="0.25">
      <c r="B24" s="23" t="s">
        <v>51</v>
      </c>
      <c r="C24" s="50">
        <v>15</v>
      </c>
      <c r="D24" s="50">
        <v>3</v>
      </c>
      <c r="E24" s="50">
        <v>3</v>
      </c>
      <c r="F24" s="50">
        <v>17</v>
      </c>
      <c r="G24" s="50">
        <v>0</v>
      </c>
      <c r="H24" s="50">
        <v>0</v>
      </c>
      <c r="I24" s="50">
        <v>3</v>
      </c>
      <c r="J24" s="50">
        <v>1</v>
      </c>
      <c r="K24" s="50">
        <v>1</v>
      </c>
      <c r="L24" s="50">
        <v>0</v>
      </c>
      <c r="M24" s="50">
        <v>17</v>
      </c>
      <c r="N24" s="50">
        <v>0</v>
      </c>
      <c r="O24" s="15">
        <f t="shared" si="0"/>
        <v>43</v>
      </c>
      <c r="P24" s="15">
        <f t="shared" si="1"/>
        <v>60</v>
      </c>
      <c r="R24" s="38" t="s">
        <v>92</v>
      </c>
      <c r="S24" s="39">
        <f>MAX(S19:S21)</f>
        <v>167</v>
      </c>
      <c r="T24" s="39">
        <f t="shared" ref="T24:AF24" si="16">MAX(T19:T21)</f>
        <v>22</v>
      </c>
      <c r="U24" s="39">
        <f t="shared" si="16"/>
        <v>28</v>
      </c>
      <c r="V24" s="39">
        <f t="shared" si="16"/>
        <v>85</v>
      </c>
      <c r="W24" s="39">
        <f t="shared" si="16"/>
        <v>4</v>
      </c>
      <c r="X24" s="39">
        <f t="shared" si="16"/>
        <v>4</v>
      </c>
      <c r="Y24" s="39">
        <f t="shared" si="16"/>
        <v>33</v>
      </c>
      <c r="Z24" s="39">
        <f t="shared" si="16"/>
        <v>12</v>
      </c>
      <c r="AA24" s="39">
        <f t="shared" si="16"/>
        <v>4</v>
      </c>
      <c r="AB24" s="39">
        <f t="shared" si="16"/>
        <v>4</v>
      </c>
      <c r="AC24" s="39">
        <f t="shared" si="16"/>
        <v>110</v>
      </c>
      <c r="AD24" s="39">
        <f t="shared" si="16"/>
        <v>0</v>
      </c>
      <c r="AE24" s="40">
        <f t="shared" si="16"/>
        <v>349</v>
      </c>
      <c r="AF24" s="40">
        <f t="shared" si="16"/>
        <v>447</v>
      </c>
    </row>
    <row r="25" spans="2:32" ht="23.1" customHeight="1" x14ac:dyDescent="0.25">
      <c r="B25" s="23" t="s">
        <v>52</v>
      </c>
      <c r="C25" s="50">
        <v>14</v>
      </c>
      <c r="D25" s="50">
        <v>4</v>
      </c>
      <c r="E25" s="50">
        <v>2</v>
      </c>
      <c r="F25" s="50">
        <v>16</v>
      </c>
      <c r="G25" s="50">
        <v>0</v>
      </c>
      <c r="H25" s="50">
        <v>1</v>
      </c>
      <c r="I25" s="50">
        <v>9</v>
      </c>
      <c r="J25" s="50">
        <v>1</v>
      </c>
      <c r="K25" s="50">
        <v>0</v>
      </c>
      <c r="L25" s="50">
        <v>1</v>
      </c>
      <c r="M25" s="50">
        <v>20</v>
      </c>
      <c r="N25" s="50">
        <v>0</v>
      </c>
      <c r="O25" s="15">
        <f t="shared" si="0"/>
        <v>48</v>
      </c>
      <c r="P25" s="15">
        <f t="shared" si="1"/>
        <v>68</v>
      </c>
      <c r="R25" s="37" t="s">
        <v>85</v>
      </c>
      <c r="S25" s="35">
        <f t="shared" ref="S25:AF25" si="17">SUM(S10:S12)</f>
        <v>248</v>
      </c>
      <c r="T25" s="16">
        <f t="shared" si="17"/>
        <v>24</v>
      </c>
      <c r="U25" s="16">
        <f t="shared" si="17"/>
        <v>32</v>
      </c>
      <c r="V25" s="16">
        <f t="shared" si="17"/>
        <v>216</v>
      </c>
      <c r="W25" s="16">
        <f t="shared" si="17"/>
        <v>5</v>
      </c>
      <c r="X25" s="16">
        <f t="shared" si="17"/>
        <v>1</v>
      </c>
      <c r="Y25" s="16">
        <f t="shared" si="17"/>
        <v>38</v>
      </c>
      <c r="Z25" s="16">
        <f t="shared" si="17"/>
        <v>25</v>
      </c>
      <c r="AA25" s="16">
        <f t="shared" si="17"/>
        <v>4</v>
      </c>
      <c r="AB25" s="16">
        <f t="shared" si="17"/>
        <v>9</v>
      </c>
      <c r="AC25" s="16">
        <f t="shared" si="17"/>
        <v>329</v>
      </c>
      <c r="AD25" s="16">
        <f t="shared" si="17"/>
        <v>0</v>
      </c>
      <c r="AE25" s="32">
        <f t="shared" si="17"/>
        <v>602</v>
      </c>
      <c r="AF25" s="32">
        <f t="shared" si="17"/>
        <v>931</v>
      </c>
    </row>
    <row r="26" spans="2:32" ht="23.1" customHeight="1" x14ac:dyDescent="0.25">
      <c r="B26" s="23" t="s">
        <v>53</v>
      </c>
      <c r="C26" s="50">
        <v>13</v>
      </c>
      <c r="D26" s="50">
        <v>2</v>
      </c>
      <c r="E26" s="50">
        <v>3</v>
      </c>
      <c r="F26" s="50">
        <v>13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27</v>
      </c>
      <c r="N26" s="50">
        <v>0</v>
      </c>
      <c r="O26" s="15">
        <f t="shared" si="0"/>
        <v>34</v>
      </c>
      <c r="P26" s="15">
        <f t="shared" si="1"/>
        <v>61</v>
      </c>
      <c r="R26" s="28" t="s">
        <v>86</v>
      </c>
      <c r="S26" s="16">
        <f t="shared" ref="S26:AF26" si="18">SUM(S13:S18)</f>
        <v>320</v>
      </c>
      <c r="T26" s="16">
        <f t="shared" si="18"/>
        <v>64</v>
      </c>
      <c r="U26" s="16">
        <f t="shared" si="18"/>
        <v>73</v>
      </c>
      <c r="V26" s="16">
        <f t="shared" si="18"/>
        <v>358</v>
      </c>
      <c r="W26" s="16">
        <f t="shared" si="18"/>
        <v>0</v>
      </c>
      <c r="X26" s="16">
        <f t="shared" si="18"/>
        <v>9</v>
      </c>
      <c r="Y26" s="16">
        <f t="shared" si="18"/>
        <v>136</v>
      </c>
      <c r="Z26" s="16">
        <f t="shared" si="18"/>
        <v>27</v>
      </c>
      <c r="AA26" s="16">
        <f t="shared" si="18"/>
        <v>5</v>
      </c>
      <c r="AB26" s="16">
        <f t="shared" si="18"/>
        <v>10</v>
      </c>
      <c r="AC26" s="16">
        <f t="shared" si="18"/>
        <v>482</v>
      </c>
      <c r="AD26" s="16">
        <f t="shared" si="18"/>
        <v>0</v>
      </c>
      <c r="AE26" s="32">
        <f t="shared" si="18"/>
        <v>1002</v>
      </c>
      <c r="AF26" s="32">
        <f t="shared" si="18"/>
        <v>1484</v>
      </c>
    </row>
    <row r="27" spans="2:32" ht="23.1" customHeight="1" x14ac:dyDescent="0.25">
      <c r="B27" s="23" t="s">
        <v>54</v>
      </c>
      <c r="C27" s="50">
        <v>11</v>
      </c>
      <c r="D27" s="50">
        <v>5</v>
      </c>
      <c r="E27" s="50">
        <v>1</v>
      </c>
      <c r="F27" s="50">
        <v>12</v>
      </c>
      <c r="G27" s="50">
        <v>0</v>
      </c>
      <c r="H27" s="50">
        <v>0</v>
      </c>
      <c r="I27" s="50">
        <v>5</v>
      </c>
      <c r="J27" s="50">
        <v>0</v>
      </c>
      <c r="K27" s="50">
        <v>1</v>
      </c>
      <c r="L27" s="50">
        <v>1</v>
      </c>
      <c r="M27" s="50">
        <v>18</v>
      </c>
      <c r="N27" s="50">
        <v>0</v>
      </c>
      <c r="O27" s="15">
        <f t="shared" si="0"/>
        <v>36</v>
      </c>
      <c r="P27" s="15">
        <f t="shared" si="1"/>
        <v>54</v>
      </c>
      <c r="R27" s="29" t="s">
        <v>87</v>
      </c>
      <c r="S27" s="16">
        <f t="shared" ref="S27:AF27" si="19">SUM(S19:S21)</f>
        <v>368</v>
      </c>
      <c r="T27" s="16">
        <f t="shared" si="19"/>
        <v>55</v>
      </c>
      <c r="U27" s="16">
        <f t="shared" si="19"/>
        <v>60</v>
      </c>
      <c r="V27" s="16">
        <f t="shared" si="19"/>
        <v>229</v>
      </c>
      <c r="W27" s="16">
        <f t="shared" si="19"/>
        <v>5</v>
      </c>
      <c r="X27" s="16">
        <f t="shared" si="19"/>
        <v>10</v>
      </c>
      <c r="Y27" s="16">
        <f t="shared" si="19"/>
        <v>90</v>
      </c>
      <c r="Z27" s="16">
        <f t="shared" si="19"/>
        <v>33</v>
      </c>
      <c r="AA27" s="16">
        <f t="shared" si="19"/>
        <v>9</v>
      </c>
      <c r="AB27" s="16">
        <f t="shared" si="19"/>
        <v>9</v>
      </c>
      <c r="AC27" s="16">
        <f t="shared" si="19"/>
        <v>291</v>
      </c>
      <c r="AD27" s="16">
        <f t="shared" si="19"/>
        <v>0</v>
      </c>
      <c r="AE27" s="32">
        <f t="shared" si="19"/>
        <v>868</v>
      </c>
      <c r="AF27" s="32">
        <f t="shared" si="19"/>
        <v>1159</v>
      </c>
    </row>
    <row r="28" spans="2:32" ht="23.1" customHeight="1" x14ac:dyDescent="0.25">
      <c r="B28" s="23" t="s">
        <v>55</v>
      </c>
      <c r="C28" s="50">
        <v>8</v>
      </c>
      <c r="D28" s="50">
        <v>1</v>
      </c>
      <c r="E28" s="50">
        <v>1</v>
      </c>
      <c r="F28" s="50">
        <v>21</v>
      </c>
      <c r="G28" s="50">
        <v>0</v>
      </c>
      <c r="H28" s="50">
        <v>0</v>
      </c>
      <c r="I28" s="50">
        <v>10</v>
      </c>
      <c r="J28" s="50">
        <v>0</v>
      </c>
      <c r="K28" s="50">
        <v>0</v>
      </c>
      <c r="L28" s="50">
        <v>1</v>
      </c>
      <c r="M28" s="50">
        <v>12</v>
      </c>
      <c r="N28" s="50">
        <v>0</v>
      </c>
      <c r="O28" s="15">
        <f t="shared" si="0"/>
        <v>42</v>
      </c>
      <c r="P28" s="15">
        <f t="shared" si="1"/>
        <v>54</v>
      </c>
      <c r="R28" s="5" t="s">
        <v>17</v>
      </c>
      <c r="S28" s="16">
        <f t="shared" ref="S28:AF28" si="20">SUM(S10:S21)</f>
        <v>936</v>
      </c>
      <c r="T28" s="16">
        <f t="shared" si="20"/>
        <v>143</v>
      </c>
      <c r="U28" s="16">
        <f t="shared" si="20"/>
        <v>165</v>
      </c>
      <c r="V28" s="16">
        <f t="shared" si="20"/>
        <v>803</v>
      </c>
      <c r="W28" s="16">
        <f t="shared" si="20"/>
        <v>10</v>
      </c>
      <c r="X28" s="16">
        <f t="shared" si="20"/>
        <v>20</v>
      </c>
      <c r="Y28" s="16">
        <f t="shared" si="20"/>
        <v>264</v>
      </c>
      <c r="Z28" s="16">
        <f t="shared" si="20"/>
        <v>85</v>
      </c>
      <c r="AA28" s="16">
        <f t="shared" si="20"/>
        <v>18</v>
      </c>
      <c r="AB28" s="16">
        <f t="shared" si="20"/>
        <v>28</v>
      </c>
      <c r="AC28" s="16">
        <f t="shared" si="20"/>
        <v>1102</v>
      </c>
      <c r="AD28" s="16">
        <f t="shared" si="20"/>
        <v>0</v>
      </c>
      <c r="AE28" s="32">
        <f t="shared" si="20"/>
        <v>2472</v>
      </c>
      <c r="AF28" s="32">
        <f t="shared" si="20"/>
        <v>3574</v>
      </c>
    </row>
    <row r="29" spans="2:32" ht="23.1" customHeight="1" x14ac:dyDescent="0.25">
      <c r="B29" s="23" t="s">
        <v>56</v>
      </c>
      <c r="C29" s="50">
        <v>10</v>
      </c>
      <c r="D29" s="50">
        <v>4</v>
      </c>
      <c r="E29" s="50">
        <v>3</v>
      </c>
      <c r="F29" s="50">
        <v>18</v>
      </c>
      <c r="G29" s="50">
        <v>0</v>
      </c>
      <c r="H29" s="50">
        <v>0</v>
      </c>
      <c r="I29" s="50">
        <v>8</v>
      </c>
      <c r="J29" s="50">
        <v>0</v>
      </c>
      <c r="K29" s="50">
        <v>0</v>
      </c>
      <c r="L29" s="50">
        <v>1</v>
      </c>
      <c r="M29" s="50">
        <v>16</v>
      </c>
      <c r="N29" s="50">
        <v>0</v>
      </c>
      <c r="O29" s="15">
        <f t="shared" si="0"/>
        <v>44</v>
      </c>
      <c r="P29" s="15">
        <f t="shared" si="1"/>
        <v>60</v>
      </c>
      <c r="R29"/>
      <c r="S29" s="20"/>
      <c r="T29" s="19"/>
    </row>
    <row r="30" spans="2:32" ht="23.1" customHeight="1" x14ac:dyDescent="0.25">
      <c r="B30" s="23" t="s">
        <v>57</v>
      </c>
      <c r="C30" s="50">
        <v>12</v>
      </c>
      <c r="D30" s="50">
        <v>2</v>
      </c>
      <c r="E30" s="50">
        <v>2</v>
      </c>
      <c r="F30" s="50">
        <v>19</v>
      </c>
      <c r="G30" s="50">
        <v>0</v>
      </c>
      <c r="H30" s="50">
        <v>1</v>
      </c>
      <c r="I30" s="50">
        <v>8</v>
      </c>
      <c r="J30" s="50">
        <v>1</v>
      </c>
      <c r="K30" s="50">
        <v>0</v>
      </c>
      <c r="L30" s="50">
        <v>0</v>
      </c>
      <c r="M30" s="50">
        <v>21</v>
      </c>
      <c r="N30" s="50">
        <v>0</v>
      </c>
      <c r="O30" s="15">
        <f t="shared" si="0"/>
        <v>45</v>
      </c>
      <c r="P30" s="15">
        <f t="shared" si="1"/>
        <v>66</v>
      </c>
    </row>
    <row r="31" spans="2:32" ht="23.1" customHeight="1" x14ac:dyDescent="0.25">
      <c r="B31" s="24" t="s">
        <v>58</v>
      </c>
      <c r="C31" s="50">
        <v>10</v>
      </c>
      <c r="D31" s="50">
        <v>2</v>
      </c>
      <c r="E31" s="50">
        <v>3</v>
      </c>
      <c r="F31" s="50">
        <v>16</v>
      </c>
      <c r="G31" s="50">
        <v>0</v>
      </c>
      <c r="H31" s="50">
        <v>1</v>
      </c>
      <c r="I31" s="50">
        <v>7</v>
      </c>
      <c r="J31" s="50">
        <v>1</v>
      </c>
      <c r="K31" s="50">
        <v>0</v>
      </c>
      <c r="L31" s="50">
        <v>1</v>
      </c>
      <c r="M31" s="50">
        <v>16</v>
      </c>
      <c r="N31" s="50">
        <v>0</v>
      </c>
      <c r="O31" s="15">
        <f t="shared" si="0"/>
        <v>41</v>
      </c>
      <c r="P31" s="15">
        <f t="shared" si="1"/>
        <v>57</v>
      </c>
    </row>
    <row r="32" spans="2:32" ht="23.1" customHeight="1" x14ac:dyDescent="0.25">
      <c r="B32" s="24" t="s">
        <v>59</v>
      </c>
      <c r="C32" s="50">
        <v>7</v>
      </c>
      <c r="D32" s="50">
        <v>1</v>
      </c>
      <c r="E32" s="50">
        <v>1</v>
      </c>
      <c r="F32" s="50">
        <v>12</v>
      </c>
      <c r="G32" s="50">
        <v>0</v>
      </c>
      <c r="H32" s="50">
        <v>0</v>
      </c>
      <c r="I32" s="50">
        <v>5</v>
      </c>
      <c r="J32" s="50">
        <v>1</v>
      </c>
      <c r="K32" s="50">
        <v>1</v>
      </c>
      <c r="L32" s="50">
        <v>0</v>
      </c>
      <c r="M32" s="50">
        <v>14</v>
      </c>
      <c r="N32" s="50">
        <v>0</v>
      </c>
      <c r="O32" s="15">
        <f t="shared" si="0"/>
        <v>28</v>
      </c>
      <c r="P32" s="15">
        <f t="shared" si="1"/>
        <v>42</v>
      </c>
    </row>
    <row r="33" spans="2:20" ht="23.1" customHeight="1" x14ac:dyDescent="0.25">
      <c r="B33" s="23" t="s">
        <v>60</v>
      </c>
      <c r="C33" s="50">
        <v>10</v>
      </c>
      <c r="D33" s="50">
        <v>3</v>
      </c>
      <c r="E33" s="50">
        <v>1</v>
      </c>
      <c r="F33" s="50">
        <v>9</v>
      </c>
      <c r="G33" s="50">
        <v>0</v>
      </c>
      <c r="H33" s="50">
        <v>0</v>
      </c>
      <c r="I33" s="50">
        <v>5</v>
      </c>
      <c r="J33" s="50">
        <v>2</v>
      </c>
      <c r="K33" s="50">
        <v>0</v>
      </c>
      <c r="L33" s="50">
        <v>1</v>
      </c>
      <c r="M33" s="50">
        <v>22</v>
      </c>
      <c r="N33" s="50">
        <v>0</v>
      </c>
      <c r="O33" s="15">
        <f t="shared" si="0"/>
        <v>31</v>
      </c>
      <c r="P33" s="15">
        <f t="shared" si="1"/>
        <v>53</v>
      </c>
    </row>
    <row r="34" spans="2:20" ht="23.1" customHeight="1" x14ac:dyDescent="0.25">
      <c r="B34" s="24" t="s">
        <v>61</v>
      </c>
      <c r="C34" s="50">
        <v>16</v>
      </c>
      <c r="D34" s="50">
        <v>2</v>
      </c>
      <c r="E34" s="50">
        <v>3</v>
      </c>
      <c r="F34" s="50">
        <v>15</v>
      </c>
      <c r="G34" s="50">
        <v>0</v>
      </c>
      <c r="H34" s="50">
        <v>0</v>
      </c>
      <c r="I34" s="50">
        <v>3</v>
      </c>
      <c r="J34" s="50">
        <v>1</v>
      </c>
      <c r="K34" s="50">
        <v>0</v>
      </c>
      <c r="L34" s="50">
        <v>1</v>
      </c>
      <c r="M34" s="50">
        <v>24</v>
      </c>
      <c r="N34" s="50">
        <v>0</v>
      </c>
      <c r="O34" s="15">
        <f t="shared" si="0"/>
        <v>41</v>
      </c>
      <c r="P34" s="15">
        <f t="shared" si="1"/>
        <v>65</v>
      </c>
    </row>
    <row r="35" spans="2:20" ht="23.1" customHeight="1" x14ac:dyDescent="0.25">
      <c r="B35" s="24" t="s">
        <v>62</v>
      </c>
      <c r="C35" s="50">
        <v>12</v>
      </c>
      <c r="D35" s="50">
        <v>1</v>
      </c>
      <c r="E35" s="50">
        <v>3</v>
      </c>
      <c r="F35" s="50">
        <v>15</v>
      </c>
      <c r="G35" s="50">
        <v>0</v>
      </c>
      <c r="H35" s="50">
        <v>0</v>
      </c>
      <c r="I35" s="50">
        <v>6</v>
      </c>
      <c r="J35" s="50">
        <v>0</v>
      </c>
      <c r="K35" s="50">
        <v>0</v>
      </c>
      <c r="L35" s="50">
        <v>0</v>
      </c>
      <c r="M35" s="50">
        <v>10</v>
      </c>
      <c r="N35" s="50">
        <v>0</v>
      </c>
      <c r="O35" s="15">
        <f t="shared" si="0"/>
        <v>37</v>
      </c>
      <c r="P35" s="15">
        <f t="shared" si="1"/>
        <v>47</v>
      </c>
    </row>
    <row r="36" spans="2:20" ht="23.1" customHeight="1" x14ac:dyDescent="0.25">
      <c r="B36" s="24" t="s">
        <v>63</v>
      </c>
      <c r="C36" s="50">
        <v>9</v>
      </c>
      <c r="D36" s="50">
        <v>1</v>
      </c>
      <c r="E36" s="50">
        <v>2</v>
      </c>
      <c r="F36" s="50">
        <v>11</v>
      </c>
      <c r="G36" s="50">
        <v>0</v>
      </c>
      <c r="H36" s="50">
        <v>1</v>
      </c>
      <c r="I36" s="50">
        <v>4</v>
      </c>
      <c r="J36" s="50">
        <v>0</v>
      </c>
      <c r="K36" s="50">
        <v>0</v>
      </c>
      <c r="L36" s="50">
        <v>0</v>
      </c>
      <c r="M36" s="50">
        <v>24</v>
      </c>
      <c r="N36" s="50">
        <v>0</v>
      </c>
      <c r="O36" s="15">
        <f t="shared" si="0"/>
        <v>28</v>
      </c>
      <c r="P36" s="15">
        <f t="shared" si="1"/>
        <v>52</v>
      </c>
    </row>
    <row r="37" spans="2:20" ht="23.1" customHeight="1" x14ac:dyDescent="0.25">
      <c r="B37" s="23" t="s">
        <v>64</v>
      </c>
      <c r="C37" s="50">
        <v>16</v>
      </c>
      <c r="D37" s="50">
        <v>2</v>
      </c>
      <c r="E37" s="50">
        <v>3</v>
      </c>
      <c r="F37" s="50">
        <v>20</v>
      </c>
      <c r="G37" s="50">
        <v>0</v>
      </c>
      <c r="H37" s="50">
        <v>0</v>
      </c>
      <c r="I37" s="50">
        <v>5</v>
      </c>
      <c r="J37" s="50">
        <v>4</v>
      </c>
      <c r="K37" s="50">
        <v>0</v>
      </c>
      <c r="L37" s="50">
        <v>0</v>
      </c>
      <c r="M37" s="50">
        <v>21</v>
      </c>
      <c r="N37" s="50">
        <v>0</v>
      </c>
      <c r="O37" s="15">
        <f t="shared" si="0"/>
        <v>50</v>
      </c>
      <c r="P37" s="15">
        <f t="shared" si="1"/>
        <v>71</v>
      </c>
    </row>
    <row r="38" spans="2:20" ht="23.1" customHeight="1" x14ac:dyDescent="0.25">
      <c r="B38" s="24" t="s">
        <v>65</v>
      </c>
      <c r="C38" s="50">
        <v>14</v>
      </c>
      <c r="D38" s="50">
        <v>3</v>
      </c>
      <c r="E38" s="50">
        <v>3</v>
      </c>
      <c r="F38" s="50">
        <v>14</v>
      </c>
      <c r="G38" s="50">
        <v>0</v>
      </c>
      <c r="H38" s="50">
        <v>0</v>
      </c>
      <c r="I38" s="50">
        <v>2</v>
      </c>
      <c r="J38" s="50">
        <v>1</v>
      </c>
      <c r="K38" s="50">
        <v>0</v>
      </c>
      <c r="L38" s="50">
        <v>0</v>
      </c>
      <c r="M38" s="50">
        <v>14</v>
      </c>
      <c r="N38" s="50">
        <v>0</v>
      </c>
      <c r="O38" s="15">
        <f t="shared" si="0"/>
        <v>37</v>
      </c>
      <c r="P38" s="15">
        <f t="shared" si="1"/>
        <v>51</v>
      </c>
    </row>
    <row r="39" spans="2:20" ht="23.1" customHeight="1" x14ac:dyDescent="0.25">
      <c r="B39" s="24" t="s">
        <v>66</v>
      </c>
      <c r="C39" s="50">
        <v>16</v>
      </c>
      <c r="D39" s="50">
        <v>1</v>
      </c>
      <c r="E39" s="50">
        <v>3</v>
      </c>
      <c r="F39" s="50">
        <v>15</v>
      </c>
      <c r="G39" s="50">
        <v>0</v>
      </c>
      <c r="H39" s="50">
        <v>1</v>
      </c>
      <c r="I39" s="50">
        <v>4</v>
      </c>
      <c r="J39" s="50">
        <v>4</v>
      </c>
      <c r="K39" s="50">
        <v>0</v>
      </c>
      <c r="L39" s="50">
        <v>1</v>
      </c>
      <c r="M39" s="50">
        <v>25</v>
      </c>
      <c r="N39" s="50">
        <v>0</v>
      </c>
      <c r="O39" s="15">
        <f t="shared" si="0"/>
        <v>45</v>
      </c>
      <c r="P39" s="15">
        <f t="shared" si="1"/>
        <v>70</v>
      </c>
    </row>
    <row r="40" spans="2:20" ht="23.1" customHeight="1" x14ac:dyDescent="0.25">
      <c r="B40" s="24" t="s">
        <v>67</v>
      </c>
      <c r="C40" s="50">
        <v>17</v>
      </c>
      <c r="D40" s="50">
        <v>4</v>
      </c>
      <c r="E40" s="50">
        <v>3</v>
      </c>
      <c r="F40" s="50">
        <v>12</v>
      </c>
      <c r="G40" s="50">
        <v>0</v>
      </c>
      <c r="H40" s="50">
        <v>0</v>
      </c>
      <c r="I40" s="50">
        <v>10</v>
      </c>
      <c r="J40" s="50">
        <v>1</v>
      </c>
      <c r="K40" s="50">
        <v>0</v>
      </c>
      <c r="L40" s="50">
        <v>0</v>
      </c>
      <c r="M40" s="50">
        <v>29</v>
      </c>
      <c r="N40" s="50">
        <v>0</v>
      </c>
      <c r="O40" s="15">
        <f t="shared" si="0"/>
        <v>47</v>
      </c>
      <c r="P40" s="15">
        <f t="shared" si="1"/>
        <v>76</v>
      </c>
    </row>
    <row r="41" spans="2:20" ht="23.1" customHeight="1" x14ac:dyDescent="0.25">
      <c r="B41" s="23" t="s">
        <v>68</v>
      </c>
      <c r="C41" s="50">
        <v>13</v>
      </c>
      <c r="D41" s="50">
        <v>2</v>
      </c>
      <c r="E41" s="50">
        <v>4</v>
      </c>
      <c r="F41" s="50">
        <v>16</v>
      </c>
      <c r="G41" s="50">
        <v>0</v>
      </c>
      <c r="H41" s="50">
        <v>1</v>
      </c>
      <c r="I41" s="50">
        <v>1</v>
      </c>
      <c r="J41" s="50">
        <v>0</v>
      </c>
      <c r="K41" s="50">
        <v>0</v>
      </c>
      <c r="L41" s="50">
        <v>0</v>
      </c>
      <c r="M41" s="50">
        <v>13</v>
      </c>
      <c r="N41" s="50">
        <v>0</v>
      </c>
      <c r="O41" s="15">
        <f t="shared" si="0"/>
        <v>37</v>
      </c>
      <c r="P41" s="15">
        <f t="shared" si="1"/>
        <v>50</v>
      </c>
    </row>
    <row r="42" spans="2:20" ht="23.1" customHeight="1" x14ac:dyDescent="0.25">
      <c r="B42" s="24" t="s">
        <v>69</v>
      </c>
      <c r="C42" s="50">
        <v>17</v>
      </c>
      <c r="D42" s="50">
        <v>2</v>
      </c>
      <c r="E42" s="50">
        <v>9</v>
      </c>
      <c r="F42" s="50">
        <v>13</v>
      </c>
      <c r="G42" s="50">
        <v>0</v>
      </c>
      <c r="H42" s="50">
        <v>1</v>
      </c>
      <c r="I42" s="50">
        <v>6</v>
      </c>
      <c r="J42" s="50">
        <v>0</v>
      </c>
      <c r="K42" s="50">
        <v>0</v>
      </c>
      <c r="L42" s="50">
        <v>0</v>
      </c>
      <c r="M42" s="50">
        <v>20</v>
      </c>
      <c r="N42" s="50">
        <v>0</v>
      </c>
      <c r="O42" s="15">
        <f t="shared" si="0"/>
        <v>48</v>
      </c>
      <c r="P42" s="15">
        <f t="shared" si="1"/>
        <v>68</v>
      </c>
    </row>
    <row r="43" spans="2:20" ht="23.1" customHeight="1" x14ac:dyDescent="0.25">
      <c r="B43" s="23" t="s">
        <v>70</v>
      </c>
      <c r="C43" s="50">
        <v>14</v>
      </c>
      <c r="D43" s="50">
        <v>6</v>
      </c>
      <c r="E43" s="50">
        <v>4</v>
      </c>
      <c r="F43" s="50">
        <v>16</v>
      </c>
      <c r="G43" s="50">
        <v>0</v>
      </c>
      <c r="H43" s="50">
        <v>0</v>
      </c>
      <c r="I43" s="50">
        <v>9</v>
      </c>
      <c r="J43" s="50">
        <v>3</v>
      </c>
      <c r="K43" s="50">
        <v>1</v>
      </c>
      <c r="L43" s="50">
        <v>1</v>
      </c>
      <c r="M43" s="50">
        <v>26</v>
      </c>
      <c r="N43" s="50">
        <v>0</v>
      </c>
      <c r="O43" s="15">
        <f t="shared" si="0"/>
        <v>54</v>
      </c>
      <c r="P43" s="15">
        <f t="shared" si="1"/>
        <v>80</v>
      </c>
    </row>
    <row r="44" spans="2:20" ht="23.1" customHeight="1" x14ac:dyDescent="0.25">
      <c r="B44" s="25" t="s">
        <v>71</v>
      </c>
      <c r="C44" s="50">
        <v>18</v>
      </c>
      <c r="D44" s="50">
        <v>5</v>
      </c>
      <c r="E44" s="50">
        <v>4</v>
      </c>
      <c r="F44" s="50">
        <v>16</v>
      </c>
      <c r="G44" s="50">
        <v>0</v>
      </c>
      <c r="H44" s="50">
        <v>1</v>
      </c>
      <c r="I44" s="50">
        <v>3</v>
      </c>
      <c r="J44" s="50">
        <v>1</v>
      </c>
      <c r="K44" s="50">
        <v>0</v>
      </c>
      <c r="L44" s="50">
        <v>0</v>
      </c>
      <c r="M44" s="50">
        <v>18</v>
      </c>
      <c r="N44" s="50">
        <v>0</v>
      </c>
      <c r="O44" s="15">
        <f t="shared" si="0"/>
        <v>48</v>
      </c>
      <c r="P44" s="15">
        <f t="shared" si="1"/>
        <v>66</v>
      </c>
    </row>
    <row r="45" spans="2:20" ht="23.1" customHeight="1" x14ac:dyDescent="0.25">
      <c r="B45" s="23" t="s">
        <v>72</v>
      </c>
      <c r="C45" s="50">
        <v>19</v>
      </c>
      <c r="D45" s="50">
        <v>4</v>
      </c>
      <c r="E45" s="50">
        <v>8</v>
      </c>
      <c r="F45" s="50">
        <v>13</v>
      </c>
      <c r="G45" s="50">
        <v>0</v>
      </c>
      <c r="H45" s="50">
        <v>1</v>
      </c>
      <c r="I45" s="50">
        <v>7</v>
      </c>
      <c r="J45" s="50">
        <v>5</v>
      </c>
      <c r="K45" s="50">
        <v>1</v>
      </c>
      <c r="L45" s="50">
        <v>1</v>
      </c>
      <c r="M45" s="50">
        <v>25</v>
      </c>
      <c r="N45" s="50">
        <v>0</v>
      </c>
      <c r="O45" s="15">
        <f t="shared" si="0"/>
        <v>59</v>
      </c>
      <c r="P45" s="15">
        <f t="shared" si="1"/>
        <v>84</v>
      </c>
    </row>
    <row r="46" spans="2:20" ht="23.1" customHeight="1" x14ac:dyDescent="0.25">
      <c r="B46" s="24" t="s">
        <v>73</v>
      </c>
      <c r="C46" s="50">
        <v>24</v>
      </c>
      <c r="D46" s="50">
        <v>4</v>
      </c>
      <c r="E46" s="50">
        <v>4</v>
      </c>
      <c r="F46" s="50">
        <v>18</v>
      </c>
      <c r="G46" s="50">
        <v>0</v>
      </c>
      <c r="H46" s="50">
        <v>0</v>
      </c>
      <c r="I46" s="50">
        <v>8</v>
      </c>
      <c r="J46" s="50">
        <v>4</v>
      </c>
      <c r="K46" s="50">
        <v>0</v>
      </c>
      <c r="L46" s="50">
        <v>0</v>
      </c>
      <c r="M46" s="50">
        <v>20</v>
      </c>
      <c r="N46" s="50">
        <v>0</v>
      </c>
      <c r="O46" s="15">
        <f t="shared" si="0"/>
        <v>62</v>
      </c>
      <c r="P46" s="15">
        <f t="shared" si="1"/>
        <v>82</v>
      </c>
      <c r="R46" s="8"/>
      <c r="T46"/>
    </row>
    <row r="47" spans="2:20" ht="23.1" customHeight="1" x14ac:dyDescent="0.25">
      <c r="B47" s="24" t="s">
        <v>74</v>
      </c>
      <c r="C47" s="50">
        <v>19</v>
      </c>
      <c r="D47" s="50">
        <v>3</v>
      </c>
      <c r="E47" s="50">
        <v>3</v>
      </c>
      <c r="F47" s="50">
        <v>15</v>
      </c>
      <c r="G47" s="50">
        <v>0</v>
      </c>
      <c r="H47" s="50">
        <v>0</v>
      </c>
      <c r="I47" s="50">
        <v>6</v>
      </c>
      <c r="J47" s="50">
        <v>4</v>
      </c>
      <c r="K47" s="50">
        <v>1</v>
      </c>
      <c r="L47" s="50">
        <v>3</v>
      </c>
      <c r="M47" s="50">
        <v>23</v>
      </c>
      <c r="N47" s="50">
        <v>0</v>
      </c>
      <c r="O47" s="15">
        <f t="shared" si="0"/>
        <v>54</v>
      </c>
      <c r="P47" s="15">
        <f t="shared" si="1"/>
        <v>77</v>
      </c>
      <c r="R47" s="8"/>
      <c r="T47"/>
    </row>
    <row r="48" spans="2:20" ht="23.1" customHeight="1" x14ac:dyDescent="0.25">
      <c r="B48" s="24" t="s">
        <v>75</v>
      </c>
      <c r="C48" s="50">
        <v>25</v>
      </c>
      <c r="D48" s="50">
        <v>2</v>
      </c>
      <c r="E48" s="50">
        <v>3</v>
      </c>
      <c r="F48" s="50">
        <v>17</v>
      </c>
      <c r="G48" s="50">
        <v>4</v>
      </c>
      <c r="H48" s="50">
        <v>1</v>
      </c>
      <c r="I48" s="50">
        <v>10</v>
      </c>
      <c r="J48" s="50">
        <v>2</v>
      </c>
      <c r="K48" s="50">
        <v>2</v>
      </c>
      <c r="L48" s="50">
        <v>0</v>
      </c>
      <c r="M48" s="50">
        <v>22</v>
      </c>
      <c r="N48" s="50">
        <v>0</v>
      </c>
      <c r="O48" s="15">
        <f t="shared" si="0"/>
        <v>66</v>
      </c>
      <c r="P48" s="15">
        <f t="shared" si="1"/>
        <v>88</v>
      </c>
      <c r="R48" s="8"/>
      <c r="T48"/>
    </row>
    <row r="49" spans="2:20" ht="23.1" customHeight="1" x14ac:dyDescent="0.25">
      <c r="B49" s="23" t="s">
        <v>76</v>
      </c>
      <c r="C49" s="50">
        <v>23</v>
      </c>
      <c r="D49" s="50">
        <v>4</v>
      </c>
      <c r="E49" s="50">
        <v>3</v>
      </c>
      <c r="F49" s="50">
        <v>16</v>
      </c>
      <c r="G49" s="50">
        <v>0</v>
      </c>
      <c r="H49" s="50">
        <v>2</v>
      </c>
      <c r="I49" s="50">
        <v>7</v>
      </c>
      <c r="J49" s="50">
        <v>2</v>
      </c>
      <c r="K49" s="50">
        <v>1</v>
      </c>
      <c r="L49" s="50">
        <v>0</v>
      </c>
      <c r="M49" s="50">
        <v>18</v>
      </c>
      <c r="N49" s="50">
        <v>0</v>
      </c>
      <c r="O49" s="15">
        <f t="shared" si="0"/>
        <v>58</v>
      </c>
      <c r="P49" s="15">
        <f t="shared" si="1"/>
        <v>76</v>
      </c>
      <c r="R49" s="8"/>
      <c r="T49"/>
    </row>
    <row r="50" spans="2:20" ht="23.1" customHeight="1" x14ac:dyDescent="0.25">
      <c r="B50" s="24" t="s">
        <v>77</v>
      </c>
      <c r="C50" s="50">
        <v>23</v>
      </c>
      <c r="D50" s="50">
        <v>9</v>
      </c>
      <c r="E50" s="50">
        <v>4</v>
      </c>
      <c r="F50" s="50">
        <v>18</v>
      </c>
      <c r="G50" s="50">
        <v>0</v>
      </c>
      <c r="H50" s="50">
        <v>1</v>
      </c>
      <c r="I50" s="50">
        <v>8</v>
      </c>
      <c r="J50" s="50">
        <v>3</v>
      </c>
      <c r="K50" s="50">
        <v>0</v>
      </c>
      <c r="L50" s="50">
        <v>0</v>
      </c>
      <c r="M50" s="50">
        <v>33</v>
      </c>
      <c r="N50" s="50">
        <v>0</v>
      </c>
      <c r="O50" s="15">
        <f t="shared" si="0"/>
        <v>66</v>
      </c>
      <c r="P50" s="15">
        <f t="shared" si="1"/>
        <v>99</v>
      </c>
      <c r="R50" s="8"/>
      <c r="T50"/>
    </row>
    <row r="51" spans="2:20" ht="23.1" customHeight="1" x14ac:dyDescent="0.25">
      <c r="B51" s="24" t="s">
        <v>78</v>
      </c>
      <c r="C51" s="50">
        <v>31</v>
      </c>
      <c r="D51" s="50">
        <v>5</v>
      </c>
      <c r="E51" s="50">
        <v>6</v>
      </c>
      <c r="F51" s="50">
        <v>25</v>
      </c>
      <c r="G51" s="50">
        <v>0</v>
      </c>
      <c r="H51" s="50">
        <v>2</v>
      </c>
      <c r="I51" s="50">
        <v>9</v>
      </c>
      <c r="J51" s="50">
        <v>4</v>
      </c>
      <c r="K51" s="50">
        <v>1</v>
      </c>
      <c r="L51" s="50">
        <v>0</v>
      </c>
      <c r="M51" s="50">
        <v>21</v>
      </c>
      <c r="N51" s="50">
        <v>0</v>
      </c>
      <c r="O51" s="15">
        <f t="shared" si="0"/>
        <v>83</v>
      </c>
      <c r="P51" s="15">
        <f t="shared" si="1"/>
        <v>104</v>
      </c>
      <c r="R51" s="8"/>
      <c r="T51"/>
    </row>
    <row r="52" spans="2:20" ht="23.1" customHeight="1" x14ac:dyDescent="0.25">
      <c r="B52" s="24" t="s">
        <v>79</v>
      </c>
      <c r="C52" s="50">
        <v>20</v>
      </c>
      <c r="D52" s="50">
        <v>2</v>
      </c>
      <c r="E52" s="50">
        <v>5</v>
      </c>
      <c r="F52" s="50">
        <v>17</v>
      </c>
      <c r="G52" s="50">
        <v>0</v>
      </c>
      <c r="H52" s="50">
        <v>0</v>
      </c>
      <c r="I52" s="50">
        <v>7</v>
      </c>
      <c r="J52" s="50">
        <v>4</v>
      </c>
      <c r="K52" s="50">
        <v>0</v>
      </c>
      <c r="L52" s="50">
        <v>0</v>
      </c>
      <c r="M52" s="50">
        <v>35</v>
      </c>
      <c r="N52" s="50">
        <v>0</v>
      </c>
      <c r="O52" s="15">
        <f t="shared" si="0"/>
        <v>55</v>
      </c>
      <c r="P52" s="15">
        <f t="shared" si="1"/>
        <v>90</v>
      </c>
      <c r="R52" s="8"/>
      <c r="T52"/>
    </row>
    <row r="53" spans="2:20" ht="23.1" customHeight="1" x14ac:dyDescent="0.25">
      <c r="B53" s="23" t="s">
        <v>80</v>
      </c>
      <c r="C53" s="50">
        <v>36</v>
      </c>
      <c r="D53" s="50">
        <v>4</v>
      </c>
      <c r="E53" s="50">
        <v>4</v>
      </c>
      <c r="F53" s="50">
        <v>18</v>
      </c>
      <c r="G53" s="50">
        <v>0</v>
      </c>
      <c r="H53" s="50">
        <v>0</v>
      </c>
      <c r="I53" s="50">
        <v>9</v>
      </c>
      <c r="J53" s="50">
        <v>0</v>
      </c>
      <c r="K53" s="50">
        <v>0</v>
      </c>
      <c r="L53" s="50">
        <v>4</v>
      </c>
      <c r="M53" s="50">
        <v>21</v>
      </c>
      <c r="N53" s="50">
        <v>0</v>
      </c>
      <c r="O53" s="15">
        <f t="shared" si="0"/>
        <v>75</v>
      </c>
      <c r="P53" s="15">
        <f t="shared" si="1"/>
        <v>96</v>
      </c>
      <c r="R53" s="8"/>
      <c r="T53"/>
    </row>
    <row r="54" spans="2:20" ht="23.1" customHeight="1" x14ac:dyDescent="0.25">
      <c r="B54" s="23" t="s">
        <v>81</v>
      </c>
      <c r="C54" s="50">
        <v>33</v>
      </c>
      <c r="D54" s="50">
        <v>6</v>
      </c>
      <c r="E54" s="50">
        <v>10</v>
      </c>
      <c r="F54" s="50">
        <v>21</v>
      </c>
      <c r="G54" s="50">
        <v>1</v>
      </c>
      <c r="H54" s="50">
        <v>0</v>
      </c>
      <c r="I54" s="50">
        <v>8</v>
      </c>
      <c r="J54" s="50">
        <v>2</v>
      </c>
      <c r="K54" s="50">
        <v>1</v>
      </c>
      <c r="L54" s="50">
        <v>0</v>
      </c>
      <c r="M54" s="50">
        <v>29</v>
      </c>
      <c r="N54" s="50">
        <v>0</v>
      </c>
      <c r="O54" s="15">
        <f t="shared" si="0"/>
        <v>82</v>
      </c>
      <c r="P54" s="15">
        <f t="shared" si="1"/>
        <v>111</v>
      </c>
      <c r="R54" s="8"/>
      <c r="T54"/>
    </row>
    <row r="55" spans="2:20" ht="23.1" customHeight="1" x14ac:dyDescent="0.25">
      <c r="B55" s="23" t="s">
        <v>82</v>
      </c>
      <c r="C55" s="50">
        <v>32</v>
      </c>
      <c r="D55" s="50">
        <v>5</v>
      </c>
      <c r="E55" s="50">
        <v>4</v>
      </c>
      <c r="F55" s="50">
        <v>26</v>
      </c>
      <c r="G55" s="50">
        <v>0</v>
      </c>
      <c r="H55" s="50">
        <v>1</v>
      </c>
      <c r="I55" s="50">
        <v>7</v>
      </c>
      <c r="J55" s="50">
        <v>1</v>
      </c>
      <c r="K55" s="50">
        <v>2</v>
      </c>
      <c r="L55" s="50">
        <v>0</v>
      </c>
      <c r="M55" s="50">
        <v>23</v>
      </c>
      <c r="N55" s="50">
        <v>0</v>
      </c>
      <c r="O55" s="15">
        <f t="shared" si="0"/>
        <v>78</v>
      </c>
      <c r="P55" s="15">
        <f t="shared" si="1"/>
        <v>101</v>
      </c>
      <c r="R55" s="8"/>
      <c r="T55"/>
    </row>
    <row r="56" spans="2:20" ht="23.1" customHeight="1" x14ac:dyDescent="0.25">
      <c r="B56" s="23" t="s">
        <v>83</v>
      </c>
      <c r="C56" s="50">
        <v>45</v>
      </c>
      <c r="D56" s="50">
        <v>7</v>
      </c>
      <c r="E56" s="50">
        <v>7</v>
      </c>
      <c r="F56" s="50">
        <v>15</v>
      </c>
      <c r="G56" s="50">
        <v>0</v>
      </c>
      <c r="H56" s="50">
        <v>1</v>
      </c>
      <c r="I56" s="50">
        <v>5</v>
      </c>
      <c r="J56" s="50">
        <v>4</v>
      </c>
      <c r="K56" s="50">
        <v>0</v>
      </c>
      <c r="L56" s="50">
        <v>1</v>
      </c>
      <c r="M56" s="50">
        <v>22</v>
      </c>
      <c r="N56" s="50">
        <v>0</v>
      </c>
      <c r="O56" s="15">
        <f t="shared" si="0"/>
        <v>85</v>
      </c>
      <c r="P56" s="15">
        <f t="shared" si="1"/>
        <v>107</v>
      </c>
      <c r="R56" s="8"/>
      <c r="T56"/>
    </row>
    <row r="57" spans="2:20" ht="23.1" customHeight="1" x14ac:dyDescent="0.25">
      <c r="B57" s="23" t="s">
        <v>84</v>
      </c>
      <c r="C57" s="50">
        <v>57</v>
      </c>
      <c r="D57" s="50">
        <v>4</v>
      </c>
      <c r="E57" s="50">
        <v>7</v>
      </c>
      <c r="F57" s="50">
        <v>23</v>
      </c>
      <c r="G57" s="50">
        <v>0</v>
      </c>
      <c r="H57" s="50">
        <v>2</v>
      </c>
      <c r="I57" s="50">
        <v>6</v>
      </c>
      <c r="J57" s="50">
        <v>3</v>
      </c>
      <c r="K57" s="50">
        <v>1</v>
      </c>
      <c r="L57" s="50">
        <v>1</v>
      </c>
      <c r="M57" s="50">
        <v>24</v>
      </c>
      <c r="N57" s="50">
        <v>0</v>
      </c>
      <c r="O57" s="15">
        <f t="shared" si="0"/>
        <v>104</v>
      </c>
      <c r="P57" s="15">
        <f t="shared" si="1"/>
        <v>128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936</v>
      </c>
      <c r="D58" s="16">
        <f t="shared" si="21"/>
        <v>143</v>
      </c>
      <c r="E58" s="16">
        <f t="shared" si="21"/>
        <v>165</v>
      </c>
      <c r="F58" s="16">
        <f t="shared" si="21"/>
        <v>803</v>
      </c>
      <c r="G58" s="16">
        <f t="shared" si="21"/>
        <v>10</v>
      </c>
      <c r="H58" s="16">
        <f t="shared" si="21"/>
        <v>20</v>
      </c>
      <c r="I58" s="16">
        <f t="shared" si="21"/>
        <v>264</v>
      </c>
      <c r="J58" s="16">
        <f t="shared" si="21"/>
        <v>85</v>
      </c>
      <c r="K58" s="16">
        <f t="shared" si="21"/>
        <v>18</v>
      </c>
      <c r="L58" s="16">
        <f t="shared" si="21"/>
        <v>28</v>
      </c>
      <c r="M58" s="16">
        <f t="shared" si="21"/>
        <v>1102</v>
      </c>
      <c r="N58" s="16">
        <f t="shared" si="21"/>
        <v>0</v>
      </c>
      <c r="O58" s="16">
        <f t="shared" si="21"/>
        <v>2472</v>
      </c>
      <c r="P58" s="16">
        <f t="shared" si="21"/>
        <v>3574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0.26189143816452154</v>
      </c>
      <c r="D59" s="43">
        <f t="shared" si="22"/>
        <v>4.0011191941801902E-2</v>
      </c>
      <c r="E59" s="43">
        <f t="shared" si="22"/>
        <v>4.6166759932848349E-2</v>
      </c>
      <c r="F59" s="43">
        <f t="shared" si="22"/>
        <v>0.22467823167319531</v>
      </c>
      <c r="G59" s="43">
        <f t="shared" si="22"/>
        <v>2.7979854504756574E-3</v>
      </c>
      <c r="H59" s="43">
        <f t="shared" si="22"/>
        <v>5.5959709009513149E-3</v>
      </c>
      <c r="I59" s="43">
        <f t="shared" si="22"/>
        <v>7.3866815892557364E-2</v>
      </c>
      <c r="J59" s="43">
        <f t="shared" si="22"/>
        <v>2.3782876329043089E-2</v>
      </c>
      <c r="K59" s="43">
        <f t="shared" si="22"/>
        <v>5.0363738108561837E-3</v>
      </c>
      <c r="L59" s="43">
        <f t="shared" si="22"/>
        <v>7.8343592613318407E-3</v>
      </c>
      <c r="M59" s="43">
        <f t="shared" si="22"/>
        <v>0.30833799664241746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0.37864077669902912</v>
      </c>
      <c r="D60" s="44">
        <f t="shared" ref="D60:N60" si="23">D58/$O$58</f>
        <v>5.784789644012945E-2</v>
      </c>
      <c r="E60" s="44">
        <f t="shared" si="23"/>
        <v>6.6747572815533979E-2</v>
      </c>
      <c r="F60" s="44">
        <f t="shared" si="23"/>
        <v>0.32483818770226536</v>
      </c>
      <c r="G60" s="44">
        <f t="shared" si="23"/>
        <v>4.0453074433656954E-3</v>
      </c>
      <c r="H60" s="44">
        <f t="shared" si="23"/>
        <v>8.0906148867313909E-3</v>
      </c>
      <c r="I60" s="44">
        <f t="shared" si="23"/>
        <v>0.10679611650485436</v>
      </c>
      <c r="J60" s="44">
        <f t="shared" si="23"/>
        <v>3.4385113268608415E-2</v>
      </c>
      <c r="K60" s="44">
        <f t="shared" si="23"/>
        <v>7.2815533980582527E-3</v>
      </c>
      <c r="L60" s="44">
        <f t="shared" si="23"/>
        <v>1.1326860841423949E-2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topLeftCell="A22" zoomScale="60" workbookViewId="0">
      <selection activeCell="T30" sqref="T3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'29.10 Buloba-Bujuko'!C3:G3</f>
        <v>MCC - C2 - STN62 - BUJUKO-BULOBA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'4.11 Bujuko-Buloba'!D5</f>
        <v>4.11.19</v>
      </c>
      <c r="E5" s="3"/>
      <c r="F5" s="41" t="s">
        <v>1</v>
      </c>
      <c r="G5" s="66" t="str">
        <f>'4.11 Bujuko-Buloba'!G5:H5</f>
        <v>Buloba Pop Oil</v>
      </c>
      <c r="H5" s="67"/>
      <c r="I5" s="14"/>
      <c r="J5" s="2" t="s">
        <v>5</v>
      </c>
      <c r="K5" s="66" t="str">
        <f>'4.11 Bujuko-Buloba'!K5:L5</f>
        <v>Doreen Geofrey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'29.10 Buloba-Bujuko'!D6:E6</f>
        <v>Buloba</v>
      </c>
      <c r="E6" s="67"/>
      <c r="F6" s="2" t="s">
        <v>2</v>
      </c>
      <c r="G6" s="66" t="str">
        <f>'29.10 Buloba-Bujuko'!G6:H6</f>
        <v>Bujuko</v>
      </c>
      <c r="H6" s="67"/>
      <c r="J6" s="2" t="s">
        <v>21</v>
      </c>
      <c r="K6" s="66" t="str">
        <f>'4.11 Bujuko-Buloba'!K6:L6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</v>
      </c>
      <c r="D10" s="50">
        <v>1</v>
      </c>
      <c r="E10" s="50">
        <v>6</v>
      </c>
      <c r="F10" s="50">
        <v>18</v>
      </c>
      <c r="G10" s="50">
        <v>0</v>
      </c>
      <c r="H10" s="50">
        <v>0</v>
      </c>
      <c r="I10" s="50">
        <v>1</v>
      </c>
      <c r="J10" s="50">
        <v>6</v>
      </c>
      <c r="K10" s="50">
        <v>1</v>
      </c>
      <c r="L10" s="50">
        <v>1</v>
      </c>
      <c r="M10" s="50">
        <v>13</v>
      </c>
      <c r="N10" s="50">
        <v>0</v>
      </c>
      <c r="O10" s="15">
        <f t="shared" ref="O10:O57" si="0">SUM(C10:L10,N10)</f>
        <v>41</v>
      </c>
      <c r="P10" s="15">
        <f t="shared" ref="P10:P57" si="1">SUM(C10:N10)</f>
        <v>54</v>
      </c>
      <c r="R10" s="1" t="s">
        <v>6</v>
      </c>
      <c r="S10" s="17">
        <f t="shared" ref="S10:AF10" si="2">SUM(C10:C13)</f>
        <v>67</v>
      </c>
      <c r="T10" s="17">
        <f t="shared" si="2"/>
        <v>10</v>
      </c>
      <c r="U10" s="17">
        <f t="shared" si="2"/>
        <v>9</v>
      </c>
      <c r="V10" s="17">
        <f t="shared" si="2"/>
        <v>57</v>
      </c>
      <c r="W10" s="17">
        <f t="shared" si="2"/>
        <v>2</v>
      </c>
      <c r="X10" s="17">
        <f t="shared" si="2"/>
        <v>0</v>
      </c>
      <c r="Y10" s="17">
        <f t="shared" si="2"/>
        <v>18</v>
      </c>
      <c r="Z10" s="17">
        <f t="shared" si="2"/>
        <v>16</v>
      </c>
      <c r="AA10" s="17">
        <f t="shared" si="2"/>
        <v>5</v>
      </c>
      <c r="AB10" s="17">
        <f t="shared" si="2"/>
        <v>2</v>
      </c>
      <c r="AC10" s="17">
        <f t="shared" si="2"/>
        <v>44</v>
      </c>
      <c r="AD10" s="17">
        <f t="shared" si="2"/>
        <v>0</v>
      </c>
      <c r="AE10" s="31">
        <f t="shared" si="2"/>
        <v>186</v>
      </c>
      <c r="AF10" s="31">
        <f t="shared" si="2"/>
        <v>230</v>
      </c>
    </row>
    <row r="11" spans="2:32" s="6" customFormat="1" ht="23.1" customHeight="1" x14ac:dyDescent="0.25">
      <c r="B11" s="23" t="s">
        <v>38</v>
      </c>
      <c r="C11" s="50">
        <v>17</v>
      </c>
      <c r="D11" s="50">
        <v>3</v>
      </c>
      <c r="E11" s="50">
        <v>2</v>
      </c>
      <c r="F11" s="50">
        <v>18</v>
      </c>
      <c r="G11" s="50">
        <v>0</v>
      </c>
      <c r="H11" s="50">
        <v>0</v>
      </c>
      <c r="I11" s="50">
        <v>7</v>
      </c>
      <c r="J11" s="50">
        <v>4</v>
      </c>
      <c r="K11" s="50">
        <v>0</v>
      </c>
      <c r="L11" s="50">
        <v>0</v>
      </c>
      <c r="M11" s="50">
        <v>8</v>
      </c>
      <c r="N11" s="50">
        <v>0</v>
      </c>
      <c r="O11" s="15">
        <f t="shared" si="0"/>
        <v>51</v>
      </c>
      <c r="P11" s="15">
        <f t="shared" si="1"/>
        <v>59</v>
      </c>
      <c r="R11" s="1" t="s">
        <v>7</v>
      </c>
      <c r="S11" s="17">
        <f t="shared" ref="S11:AF11" si="3">SUM(C14:C17)</f>
        <v>78</v>
      </c>
      <c r="T11" s="17">
        <f t="shared" si="3"/>
        <v>12</v>
      </c>
      <c r="U11" s="17">
        <f t="shared" si="3"/>
        <v>12</v>
      </c>
      <c r="V11" s="17">
        <f t="shared" si="3"/>
        <v>60</v>
      </c>
      <c r="W11" s="17">
        <f t="shared" si="3"/>
        <v>0</v>
      </c>
      <c r="X11" s="17">
        <f t="shared" si="3"/>
        <v>2</v>
      </c>
      <c r="Y11" s="17">
        <f t="shared" si="3"/>
        <v>37</v>
      </c>
      <c r="Z11" s="17">
        <f t="shared" si="3"/>
        <v>9</v>
      </c>
      <c r="AA11" s="17">
        <f t="shared" si="3"/>
        <v>8</v>
      </c>
      <c r="AB11" s="17">
        <f t="shared" si="3"/>
        <v>2</v>
      </c>
      <c r="AC11" s="17">
        <f t="shared" si="3"/>
        <v>35</v>
      </c>
      <c r="AD11" s="17">
        <f t="shared" si="3"/>
        <v>0</v>
      </c>
      <c r="AE11" s="31">
        <f t="shared" si="3"/>
        <v>220</v>
      </c>
      <c r="AF11" s="31">
        <f t="shared" si="3"/>
        <v>255</v>
      </c>
    </row>
    <row r="12" spans="2:32" ht="23.1" customHeight="1" x14ac:dyDescent="0.25">
      <c r="B12" s="23" t="s">
        <v>39</v>
      </c>
      <c r="C12" s="50">
        <v>18</v>
      </c>
      <c r="D12" s="50">
        <v>1</v>
      </c>
      <c r="E12" s="50">
        <v>0</v>
      </c>
      <c r="F12" s="50">
        <v>8</v>
      </c>
      <c r="G12" s="50">
        <v>2</v>
      </c>
      <c r="H12" s="50">
        <v>0</v>
      </c>
      <c r="I12" s="50">
        <v>3</v>
      </c>
      <c r="J12" s="50">
        <v>1</v>
      </c>
      <c r="K12" s="50">
        <v>3</v>
      </c>
      <c r="L12" s="50">
        <v>1</v>
      </c>
      <c r="M12" s="50">
        <v>10</v>
      </c>
      <c r="N12" s="50">
        <v>0</v>
      </c>
      <c r="O12" s="15">
        <f t="shared" si="0"/>
        <v>37</v>
      </c>
      <c r="P12" s="15">
        <f t="shared" si="1"/>
        <v>47</v>
      </c>
      <c r="R12" s="1" t="s">
        <v>8</v>
      </c>
      <c r="S12" s="17">
        <f t="shared" ref="S12:AF12" si="4">SUM(C18:C21)</f>
        <v>62</v>
      </c>
      <c r="T12" s="17">
        <f t="shared" si="4"/>
        <v>26</v>
      </c>
      <c r="U12" s="17">
        <f t="shared" si="4"/>
        <v>14</v>
      </c>
      <c r="V12" s="17">
        <f t="shared" si="4"/>
        <v>65</v>
      </c>
      <c r="W12" s="17">
        <f t="shared" si="4"/>
        <v>1</v>
      </c>
      <c r="X12" s="17">
        <f t="shared" si="4"/>
        <v>4</v>
      </c>
      <c r="Y12" s="17">
        <f t="shared" si="4"/>
        <v>33</v>
      </c>
      <c r="Z12" s="17">
        <f t="shared" si="4"/>
        <v>10</v>
      </c>
      <c r="AA12" s="17">
        <f t="shared" si="4"/>
        <v>6</v>
      </c>
      <c r="AB12" s="17">
        <f t="shared" si="4"/>
        <v>8</v>
      </c>
      <c r="AC12" s="17">
        <f t="shared" si="4"/>
        <v>41</v>
      </c>
      <c r="AD12" s="17">
        <f t="shared" si="4"/>
        <v>0</v>
      </c>
      <c r="AE12" s="31">
        <f t="shared" si="4"/>
        <v>229</v>
      </c>
      <c r="AF12" s="31">
        <f t="shared" si="4"/>
        <v>270</v>
      </c>
    </row>
    <row r="13" spans="2:32" ht="23.1" customHeight="1" x14ac:dyDescent="0.25">
      <c r="B13" s="23" t="s">
        <v>40</v>
      </c>
      <c r="C13" s="50">
        <v>25</v>
      </c>
      <c r="D13" s="50">
        <v>5</v>
      </c>
      <c r="E13" s="50">
        <v>1</v>
      </c>
      <c r="F13" s="50">
        <v>13</v>
      </c>
      <c r="G13" s="50">
        <v>0</v>
      </c>
      <c r="H13" s="50">
        <v>0</v>
      </c>
      <c r="I13" s="50">
        <v>7</v>
      </c>
      <c r="J13" s="50">
        <v>5</v>
      </c>
      <c r="K13" s="50">
        <v>1</v>
      </c>
      <c r="L13" s="50">
        <v>0</v>
      </c>
      <c r="M13" s="50">
        <v>13</v>
      </c>
      <c r="N13" s="50">
        <v>0</v>
      </c>
      <c r="O13" s="15">
        <f t="shared" si="0"/>
        <v>57</v>
      </c>
      <c r="P13" s="15">
        <f t="shared" si="1"/>
        <v>70</v>
      </c>
      <c r="R13" s="1" t="s">
        <v>9</v>
      </c>
      <c r="S13" s="17">
        <f t="shared" ref="S13:AF13" si="5">SUM(C22:C25)</f>
        <v>76</v>
      </c>
      <c r="T13" s="17">
        <f t="shared" si="5"/>
        <v>14</v>
      </c>
      <c r="U13" s="17">
        <f t="shared" si="5"/>
        <v>13</v>
      </c>
      <c r="V13" s="17">
        <f t="shared" si="5"/>
        <v>59</v>
      </c>
      <c r="W13" s="17">
        <f t="shared" si="5"/>
        <v>1</v>
      </c>
      <c r="X13" s="17">
        <f t="shared" si="5"/>
        <v>3</v>
      </c>
      <c r="Y13" s="17">
        <f t="shared" si="5"/>
        <v>57</v>
      </c>
      <c r="Z13" s="17">
        <f t="shared" si="5"/>
        <v>21</v>
      </c>
      <c r="AA13" s="17">
        <f t="shared" si="5"/>
        <v>13</v>
      </c>
      <c r="AB13" s="17">
        <f t="shared" si="5"/>
        <v>5</v>
      </c>
      <c r="AC13" s="17">
        <f t="shared" si="5"/>
        <v>41</v>
      </c>
      <c r="AD13" s="17">
        <f t="shared" si="5"/>
        <v>0</v>
      </c>
      <c r="AE13" s="31">
        <f t="shared" si="5"/>
        <v>262</v>
      </c>
      <c r="AF13" s="31">
        <f t="shared" si="5"/>
        <v>303</v>
      </c>
    </row>
    <row r="14" spans="2:32" ht="23.1" customHeight="1" x14ac:dyDescent="0.25">
      <c r="B14" s="23" t="s">
        <v>41</v>
      </c>
      <c r="C14" s="50">
        <v>16</v>
      </c>
      <c r="D14" s="50">
        <v>2</v>
      </c>
      <c r="E14" s="50">
        <v>2</v>
      </c>
      <c r="F14" s="50">
        <v>12</v>
      </c>
      <c r="G14" s="50">
        <v>0</v>
      </c>
      <c r="H14" s="50">
        <v>1</v>
      </c>
      <c r="I14" s="50">
        <v>10</v>
      </c>
      <c r="J14" s="50">
        <v>1</v>
      </c>
      <c r="K14" s="50">
        <v>2</v>
      </c>
      <c r="L14" s="50">
        <v>1</v>
      </c>
      <c r="M14" s="50">
        <v>13</v>
      </c>
      <c r="N14" s="50">
        <v>0</v>
      </c>
      <c r="O14" s="15">
        <f t="shared" si="0"/>
        <v>47</v>
      </c>
      <c r="P14" s="15">
        <f t="shared" si="1"/>
        <v>60</v>
      </c>
      <c r="R14" s="1" t="s">
        <v>10</v>
      </c>
      <c r="S14" s="17">
        <f t="shared" ref="S14:AF14" si="6">SUM(C26:C29)</f>
        <v>70</v>
      </c>
      <c r="T14" s="17">
        <f t="shared" si="6"/>
        <v>15</v>
      </c>
      <c r="U14" s="17">
        <f t="shared" si="6"/>
        <v>20</v>
      </c>
      <c r="V14" s="17">
        <f t="shared" si="6"/>
        <v>66</v>
      </c>
      <c r="W14" s="17">
        <f t="shared" si="6"/>
        <v>0</v>
      </c>
      <c r="X14" s="17">
        <f t="shared" si="6"/>
        <v>5</v>
      </c>
      <c r="Y14" s="17">
        <f t="shared" si="6"/>
        <v>27</v>
      </c>
      <c r="Z14" s="17">
        <f t="shared" si="6"/>
        <v>11</v>
      </c>
      <c r="AA14" s="17">
        <f t="shared" si="6"/>
        <v>5</v>
      </c>
      <c r="AB14" s="17">
        <f t="shared" si="6"/>
        <v>0</v>
      </c>
      <c r="AC14" s="17">
        <f t="shared" si="6"/>
        <v>33</v>
      </c>
      <c r="AD14" s="17">
        <f t="shared" si="6"/>
        <v>0</v>
      </c>
      <c r="AE14" s="31">
        <f t="shared" si="6"/>
        <v>219</v>
      </c>
      <c r="AF14" s="31">
        <f t="shared" si="6"/>
        <v>252</v>
      </c>
    </row>
    <row r="15" spans="2:32" ht="23.1" customHeight="1" x14ac:dyDescent="0.25">
      <c r="B15" s="23" t="s">
        <v>42</v>
      </c>
      <c r="C15" s="50">
        <v>33</v>
      </c>
      <c r="D15" s="50">
        <v>5</v>
      </c>
      <c r="E15" s="50">
        <v>5</v>
      </c>
      <c r="F15" s="50">
        <v>24</v>
      </c>
      <c r="G15" s="50">
        <v>0</v>
      </c>
      <c r="H15" s="50">
        <v>1</v>
      </c>
      <c r="I15" s="50">
        <v>9</v>
      </c>
      <c r="J15" s="50">
        <v>6</v>
      </c>
      <c r="K15" s="50">
        <v>3</v>
      </c>
      <c r="L15" s="50">
        <v>1</v>
      </c>
      <c r="M15" s="50">
        <v>10</v>
      </c>
      <c r="N15" s="50">
        <v>0</v>
      </c>
      <c r="O15" s="15">
        <f t="shared" si="0"/>
        <v>87</v>
      </c>
      <c r="P15" s="15">
        <f t="shared" si="1"/>
        <v>97</v>
      </c>
      <c r="R15" s="1" t="s">
        <v>11</v>
      </c>
      <c r="S15" s="17">
        <f t="shared" ref="S15:AF15" si="7">SUM(C30:C33)</f>
        <v>81</v>
      </c>
      <c r="T15" s="17">
        <f t="shared" si="7"/>
        <v>17</v>
      </c>
      <c r="U15" s="17">
        <f t="shared" si="7"/>
        <v>12</v>
      </c>
      <c r="V15" s="17">
        <f t="shared" si="7"/>
        <v>76</v>
      </c>
      <c r="W15" s="17">
        <f t="shared" si="7"/>
        <v>2</v>
      </c>
      <c r="X15" s="17">
        <f t="shared" si="7"/>
        <v>1</v>
      </c>
      <c r="Y15" s="17">
        <f t="shared" si="7"/>
        <v>48</v>
      </c>
      <c r="Z15" s="17">
        <f t="shared" si="7"/>
        <v>11</v>
      </c>
      <c r="AA15" s="17">
        <f t="shared" si="7"/>
        <v>2</v>
      </c>
      <c r="AB15" s="17">
        <f t="shared" si="7"/>
        <v>2</v>
      </c>
      <c r="AC15" s="17">
        <f t="shared" si="7"/>
        <v>69</v>
      </c>
      <c r="AD15" s="17">
        <f t="shared" si="7"/>
        <v>0</v>
      </c>
      <c r="AE15" s="31">
        <f t="shared" si="7"/>
        <v>252</v>
      </c>
      <c r="AF15" s="31">
        <f t="shared" si="7"/>
        <v>321</v>
      </c>
    </row>
    <row r="16" spans="2:32" ht="23.1" customHeight="1" x14ac:dyDescent="0.25">
      <c r="B16" s="23" t="s">
        <v>43</v>
      </c>
      <c r="C16" s="50">
        <v>12</v>
      </c>
      <c r="D16" s="50">
        <v>3</v>
      </c>
      <c r="E16" s="50">
        <v>3</v>
      </c>
      <c r="F16" s="50">
        <v>7</v>
      </c>
      <c r="G16" s="50">
        <v>0</v>
      </c>
      <c r="H16" s="50">
        <v>0</v>
      </c>
      <c r="I16" s="50">
        <v>2</v>
      </c>
      <c r="J16" s="50">
        <v>2</v>
      </c>
      <c r="K16" s="50">
        <v>2</v>
      </c>
      <c r="L16" s="50">
        <v>0</v>
      </c>
      <c r="M16" s="50">
        <v>8</v>
      </c>
      <c r="N16" s="50">
        <v>0</v>
      </c>
      <c r="O16" s="15">
        <f t="shared" si="0"/>
        <v>31</v>
      </c>
      <c r="P16" s="15">
        <f t="shared" si="1"/>
        <v>39</v>
      </c>
      <c r="R16" s="1" t="s">
        <v>12</v>
      </c>
      <c r="S16" s="17">
        <f t="shared" ref="S16:AF16" si="8">SUM(C34:C37)</f>
        <v>96</v>
      </c>
      <c r="T16" s="17">
        <f t="shared" si="8"/>
        <v>22</v>
      </c>
      <c r="U16" s="17">
        <f t="shared" si="8"/>
        <v>15</v>
      </c>
      <c r="V16" s="17">
        <f t="shared" si="8"/>
        <v>82</v>
      </c>
      <c r="W16" s="17">
        <f t="shared" si="8"/>
        <v>0</v>
      </c>
      <c r="X16" s="17">
        <f t="shared" si="8"/>
        <v>4</v>
      </c>
      <c r="Y16" s="17">
        <f t="shared" si="8"/>
        <v>40</v>
      </c>
      <c r="Z16" s="17">
        <f t="shared" si="8"/>
        <v>14</v>
      </c>
      <c r="AA16" s="17">
        <f t="shared" si="8"/>
        <v>8</v>
      </c>
      <c r="AB16" s="17">
        <f t="shared" si="8"/>
        <v>6</v>
      </c>
      <c r="AC16" s="17">
        <f t="shared" si="8"/>
        <v>54</v>
      </c>
      <c r="AD16" s="17">
        <f t="shared" si="8"/>
        <v>0</v>
      </c>
      <c r="AE16" s="31">
        <f t="shared" si="8"/>
        <v>287</v>
      </c>
      <c r="AF16" s="31">
        <f t="shared" si="8"/>
        <v>341</v>
      </c>
    </row>
    <row r="17" spans="2:32" ht="23.1" customHeight="1" x14ac:dyDescent="0.25">
      <c r="B17" s="23" t="s">
        <v>44</v>
      </c>
      <c r="C17" s="50">
        <v>17</v>
      </c>
      <c r="D17" s="50">
        <v>2</v>
      </c>
      <c r="E17" s="50">
        <v>2</v>
      </c>
      <c r="F17" s="50">
        <v>17</v>
      </c>
      <c r="G17" s="50">
        <v>0</v>
      </c>
      <c r="H17" s="50">
        <v>0</v>
      </c>
      <c r="I17" s="50">
        <v>16</v>
      </c>
      <c r="J17" s="50">
        <v>0</v>
      </c>
      <c r="K17" s="50">
        <v>1</v>
      </c>
      <c r="L17" s="50">
        <v>0</v>
      </c>
      <c r="M17" s="50">
        <v>4</v>
      </c>
      <c r="N17" s="50">
        <v>0</v>
      </c>
      <c r="O17" s="15">
        <f t="shared" si="0"/>
        <v>55</v>
      </c>
      <c r="P17" s="15">
        <f t="shared" si="1"/>
        <v>59</v>
      </c>
      <c r="R17" s="1" t="s">
        <v>13</v>
      </c>
      <c r="S17" s="17">
        <f t="shared" ref="S17:AF17" si="9">SUM(C38:C41)</f>
        <v>51</v>
      </c>
      <c r="T17" s="17">
        <f t="shared" si="9"/>
        <v>11</v>
      </c>
      <c r="U17" s="17">
        <f t="shared" si="9"/>
        <v>16</v>
      </c>
      <c r="V17" s="17">
        <f t="shared" si="9"/>
        <v>55</v>
      </c>
      <c r="W17" s="17">
        <f t="shared" si="9"/>
        <v>2</v>
      </c>
      <c r="X17" s="17">
        <f t="shared" si="9"/>
        <v>1</v>
      </c>
      <c r="Y17" s="17">
        <f t="shared" si="9"/>
        <v>30</v>
      </c>
      <c r="Z17" s="17">
        <f t="shared" si="9"/>
        <v>11</v>
      </c>
      <c r="AA17" s="17">
        <f t="shared" si="9"/>
        <v>7</v>
      </c>
      <c r="AB17" s="17">
        <f t="shared" si="9"/>
        <v>0</v>
      </c>
      <c r="AC17" s="17">
        <f t="shared" si="9"/>
        <v>73</v>
      </c>
      <c r="AD17" s="17">
        <f t="shared" si="9"/>
        <v>0</v>
      </c>
      <c r="AE17" s="31">
        <f t="shared" si="9"/>
        <v>184</v>
      </c>
      <c r="AF17" s="31">
        <f t="shared" si="9"/>
        <v>257</v>
      </c>
    </row>
    <row r="18" spans="2:32" ht="23.1" customHeight="1" x14ac:dyDescent="0.25">
      <c r="B18" s="23" t="s">
        <v>45</v>
      </c>
      <c r="C18" s="50">
        <v>16</v>
      </c>
      <c r="D18" s="50">
        <v>17</v>
      </c>
      <c r="E18" s="50">
        <v>2</v>
      </c>
      <c r="F18" s="50">
        <v>9</v>
      </c>
      <c r="G18" s="50">
        <v>0</v>
      </c>
      <c r="H18" s="50">
        <v>0</v>
      </c>
      <c r="I18" s="50">
        <v>5</v>
      </c>
      <c r="J18" s="50">
        <v>2</v>
      </c>
      <c r="K18" s="50">
        <v>1</v>
      </c>
      <c r="L18" s="50">
        <v>1</v>
      </c>
      <c r="M18" s="50">
        <v>6</v>
      </c>
      <c r="N18" s="50">
        <v>0</v>
      </c>
      <c r="O18" s="15">
        <f t="shared" si="0"/>
        <v>53</v>
      </c>
      <c r="P18" s="15">
        <f t="shared" si="1"/>
        <v>59</v>
      </c>
      <c r="R18" s="1" t="s">
        <v>14</v>
      </c>
      <c r="S18" s="17">
        <f t="shared" ref="S18:AF18" si="10">SUM(C42:C45)</f>
        <v>58</v>
      </c>
      <c r="T18" s="17">
        <f t="shared" si="10"/>
        <v>14</v>
      </c>
      <c r="U18" s="17">
        <f t="shared" si="10"/>
        <v>14</v>
      </c>
      <c r="V18" s="17">
        <f t="shared" si="10"/>
        <v>58</v>
      </c>
      <c r="W18" s="17">
        <f t="shared" si="10"/>
        <v>0</v>
      </c>
      <c r="X18" s="17">
        <f t="shared" si="10"/>
        <v>2</v>
      </c>
      <c r="Y18" s="17">
        <f t="shared" si="10"/>
        <v>19</v>
      </c>
      <c r="Z18" s="17">
        <f t="shared" si="10"/>
        <v>4</v>
      </c>
      <c r="AA18" s="17">
        <f t="shared" si="10"/>
        <v>2</v>
      </c>
      <c r="AB18" s="17">
        <f t="shared" si="10"/>
        <v>1</v>
      </c>
      <c r="AC18" s="17">
        <f t="shared" si="10"/>
        <v>30</v>
      </c>
      <c r="AD18" s="17">
        <f t="shared" si="10"/>
        <v>0</v>
      </c>
      <c r="AE18" s="31">
        <f t="shared" si="10"/>
        <v>172</v>
      </c>
      <c r="AF18" s="31">
        <f t="shared" si="10"/>
        <v>202</v>
      </c>
    </row>
    <row r="19" spans="2:32" ht="23.1" customHeight="1" x14ac:dyDescent="0.25">
      <c r="B19" s="23" t="s">
        <v>46</v>
      </c>
      <c r="C19" s="50">
        <v>10</v>
      </c>
      <c r="D19" s="50">
        <v>2</v>
      </c>
      <c r="E19" s="50">
        <v>6</v>
      </c>
      <c r="F19" s="50">
        <v>18</v>
      </c>
      <c r="G19" s="50">
        <v>0</v>
      </c>
      <c r="H19" s="50">
        <v>1</v>
      </c>
      <c r="I19" s="50">
        <v>9</v>
      </c>
      <c r="J19" s="50">
        <v>3</v>
      </c>
      <c r="K19" s="50">
        <v>2</v>
      </c>
      <c r="L19" s="50">
        <v>4</v>
      </c>
      <c r="M19" s="50">
        <v>5</v>
      </c>
      <c r="N19" s="50">
        <v>0</v>
      </c>
      <c r="O19" s="15">
        <f t="shared" si="0"/>
        <v>55</v>
      </c>
      <c r="P19" s="15">
        <f t="shared" si="1"/>
        <v>60</v>
      </c>
      <c r="R19" s="1" t="s">
        <v>15</v>
      </c>
      <c r="S19" s="17">
        <f t="shared" ref="S19:AF19" si="11">SUM(C46:C49)</f>
        <v>59</v>
      </c>
      <c r="T19" s="17">
        <f t="shared" si="11"/>
        <v>12</v>
      </c>
      <c r="U19" s="17">
        <f t="shared" si="11"/>
        <v>19</v>
      </c>
      <c r="V19" s="17">
        <f t="shared" si="11"/>
        <v>54</v>
      </c>
      <c r="W19" s="17">
        <f t="shared" si="11"/>
        <v>0</v>
      </c>
      <c r="X19" s="17">
        <f t="shared" si="11"/>
        <v>2</v>
      </c>
      <c r="Y19" s="17">
        <f t="shared" si="11"/>
        <v>28</v>
      </c>
      <c r="Z19" s="17">
        <f t="shared" si="11"/>
        <v>11</v>
      </c>
      <c r="AA19" s="17">
        <f t="shared" si="11"/>
        <v>3</v>
      </c>
      <c r="AB19" s="17">
        <f t="shared" si="11"/>
        <v>1</v>
      </c>
      <c r="AC19" s="17">
        <f t="shared" si="11"/>
        <v>35</v>
      </c>
      <c r="AD19" s="17">
        <f t="shared" si="11"/>
        <v>0</v>
      </c>
      <c r="AE19" s="31">
        <f t="shared" si="11"/>
        <v>189</v>
      </c>
      <c r="AF19" s="31">
        <f t="shared" si="11"/>
        <v>224</v>
      </c>
    </row>
    <row r="20" spans="2:32" ht="23.1" customHeight="1" x14ac:dyDescent="0.25">
      <c r="B20" s="23" t="s">
        <v>47</v>
      </c>
      <c r="C20" s="50">
        <v>16</v>
      </c>
      <c r="D20" s="50">
        <v>1</v>
      </c>
      <c r="E20" s="50">
        <v>1</v>
      </c>
      <c r="F20" s="50">
        <v>23</v>
      </c>
      <c r="G20" s="50">
        <v>1</v>
      </c>
      <c r="H20" s="50">
        <v>2</v>
      </c>
      <c r="I20" s="50">
        <v>10</v>
      </c>
      <c r="J20" s="50">
        <v>1</v>
      </c>
      <c r="K20" s="50">
        <v>1</v>
      </c>
      <c r="L20" s="50">
        <v>0</v>
      </c>
      <c r="M20" s="50">
        <v>19</v>
      </c>
      <c r="N20" s="50">
        <v>0</v>
      </c>
      <c r="O20" s="15">
        <f t="shared" si="0"/>
        <v>56</v>
      </c>
      <c r="P20" s="15">
        <f t="shared" si="1"/>
        <v>75</v>
      </c>
      <c r="R20" s="1" t="s">
        <v>16</v>
      </c>
      <c r="S20" s="17">
        <f t="shared" ref="S20:AF20" si="12">SUM(C50:C53)</f>
        <v>51</v>
      </c>
      <c r="T20" s="17">
        <f t="shared" si="12"/>
        <v>14</v>
      </c>
      <c r="U20" s="17">
        <f t="shared" si="12"/>
        <v>5</v>
      </c>
      <c r="V20" s="17">
        <f t="shared" si="12"/>
        <v>33</v>
      </c>
      <c r="W20" s="17">
        <f t="shared" si="12"/>
        <v>0</v>
      </c>
      <c r="X20" s="17">
        <f t="shared" si="12"/>
        <v>1</v>
      </c>
      <c r="Y20" s="17">
        <f t="shared" si="12"/>
        <v>12</v>
      </c>
      <c r="Z20" s="17">
        <f t="shared" si="12"/>
        <v>4</v>
      </c>
      <c r="AA20" s="17">
        <f t="shared" si="12"/>
        <v>0</v>
      </c>
      <c r="AB20" s="17">
        <f t="shared" si="12"/>
        <v>0</v>
      </c>
      <c r="AC20" s="17">
        <f t="shared" si="12"/>
        <v>32</v>
      </c>
      <c r="AD20" s="17">
        <f t="shared" si="12"/>
        <v>0</v>
      </c>
      <c r="AE20" s="31">
        <f t="shared" si="12"/>
        <v>120</v>
      </c>
      <c r="AF20" s="31">
        <f t="shared" si="12"/>
        <v>152</v>
      </c>
    </row>
    <row r="21" spans="2:32" ht="23.1" customHeight="1" x14ac:dyDescent="0.25">
      <c r="B21" s="23" t="s">
        <v>48</v>
      </c>
      <c r="C21" s="50">
        <v>20</v>
      </c>
      <c r="D21" s="50">
        <v>6</v>
      </c>
      <c r="E21" s="50">
        <v>5</v>
      </c>
      <c r="F21" s="50">
        <v>15</v>
      </c>
      <c r="G21" s="50">
        <v>0</v>
      </c>
      <c r="H21" s="50">
        <v>1</v>
      </c>
      <c r="I21" s="50">
        <v>9</v>
      </c>
      <c r="J21" s="50">
        <v>4</v>
      </c>
      <c r="K21" s="50">
        <v>2</v>
      </c>
      <c r="L21" s="50">
        <v>3</v>
      </c>
      <c r="M21" s="50">
        <v>11</v>
      </c>
      <c r="N21" s="50">
        <v>0</v>
      </c>
      <c r="O21" s="15">
        <f t="shared" si="0"/>
        <v>65</v>
      </c>
      <c r="P21" s="15">
        <f t="shared" si="1"/>
        <v>76</v>
      </c>
      <c r="R21" s="36" t="s">
        <v>20</v>
      </c>
      <c r="S21" s="34">
        <f t="shared" ref="S21:AF21" si="13">SUM(C54:C57)</f>
        <v>89</v>
      </c>
      <c r="T21" s="17">
        <f t="shared" si="13"/>
        <v>3</v>
      </c>
      <c r="U21" s="17">
        <f t="shared" si="13"/>
        <v>9</v>
      </c>
      <c r="V21" s="17">
        <f t="shared" si="13"/>
        <v>58</v>
      </c>
      <c r="W21" s="17">
        <f t="shared" si="13"/>
        <v>3</v>
      </c>
      <c r="X21" s="17">
        <f t="shared" si="13"/>
        <v>2</v>
      </c>
      <c r="Y21" s="17">
        <f t="shared" si="13"/>
        <v>31</v>
      </c>
      <c r="Z21" s="17">
        <f t="shared" si="13"/>
        <v>3</v>
      </c>
      <c r="AA21" s="17">
        <f t="shared" si="13"/>
        <v>6</v>
      </c>
      <c r="AB21" s="17">
        <f t="shared" si="13"/>
        <v>2</v>
      </c>
      <c r="AC21" s="17">
        <f t="shared" si="13"/>
        <v>20</v>
      </c>
      <c r="AD21" s="17">
        <f t="shared" si="13"/>
        <v>0</v>
      </c>
      <c r="AE21" s="31">
        <f t="shared" si="13"/>
        <v>206</v>
      </c>
      <c r="AF21" s="31">
        <f t="shared" si="13"/>
        <v>226</v>
      </c>
    </row>
    <row r="22" spans="2:32" ht="23.1" customHeight="1" x14ac:dyDescent="0.25">
      <c r="B22" s="23" t="s">
        <v>49</v>
      </c>
      <c r="C22" s="50">
        <v>24</v>
      </c>
      <c r="D22" s="50">
        <v>6</v>
      </c>
      <c r="E22" s="50">
        <v>1</v>
      </c>
      <c r="F22" s="50">
        <v>16</v>
      </c>
      <c r="G22" s="50">
        <v>1</v>
      </c>
      <c r="H22" s="50">
        <v>1</v>
      </c>
      <c r="I22" s="50">
        <v>15</v>
      </c>
      <c r="J22" s="50">
        <v>3</v>
      </c>
      <c r="K22" s="50">
        <v>8</v>
      </c>
      <c r="L22" s="50">
        <v>2</v>
      </c>
      <c r="M22" s="50">
        <v>14</v>
      </c>
      <c r="N22" s="50">
        <v>0</v>
      </c>
      <c r="O22" s="15">
        <f t="shared" si="0"/>
        <v>77</v>
      </c>
      <c r="P22" s="15">
        <f t="shared" si="1"/>
        <v>91</v>
      </c>
      <c r="R22" s="38" t="s">
        <v>90</v>
      </c>
      <c r="S22" s="39">
        <f>MAX(S10:S12)</f>
        <v>78</v>
      </c>
      <c r="T22" s="39">
        <f t="shared" ref="T22:AF22" si="14">MAX(T10:T12)</f>
        <v>26</v>
      </c>
      <c r="U22" s="39">
        <f t="shared" si="14"/>
        <v>14</v>
      </c>
      <c r="V22" s="39">
        <f t="shared" si="14"/>
        <v>65</v>
      </c>
      <c r="W22" s="39">
        <f t="shared" si="14"/>
        <v>2</v>
      </c>
      <c r="X22" s="39">
        <f t="shared" si="14"/>
        <v>4</v>
      </c>
      <c r="Y22" s="39">
        <f t="shared" si="14"/>
        <v>37</v>
      </c>
      <c r="Z22" s="39">
        <f t="shared" si="14"/>
        <v>16</v>
      </c>
      <c r="AA22" s="39">
        <f t="shared" si="14"/>
        <v>8</v>
      </c>
      <c r="AB22" s="39">
        <f t="shared" si="14"/>
        <v>8</v>
      </c>
      <c r="AC22" s="39">
        <f t="shared" si="14"/>
        <v>44</v>
      </c>
      <c r="AD22" s="39">
        <f t="shared" si="14"/>
        <v>0</v>
      </c>
      <c r="AE22" s="40">
        <f t="shared" si="14"/>
        <v>229</v>
      </c>
      <c r="AF22" s="40">
        <f t="shared" si="14"/>
        <v>270</v>
      </c>
    </row>
    <row r="23" spans="2:32" ht="23.1" customHeight="1" x14ac:dyDescent="0.25">
      <c r="B23" s="23" t="s">
        <v>50</v>
      </c>
      <c r="C23" s="50">
        <v>19</v>
      </c>
      <c r="D23" s="50">
        <v>4</v>
      </c>
      <c r="E23" s="50">
        <v>2</v>
      </c>
      <c r="F23" s="50">
        <v>15</v>
      </c>
      <c r="G23" s="50">
        <v>0</v>
      </c>
      <c r="H23" s="50">
        <v>1</v>
      </c>
      <c r="I23" s="50">
        <v>13</v>
      </c>
      <c r="J23" s="50">
        <v>2</v>
      </c>
      <c r="K23" s="50">
        <v>0</v>
      </c>
      <c r="L23" s="50">
        <v>2</v>
      </c>
      <c r="M23" s="50">
        <v>12</v>
      </c>
      <c r="N23" s="50">
        <v>0</v>
      </c>
      <c r="O23" s="15">
        <f t="shared" si="0"/>
        <v>58</v>
      </c>
      <c r="P23" s="15">
        <f t="shared" si="1"/>
        <v>70</v>
      </c>
      <c r="R23" s="38" t="s">
        <v>91</v>
      </c>
      <c r="S23" s="39">
        <f>MAX(S13:S18)</f>
        <v>96</v>
      </c>
      <c r="T23" s="39">
        <f t="shared" ref="T23:AF23" si="15">MAX(T13:T18)</f>
        <v>22</v>
      </c>
      <c r="U23" s="39">
        <f t="shared" si="15"/>
        <v>20</v>
      </c>
      <c r="V23" s="39">
        <f t="shared" si="15"/>
        <v>82</v>
      </c>
      <c r="W23" s="39">
        <f t="shared" si="15"/>
        <v>2</v>
      </c>
      <c r="X23" s="39">
        <f t="shared" si="15"/>
        <v>5</v>
      </c>
      <c r="Y23" s="39">
        <f t="shared" si="15"/>
        <v>57</v>
      </c>
      <c r="Z23" s="39">
        <f t="shared" si="15"/>
        <v>21</v>
      </c>
      <c r="AA23" s="39">
        <f t="shared" si="15"/>
        <v>13</v>
      </c>
      <c r="AB23" s="39">
        <f t="shared" si="15"/>
        <v>6</v>
      </c>
      <c r="AC23" s="39">
        <f t="shared" si="15"/>
        <v>73</v>
      </c>
      <c r="AD23" s="39">
        <f t="shared" si="15"/>
        <v>0</v>
      </c>
      <c r="AE23" s="40">
        <f t="shared" si="15"/>
        <v>287</v>
      </c>
      <c r="AF23" s="40">
        <f t="shared" si="15"/>
        <v>341</v>
      </c>
    </row>
    <row r="24" spans="2:32" ht="23.1" customHeight="1" x14ac:dyDescent="0.25">
      <c r="B24" s="23" t="s">
        <v>51</v>
      </c>
      <c r="C24" s="50">
        <v>15</v>
      </c>
      <c r="D24" s="50">
        <v>4</v>
      </c>
      <c r="E24" s="50">
        <v>8</v>
      </c>
      <c r="F24" s="50">
        <v>12</v>
      </c>
      <c r="G24" s="50">
        <v>0</v>
      </c>
      <c r="H24" s="50">
        <v>1</v>
      </c>
      <c r="I24" s="50">
        <v>19</v>
      </c>
      <c r="J24" s="50">
        <v>8</v>
      </c>
      <c r="K24" s="50">
        <v>2</v>
      </c>
      <c r="L24" s="50">
        <v>1</v>
      </c>
      <c r="M24" s="50">
        <v>7</v>
      </c>
      <c r="N24" s="50">
        <v>0</v>
      </c>
      <c r="O24" s="15">
        <f t="shared" si="0"/>
        <v>70</v>
      </c>
      <c r="P24" s="15">
        <f t="shared" si="1"/>
        <v>77</v>
      </c>
      <c r="R24" s="38" t="s">
        <v>92</v>
      </c>
      <c r="S24" s="39">
        <f>MAX(S19:S21)</f>
        <v>89</v>
      </c>
      <c r="T24" s="39">
        <f t="shared" ref="T24:AF24" si="16">MAX(T19:T21)</f>
        <v>14</v>
      </c>
      <c r="U24" s="39">
        <f t="shared" si="16"/>
        <v>19</v>
      </c>
      <c r="V24" s="39">
        <f t="shared" si="16"/>
        <v>58</v>
      </c>
      <c r="W24" s="39">
        <f t="shared" si="16"/>
        <v>3</v>
      </c>
      <c r="X24" s="39">
        <f t="shared" si="16"/>
        <v>2</v>
      </c>
      <c r="Y24" s="39">
        <f t="shared" si="16"/>
        <v>31</v>
      </c>
      <c r="Z24" s="39">
        <f t="shared" si="16"/>
        <v>11</v>
      </c>
      <c r="AA24" s="39">
        <f t="shared" si="16"/>
        <v>6</v>
      </c>
      <c r="AB24" s="39">
        <f t="shared" si="16"/>
        <v>2</v>
      </c>
      <c r="AC24" s="39">
        <f t="shared" si="16"/>
        <v>35</v>
      </c>
      <c r="AD24" s="39">
        <f t="shared" si="16"/>
        <v>0</v>
      </c>
      <c r="AE24" s="40">
        <f t="shared" si="16"/>
        <v>206</v>
      </c>
      <c r="AF24" s="40">
        <f t="shared" si="16"/>
        <v>226</v>
      </c>
    </row>
    <row r="25" spans="2:32" ht="23.1" customHeight="1" x14ac:dyDescent="0.25">
      <c r="B25" s="23" t="s">
        <v>52</v>
      </c>
      <c r="C25" s="50">
        <v>18</v>
      </c>
      <c r="D25" s="50">
        <v>0</v>
      </c>
      <c r="E25" s="50">
        <v>2</v>
      </c>
      <c r="F25" s="50">
        <v>16</v>
      </c>
      <c r="G25" s="50">
        <v>0</v>
      </c>
      <c r="H25" s="50">
        <v>0</v>
      </c>
      <c r="I25" s="50">
        <v>10</v>
      </c>
      <c r="J25" s="50">
        <v>8</v>
      </c>
      <c r="K25" s="50">
        <v>3</v>
      </c>
      <c r="L25" s="50">
        <v>0</v>
      </c>
      <c r="M25" s="50">
        <v>8</v>
      </c>
      <c r="N25" s="50">
        <v>0</v>
      </c>
      <c r="O25" s="15">
        <f t="shared" si="0"/>
        <v>57</v>
      </c>
      <c r="P25" s="15">
        <f t="shared" si="1"/>
        <v>65</v>
      </c>
      <c r="R25" s="37" t="s">
        <v>85</v>
      </c>
      <c r="S25" s="35">
        <f t="shared" ref="S25:AF25" si="17">SUM(S10:S12)</f>
        <v>207</v>
      </c>
      <c r="T25" s="16">
        <f t="shared" si="17"/>
        <v>48</v>
      </c>
      <c r="U25" s="16">
        <f t="shared" si="17"/>
        <v>35</v>
      </c>
      <c r="V25" s="16">
        <f t="shared" si="17"/>
        <v>182</v>
      </c>
      <c r="W25" s="16">
        <f t="shared" si="17"/>
        <v>3</v>
      </c>
      <c r="X25" s="16">
        <f t="shared" si="17"/>
        <v>6</v>
      </c>
      <c r="Y25" s="16">
        <f t="shared" si="17"/>
        <v>88</v>
      </c>
      <c r="Z25" s="16">
        <f t="shared" si="17"/>
        <v>35</v>
      </c>
      <c r="AA25" s="16">
        <f t="shared" si="17"/>
        <v>19</v>
      </c>
      <c r="AB25" s="16">
        <f t="shared" si="17"/>
        <v>12</v>
      </c>
      <c r="AC25" s="16">
        <f t="shared" si="17"/>
        <v>120</v>
      </c>
      <c r="AD25" s="16">
        <f t="shared" si="17"/>
        <v>0</v>
      </c>
      <c r="AE25" s="32">
        <f t="shared" si="17"/>
        <v>635</v>
      </c>
      <c r="AF25" s="32">
        <f t="shared" si="17"/>
        <v>755</v>
      </c>
    </row>
    <row r="26" spans="2:32" ht="23.1" customHeight="1" x14ac:dyDescent="0.25">
      <c r="B26" s="23" t="s">
        <v>53</v>
      </c>
      <c r="C26" s="50">
        <v>20</v>
      </c>
      <c r="D26" s="50">
        <v>4</v>
      </c>
      <c r="E26" s="50">
        <v>6</v>
      </c>
      <c r="F26" s="50">
        <v>19</v>
      </c>
      <c r="G26" s="50">
        <v>0</v>
      </c>
      <c r="H26" s="50">
        <v>0</v>
      </c>
      <c r="I26" s="50">
        <v>10</v>
      </c>
      <c r="J26" s="50">
        <v>1</v>
      </c>
      <c r="K26" s="50">
        <v>1</v>
      </c>
      <c r="L26" s="50">
        <v>0</v>
      </c>
      <c r="M26" s="50">
        <v>9</v>
      </c>
      <c r="N26" s="50">
        <v>0</v>
      </c>
      <c r="O26" s="15">
        <f t="shared" si="0"/>
        <v>61</v>
      </c>
      <c r="P26" s="15">
        <f t="shared" si="1"/>
        <v>70</v>
      </c>
      <c r="R26" s="28" t="s">
        <v>86</v>
      </c>
      <c r="S26" s="16">
        <f t="shared" ref="S26:AF26" si="18">SUM(S13:S18)</f>
        <v>432</v>
      </c>
      <c r="T26" s="16">
        <f t="shared" si="18"/>
        <v>93</v>
      </c>
      <c r="U26" s="16">
        <f t="shared" si="18"/>
        <v>90</v>
      </c>
      <c r="V26" s="16">
        <f t="shared" si="18"/>
        <v>396</v>
      </c>
      <c r="W26" s="16">
        <f t="shared" si="18"/>
        <v>5</v>
      </c>
      <c r="X26" s="16">
        <f t="shared" si="18"/>
        <v>16</v>
      </c>
      <c r="Y26" s="16">
        <f t="shared" si="18"/>
        <v>221</v>
      </c>
      <c r="Z26" s="16">
        <f t="shared" si="18"/>
        <v>72</v>
      </c>
      <c r="AA26" s="16">
        <f t="shared" si="18"/>
        <v>37</v>
      </c>
      <c r="AB26" s="16">
        <f t="shared" si="18"/>
        <v>14</v>
      </c>
      <c r="AC26" s="16">
        <f t="shared" si="18"/>
        <v>300</v>
      </c>
      <c r="AD26" s="16">
        <f t="shared" si="18"/>
        <v>0</v>
      </c>
      <c r="AE26" s="32">
        <f t="shared" si="18"/>
        <v>1376</v>
      </c>
      <c r="AF26" s="32">
        <f t="shared" si="18"/>
        <v>1676</v>
      </c>
    </row>
    <row r="27" spans="2:32" ht="23.1" customHeight="1" x14ac:dyDescent="0.25">
      <c r="B27" s="23" t="s">
        <v>54</v>
      </c>
      <c r="C27" s="50">
        <v>23</v>
      </c>
      <c r="D27" s="50">
        <v>4</v>
      </c>
      <c r="E27" s="50">
        <v>5</v>
      </c>
      <c r="F27" s="50">
        <v>14</v>
      </c>
      <c r="G27" s="50">
        <v>0</v>
      </c>
      <c r="H27" s="50">
        <v>2</v>
      </c>
      <c r="I27" s="50">
        <v>3</v>
      </c>
      <c r="J27" s="50">
        <v>6</v>
      </c>
      <c r="K27" s="50">
        <v>0</v>
      </c>
      <c r="L27" s="50">
        <v>0</v>
      </c>
      <c r="M27" s="50">
        <v>11</v>
      </c>
      <c r="N27" s="50">
        <v>0</v>
      </c>
      <c r="O27" s="15">
        <f t="shared" si="0"/>
        <v>57</v>
      </c>
      <c r="P27" s="15">
        <f t="shared" si="1"/>
        <v>68</v>
      </c>
      <c r="R27" s="29" t="s">
        <v>87</v>
      </c>
      <c r="S27" s="16">
        <f t="shared" ref="S27:AF27" si="19">SUM(S19:S21)</f>
        <v>199</v>
      </c>
      <c r="T27" s="16">
        <f t="shared" si="19"/>
        <v>29</v>
      </c>
      <c r="U27" s="16">
        <f t="shared" si="19"/>
        <v>33</v>
      </c>
      <c r="V27" s="16">
        <f t="shared" si="19"/>
        <v>145</v>
      </c>
      <c r="W27" s="16">
        <f t="shared" si="19"/>
        <v>3</v>
      </c>
      <c r="X27" s="16">
        <f t="shared" si="19"/>
        <v>5</v>
      </c>
      <c r="Y27" s="16">
        <f t="shared" si="19"/>
        <v>71</v>
      </c>
      <c r="Z27" s="16">
        <f t="shared" si="19"/>
        <v>18</v>
      </c>
      <c r="AA27" s="16">
        <f t="shared" si="19"/>
        <v>9</v>
      </c>
      <c r="AB27" s="16">
        <f t="shared" si="19"/>
        <v>3</v>
      </c>
      <c r="AC27" s="16">
        <f t="shared" si="19"/>
        <v>87</v>
      </c>
      <c r="AD27" s="16">
        <f t="shared" si="19"/>
        <v>0</v>
      </c>
      <c r="AE27" s="32">
        <f t="shared" si="19"/>
        <v>515</v>
      </c>
      <c r="AF27" s="32">
        <f t="shared" si="19"/>
        <v>602</v>
      </c>
    </row>
    <row r="28" spans="2:32" ht="23.1" customHeight="1" x14ac:dyDescent="0.25">
      <c r="B28" s="23" t="s">
        <v>55</v>
      </c>
      <c r="C28" s="50">
        <v>16</v>
      </c>
      <c r="D28" s="50">
        <v>6</v>
      </c>
      <c r="E28" s="50">
        <v>4</v>
      </c>
      <c r="F28" s="50">
        <v>16</v>
      </c>
      <c r="G28" s="50">
        <v>0</v>
      </c>
      <c r="H28" s="50">
        <v>3</v>
      </c>
      <c r="I28" s="50">
        <v>7</v>
      </c>
      <c r="J28" s="50">
        <v>3</v>
      </c>
      <c r="K28" s="50">
        <v>2</v>
      </c>
      <c r="L28" s="50">
        <v>0</v>
      </c>
      <c r="M28" s="50">
        <v>6</v>
      </c>
      <c r="N28" s="50">
        <v>0</v>
      </c>
      <c r="O28" s="15">
        <f t="shared" si="0"/>
        <v>57</v>
      </c>
      <c r="P28" s="15">
        <f t="shared" si="1"/>
        <v>63</v>
      </c>
      <c r="R28" s="5" t="s">
        <v>17</v>
      </c>
      <c r="S28" s="16">
        <f t="shared" ref="S28:AF28" si="20">SUM(S10:S21)</f>
        <v>838</v>
      </c>
      <c r="T28" s="16">
        <f t="shared" si="20"/>
        <v>170</v>
      </c>
      <c r="U28" s="16">
        <f t="shared" si="20"/>
        <v>158</v>
      </c>
      <c r="V28" s="16">
        <f t="shared" si="20"/>
        <v>723</v>
      </c>
      <c r="W28" s="16">
        <f t="shared" si="20"/>
        <v>11</v>
      </c>
      <c r="X28" s="16">
        <f t="shared" si="20"/>
        <v>27</v>
      </c>
      <c r="Y28" s="16">
        <f t="shared" si="20"/>
        <v>380</v>
      </c>
      <c r="Z28" s="16">
        <f t="shared" si="20"/>
        <v>125</v>
      </c>
      <c r="AA28" s="16">
        <f t="shared" si="20"/>
        <v>65</v>
      </c>
      <c r="AB28" s="16">
        <f t="shared" si="20"/>
        <v>29</v>
      </c>
      <c r="AC28" s="16">
        <f t="shared" si="20"/>
        <v>507</v>
      </c>
      <c r="AD28" s="16">
        <f t="shared" si="20"/>
        <v>0</v>
      </c>
      <c r="AE28" s="32">
        <f t="shared" si="20"/>
        <v>2526</v>
      </c>
      <c r="AF28" s="32">
        <f t="shared" si="20"/>
        <v>3033</v>
      </c>
    </row>
    <row r="29" spans="2:32" ht="23.1" customHeight="1" x14ac:dyDescent="0.25">
      <c r="B29" s="23" t="s">
        <v>56</v>
      </c>
      <c r="C29" s="50">
        <v>11</v>
      </c>
      <c r="D29" s="50">
        <v>1</v>
      </c>
      <c r="E29" s="50">
        <v>5</v>
      </c>
      <c r="F29" s="50">
        <v>17</v>
      </c>
      <c r="G29" s="50">
        <v>0</v>
      </c>
      <c r="H29" s="50">
        <v>0</v>
      </c>
      <c r="I29" s="50">
        <v>7</v>
      </c>
      <c r="J29" s="50">
        <v>1</v>
      </c>
      <c r="K29" s="50">
        <v>2</v>
      </c>
      <c r="L29" s="50">
        <v>0</v>
      </c>
      <c r="M29" s="50">
        <v>7</v>
      </c>
      <c r="N29" s="50">
        <v>0</v>
      </c>
      <c r="O29" s="15">
        <f t="shared" si="0"/>
        <v>44</v>
      </c>
      <c r="P29" s="15">
        <f t="shared" si="1"/>
        <v>51</v>
      </c>
      <c r="R29"/>
      <c r="S29" s="20"/>
      <c r="T29" s="19"/>
    </row>
    <row r="30" spans="2:32" ht="23.1" customHeight="1" x14ac:dyDescent="0.25">
      <c r="B30" s="23" t="s">
        <v>57</v>
      </c>
      <c r="C30" s="50">
        <v>19</v>
      </c>
      <c r="D30" s="50">
        <v>3</v>
      </c>
      <c r="E30" s="50">
        <v>4</v>
      </c>
      <c r="F30" s="50">
        <v>16</v>
      </c>
      <c r="G30" s="50">
        <v>0</v>
      </c>
      <c r="H30" s="50">
        <v>0</v>
      </c>
      <c r="I30" s="50">
        <v>13</v>
      </c>
      <c r="J30" s="50">
        <v>5</v>
      </c>
      <c r="K30" s="50">
        <v>0</v>
      </c>
      <c r="L30" s="50">
        <v>0</v>
      </c>
      <c r="M30" s="50">
        <v>14</v>
      </c>
      <c r="N30" s="50">
        <v>0</v>
      </c>
      <c r="O30" s="15">
        <f t="shared" si="0"/>
        <v>60</v>
      </c>
      <c r="P30" s="15">
        <f t="shared" si="1"/>
        <v>74</v>
      </c>
    </row>
    <row r="31" spans="2:32" ht="23.1" customHeight="1" x14ac:dyDescent="0.25">
      <c r="B31" s="24" t="s">
        <v>58</v>
      </c>
      <c r="C31" s="50">
        <v>18</v>
      </c>
      <c r="D31" s="50">
        <v>4</v>
      </c>
      <c r="E31" s="50">
        <v>3</v>
      </c>
      <c r="F31" s="50">
        <v>18</v>
      </c>
      <c r="G31" s="50">
        <v>2</v>
      </c>
      <c r="H31" s="50">
        <v>0</v>
      </c>
      <c r="I31" s="50">
        <v>11</v>
      </c>
      <c r="J31" s="50">
        <v>2</v>
      </c>
      <c r="K31" s="50">
        <v>2</v>
      </c>
      <c r="L31" s="50">
        <v>0</v>
      </c>
      <c r="M31" s="50">
        <v>18</v>
      </c>
      <c r="N31" s="50">
        <v>0</v>
      </c>
      <c r="O31" s="15">
        <f t="shared" si="0"/>
        <v>60</v>
      </c>
      <c r="P31" s="15">
        <f t="shared" si="1"/>
        <v>78</v>
      </c>
    </row>
    <row r="32" spans="2:32" ht="23.1" customHeight="1" x14ac:dyDescent="0.25">
      <c r="B32" s="24" t="s">
        <v>59</v>
      </c>
      <c r="C32" s="50">
        <v>21</v>
      </c>
      <c r="D32" s="50">
        <v>5</v>
      </c>
      <c r="E32" s="50">
        <v>0</v>
      </c>
      <c r="F32" s="50">
        <v>24</v>
      </c>
      <c r="G32" s="50">
        <v>0</v>
      </c>
      <c r="H32" s="50">
        <v>1</v>
      </c>
      <c r="I32" s="50">
        <v>11</v>
      </c>
      <c r="J32" s="50">
        <v>2</v>
      </c>
      <c r="K32" s="50">
        <v>0</v>
      </c>
      <c r="L32" s="50">
        <v>0</v>
      </c>
      <c r="M32" s="50">
        <v>18</v>
      </c>
      <c r="N32" s="50">
        <v>0</v>
      </c>
      <c r="O32" s="15">
        <f t="shared" si="0"/>
        <v>64</v>
      </c>
      <c r="P32" s="15">
        <f t="shared" si="1"/>
        <v>82</v>
      </c>
    </row>
    <row r="33" spans="2:20" ht="23.1" customHeight="1" x14ac:dyDescent="0.25">
      <c r="B33" s="23" t="s">
        <v>60</v>
      </c>
      <c r="C33" s="50">
        <v>23</v>
      </c>
      <c r="D33" s="50">
        <v>5</v>
      </c>
      <c r="E33" s="50">
        <v>5</v>
      </c>
      <c r="F33" s="50">
        <v>18</v>
      </c>
      <c r="G33" s="50">
        <v>0</v>
      </c>
      <c r="H33" s="50">
        <v>0</v>
      </c>
      <c r="I33" s="50">
        <v>13</v>
      </c>
      <c r="J33" s="50">
        <v>2</v>
      </c>
      <c r="K33" s="50">
        <v>0</v>
      </c>
      <c r="L33" s="50">
        <v>2</v>
      </c>
      <c r="M33" s="50">
        <v>19</v>
      </c>
      <c r="N33" s="50">
        <v>0</v>
      </c>
      <c r="O33" s="15">
        <f t="shared" si="0"/>
        <v>68</v>
      </c>
      <c r="P33" s="15">
        <f t="shared" si="1"/>
        <v>87</v>
      </c>
    </row>
    <row r="34" spans="2:20" ht="23.1" customHeight="1" x14ac:dyDescent="0.25">
      <c r="B34" s="24" t="s">
        <v>61</v>
      </c>
      <c r="C34" s="50">
        <v>13</v>
      </c>
      <c r="D34" s="50">
        <v>7</v>
      </c>
      <c r="E34" s="50">
        <v>5</v>
      </c>
      <c r="F34" s="50">
        <v>24</v>
      </c>
      <c r="G34" s="50">
        <v>0</v>
      </c>
      <c r="H34" s="50">
        <v>3</v>
      </c>
      <c r="I34" s="50">
        <v>9</v>
      </c>
      <c r="J34" s="50">
        <v>1</v>
      </c>
      <c r="K34" s="50">
        <v>4</v>
      </c>
      <c r="L34" s="50">
        <v>3</v>
      </c>
      <c r="M34" s="50">
        <v>15</v>
      </c>
      <c r="N34" s="50">
        <v>0</v>
      </c>
      <c r="O34" s="15">
        <f t="shared" si="0"/>
        <v>69</v>
      </c>
      <c r="P34" s="15">
        <f t="shared" si="1"/>
        <v>84</v>
      </c>
    </row>
    <row r="35" spans="2:20" ht="23.1" customHeight="1" x14ac:dyDescent="0.25">
      <c r="B35" s="24" t="s">
        <v>62</v>
      </c>
      <c r="C35" s="50">
        <v>24</v>
      </c>
      <c r="D35" s="50">
        <v>7</v>
      </c>
      <c r="E35" s="50">
        <v>4</v>
      </c>
      <c r="F35" s="50">
        <v>16</v>
      </c>
      <c r="G35" s="50">
        <v>0</v>
      </c>
      <c r="H35" s="50">
        <v>0</v>
      </c>
      <c r="I35" s="50">
        <v>14</v>
      </c>
      <c r="J35" s="50">
        <v>0</v>
      </c>
      <c r="K35" s="50">
        <v>1</v>
      </c>
      <c r="L35" s="50">
        <v>0</v>
      </c>
      <c r="M35" s="50">
        <v>12</v>
      </c>
      <c r="N35" s="50">
        <v>0</v>
      </c>
      <c r="O35" s="15">
        <f t="shared" si="0"/>
        <v>66</v>
      </c>
      <c r="P35" s="15">
        <f t="shared" si="1"/>
        <v>78</v>
      </c>
    </row>
    <row r="36" spans="2:20" ht="23.1" customHeight="1" x14ac:dyDescent="0.25">
      <c r="B36" s="24" t="s">
        <v>63</v>
      </c>
      <c r="C36" s="50">
        <v>21</v>
      </c>
      <c r="D36" s="50">
        <v>3</v>
      </c>
      <c r="E36" s="50">
        <v>1</v>
      </c>
      <c r="F36" s="50">
        <v>18</v>
      </c>
      <c r="G36" s="50">
        <v>0</v>
      </c>
      <c r="H36" s="50">
        <v>0</v>
      </c>
      <c r="I36" s="50">
        <v>5</v>
      </c>
      <c r="J36" s="50">
        <v>3</v>
      </c>
      <c r="K36" s="50">
        <v>1</v>
      </c>
      <c r="L36" s="50">
        <v>1</v>
      </c>
      <c r="M36" s="50">
        <v>11</v>
      </c>
      <c r="N36" s="50">
        <v>0</v>
      </c>
      <c r="O36" s="15">
        <f t="shared" si="0"/>
        <v>53</v>
      </c>
      <c r="P36" s="15">
        <f t="shared" si="1"/>
        <v>64</v>
      </c>
    </row>
    <row r="37" spans="2:20" ht="23.1" customHeight="1" x14ac:dyDescent="0.25">
      <c r="B37" s="23" t="s">
        <v>64</v>
      </c>
      <c r="C37" s="50">
        <v>38</v>
      </c>
      <c r="D37" s="50">
        <v>5</v>
      </c>
      <c r="E37" s="50">
        <v>5</v>
      </c>
      <c r="F37" s="50">
        <v>24</v>
      </c>
      <c r="G37" s="50">
        <v>0</v>
      </c>
      <c r="H37" s="50">
        <v>1</v>
      </c>
      <c r="I37" s="50">
        <v>12</v>
      </c>
      <c r="J37" s="50">
        <v>10</v>
      </c>
      <c r="K37" s="50">
        <v>2</v>
      </c>
      <c r="L37" s="50">
        <v>2</v>
      </c>
      <c r="M37" s="50">
        <v>16</v>
      </c>
      <c r="N37" s="50">
        <v>0</v>
      </c>
      <c r="O37" s="15">
        <f t="shared" si="0"/>
        <v>99</v>
      </c>
      <c r="P37" s="15">
        <f t="shared" si="1"/>
        <v>115</v>
      </c>
    </row>
    <row r="38" spans="2:20" ht="23.1" customHeight="1" x14ac:dyDescent="0.25">
      <c r="B38" s="24" t="s">
        <v>65</v>
      </c>
      <c r="C38" s="50">
        <v>10</v>
      </c>
      <c r="D38" s="50">
        <v>2</v>
      </c>
      <c r="E38" s="50">
        <v>2</v>
      </c>
      <c r="F38" s="50">
        <v>6</v>
      </c>
      <c r="G38" s="50">
        <v>0</v>
      </c>
      <c r="H38" s="50">
        <v>0</v>
      </c>
      <c r="I38" s="50">
        <v>5</v>
      </c>
      <c r="J38" s="50">
        <v>2</v>
      </c>
      <c r="K38" s="50">
        <v>0</v>
      </c>
      <c r="L38" s="50">
        <v>0</v>
      </c>
      <c r="M38" s="50">
        <v>13</v>
      </c>
      <c r="N38" s="50">
        <v>0</v>
      </c>
      <c r="O38" s="15">
        <f t="shared" si="0"/>
        <v>27</v>
      </c>
      <c r="P38" s="15">
        <f t="shared" si="1"/>
        <v>40</v>
      </c>
    </row>
    <row r="39" spans="2:20" ht="23.1" customHeight="1" x14ac:dyDescent="0.25">
      <c r="B39" s="24" t="s">
        <v>66</v>
      </c>
      <c r="C39" s="50">
        <v>10</v>
      </c>
      <c r="D39" s="50">
        <v>2</v>
      </c>
      <c r="E39" s="50">
        <v>3</v>
      </c>
      <c r="F39" s="50">
        <v>16</v>
      </c>
      <c r="G39" s="50">
        <v>1</v>
      </c>
      <c r="H39" s="50">
        <v>1</v>
      </c>
      <c r="I39" s="50">
        <v>5</v>
      </c>
      <c r="J39" s="50">
        <v>1</v>
      </c>
      <c r="K39" s="50">
        <v>1</v>
      </c>
      <c r="L39" s="50">
        <v>0</v>
      </c>
      <c r="M39" s="50">
        <v>14</v>
      </c>
      <c r="N39" s="50">
        <v>0</v>
      </c>
      <c r="O39" s="15">
        <f t="shared" si="0"/>
        <v>40</v>
      </c>
      <c r="P39" s="15">
        <f t="shared" si="1"/>
        <v>54</v>
      </c>
    </row>
    <row r="40" spans="2:20" ht="23.1" customHeight="1" x14ac:dyDescent="0.25">
      <c r="B40" s="24" t="s">
        <v>67</v>
      </c>
      <c r="C40" s="50">
        <v>14</v>
      </c>
      <c r="D40" s="50">
        <v>3</v>
      </c>
      <c r="E40" s="50">
        <v>5</v>
      </c>
      <c r="F40" s="50">
        <v>22</v>
      </c>
      <c r="G40" s="50">
        <v>1</v>
      </c>
      <c r="H40" s="50">
        <v>0</v>
      </c>
      <c r="I40" s="50">
        <v>9</v>
      </c>
      <c r="J40" s="50">
        <v>3</v>
      </c>
      <c r="K40" s="50">
        <v>1</v>
      </c>
      <c r="L40" s="50">
        <v>0</v>
      </c>
      <c r="M40" s="50">
        <v>17</v>
      </c>
      <c r="N40" s="50">
        <v>0</v>
      </c>
      <c r="O40" s="15">
        <f t="shared" si="0"/>
        <v>58</v>
      </c>
      <c r="P40" s="15">
        <f t="shared" si="1"/>
        <v>75</v>
      </c>
    </row>
    <row r="41" spans="2:20" ht="23.1" customHeight="1" x14ac:dyDescent="0.25">
      <c r="B41" s="23" t="s">
        <v>68</v>
      </c>
      <c r="C41" s="50">
        <v>17</v>
      </c>
      <c r="D41" s="50">
        <v>4</v>
      </c>
      <c r="E41" s="50">
        <v>6</v>
      </c>
      <c r="F41" s="50">
        <v>11</v>
      </c>
      <c r="G41" s="50">
        <v>0</v>
      </c>
      <c r="H41" s="50">
        <v>0</v>
      </c>
      <c r="I41" s="50">
        <v>11</v>
      </c>
      <c r="J41" s="50">
        <v>5</v>
      </c>
      <c r="K41" s="50">
        <v>5</v>
      </c>
      <c r="L41" s="50">
        <v>0</v>
      </c>
      <c r="M41" s="50">
        <v>29</v>
      </c>
      <c r="N41" s="50">
        <v>0</v>
      </c>
      <c r="O41" s="15">
        <f t="shared" si="0"/>
        <v>59</v>
      </c>
      <c r="P41" s="15">
        <f t="shared" si="1"/>
        <v>88</v>
      </c>
    </row>
    <row r="42" spans="2:20" ht="23.1" customHeight="1" x14ac:dyDescent="0.25">
      <c r="B42" s="24" t="s">
        <v>69</v>
      </c>
      <c r="C42" s="50">
        <v>13</v>
      </c>
      <c r="D42" s="50">
        <v>2</v>
      </c>
      <c r="E42" s="50">
        <v>4</v>
      </c>
      <c r="F42" s="50">
        <v>17</v>
      </c>
      <c r="G42" s="50">
        <v>0</v>
      </c>
      <c r="H42" s="50">
        <v>0</v>
      </c>
      <c r="I42" s="50">
        <v>7</v>
      </c>
      <c r="J42" s="50">
        <v>2</v>
      </c>
      <c r="K42" s="50">
        <v>0</v>
      </c>
      <c r="L42" s="50">
        <v>0</v>
      </c>
      <c r="M42" s="50">
        <v>15</v>
      </c>
      <c r="N42" s="50">
        <v>0</v>
      </c>
      <c r="O42" s="15">
        <f t="shared" si="0"/>
        <v>45</v>
      </c>
      <c r="P42" s="15">
        <f t="shared" si="1"/>
        <v>60</v>
      </c>
    </row>
    <row r="43" spans="2:20" ht="23.1" customHeight="1" x14ac:dyDescent="0.25">
      <c r="B43" s="23" t="s">
        <v>70</v>
      </c>
      <c r="C43" s="50">
        <v>15</v>
      </c>
      <c r="D43" s="50">
        <v>2</v>
      </c>
      <c r="E43" s="50">
        <v>1</v>
      </c>
      <c r="F43" s="50">
        <v>12</v>
      </c>
      <c r="G43" s="50">
        <v>0</v>
      </c>
      <c r="H43" s="50">
        <v>0</v>
      </c>
      <c r="I43" s="50">
        <v>2</v>
      </c>
      <c r="J43" s="50">
        <v>1</v>
      </c>
      <c r="K43" s="50">
        <v>2</v>
      </c>
      <c r="L43" s="50">
        <v>1</v>
      </c>
      <c r="M43" s="50">
        <v>4</v>
      </c>
      <c r="N43" s="50">
        <v>0</v>
      </c>
      <c r="O43" s="15">
        <f t="shared" si="0"/>
        <v>36</v>
      </c>
      <c r="P43" s="15">
        <f t="shared" si="1"/>
        <v>40</v>
      </c>
    </row>
    <row r="44" spans="2:20" ht="23.1" customHeight="1" x14ac:dyDescent="0.25">
      <c r="B44" s="25" t="s">
        <v>71</v>
      </c>
      <c r="C44" s="50">
        <v>21</v>
      </c>
      <c r="D44" s="50">
        <v>5</v>
      </c>
      <c r="E44" s="50">
        <v>6</v>
      </c>
      <c r="F44" s="50">
        <v>13</v>
      </c>
      <c r="G44" s="50">
        <v>0</v>
      </c>
      <c r="H44" s="50">
        <v>1</v>
      </c>
      <c r="I44" s="50">
        <v>2</v>
      </c>
      <c r="J44" s="50">
        <v>1</v>
      </c>
      <c r="K44" s="50">
        <v>0</v>
      </c>
      <c r="L44" s="50">
        <v>0</v>
      </c>
      <c r="M44" s="50">
        <v>7</v>
      </c>
      <c r="N44" s="50">
        <v>0</v>
      </c>
      <c r="O44" s="15">
        <f t="shared" si="0"/>
        <v>49</v>
      </c>
      <c r="P44" s="15">
        <f t="shared" si="1"/>
        <v>56</v>
      </c>
    </row>
    <row r="45" spans="2:20" ht="23.1" customHeight="1" x14ac:dyDescent="0.25">
      <c r="B45" s="23" t="s">
        <v>72</v>
      </c>
      <c r="C45" s="50">
        <v>9</v>
      </c>
      <c r="D45" s="50">
        <v>5</v>
      </c>
      <c r="E45" s="50">
        <v>3</v>
      </c>
      <c r="F45" s="50">
        <v>16</v>
      </c>
      <c r="G45" s="50">
        <v>0</v>
      </c>
      <c r="H45" s="50">
        <v>1</v>
      </c>
      <c r="I45" s="50">
        <v>8</v>
      </c>
      <c r="J45" s="50">
        <v>0</v>
      </c>
      <c r="K45" s="50">
        <v>0</v>
      </c>
      <c r="L45" s="50">
        <v>0</v>
      </c>
      <c r="M45" s="50">
        <v>4</v>
      </c>
      <c r="N45" s="50">
        <v>0</v>
      </c>
      <c r="O45" s="15">
        <f t="shared" si="0"/>
        <v>42</v>
      </c>
      <c r="P45" s="15">
        <f t="shared" si="1"/>
        <v>46</v>
      </c>
    </row>
    <row r="46" spans="2:20" ht="23.1" customHeight="1" x14ac:dyDescent="0.25">
      <c r="B46" s="24" t="s">
        <v>73</v>
      </c>
      <c r="C46" s="50">
        <v>14</v>
      </c>
      <c r="D46" s="50">
        <v>3</v>
      </c>
      <c r="E46" s="50">
        <v>4</v>
      </c>
      <c r="F46" s="50">
        <v>12</v>
      </c>
      <c r="G46" s="50">
        <v>0</v>
      </c>
      <c r="H46" s="50">
        <v>0</v>
      </c>
      <c r="I46" s="50">
        <v>8</v>
      </c>
      <c r="J46" s="50">
        <v>3</v>
      </c>
      <c r="K46" s="50">
        <v>1</v>
      </c>
      <c r="L46" s="50">
        <v>0</v>
      </c>
      <c r="M46" s="50">
        <v>9</v>
      </c>
      <c r="N46" s="50">
        <v>0</v>
      </c>
      <c r="O46" s="15">
        <f t="shared" si="0"/>
        <v>45</v>
      </c>
      <c r="P46" s="15">
        <f t="shared" si="1"/>
        <v>54</v>
      </c>
      <c r="R46" s="8"/>
      <c r="T46"/>
    </row>
    <row r="47" spans="2:20" ht="23.1" customHeight="1" x14ac:dyDescent="0.25">
      <c r="B47" s="24" t="s">
        <v>74</v>
      </c>
      <c r="C47" s="50">
        <v>9</v>
      </c>
      <c r="D47" s="50">
        <v>2</v>
      </c>
      <c r="E47" s="50">
        <v>3</v>
      </c>
      <c r="F47" s="50">
        <v>9</v>
      </c>
      <c r="G47" s="50">
        <v>0</v>
      </c>
      <c r="H47" s="50">
        <v>0</v>
      </c>
      <c r="I47" s="50">
        <v>5</v>
      </c>
      <c r="J47" s="50">
        <v>1</v>
      </c>
      <c r="K47" s="50">
        <v>0</v>
      </c>
      <c r="L47" s="50">
        <v>0</v>
      </c>
      <c r="M47" s="50">
        <v>4</v>
      </c>
      <c r="N47" s="50">
        <v>0</v>
      </c>
      <c r="O47" s="15">
        <f t="shared" si="0"/>
        <v>29</v>
      </c>
      <c r="P47" s="15">
        <f t="shared" si="1"/>
        <v>33</v>
      </c>
      <c r="R47" s="8"/>
      <c r="T47"/>
    </row>
    <row r="48" spans="2:20" ht="23.1" customHeight="1" x14ac:dyDescent="0.25">
      <c r="B48" s="24" t="s">
        <v>75</v>
      </c>
      <c r="C48" s="50">
        <v>10</v>
      </c>
      <c r="D48" s="50">
        <v>1</v>
      </c>
      <c r="E48" s="50">
        <v>3</v>
      </c>
      <c r="F48" s="50">
        <v>11</v>
      </c>
      <c r="G48" s="50">
        <v>0</v>
      </c>
      <c r="H48" s="50">
        <v>1</v>
      </c>
      <c r="I48" s="50">
        <v>6</v>
      </c>
      <c r="J48" s="50">
        <v>1</v>
      </c>
      <c r="K48" s="50">
        <v>0</v>
      </c>
      <c r="L48" s="50">
        <v>0</v>
      </c>
      <c r="M48" s="50">
        <v>9</v>
      </c>
      <c r="N48" s="50">
        <v>0</v>
      </c>
      <c r="O48" s="15">
        <f t="shared" si="0"/>
        <v>33</v>
      </c>
      <c r="P48" s="15">
        <f t="shared" si="1"/>
        <v>42</v>
      </c>
      <c r="R48" s="8"/>
      <c r="T48"/>
    </row>
    <row r="49" spans="2:20" ht="23.1" customHeight="1" x14ac:dyDescent="0.25">
      <c r="B49" s="23" t="s">
        <v>76</v>
      </c>
      <c r="C49" s="50">
        <v>26</v>
      </c>
      <c r="D49" s="50">
        <v>6</v>
      </c>
      <c r="E49" s="50">
        <v>9</v>
      </c>
      <c r="F49" s="50">
        <v>22</v>
      </c>
      <c r="G49" s="50">
        <v>0</v>
      </c>
      <c r="H49" s="50">
        <v>1</v>
      </c>
      <c r="I49" s="50">
        <v>9</v>
      </c>
      <c r="J49" s="50">
        <v>6</v>
      </c>
      <c r="K49" s="50">
        <v>2</v>
      </c>
      <c r="L49" s="50">
        <v>1</v>
      </c>
      <c r="M49" s="50">
        <v>13</v>
      </c>
      <c r="N49" s="50">
        <v>0</v>
      </c>
      <c r="O49" s="15">
        <f t="shared" si="0"/>
        <v>82</v>
      </c>
      <c r="P49" s="15">
        <f t="shared" si="1"/>
        <v>95</v>
      </c>
      <c r="R49" s="8"/>
      <c r="T49"/>
    </row>
    <row r="50" spans="2:20" ht="23.1" customHeight="1" x14ac:dyDescent="0.25">
      <c r="B50" s="24" t="s">
        <v>77</v>
      </c>
      <c r="C50" s="50">
        <v>11</v>
      </c>
      <c r="D50" s="50">
        <v>2</v>
      </c>
      <c r="E50" s="50">
        <v>1</v>
      </c>
      <c r="F50" s="50">
        <v>12</v>
      </c>
      <c r="G50" s="50">
        <v>0</v>
      </c>
      <c r="H50" s="50">
        <v>0</v>
      </c>
      <c r="I50" s="50">
        <v>3</v>
      </c>
      <c r="J50" s="50">
        <v>1</v>
      </c>
      <c r="K50" s="50">
        <v>0</v>
      </c>
      <c r="L50" s="50">
        <v>0</v>
      </c>
      <c r="M50" s="50">
        <v>9</v>
      </c>
      <c r="N50" s="50">
        <v>0</v>
      </c>
      <c r="O50" s="15">
        <f t="shared" si="0"/>
        <v>30</v>
      </c>
      <c r="P50" s="15">
        <f t="shared" si="1"/>
        <v>39</v>
      </c>
      <c r="R50" s="8"/>
      <c r="T50"/>
    </row>
    <row r="51" spans="2:20" ht="23.1" customHeight="1" x14ac:dyDescent="0.25">
      <c r="B51" s="24" t="s">
        <v>78</v>
      </c>
      <c r="C51" s="50">
        <v>10</v>
      </c>
      <c r="D51" s="50">
        <v>1</v>
      </c>
      <c r="E51" s="50">
        <v>1</v>
      </c>
      <c r="F51" s="50">
        <v>2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8</v>
      </c>
      <c r="N51" s="50">
        <v>0</v>
      </c>
      <c r="O51" s="15">
        <f t="shared" si="0"/>
        <v>16</v>
      </c>
      <c r="P51" s="15">
        <f t="shared" si="1"/>
        <v>24</v>
      </c>
      <c r="R51" s="8"/>
      <c r="T51"/>
    </row>
    <row r="52" spans="2:20" ht="23.1" customHeight="1" x14ac:dyDescent="0.25">
      <c r="B52" s="24" t="s">
        <v>79</v>
      </c>
      <c r="C52" s="50">
        <v>21</v>
      </c>
      <c r="D52" s="50">
        <v>7</v>
      </c>
      <c r="E52" s="50">
        <v>1</v>
      </c>
      <c r="F52" s="50">
        <v>14</v>
      </c>
      <c r="G52" s="50">
        <v>0</v>
      </c>
      <c r="H52" s="50">
        <v>0</v>
      </c>
      <c r="I52" s="50">
        <v>7</v>
      </c>
      <c r="J52" s="50">
        <v>2</v>
      </c>
      <c r="K52" s="50">
        <v>0</v>
      </c>
      <c r="L52" s="50">
        <v>0</v>
      </c>
      <c r="M52" s="50">
        <v>4</v>
      </c>
      <c r="N52" s="50">
        <v>0</v>
      </c>
      <c r="O52" s="15">
        <f t="shared" si="0"/>
        <v>52</v>
      </c>
      <c r="P52" s="15">
        <f t="shared" si="1"/>
        <v>56</v>
      </c>
      <c r="R52" s="8"/>
      <c r="T52"/>
    </row>
    <row r="53" spans="2:20" ht="23.1" customHeight="1" x14ac:dyDescent="0.25">
      <c r="B53" s="23" t="s">
        <v>80</v>
      </c>
      <c r="C53" s="50">
        <v>9</v>
      </c>
      <c r="D53" s="50">
        <v>4</v>
      </c>
      <c r="E53" s="50">
        <v>2</v>
      </c>
      <c r="F53" s="50">
        <v>5</v>
      </c>
      <c r="G53" s="50">
        <v>0</v>
      </c>
      <c r="H53" s="50">
        <v>1</v>
      </c>
      <c r="I53" s="50">
        <v>0</v>
      </c>
      <c r="J53" s="50">
        <v>1</v>
      </c>
      <c r="K53" s="50">
        <v>0</v>
      </c>
      <c r="L53" s="50">
        <v>0</v>
      </c>
      <c r="M53" s="50">
        <v>11</v>
      </c>
      <c r="N53" s="50">
        <v>0</v>
      </c>
      <c r="O53" s="15">
        <f t="shared" si="0"/>
        <v>22</v>
      </c>
      <c r="P53" s="15">
        <f t="shared" si="1"/>
        <v>33</v>
      </c>
      <c r="R53" s="8"/>
      <c r="T53"/>
    </row>
    <row r="54" spans="2:20" ht="23.1" customHeight="1" x14ac:dyDescent="0.25">
      <c r="B54" s="23" t="s">
        <v>81</v>
      </c>
      <c r="C54" s="50">
        <v>9</v>
      </c>
      <c r="D54" s="50">
        <v>1</v>
      </c>
      <c r="E54" s="50">
        <v>2</v>
      </c>
      <c r="F54" s="50">
        <v>6</v>
      </c>
      <c r="G54" s="50">
        <v>1</v>
      </c>
      <c r="H54" s="50">
        <v>2</v>
      </c>
      <c r="I54" s="50">
        <v>3</v>
      </c>
      <c r="J54" s="50">
        <v>1</v>
      </c>
      <c r="K54" s="50">
        <v>1</v>
      </c>
      <c r="L54" s="50">
        <v>0</v>
      </c>
      <c r="M54" s="50">
        <v>4</v>
      </c>
      <c r="N54" s="50">
        <v>0</v>
      </c>
      <c r="O54" s="15">
        <f t="shared" si="0"/>
        <v>26</v>
      </c>
      <c r="P54" s="15">
        <f t="shared" si="1"/>
        <v>30</v>
      </c>
      <c r="R54" s="8"/>
      <c r="T54"/>
    </row>
    <row r="55" spans="2:20" ht="23.1" customHeight="1" x14ac:dyDescent="0.25">
      <c r="B55" s="23" t="s">
        <v>82</v>
      </c>
      <c r="C55" s="50">
        <v>17</v>
      </c>
      <c r="D55" s="50">
        <v>2</v>
      </c>
      <c r="E55" s="50">
        <v>2</v>
      </c>
      <c r="F55" s="50">
        <v>12</v>
      </c>
      <c r="G55" s="50">
        <v>2</v>
      </c>
      <c r="H55" s="50">
        <v>0</v>
      </c>
      <c r="I55" s="50">
        <v>6</v>
      </c>
      <c r="J55" s="50">
        <v>2</v>
      </c>
      <c r="K55" s="50">
        <v>2</v>
      </c>
      <c r="L55" s="50">
        <v>0</v>
      </c>
      <c r="M55" s="50">
        <v>7</v>
      </c>
      <c r="N55" s="50">
        <v>0</v>
      </c>
      <c r="O55" s="15">
        <f t="shared" si="0"/>
        <v>45</v>
      </c>
      <c r="P55" s="15">
        <f t="shared" si="1"/>
        <v>52</v>
      </c>
      <c r="R55" s="8"/>
      <c r="T55"/>
    </row>
    <row r="56" spans="2:20" ht="23.1" customHeight="1" x14ac:dyDescent="0.25">
      <c r="B56" s="23" t="s">
        <v>83</v>
      </c>
      <c r="C56" s="50">
        <v>18</v>
      </c>
      <c r="D56" s="50">
        <v>0</v>
      </c>
      <c r="E56" s="50">
        <v>5</v>
      </c>
      <c r="F56" s="50">
        <v>20</v>
      </c>
      <c r="G56" s="50">
        <v>0</v>
      </c>
      <c r="H56" s="50">
        <v>0</v>
      </c>
      <c r="I56" s="50">
        <v>0</v>
      </c>
      <c r="J56" s="50">
        <v>0</v>
      </c>
      <c r="K56" s="50">
        <v>1</v>
      </c>
      <c r="L56" s="50">
        <v>2</v>
      </c>
      <c r="M56" s="50">
        <v>9</v>
      </c>
      <c r="N56" s="50">
        <v>0</v>
      </c>
      <c r="O56" s="15">
        <f t="shared" si="0"/>
        <v>46</v>
      </c>
      <c r="P56" s="15">
        <f t="shared" si="1"/>
        <v>55</v>
      </c>
      <c r="R56" s="8"/>
      <c r="T56"/>
    </row>
    <row r="57" spans="2:20" ht="23.1" customHeight="1" x14ac:dyDescent="0.25">
      <c r="B57" s="23" t="s">
        <v>84</v>
      </c>
      <c r="C57" s="50">
        <v>45</v>
      </c>
      <c r="D57" s="50">
        <v>0</v>
      </c>
      <c r="E57" s="50">
        <v>0</v>
      </c>
      <c r="F57" s="50">
        <v>20</v>
      </c>
      <c r="G57" s="50">
        <v>0</v>
      </c>
      <c r="H57" s="50">
        <v>0</v>
      </c>
      <c r="I57" s="50">
        <v>22</v>
      </c>
      <c r="J57" s="50">
        <v>0</v>
      </c>
      <c r="K57" s="50">
        <v>2</v>
      </c>
      <c r="L57" s="50">
        <v>0</v>
      </c>
      <c r="M57" s="50" t="s">
        <v>184</v>
      </c>
      <c r="N57" s="50">
        <v>0</v>
      </c>
      <c r="O57" s="15">
        <f t="shared" si="0"/>
        <v>89</v>
      </c>
      <c r="P57" s="15">
        <f t="shared" si="1"/>
        <v>89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838</v>
      </c>
      <c r="D58" s="16">
        <f t="shared" si="21"/>
        <v>170</v>
      </c>
      <c r="E58" s="16">
        <f t="shared" si="21"/>
        <v>158</v>
      </c>
      <c r="F58" s="16">
        <f t="shared" si="21"/>
        <v>723</v>
      </c>
      <c r="G58" s="16">
        <f t="shared" si="21"/>
        <v>11</v>
      </c>
      <c r="H58" s="16">
        <f t="shared" si="21"/>
        <v>27</v>
      </c>
      <c r="I58" s="16">
        <f t="shared" si="21"/>
        <v>380</v>
      </c>
      <c r="J58" s="16">
        <f t="shared" si="21"/>
        <v>125</v>
      </c>
      <c r="K58" s="16">
        <f t="shared" si="21"/>
        <v>65</v>
      </c>
      <c r="L58" s="16">
        <f t="shared" si="21"/>
        <v>29</v>
      </c>
      <c r="M58" s="16">
        <f t="shared" si="21"/>
        <v>507</v>
      </c>
      <c r="N58" s="16">
        <f t="shared" si="21"/>
        <v>0</v>
      </c>
      <c r="O58" s="16">
        <f t="shared" si="21"/>
        <v>2526</v>
      </c>
      <c r="P58" s="16">
        <f t="shared" si="21"/>
        <v>3033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0.27629409825255524</v>
      </c>
      <c r="D59" s="43">
        <f t="shared" si="22"/>
        <v>5.6050115397296409E-2</v>
      </c>
      <c r="E59" s="43">
        <f t="shared" si="22"/>
        <v>5.2093636663369601E-2</v>
      </c>
      <c r="F59" s="43">
        <f t="shared" si="22"/>
        <v>0.23837784371909002</v>
      </c>
      <c r="G59" s="43">
        <f t="shared" si="22"/>
        <v>3.6267721727662378E-3</v>
      </c>
      <c r="H59" s="43">
        <f t="shared" si="22"/>
        <v>8.9020771513353119E-3</v>
      </c>
      <c r="I59" s="43">
        <f t="shared" si="22"/>
        <v>0.12528849324101549</v>
      </c>
      <c r="J59" s="43">
        <f t="shared" si="22"/>
        <v>4.1213320145070884E-2</v>
      </c>
      <c r="K59" s="43">
        <f t="shared" si="22"/>
        <v>2.1430926475436859E-2</v>
      </c>
      <c r="L59" s="43">
        <f t="shared" si="22"/>
        <v>9.5614902736564453E-3</v>
      </c>
      <c r="M59" s="43">
        <f t="shared" si="22"/>
        <v>0.16716122650840751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0.33174980205859067</v>
      </c>
      <c r="D60" s="44">
        <f t="shared" ref="D60:N60" si="23">D58/$O$58</f>
        <v>6.7300079176563735E-2</v>
      </c>
      <c r="E60" s="44">
        <f t="shared" si="23"/>
        <v>6.2549485352335704E-2</v>
      </c>
      <c r="F60" s="44">
        <f t="shared" si="23"/>
        <v>0.28622327790973873</v>
      </c>
      <c r="G60" s="44">
        <f t="shared" si="23"/>
        <v>4.3547110055423598E-3</v>
      </c>
      <c r="H60" s="44">
        <f t="shared" si="23"/>
        <v>1.0688836104513063E-2</v>
      </c>
      <c r="I60" s="44">
        <f t="shared" si="23"/>
        <v>0.15043547110055425</v>
      </c>
      <c r="J60" s="44">
        <f t="shared" si="23"/>
        <v>4.9485352335708631E-2</v>
      </c>
      <c r="K60" s="44">
        <f t="shared" si="23"/>
        <v>2.5732383214568489E-2</v>
      </c>
      <c r="L60" s="44">
        <f t="shared" si="23"/>
        <v>1.1480601741884403E-2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F40" zoomScale="60" workbookViewId="0">
      <selection activeCell="AD9" sqref="AD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'4.11.BULOBA-BUJUKO'!C3:G3</f>
        <v>MCC - C2 - STN62 - BUJUKO-BULOBA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66" t="str">
        <f>'4.11 Bujuko-Buloba'!G5:H5</f>
        <v>Buloba Pop Oil</v>
      </c>
      <c r="H5" s="67"/>
      <c r="I5" s="14"/>
      <c r="J5" s="2" t="s">
        <v>5</v>
      </c>
      <c r="K5" s="66" t="str">
        <f>'4.11 Bujuko-Buloba'!K5:L5</f>
        <v>Doreen Geofrey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'4.11 Bujuko-Buloba'!D6:E6</f>
        <v>Bujuko</v>
      </c>
      <c r="E6" s="67"/>
      <c r="F6" s="2" t="s">
        <v>2</v>
      </c>
      <c r="G6" s="66" t="str">
        <f>'4.11 Bujuko-Buloba'!G6:H6</f>
        <v xml:space="preserve">Buloba </v>
      </c>
      <c r="H6" s="67"/>
      <c r="J6" s="2" t="s">
        <v>21</v>
      </c>
      <c r="K6" s="66" t="str">
        <f>'4.11 Bujuko-Buloba'!K6:L6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AVERAGE('29.10 Bujuko-Buloba'!C10,'30.10 Bujuko-Buloba'!C10,'1.11 Bujuko-Buloba'!C10,'3.11 Bujuko-Buloba'!C10,'31.10 Bujuko-Buloba-24h'!C10,'2.11 Bujuko-Buloba-24HR'!C10,'4.11 Bujuko-Buloba'!C10)</f>
        <v>12.857142857142858</v>
      </c>
      <c r="D10" s="49">
        <f>AVERAGE('29.10 Bujuko-Buloba'!D10,'30.10 Bujuko-Buloba'!D10,'1.11 Bujuko-Buloba'!D10,'3.11 Bujuko-Buloba'!D10,'31.10 Bujuko-Buloba-24h'!D10,'2.11 Bujuko-Buloba-24HR'!D10,'4.11 Bujuko-Buloba'!D10)</f>
        <v>1.7142857142857142</v>
      </c>
      <c r="E10" s="49">
        <f>AVERAGE('29.10 Bujuko-Buloba'!E10,'30.10 Bujuko-Buloba'!E10,'1.11 Bujuko-Buloba'!E10,'3.11 Bujuko-Buloba'!E10,'31.10 Bujuko-Buloba-24h'!E10,'2.11 Bujuko-Buloba-24HR'!E10,'4.11 Bujuko-Buloba'!E10)</f>
        <v>1</v>
      </c>
      <c r="F10" s="49">
        <f>AVERAGE('29.10 Bujuko-Buloba'!F10,'30.10 Bujuko-Buloba'!F10,'1.11 Bujuko-Buloba'!F10,'3.11 Bujuko-Buloba'!F10,'31.10 Bujuko-Buloba-24h'!F10,'2.11 Bujuko-Buloba-24HR'!F10,'4.11 Bujuko-Buloba'!F10)</f>
        <v>13.571428571428571</v>
      </c>
      <c r="G10" s="49">
        <f>AVERAGE('29.10 Bujuko-Buloba'!G10,'30.10 Bujuko-Buloba'!G10,'1.11 Bujuko-Buloba'!G10,'3.11 Bujuko-Buloba'!G10,'31.10 Bujuko-Buloba-24h'!G10,'2.11 Bujuko-Buloba-24HR'!G10,'4.11 Bujuko-Buloba'!G10)</f>
        <v>0.7142857142857143</v>
      </c>
      <c r="H10" s="49">
        <f>AVERAGE('29.10 Bujuko-Buloba'!H10,'30.10 Bujuko-Buloba'!H10,'1.11 Bujuko-Buloba'!H10,'3.11 Bujuko-Buloba'!H10,'31.10 Bujuko-Buloba-24h'!H10,'2.11 Bujuko-Buloba-24HR'!H10,'4.11 Bujuko-Buloba'!H10)</f>
        <v>0</v>
      </c>
      <c r="I10" s="49">
        <f>AVERAGE('29.10 Bujuko-Buloba'!I10,'30.10 Bujuko-Buloba'!I10,'1.11 Bujuko-Buloba'!I10,'3.11 Bujuko-Buloba'!I10,'31.10 Bujuko-Buloba-24h'!I10,'2.11 Bujuko-Buloba-24HR'!I10,'4.11 Bujuko-Buloba'!I10)</f>
        <v>2.5714285714285716</v>
      </c>
      <c r="J10" s="49">
        <f>AVERAGE('29.10 Bujuko-Buloba'!J10,'30.10 Bujuko-Buloba'!J10,'1.11 Bujuko-Buloba'!J10,'3.11 Bujuko-Buloba'!J10,'31.10 Bujuko-Buloba-24h'!J10,'2.11 Bujuko-Buloba-24HR'!J10,'4.11 Bujuko-Buloba'!J10)</f>
        <v>1.2857142857142858</v>
      </c>
      <c r="K10" s="49">
        <f>AVERAGE('29.10 Bujuko-Buloba'!K10,'30.10 Bujuko-Buloba'!K10,'1.11 Bujuko-Buloba'!K10,'3.11 Bujuko-Buloba'!K10,'31.10 Bujuko-Buloba-24h'!K10,'2.11 Bujuko-Buloba-24HR'!K10,'4.11 Bujuko-Buloba'!K10)</f>
        <v>0.14285714285714285</v>
      </c>
      <c r="L10" s="49">
        <f>AVERAGE('29.10 Bujuko-Buloba'!L10,'30.10 Bujuko-Buloba'!L10,'1.11 Bujuko-Buloba'!L10,'3.11 Bujuko-Buloba'!L10,'31.10 Bujuko-Buloba-24h'!L10,'2.11 Bujuko-Buloba-24HR'!L10,'4.11 Bujuko-Buloba'!L10)</f>
        <v>0.5714285714285714</v>
      </c>
      <c r="M10" s="49">
        <f>AVERAGE('29.10 Bujuko-Buloba'!M10,'30.10 Bujuko-Buloba'!M10,'1.11 Bujuko-Buloba'!M10,'3.11 Bujuko-Buloba'!M10,'31.10 Bujuko-Buloba-24h'!M10,'2.11 Bujuko-Buloba-24HR'!M10,'4.11 Bujuko-Buloba'!M10)</f>
        <v>15.857142857142858</v>
      </c>
      <c r="N10" s="49">
        <f>AVERAGE('29.10 Bujuko-Buloba'!N10,'30.10 Bujuko-Buloba'!N10,'1.11 Bujuko-Buloba'!N10,'3.11 Bujuko-Buloba'!N10,'31.10 Bujuko-Buloba-24h'!N10,'2.11 Bujuko-Buloba-24HR'!N10,'4.11 Bujuko-Buloba'!N10)</f>
        <v>0</v>
      </c>
      <c r="O10" s="15">
        <f t="shared" ref="O10:O73" si="0">SUM(C10:L10,N10)</f>
        <v>34.428571428571431</v>
      </c>
      <c r="P10" s="15">
        <f t="shared" ref="P10:P73" si="1">SUM(C10:N10)</f>
        <v>50.285714285714292</v>
      </c>
      <c r="R10" s="1" t="s">
        <v>6</v>
      </c>
      <c r="S10" s="17">
        <f t="shared" ref="S10:AF10" si="2">SUM(C10:C13)</f>
        <v>57.857142857142861</v>
      </c>
      <c r="T10" s="17">
        <f t="shared" si="2"/>
        <v>7</v>
      </c>
      <c r="U10" s="17">
        <f t="shared" si="2"/>
        <v>5.4285714285714288</v>
      </c>
      <c r="V10" s="17">
        <f t="shared" si="2"/>
        <v>59.571428571428569</v>
      </c>
      <c r="W10" s="17">
        <f t="shared" si="2"/>
        <v>1.1428571428571428</v>
      </c>
      <c r="X10" s="17">
        <f t="shared" si="2"/>
        <v>0</v>
      </c>
      <c r="Y10" s="17">
        <f t="shared" si="2"/>
        <v>9.571428571428573</v>
      </c>
      <c r="Z10" s="17">
        <f t="shared" si="2"/>
        <v>7.4285714285714279</v>
      </c>
      <c r="AA10" s="17">
        <f t="shared" si="2"/>
        <v>1.4285714285714284</v>
      </c>
      <c r="AB10" s="17">
        <f t="shared" si="2"/>
        <v>2.1428571428571423</v>
      </c>
      <c r="AC10" s="17">
        <f t="shared" si="2"/>
        <v>74.571428571428569</v>
      </c>
      <c r="AD10" s="17">
        <f t="shared" si="2"/>
        <v>0</v>
      </c>
      <c r="AE10" s="31">
        <f t="shared" si="2"/>
        <v>151.57142857142856</v>
      </c>
      <c r="AF10" s="31">
        <f t="shared" si="2"/>
        <v>226.14285714285711</v>
      </c>
    </row>
    <row r="11" spans="2:32" s="6" customFormat="1" ht="23.1" customHeight="1" x14ac:dyDescent="0.25">
      <c r="B11" s="23" t="s">
        <v>38</v>
      </c>
      <c r="C11" s="49">
        <f>AVERAGE('29.10 Bujuko-Buloba'!C11,'30.10 Bujuko-Buloba'!C11,'1.11 Bujuko-Buloba'!C11,'3.11 Bujuko-Buloba'!C11,'31.10 Bujuko-Buloba-24h'!C11,'2.11 Bujuko-Buloba-24HR'!C11,'4.11 Bujuko-Buloba'!C11)</f>
        <v>13.571428571428571</v>
      </c>
      <c r="D11" s="49">
        <f>AVERAGE('29.10 Bujuko-Buloba'!D11,'30.10 Bujuko-Buloba'!D11,'1.11 Bujuko-Buloba'!D11,'3.11 Bujuko-Buloba'!D11,'31.10 Bujuko-Buloba-24h'!D11,'2.11 Bujuko-Buloba-24HR'!D11,'4.11 Bujuko-Buloba'!D11)</f>
        <v>1.5714285714285714</v>
      </c>
      <c r="E11" s="49">
        <f>AVERAGE('29.10 Bujuko-Buloba'!E11,'30.10 Bujuko-Buloba'!E11,'1.11 Bujuko-Buloba'!E11,'3.11 Bujuko-Buloba'!E11,'31.10 Bujuko-Buloba-24h'!E11,'2.11 Bujuko-Buloba-24HR'!E11,'4.11 Bujuko-Buloba'!E11)</f>
        <v>0.7142857142857143</v>
      </c>
      <c r="F11" s="49">
        <f>AVERAGE('29.10 Bujuko-Buloba'!F11,'30.10 Bujuko-Buloba'!F11,'1.11 Bujuko-Buloba'!F11,'3.11 Bujuko-Buloba'!F11,'31.10 Bujuko-Buloba-24h'!F11,'2.11 Bujuko-Buloba-24HR'!F11,'4.11 Bujuko-Buloba'!F11)</f>
        <v>16.428571428571427</v>
      </c>
      <c r="G11" s="49">
        <f>AVERAGE('29.10 Bujuko-Buloba'!G11,'30.10 Bujuko-Buloba'!G11,'1.11 Bujuko-Buloba'!G11,'3.11 Bujuko-Buloba'!G11,'31.10 Bujuko-Buloba-24h'!G11,'2.11 Bujuko-Buloba-24HR'!G11,'4.11 Bujuko-Buloba'!G11)</f>
        <v>0</v>
      </c>
      <c r="H11" s="49">
        <f>AVERAGE('29.10 Bujuko-Buloba'!H11,'30.10 Bujuko-Buloba'!H11,'1.11 Bujuko-Buloba'!H11,'3.11 Bujuko-Buloba'!H11,'31.10 Bujuko-Buloba-24h'!H11,'2.11 Bujuko-Buloba-24HR'!H11,'4.11 Bujuko-Buloba'!H11)</f>
        <v>0</v>
      </c>
      <c r="I11" s="49">
        <f>AVERAGE('29.10 Bujuko-Buloba'!I11,'30.10 Bujuko-Buloba'!I11,'1.11 Bujuko-Buloba'!I11,'3.11 Bujuko-Buloba'!I11,'31.10 Bujuko-Buloba-24h'!I11,'2.11 Bujuko-Buloba-24HR'!I11,'4.11 Bujuko-Buloba'!I11)</f>
        <v>3.2857142857142856</v>
      </c>
      <c r="J11" s="49">
        <f>AVERAGE('29.10 Bujuko-Buloba'!J11,'30.10 Bujuko-Buloba'!J11,'1.11 Bujuko-Buloba'!J11,'3.11 Bujuko-Buloba'!J11,'31.10 Bujuko-Buloba-24h'!J11,'2.11 Bujuko-Buloba-24HR'!J11,'4.11 Bujuko-Buloba'!J11)</f>
        <v>2.2857142857142856</v>
      </c>
      <c r="K11" s="49">
        <f>AVERAGE('29.10 Bujuko-Buloba'!K11,'30.10 Bujuko-Buloba'!K11,'1.11 Bujuko-Buloba'!K11,'3.11 Bujuko-Buloba'!K11,'31.10 Bujuko-Buloba-24h'!K11,'2.11 Bujuko-Buloba-24HR'!K11,'4.11 Bujuko-Buloba'!K11)</f>
        <v>0.14285714285714285</v>
      </c>
      <c r="L11" s="49">
        <f>AVERAGE('29.10 Bujuko-Buloba'!L11,'30.10 Bujuko-Buloba'!L11,'1.11 Bujuko-Buloba'!L11,'3.11 Bujuko-Buloba'!L11,'31.10 Bujuko-Buloba-24h'!L11,'2.11 Bujuko-Buloba-24HR'!L11,'4.11 Bujuko-Buloba'!L11)</f>
        <v>0.7142857142857143</v>
      </c>
      <c r="M11" s="49">
        <f>AVERAGE('29.10 Bujuko-Buloba'!M11,'30.10 Bujuko-Buloba'!M11,'1.11 Bujuko-Buloba'!M11,'3.11 Bujuko-Buloba'!M11,'31.10 Bujuko-Buloba-24h'!M11,'2.11 Bujuko-Buloba-24HR'!M11,'4.11 Bujuko-Buloba'!M11)</f>
        <v>15.714285714285714</v>
      </c>
      <c r="N11" s="49">
        <f>AVERAGE('29.10 Bujuko-Buloba'!N11,'30.10 Bujuko-Buloba'!N11,'1.11 Bujuko-Buloba'!N11,'3.11 Bujuko-Buloba'!N11,'31.10 Bujuko-Buloba-24h'!N11,'2.11 Bujuko-Buloba-24HR'!N11,'4.11 Bujuko-Buloba'!N11)</f>
        <v>0</v>
      </c>
      <c r="O11" s="15">
        <f t="shared" si="0"/>
        <v>38.714285714285715</v>
      </c>
      <c r="P11" s="15">
        <f t="shared" si="1"/>
        <v>54.428571428571431</v>
      </c>
      <c r="R11" s="1" t="s">
        <v>7</v>
      </c>
      <c r="S11" s="17">
        <f t="shared" ref="S11:AF11" si="3">SUM(C14:C17)</f>
        <v>63.571428571428569</v>
      </c>
      <c r="T11" s="17">
        <f t="shared" si="3"/>
        <v>8.5714285714285712</v>
      </c>
      <c r="U11" s="17">
        <f t="shared" si="3"/>
        <v>8.2857142857142865</v>
      </c>
      <c r="V11" s="17">
        <f t="shared" si="3"/>
        <v>63.857142857142861</v>
      </c>
      <c r="W11" s="17">
        <f t="shared" si="3"/>
        <v>0.71428571428571419</v>
      </c>
      <c r="X11" s="17">
        <f t="shared" si="3"/>
        <v>0.14285714285714285</v>
      </c>
      <c r="Y11" s="17">
        <f t="shared" si="3"/>
        <v>14.285714285714285</v>
      </c>
      <c r="Z11" s="17">
        <f t="shared" si="3"/>
        <v>5.8571428571428577</v>
      </c>
      <c r="AA11" s="17">
        <f t="shared" si="3"/>
        <v>1.2857142857142856</v>
      </c>
      <c r="AB11" s="17">
        <f t="shared" si="3"/>
        <v>2.1428571428571428</v>
      </c>
      <c r="AC11" s="17">
        <f t="shared" si="3"/>
        <v>92.428571428571431</v>
      </c>
      <c r="AD11" s="17">
        <f t="shared" si="3"/>
        <v>0</v>
      </c>
      <c r="AE11" s="31">
        <f t="shared" si="3"/>
        <v>168.71428571428572</v>
      </c>
      <c r="AF11" s="31">
        <f t="shared" si="3"/>
        <v>261.14285714285711</v>
      </c>
    </row>
    <row r="12" spans="2:32" ht="23.1" customHeight="1" x14ac:dyDescent="0.25">
      <c r="B12" s="23" t="s">
        <v>39</v>
      </c>
      <c r="C12" s="49">
        <f>AVERAGE('29.10 Bujuko-Buloba'!C12,'30.10 Bujuko-Buloba'!C12,'1.11 Bujuko-Buloba'!C12,'3.11 Bujuko-Buloba'!C12,'31.10 Bujuko-Buloba-24h'!C12,'2.11 Bujuko-Buloba-24HR'!C12,'4.11 Bujuko-Buloba'!C12)</f>
        <v>17.714285714285715</v>
      </c>
      <c r="D12" s="49">
        <f>AVERAGE('29.10 Bujuko-Buloba'!D12,'30.10 Bujuko-Buloba'!D12,'1.11 Bujuko-Buloba'!D12,'3.11 Bujuko-Buloba'!D12,'31.10 Bujuko-Buloba-24h'!D12,'2.11 Bujuko-Buloba-24HR'!D12,'4.11 Bujuko-Buloba'!D12)</f>
        <v>1.8571428571428572</v>
      </c>
      <c r="E12" s="49">
        <f>AVERAGE('29.10 Bujuko-Buloba'!E12,'30.10 Bujuko-Buloba'!E12,'1.11 Bujuko-Buloba'!E12,'3.11 Bujuko-Buloba'!E12,'31.10 Bujuko-Buloba-24h'!E12,'2.11 Bujuko-Buloba-24HR'!E12,'4.11 Bujuko-Buloba'!E12)</f>
        <v>1.5714285714285714</v>
      </c>
      <c r="F12" s="49">
        <f>AVERAGE('29.10 Bujuko-Buloba'!F12,'30.10 Bujuko-Buloba'!F12,'1.11 Bujuko-Buloba'!F12,'3.11 Bujuko-Buloba'!F12,'31.10 Bujuko-Buloba-24h'!F12,'2.11 Bujuko-Buloba-24HR'!F12,'4.11 Bujuko-Buloba'!F12)</f>
        <v>16.428571428571427</v>
      </c>
      <c r="G12" s="49">
        <f>AVERAGE('29.10 Bujuko-Buloba'!G12,'30.10 Bujuko-Buloba'!G12,'1.11 Bujuko-Buloba'!G12,'3.11 Bujuko-Buloba'!G12,'31.10 Bujuko-Buloba-24h'!G12,'2.11 Bujuko-Buloba-24HR'!G12,'4.11 Bujuko-Buloba'!G12)</f>
        <v>0</v>
      </c>
      <c r="H12" s="49">
        <f>AVERAGE('29.10 Bujuko-Buloba'!H12,'30.10 Bujuko-Buloba'!H12,'1.11 Bujuko-Buloba'!H12,'3.11 Bujuko-Buloba'!H12,'31.10 Bujuko-Buloba-24h'!H12,'2.11 Bujuko-Buloba-24HR'!H12,'4.11 Bujuko-Buloba'!H12)</f>
        <v>0</v>
      </c>
      <c r="I12" s="49">
        <f>AVERAGE('29.10 Bujuko-Buloba'!I12,'30.10 Bujuko-Buloba'!I12,'1.11 Bujuko-Buloba'!I12,'3.11 Bujuko-Buloba'!I12,'31.10 Bujuko-Buloba-24h'!I12,'2.11 Bujuko-Buloba-24HR'!I12,'4.11 Bujuko-Buloba'!I12)</f>
        <v>1.8571428571428572</v>
      </c>
      <c r="J12" s="49">
        <f>AVERAGE('29.10 Bujuko-Buloba'!J12,'30.10 Bujuko-Buloba'!J12,'1.11 Bujuko-Buloba'!J12,'3.11 Bujuko-Buloba'!J12,'31.10 Bujuko-Buloba-24h'!J12,'2.11 Bujuko-Buloba-24HR'!J12,'4.11 Bujuko-Buloba'!J12)</f>
        <v>2.1428571428571428</v>
      </c>
      <c r="K12" s="49">
        <f>AVERAGE('29.10 Bujuko-Buloba'!K12,'30.10 Bujuko-Buloba'!K12,'1.11 Bujuko-Buloba'!K12,'3.11 Bujuko-Buloba'!K12,'31.10 Bujuko-Buloba-24h'!K12,'2.11 Bujuko-Buloba-24HR'!K12,'4.11 Bujuko-Buloba'!K12)</f>
        <v>0.5714285714285714</v>
      </c>
      <c r="L12" s="49">
        <f>AVERAGE('29.10 Bujuko-Buloba'!L12,'30.10 Bujuko-Buloba'!L12,'1.11 Bujuko-Buloba'!L12,'3.11 Bujuko-Buloba'!L12,'31.10 Bujuko-Buloba-24h'!L12,'2.11 Bujuko-Buloba-24HR'!L12,'4.11 Bujuko-Buloba'!L12)</f>
        <v>0.2857142857142857</v>
      </c>
      <c r="M12" s="49">
        <f>AVERAGE('29.10 Bujuko-Buloba'!M12,'30.10 Bujuko-Buloba'!M12,'1.11 Bujuko-Buloba'!M12,'3.11 Bujuko-Buloba'!M12,'31.10 Bujuko-Buloba-24h'!M12,'2.11 Bujuko-Buloba-24HR'!M12,'4.11 Bujuko-Buloba'!M12)</f>
        <v>21.428571428571427</v>
      </c>
      <c r="N12" s="49">
        <f>AVERAGE('29.10 Bujuko-Buloba'!N12,'30.10 Bujuko-Buloba'!N12,'1.11 Bujuko-Buloba'!N12,'3.11 Bujuko-Buloba'!N12,'31.10 Bujuko-Buloba-24h'!N12,'2.11 Bujuko-Buloba-24HR'!N12,'4.11 Bujuko-Buloba'!N12)</f>
        <v>0</v>
      </c>
      <c r="O12" s="15">
        <f t="shared" si="0"/>
        <v>42.428571428571423</v>
      </c>
      <c r="P12" s="15">
        <f t="shared" si="1"/>
        <v>63.857142857142847</v>
      </c>
      <c r="R12" s="1" t="s">
        <v>8</v>
      </c>
      <c r="S12" s="17">
        <f t="shared" ref="S12:AF12" si="4">SUM(C18:C21)</f>
        <v>55.857142857142861</v>
      </c>
      <c r="T12" s="17">
        <f t="shared" si="4"/>
        <v>10</v>
      </c>
      <c r="U12" s="17">
        <f t="shared" si="4"/>
        <v>8.2857142857142847</v>
      </c>
      <c r="V12" s="17">
        <f t="shared" si="4"/>
        <v>61.142857142857146</v>
      </c>
      <c r="W12" s="17">
        <f t="shared" si="4"/>
        <v>0.5714285714285714</v>
      </c>
      <c r="X12" s="17">
        <f t="shared" si="4"/>
        <v>0.2857142857142857</v>
      </c>
      <c r="Y12" s="17">
        <f t="shared" si="4"/>
        <v>14.285714285714285</v>
      </c>
      <c r="Z12" s="17">
        <f t="shared" si="4"/>
        <v>6.4285714285714279</v>
      </c>
      <c r="AA12" s="17">
        <f t="shared" si="4"/>
        <v>1.7142857142857142</v>
      </c>
      <c r="AB12" s="17">
        <f t="shared" si="4"/>
        <v>1.2857142857142856</v>
      </c>
      <c r="AC12" s="17">
        <f t="shared" si="4"/>
        <v>82.857142857142861</v>
      </c>
      <c r="AD12" s="17">
        <f t="shared" si="4"/>
        <v>0</v>
      </c>
      <c r="AE12" s="31">
        <f t="shared" si="4"/>
        <v>159.85714285714286</v>
      </c>
      <c r="AF12" s="31">
        <f t="shared" si="4"/>
        <v>242.71428571428575</v>
      </c>
    </row>
    <row r="13" spans="2:32" ht="23.1" customHeight="1" x14ac:dyDescent="0.25">
      <c r="B13" s="23" t="s">
        <v>40</v>
      </c>
      <c r="C13" s="49">
        <f>AVERAGE('29.10 Bujuko-Buloba'!C13,'30.10 Bujuko-Buloba'!C13,'1.11 Bujuko-Buloba'!C13,'3.11 Bujuko-Buloba'!C13,'31.10 Bujuko-Buloba-24h'!C13,'2.11 Bujuko-Buloba-24HR'!C13,'4.11 Bujuko-Buloba'!C13)</f>
        <v>13.714285714285714</v>
      </c>
      <c r="D13" s="49">
        <f>AVERAGE('29.10 Bujuko-Buloba'!D13,'30.10 Bujuko-Buloba'!D13,'1.11 Bujuko-Buloba'!D13,'3.11 Bujuko-Buloba'!D13,'31.10 Bujuko-Buloba-24h'!D13,'2.11 Bujuko-Buloba-24HR'!D13,'4.11 Bujuko-Buloba'!D13)</f>
        <v>1.8571428571428572</v>
      </c>
      <c r="E13" s="49">
        <f>AVERAGE('29.10 Bujuko-Buloba'!E13,'30.10 Bujuko-Buloba'!E13,'1.11 Bujuko-Buloba'!E13,'3.11 Bujuko-Buloba'!E13,'31.10 Bujuko-Buloba-24h'!E13,'2.11 Bujuko-Buloba-24HR'!E13,'4.11 Bujuko-Buloba'!E13)</f>
        <v>2.1428571428571428</v>
      </c>
      <c r="F13" s="49">
        <f>AVERAGE('29.10 Bujuko-Buloba'!F13,'30.10 Bujuko-Buloba'!F13,'1.11 Bujuko-Buloba'!F13,'3.11 Bujuko-Buloba'!F13,'31.10 Bujuko-Buloba-24h'!F13,'2.11 Bujuko-Buloba-24HR'!F13,'4.11 Bujuko-Buloba'!F13)</f>
        <v>13.142857142857142</v>
      </c>
      <c r="G13" s="49">
        <f>AVERAGE('29.10 Bujuko-Buloba'!G13,'30.10 Bujuko-Buloba'!G13,'1.11 Bujuko-Buloba'!G13,'3.11 Bujuko-Buloba'!G13,'31.10 Bujuko-Buloba-24h'!G13,'2.11 Bujuko-Buloba-24HR'!G13,'4.11 Bujuko-Buloba'!G13)</f>
        <v>0.42857142857142855</v>
      </c>
      <c r="H13" s="49">
        <f>AVERAGE('29.10 Bujuko-Buloba'!H13,'30.10 Bujuko-Buloba'!H13,'1.11 Bujuko-Buloba'!H13,'3.11 Bujuko-Buloba'!H13,'31.10 Bujuko-Buloba-24h'!H13,'2.11 Bujuko-Buloba-24HR'!H13,'4.11 Bujuko-Buloba'!H13)</f>
        <v>0</v>
      </c>
      <c r="I13" s="49">
        <f>AVERAGE('29.10 Bujuko-Buloba'!I13,'30.10 Bujuko-Buloba'!I13,'1.11 Bujuko-Buloba'!I13,'3.11 Bujuko-Buloba'!I13,'31.10 Bujuko-Buloba-24h'!I13,'2.11 Bujuko-Buloba-24HR'!I13,'4.11 Bujuko-Buloba'!I13)</f>
        <v>1.8571428571428572</v>
      </c>
      <c r="J13" s="49">
        <f>AVERAGE('29.10 Bujuko-Buloba'!J13,'30.10 Bujuko-Buloba'!J13,'1.11 Bujuko-Buloba'!J13,'3.11 Bujuko-Buloba'!J13,'31.10 Bujuko-Buloba-24h'!J13,'2.11 Bujuko-Buloba-24HR'!J13,'4.11 Bujuko-Buloba'!J13)</f>
        <v>1.7142857142857142</v>
      </c>
      <c r="K13" s="49">
        <f>AVERAGE('29.10 Bujuko-Buloba'!K13,'30.10 Bujuko-Buloba'!K13,'1.11 Bujuko-Buloba'!K13,'3.11 Bujuko-Buloba'!K13,'31.10 Bujuko-Buloba-24h'!K13,'2.11 Bujuko-Buloba-24HR'!K13,'4.11 Bujuko-Buloba'!K13)</f>
        <v>0.5714285714285714</v>
      </c>
      <c r="L13" s="49">
        <f>AVERAGE('29.10 Bujuko-Buloba'!L13,'30.10 Bujuko-Buloba'!L13,'1.11 Bujuko-Buloba'!L13,'3.11 Bujuko-Buloba'!L13,'31.10 Bujuko-Buloba-24h'!L13,'2.11 Bujuko-Buloba-24HR'!L13,'4.11 Bujuko-Buloba'!L13)</f>
        <v>0.5714285714285714</v>
      </c>
      <c r="M13" s="49">
        <f>AVERAGE('29.10 Bujuko-Buloba'!M13,'30.10 Bujuko-Buloba'!M13,'1.11 Bujuko-Buloba'!M13,'3.11 Bujuko-Buloba'!M13,'31.10 Bujuko-Buloba-24h'!M13,'2.11 Bujuko-Buloba-24HR'!M13,'4.11 Bujuko-Buloba'!M13)</f>
        <v>21.571428571428573</v>
      </c>
      <c r="N13" s="49">
        <f>AVERAGE('29.10 Bujuko-Buloba'!N13,'30.10 Bujuko-Buloba'!N13,'1.11 Bujuko-Buloba'!N13,'3.11 Bujuko-Buloba'!N13,'31.10 Bujuko-Buloba-24h'!N13,'2.11 Bujuko-Buloba-24HR'!N13,'4.11 Bujuko-Buloba'!N13)</f>
        <v>0</v>
      </c>
      <c r="O13" s="15">
        <f t="shared" si="0"/>
        <v>35.999999999999993</v>
      </c>
      <c r="P13" s="15">
        <f t="shared" si="1"/>
        <v>57.571428571428569</v>
      </c>
      <c r="R13" s="1" t="s">
        <v>9</v>
      </c>
      <c r="S13" s="17">
        <f t="shared" ref="S13:AF13" si="5">SUM(C22:C25)</f>
        <v>53.428571428571431</v>
      </c>
      <c r="T13" s="17">
        <f t="shared" si="5"/>
        <v>9.1428571428571423</v>
      </c>
      <c r="U13" s="17">
        <f t="shared" si="5"/>
        <v>7.8571428571428577</v>
      </c>
      <c r="V13" s="17">
        <f t="shared" si="5"/>
        <v>53.428571428571431</v>
      </c>
      <c r="W13" s="17">
        <f t="shared" si="5"/>
        <v>0.5714285714285714</v>
      </c>
      <c r="X13" s="17">
        <f t="shared" si="5"/>
        <v>0.71428571428571419</v>
      </c>
      <c r="Y13" s="17">
        <f t="shared" si="5"/>
        <v>13.714285714285715</v>
      </c>
      <c r="Z13" s="17">
        <f t="shared" si="5"/>
        <v>5.8571428571428568</v>
      </c>
      <c r="AA13" s="17">
        <f t="shared" si="5"/>
        <v>1.4285714285714284</v>
      </c>
      <c r="AB13" s="17">
        <f t="shared" si="5"/>
        <v>2.5714285714285712</v>
      </c>
      <c r="AC13" s="17">
        <f t="shared" si="5"/>
        <v>77.428571428571431</v>
      </c>
      <c r="AD13" s="17">
        <f t="shared" si="5"/>
        <v>0</v>
      </c>
      <c r="AE13" s="31">
        <f t="shared" si="5"/>
        <v>148.71428571428569</v>
      </c>
      <c r="AF13" s="31">
        <f t="shared" si="5"/>
        <v>226.14285714285717</v>
      </c>
    </row>
    <row r="14" spans="2:32" ht="23.1" customHeight="1" x14ac:dyDescent="0.25">
      <c r="B14" s="23" t="s">
        <v>41</v>
      </c>
      <c r="C14" s="49">
        <f>AVERAGE('29.10 Bujuko-Buloba'!C14,'30.10 Bujuko-Buloba'!C14,'1.11 Bujuko-Buloba'!C14,'3.11 Bujuko-Buloba'!C14,'31.10 Bujuko-Buloba-24h'!C14,'2.11 Bujuko-Buloba-24HR'!C14,'4.11 Bujuko-Buloba'!C14)</f>
        <v>13.142857142857142</v>
      </c>
      <c r="D14" s="49">
        <f>AVERAGE('29.10 Bujuko-Buloba'!D14,'30.10 Bujuko-Buloba'!D14,'1.11 Bujuko-Buloba'!D14,'3.11 Bujuko-Buloba'!D14,'31.10 Bujuko-Buloba-24h'!D14,'2.11 Bujuko-Buloba-24HR'!D14,'4.11 Bujuko-Buloba'!D14)</f>
        <v>2.1428571428571428</v>
      </c>
      <c r="E14" s="49">
        <f>AVERAGE('29.10 Bujuko-Buloba'!E14,'30.10 Bujuko-Buloba'!E14,'1.11 Bujuko-Buloba'!E14,'3.11 Bujuko-Buloba'!E14,'31.10 Bujuko-Buloba-24h'!E14,'2.11 Bujuko-Buloba-24HR'!E14,'4.11 Bujuko-Buloba'!E14)</f>
        <v>1.4285714285714286</v>
      </c>
      <c r="F14" s="49">
        <f>AVERAGE('29.10 Bujuko-Buloba'!F14,'30.10 Bujuko-Buloba'!F14,'1.11 Bujuko-Buloba'!F14,'3.11 Bujuko-Buloba'!F14,'31.10 Bujuko-Buloba-24h'!F14,'2.11 Bujuko-Buloba-24HR'!F14,'4.11 Bujuko-Buloba'!F14)</f>
        <v>15.142857142857142</v>
      </c>
      <c r="G14" s="49">
        <f>AVERAGE('29.10 Bujuko-Buloba'!G14,'30.10 Bujuko-Buloba'!G14,'1.11 Bujuko-Buloba'!G14,'3.11 Bujuko-Buloba'!G14,'31.10 Bujuko-Buloba-24h'!G14,'2.11 Bujuko-Buloba-24HR'!G14,'4.11 Bujuko-Buloba'!G14)</f>
        <v>0</v>
      </c>
      <c r="H14" s="49">
        <f>AVERAGE('29.10 Bujuko-Buloba'!H14,'30.10 Bujuko-Buloba'!H14,'1.11 Bujuko-Buloba'!H14,'3.11 Bujuko-Buloba'!H14,'31.10 Bujuko-Buloba-24h'!H14,'2.11 Bujuko-Buloba-24HR'!H14,'4.11 Bujuko-Buloba'!H14)</f>
        <v>0</v>
      </c>
      <c r="I14" s="49">
        <f>AVERAGE('29.10 Bujuko-Buloba'!I14,'30.10 Bujuko-Buloba'!I14,'1.11 Bujuko-Buloba'!I14,'3.11 Bujuko-Buloba'!I14,'31.10 Bujuko-Buloba-24h'!I14,'2.11 Bujuko-Buloba-24HR'!I14,'4.11 Bujuko-Buloba'!I14)</f>
        <v>2.2857142857142856</v>
      </c>
      <c r="J14" s="49">
        <f>AVERAGE('29.10 Bujuko-Buloba'!J14,'30.10 Bujuko-Buloba'!J14,'1.11 Bujuko-Buloba'!J14,'3.11 Bujuko-Buloba'!J14,'31.10 Bujuko-Buloba-24h'!J14,'2.11 Bujuko-Buloba-24HR'!J14,'4.11 Bujuko-Buloba'!J14)</f>
        <v>1</v>
      </c>
      <c r="K14" s="49">
        <f>AVERAGE('29.10 Bujuko-Buloba'!K14,'30.10 Bujuko-Buloba'!K14,'1.11 Bujuko-Buloba'!K14,'3.11 Bujuko-Buloba'!K14,'31.10 Bujuko-Buloba-24h'!K14,'2.11 Bujuko-Buloba-24HR'!K14,'4.11 Bujuko-Buloba'!K14)</f>
        <v>0.42857142857142855</v>
      </c>
      <c r="L14" s="49">
        <f>AVERAGE('29.10 Bujuko-Buloba'!L14,'30.10 Bujuko-Buloba'!L14,'1.11 Bujuko-Buloba'!L14,'3.11 Bujuko-Buloba'!L14,'31.10 Bujuko-Buloba-24h'!L14,'2.11 Bujuko-Buloba-24HR'!L14,'4.11 Bujuko-Buloba'!L14)</f>
        <v>0.42857142857142855</v>
      </c>
      <c r="M14" s="49">
        <f>AVERAGE('29.10 Bujuko-Buloba'!M14,'30.10 Bujuko-Buloba'!M14,'1.11 Bujuko-Buloba'!M14,'3.11 Bujuko-Buloba'!M14,'31.10 Bujuko-Buloba-24h'!M14,'2.11 Bujuko-Buloba-24HR'!M14,'4.11 Bujuko-Buloba'!M14)</f>
        <v>21.571428571428573</v>
      </c>
      <c r="N14" s="49">
        <f>AVERAGE('29.10 Bujuko-Buloba'!N14,'30.10 Bujuko-Buloba'!N14,'1.11 Bujuko-Buloba'!N14,'3.11 Bujuko-Buloba'!N14,'31.10 Bujuko-Buloba-24h'!N14,'2.11 Bujuko-Buloba-24HR'!N14,'4.11 Bujuko-Buloba'!N14)</f>
        <v>0</v>
      </c>
      <c r="O14" s="15">
        <f t="shared" si="0"/>
        <v>36</v>
      </c>
      <c r="P14" s="15">
        <f t="shared" si="1"/>
        <v>57.571428571428569</v>
      </c>
      <c r="R14" s="1" t="s">
        <v>10</v>
      </c>
      <c r="S14" s="17">
        <f t="shared" ref="S14:AF14" si="6">SUM(C26:C29)</f>
        <v>50.857142857142861</v>
      </c>
      <c r="T14" s="17">
        <f t="shared" si="6"/>
        <v>11.857142857142858</v>
      </c>
      <c r="U14" s="17">
        <f t="shared" si="6"/>
        <v>7.8571428571428577</v>
      </c>
      <c r="V14" s="17">
        <f t="shared" si="6"/>
        <v>50.142857142857139</v>
      </c>
      <c r="W14" s="17">
        <f t="shared" si="6"/>
        <v>0.71428571428571419</v>
      </c>
      <c r="X14" s="17">
        <f t="shared" si="6"/>
        <v>0.42857142857142855</v>
      </c>
      <c r="Y14" s="17">
        <f t="shared" si="6"/>
        <v>18.285714285714285</v>
      </c>
      <c r="Z14" s="17">
        <f t="shared" si="6"/>
        <v>4.8571428571428577</v>
      </c>
      <c r="AA14" s="17">
        <f t="shared" si="6"/>
        <v>1.857142857142857</v>
      </c>
      <c r="AB14" s="17">
        <f t="shared" si="6"/>
        <v>3.1428571428571428</v>
      </c>
      <c r="AC14" s="17">
        <f t="shared" si="6"/>
        <v>65.428571428571431</v>
      </c>
      <c r="AD14" s="17">
        <f t="shared" si="6"/>
        <v>0</v>
      </c>
      <c r="AE14" s="31">
        <f t="shared" si="6"/>
        <v>150</v>
      </c>
      <c r="AF14" s="31">
        <f t="shared" si="6"/>
        <v>215.42857142857139</v>
      </c>
    </row>
    <row r="15" spans="2:32" ht="23.1" customHeight="1" x14ac:dyDescent="0.25">
      <c r="B15" s="23" t="s">
        <v>42</v>
      </c>
      <c r="C15" s="49">
        <f>AVERAGE('29.10 Bujuko-Buloba'!C15,'30.10 Bujuko-Buloba'!C15,'1.11 Bujuko-Buloba'!C15,'3.11 Bujuko-Buloba'!C15,'31.10 Bujuko-Buloba-24h'!C15,'2.11 Bujuko-Buloba-24HR'!C15,'4.11 Bujuko-Buloba'!C15)</f>
        <v>15.857142857142858</v>
      </c>
      <c r="D15" s="49">
        <f>AVERAGE('29.10 Bujuko-Buloba'!D15,'30.10 Bujuko-Buloba'!D15,'1.11 Bujuko-Buloba'!D15,'3.11 Bujuko-Buloba'!D15,'31.10 Bujuko-Buloba-24h'!D15,'2.11 Bujuko-Buloba-24HR'!D15,'4.11 Bujuko-Buloba'!D15)</f>
        <v>2.2857142857142856</v>
      </c>
      <c r="E15" s="49">
        <f>AVERAGE('29.10 Bujuko-Buloba'!E15,'30.10 Bujuko-Buloba'!E15,'1.11 Bujuko-Buloba'!E15,'3.11 Bujuko-Buloba'!E15,'31.10 Bujuko-Buloba-24h'!E15,'2.11 Bujuko-Buloba-24HR'!E15,'4.11 Bujuko-Buloba'!E15)</f>
        <v>2.8571428571428572</v>
      </c>
      <c r="F15" s="49">
        <f>AVERAGE('29.10 Bujuko-Buloba'!F15,'30.10 Bujuko-Buloba'!F15,'1.11 Bujuko-Buloba'!F15,'3.11 Bujuko-Buloba'!F15,'31.10 Bujuko-Buloba-24h'!F15,'2.11 Bujuko-Buloba-24HR'!F15,'4.11 Bujuko-Buloba'!F15)</f>
        <v>16.285714285714285</v>
      </c>
      <c r="G15" s="49">
        <f>AVERAGE('29.10 Bujuko-Buloba'!G15,'30.10 Bujuko-Buloba'!G15,'1.11 Bujuko-Buloba'!G15,'3.11 Bujuko-Buloba'!G15,'31.10 Bujuko-Buloba-24h'!G15,'2.11 Bujuko-Buloba-24HR'!G15,'4.11 Bujuko-Buloba'!G15)</f>
        <v>0.14285714285714285</v>
      </c>
      <c r="H15" s="49">
        <f>AVERAGE('29.10 Bujuko-Buloba'!H15,'30.10 Bujuko-Buloba'!H15,'1.11 Bujuko-Buloba'!H15,'3.11 Bujuko-Buloba'!H15,'31.10 Bujuko-Buloba-24h'!H15,'2.11 Bujuko-Buloba-24HR'!H15,'4.11 Bujuko-Buloba'!H15)</f>
        <v>0.14285714285714285</v>
      </c>
      <c r="I15" s="49">
        <f>AVERAGE('29.10 Bujuko-Buloba'!I15,'30.10 Bujuko-Buloba'!I15,'1.11 Bujuko-Buloba'!I15,'3.11 Bujuko-Buloba'!I15,'31.10 Bujuko-Buloba-24h'!I15,'2.11 Bujuko-Buloba-24HR'!I15,'4.11 Bujuko-Buloba'!I15)</f>
        <v>3.8571428571428572</v>
      </c>
      <c r="J15" s="49">
        <f>AVERAGE('29.10 Bujuko-Buloba'!J15,'30.10 Bujuko-Buloba'!J15,'1.11 Bujuko-Buloba'!J15,'3.11 Bujuko-Buloba'!J15,'31.10 Bujuko-Buloba-24h'!J15,'2.11 Bujuko-Buloba-24HR'!J15,'4.11 Bujuko-Buloba'!J15)</f>
        <v>2.5714285714285716</v>
      </c>
      <c r="K15" s="49">
        <f>AVERAGE('29.10 Bujuko-Buloba'!K15,'30.10 Bujuko-Buloba'!K15,'1.11 Bujuko-Buloba'!K15,'3.11 Bujuko-Buloba'!K15,'31.10 Bujuko-Buloba-24h'!K15,'2.11 Bujuko-Buloba-24HR'!K15,'4.11 Bujuko-Buloba'!K15)</f>
        <v>0.7142857142857143</v>
      </c>
      <c r="L15" s="49">
        <f>AVERAGE('29.10 Bujuko-Buloba'!L15,'30.10 Bujuko-Buloba'!L15,'1.11 Bujuko-Buloba'!L15,'3.11 Bujuko-Buloba'!L15,'31.10 Bujuko-Buloba-24h'!L15,'2.11 Bujuko-Buloba-24HR'!L15,'4.11 Bujuko-Buloba'!L15)</f>
        <v>0.7142857142857143</v>
      </c>
      <c r="M15" s="49">
        <f>AVERAGE('29.10 Bujuko-Buloba'!M15,'30.10 Bujuko-Buloba'!M15,'1.11 Bujuko-Buloba'!M15,'3.11 Bujuko-Buloba'!M15,'31.10 Bujuko-Buloba-24h'!M15,'2.11 Bujuko-Buloba-24HR'!M15,'4.11 Bujuko-Buloba'!M15)</f>
        <v>26.857142857142858</v>
      </c>
      <c r="N15" s="49">
        <f>AVERAGE('29.10 Bujuko-Buloba'!N15,'30.10 Bujuko-Buloba'!N15,'1.11 Bujuko-Buloba'!N15,'3.11 Bujuko-Buloba'!N15,'31.10 Bujuko-Buloba-24h'!N15,'2.11 Bujuko-Buloba-24HR'!N15,'4.11 Bujuko-Buloba'!N15)</f>
        <v>0</v>
      </c>
      <c r="O15" s="15">
        <f t="shared" si="0"/>
        <v>45.428571428571431</v>
      </c>
      <c r="P15" s="15">
        <f t="shared" si="1"/>
        <v>72.285714285714292</v>
      </c>
      <c r="R15" s="1" t="s">
        <v>11</v>
      </c>
      <c r="S15" s="17">
        <f t="shared" ref="S15:AF15" si="7">SUM(C30:C33)</f>
        <v>50.857142857142861</v>
      </c>
      <c r="T15" s="17">
        <f t="shared" si="7"/>
        <v>10.571428571428571</v>
      </c>
      <c r="U15" s="17">
        <f t="shared" si="7"/>
        <v>8.5714285714285712</v>
      </c>
      <c r="V15" s="17">
        <f t="shared" si="7"/>
        <v>48.857142857142854</v>
      </c>
      <c r="W15" s="17">
        <f t="shared" si="7"/>
        <v>0.85714285714285698</v>
      </c>
      <c r="X15" s="17">
        <f t="shared" si="7"/>
        <v>1.1428571428571428</v>
      </c>
      <c r="Y15" s="17">
        <f t="shared" si="7"/>
        <v>24.285714285714288</v>
      </c>
      <c r="Z15" s="17">
        <f t="shared" si="7"/>
        <v>8</v>
      </c>
      <c r="AA15" s="17">
        <f t="shared" si="7"/>
        <v>2.1428571428571432</v>
      </c>
      <c r="AB15" s="17">
        <f t="shared" si="7"/>
        <v>2.7142857142857144</v>
      </c>
      <c r="AC15" s="17">
        <f t="shared" si="7"/>
        <v>62.285714285714292</v>
      </c>
      <c r="AD15" s="17">
        <f t="shared" si="7"/>
        <v>0</v>
      </c>
      <c r="AE15" s="31">
        <f t="shared" si="7"/>
        <v>158</v>
      </c>
      <c r="AF15" s="31">
        <f t="shared" si="7"/>
        <v>220.28571428571425</v>
      </c>
    </row>
    <row r="16" spans="2:32" ht="23.1" customHeight="1" x14ac:dyDescent="0.25">
      <c r="B16" s="23" t="s">
        <v>43</v>
      </c>
      <c r="C16" s="49">
        <f>AVERAGE('29.10 Bujuko-Buloba'!C16,'30.10 Bujuko-Buloba'!C16,'1.11 Bujuko-Buloba'!C16,'3.11 Bujuko-Buloba'!C16,'31.10 Bujuko-Buloba-24h'!C16,'2.11 Bujuko-Buloba-24HR'!C16,'4.11 Bujuko-Buloba'!C16)</f>
        <v>16</v>
      </c>
      <c r="D16" s="49">
        <f>AVERAGE('29.10 Bujuko-Buloba'!D16,'30.10 Bujuko-Buloba'!D16,'1.11 Bujuko-Buloba'!D16,'3.11 Bujuko-Buloba'!D16,'31.10 Bujuko-Buloba-24h'!D16,'2.11 Bujuko-Buloba-24HR'!D16,'4.11 Bujuko-Buloba'!D16)</f>
        <v>1.7142857142857142</v>
      </c>
      <c r="E16" s="49">
        <f>AVERAGE('29.10 Bujuko-Buloba'!E16,'30.10 Bujuko-Buloba'!E16,'1.11 Bujuko-Buloba'!E16,'3.11 Bujuko-Buloba'!E16,'31.10 Bujuko-Buloba-24h'!E16,'2.11 Bujuko-Buloba-24HR'!E16,'4.11 Bujuko-Buloba'!E16)</f>
        <v>2.7142857142857144</v>
      </c>
      <c r="F16" s="49">
        <f>AVERAGE('29.10 Bujuko-Buloba'!F16,'30.10 Bujuko-Buloba'!F16,'1.11 Bujuko-Buloba'!F16,'3.11 Bujuko-Buloba'!F16,'31.10 Bujuko-Buloba-24h'!F16,'2.11 Bujuko-Buloba-24HR'!F16,'4.11 Bujuko-Buloba'!F16)</f>
        <v>15</v>
      </c>
      <c r="G16" s="49">
        <f>AVERAGE('29.10 Bujuko-Buloba'!G16,'30.10 Bujuko-Buloba'!G16,'1.11 Bujuko-Buloba'!G16,'3.11 Bujuko-Buloba'!G16,'31.10 Bujuko-Buloba-24h'!G16,'2.11 Bujuko-Buloba-24HR'!G16,'4.11 Bujuko-Buloba'!G16)</f>
        <v>0.2857142857142857</v>
      </c>
      <c r="H16" s="49">
        <f>AVERAGE('29.10 Bujuko-Buloba'!H16,'30.10 Bujuko-Buloba'!H16,'1.11 Bujuko-Buloba'!H16,'3.11 Bujuko-Buloba'!H16,'31.10 Bujuko-Buloba-24h'!H16,'2.11 Bujuko-Buloba-24HR'!H16,'4.11 Bujuko-Buloba'!H16)</f>
        <v>0</v>
      </c>
      <c r="I16" s="49">
        <f>AVERAGE('29.10 Bujuko-Buloba'!I16,'30.10 Bujuko-Buloba'!I16,'1.11 Bujuko-Buloba'!I16,'3.11 Bujuko-Buloba'!I16,'31.10 Bujuko-Buloba-24h'!I16,'2.11 Bujuko-Buloba-24HR'!I16,'4.11 Bujuko-Buloba'!I16)</f>
        <v>2.8571428571428572</v>
      </c>
      <c r="J16" s="49">
        <f>AVERAGE('29.10 Bujuko-Buloba'!J16,'30.10 Bujuko-Buloba'!J16,'1.11 Bujuko-Buloba'!J16,'3.11 Bujuko-Buloba'!J16,'31.10 Bujuko-Buloba-24h'!J16,'2.11 Bujuko-Buloba-24HR'!J16,'4.11 Bujuko-Buloba'!J16)</f>
        <v>1.1428571428571428</v>
      </c>
      <c r="K16" s="49">
        <f>AVERAGE('29.10 Bujuko-Buloba'!K16,'30.10 Bujuko-Buloba'!K16,'1.11 Bujuko-Buloba'!K16,'3.11 Bujuko-Buloba'!K16,'31.10 Bujuko-Buloba-24h'!K16,'2.11 Bujuko-Buloba-24HR'!K16,'4.11 Bujuko-Buloba'!K16)</f>
        <v>0.14285714285714285</v>
      </c>
      <c r="L16" s="49">
        <f>AVERAGE('29.10 Bujuko-Buloba'!L16,'30.10 Bujuko-Buloba'!L16,'1.11 Bujuko-Buloba'!L16,'3.11 Bujuko-Buloba'!L16,'31.10 Bujuko-Buloba-24h'!L16,'2.11 Bujuko-Buloba-24HR'!L16,'4.11 Bujuko-Buloba'!L16)</f>
        <v>0.42857142857142855</v>
      </c>
      <c r="M16" s="49">
        <f>AVERAGE('29.10 Bujuko-Buloba'!M16,'30.10 Bujuko-Buloba'!M16,'1.11 Bujuko-Buloba'!M16,'3.11 Bujuko-Buloba'!M16,'31.10 Bujuko-Buloba-24h'!M16,'2.11 Bujuko-Buloba-24HR'!M16,'4.11 Bujuko-Buloba'!M16)</f>
        <v>22.857142857142858</v>
      </c>
      <c r="N16" s="49">
        <f>AVERAGE('29.10 Bujuko-Buloba'!N16,'30.10 Bujuko-Buloba'!N16,'1.11 Bujuko-Buloba'!N16,'3.11 Bujuko-Buloba'!N16,'31.10 Bujuko-Buloba-24h'!N16,'2.11 Bujuko-Buloba-24HR'!N16,'4.11 Bujuko-Buloba'!N16)</f>
        <v>0</v>
      </c>
      <c r="O16" s="15">
        <f t="shared" si="0"/>
        <v>40.285714285714292</v>
      </c>
      <c r="P16" s="15">
        <f t="shared" si="1"/>
        <v>63.142857142857153</v>
      </c>
      <c r="R16" s="1" t="s">
        <v>12</v>
      </c>
      <c r="S16" s="17">
        <f t="shared" ref="S16:AF16" si="8">SUM(C34:C37)</f>
        <v>60.571428571428569</v>
      </c>
      <c r="T16" s="17">
        <f t="shared" si="8"/>
        <v>13.428571428571427</v>
      </c>
      <c r="U16" s="17">
        <f t="shared" si="8"/>
        <v>14.285714285714285</v>
      </c>
      <c r="V16" s="17">
        <f t="shared" si="8"/>
        <v>50.571428571428569</v>
      </c>
      <c r="W16" s="17">
        <f t="shared" si="8"/>
        <v>0.42857142857142855</v>
      </c>
      <c r="X16" s="17">
        <f t="shared" si="8"/>
        <v>1.5714285714285714</v>
      </c>
      <c r="Y16" s="17">
        <f t="shared" si="8"/>
        <v>20.285714285714285</v>
      </c>
      <c r="Z16" s="17">
        <f t="shared" si="8"/>
        <v>9</v>
      </c>
      <c r="AA16" s="17">
        <f t="shared" si="8"/>
        <v>1.4285714285714284</v>
      </c>
      <c r="AB16" s="17">
        <f t="shared" si="8"/>
        <v>3.1428571428571423</v>
      </c>
      <c r="AC16" s="17">
        <f t="shared" si="8"/>
        <v>66.714285714285708</v>
      </c>
      <c r="AD16" s="17">
        <f t="shared" si="8"/>
        <v>0</v>
      </c>
      <c r="AE16" s="31">
        <f t="shared" si="8"/>
        <v>174.71428571428572</v>
      </c>
      <c r="AF16" s="31">
        <f t="shared" si="8"/>
        <v>241.42857142857144</v>
      </c>
    </row>
    <row r="17" spans="2:32" ht="23.1" customHeight="1" x14ac:dyDescent="0.25">
      <c r="B17" s="23" t="s">
        <v>44</v>
      </c>
      <c r="C17" s="49">
        <f>AVERAGE('29.10 Bujuko-Buloba'!C17,'30.10 Bujuko-Buloba'!C17,'1.11 Bujuko-Buloba'!C17,'3.11 Bujuko-Buloba'!C17,'31.10 Bujuko-Buloba-24h'!C17,'2.11 Bujuko-Buloba-24HR'!C17,'4.11 Bujuko-Buloba'!C17)</f>
        <v>18.571428571428573</v>
      </c>
      <c r="D17" s="49">
        <f>AVERAGE('29.10 Bujuko-Buloba'!D17,'30.10 Bujuko-Buloba'!D17,'1.11 Bujuko-Buloba'!D17,'3.11 Bujuko-Buloba'!D17,'31.10 Bujuko-Buloba-24h'!D17,'2.11 Bujuko-Buloba-24HR'!D17,'4.11 Bujuko-Buloba'!D17)</f>
        <v>2.4285714285714284</v>
      </c>
      <c r="E17" s="49">
        <f>AVERAGE('29.10 Bujuko-Buloba'!E17,'30.10 Bujuko-Buloba'!E17,'1.11 Bujuko-Buloba'!E17,'3.11 Bujuko-Buloba'!E17,'31.10 Bujuko-Buloba-24h'!E17,'2.11 Bujuko-Buloba-24HR'!E17,'4.11 Bujuko-Buloba'!E17)</f>
        <v>1.2857142857142858</v>
      </c>
      <c r="F17" s="49">
        <f>AVERAGE('29.10 Bujuko-Buloba'!F17,'30.10 Bujuko-Buloba'!F17,'1.11 Bujuko-Buloba'!F17,'3.11 Bujuko-Buloba'!F17,'31.10 Bujuko-Buloba-24h'!F17,'2.11 Bujuko-Buloba-24HR'!F17,'4.11 Bujuko-Buloba'!F17)</f>
        <v>17.428571428571427</v>
      </c>
      <c r="G17" s="49">
        <f>AVERAGE('29.10 Bujuko-Buloba'!G17,'30.10 Bujuko-Buloba'!G17,'1.11 Bujuko-Buloba'!G17,'3.11 Bujuko-Buloba'!G17,'31.10 Bujuko-Buloba-24h'!G17,'2.11 Bujuko-Buloba-24HR'!G17,'4.11 Bujuko-Buloba'!G17)</f>
        <v>0.2857142857142857</v>
      </c>
      <c r="H17" s="49">
        <f>AVERAGE('29.10 Bujuko-Buloba'!H17,'30.10 Bujuko-Buloba'!H17,'1.11 Bujuko-Buloba'!H17,'3.11 Bujuko-Buloba'!H17,'31.10 Bujuko-Buloba-24h'!H17,'2.11 Bujuko-Buloba-24HR'!H17,'4.11 Bujuko-Buloba'!H17)</f>
        <v>0</v>
      </c>
      <c r="I17" s="49">
        <f>AVERAGE('29.10 Bujuko-Buloba'!I17,'30.10 Bujuko-Buloba'!I17,'1.11 Bujuko-Buloba'!I17,'3.11 Bujuko-Buloba'!I17,'31.10 Bujuko-Buloba-24h'!I17,'2.11 Bujuko-Buloba-24HR'!I17,'4.11 Bujuko-Buloba'!I17)</f>
        <v>5.2857142857142856</v>
      </c>
      <c r="J17" s="49">
        <f>AVERAGE('29.10 Bujuko-Buloba'!J17,'30.10 Bujuko-Buloba'!J17,'1.11 Bujuko-Buloba'!J17,'3.11 Bujuko-Buloba'!J17,'31.10 Bujuko-Buloba-24h'!J17,'2.11 Bujuko-Buloba-24HR'!J17,'4.11 Bujuko-Buloba'!J17)</f>
        <v>1.1428571428571428</v>
      </c>
      <c r="K17" s="49">
        <f>AVERAGE('29.10 Bujuko-Buloba'!K17,'30.10 Bujuko-Buloba'!K17,'1.11 Bujuko-Buloba'!K17,'3.11 Bujuko-Buloba'!K17,'31.10 Bujuko-Buloba-24h'!K17,'2.11 Bujuko-Buloba-24HR'!K17,'4.11 Bujuko-Buloba'!K17)</f>
        <v>0</v>
      </c>
      <c r="L17" s="49">
        <f>AVERAGE('29.10 Bujuko-Buloba'!L17,'30.10 Bujuko-Buloba'!L17,'1.11 Bujuko-Buloba'!L17,'3.11 Bujuko-Buloba'!L17,'31.10 Bujuko-Buloba-24h'!L17,'2.11 Bujuko-Buloba-24HR'!L17,'4.11 Bujuko-Buloba'!L17)</f>
        <v>0.5714285714285714</v>
      </c>
      <c r="M17" s="49">
        <f>AVERAGE('29.10 Bujuko-Buloba'!M17,'30.10 Bujuko-Buloba'!M17,'1.11 Bujuko-Buloba'!M17,'3.11 Bujuko-Buloba'!M17,'31.10 Bujuko-Buloba-24h'!M17,'2.11 Bujuko-Buloba-24HR'!M17,'4.11 Bujuko-Buloba'!M17)</f>
        <v>21.142857142857142</v>
      </c>
      <c r="N17" s="49">
        <f>AVERAGE('29.10 Bujuko-Buloba'!N17,'30.10 Bujuko-Buloba'!N17,'1.11 Bujuko-Buloba'!N17,'3.11 Bujuko-Buloba'!N17,'31.10 Bujuko-Buloba-24h'!N17,'2.11 Bujuko-Buloba-24HR'!N17,'4.11 Bujuko-Buloba'!N17)</f>
        <v>0</v>
      </c>
      <c r="O17" s="15">
        <f t="shared" si="0"/>
        <v>46.999999999999993</v>
      </c>
      <c r="P17" s="15">
        <f t="shared" si="1"/>
        <v>68.142857142857139</v>
      </c>
      <c r="R17" s="1" t="s">
        <v>13</v>
      </c>
      <c r="S17" s="17">
        <f t="shared" ref="S17:AF17" si="9">SUM(C38:C41)</f>
        <v>64.571428571428569</v>
      </c>
      <c r="T17" s="17">
        <f t="shared" si="9"/>
        <v>14.857142857142858</v>
      </c>
      <c r="U17" s="17">
        <f t="shared" si="9"/>
        <v>14.285714285714286</v>
      </c>
      <c r="V17" s="17">
        <f t="shared" si="9"/>
        <v>54.571428571428569</v>
      </c>
      <c r="W17" s="17">
        <f t="shared" si="9"/>
        <v>0.14285714285714285</v>
      </c>
      <c r="X17" s="17">
        <f t="shared" si="9"/>
        <v>1.1428571428571428</v>
      </c>
      <c r="Y17" s="17">
        <f t="shared" si="9"/>
        <v>21.142857142857139</v>
      </c>
      <c r="Z17" s="17">
        <f t="shared" si="9"/>
        <v>11</v>
      </c>
      <c r="AA17" s="17">
        <f t="shared" si="9"/>
        <v>3.1428571428571428</v>
      </c>
      <c r="AB17" s="17">
        <f t="shared" si="9"/>
        <v>3</v>
      </c>
      <c r="AC17" s="17">
        <f t="shared" si="9"/>
        <v>60.714285714285715</v>
      </c>
      <c r="AD17" s="17">
        <f t="shared" si="9"/>
        <v>0.14285714285714285</v>
      </c>
      <c r="AE17" s="31">
        <f t="shared" si="9"/>
        <v>187.99999999999997</v>
      </c>
      <c r="AF17" s="31">
        <f t="shared" si="9"/>
        <v>248.71428571428572</v>
      </c>
    </row>
    <row r="18" spans="2:32" ht="23.1" customHeight="1" x14ac:dyDescent="0.25">
      <c r="B18" s="23" t="s">
        <v>45</v>
      </c>
      <c r="C18" s="49">
        <f>AVERAGE('29.10 Bujuko-Buloba'!C18,'30.10 Bujuko-Buloba'!C18,'1.11 Bujuko-Buloba'!C18,'3.11 Bujuko-Buloba'!C18,'31.10 Bujuko-Buloba-24h'!C18,'2.11 Bujuko-Buloba-24HR'!C18,'4.11 Bujuko-Buloba'!C18)</f>
        <v>16.714285714285715</v>
      </c>
      <c r="D18" s="49">
        <f>AVERAGE('29.10 Bujuko-Buloba'!D18,'30.10 Bujuko-Buloba'!D18,'1.11 Bujuko-Buloba'!D18,'3.11 Bujuko-Buloba'!D18,'31.10 Bujuko-Buloba-24h'!D18,'2.11 Bujuko-Buloba-24HR'!D18,'4.11 Bujuko-Buloba'!D18)</f>
        <v>3.2857142857142856</v>
      </c>
      <c r="E18" s="49">
        <f>AVERAGE('29.10 Bujuko-Buloba'!E18,'30.10 Bujuko-Buloba'!E18,'1.11 Bujuko-Buloba'!E18,'3.11 Bujuko-Buloba'!E18,'31.10 Bujuko-Buloba-24h'!E18,'2.11 Bujuko-Buloba-24HR'!E18,'4.11 Bujuko-Buloba'!E18)</f>
        <v>1.4285714285714286</v>
      </c>
      <c r="F18" s="49">
        <f>AVERAGE('29.10 Bujuko-Buloba'!F18,'30.10 Bujuko-Buloba'!F18,'1.11 Bujuko-Buloba'!F18,'3.11 Bujuko-Buloba'!F18,'31.10 Bujuko-Buloba-24h'!F18,'2.11 Bujuko-Buloba-24HR'!F18,'4.11 Bujuko-Buloba'!F18)</f>
        <v>17.857142857142858</v>
      </c>
      <c r="G18" s="49">
        <f>AVERAGE('29.10 Bujuko-Buloba'!G18,'30.10 Bujuko-Buloba'!G18,'1.11 Bujuko-Buloba'!G18,'3.11 Bujuko-Buloba'!G18,'31.10 Bujuko-Buloba-24h'!G18,'2.11 Bujuko-Buloba-24HR'!G18,'4.11 Bujuko-Buloba'!G18)</f>
        <v>0.2857142857142857</v>
      </c>
      <c r="H18" s="49">
        <f>AVERAGE('29.10 Bujuko-Buloba'!H18,'30.10 Bujuko-Buloba'!H18,'1.11 Bujuko-Buloba'!H18,'3.11 Bujuko-Buloba'!H18,'31.10 Bujuko-Buloba-24h'!H18,'2.11 Bujuko-Buloba-24HR'!H18,'4.11 Bujuko-Buloba'!H18)</f>
        <v>0.14285714285714285</v>
      </c>
      <c r="I18" s="49">
        <f>AVERAGE('29.10 Bujuko-Buloba'!I18,'30.10 Bujuko-Buloba'!I18,'1.11 Bujuko-Buloba'!I18,'3.11 Bujuko-Buloba'!I18,'31.10 Bujuko-Buloba-24h'!I18,'2.11 Bujuko-Buloba-24HR'!I18,'4.11 Bujuko-Buloba'!I18)</f>
        <v>4</v>
      </c>
      <c r="J18" s="49">
        <f>AVERAGE('29.10 Bujuko-Buloba'!J18,'30.10 Bujuko-Buloba'!J18,'1.11 Bujuko-Buloba'!J18,'3.11 Bujuko-Buloba'!J18,'31.10 Bujuko-Buloba-24h'!J18,'2.11 Bujuko-Buloba-24HR'!J18,'4.11 Bujuko-Buloba'!J18)</f>
        <v>2</v>
      </c>
      <c r="K18" s="49">
        <f>AVERAGE('29.10 Bujuko-Buloba'!K18,'30.10 Bujuko-Buloba'!K18,'1.11 Bujuko-Buloba'!K18,'3.11 Bujuko-Buloba'!K18,'31.10 Bujuko-Buloba-24h'!K18,'2.11 Bujuko-Buloba-24HR'!K18,'4.11 Bujuko-Buloba'!K18)</f>
        <v>0.5714285714285714</v>
      </c>
      <c r="L18" s="49">
        <f>AVERAGE('29.10 Bujuko-Buloba'!L18,'30.10 Bujuko-Buloba'!L18,'1.11 Bujuko-Buloba'!L18,'3.11 Bujuko-Buloba'!L18,'31.10 Bujuko-Buloba-24h'!L18,'2.11 Bujuko-Buloba-24HR'!L18,'4.11 Bujuko-Buloba'!L18)</f>
        <v>0.42857142857142855</v>
      </c>
      <c r="M18" s="49">
        <f>AVERAGE('29.10 Bujuko-Buloba'!M18,'30.10 Bujuko-Buloba'!M18,'1.11 Bujuko-Buloba'!M18,'3.11 Bujuko-Buloba'!M18,'31.10 Bujuko-Buloba-24h'!M18,'2.11 Bujuko-Buloba-24HR'!M18,'4.11 Bujuko-Buloba'!M18)</f>
        <v>22.285714285714285</v>
      </c>
      <c r="N18" s="49">
        <f>AVERAGE('29.10 Bujuko-Buloba'!N18,'30.10 Bujuko-Buloba'!N18,'1.11 Bujuko-Buloba'!N18,'3.11 Bujuko-Buloba'!N18,'31.10 Bujuko-Buloba-24h'!N18,'2.11 Bujuko-Buloba-24HR'!N18,'4.11 Bujuko-Buloba'!N18)</f>
        <v>0</v>
      </c>
      <c r="O18" s="15">
        <f t="shared" si="0"/>
        <v>46.714285714285715</v>
      </c>
      <c r="P18" s="15">
        <f t="shared" si="1"/>
        <v>69</v>
      </c>
      <c r="R18" s="1" t="s">
        <v>14</v>
      </c>
      <c r="S18" s="17">
        <f t="shared" ref="S18:AF18" si="10">SUM(C42:C45)</f>
        <v>71.571428571428569</v>
      </c>
      <c r="T18" s="17">
        <f t="shared" si="10"/>
        <v>17.428571428571431</v>
      </c>
      <c r="U18" s="17">
        <f t="shared" si="10"/>
        <v>17.142857142857142</v>
      </c>
      <c r="V18" s="17">
        <f t="shared" si="10"/>
        <v>57</v>
      </c>
      <c r="W18" s="17">
        <f t="shared" si="10"/>
        <v>0.5714285714285714</v>
      </c>
      <c r="X18" s="17">
        <f t="shared" si="10"/>
        <v>2.5714285714285712</v>
      </c>
      <c r="Y18" s="17">
        <f t="shared" si="10"/>
        <v>24.142857142857146</v>
      </c>
      <c r="Z18" s="17">
        <f t="shared" si="10"/>
        <v>9.428571428571427</v>
      </c>
      <c r="AA18" s="17">
        <f t="shared" si="10"/>
        <v>3.1428571428571428</v>
      </c>
      <c r="AB18" s="17">
        <f t="shared" si="10"/>
        <v>2.8571428571428572</v>
      </c>
      <c r="AC18" s="17">
        <f t="shared" si="10"/>
        <v>65.857142857142861</v>
      </c>
      <c r="AD18" s="17">
        <f t="shared" si="10"/>
        <v>0</v>
      </c>
      <c r="AE18" s="31">
        <f t="shared" si="10"/>
        <v>205.85714285714283</v>
      </c>
      <c r="AF18" s="31">
        <f t="shared" si="10"/>
        <v>271.71428571428567</v>
      </c>
    </row>
    <row r="19" spans="2:32" ht="23.1" customHeight="1" x14ac:dyDescent="0.25">
      <c r="B19" s="23" t="s">
        <v>46</v>
      </c>
      <c r="C19" s="49">
        <f>AVERAGE('29.10 Bujuko-Buloba'!C19,'30.10 Bujuko-Buloba'!C19,'1.11 Bujuko-Buloba'!C19,'3.11 Bujuko-Buloba'!C19,'31.10 Bujuko-Buloba-24h'!C19,'2.11 Bujuko-Buloba-24HR'!C19,'4.11 Bujuko-Buloba'!C19)</f>
        <v>12.714285714285714</v>
      </c>
      <c r="D19" s="49">
        <f>AVERAGE('29.10 Bujuko-Buloba'!D19,'30.10 Bujuko-Buloba'!D19,'1.11 Bujuko-Buloba'!D19,'3.11 Bujuko-Buloba'!D19,'31.10 Bujuko-Buloba-24h'!D19,'2.11 Bujuko-Buloba-24HR'!D19,'4.11 Bujuko-Buloba'!D19)</f>
        <v>2.2857142857142856</v>
      </c>
      <c r="E19" s="49">
        <f>AVERAGE('29.10 Bujuko-Buloba'!E19,'30.10 Bujuko-Buloba'!E19,'1.11 Bujuko-Buloba'!E19,'3.11 Bujuko-Buloba'!E19,'31.10 Bujuko-Buloba-24h'!E19,'2.11 Bujuko-Buloba-24HR'!E19,'4.11 Bujuko-Buloba'!E19)</f>
        <v>2.2857142857142856</v>
      </c>
      <c r="F19" s="49">
        <f>AVERAGE('29.10 Bujuko-Buloba'!F19,'30.10 Bujuko-Buloba'!F19,'1.11 Bujuko-Buloba'!F19,'3.11 Bujuko-Buloba'!F19,'31.10 Bujuko-Buloba-24h'!F19,'2.11 Bujuko-Buloba-24HR'!F19,'4.11 Bujuko-Buloba'!F19)</f>
        <v>16.142857142857142</v>
      </c>
      <c r="G19" s="49">
        <f>AVERAGE('29.10 Bujuko-Buloba'!G19,'30.10 Bujuko-Buloba'!G19,'1.11 Bujuko-Buloba'!G19,'3.11 Bujuko-Buloba'!G19,'31.10 Bujuko-Buloba-24h'!G19,'2.11 Bujuko-Buloba-24HR'!G19,'4.11 Bujuko-Buloba'!G19)</f>
        <v>0.14285714285714285</v>
      </c>
      <c r="H19" s="49">
        <f>AVERAGE('29.10 Bujuko-Buloba'!H19,'30.10 Bujuko-Buloba'!H19,'1.11 Bujuko-Buloba'!H19,'3.11 Bujuko-Buloba'!H19,'31.10 Bujuko-Buloba-24h'!H19,'2.11 Bujuko-Buloba-24HR'!H19,'4.11 Bujuko-Buloba'!H19)</f>
        <v>0.14285714285714285</v>
      </c>
      <c r="I19" s="49">
        <f>AVERAGE('29.10 Bujuko-Buloba'!I19,'30.10 Bujuko-Buloba'!I19,'1.11 Bujuko-Buloba'!I19,'3.11 Bujuko-Buloba'!I19,'31.10 Bujuko-Buloba-24h'!I19,'2.11 Bujuko-Buloba-24HR'!I19,'4.11 Bujuko-Buloba'!I19)</f>
        <v>2.2857142857142856</v>
      </c>
      <c r="J19" s="49">
        <f>AVERAGE('29.10 Bujuko-Buloba'!J19,'30.10 Bujuko-Buloba'!J19,'1.11 Bujuko-Buloba'!J19,'3.11 Bujuko-Buloba'!J19,'31.10 Bujuko-Buloba-24h'!J19,'2.11 Bujuko-Buloba-24HR'!J19,'4.11 Bujuko-Buloba'!J19)</f>
        <v>1.7142857142857142</v>
      </c>
      <c r="K19" s="49">
        <f>AVERAGE('29.10 Bujuko-Buloba'!K19,'30.10 Bujuko-Buloba'!K19,'1.11 Bujuko-Buloba'!K19,'3.11 Bujuko-Buloba'!K19,'31.10 Bujuko-Buloba-24h'!K19,'2.11 Bujuko-Buloba-24HR'!K19,'4.11 Bujuko-Buloba'!K19)</f>
        <v>0.14285714285714285</v>
      </c>
      <c r="L19" s="49">
        <f>AVERAGE('29.10 Bujuko-Buloba'!L19,'30.10 Bujuko-Buloba'!L19,'1.11 Bujuko-Buloba'!L19,'3.11 Bujuko-Buloba'!L19,'31.10 Bujuko-Buloba-24h'!L19,'2.11 Bujuko-Buloba-24HR'!L19,'4.11 Bujuko-Buloba'!L19)</f>
        <v>0.14285714285714285</v>
      </c>
      <c r="M19" s="49">
        <f>AVERAGE('29.10 Bujuko-Buloba'!M19,'30.10 Bujuko-Buloba'!M19,'1.11 Bujuko-Buloba'!M19,'3.11 Bujuko-Buloba'!M19,'31.10 Bujuko-Buloba-24h'!M19,'2.11 Bujuko-Buloba-24HR'!M19,'4.11 Bujuko-Buloba'!M19)</f>
        <v>22.857142857142858</v>
      </c>
      <c r="N19" s="49">
        <f>AVERAGE('29.10 Bujuko-Buloba'!N19,'30.10 Bujuko-Buloba'!N19,'1.11 Bujuko-Buloba'!N19,'3.11 Bujuko-Buloba'!N19,'31.10 Bujuko-Buloba-24h'!N19,'2.11 Bujuko-Buloba-24HR'!N19,'4.11 Bujuko-Buloba'!N19)</f>
        <v>0</v>
      </c>
      <c r="O19" s="15">
        <f t="shared" si="0"/>
        <v>38.000000000000014</v>
      </c>
      <c r="P19" s="15">
        <f t="shared" si="1"/>
        <v>60.857142857142875</v>
      </c>
      <c r="R19" s="1" t="s">
        <v>15</v>
      </c>
      <c r="S19" s="17">
        <f t="shared" ref="S19:AF19" si="11">SUM(C46:C49)</f>
        <v>83.571428571428584</v>
      </c>
      <c r="T19" s="17">
        <f t="shared" si="11"/>
        <v>18.714285714285715</v>
      </c>
      <c r="U19" s="17">
        <f t="shared" si="11"/>
        <v>16.142857142857142</v>
      </c>
      <c r="V19" s="17">
        <f t="shared" si="11"/>
        <v>57.142857142857139</v>
      </c>
      <c r="W19" s="17">
        <f t="shared" si="11"/>
        <v>3.1428571428571428</v>
      </c>
      <c r="X19" s="17">
        <f t="shared" si="11"/>
        <v>2.8571428571428572</v>
      </c>
      <c r="Y19" s="17">
        <f t="shared" si="11"/>
        <v>26.714285714285715</v>
      </c>
      <c r="Z19" s="17">
        <f t="shared" si="11"/>
        <v>11.714285714285715</v>
      </c>
      <c r="AA19" s="17">
        <f t="shared" si="11"/>
        <v>3.4285714285714284</v>
      </c>
      <c r="AB19" s="17">
        <f t="shared" si="11"/>
        <v>4.2857142857142856</v>
      </c>
      <c r="AC19" s="17">
        <f t="shared" si="11"/>
        <v>78.571428571428569</v>
      </c>
      <c r="AD19" s="17">
        <f t="shared" si="11"/>
        <v>0</v>
      </c>
      <c r="AE19" s="31">
        <f t="shared" si="11"/>
        <v>227.71428571428575</v>
      </c>
      <c r="AF19" s="31">
        <f t="shared" si="11"/>
        <v>306.28571428571428</v>
      </c>
    </row>
    <row r="20" spans="2:32" ht="23.1" customHeight="1" x14ac:dyDescent="0.25">
      <c r="B20" s="23" t="s">
        <v>47</v>
      </c>
      <c r="C20" s="49">
        <f>AVERAGE('29.10 Bujuko-Buloba'!C20,'30.10 Bujuko-Buloba'!C20,'1.11 Bujuko-Buloba'!C20,'3.11 Bujuko-Buloba'!C20,'31.10 Bujuko-Buloba-24h'!C20,'2.11 Bujuko-Buloba-24HR'!C20,'4.11 Bujuko-Buloba'!C20)</f>
        <v>14.285714285714286</v>
      </c>
      <c r="D20" s="49">
        <f>AVERAGE('29.10 Bujuko-Buloba'!D20,'30.10 Bujuko-Buloba'!D20,'1.11 Bujuko-Buloba'!D20,'3.11 Bujuko-Buloba'!D20,'31.10 Bujuko-Buloba-24h'!D20,'2.11 Bujuko-Buloba-24HR'!D20,'4.11 Bujuko-Buloba'!D20)</f>
        <v>1.8571428571428572</v>
      </c>
      <c r="E20" s="49">
        <f>AVERAGE('29.10 Bujuko-Buloba'!E20,'30.10 Bujuko-Buloba'!E20,'1.11 Bujuko-Buloba'!E20,'3.11 Bujuko-Buloba'!E20,'31.10 Bujuko-Buloba-24h'!E20,'2.11 Bujuko-Buloba-24HR'!E20,'4.11 Bujuko-Buloba'!E20)</f>
        <v>2.4285714285714284</v>
      </c>
      <c r="F20" s="49">
        <f>AVERAGE('29.10 Bujuko-Buloba'!F20,'30.10 Bujuko-Buloba'!F20,'1.11 Bujuko-Buloba'!F20,'3.11 Bujuko-Buloba'!F20,'31.10 Bujuko-Buloba-24h'!F20,'2.11 Bujuko-Buloba-24HR'!F20,'4.11 Bujuko-Buloba'!F20)</f>
        <v>13.428571428571429</v>
      </c>
      <c r="G20" s="49">
        <f>AVERAGE('29.10 Bujuko-Buloba'!G20,'30.10 Bujuko-Buloba'!G20,'1.11 Bujuko-Buloba'!G20,'3.11 Bujuko-Buloba'!G20,'31.10 Bujuko-Buloba-24h'!G20,'2.11 Bujuko-Buloba-24HR'!G20,'4.11 Bujuko-Buloba'!G20)</f>
        <v>0.14285714285714285</v>
      </c>
      <c r="H20" s="49">
        <f>AVERAGE('29.10 Bujuko-Buloba'!H20,'30.10 Bujuko-Buloba'!H20,'1.11 Bujuko-Buloba'!H20,'3.11 Bujuko-Buloba'!H20,'31.10 Bujuko-Buloba-24h'!H20,'2.11 Bujuko-Buloba-24HR'!H20,'4.11 Bujuko-Buloba'!H20)</f>
        <v>0</v>
      </c>
      <c r="I20" s="49">
        <f>AVERAGE('29.10 Bujuko-Buloba'!I20,'30.10 Bujuko-Buloba'!I20,'1.11 Bujuko-Buloba'!I20,'3.11 Bujuko-Buloba'!I20,'31.10 Bujuko-Buloba-24h'!I20,'2.11 Bujuko-Buloba-24HR'!I20,'4.11 Bujuko-Buloba'!I20)</f>
        <v>4.2857142857142856</v>
      </c>
      <c r="J20" s="49">
        <f>AVERAGE('29.10 Bujuko-Buloba'!J20,'30.10 Bujuko-Buloba'!J20,'1.11 Bujuko-Buloba'!J20,'3.11 Bujuko-Buloba'!J20,'31.10 Bujuko-Buloba-24h'!J20,'2.11 Bujuko-Buloba-24HR'!J20,'4.11 Bujuko-Buloba'!J20)</f>
        <v>1.8571428571428572</v>
      </c>
      <c r="K20" s="49">
        <f>AVERAGE('29.10 Bujuko-Buloba'!K20,'30.10 Bujuko-Buloba'!K20,'1.11 Bujuko-Buloba'!K20,'3.11 Bujuko-Buloba'!K20,'31.10 Bujuko-Buloba-24h'!K20,'2.11 Bujuko-Buloba-24HR'!K20,'4.11 Bujuko-Buloba'!K20)</f>
        <v>0.2857142857142857</v>
      </c>
      <c r="L20" s="49">
        <f>AVERAGE('29.10 Bujuko-Buloba'!L20,'30.10 Bujuko-Buloba'!L20,'1.11 Bujuko-Buloba'!L20,'3.11 Bujuko-Buloba'!L20,'31.10 Bujuko-Buloba-24h'!L20,'2.11 Bujuko-Buloba-24HR'!L20,'4.11 Bujuko-Buloba'!L20)</f>
        <v>0.42857142857142855</v>
      </c>
      <c r="M20" s="49">
        <f>AVERAGE('29.10 Bujuko-Buloba'!M20,'30.10 Bujuko-Buloba'!M20,'1.11 Bujuko-Buloba'!M20,'3.11 Bujuko-Buloba'!M20,'31.10 Bujuko-Buloba-24h'!M20,'2.11 Bujuko-Buloba-24HR'!M20,'4.11 Bujuko-Buloba'!M20)</f>
        <v>20.428571428571427</v>
      </c>
      <c r="N20" s="49">
        <f>AVERAGE('29.10 Bujuko-Buloba'!N20,'30.10 Bujuko-Buloba'!N20,'1.11 Bujuko-Buloba'!N20,'3.11 Bujuko-Buloba'!N20,'31.10 Bujuko-Buloba-24h'!N20,'2.11 Bujuko-Buloba-24HR'!N20,'4.11 Bujuko-Buloba'!N20)</f>
        <v>0</v>
      </c>
      <c r="O20" s="15">
        <f t="shared" si="0"/>
        <v>39</v>
      </c>
      <c r="P20" s="15">
        <f t="shared" si="1"/>
        <v>59.428571428571431</v>
      </c>
      <c r="R20" s="1" t="s">
        <v>16</v>
      </c>
      <c r="S20" s="17">
        <f t="shared" ref="S20:AF20" si="12">SUM(C50:C53)</f>
        <v>99.285714285714292</v>
      </c>
      <c r="T20" s="17">
        <f t="shared" si="12"/>
        <v>26</v>
      </c>
      <c r="U20" s="17">
        <f t="shared" si="12"/>
        <v>20.142857142857146</v>
      </c>
      <c r="V20" s="17">
        <f t="shared" si="12"/>
        <v>67.285714285714278</v>
      </c>
      <c r="W20" s="17">
        <f t="shared" si="12"/>
        <v>2.2857142857142856</v>
      </c>
      <c r="X20" s="17">
        <f t="shared" si="12"/>
        <v>2.2857142857142856</v>
      </c>
      <c r="Y20" s="17">
        <f t="shared" si="12"/>
        <v>27</v>
      </c>
      <c r="Z20" s="17">
        <f t="shared" si="12"/>
        <v>8.8571428571428559</v>
      </c>
      <c r="AA20" s="17">
        <f t="shared" si="12"/>
        <v>2.8571428571428568</v>
      </c>
      <c r="AB20" s="17">
        <f t="shared" si="12"/>
        <v>4.1428571428571432</v>
      </c>
      <c r="AC20" s="17">
        <f t="shared" si="12"/>
        <v>88.428571428571431</v>
      </c>
      <c r="AD20" s="17">
        <f t="shared" si="12"/>
        <v>0</v>
      </c>
      <c r="AE20" s="31">
        <f t="shared" si="12"/>
        <v>260.14285714285717</v>
      </c>
      <c r="AF20" s="31">
        <f t="shared" si="12"/>
        <v>348.57142857142856</v>
      </c>
    </row>
    <row r="21" spans="2:32" ht="23.1" customHeight="1" x14ac:dyDescent="0.25">
      <c r="B21" s="23" t="s">
        <v>48</v>
      </c>
      <c r="C21" s="49">
        <f>AVERAGE('29.10 Bujuko-Buloba'!C21,'30.10 Bujuko-Buloba'!C21,'1.11 Bujuko-Buloba'!C21,'3.11 Bujuko-Buloba'!C21,'31.10 Bujuko-Buloba-24h'!C21,'2.11 Bujuko-Buloba-24HR'!C21,'4.11 Bujuko-Buloba'!C21)</f>
        <v>12.142857142857142</v>
      </c>
      <c r="D21" s="49">
        <f>AVERAGE('29.10 Bujuko-Buloba'!D21,'30.10 Bujuko-Buloba'!D21,'1.11 Bujuko-Buloba'!D21,'3.11 Bujuko-Buloba'!D21,'31.10 Bujuko-Buloba-24h'!D21,'2.11 Bujuko-Buloba-24HR'!D21,'4.11 Bujuko-Buloba'!D21)</f>
        <v>2.5714285714285716</v>
      </c>
      <c r="E21" s="49">
        <f>AVERAGE('29.10 Bujuko-Buloba'!E21,'30.10 Bujuko-Buloba'!E21,'1.11 Bujuko-Buloba'!E21,'3.11 Bujuko-Buloba'!E21,'31.10 Bujuko-Buloba-24h'!E21,'2.11 Bujuko-Buloba-24HR'!E21,'4.11 Bujuko-Buloba'!E21)</f>
        <v>2.1428571428571428</v>
      </c>
      <c r="F21" s="49">
        <f>AVERAGE('29.10 Bujuko-Buloba'!F21,'30.10 Bujuko-Buloba'!F21,'1.11 Bujuko-Buloba'!F21,'3.11 Bujuko-Buloba'!F21,'31.10 Bujuko-Buloba-24h'!F21,'2.11 Bujuko-Buloba-24HR'!F21,'4.11 Bujuko-Buloba'!F21)</f>
        <v>13.714285714285714</v>
      </c>
      <c r="G21" s="49">
        <f>AVERAGE('29.10 Bujuko-Buloba'!G21,'30.10 Bujuko-Buloba'!G21,'1.11 Bujuko-Buloba'!G21,'3.11 Bujuko-Buloba'!G21,'31.10 Bujuko-Buloba-24h'!G21,'2.11 Bujuko-Buloba-24HR'!G21,'4.11 Bujuko-Buloba'!G21)</f>
        <v>0</v>
      </c>
      <c r="H21" s="49">
        <f>AVERAGE('29.10 Bujuko-Buloba'!H21,'30.10 Bujuko-Buloba'!H21,'1.11 Bujuko-Buloba'!H21,'3.11 Bujuko-Buloba'!H21,'31.10 Bujuko-Buloba-24h'!H21,'2.11 Bujuko-Buloba-24HR'!H21,'4.11 Bujuko-Buloba'!H21)</f>
        <v>0</v>
      </c>
      <c r="I21" s="49">
        <f>AVERAGE('29.10 Bujuko-Buloba'!I21,'30.10 Bujuko-Buloba'!I21,'1.11 Bujuko-Buloba'!I21,'3.11 Bujuko-Buloba'!I21,'31.10 Bujuko-Buloba-24h'!I21,'2.11 Bujuko-Buloba-24HR'!I21,'4.11 Bujuko-Buloba'!I21)</f>
        <v>3.7142857142857144</v>
      </c>
      <c r="J21" s="49">
        <f>AVERAGE('29.10 Bujuko-Buloba'!J21,'30.10 Bujuko-Buloba'!J21,'1.11 Bujuko-Buloba'!J21,'3.11 Bujuko-Buloba'!J21,'31.10 Bujuko-Buloba-24h'!J21,'2.11 Bujuko-Buloba-24HR'!J21,'4.11 Bujuko-Buloba'!J21)</f>
        <v>0.8571428571428571</v>
      </c>
      <c r="K21" s="49">
        <f>AVERAGE('29.10 Bujuko-Buloba'!K21,'30.10 Bujuko-Buloba'!K21,'1.11 Bujuko-Buloba'!K21,'3.11 Bujuko-Buloba'!K21,'31.10 Bujuko-Buloba-24h'!K21,'2.11 Bujuko-Buloba-24HR'!K21,'4.11 Bujuko-Buloba'!K21)</f>
        <v>0.7142857142857143</v>
      </c>
      <c r="L21" s="49">
        <f>AVERAGE('29.10 Bujuko-Buloba'!L21,'30.10 Bujuko-Buloba'!L21,'1.11 Bujuko-Buloba'!L21,'3.11 Bujuko-Buloba'!L21,'31.10 Bujuko-Buloba-24h'!L21,'2.11 Bujuko-Buloba-24HR'!L21,'4.11 Bujuko-Buloba'!L21)</f>
        <v>0.2857142857142857</v>
      </c>
      <c r="M21" s="49">
        <f>AVERAGE('29.10 Bujuko-Buloba'!M21,'30.10 Bujuko-Buloba'!M21,'1.11 Bujuko-Buloba'!M21,'3.11 Bujuko-Buloba'!M21,'31.10 Bujuko-Buloba-24h'!M21,'2.11 Bujuko-Buloba-24HR'!M21,'4.11 Bujuko-Buloba'!M21)</f>
        <v>17.285714285714285</v>
      </c>
      <c r="N21" s="49">
        <f>AVERAGE('29.10 Bujuko-Buloba'!N21,'30.10 Bujuko-Buloba'!N21,'1.11 Bujuko-Buloba'!N21,'3.11 Bujuko-Buloba'!N21,'31.10 Bujuko-Buloba-24h'!N21,'2.11 Bujuko-Buloba-24HR'!N21,'4.11 Bujuko-Buloba'!N21)</f>
        <v>0</v>
      </c>
      <c r="O21" s="15">
        <f t="shared" si="0"/>
        <v>36.142857142857139</v>
      </c>
      <c r="P21" s="15">
        <f t="shared" si="1"/>
        <v>53.428571428571423</v>
      </c>
      <c r="R21" s="36" t="s">
        <v>20</v>
      </c>
      <c r="S21" s="34">
        <f t="shared" ref="S21:AF21" si="13">SUM(C54:C57)</f>
        <v>122.85714285714286</v>
      </c>
      <c r="T21" s="17">
        <f t="shared" si="13"/>
        <v>27.571428571428573</v>
      </c>
      <c r="U21" s="17">
        <f t="shared" si="13"/>
        <v>23.285714285714285</v>
      </c>
      <c r="V21" s="17">
        <f t="shared" si="13"/>
        <v>86.428571428571431</v>
      </c>
      <c r="W21" s="17">
        <f t="shared" si="13"/>
        <v>6.7142857142857135</v>
      </c>
      <c r="X21" s="17">
        <f t="shared" si="13"/>
        <v>2.5714285714285712</v>
      </c>
      <c r="Y21" s="17">
        <f t="shared" si="13"/>
        <v>26.428571428571427</v>
      </c>
      <c r="Z21" s="17">
        <f t="shared" si="13"/>
        <v>10.857142857142858</v>
      </c>
      <c r="AA21" s="17">
        <f t="shared" si="13"/>
        <v>3.2857142857142856</v>
      </c>
      <c r="AB21" s="17">
        <f t="shared" si="13"/>
        <v>5.1428571428571432</v>
      </c>
      <c r="AC21" s="17">
        <f t="shared" si="13"/>
        <v>102.14285714285714</v>
      </c>
      <c r="AD21" s="17">
        <f t="shared" si="13"/>
        <v>0</v>
      </c>
      <c r="AE21" s="31">
        <f t="shared" si="13"/>
        <v>315.14285714285711</v>
      </c>
      <c r="AF21" s="31">
        <f t="shared" si="13"/>
        <v>417.28571428571428</v>
      </c>
    </row>
    <row r="22" spans="2:32" ht="23.1" customHeight="1" x14ac:dyDescent="0.25">
      <c r="B22" s="23" t="s">
        <v>49</v>
      </c>
      <c r="C22" s="49">
        <f>AVERAGE('29.10 Bujuko-Buloba'!C22,'30.10 Bujuko-Buloba'!C22,'1.11 Bujuko-Buloba'!C22,'3.11 Bujuko-Buloba'!C22,'31.10 Bujuko-Buloba-24h'!C22,'2.11 Bujuko-Buloba-24HR'!C22,'4.11 Bujuko-Buloba'!C22)</f>
        <v>13.428571428571429</v>
      </c>
      <c r="D22" s="49">
        <f>AVERAGE('29.10 Bujuko-Buloba'!D22,'30.10 Bujuko-Buloba'!D22,'1.11 Bujuko-Buloba'!D22,'3.11 Bujuko-Buloba'!D22,'31.10 Bujuko-Buloba-24h'!D22,'2.11 Bujuko-Buloba-24HR'!D22,'4.11 Bujuko-Buloba'!D22)</f>
        <v>2.1428571428571428</v>
      </c>
      <c r="E22" s="49">
        <f>AVERAGE('29.10 Bujuko-Buloba'!E22,'30.10 Bujuko-Buloba'!E22,'1.11 Bujuko-Buloba'!E22,'3.11 Bujuko-Buloba'!E22,'31.10 Bujuko-Buloba-24h'!E22,'2.11 Bujuko-Buloba-24HR'!E22,'4.11 Bujuko-Buloba'!E22)</f>
        <v>3.5714285714285716</v>
      </c>
      <c r="F22" s="49">
        <f>AVERAGE('29.10 Bujuko-Buloba'!F22,'30.10 Bujuko-Buloba'!F22,'1.11 Bujuko-Buloba'!F22,'3.11 Bujuko-Buloba'!F22,'31.10 Bujuko-Buloba-24h'!F22,'2.11 Bujuko-Buloba-24HR'!F22,'4.11 Bujuko-Buloba'!F22)</f>
        <v>15.142857142857142</v>
      </c>
      <c r="G22" s="49">
        <f>AVERAGE('29.10 Bujuko-Buloba'!G22,'30.10 Bujuko-Buloba'!G22,'1.11 Bujuko-Buloba'!G22,'3.11 Bujuko-Buloba'!G22,'31.10 Bujuko-Buloba-24h'!G22,'2.11 Bujuko-Buloba-24HR'!G22,'4.11 Bujuko-Buloba'!G22)</f>
        <v>0</v>
      </c>
      <c r="H22" s="49">
        <f>AVERAGE('29.10 Bujuko-Buloba'!H22,'30.10 Bujuko-Buloba'!H22,'1.11 Bujuko-Buloba'!H22,'3.11 Bujuko-Buloba'!H22,'31.10 Bujuko-Buloba-24h'!H22,'2.11 Bujuko-Buloba-24HR'!H22,'4.11 Bujuko-Buloba'!H22)</f>
        <v>0</v>
      </c>
      <c r="I22" s="49">
        <f>AVERAGE('29.10 Bujuko-Buloba'!I22,'30.10 Bujuko-Buloba'!I22,'1.11 Bujuko-Buloba'!I22,'3.11 Bujuko-Buloba'!I22,'31.10 Bujuko-Buloba-24h'!I22,'2.11 Bujuko-Buloba-24HR'!I22,'4.11 Bujuko-Buloba'!I22)</f>
        <v>2.5714285714285716</v>
      </c>
      <c r="J22" s="49">
        <f>AVERAGE('29.10 Bujuko-Buloba'!J22,'30.10 Bujuko-Buloba'!J22,'1.11 Bujuko-Buloba'!J22,'3.11 Bujuko-Buloba'!J22,'31.10 Bujuko-Buloba-24h'!J22,'2.11 Bujuko-Buloba-24HR'!J22,'4.11 Bujuko-Buloba'!J22)</f>
        <v>1</v>
      </c>
      <c r="K22" s="49">
        <f>AVERAGE('29.10 Bujuko-Buloba'!K22,'30.10 Bujuko-Buloba'!K22,'1.11 Bujuko-Buloba'!K22,'3.11 Bujuko-Buloba'!K22,'31.10 Bujuko-Buloba-24h'!K22,'2.11 Bujuko-Buloba-24HR'!K22,'4.11 Bujuko-Buloba'!K22)</f>
        <v>0.42857142857142855</v>
      </c>
      <c r="L22" s="49">
        <f>AVERAGE('29.10 Bujuko-Buloba'!L22,'30.10 Bujuko-Buloba'!L22,'1.11 Bujuko-Buloba'!L22,'3.11 Bujuko-Buloba'!L22,'31.10 Bujuko-Buloba-24h'!L22,'2.11 Bujuko-Buloba-24HR'!L22,'4.11 Bujuko-Buloba'!L22)</f>
        <v>0.7142857142857143</v>
      </c>
      <c r="M22" s="49">
        <f>AVERAGE('29.10 Bujuko-Buloba'!M22,'30.10 Bujuko-Buloba'!M22,'1.11 Bujuko-Buloba'!M22,'3.11 Bujuko-Buloba'!M22,'31.10 Bujuko-Buloba-24h'!M22,'2.11 Bujuko-Buloba-24HR'!M22,'4.11 Bujuko-Buloba'!M22)</f>
        <v>22.285714285714285</v>
      </c>
      <c r="N22" s="49">
        <f>AVERAGE('29.10 Bujuko-Buloba'!N22,'30.10 Bujuko-Buloba'!N22,'1.11 Bujuko-Buloba'!N22,'3.11 Bujuko-Buloba'!N22,'31.10 Bujuko-Buloba-24h'!N22,'2.11 Bujuko-Buloba-24HR'!N22,'4.11 Bujuko-Buloba'!N22)</f>
        <v>0</v>
      </c>
      <c r="O22" s="15">
        <f t="shared" si="0"/>
        <v>39</v>
      </c>
      <c r="P22" s="15">
        <f t="shared" si="1"/>
        <v>61.285714285714285</v>
      </c>
      <c r="R22" s="1" t="s">
        <v>146</v>
      </c>
      <c r="S22" s="34">
        <f>SUM(C58:C61)</f>
        <v>122.5</v>
      </c>
      <c r="T22" s="34">
        <f t="shared" ref="T22:AF22" si="14">SUM(D58:D61)</f>
        <v>29.5</v>
      </c>
      <c r="U22" s="34">
        <f t="shared" si="14"/>
        <v>26</v>
      </c>
      <c r="V22" s="34">
        <f t="shared" si="14"/>
        <v>83</v>
      </c>
      <c r="W22" s="34">
        <f t="shared" si="14"/>
        <v>1</v>
      </c>
      <c r="X22" s="34">
        <f t="shared" si="14"/>
        <v>1.5</v>
      </c>
      <c r="Y22" s="34">
        <f t="shared" si="14"/>
        <v>31.5</v>
      </c>
      <c r="Z22" s="34">
        <f t="shared" si="14"/>
        <v>18.5</v>
      </c>
      <c r="AA22" s="34">
        <f t="shared" si="14"/>
        <v>6</v>
      </c>
      <c r="AB22" s="34">
        <f t="shared" si="14"/>
        <v>5</v>
      </c>
      <c r="AC22" s="34">
        <f t="shared" si="14"/>
        <v>100.5</v>
      </c>
      <c r="AD22" s="34">
        <f t="shared" si="14"/>
        <v>0</v>
      </c>
      <c r="AE22" s="31">
        <f t="shared" si="14"/>
        <v>324.5</v>
      </c>
      <c r="AF22" s="31">
        <f t="shared" si="14"/>
        <v>425</v>
      </c>
    </row>
    <row r="23" spans="2:32" ht="23.1" customHeight="1" x14ac:dyDescent="0.25">
      <c r="B23" s="23" t="s">
        <v>50</v>
      </c>
      <c r="C23" s="49">
        <f>AVERAGE('29.10 Bujuko-Buloba'!C23,'30.10 Bujuko-Buloba'!C23,'1.11 Bujuko-Buloba'!C23,'3.11 Bujuko-Buloba'!C23,'31.10 Bujuko-Buloba-24h'!C23,'2.11 Bujuko-Buloba-24HR'!C23,'4.11 Bujuko-Buloba'!C23)</f>
        <v>11.571428571428571</v>
      </c>
      <c r="D23" s="49">
        <f>AVERAGE('29.10 Bujuko-Buloba'!D23,'30.10 Bujuko-Buloba'!D23,'1.11 Bujuko-Buloba'!D23,'3.11 Bujuko-Buloba'!D23,'31.10 Bujuko-Buloba-24h'!D23,'2.11 Bujuko-Buloba-24HR'!D23,'4.11 Bujuko-Buloba'!D23)</f>
        <v>2</v>
      </c>
      <c r="E23" s="49">
        <f>AVERAGE('29.10 Bujuko-Buloba'!E23,'30.10 Bujuko-Buloba'!E23,'1.11 Bujuko-Buloba'!E23,'3.11 Bujuko-Buloba'!E23,'31.10 Bujuko-Buloba-24h'!E23,'2.11 Bujuko-Buloba-24HR'!E23,'4.11 Bujuko-Buloba'!E23)</f>
        <v>0.8571428571428571</v>
      </c>
      <c r="F23" s="49">
        <f>AVERAGE('29.10 Bujuko-Buloba'!F23,'30.10 Bujuko-Buloba'!F23,'1.11 Bujuko-Buloba'!F23,'3.11 Bujuko-Buloba'!F23,'31.10 Bujuko-Buloba-24h'!F23,'2.11 Bujuko-Buloba-24HR'!F23,'4.11 Bujuko-Buloba'!F23)</f>
        <v>13.285714285714286</v>
      </c>
      <c r="G23" s="49">
        <f>AVERAGE('29.10 Bujuko-Buloba'!G23,'30.10 Bujuko-Buloba'!G23,'1.11 Bujuko-Buloba'!G23,'3.11 Bujuko-Buloba'!G23,'31.10 Bujuko-Buloba-24h'!G23,'2.11 Bujuko-Buloba-24HR'!G23,'4.11 Bujuko-Buloba'!G23)</f>
        <v>0.14285714285714285</v>
      </c>
      <c r="H23" s="49">
        <f>AVERAGE('29.10 Bujuko-Buloba'!H23,'30.10 Bujuko-Buloba'!H23,'1.11 Bujuko-Buloba'!H23,'3.11 Bujuko-Buloba'!H23,'31.10 Bujuko-Buloba-24h'!H23,'2.11 Bujuko-Buloba-24HR'!H23,'4.11 Bujuko-Buloba'!H23)</f>
        <v>0</v>
      </c>
      <c r="I23" s="49">
        <f>AVERAGE('29.10 Bujuko-Buloba'!I23,'30.10 Bujuko-Buloba'!I23,'1.11 Bujuko-Buloba'!I23,'3.11 Bujuko-Buloba'!I23,'31.10 Bujuko-Buloba-24h'!I23,'2.11 Bujuko-Buloba-24HR'!I23,'4.11 Bujuko-Buloba'!I23)</f>
        <v>2.8571428571428572</v>
      </c>
      <c r="J23" s="49">
        <f>AVERAGE('29.10 Bujuko-Buloba'!J23,'30.10 Bujuko-Buloba'!J23,'1.11 Bujuko-Buloba'!J23,'3.11 Bujuko-Buloba'!J23,'31.10 Bujuko-Buloba-24h'!J23,'2.11 Bujuko-Buloba-24HR'!J23,'4.11 Bujuko-Buloba'!J23)</f>
        <v>1.5714285714285714</v>
      </c>
      <c r="K23" s="49">
        <f>AVERAGE('29.10 Bujuko-Buloba'!K23,'30.10 Bujuko-Buloba'!K23,'1.11 Bujuko-Buloba'!K23,'3.11 Bujuko-Buloba'!K23,'31.10 Bujuko-Buloba-24h'!K23,'2.11 Bujuko-Buloba-24HR'!K23,'4.11 Bujuko-Buloba'!K23)</f>
        <v>0.2857142857142857</v>
      </c>
      <c r="L23" s="49">
        <f>AVERAGE('29.10 Bujuko-Buloba'!L23,'30.10 Bujuko-Buloba'!L23,'1.11 Bujuko-Buloba'!L23,'3.11 Bujuko-Buloba'!L23,'31.10 Bujuko-Buloba-24h'!L23,'2.11 Bujuko-Buloba-24HR'!L23,'4.11 Bujuko-Buloba'!L23)</f>
        <v>0.8571428571428571</v>
      </c>
      <c r="M23" s="49">
        <f>AVERAGE('29.10 Bujuko-Buloba'!M23,'30.10 Bujuko-Buloba'!M23,'1.11 Bujuko-Buloba'!M23,'3.11 Bujuko-Buloba'!M23,'31.10 Bujuko-Buloba-24h'!M23,'2.11 Bujuko-Buloba-24HR'!M23,'4.11 Bujuko-Buloba'!M23)</f>
        <v>20.142857142857142</v>
      </c>
      <c r="N23" s="49">
        <f>AVERAGE('29.10 Bujuko-Buloba'!N23,'30.10 Bujuko-Buloba'!N23,'1.11 Bujuko-Buloba'!N23,'3.11 Bujuko-Buloba'!N23,'31.10 Bujuko-Buloba-24h'!N23,'2.11 Bujuko-Buloba-24HR'!N23,'4.11 Bujuko-Buloba'!N23)</f>
        <v>0</v>
      </c>
      <c r="O23" s="15">
        <f t="shared" si="0"/>
        <v>33.428571428571423</v>
      </c>
      <c r="P23" s="15">
        <f t="shared" si="1"/>
        <v>53.571428571428569</v>
      </c>
      <c r="R23" s="1" t="s">
        <v>147</v>
      </c>
      <c r="S23" s="34">
        <f>SUM(C62:C65)</f>
        <v>75</v>
      </c>
      <c r="T23" s="34">
        <f t="shared" ref="T23:AF23" si="15">SUM(D62:D65)</f>
        <v>12</v>
      </c>
      <c r="U23" s="34">
        <f t="shared" si="15"/>
        <v>15</v>
      </c>
      <c r="V23" s="34">
        <f t="shared" si="15"/>
        <v>44.5</v>
      </c>
      <c r="W23" s="34">
        <f t="shared" si="15"/>
        <v>2.5</v>
      </c>
      <c r="X23" s="34">
        <f t="shared" si="15"/>
        <v>1.5</v>
      </c>
      <c r="Y23" s="34">
        <f t="shared" si="15"/>
        <v>24</v>
      </c>
      <c r="Z23" s="34">
        <f t="shared" si="15"/>
        <v>11.5</v>
      </c>
      <c r="AA23" s="34">
        <f t="shared" si="15"/>
        <v>4</v>
      </c>
      <c r="AB23" s="34">
        <f t="shared" si="15"/>
        <v>4.5</v>
      </c>
      <c r="AC23" s="34">
        <f t="shared" si="15"/>
        <v>71.5</v>
      </c>
      <c r="AD23" s="34">
        <f t="shared" si="15"/>
        <v>0</v>
      </c>
      <c r="AE23" s="31">
        <f t="shared" si="15"/>
        <v>194.5</v>
      </c>
      <c r="AF23" s="31">
        <f t="shared" si="15"/>
        <v>266</v>
      </c>
    </row>
    <row r="24" spans="2:32" ht="23.1" customHeight="1" x14ac:dyDescent="0.25">
      <c r="B24" s="23" t="s">
        <v>51</v>
      </c>
      <c r="C24" s="49">
        <f>AVERAGE('29.10 Bujuko-Buloba'!C24,'30.10 Bujuko-Buloba'!C24,'1.11 Bujuko-Buloba'!C24,'3.11 Bujuko-Buloba'!C24,'31.10 Bujuko-Buloba-24h'!C24,'2.11 Bujuko-Buloba-24HR'!C24,'4.11 Bujuko-Buloba'!C24)</f>
        <v>14.857142857142858</v>
      </c>
      <c r="D24" s="49">
        <f>AVERAGE('29.10 Bujuko-Buloba'!D24,'30.10 Bujuko-Buloba'!D24,'1.11 Bujuko-Buloba'!D24,'3.11 Bujuko-Buloba'!D24,'31.10 Bujuko-Buloba-24h'!D24,'2.11 Bujuko-Buloba-24HR'!D24,'4.11 Bujuko-Buloba'!D24)</f>
        <v>2</v>
      </c>
      <c r="E24" s="49">
        <f>AVERAGE('29.10 Bujuko-Buloba'!E24,'30.10 Bujuko-Buloba'!E24,'1.11 Bujuko-Buloba'!E24,'3.11 Bujuko-Buloba'!E24,'31.10 Bujuko-Buloba-24h'!E24,'2.11 Bujuko-Buloba-24HR'!E24,'4.11 Bujuko-Buloba'!E24)</f>
        <v>2.4285714285714284</v>
      </c>
      <c r="F24" s="49">
        <f>AVERAGE('29.10 Bujuko-Buloba'!F24,'30.10 Bujuko-Buloba'!F24,'1.11 Bujuko-Buloba'!F24,'3.11 Bujuko-Buloba'!F24,'31.10 Bujuko-Buloba-24h'!F24,'2.11 Bujuko-Buloba-24HR'!F24,'4.11 Bujuko-Buloba'!F24)</f>
        <v>13.571428571428571</v>
      </c>
      <c r="G24" s="49">
        <f>AVERAGE('29.10 Bujuko-Buloba'!G24,'30.10 Bujuko-Buloba'!G24,'1.11 Bujuko-Buloba'!G24,'3.11 Bujuko-Buloba'!G24,'31.10 Bujuko-Buloba-24h'!G24,'2.11 Bujuko-Buloba-24HR'!G24,'4.11 Bujuko-Buloba'!G24)</f>
        <v>0</v>
      </c>
      <c r="H24" s="49">
        <f>AVERAGE('29.10 Bujuko-Buloba'!H24,'30.10 Bujuko-Buloba'!H24,'1.11 Bujuko-Buloba'!H24,'3.11 Bujuko-Buloba'!H24,'31.10 Bujuko-Buloba-24h'!H24,'2.11 Bujuko-Buloba-24HR'!H24,'4.11 Bujuko-Buloba'!H24)</f>
        <v>0.2857142857142857</v>
      </c>
      <c r="I24" s="49">
        <f>AVERAGE('29.10 Bujuko-Buloba'!I24,'30.10 Bujuko-Buloba'!I24,'1.11 Bujuko-Buloba'!I24,'3.11 Bujuko-Buloba'!I24,'31.10 Bujuko-Buloba-24h'!I24,'2.11 Bujuko-Buloba-24HR'!I24,'4.11 Bujuko-Buloba'!I24)</f>
        <v>4.2857142857142856</v>
      </c>
      <c r="J24" s="49">
        <f>AVERAGE('29.10 Bujuko-Buloba'!J24,'30.10 Bujuko-Buloba'!J24,'1.11 Bujuko-Buloba'!J24,'3.11 Bujuko-Buloba'!J24,'31.10 Bujuko-Buloba-24h'!J24,'2.11 Bujuko-Buloba-24HR'!J24,'4.11 Bujuko-Buloba'!J24)</f>
        <v>1.5714285714285714</v>
      </c>
      <c r="K24" s="49">
        <f>AVERAGE('29.10 Bujuko-Buloba'!K24,'30.10 Bujuko-Buloba'!K24,'1.11 Bujuko-Buloba'!K24,'3.11 Bujuko-Buloba'!K24,'31.10 Bujuko-Buloba-24h'!K24,'2.11 Bujuko-Buloba-24HR'!K24,'4.11 Bujuko-Buloba'!K24)</f>
        <v>0.2857142857142857</v>
      </c>
      <c r="L24" s="49">
        <f>AVERAGE('29.10 Bujuko-Buloba'!L24,'30.10 Bujuko-Buloba'!L24,'1.11 Bujuko-Buloba'!L24,'3.11 Bujuko-Buloba'!L24,'31.10 Bujuko-Buloba-24h'!L24,'2.11 Bujuko-Buloba-24HR'!L24,'4.11 Bujuko-Buloba'!L24)</f>
        <v>0.7142857142857143</v>
      </c>
      <c r="M24" s="49">
        <f>AVERAGE('29.10 Bujuko-Buloba'!M24,'30.10 Bujuko-Buloba'!M24,'1.11 Bujuko-Buloba'!M24,'3.11 Bujuko-Buloba'!M24,'31.10 Bujuko-Buloba-24h'!M24,'2.11 Bujuko-Buloba-24HR'!M24,'4.11 Bujuko-Buloba'!M24)</f>
        <v>18.571428571428573</v>
      </c>
      <c r="N24" s="49">
        <f>AVERAGE('29.10 Bujuko-Buloba'!N24,'30.10 Bujuko-Buloba'!N24,'1.11 Bujuko-Buloba'!N24,'3.11 Bujuko-Buloba'!N24,'31.10 Bujuko-Buloba-24h'!N24,'2.11 Bujuko-Buloba-24HR'!N24,'4.11 Bujuko-Buloba'!N24)</f>
        <v>0</v>
      </c>
      <c r="O24" s="15">
        <f t="shared" si="0"/>
        <v>39.999999999999993</v>
      </c>
      <c r="P24" s="15">
        <f t="shared" si="1"/>
        <v>58.571428571428569</v>
      </c>
      <c r="R24" s="1" t="s">
        <v>148</v>
      </c>
      <c r="S24" s="34">
        <f>SUM(C66:C69)</f>
        <v>62</v>
      </c>
      <c r="T24" s="34">
        <f t="shared" ref="T24:AF24" si="16">SUM(D66:D69)</f>
        <v>7</v>
      </c>
      <c r="U24" s="34">
        <f t="shared" si="16"/>
        <v>11.5</v>
      </c>
      <c r="V24" s="34">
        <f t="shared" si="16"/>
        <v>41</v>
      </c>
      <c r="W24" s="34">
        <f t="shared" si="16"/>
        <v>1</v>
      </c>
      <c r="X24" s="34">
        <f t="shared" si="16"/>
        <v>3.5</v>
      </c>
      <c r="Y24" s="34">
        <f t="shared" si="16"/>
        <v>25</v>
      </c>
      <c r="Z24" s="34">
        <f t="shared" si="16"/>
        <v>19</v>
      </c>
      <c r="AA24" s="34">
        <f t="shared" si="16"/>
        <v>5</v>
      </c>
      <c r="AB24" s="34">
        <f t="shared" si="16"/>
        <v>4.5</v>
      </c>
      <c r="AC24" s="34">
        <f t="shared" si="16"/>
        <v>50.5</v>
      </c>
      <c r="AD24" s="34">
        <f t="shared" si="16"/>
        <v>0</v>
      </c>
      <c r="AE24" s="31">
        <f t="shared" si="16"/>
        <v>179.5</v>
      </c>
      <c r="AF24" s="31">
        <f t="shared" si="16"/>
        <v>230</v>
      </c>
    </row>
    <row r="25" spans="2:32" ht="23.1" customHeight="1" x14ac:dyDescent="0.25">
      <c r="B25" s="23" t="s">
        <v>52</v>
      </c>
      <c r="C25" s="49">
        <f>AVERAGE('29.10 Bujuko-Buloba'!C25,'30.10 Bujuko-Buloba'!C25,'1.11 Bujuko-Buloba'!C25,'3.11 Bujuko-Buloba'!C25,'31.10 Bujuko-Buloba-24h'!C25,'2.11 Bujuko-Buloba-24HR'!C25,'4.11 Bujuko-Buloba'!C25)</f>
        <v>13.571428571428571</v>
      </c>
      <c r="D25" s="49">
        <f>AVERAGE('29.10 Bujuko-Buloba'!D25,'30.10 Bujuko-Buloba'!D25,'1.11 Bujuko-Buloba'!D25,'3.11 Bujuko-Buloba'!D25,'31.10 Bujuko-Buloba-24h'!D25,'2.11 Bujuko-Buloba-24HR'!D25,'4.11 Bujuko-Buloba'!D25)</f>
        <v>3</v>
      </c>
      <c r="E25" s="49">
        <f>AVERAGE('29.10 Bujuko-Buloba'!E25,'30.10 Bujuko-Buloba'!E25,'1.11 Bujuko-Buloba'!E25,'3.11 Bujuko-Buloba'!E25,'31.10 Bujuko-Buloba-24h'!E25,'2.11 Bujuko-Buloba-24HR'!E25,'4.11 Bujuko-Buloba'!E25)</f>
        <v>1</v>
      </c>
      <c r="F25" s="49">
        <f>AVERAGE('29.10 Bujuko-Buloba'!F25,'30.10 Bujuko-Buloba'!F25,'1.11 Bujuko-Buloba'!F25,'3.11 Bujuko-Buloba'!F25,'31.10 Bujuko-Buloba-24h'!F25,'2.11 Bujuko-Buloba-24HR'!F25,'4.11 Bujuko-Buloba'!F25)</f>
        <v>11.428571428571429</v>
      </c>
      <c r="G25" s="49">
        <f>AVERAGE('29.10 Bujuko-Buloba'!G25,'30.10 Bujuko-Buloba'!G25,'1.11 Bujuko-Buloba'!G25,'3.11 Bujuko-Buloba'!G25,'31.10 Bujuko-Buloba-24h'!G25,'2.11 Bujuko-Buloba-24HR'!G25,'4.11 Bujuko-Buloba'!G25)</f>
        <v>0.42857142857142855</v>
      </c>
      <c r="H25" s="49">
        <f>AVERAGE('29.10 Bujuko-Buloba'!H25,'30.10 Bujuko-Buloba'!H25,'1.11 Bujuko-Buloba'!H25,'3.11 Bujuko-Buloba'!H25,'31.10 Bujuko-Buloba-24h'!H25,'2.11 Bujuko-Buloba-24HR'!H25,'4.11 Bujuko-Buloba'!H25)</f>
        <v>0.42857142857142855</v>
      </c>
      <c r="I25" s="49">
        <f>AVERAGE('29.10 Bujuko-Buloba'!I25,'30.10 Bujuko-Buloba'!I25,'1.11 Bujuko-Buloba'!I25,'3.11 Bujuko-Buloba'!I25,'31.10 Bujuko-Buloba-24h'!I25,'2.11 Bujuko-Buloba-24HR'!I25,'4.11 Bujuko-Buloba'!I25)</f>
        <v>4</v>
      </c>
      <c r="J25" s="49">
        <f>AVERAGE('29.10 Bujuko-Buloba'!J25,'30.10 Bujuko-Buloba'!J25,'1.11 Bujuko-Buloba'!J25,'3.11 Bujuko-Buloba'!J25,'31.10 Bujuko-Buloba-24h'!J25,'2.11 Bujuko-Buloba-24HR'!J25,'4.11 Bujuko-Buloba'!J25)</f>
        <v>1.7142857142857142</v>
      </c>
      <c r="K25" s="49">
        <f>AVERAGE('29.10 Bujuko-Buloba'!K25,'30.10 Bujuko-Buloba'!K25,'1.11 Bujuko-Buloba'!K25,'3.11 Bujuko-Buloba'!K25,'31.10 Bujuko-Buloba-24h'!K25,'2.11 Bujuko-Buloba-24HR'!K25,'4.11 Bujuko-Buloba'!K25)</f>
        <v>0.42857142857142855</v>
      </c>
      <c r="L25" s="49">
        <f>AVERAGE('29.10 Bujuko-Buloba'!L25,'30.10 Bujuko-Buloba'!L25,'1.11 Bujuko-Buloba'!L25,'3.11 Bujuko-Buloba'!L25,'31.10 Bujuko-Buloba-24h'!L25,'2.11 Bujuko-Buloba-24HR'!L25,'4.11 Bujuko-Buloba'!L25)</f>
        <v>0.2857142857142857</v>
      </c>
      <c r="M25" s="49">
        <f>AVERAGE('29.10 Bujuko-Buloba'!M25,'30.10 Bujuko-Buloba'!M25,'1.11 Bujuko-Buloba'!M25,'3.11 Bujuko-Buloba'!M25,'31.10 Bujuko-Buloba-24h'!M25,'2.11 Bujuko-Buloba-24HR'!M25,'4.11 Bujuko-Buloba'!M25)</f>
        <v>16.428571428571427</v>
      </c>
      <c r="N25" s="49">
        <f>AVERAGE('29.10 Bujuko-Buloba'!N25,'30.10 Bujuko-Buloba'!N25,'1.11 Bujuko-Buloba'!N25,'3.11 Bujuko-Buloba'!N25,'31.10 Bujuko-Buloba-24h'!N25,'2.11 Bujuko-Buloba-24HR'!N25,'4.11 Bujuko-Buloba'!N25)</f>
        <v>0</v>
      </c>
      <c r="O25" s="15">
        <f t="shared" si="0"/>
        <v>36.285714285714285</v>
      </c>
      <c r="P25" s="15">
        <f t="shared" si="1"/>
        <v>52.714285714285708</v>
      </c>
      <c r="R25" s="1" t="s">
        <v>149</v>
      </c>
      <c r="S25" s="34">
        <f>SUM(C70:C73)</f>
        <v>42</v>
      </c>
      <c r="T25" s="34">
        <f t="shared" ref="T25:AF25" si="17">SUM(D70:D73)</f>
        <v>7.5</v>
      </c>
      <c r="U25" s="34">
        <f t="shared" si="17"/>
        <v>7</v>
      </c>
      <c r="V25" s="34">
        <f t="shared" si="17"/>
        <v>26.5</v>
      </c>
      <c r="W25" s="34">
        <f t="shared" si="17"/>
        <v>1</v>
      </c>
      <c r="X25" s="34">
        <f t="shared" si="17"/>
        <v>1</v>
      </c>
      <c r="Y25" s="34">
        <f t="shared" si="17"/>
        <v>15.5</v>
      </c>
      <c r="Z25" s="34">
        <f t="shared" si="17"/>
        <v>10.5</v>
      </c>
      <c r="AA25" s="34">
        <f t="shared" si="17"/>
        <v>2.5</v>
      </c>
      <c r="AB25" s="34">
        <f t="shared" si="17"/>
        <v>4.5</v>
      </c>
      <c r="AC25" s="34">
        <f t="shared" si="17"/>
        <v>44</v>
      </c>
      <c r="AD25" s="34">
        <f t="shared" si="17"/>
        <v>0</v>
      </c>
      <c r="AE25" s="31">
        <f t="shared" si="17"/>
        <v>118</v>
      </c>
      <c r="AF25" s="31">
        <f t="shared" si="17"/>
        <v>162</v>
      </c>
    </row>
    <row r="26" spans="2:32" ht="23.1" customHeight="1" x14ac:dyDescent="0.25">
      <c r="B26" s="23" t="s">
        <v>53</v>
      </c>
      <c r="C26" s="49">
        <f>AVERAGE('29.10 Bujuko-Buloba'!C26,'30.10 Bujuko-Buloba'!C26,'1.11 Bujuko-Buloba'!C26,'3.11 Bujuko-Buloba'!C26,'31.10 Bujuko-Buloba-24h'!C26,'2.11 Bujuko-Buloba-24HR'!C26,'4.11 Bujuko-Buloba'!C26)</f>
        <v>9.5714285714285712</v>
      </c>
      <c r="D26" s="49">
        <f>AVERAGE('29.10 Bujuko-Buloba'!D26,'30.10 Bujuko-Buloba'!D26,'1.11 Bujuko-Buloba'!D26,'3.11 Bujuko-Buloba'!D26,'31.10 Bujuko-Buloba-24h'!D26,'2.11 Bujuko-Buloba-24HR'!D26,'4.11 Bujuko-Buloba'!D26)</f>
        <v>1.8571428571428572</v>
      </c>
      <c r="E26" s="49">
        <f>AVERAGE('29.10 Bujuko-Buloba'!E26,'30.10 Bujuko-Buloba'!E26,'1.11 Bujuko-Buloba'!E26,'3.11 Bujuko-Buloba'!E26,'31.10 Bujuko-Buloba-24h'!E26,'2.11 Bujuko-Buloba-24HR'!E26,'4.11 Bujuko-Buloba'!E26)</f>
        <v>1.7142857142857142</v>
      </c>
      <c r="F26" s="49">
        <f>AVERAGE('29.10 Bujuko-Buloba'!F26,'30.10 Bujuko-Buloba'!F26,'1.11 Bujuko-Buloba'!F26,'3.11 Bujuko-Buloba'!F26,'31.10 Bujuko-Buloba-24h'!F26,'2.11 Bujuko-Buloba-24HR'!F26,'4.11 Bujuko-Buloba'!F26)</f>
        <v>11.285714285714286</v>
      </c>
      <c r="G26" s="49">
        <f>AVERAGE('29.10 Bujuko-Buloba'!G26,'30.10 Bujuko-Buloba'!G26,'1.11 Bujuko-Buloba'!G26,'3.11 Bujuko-Buloba'!G26,'31.10 Bujuko-Buloba-24h'!G26,'2.11 Bujuko-Buloba-24HR'!G26,'4.11 Bujuko-Buloba'!G26)</f>
        <v>0</v>
      </c>
      <c r="H26" s="49">
        <f>AVERAGE('29.10 Bujuko-Buloba'!H26,'30.10 Bujuko-Buloba'!H26,'1.11 Bujuko-Buloba'!H26,'3.11 Bujuko-Buloba'!H26,'31.10 Bujuko-Buloba-24h'!H26,'2.11 Bujuko-Buloba-24HR'!H26,'4.11 Bujuko-Buloba'!H26)</f>
        <v>0.2857142857142857</v>
      </c>
      <c r="I26" s="49">
        <f>AVERAGE('29.10 Bujuko-Buloba'!I26,'30.10 Bujuko-Buloba'!I26,'1.11 Bujuko-Buloba'!I26,'3.11 Bujuko-Buloba'!I26,'31.10 Bujuko-Buloba-24h'!I26,'2.11 Bujuko-Buloba-24HR'!I26,'4.11 Bujuko-Buloba'!I26)</f>
        <v>4.7142857142857144</v>
      </c>
      <c r="J26" s="49">
        <f>AVERAGE('29.10 Bujuko-Buloba'!J26,'30.10 Bujuko-Buloba'!J26,'1.11 Bujuko-Buloba'!J26,'3.11 Bujuko-Buloba'!J26,'31.10 Bujuko-Buloba-24h'!J26,'2.11 Bujuko-Buloba-24HR'!J26,'4.11 Bujuko-Buloba'!J26)</f>
        <v>0.7142857142857143</v>
      </c>
      <c r="K26" s="49">
        <f>AVERAGE('29.10 Bujuko-Buloba'!K26,'30.10 Bujuko-Buloba'!K26,'1.11 Bujuko-Buloba'!K26,'3.11 Bujuko-Buloba'!K26,'31.10 Bujuko-Buloba-24h'!K26,'2.11 Bujuko-Buloba-24HR'!K26,'4.11 Bujuko-Buloba'!K26)</f>
        <v>0.42857142857142855</v>
      </c>
      <c r="L26" s="49">
        <f>AVERAGE('29.10 Bujuko-Buloba'!L26,'30.10 Bujuko-Buloba'!L26,'1.11 Bujuko-Buloba'!L26,'3.11 Bujuko-Buloba'!L26,'31.10 Bujuko-Buloba-24h'!L26,'2.11 Bujuko-Buloba-24HR'!L26,'4.11 Bujuko-Buloba'!L26)</f>
        <v>0.8571428571428571</v>
      </c>
      <c r="M26" s="49">
        <f>AVERAGE('29.10 Bujuko-Buloba'!M26,'30.10 Bujuko-Buloba'!M26,'1.11 Bujuko-Buloba'!M26,'3.11 Bujuko-Buloba'!M26,'31.10 Bujuko-Buloba-24h'!M26,'2.11 Bujuko-Buloba-24HR'!M26,'4.11 Bujuko-Buloba'!M26)</f>
        <v>17.714285714285715</v>
      </c>
      <c r="N26" s="49">
        <f>AVERAGE('29.10 Bujuko-Buloba'!N26,'30.10 Bujuko-Buloba'!N26,'1.11 Bujuko-Buloba'!N26,'3.11 Bujuko-Buloba'!N26,'31.10 Bujuko-Buloba-24h'!N26,'2.11 Bujuko-Buloba-24HR'!N26,'4.11 Bujuko-Buloba'!N26)</f>
        <v>0</v>
      </c>
      <c r="O26" s="15">
        <f t="shared" si="0"/>
        <v>31.428571428571431</v>
      </c>
      <c r="P26" s="15">
        <f t="shared" si="1"/>
        <v>49.142857142857146</v>
      </c>
      <c r="R26" s="1" t="s">
        <v>150</v>
      </c>
      <c r="S26" s="34">
        <f>SUM(C74:C77)</f>
        <v>24</v>
      </c>
      <c r="T26" s="34">
        <f t="shared" ref="T26:AF26" si="18">SUM(D74:D77)</f>
        <v>6</v>
      </c>
      <c r="U26" s="34">
        <f t="shared" si="18"/>
        <v>4.5</v>
      </c>
      <c r="V26" s="34">
        <f t="shared" si="18"/>
        <v>10</v>
      </c>
      <c r="W26" s="34">
        <f t="shared" si="18"/>
        <v>0</v>
      </c>
      <c r="X26" s="34">
        <f t="shared" si="18"/>
        <v>0</v>
      </c>
      <c r="Y26" s="34">
        <f t="shared" si="18"/>
        <v>9</v>
      </c>
      <c r="Z26" s="34">
        <f t="shared" si="18"/>
        <v>14</v>
      </c>
      <c r="AA26" s="34">
        <f t="shared" si="18"/>
        <v>2.5</v>
      </c>
      <c r="AB26" s="34">
        <f t="shared" si="18"/>
        <v>2.5</v>
      </c>
      <c r="AC26" s="34">
        <f t="shared" si="18"/>
        <v>29</v>
      </c>
      <c r="AD26" s="34">
        <f t="shared" si="18"/>
        <v>0</v>
      </c>
      <c r="AE26" s="31">
        <f t="shared" si="18"/>
        <v>72.5</v>
      </c>
      <c r="AF26" s="31">
        <f t="shared" si="18"/>
        <v>101.5</v>
      </c>
    </row>
    <row r="27" spans="2:32" ht="23.1" customHeight="1" x14ac:dyDescent="0.25">
      <c r="B27" s="23" t="s">
        <v>54</v>
      </c>
      <c r="C27" s="49">
        <f>AVERAGE('29.10 Bujuko-Buloba'!C27,'30.10 Bujuko-Buloba'!C27,'1.11 Bujuko-Buloba'!C27,'3.11 Bujuko-Buloba'!C27,'31.10 Bujuko-Buloba-24h'!C27,'2.11 Bujuko-Buloba-24HR'!C27,'4.11 Bujuko-Buloba'!C27)</f>
        <v>14.857142857142858</v>
      </c>
      <c r="D27" s="49">
        <f>AVERAGE('29.10 Bujuko-Buloba'!D27,'30.10 Bujuko-Buloba'!D27,'1.11 Bujuko-Buloba'!D27,'3.11 Bujuko-Buloba'!D27,'31.10 Bujuko-Buloba-24h'!D27,'2.11 Bujuko-Buloba-24HR'!D27,'4.11 Bujuko-Buloba'!D27)</f>
        <v>3.8571428571428572</v>
      </c>
      <c r="E27" s="49">
        <f>AVERAGE('29.10 Bujuko-Buloba'!E27,'30.10 Bujuko-Buloba'!E27,'1.11 Bujuko-Buloba'!E27,'3.11 Bujuko-Buloba'!E27,'31.10 Bujuko-Buloba-24h'!E27,'2.11 Bujuko-Buloba-24HR'!E27,'4.11 Bujuko-Buloba'!E27)</f>
        <v>1.5714285714285714</v>
      </c>
      <c r="F27" s="49">
        <f>AVERAGE('29.10 Bujuko-Buloba'!F27,'30.10 Bujuko-Buloba'!F27,'1.11 Bujuko-Buloba'!F27,'3.11 Bujuko-Buloba'!F27,'31.10 Bujuko-Buloba-24h'!F27,'2.11 Bujuko-Buloba-24HR'!F27,'4.11 Bujuko-Buloba'!F27)</f>
        <v>12.714285714285714</v>
      </c>
      <c r="G27" s="49">
        <f>AVERAGE('29.10 Bujuko-Buloba'!G27,'30.10 Bujuko-Buloba'!G27,'1.11 Bujuko-Buloba'!G27,'3.11 Bujuko-Buloba'!G27,'31.10 Bujuko-Buloba-24h'!G27,'2.11 Bujuko-Buloba-24HR'!G27,'4.11 Bujuko-Buloba'!G27)</f>
        <v>0.2857142857142857</v>
      </c>
      <c r="H27" s="49">
        <f>AVERAGE('29.10 Bujuko-Buloba'!H27,'30.10 Bujuko-Buloba'!H27,'1.11 Bujuko-Buloba'!H27,'3.11 Bujuko-Buloba'!H27,'31.10 Bujuko-Buloba-24h'!H27,'2.11 Bujuko-Buloba-24HR'!H27,'4.11 Bujuko-Buloba'!H27)</f>
        <v>0</v>
      </c>
      <c r="I27" s="49">
        <f>AVERAGE('29.10 Bujuko-Buloba'!I27,'30.10 Bujuko-Buloba'!I27,'1.11 Bujuko-Buloba'!I27,'3.11 Bujuko-Buloba'!I27,'31.10 Bujuko-Buloba-24h'!I27,'2.11 Bujuko-Buloba-24HR'!I27,'4.11 Bujuko-Buloba'!I27)</f>
        <v>3</v>
      </c>
      <c r="J27" s="49">
        <f>AVERAGE('29.10 Bujuko-Buloba'!J27,'30.10 Bujuko-Buloba'!J27,'1.11 Bujuko-Buloba'!J27,'3.11 Bujuko-Buloba'!J27,'31.10 Bujuko-Buloba-24h'!J27,'2.11 Bujuko-Buloba-24HR'!J27,'4.11 Bujuko-Buloba'!J27)</f>
        <v>1.2857142857142858</v>
      </c>
      <c r="K27" s="49">
        <f>AVERAGE('29.10 Bujuko-Buloba'!K27,'30.10 Bujuko-Buloba'!K27,'1.11 Bujuko-Buloba'!K27,'3.11 Bujuko-Buloba'!K27,'31.10 Bujuko-Buloba-24h'!K27,'2.11 Bujuko-Buloba-24HR'!K27,'4.11 Bujuko-Buloba'!K27)</f>
        <v>0.8571428571428571</v>
      </c>
      <c r="L27" s="49">
        <f>AVERAGE('29.10 Bujuko-Buloba'!L27,'30.10 Bujuko-Buloba'!L27,'1.11 Bujuko-Buloba'!L27,'3.11 Bujuko-Buloba'!L27,'31.10 Bujuko-Buloba-24h'!L27,'2.11 Bujuko-Buloba-24HR'!L27,'4.11 Bujuko-Buloba'!L27)</f>
        <v>0.8571428571428571</v>
      </c>
      <c r="M27" s="49">
        <f>AVERAGE('29.10 Bujuko-Buloba'!M27,'30.10 Bujuko-Buloba'!M27,'1.11 Bujuko-Buloba'!M27,'3.11 Bujuko-Buloba'!M27,'31.10 Bujuko-Buloba-24h'!M27,'2.11 Bujuko-Buloba-24HR'!M27,'4.11 Bujuko-Buloba'!M27)</f>
        <v>16</v>
      </c>
      <c r="N27" s="49">
        <f>AVERAGE('29.10 Bujuko-Buloba'!N27,'30.10 Bujuko-Buloba'!N27,'1.11 Bujuko-Buloba'!N27,'3.11 Bujuko-Buloba'!N27,'31.10 Bujuko-Buloba-24h'!N27,'2.11 Bujuko-Buloba-24HR'!N27,'4.11 Bujuko-Buloba'!N27)</f>
        <v>0</v>
      </c>
      <c r="O27" s="15">
        <f t="shared" si="0"/>
        <v>39.285714285714278</v>
      </c>
      <c r="P27" s="15">
        <f t="shared" si="1"/>
        <v>55.285714285714278</v>
      </c>
      <c r="R27" s="1" t="s">
        <v>151</v>
      </c>
      <c r="S27" s="34">
        <f>SUM(C78:C81)</f>
        <v>14</v>
      </c>
      <c r="T27" s="34">
        <f t="shared" ref="T27:AF27" si="19">SUM(D78:D81)</f>
        <v>2</v>
      </c>
      <c r="U27" s="34">
        <f t="shared" si="19"/>
        <v>3</v>
      </c>
      <c r="V27" s="34">
        <f t="shared" si="19"/>
        <v>4.5</v>
      </c>
      <c r="W27" s="34">
        <f t="shared" si="19"/>
        <v>0</v>
      </c>
      <c r="X27" s="34">
        <f t="shared" si="19"/>
        <v>0</v>
      </c>
      <c r="Y27" s="34">
        <f t="shared" si="19"/>
        <v>11</v>
      </c>
      <c r="Z27" s="34">
        <f t="shared" si="19"/>
        <v>6.5</v>
      </c>
      <c r="AA27" s="34">
        <f t="shared" si="19"/>
        <v>0.5</v>
      </c>
      <c r="AB27" s="34">
        <f t="shared" si="19"/>
        <v>1</v>
      </c>
      <c r="AC27" s="34">
        <f t="shared" si="19"/>
        <v>11</v>
      </c>
      <c r="AD27" s="34">
        <f t="shared" si="19"/>
        <v>0</v>
      </c>
      <c r="AE27" s="31">
        <f t="shared" si="19"/>
        <v>42.5</v>
      </c>
      <c r="AF27" s="31">
        <f t="shared" si="19"/>
        <v>53.5</v>
      </c>
    </row>
    <row r="28" spans="2:32" ht="23.1" customHeight="1" x14ac:dyDescent="0.25">
      <c r="B28" s="23" t="s">
        <v>55</v>
      </c>
      <c r="C28" s="49">
        <f>AVERAGE('29.10 Bujuko-Buloba'!C28,'30.10 Bujuko-Buloba'!C28,'1.11 Bujuko-Buloba'!C28,'3.11 Bujuko-Buloba'!C28,'31.10 Bujuko-Buloba-24h'!C28,'2.11 Bujuko-Buloba-24HR'!C28,'4.11 Bujuko-Buloba'!C28)</f>
        <v>12</v>
      </c>
      <c r="D28" s="49">
        <f>AVERAGE('29.10 Bujuko-Buloba'!D28,'30.10 Bujuko-Buloba'!D28,'1.11 Bujuko-Buloba'!D28,'3.11 Bujuko-Buloba'!D28,'31.10 Bujuko-Buloba-24h'!D28,'2.11 Bujuko-Buloba-24HR'!D28,'4.11 Bujuko-Buloba'!D28)</f>
        <v>3.1428571428571428</v>
      </c>
      <c r="E28" s="49">
        <f>AVERAGE('29.10 Bujuko-Buloba'!E28,'30.10 Bujuko-Buloba'!E28,'1.11 Bujuko-Buloba'!E28,'3.11 Bujuko-Buloba'!E28,'31.10 Bujuko-Buloba-24h'!E28,'2.11 Bujuko-Buloba-24HR'!E28,'4.11 Bujuko-Buloba'!E28)</f>
        <v>2.1428571428571428</v>
      </c>
      <c r="F28" s="49">
        <f>AVERAGE('29.10 Bujuko-Buloba'!F28,'30.10 Bujuko-Buloba'!F28,'1.11 Bujuko-Buloba'!F28,'3.11 Bujuko-Buloba'!F28,'31.10 Bujuko-Buloba-24h'!F28,'2.11 Bujuko-Buloba-24HR'!F28,'4.11 Bujuko-Buloba'!F28)</f>
        <v>11.142857142857142</v>
      </c>
      <c r="G28" s="49">
        <f>AVERAGE('29.10 Bujuko-Buloba'!G28,'30.10 Bujuko-Buloba'!G28,'1.11 Bujuko-Buloba'!G28,'3.11 Bujuko-Buloba'!G28,'31.10 Bujuko-Buloba-24h'!G28,'2.11 Bujuko-Buloba-24HR'!G28,'4.11 Bujuko-Buloba'!G28)</f>
        <v>0.14285714285714285</v>
      </c>
      <c r="H28" s="49">
        <f>AVERAGE('29.10 Bujuko-Buloba'!H28,'30.10 Bujuko-Buloba'!H28,'1.11 Bujuko-Buloba'!H28,'3.11 Bujuko-Buloba'!H28,'31.10 Bujuko-Buloba-24h'!H28,'2.11 Bujuko-Buloba-24HR'!H28,'4.11 Bujuko-Buloba'!H28)</f>
        <v>0.14285714285714285</v>
      </c>
      <c r="I28" s="49">
        <f>AVERAGE('29.10 Bujuko-Buloba'!I28,'30.10 Bujuko-Buloba'!I28,'1.11 Bujuko-Buloba'!I28,'3.11 Bujuko-Buloba'!I28,'31.10 Bujuko-Buloba-24h'!I28,'2.11 Bujuko-Buloba-24HR'!I28,'4.11 Bujuko-Buloba'!I28)</f>
        <v>5.5714285714285712</v>
      </c>
      <c r="J28" s="49">
        <f>AVERAGE('29.10 Bujuko-Buloba'!J28,'30.10 Bujuko-Buloba'!J28,'1.11 Bujuko-Buloba'!J28,'3.11 Bujuko-Buloba'!J28,'31.10 Bujuko-Buloba-24h'!J28,'2.11 Bujuko-Buloba-24HR'!J28,'4.11 Bujuko-Buloba'!J28)</f>
        <v>1</v>
      </c>
      <c r="K28" s="49">
        <f>AVERAGE('29.10 Bujuko-Buloba'!K28,'30.10 Bujuko-Buloba'!K28,'1.11 Bujuko-Buloba'!K28,'3.11 Bujuko-Buloba'!K28,'31.10 Bujuko-Buloba-24h'!K28,'2.11 Bujuko-Buloba-24HR'!K28,'4.11 Bujuko-Buloba'!K28)</f>
        <v>0</v>
      </c>
      <c r="L28" s="49">
        <f>AVERAGE('29.10 Bujuko-Buloba'!L28,'30.10 Bujuko-Buloba'!L28,'1.11 Bujuko-Buloba'!L28,'3.11 Bujuko-Buloba'!L28,'31.10 Bujuko-Buloba-24h'!L28,'2.11 Bujuko-Buloba-24HR'!L28,'4.11 Bujuko-Buloba'!L28)</f>
        <v>0.42857142857142855</v>
      </c>
      <c r="M28" s="49">
        <f>AVERAGE('29.10 Bujuko-Buloba'!M28,'30.10 Bujuko-Buloba'!M28,'1.11 Bujuko-Buloba'!M28,'3.11 Bujuko-Buloba'!M28,'31.10 Bujuko-Buloba-24h'!M28,'2.11 Bujuko-Buloba-24HR'!M28,'4.11 Bujuko-Buloba'!M28)</f>
        <v>16.714285714285715</v>
      </c>
      <c r="N28" s="49">
        <f>AVERAGE('29.10 Bujuko-Buloba'!N28,'30.10 Bujuko-Buloba'!N28,'1.11 Bujuko-Buloba'!N28,'3.11 Bujuko-Buloba'!N28,'31.10 Bujuko-Buloba-24h'!N28,'2.11 Bujuko-Buloba-24HR'!N28,'4.11 Bujuko-Buloba'!N28)</f>
        <v>0</v>
      </c>
      <c r="O28" s="15">
        <f t="shared" si="0"/>
        <v>35.714285714285715</v>
      </c>
      <c r="P28" s="15">
        <f t="shared" si="1"/>
        <v>52.428571428571431</v>
      </c>
      <c r="R28" s="1" t="s">
        <v>152</v>
      </c>
      <c r="S28" s="34">
        <f>SUM(C82:C85)</f>
        <v>10.5</v>
      </c>
      <c r="T28" s="34">
        <f t="shared" ref="T28:AF28" si="20">SUM(D82:D85)</f>
        <v>6.5</v>
      </c>
      <c r="U28" s="34">
        <f t="shared" si="20"/>
        <v>3</v>
      </c>
      <c r="V28" s="34">
        <f t="shared" si="20"/>
        <v>0.5</v>
      </c>
      <c r="W28" s="34">
        <f t="shared" si="20"/>
        <v>0</v>
      </c>
      <c r="X28" s="34">
        <f t="shared" si="20"/>
        <v>0</v>
      </c>
      <c r="Y28" s="34">
        <f t="shared" si="20"/>
        <v>8</v>
      </c>
      <c r="Z28" s="34">
        <f t="shared" si="20"/>
        <v>5</v>
      </c>
      <c r="AA28" s="34">
        <f t="shared" si="20"/>
        <v>3</v>
      </c>
      <c r="AB28" s="34">
        <f t="shared" si="20"/>
        <v>3</v>
      </c>
      <c r="AC28" s="34">
        <f t="shared" si="20"/>
        <v>10.5</v>
      </c>
      <c r="AD28" s="34">
        <f t="shared" si="20"/>
        <v>0</v>
      </c>
      <c r="AE28" s="31">
        <f t="shared" si="20"/>
        <v>39.5</v>
      </c>
      <c r="AF28" s="31">
        <f t="shared" si="20"/>
        <v>50</v>
      </c>
    </row>
    <row r="29" spans="2:32" ht="23.1" customHeight="1" x14ac:dyDescent="0.25">
      <c r="B29" s="23" t="s">
        <v>56</v>
      </c>
      <c r="C29" s="49">
        <f>AVERAGE('29.10 Bujuko-Buloba'!C29,'30.10 Bujuko-Buloba'!C29,'1.11 Bujuko-Buloba'!C29,'3.11 Bujuko-Buloba'!C29,'31.10 Bujuko-Buloba-24h'!C29,'2.11 Bujuko-Buloba-24HR'!C29,'4.11 Bujuko-Buloba'!C29)</f>
        <v>14.428571428571429</v>
      </c>
      <c r="D29" s="49">
        <f>AVERAGE('29.10 Bujuko-Buloba'!D29,'30.10 Bujuko-Buloba'!D29,'1.11 Bujuko-Buloba'!D29,'3.11 Bujuko-Buloba'!D29,'31.10 Bujuko-Buloba-24h'!D29,'2.11 Bujuko-Buloba-24HR'!D29,'4.11 Bujuko-Buloba'!D29)</f>
        <v>3</v>
      </c>
      <c r="E29" s="49">
        <f>AVERAGE('29.10 Bujuko-Buloba'!E29,'30.10 Bujuko-Buloba'!E29,'1.11 Bujuko-Buloba'!E29,'3.11 Bujuko-Buloba'!E29,'31.10 Bujuko-Buloba-24h'!E29,'2.11 Bujuko-Buloba-24HR'!E29,'4.11 Bujuko-Buloba'!E29)</f>
        <v>2.4285714285714284</v>
      </c>
      <c r="F29" s="49">
        <f>AVERAGE('29.10 Bujuko-Buloba'!F29,'30.10 Bujuko-Buloba'!F29,'1.11 Bujuko-Buloba'!F29,'3.11 Bujuko-Buloba'!F29,'31.10 Bujuko-Buloba-24h'!F29,'2.11 Bujuko-Buloba-24HR'!F29,'4.11 Bujuko-Buloba'!F29)</f>
        <v>15</v>
      </c>
      <c r="G29" s="49">
        <f>AVERAGE('29.10 Bujuko-Buloba'!G29,'30.10 Bujuko-Buloba'!G29,'1.11 Bujuko-Buloba'!G29,'3.11 Bujuko-Buloba'!G29,'31.10 Bujuko-Buloba-24h'!G29,'2.11 Bujuko-Buloba-24HR'!G29,'4.11 Bujuko-Buloba'!G29)</f>
        <v>0.2857142857142857</v>
      </c>
      <c r="H29" s="49">
        <f>AVERAGE('29.10 Bujuko-Buloba'!H29,'30.10 Bujuko-Buloba'!H29,'1.11 Bujuko-Buloba'!H29,'3.11 Bujuko-Buloba'!H29,'31.10 Bujuko-Buloba-24h'!H29,'2.11 Bujuko-Buloba-24HR'!H29,'4.11 Bujuko-Buloba'!H29)</f>
        <v>0</v>
      </c>
      <c r="I29" s="49">
        <f>AVERAGE('29.10 Bujuko-Buloba'!I29,'30.10 Bujuko-Buloba'!I29,'1.11 Bujuko-Buloba'!I29,'3.11 Bujuko-Buloba'!I29,'31.10 Bujuko-Buloba-24h'!I29,'2.11 Bujuko-Buloba-24HR'!I29,'4.11 Bujuko-Buloba'!I29)</f>
        <v>5</v>
      </c>
      <c r="J29" s="49">
        <f>AVERAGE('29.10 Bujuko-Buloba'!J29,'30.10 Bujuko-Buloba'!J29,'1.11 Bujuko-Buloba'!J29,'3.11 Bujuko-Buloba'!J29,'31.10 Bujuko-Buloba-24h'!J29,'2.11 Bujuko-Buloba-24HR'!J29,'4.11 Bujuko-Buloba'!J29)</f>
        <v>1.8571428571428572</v>
      </c>
      <c r="K29" s="49">
        <f>AVERAGE('29.10 Bujuko-Buloba'!K29,'30.10 Bujuko-Buloba'!K29,'1.11 Bujuko-Buloba'!K29,'3.11 Bujuko-Buloba'!K29,'31.10 Bujuko-Buloba-24h'!K29,'2.11 Bujuko-Buloba-24HR'!K29,'4.11 Bujuko-Buloba'!K29)</f>
        <v>0.5714285714285714</v>
      </c>
      <c r="L29" s="49">
        <f>AVERAGE('29.10 Bujuko-Buloba'!L29,'30.10 Bujuko-Buloba'!L29,'1.11 Bujuko-Buloba'!L29,'3.11 Bujuko-Buloba'!L29,'31.10 Bujuko-Buloba-24h'!L29,'2.11 Bujuko-Buloba-24HR'!L29,'4.11 Bujuko-Buloba'!L29)</f>
        <v>1</v>
      </c>
      <c r="M29" s="49">
        <f>AVERAGE('29.10 Bujuko-Buloba'!M29,'30.10 Bujuko-Buloba'!M29,'1.11 Bujuko-Buloba'!M29,'3.11 Bujuko-Buloba'!M29,'31.10 Bujuko-Buloba-24h'!M29,'2.11 Bujuko-Buloba-24HR'!M29,'4.11 Bujuko-Buloba'!M29)</f>
        <v>15</v>
      </c>
      <c r="N29" s="49">
        <f>AVERAGE('29.10 Bujuko-Buloba'!N29,'30.10 Bujuko-Buloba'!N29,'1.11 Bujuko-Buloba'!N29,'3.11 Bujuko-Buloba'!N29,'31.10 Bujuko-Buloba-24h'!N29,'2.11 Bujuko-Buloba-24HR'!N29,'4.11 Bujuko-Buloba'!N29)</f>
        <v>0</v>
      </c>
      <c r="O29" s="15">
        <f t="shared" si="0"/>
        <v>43.571428571428569</v>
      </c>
      <c r="P29" s="15">
        <f t="shared" si="1"/>
        <v>58.571428571428569</v>
      </c>
      <c r="R29" s="1" t="s">
        <v>153</v>
      </c>
      <c r="S29" s="34">
        <f>SUM(C86:C89)</f>
        <v>8.5</v>
      </c>
      <c r="T29" s="34">
        <f t="shared" ref="T29:AF29" si="21">SUM(D86:D89)</f>
        <v>1</v>
      </c>
      <c r="U29" s="34">
        <f t="shared" si="21"/>
        <v>2.5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4.5</v>
      </c>
      <c r="Z29" s="34">
        <f t="shared" si="21"/>
        <v>0.5</v>
      </c>
      <c r="AA29" s="34">
        <f t="shared" si="21"/>
        <v>3.5</v>
      </c>
      <c r="AB29" s="34">
        <f t="shared" si="21"/>
        <v>2</v>
      </c>
      <c r="AC29" s="34">
        <f t="shared" si="21"/>
        <v>15</v>
      </c>
      <c r="AD29" s="34">
        <f t="shared" si="21"/>
        <v>0</v>
      </c>
      <c r="AE29" s="31">
        <f t="shared" si="21"/>
        <v>23.5</v>
      </c>
      <c r="AF29" s="31">
        <f t="shared" si="21"/>
        <v>38.5</v>
      </c>
    </row>
    <row r="30" spans="2:32" ht="23.1" customHeight="1" x14ac:dyDescent="0.25">
      <c r="B30" s="23" t="s">
        <v>57</v>
      </c>
      <c r="C30" s="49">
        <f>AVERAGE('29.10 Bujuko-Buloba'!C30,'30.10 Bujuko-Buloba'!C30,'1.11 Bujuko-Buloba'!C30,'3.11 Bujuko-Buloba'!C30,'31.10 Bujuko-Buloba-24h'!C30,'2.11 Bujuko-Buloba-24HR'!C30,'4.11 Bujuko-Buloba'!C30)</f>
        <v>14.285714285714286</v>
      </c>
      <c r="D30" s="49">
        <f>AVERAGE('29.10 Bujuko-Buloba'!D30,'30.10 Bujuko-Buloba'!D30,'1.11 Bujuko-Buloba'!D30,'3.11 Bujuko-Buloba'!D30,'31.10 Bujuko-Buloba-24h'!D30,'2.11 Bujuko-Buloba-24HR'!D30,'4.11 Bujuko-Buloba'!D30)</f>
        <v>2</v>
      </c>
      <c r="E30" s="49">
        <f>AVERAGE('29.10 Bujuko-Buloba'!E30,'30.10 Bujuko-Buloba'!E30,'1.11 Bujuko-Buloba'!E30,'3.11 Bujuko-Buloba'!E30,'31.10 Bujuko-Buloba-24h'!E30,'2.11 Bujuko-Buloba-24HR'!E30,'4.11 Bujuko-Buloba'!E30)</f>
        <v>2.8571428571428572</v>
      </c>
      <c r="F30" s="49">
        <f>AVERAGE('29.10 Bujuko-Buloba'!F30,'30.10 Bujuko-Buloba'!F30,'1.11 Bujuko-Buloba'!F30,'3.11 Bujuko-Buloba'!F30,'31.10 Bujuko-Buloba-24h'!F30,'2.11 Bujuko-Buloba-24HR'!F30,'4.11 Bujuko-Buloba'!F30)</f>
        <v>13.142857142857142</v>
      </c>
      <c r="G30" s="49">
        <f>AVERAGE('29.10 Bujuko-Buloba'!G30,'30.10 Bujuko-Buloba'!G30,'1.11 Bujuko-Buloba'!G30,'3.11 Bujuko-Buloba'!G30,'31.10 Bujuko-Buloba-24h'!G30,'2.11 Bujuko-Buloba-24HR'!G30,'4.11 Bujuko-Buloba'!G30)</f>
        <v>0.5714285714285714</v>
      </c>
      <c r="H30" s="49">
        <f>AVERAGE('29.10 Bujuko-Buloba'!H30,'30.10 Bujuko-Buloba'!H30,'1.11 Bujuko-Buloba'!H30,'3.11 Bujuko-Buloba'!H30,'31.10 Bujuko-Buloba-24h'!H30,'2.11 Bujuko-Buloba-24HR'!H30,'4.11 Bujuko-Buloba'!H30)</f>
        <v>0.14285714285714285</v>
      </c>
      <c r="I30" s="49">
        <f>AVERAGE('29.10 Bujuko-Buloba'!I30,'30.10 Bujuko-Buloba'!I30,'1.11 Bujuko-Buloba'!I30,'3.11 Bujuko-Buloba'!I30,'31.10 Bujuko-Buloba-24h'!I30,'2.11 Bujuko-Buloba-24HR'!I30,'4.11 Bujuko-Buloba'!I30)</f>
        <v>6.5714285714285712</v>
      </c>
      <c r="J30" s="49">
        <f>AVERAGE('29.10 Bujuko-Buloba'!J30,'30.10 Bujuko-Buloba'!J30,'1.11 Bujuko-Buloba'!J30,'3.11 Bujuko-Buloba'!J30,'31.10 Bujuko-Buloba-24h'!J30,'2.11 Bujuko-Buloba-24HR'!J30,'4.11 Bujuko-Buloba'!J30)</f>
        <v>1.2857142857142858</v>
      </c>
      <c r="K30" s="49">
        <f>AVERAGE('29.10 Bujuko-Buloba'!K30,'30.10 Bujuko-Buloba'!K30,'1.11 Bujuko-Buloba'!K30,'3.11 Bujuko-Buloba'!K30,'31.10 Bujuko-Buloba-24h'!K30,'2.11 Bujuko-Buloba-24HR'!K30,'4.11 Bujuko-Buloba'!K30)</f>
        <v>0.14285714285714285</v>
      </c>
      <c r="L30" s="49">
        <f>AVERAGE('29.10 Bujuko-Buloba'!L30,'30.10 Bujuko-Buloba'!L30,'1.11 Bujuko-Buloba'!L30,'3.11 Bujuko-Buloba'!L30,'31.10 Bujuko-Buloba-24h'!L30,'2.11 Bujuko-Buloba-24HR'!L30,'4.11 Bujuko-Buloba'!L30)</f>
        <v>0.42857142857142855</v>
      </c>
      <c r="M30" s="49">
        <f>AVERAGE('29.10 Bujuko-Buloba'!M30,'30.10 Bujuko-Buloba'!M30,'1.11 Bujuko-Buloba'!M30,'3.11 Bujuko-Buloba'!M30,'31.10 Bujuko-Buloba-24h'!M30,'2.11 Bujuko-Buloba-24HR'!M30,'4.11 Bujuko-Buloba'!M30)</f>
        <v>17.571428571428573</v>
      </c>
      <c r="N30" s="49">
        <f>AVERAGE('29.10 Bujuko-Buloba'!N30,'30.10 Bujuko-Buloba'!N30,'1.11 Bujuko-Buloba'!N30,'3.11 Bujuko-Buloba'!N30,'31.10 Bujuko-Buloba-24h'!N30,'2.11 Bujuko-Buloba-24HR'!N30,'4.11 Bujuko-Buloba'!N30)</f>
        <v>0</v>
      </c>
      <c r="O30" s="15">
        <f t="shared" si="0"/>
        <v>41.428571428571431</v>
      </c>
      <c r="P30" s="15">
        <f t="shared" si="1"/>
        <v>59</v>
      </c>
      <c r="R30" s="1" t="s">
        <v>154</v>
      </c>
      <c r="S30" s="34">
        <f>SUM(C90:C93)</f>
        <v>7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4</v>
      </c>
      <c r="Z30" s="34">
        <f t="shared" si="22"/>
        <v>3.5</v>
      </c>
      <c r="AA30" s="34">
        <f t="shared" si="22"/>
        <v>2</v>
      </c>
      <c r="AB30" s="34">
        <f t="shared" si="22"/>
        <v>0</v>
      </c>
      <c r="AC30" s="34">
        <f t="shared" si="22"/>
        <v>8.5</v>
      </c>
      <c r="AD30" s="34">
        <f t="shared" si="22"/>
        <v>0</v>
      </c>
      <c r="AE30" s="31">
        <f t="shared" si="22"/>
        <v>17.5</v>
      </c>
      <c r="AF30" s="31">
        <f t="shared" si="22"/>
        <v>26</v>
      </c>
    </row>
    <row r="31" spans="2:32" ht="23.1" customHeight="1" x14ac:dyDescent="0.25">
      <c r="B31" s="24" t="s">
        <v>58</v>
      </c>
      <c r="C31" s="49">
        <f>AVERAGE('29.10 Bujuko-Buloba'!C31,'30.10 Bujuko-Buloba'!C31,'1.11 Bujuko-Buloba'!C31,'3.11 Bujuko-Buloba'!C31,'31.10 Bujuko-Buloba-24h'!C31,'2.11 Bujuko-Buloba-24HR'!C31,'4.11 Bujuko-Buloba'!C31)</f>
        <v>10.857142857142858</v>
      </c>
      <c r="D31" s="49">
        <f>AVERAGE('29.10 Bujuko-Buloba'!D31,'30.10 Bujuko-Buloba'!D31,'1.11 Bujuko-Buloba'!D31,'3.11 Bujuko-Buloba'!D31,'31.10 Bujuko-Buloba-24h'!D31,'2.11 Bujuko-Buloba-24HR'!D31,'4.11 Bujuko-Buloba'!D31)</f>
        <v>3.4285714285714284</v>
      </c>
      <c r="E31" s="49">
        <f>AVERAGE('29.10 Bujuko-Buloba'!E31,'30.10 Bujuko-Buloba'!E31,'1.11 Bujuko-Buloba'!E31,'3.11 Bujuko-Buloba'!E31,'31.10 Bujuko-Buloba-24h'!E31,'2.11 Bujuko-Buloba-24HR'!E31,'4.11 Bujuko-Buloba'!E31)</f>
        <v>1.7142857142857142</v>
      </c>
      <c r="F31" s="49">
        <f>AVERAGE('29.10 Bujuko-Buloba'!F31,'30.10 Bujuko-Buloba'!F31,'1.11 Bujuko-Buloba'!F31,'3.11 Bujuko-Buloba'!F31,'31.10 Bujuko-Buloba-24h'!F31,'2.11 Bujuko-Buloba-24HR'!F31,'4.11 Bujuko-Buloba'!F31)</f>
        <v>11.142857142857142</v>
      </c>
      <c r="G31" s="49">
        <f>AVERAGE('29.10 Bujuko-Buloba'!G31,'30.10 Bujuko-Buloba'!G31,'1.11 Bujuko-Buloba'!G31,'3.11 Bujuko-Buloba'!G31,'31.10 Bujuko-Buloba-24h'!G31,'2.11 Bujuko-Buloba-24HR'!G31,'4.11 Bujuko-Buloba'!G31)</f>
        <v>0</v>
      </c>
      <c r="H31" s="49">
        <f>AVERAGE('29.10 Bujuko-Buloba'!H31,'30.10 Bujuko-Buloba'!H31,'1.11 Bujuko-Buloba'!H31,'3.11 Bujuko-Buloba'!H31,'31.10 Bujuko-Buloba-24h'!H31,'2.11 Bujuko-Buloba-24HR'!H31,'4.11 Bujuko-Buloba'!H31)</f>
        <v>0.14285714285714285</v>
      </c>
      <c r="I31" s="49">
        <f>AVERAGE('29.10 Bujuko-Buloba'!I31,'30.10 Bujuko-Buloba'!I31,'1.11 Bujuko-Buloba'!I31,'3.11 Bujuko-Buloba'!I31,'31.10 Bujuko-Buloba-24h'!I31,'2.11 Bujuko-Buloba-24HR'!I31,'4.11 Bujuko-Buloba'!I31)</f>
        <v>5.2857142857142856</v>
      </c>
      <c r="J31" s="49">
        <f>AVERAGE('29.10 Bujuko-Buloba'!J31,'30.10 Bujuko-Buloba'!J31,'1.11 Bujuko-Buloba'!J31,'3.11 Bujuko-Buloba'!J31,'31.10 Bujuko-Buloba-24h'!J31,'2.11 Bujuko-Buloba-24HR'!J31,'4.11 Bujuko-Buloba'!J31)</f>
        <v>1.8571428571428572</v>
      </c>
      <c r="K31" s="49">
        <f>AVERAGE('29.10 Bujuko-Buloba'!K31,'30.10 Bujuko-Buloba'!K31,'1.11 Bujuko-Buloba'!K31,'3.11 Bujuko-Buloba'!K31,'31.10 Bujuko-Buloba-24h'!K31,'2.11 Bujuko-Buloba-24HR'!K31,'4.11 Bujuko-Buloba'!K31)</f>
        <v>0.7142857142857143</v>
      </c>
      <c r="L31" s="49">
        <f>AVERAGE('29.10 Bujuko-Buloba'!L31,'30.10 Bujuko-Buloba'!L31,'1.11 Bujuko-Buloba'!L31,'3.11 Bujuko-Buloba'!L31,'31.10 Bujuko-Buloba-24h'!L31,'2.11 Bujuko-Buloba-24HR'!L31,'4.11 Bujuko-Buloba'!L31)</f>
        <v>0.8571428571428571</v>
      </c>
      <c r="M31" s="49">
        <f>AVERAGE('29.10 Bujuko-Buloba'!M31,'30.10 Bujuko-Buloba'!M31,'1.11 Bujuko-Buloba'!M31,'3.11 Bujuko-Buloba'!M31,'31.10 Bujuko-Buloba-24h'!M31,'2.11 Bujuko-Buloba-24HR'!M31,'4.11 Bujuko-Buloba'!M31)</f>
        <v>13.285714285714286</v>
      </c>
      <c r="N31" s="49">
        <f>AVERAGE('29.10 Bujuko-Buloba'!N31,'30.10 Bujuko-Buloba'!N31,'1.11 Bujuko-Buloba'!N31,'3.11 Bujuko-Buloba'!N31,'31.10 Bujuko-Buloba-24h'!N31,'2.11 Bujuko-Buloba-24HR'!N31,'4.11 Bujuko-Buloba'!N31)</f>
        <v>0</v>
      </c>
      <c r="O31" s="15">
        <f t="shared" si="0"/>
        <v>35.999999999999993</v>
      </c>
      <c r="P31" s="15">
        <f t="shared" si="1"/>
        <v>49.285714285714278</v>
      </c>
      <c r="R31" s="1" t="s">
        <v>155</v>
      </c>
      <c r="S31" s="34">
        <f>SUM(C94:C97)</f>
        <v>19</v>
      </c>
      <c r="T31" s="34">
        <f t="shared" ref="T31:AF31" si="23">SUM(D94:D97)</f>
        <v>0</v>
      </c>
      <c r="U31" s="34">
        <f t="shared" si="23"/>
        <v>0.5</v>
      </c>
      <c r="V31" s="34">
        <f t="shared" si="23"/>
        <v>2.5</v>
      </c>
      <c r="W31" s="34">
        <f t="shared" si="23"/>
        <v>0</v>
      </c>
      <c r="X31" s="34">
        <f t="shared" si="23"/>
        <v>1.5</v>
      </c>
      <c r="Y31" s="34">
        <f t="shared" si="23"/>
        <v>6.5</v>
      </c>
      <c r="Z31" s="34">
        <f t="shared" si="23"/>
        <v>1.5</v>
      </c>
      <c r="AA31" s="34">
        <f t="shared" si="23"/>
        <v>1</v>
      </c>
      <c r="AB31" s="34">
        <f t="shared" si="23"/>
        <v>0</v>
      </c>
      <c r="AC31" s="34">
        <f t="shared" si="23"/>
        <v>10.5</v>
      </c>
      <c r="AD31" s="34">
        <f t="shared" si="23"/>
        <v>0</v>
      </c>
      <c r="AE31" s="31">
        <f t="shared" si="23"/>
        <v>32.5</v>
      </c>
      <c r="AF31" s="31">
        <f t="shared" si="23"/>
        <v>43</v>
      </c>
    </row>
    <row r="32" spans="2:32" ht="23.1" customHeight="1" x14ac:dyDescent="0.25">
      <c r="B32" s="24" t="s">
        <v>59</v>
      </c>
      <c r="C32" s="49">
        <f>AVERAGE('29.10 Bujuko-Buloba'!C32,'30.10 Bujuko-Buloba'!C32,'1.11 Bujuko-Buloba'!C32,'3.11 Bujuko-Buloba'!C32,'31.10 Bujuko-Buloba-24h'!C32,'2.11 Bujuko-Buloba-24HR'!C32,'4.11 Bujuko-Buloba'!C32)</f>
        <v>14.857142857142858</v>
      </c>
      <c r="D32" s="49">
        <f>AVERAGE('29.10 Bujuko-Buloba'!D32,'30.10 Bujuko-Buloba'!D32,'1.11 Bujuko-Buloba'!D32,'3.11 Bujuko-Buloba'!D32,'31.10 Bujuko-Buloba-24h'!D32,'2.11 Bujuko-Buloba-24HR'!D32,'4.11 Bujuko-Buloba'!D32)</f>
        <v>2.2857142857142856</v>
      </c>
      <c r="E32" s="49">
        <f>AVERAGE('29.10 Bujuko-Buloba'!E32,'30.10 Bujuko-Buloba'!E32,'1.11 Bujuko-Buloba'!E32,'3.11 Bujuko-Buloba'!E32,'31.10 Bujuko-Buloba-24h'!E32,'2.11 Bujuko-Buloba-24HR'!E32,'4.11 Bujuko-Buloba'!E32)</f>
        <v>2.7142857142857144</v>
      </c>
      <c r="F32" s="49">
        <f>AVERAGE('29.10 Bujuko-Buloba'!F32,'30.10 Bujuko-Buloba'!F32,'1.11 Bujuko-Buloba'!F32,'3.11 Bujuko-Buloba'!F32,'31.10 Bujuko-Buloba-24h'!F32,'2.11 Bujuko-Buloba-24HR'!F32,'4.11 Bujuko-Buloba'!F32)</f>
        <v>12.857142857142858</v>
      </c>
      <c r="G32" s="49">
        <f>AVERAGE('29.10 Bujuko-Buloba'!G32,'30.10 Bujuko-Buloba'!G32,'1.11 Bujuko-Buloba'!G32,'3.11 Bujuko-Buloba'!G32,'31.10 Bujuko-Buloba-24h'!G32,'2.11 Bujuko-Buloba-24HR'!G32,'4.11 Bujuko-Buloba'!G32)</f>
        <v>0.14285714285714285</v>
      </c>
      <c r="H32" s="49">
        <f>AVERAGE('29.10 Bujuko-Buloba'!H32,'30.10 Bujuko-Buloba'!H32,'1.11 Bujuko-Buloba'!H32,'3.11 Bujuko-Buloba'!H32,'31.10 Bujuko-Buloba-24h'!H32,'2.11 Bujuko-Buloba-24HR'!H32,'4.11 Bujuko-Buloba'!H32)</f>
        <v>0.7142857142857143</v>
      </c>
      <c r="I32" s="49">
        <f>AVERAGE('29.10 Bujuko-Buloba'!I32,'30.10 Bujuko-Buloba'!I32,'1.11 Bujuko-Buloba'!I32,'3.11 Bujuko-Buloba'!I32,'31.10 Bujuko-Buloba-24h'!I32,'2.11 Bujuko-Buloba-24HR'!I32,'4.11 Bujuko-Buloba'!I32)</f>
        <v>7.7142857142857144</v>
      </c>
      <c r="J32" s="49">
        <f>AVERAGE('29.10 Bujuko-Buloba'!J32,'30.10 Bujuko-Buloba'!J32,'1.11 Bujuko-Buloba'!J32,'3.11 Bujuko-Buloba'!J32,'31.10 Bujuko-Buloba-24h'!J32,'2.11 Bujuko-Buloba-24HR'!J32,'4.11 Bujuko-Buloba'!J32)</f>
        <v>2.8571428571428572</v>
      </c>
      <c r="K32" s="49">
        <f>AVERAGE('29.10 Bujuko-Buloba'!K32,'30.10 Bujuko-Buloba'!K32,'1.11 Bujuko-Buloba'!K32,'3.11 Bujuko-Buloba'!K32,'31.10 Bujuko-Buloba-24h'!K32,'2.11 Bujuko-Buloba-24HR'!K32,'4.11 Bujuko-Buloba'!K32)</f>
        <v>0.7142857142857143</v>
      </c>
      <c r="L32" s="49">
        <f>AVERAGE('29.10 Bujuko-Buloba'!L32,'30.10 Bujuko-Buloba'!L32,'1.11 Bujuko-Buloba'!L32,'3.11 Bujuko-Buloba'!L32,'31.10 Bujuko-Buloba-24h'!L32,'2.11 Bujuko-Buloba-24HR'!L32,'4.11 Bujuko-Buloba'!L32)</f>
        <v>0.8571428571428571</v>
      </c>
      <c r="M32" s="49">
        <f>AVERAGE('29.10 Bujuko-Buloba'!M32,'30.10 Bujuko-Buloba'!M32,'1.11 Bujuko-Buloba'!M32,'3.11 Bujuko-Buloba'!M32,'31.10 Bujuko-Buloba-24h'!M32,'2.11 Bujuko-Buloba-24HR'!M32,'4.11 Bujuko-Buloba'!M32)</f>
        <v>16.857142857142858</v>
      </c>
      <c r="N32" s="49">
        <f>AVERAGE('29.10 Bujuko-Buloba'!N32,'30.10 Bujuko-Buloba'!N32,'1.11 Bujuko-Buloba'!N32,'3.11 Bujuko-Buloba'!N32,'31.10 Bujuko-Buloba-24h'!N32,'2.11 Bujuko-Buloba-24HR'!N32,'4.11 Bujuko-Buloba'!N32)</f>
        <v>0</v>
      </c>
      <c r="O32" s="15">
        <f t="shared" si="0"/>
        <v>45.714285714285715</v>
      </c>
      <c r="P32" s="15">
        <f t="shared" si="1"/>
        <v>62.571428571428569</v>
      </c>
      <c r="R32" s="1" t="s">
        <v>156</v>
      </c>
      <c r="S32" s="34">
        <f>SUM(C98:C101)</f>
        <v>22.5</v>
      </c>
      <c r="T32" s="34">
        <f t="shared" ref="T32:AF32" si="24">SUM(D98:D101)</f>
        <v>5</v>
      </c>
      <c r="U32" s="34">
        <f t="shared" si="24"/>
        <v>1.5</v>
      </c>
      <c r="V32" s="34">
        <f t="shared" si="24"/>
        <v>21</v>
      </c>
      <c r="W32" s="34">
        <f t="shared" si="24"/>
        <v>0</v>
      </c>
      <c r="X32" s="34">
        <f t="shared" si="24"/>
        <v>1.5</v>
      </c>
      <c r="Y32" s="34">
        <f t="shared" si="24"/>
        <v>5</v>
      </c>
      <c r="Z32" s="34">
        <f t="shared" si="24"/>
        <v>12</v>
      </c>
      <c r="AA32" s="34">
        <f t="shared" si="24"/>
        <v>3.5</v>
      </c>
      <c r="AB32" s="34">
        <f t="shared" si="24"/>
        <v>1.5</v>
      </c>
      <c r="AC32" s="34">
        <f t="shared" si="24"/>
        <v>30</v>
      </c>
      <c r="AD32" s="34">
        <f t="shared" si="24"/>
        <v>0</v>
      </c>
      <c r="AE32" s="31">
        <f t="shared" si="24"/>
        <v>73.5</v>
      </c>
      <c r="AF32" s="31">
        <f t="shared" si="24"/>
        <v>103.5</v>
      </c>
    </row>
    <row r="33" spans="2:32" ht="23.1" customHeight="1" x14ac:dyDescent="0.25">
      <c r="B33" s="23" t="s">
        <v>60</v>
      </c>
      <c r="C33" s="49">
        <f>AVERAGE('29.10 Bujuko-Buloba'!C33,'30.10 Bujuko-Buloba'!C33,'1.11 Bujuko-Buloba'!C33,'3.11 Bujuko-Buloba'!C33,'31.10 Bujuko-Buloba-24h'!C33,'2.11 Bujuko-Buloba-24HR'!C33,'4.11 Bujuko-Buloba'!C33)</f>
        <v>10.857142857142858</v>
      </c>
      <c r="D33" s="49">
        <f>AVERAGE('29.10 Bujuko-Buloba'!D33,'30.10 Bujuko-Buloba'!D33,'1.11 Bujuko-Buloba'!D33,'3.11 Bujuko-Buloba'!D33,'31.10 Bujuko-Buloba-24h'!D33,'2.11 Bujuko-Buloba-24HR'!D33,'4.11 Bujuko-Buloba'!D33)</f>
        <v>2.8571428571428572</v>
      </c>
      <c r="E33" s="49">
        <f>AVERAGE('29.10 Bujuko-Buloba'!E33,'30.10 Bujuko-Buloba'!E33,'1.11 Bujuko-Buloba'!E33,'3.11 Bujuko-Buloba'!E33,'31.10 Bujuko-Buloba-24h'!E33,'2.11 Bujuko-Buloba-24HR'!E33,'4.11 Bujuko-Buloba'!E33)</f>
        <v>1.2857142857142858</v>
      </c>
      <c r="F33" s="49">
        <f>AVERAGE('29.10 Bujuko-Buloba'!F33,'30.10 Bujuko-Buloba'!F33,'1.11 Bujuko-Buloba'!F33,'3.11 Bujuko-Buloba'!F33,'31.10 Bujuko-Buloba-24h'!F33,'2.11 Bujuko-Buloba-24HR'!F33,'4.11 Bujuko-Buloba'!F33)</f>
        <v>11.714285714285714</v>
      </c>
      <c r="G33" s="49">
        <f>AVERAGE('29.10 Bujuko-Buloba'!G33,'30.10 Bujuko-Buloba'!G33,'1.11 Bujuko-Buloba'!G33,'3.11 Bujuko-Buloba'!G33,'31.10 Bujuko-Buloba-24h'!G33,'2.11 Bujuko-Buloba-24HR'!G33,'4.11 Bujuko-Buloba'!G33)</f>
        <v>0.14285714285714285</v>
      </c>
      <c r="H33" s="49">
        <f>AVERAGE('29.10 Bujuko-Buloba'!H33,'30.10 Bujuko-Buloba'!H33,'1.11 Bujuko-Buloba'!H33,'3.11 Bujuko-Buloba'!H33,'31.10 Bujuko-Buloba-24h'!H33,'2.11 Bujuko-Buloba-24HR'!H33,'4.11 Bujuko-Buloba'!H33)</f>
        <v>0.14285714285714285</v>
      </c>
      <c r="I33" s="49">
        <f>AVERAGE('29.10 Bujuko-Buloba'!I33,'30.10 Bujuko-Buloba'!I33,'1.11 Bujuko-Buloba'!I33,'3.11 Bujuko-Buloba'!I33,'31.10 Bujuko-Buloba-24h'!I33,'2.11 Bujuko-Buloba-24HR'!I33,'4.11 Bujuko-Buloba'!I33)</f>
        <v>4.7142857142857144</v>
      </c>
      <c r="J33" s="49">
        <f>AVERAGE('29.10 Bujuko-Buloba'!J33,'30.10 Bujuko-Buloba'!J33,'1.11 Bujuko-Buloba'!J33,'3.11 Bujuko-Buloba'!J33,'31.10 Bujuko-Buloba-24h'!J33,'2.11 Bujuko-Buloba-24HR'!J33,'4.11 Bujuko-Buloba'!J33)</f>
        <v>2</v>
      </c>
      <c r="K33" s="49">
        <f>AVERAGE('29.10 Bujuko-Buloba'!K33,'30.10 Bujuko-Buloba'!K33,'1.11 Bujuko-Buloba'!K33,'3.11 Bujuko-Buloba'!K33,'31.10 Bujuko-Buloba-24h'!K33,'2.11 Bujuko-Buloba-24HR'!K33,'4.11 Bujuko-Buloba'!K33)</f>
        <v>0.5714285714285714</v>
      </c>
      <c r="L33" s="49">
        <f>AVERAGE('29.10 Bujuko-Buloba'!L33,'30.10 Bujuko-Buloba'!L33,'1.11 Bujuko-Buloba'!L33,'3.11 Bujuko-Buloba'!L33,'31.10 Bujuko-Buloba-24h'!L33,'2.11 Bujuko-Buloba-24HR'!L33,'4.11 Bujuko-Buloba'!L33)</f>
        <v>0.5714285714285714</v>
      </c>
      <c r="M33" s="49">
        <f>AVERAGE('29.10 Bujuko-Buloba'!M33,'30.10 Bujuko-Buloba'!M33,'1.11 Bujuko-Buloba'!M33,'3.11 Bujuko-Buloba'!M33,'31.10 Bujuko-Buloba-24h'!M33,'2.11 Bujuko-Buloba-24HR'!M33,'4.11 Bujuko-Buloba'!M33)</f>
        <v>14.571428571428571</v>
      </c>
      <c r="N33" s="49">
        <f>AVERAGE('29.10 Bujuko-Buloba'!N33,'30.10 Bujuko-Buloba'!N33,'1.11 Bujuko-Buloba'!N33,'3.11 Bujuko-Buloba'!N33,'31.10 Bujuko-Buloba-24h'!N33,'2.11 Bujuko-Buloba-24HR'!N33,'4.11 Bujuko-Buloba'!N33)</f>
        <v>0</v>
      </c>
      <c r="O33" s="15">
        <f t="shared" si="0"/>
        <v>34.857142857142854</v>
      </c>
      <c r="P33" s="15">
        <f t="shared" si="1"/>
        <v>49.428571428571423</v>
      </c>
      <c r="R33" s="1" t="s">
        <v>157</v>
      </c>
      <c r="S33" s="34">
        <f>SUM(C102:C105)</f>
        <v>39.5</v>
      </c>
      <c r="T33" s="34">
        <f t="shared" ref="T33:AF33" si="25">SUM(D102:D105)</f>
        <v>3</v>
      </c>
      <c r="U33" s="34">
        <f t="shared" si="25"/>
        <v>1</v>
      </c>
      <c r="V33" s="34">
        <f t="shared" si="25"/>
        <v>31</v>
      </c>
      <c r="W33" s="34">
        <f t="shared" si="25"/>
        <v>1</v>
      </c>
      <c r="X33" s="34">
        <f t="shared" si="25"/>
        <v>1.5</v>
      </c>
      <c r="Y33" s="34">
        <f t="shared" si="25"/>
        <v>5</v>
      </c>
      <c r="Z33" s="34">
        <f t="shared" si="25"/>
        <v>5</v>
      </c>
      <c r="AA33" s="34">
        <f t="shared" si="25"/>
        <v>2</v>
      </c>
      <c r="AB33" s="34">
        <f t="shared" si="25"/>
        <v>3</v>
      </c>
      <c r="AC33" s="34">
        <f t="shared" si="25"/>
        <v>25</v>
      </c>
      <c r="AD33" s="34">
        <f t="shared" si="25"/>
        <v>0</v>
      </c>
      <c r="AE33" s="31">
        <f t="shared" si="25"/>
        <v>92</v>
      </c>
      <c r="AF33" s="31">
        <f t="shared" si="25"/>
        <v>117</v>
      </c>
    </row>
    <row r="34" spans="2:32" ht="23.1" customHeight="1" x14ac:dyDescent="0.25">
      <c r="B34" s="24" t="s">
        <v>61</v>
      </c>
      <c r="C34" s="49">
        <f>AVERAGE('29.10 Bujuko-Buloba'!C34,'30.10 Bujuko-Buloba'!C34,'1.11 Bujuko-Buloba'!C34,'3.11 Bujuko-Buloba'!C34,'31.10 Bujuko-Buloba-24h'!C34,'2.11 Bujuko-Buloba-24HR'!C34,'4.11 Bujuko-Buloba'!C34)</f>
        <v>15.285714285714286</v>
      </c>
      <c r="D34" s="49">
        <f>AVERAGE('29.10 Bujuko-Buloba'!D34,'30.10 Bujuko-Buloba'!D34,'1.11 Bujuko-Buloba'!D34,'3.11 Bujuko-Buloba'!D34,'31.10 Bujuko-Buloba-24h'!D34,'2.11 Bujuko-Buloba-24HR'!D34,'4.11 Bujuko-Buloba'!D34)</f>
        <v>3.1428571428571428</v>
      </c>
      <c r="E34" s="49">
        <f>AVERAGE('29.10 Bujuko-Buloba'!E34,'30.10 Bujuko-Buloba'!E34,'1.11 Bujuko-Buloba'!E34,'3.11 Bujuko-Buloba'!E34,'31.10 Bujuko-Buloba-24h'!E34,'2.11 Bujuko-Buloba-24HR'!E34,'4.11 Bujuko-Buloba'!E34)</f>
        <v>3</v>
      </c>
      <c r="F34" s="49">
        <f>AVERAGE('29.10 Bujuko-Buloba'!F34,'30.10 Bujuko-Buloba'!F34,'1.11 Bujuko-Buloba'!F34,'3.11 Bujuko-Buloba'!F34,'31.10 Bujuko-Buloba-24h'!F34,'2.11 Bujuko-Buloba-24HR'!F34,'4.11 Bujuko-Buloba'!F34)</f>
        <v>12.857142857142858</v>
      </c>
      <c r="G34" s="49">
        <f>AVERAGE('29.10 Bujuko-Buloba'!G34,'30.10 Bujuko-Buloba'!G34,'1.11 Bujuko-Buloba'!G34,'3.11 Bujuko-Buloba'!G34,'31.10 Bujuko-Buloba-24h'!G34,'2.11 Bujuko-Buloba-24HR'!G34,'4.11 Bujuko-Buloba'!G34)</f>
        <v>0.14285714285714285</v>
      </c>
      <c r="H34" s="49">
        <f>AVERAGE('29.10 Bujuko-Buloba'!H34,'30.10 Bujuko-Buloba'!H34,'1.11 Bujuko-Buloba'!H34,'3.11 Bujuko-Buloba'!H34,'31.10 Bujuko-Buloba-24h'!H34,'2.11 Bujuko-Buloba-24HR'!H34,'4.11 Bujuko-Buloba'!H34)</f>
        <v>0.5714285714285714</v>
      </c>
      <c r="I34" s="49">
        <f>AVERAGE('29.10 Bujuko-Buloba'!I34,'30.10 Bujuko-Buloba'!I34,'1.11 Bujuko-Buloba'!I34,'3.11 Bujuko-Buloba'!I34,'31.10 Bujuko-Buloba-24h'!I34,'2.11 Bujuko-Buloba-24HR'!I34,'4.11 Bujuko-Buloba'!I34)</f>
        <v>5.1428571428571432</v>
      </c>
      <c r="J34" s="49">
        <f>AVERAGE('29.10 Bujuko-Buloba'!J34,'30.10 Bujuko-Buloba'!J34,'1.11 Bujuko-Buloba'!J34,'3.11 Bujuko-Buloba'!J34,'31.10 Bujuko-Buloba-24h'!J34,'2.11 Bujuko-Buloba-24HR'!J34,'4.11 Bujuko-Buloba'!J34)</f>
        <v>2.7142857142857144</v>
      </c>
      <c r="K34" s="49">
        <f>AVERAGE('29.10 Bujuko-Buloba'!K34,'30.10 Bujuko-Buloba'!K34,'1.11 Bujuko-Buloba'!K34,'3.11 Bujuko-Buloba'!K34,'31.10 Bujuko-Buloba-24h'!K34,'2.11 Bujuko-Buloba-24HR'!K34,'4.11 Bujuko-Buloba'!K34)</f>
        <v>0.5714285714285714</v>
      </c>
      <c r="L34" s="49">
        <f>AVERAGE('29.10 Bujuko-Buloba'!L34,'30.10 Bujuko-Buloba'!L34,'1.11 Bujuko-Buloba'!L34,'3.11 Bujuko-Buloba'!L34,'31.10 Bujuko-Buloba-24h'!L34,'2.11 Bujuko-Buloba-24HR'!L34,'4.11 Bujuko-Buloba'!L34)</f>
        <v>1</v>
      </c>
      <c r="M34" s="49">
        <f>AVERAGE('29.10 Bujuko-Buloba'!M34,'30.10 Bujuko-Buloba'!M34,'1.11 Bujuko-Buloba'!M34,'3.11 Bujuko-Buloba'!M34,'31.10 Bujuko-Buloba-24h'!M34,'2.11 Bujuko-Buloba-24HR'!M34,'4.11 Bujuko-Buloba'!M34)</f>
        <v>17.428571428571427</v>
      </c>
      <c r="N34" s="49">
        <f>AVERAGE('29.10 Bujuko-Buloba'!N34,'30.10 Bujuko-Buloba'!N34,'1.11 Bujuko-Buloba'!N34,'3.11 Bujuko-Buloba'!N34,'31.10 Bujuko-Buloba-24h'!N34,'2.11 Bujuko-Buloba-24HR'!N34,'4.11 Bujuko-Buloba'!N34)</f>
        <v>0</v>
      </c>
      <c r="O34" s="15">
        <f t="shared" si="0"/>
        <v>44.428571428571438</v>
      </c>
      <c r="P34" s="15">
        <f t="shared" si="1"/>
        <v>61.857142857142861</v>
      </c>
      <c r="R34" s="51" t="s">
        <v>90</v>
      </c>
      <c r="S34" s="52">
        <f t="shared" ref="S34:AF34" si="26">MAX(S10:S12)</f>
        <v>63.571428571428569</v>
      </c>
      <c r="T34" s="52">
        <f t="shared" si="26"/>
        <v>10</v>
      </c>
      <c r="U34" s="52">
        <f t="shared" si="26"/>
        <v>8.2857142857142865</v>
      </c>
      <c r="V34" s="52">
        <f t="shared" si="26"/>
        <v>63.857142857142861</v>
      </c>
      <c r="W34" s="52">
        <f t="shared" si="26"/>
        <v>1.1428571428571428</v>
      </c>
      <c r="X34" s="52">
        <f t="shared" si="26"/>
        <v>0.2857142857142857</v>
      </c>
      <c r="Y34" s="52">
        <f t="shared" si="26"/>
        <v>14.285714285714285</v>
      </c>
      <c r="Z34" s="52">
        <f t="shared" si="26"/>
        <v>7.4285714285714279</v>
      </c>
      <c r="AA34" s="52">
        <f t="shared" si="26"/>
        <v>1.7142857142857142</v>
      </c>
      <c r="AB34" s="52">
        <f t="shared" si="26"/>
        <v>2.1428571428571428</v>
      </c>
      <c r="AC34" s="52">
        <f t="shared" si="26"/>
        <v>92.428571428571431</v>
      </c>
      <c r="AD34" s="52">
        <f t="shared" si="26"/>
        <v>0</v>
      </c>
      <c r="AE34" s="40">
        <f t="shared" si="26"/>
        <v>168.71428571428572</v>
      </c>
      <c r="AF34" s="40">
        <f t="shared" si="26"/>
        <v>261.14285714285711</v>
      </c>
    </row>
    <row r="35" spans="2:32" ht="23.1" customHeight="1" x14ac:dyDescent="0.25">
      <c r="B35" s="24" t="s">
        <v>62</v>
      </c>
      <c r="C35" s="49">
        <f>AVERAGE('29.10 Bujuko-Buloba'!C35,'30.10 Bujuko-Buloba'!C35,'1.11 Bujuko-Buloba'!C35,'3.11 Bujuko-Buloba'!C35,'31.10 Bujuko-Buloba-24h'!C35,'2.11 Bujuko-Buloba-24HR'!C35,'4.11 Bujuko-Buloba'!C35)</f>
        <v>13</v>
      </c>
      <c r="D35" s="49">
        <f>AVERAGE('29.10 Bujuko-Buloba'!D35,'30.10 Bujuko-Buloba'!D35,'1.11 Bujuko-Buloba'!D35,'3.11 Bujuko-Buloba'!D35,'31.10 Bujuko-Buloba-24h'!D35,'2.11 Bujuko-Buloba-24HR'!D35,'4.11 Bujuko-Buloba'!D35)</f>
        <v>3.2857142857142856</v>
      </c>
      <c r="E35" s="49">
        <f>AVERAGE('29.10 Bujuko-Buloba'!E35,'30.10 Bujuko-Buloba'!E35,'1.11 Bujuko-Buloba'!E35,'3.11 Bujuko-Buloba'!E35,'31.10 Bujuko-Buloba-24h'!E35,'2.11 Bujuko-Buloba-24HR'!E35,'4.11 Bujuko-Buloba'!E35)</f>
        <v>3.4285714285714284</v>
      </c>
      <c r="F35" s="49">
        <f>AVERAGE('29.10 Bujuko-Buloba'!F35,'30.10 Bujuko-Buloba'!F35,'1.11 Bujuko-Buloba'!F35,'3.11 Bujuko-Buloba'!F35,'31.10 Bujuko-Buloba-24h'!F35,'2.11 Bujuko-Buloba-24HR'!F35,'4.11 Bujuko-Buloba'!F35)</f>
        <v>12.285714285714286</v>
      </c>
      <c r="G35" s="49">
        <f>AVERAGE('29.10 Bujuko-Buloba'!G35,'30.10 Bujuko-Buloba'!G35,'1.11 Bujuko-Buloba'!G35,'3.11 Bujuko-Buloba'!G35,'31.10 Bujuko-Buloba-24h'!G35,'2.11 Bujuko-Buloba-24HR'!G35,'4.11 Bujuko-Buloba'!G35)</f>
        <v>0.2857142857142857</v>
      </c>
      <c r="H35" s="49">
        <f>AVERAGE('29.10 Bujuko-Buloba'!H35,'30.10 Bujuko-Buloba'!H35,'1.11 Bujuko-Buloba'!H35,'3.11 Bujuko-Buloba'!H35,'31.10 Bujuko-Buloba-24h'!H35,'2.11 Bujuko-Buloba-24HR'!H35,'4.11 Bujuko-Buloba'!H35)</f>
        <v>0</v>
      </c>
      <c r="I35" s="49">
        <f>AVERAGE('29.10 Bujuko-Buloba'!I35,'30.10 Bujuko-Buloba'!I35,'1.11 Bujuko-Buloba'!I35,'3.11 Bujuko-Buloba'!I35,'31.10 Bujuko-Buloba-24h'!I35,'2.11 Bujuko-Buloba-24HR'!I35,'4.11 Bujuko-Buloba'!I35)</f>
        <v>5.1428571428571432</v>
      </c>
      <c r="J35" s="49">
        <f>AVERAGE('29.10 Bujuko-Buloba'!J35,'30.10 Bujuko-Buloba'!J35,'1.11 Bujuko-Buloba'!J35,'3.11 Bujuko-Buloba'!J35,'31.10 Bujuko-Buloba-24h'!J35,'2.11 Bujuko-Buloba-24HR'!J35,'4.11 Bujuko-Buloba'!J35)</f>
        <v>1.8571428571428572</v>
      </c>
      <c r="K35" s="49">
        <f>AVERAGE('29.10 Bujuko-Buloba'!K35,'30.10 Bujuko-Buloba'!K35,'1.11 Bujuko-Buloba'!K35,'3.11 Bujuko-Buloba'!K35,'31.10 Bujuko-Buloba-24h'!K35,'2.11 Bujuko-Buloba-24HR'!K35,'4.11 Bujuko-Buloba'!K35)</f>
        <v>0</v>
      </c>
      <c r="L35" s="49">
        <f>AVERAGE('29.10 Bujuko-Buloba'!L35,'30.10 Bujuko-Buloba'!L35,'1.11 Bujuko-Buloba'!L35,'3.11 Bujuko-Buloba'!L35,'31.10 Bujuko-Buloba-24h'!L35,'2.11 Bujuko-Buloba-24HR'!L35,'4.11 Bujuko-Buloba'!L35)</f>
        <v>0.2857142857142857</v>
      </c>
      <c r="M35" s="49">
        <f>AVERAGE('29.10 Bujuko-Buloba'!M35,'30.10 Bujuko-Buloba'!M35,'1.11 Bujuko-Buloba'!M35,'3.11 Bujuko-Buloba'!M35,'31.10 Bujuko-Buloba-24h'!M35,'2.11 Bujuko-Buloba-24HR'!M35,'4.11 Bujuko-Buloba'!M35)</f>
        <v>17.285714285714285</v>
      </c>
      <c r="N35" s="49">
        <f>AVERAGE('29.10 Bujuko-Buloba'!N35,'30.10 Bujuko-Buloba'!N35,'1.11 Bujuko-Buloba'!N35,'3.11 Bujuko-Buloba'!N35,'31.10 Bujuko-Buloba-24h'!N35,'2.11 Bujuko-Buloba-24HR'!N35,'4.11 Bujuko-Buloba'!N35)</f>
        <v>0</v>
      </c>
      <c r="O35" s="15">
        <f t="shared" si="0"/>
        <v>39.571428571428569</v>
      </c>
      <c r="P35" s="15">
        <f t="shared" si="1"/>
        <v>56.857142857142854</v>
      </c>
      <c r="R35" s="51" t="s">
        <v>91</v>
      </c>
      <c r="S35" s="52">
        <f t="shared" ref="S35:AF35" si="27">MAX(S13:S18)</f>
        <v>71.571428571428569</v>
      </c>
      <c r="T35" s="52">
        <f t="shared" si="27"/>
        <v>17.428571428571431</v>
      </c>
      <c r="U35" s="52">
        <f t="shared" si="27"/>
        <v>17.142857142857142</v>
      </c>
      <c r="V35" s="52">
        <f t="shared" si="27"/>
        <v>57</v>
      </c>
      <c r="W35" s="52">
        <f t="shared" si="27"/>
        <v>0.85714285714285698</v>
      </c>
      <c r="X35" s="52">
        <f t="shared" si="27"/>
        <v>2.5714285714285712</v>
      </c>
      <c r="Y35" s="52">
        <f t="shared" si="27"/>
        <v>24.285714285714288</v>
      </c>
      <c r="Z35" s="52">
        <f t="shared" si="27"/>
        <v>11</v>
      </c>
      <c r="AA35" s="52">
        <f t="shared" si="27"/>
        <v>3.1428571428571428</v>
      </c>
      <c r="AB35" s="52">
        <f t="shared" si="27"/>
        <v>3.1428571428571428</v>
      </c>
      <c r="AC35" s="52">
        <f t="shared" si="27"/>
        <v>77.428571428571431</v>
      </c>
      <c r="AD35" s="52">
        <f t="shared" si="27"/>
        <v>0.14285714285714285</v>
      </c>
      <c r="AE35" s="40">
        <f t="shared" si="27"/>
        <v>205.85714285714283</v>
      </c>
      <c r="AF35" s="40">
        <f t="shared" si="27"/>
        <v>271.71428571428567</v>
      </c>
    </row>
    <row r="36" spans="2:32" ht="23.1" customHeight="1" x14ac:dyDescent="0.25">
      <c r="B36" s="24" t="s">
        <v>63</v>
      </c>
      <c r="C36" s="49">
        <f>AVERAGE('29.10 Bujuko-Buloba'!C36,'30.10 Bujuko-Buloba'!C36,'1.11 Bujuko-Buloba'!C36,'3.11 Bujuko-Buloba'!C36,'31.10 Bujuko-Buloba-24h'!C36,'2.11 Bujuko-Buloba-24HR'!C36,'4.11 Bujuko-Buloba'!C36)</f>
        <v>15.428571428571429</v>
      </c>
      <c r="D36" s="49">
        <f>AVERAGE('29.10 Bujuko-Buloba'!D36,'30.10 Bujuko-Buloba'!D36,'1.11 Bujuko-Buloba'!D36,'3.11 Bujuko-Buloba'!D36,'31.10 Bujuko-Buloba-24h'!D36,'2.11 Bujuko-Buloba-24HR'!D36,'4.11 Bujuko-Buloba'!D36)</f>
        <v>2.7142857142857144</v>
      </c>
      <c r="E36" s="49">
        <f>AVERAGE('29.10 Bujuko-Buloba'!E36,'30.10 Bujuko-Buloba'!E36,'1.11 Bujuko-Buloba'!E36,'3.11 Bujuko-Buloba'!E36,'31.10 Bujuko-Buloba-24h'!E36,'2.11 Bujuko-Buloba-24HR'!E36,'4.11 Bujuko-Buloba'!E36)</f>
        <v>4.5714285714285712</v>
      </c>
      <c r="F36" s="49">
        <f>AVERAGE('29.10 Bujuko-Buloba'!F36,'30.10 Bujuko-Buloba'!F36,'1.11 Bujuko-Buloba'!F36,'3.11 Bujuko-Buloba'!F36,'31.10 Bujuko-Buloba-24h'!F36,'2.11 Bujuko-Buloba-24HR'!F36,'4.11 Bujuko-Buloba'!F36)</f>
        <v>11.285714285714286</v>
      </c>
      <c r="G36" s="49">
        <f>AVERAGE('29.10 Bujuko-Buloba'!G36,'30.10 Bujuko-Buloba'!G36,'1.11 Bujuko-Buloba'!G36,'3.11 Bujuko-Buloba'!G36,'31.10 Bujuko-Buloba-24h'!G36,'2.11 Bujuko-Buloba-24HR'!G36,'4.11 Bujuko-Buloba'!G36)</f>
        <v>0</v>
      </c>
      <c r="H36" s="49">
        <f>AVERAGE('29.10 Bujuko-Buloba'!H36,'30.10 Bujuko-Buloba'!H36,'1.11 Bujuko-Buloba'!H36,'3.11 Bujuko-Buloba'!H36,'31.10 Bujuko-Buloba-24h'!H36,'2.11 Bujuko-Buloba-24HR'!H36,'4.11 Bujuko-Buloba'!H36)</f>
        <v>0.5714285714285714</v>
      </c>
      <c r="I36" s="49">
        <f>AVERAGE('29.10 Bujuko-Buloba'!I36,'30.10 Bujuko-Buloba'!I36,'1.11 Bujuko-Buloba'!I36,'3.11 Bujuko-Buloba'!I36,'31.10 Bujuko-Buloba-24h'!I36,'2.11 Bujuko-Buloba-24HR'!I36,'4.11 Bujuko-Buloba'!I36)</f>
        <v>4.8571428571428568</v>
      </c>
      <c r="J36" s="49">
        <f>AVERAGE('29.10 Bujuko-Buloba'!J36,'30.10 Bujuko-Buloba'!J36,'1.11 Bujuko-Buloba'!J36,'3.11 Bujuko-Buloba'!J36,'31.10 Bujuko-Buloba-24h'!J36,'2.11 Bujuko-Buloba-24HR'!J36,'4.11 Bujuko-Buloba'!J36)</f>
        <v>2</v>
      </c>
      <c r="K36" s="49">
        <f>AVERAGE('29.10 Bujuko-Buloba'!K36,'30.10 Bujuko-Buloba'!K36,'1.11 Bujuko-Buloba'!K36,'3.11 Bujuko-Buloba'!K36,'31.10 Bujuko-Buloba-24h'!K36,'2.11 Bujuko-Buloba-24HR'!K36,'4.11 Bujuko-Buloba'!K36)</f>
        <v>0.2857142857142857</v>
      </c>
      <c r="L36" s="49">
        <f>AVERAGE('29.10 Bujuko-Buloba'!L36,'30.10 Bujuko-Buloba'!L36,'1.11 Bujuko-Buloba'!L36,'3.11 Bujuko-Buloba'!L36,'31.10 Bujuko-Buloba-24h'!L36,'2.11 Bujuko-Buloba-24HR'!L36,'4.11 Bujuko-Buloba'!L36)</f>
        <v>1.2857142857142858</v>
      </c>
      <c r="M36" s="49">
        <f>AVERAGE('29.10 Bujuko-Buloba'!M36,'30.10 Bujuko-Buloba'!M36,'1.11 Bujuko-Buloba'!M36,'3.11 Bujuko-Buloba'!M36,'31.10 Bujuko-Buloba-24h'!M36,'2.11 Bujuko-Buloba-24HR'!M36,'4.11 Bujuko-Buloba'!M36)</f>
        <v>16.285714285714285</v>
      </c>
      <c r="N36" s="49">
        <f>AVERAGE('29.10 Bujuko-Buloba'!N36,'30.10 Bujuko-Buloba'!N36,'1.11 Bujuko-Buloba'!N36,'3.11 Bujuko-Buloba'!N36,'31.10 Bujuko-Buloba-24h'!N36,'2.11 Bujuko-Buloba-24HR'!N36,'4.11 Bujuko-Buloba'!N36)</f>
        <v>0</v>
      </c>
      <c r="O36" s="15">
        <f t="shared" si="0"/>
        <v>42.999999999999993</v>
      </c>
      <c r="P36" s="15">
        <f t="shared" si="1"/>
        <v>59.285714285714278</v>
      </c>
      <c r="R36" s="51" t="s">
        <v>92</v>
      </c>
      <c r="S36" s="52">
        <f t="shared" ref="S36:AF36" si="28">MAX(S19:S21)</f>
        <v>122.85714285714286</v>
      </c>
      <c r="T36" s="52">
        <f t="shared" si="28"/>
        <v>27.571428571428573</v>
      </c>
      <c r="U36" s="52">
        <f t="shared" si="28"/>
        <v>23.285714285714285</v>
      </c>
      <c r="V36" s="52">
        <f t="shared" si="28"/>
        <v>86.428571428571431</v>
      </c>
      <c r="W36" s="52">
        <f t="shared" si="28"/>
        <v>6.7142857142857135</v>
      </c>
      <c r="X36" s="52">
        <f t="shared" si="28"/>
        <v>2.8571428571428572</v>
      </c>
      <c r="Y36" s="52">
        <f t="shared" si="28"/>
        <v>27</v>
      </c>
      <c r="Z36" s="52">
        <f t="shared" si="28"/>
        <v>11.714285714285715</v>
      </c>
      <c r="AA36" s="52">
        <f t="shared" si="28"/>
        <v>3.4285714285714284</v>
      </c>
      <c r="AB36" s="52">
        <f t="shared" si="28"/>
        <v>5.1428571428571432</v>
      </c>
      <c r="AC36" s="52">
        <f t="shared" si="28"/>
        <v>102.14285714285714</v>
      </c>
      <c r="AD36" s="52">
        <f t="shared" si="28"/>
        <v>0</v>
      </c>
      <c r="AE36" s="40">
        <f t="shared" si="28"/>
        <v>315.14285714285711</v>
      </c>
      <c r="AF36" s="40">
        <f t="shared" si="28"/>
        <v>417.28571428571428</v>
      </c>
    </row>
    <row r="37" spans="2:32" ht="23.1" customHeight="1" x14ac:dyDescent="0.25">
      <c r="B37" s="23" t="s">
        <v>64</v>
      </c>
      <c r="C37" s="49">
        <f>AVERAGE('29.10 Bujuko-Buloba'!C37,'30.10 Bujuko-Buloba'!C37,'1.11 Bujuko-Buloba'!C37,'3.11 Bujuko-Buloba'!C37,'31.10 Bujuko-Buloba-24h'!C37,'2.11 Bujuko-Buloba-24HR'!C37,'4.11 Bujuko-Buloba'!C37)</f>
        <v>16.857142857142858</v>
      </c>
      <c r="D37" s="49">
        <f>AVERAGE('29.10 Bujuko-Buloba'!D37,'30.10 Bujuko-Buloba'!D37,'1.11 Bujuko-Buloba'!D37,'3.11 Bujuko-Buloba'!D37,'31.10 Bujuko-Buloba-24h'!D37,'2.11 Bujuko-Buloba-24HR'!D37,'4.11 Bujuko-Buloba'!D37)</f>
        <v>4.2857142857142856</v>
      </c>
      <c r="E37" s="49">
        <f>AVERAGE('29.10 Bujuko-Buloba'!E37,'30.10 Bujuko-Buloba'!E37,'1.11 Bujuko-Buloba'!E37,'3.11 Bujuko-Buloba'!E37,'31.10 Bujuko-Buloba-24h'!E37,'2.11 Bujuko-Buloba-24HR'!E37,'4.11 Bujuko-Buloba'!E37)</f>
        <v>3.2857142857142856</v>
      </c>
      <c r="F37" s="49">
        <f>AVERAGE('29.10 Bujuko-Buloba'!F37,'30.10 Bujuko-Buloba'!F37,'1.11 Bujuko-Buloba'!F37,'3.11 Bujuko-Buloba'!F37,'31.10 Bujuko-Buloba-24h'!F37,'2.11 Bujuko-Buloba-24HR'!F37,'4.11 Bujuko-Buloba'!F37)</f>
        <v>14.142857142857142</v>
      </c>
      <c r="G37" s="49">
        <f>AVERAGE('29.10 Bujuko-Buloba'!G37,'30.10 Bujuko-Buloba'!G37,'1.11 Bujuko-Buloba'!G37,'3.11 Bujuko-Buloba'!G37,'31.10 Bujuko-Buloba-24h'!G37,'2.11 Bujuko-Buloba-24HR'!G37,'4.11 Bujuko-Buloba'!G37)</f>
        <v>0</v>
      </c>
      <c r="H37" s="49">
        <f>AVERAGE('29.10 Bujuko-Buloba'!H37,'30.10 Bujuko-Buloba'!H37,'1.11 Bujuko-Buloba'!H37,'3.11 Bujuko-Buloba'!H37,'31.10 Bujuko-Buloba-24h'!H37,'2.11 Bujuko-Buloba-24HR'!H37,'4.11 Bujuko-Buloba'!H37)</f>
        <v>0.42857142857142855</v>
      </c>
      <c r="I37" s="49">
        <f>AVERAGE('29.10 Bujuko-Buloba'!I37,'30.10 Bujuko-Buloba'!I37,'1.11 Bujuko-Buloba'!I37,'3.11 Bujuko-Buloba'!I37,'31.10 Bujuko-Buloba-24h'!I37,'2.11 Bujuko-Buloba-24HR'!I37,'4.11 Bujuko-Buloba'!I37)</f>
        <v>5.1428571428571432</v>
      </c>
      <c r="J37" s="49">
        <f>AVERAGE('29.10 Bujuko-Buloba'!J37,'30.10 Bujuko-Buloba'!J37,'1.11 Bujuko-Buloba'!J37,'3.11 Bujuko-Buloba'!J37,'31.10 Bujuko-Buloba-24h'!J37,'2.11 Bujuko-Buloba-24HR'!J37,'4.11 Bujuko-Buloba'!J37)</f>
        <v>2.4285714285714284</v>
      </c>
      <c r="K37" s="49">
        <f>AVERAGE('29.10 Bujuko-Buloba'!K37,'30.10 Bujuko-Buloba'!K37,'1.11 Bujuko-Buloba'!K37,'3.11 Bujuko-Buloba'!K37,'31.10 Bujuko-Buloba-24h'!K37,'2.11 Bujuko-Buloba-24HR'!K37,'4.11 Bujuko-Buloba'!K37)</f>
        <v>0.5714285714285714</v>
      </c>
      <c r="L37" s="49">
        <f>AVERAGE('29.10 Bujuko-Buloba'!L37,'30.10 Bujuko-Buloba'!L37,'1.11 Bujuko-Buloba'!L37,'3.11 Bujuko-Buloba'!L37,'31.10 Bujuko-Buloba-24h'!L37,'2.11 Bujuko-Buloba-24HR'!L37,'4.11 Bujuko-Buloba'!L37)</f>
        <v>0.5714285714285714</v>
      </c>
      <c r="M37" s="49">
        <f>AVERAGE('29.10 Bujuko-Buloba'!M37,'30.10 Bujuko-Buloba'!M37,'1.11 Bujuko-Buloba'!M37,'3.11 Bujuko-Buloba'!M37,'31.10 Bujuko-Buloba-24h'!M37,'2.11 Bujuko-Buloba-24HR'!M37,'4.11 Bujuko-Buloba'!M37)</f>
        <v>15.714285714285714</v>
      </c>
      <c r="N37" s="49">
        <f>AVERAGE('29.10 Bujuko-Buloba'!N37,'30.10 Bujuko-Buloba'!N37,'1.11 Bujuko-Buloba'!N37,'3.11 Bujuko-Buloba'!N37,'31.10 Bujuko-Buloba-24h'!N37,'2.11 Bujuko-Buloba-24HR'!N37,'4.11 Bujuko-Buloba'!N37)</f>
        <v>0</v>
      </c>
      <c r="O37" s="15">
        <f t="shared" si="0"/>
        <v>47.714285714285715</v>
      </c>
      <c r="P37" s="15">
        <f t="shared" si="1"/>
        <v>63.428571428571431</v>
      </c>
      <c r="R37" s="37" t="s">
        <v>85</v>
      </c>
      <c r="S37" s="53">
        <f t="shared" ref="S37:AF37" si="29">SUM(S10:S12)</f>
        <v>177.28571428571428</v>
      </c>
      <c r="T37" s="54">
        <f t="shared" si="29"/>
        <v>25.571428571428569</v>
      </c>
      <c r="U37" s="54">
        <f t="shared" si="29"/>
        <v>22</v>
      </c>
      <c r="V37" s="54">
        <f t="shared" si="29"/>
        <v>184.57142857142858</v>
      </c>
      <c r="W37" s="54">
        <f t="shared" si="29"/>
        <v>2.4285714285714284</v>
      </c>
      <c r="X37" s="54">
        <f t="shared" si="29"/>
        <v>0.42857142857142855</v>
      </c>
      <c r="Y37" s="54">
        <f t="shared" si="29"/>
        <v>38.142857142857139</v>
      </c>
      <c r="Z37" s="54">
        <f t="shared" si="29"/>
        <v>19.714285714285712</v>
      </c>
      <c r="AA37" s="54">
        <f t="shared" si="29"/>
        <v>4.4285714285714279</v>
      </c>
      <c r="AB37" s="54">
        <f t="shared" si="29"/>
        <v>5.5714285714285703</v>
      </c>
      <c r="AC37" s="54">
        <f t="shared" si="29"/>
        <v>249.85714285714286</v>
      </c>
      <c r="AD37" s="54">
        <f t="shared" si="29"/>
        <v>0</v>
      </c>
      <c r="AE37" s="55">
        <f t="shared" si="29"/>
        <v>480.14285714285711</v>
      </c>
      <c r="AF37" s="55">
        <f t="shared" si="29"/>
        <v>730</v>
      </c>
    </row>
    <row r="38" spans="2:32" ht="23.1" customHeight="1" x14ac:dyDescent="0.25">
      <c r="B38" s="24" t="s">
        <v>65</v>
      </c>
      <c r="C38" s="49">
        <f>AVERAGE('29.10 Bujuko-Buloba'!C38,'30.10 Bujuko-Buloba'!C38,'1.11 Bujuko-Buloba'!C38,'3.11 Bujuko-Buloba'!C38,'31.10 Bujuko-Buloba-24h'!C38,'2.11 Bujuko-Buloba-24HR'!C38,'4.11 Bujuko-Buloba'!C38)</f>
        <v>17.857142857142858</v>
      </c>
      <c r="D38" s="49">
        <f>AVERAGE('29.10 Bujuko-Buloba'!D38,'30.10 Bujuko-Buloba'!D38,'1.11 Bujuko-Buloba'!D38,'3.11 Bujuko-Buloba'!D38,'31.10 Bujuko-Buloba-24h'!D38,'2.11 Bujuko-Buloba-24HR'!D38,'4.11 Bujuko-Buloba'!D38)</f>
        <v>3.2857142857142856</v>
      </c>
      <c r="E38" s="49">
        <f>AVERAGE('29.10 Bujuko-Buloba'!E38,'30.10 Bujuko-Buloba'!E38,'1.11 Bujuko-Buloba'!E38,'3.11 Bujuko-Buloba'!E38,'31.10 Bujuko-Buloba-24h'!E38,'2.11 Bujuko-Buloba-24HR'!E38,'4.11 Bujuko-Buloba'!E38)</f>
        <v>3.1428571428571428</v>
      </c>
      <c r="F38" s="49">
        <f>AVERAGE('29.10 Bujuko-Buloba'!F38,'30.10 Bujuko-Buloba'!F38,'1.11 Bujuko-Buloba'!F38,'3.11 Bujuko-Buloba'!F38,'31.10 Bujuko-Buloba-24h'!F38,'2.11 Bujuko-Buloba-24HR'!F38,'4.11 Bujuko-Buloba'!F38)</f>
        <v>13.428571428571429</v>
      </c>
      <c r="G38" s="49">
        <f>AVERAGE('29.10 Bujuko-Buloba'!G38,'30.10 Bujuko-Buloba'!G38,'1.11 Bujuko-Buloba'!G38,'3.11 Bujuko-Buloba'!G38,'31.10 Bujuko-Buloba-24h'!G38,'2.11 Bujuko-Buloba-24HR'!G38,'4.11 Bujuko-Buloba'!G38)</f>
        <v>0</v>
      </c>
      <c r="H38" s="49">
        <f>AVERAGE('29.10 Bujuko-Buloba'!H38,'30.10 Bujuko-Buloba'!H38,'1.11 Bujuko-Buloba'!H38,'3.11 Bujuko-Buloba'!H38,'31.10 Bujuko-Buloba-24h'!H38,'2.11 Bujuko-Buloba-24HR'!H38,'4.11 Bujuko-Buloba'!H38)</f>
        <v>0</v>
      </c>
      <c r="I38" s="49">
        <f>AVERAGE('29.10 Bujuko-Buloba'!I38,'30.10 Bujuko-Buloba'!I38,'1.11 Bujuko-Buloba'!I38,'3.11 Bujuko-Buloba'!I38,'31.10 Bujuko-Buloba-24h'!I38,'2.11 Bujuko-Buloba-24HR'!I38,'4.11 Bujuko-Buloba'!I38)</f>
        <v>7.5714285714285712</v>
      </c>
      <c r="J38" s="49">
        <f>AVERAGE('29.10 Bujuko-Buloba'!J38,'30.10 Bujuko-Buloba'!J38,'1.11 Bujuko-Buloba'!J38,'3.11 Bujuko-Buloba'!J38,'31.10 Bujuko-Buloba-24h'!J38,'2.11 Bujuko-Buloba-24HR'!J38,'4.11 Bujuko-Buloba'!J38)</f>
        <v>2.4285714285714284</v>
      </c>
      <c r="K38" s="49">
        <f>AVERAGE('29.10 Bujuko-Buloba'!K38,'30.10 Bujuko-Buloba'!K38,'1.11 Bujuko-Buloba'!K38,'3.11 Bujuko-Buloba'!K38,'31.10 Bujuko-Buloba-24h'!K38,'2.11 Bujuko-Buloba-24HR'!K38,'4.11 Bujuko-Buloba'!K38)</f>
        <v>1</v>
      </c>
      <c r="L38" s="49">
        <f>AVERAGE('29.10 Bujuko-Buloba'!L38,'30.10 Bujuko-Buloba'!L38,'1.11 Bujuko-Buloba'!L38,'3.11 Bujuko-Buloba'!L38,'31.10 Bujuko-Buloba-24h'!L38,'2.11 Bujuko-Buloba-24HR'!L38,'4.11 Bujuko-Buloba'!L38)</f>
        <v>1</v>
      </c>
      <c r="M38" s="49">
        <f>AVERAGE('29.10 Bujuko-Buloba'!M38,'30.10 Bujuko-Buloba'!M38,'1.11 Bujuko-Buloba'!M38,'3.11 Bujuko-Buloba'!M38,'31.10 Bujuko-Buloba-24h'!M38,'2.11 Bujuko-Buloba-24HR'!M38,'4.11 Bujuko-Buloba'!M38)</f>
        <v>17.571428571428573</v>
      </c>
      <c r="N38" s="49">
        <f>AVERAGE('29.10 Bujuko-Buloba'!N38,'30.10 Bujuko-Buloba'!N38,'1.11 Bujuko-Buloba'!N38,'3.11 Bujuko-Buloba'!N38,'31.10 Bujuko-Buloba-24h'!N38,'2.11 Bujuko-Buloba-24HR'!N38,'4.11 Bujuko-Buloba'!N38)</f>
        <v>0</v>
      </c>
      <c r="O38" s="15">
        <f t="shared" si="0"/>
        <v>49.714285714285715</v>
      </c>
      <c r="P38" s="15">
        <f t="shared" si="1"/>
        <v>67.285714285714292</v>
      </c>
      <c r="R38" s="28" t="s">
        <v>86</v>
      </c>
      <c r="S38" s="54">
        <f t="shared" ref="S38:AF38" si="30">SUM(S13:S18)</f>
        <v>351.85714285714283</v>
      </c>
      <c r="T38" s="54">
        <f t="shared" si="30"/>
        <v>77.285714285714292</v>
      </c>
      <c r="U38" s="54">
        <f t="shared" si="30"/>
        <v>70</v>
      </c>
      <c r="V38" s="54">
        <f t="shared" si="30"/>
        <v>314.57142857142856</v>
      </c>
      <c r="W38" s="54">
        <f t="shared" si="30"/>
        <v>3.2857142857142847</v>
      </c>
      <c r="X38" s="54">
        <f t="shared" si="30"/>
        <v>7.5714285714285712</v>
      </c>
      <c r="Y38" s="54">
        <f t="shared" si="30"/>
        <v>121.85714285714286</v>
      </c>
      <c r="Z38" s="54">
        <f t="shared" si="30"/>
        <v>48.142857142857139</v>
      </c>
      <c r="AA38" s="54">
        <f t="shared" si="30"/>
        <v>13.142857142857142</v>
      </c>
      <c r="AB38" s="54">
        <f t="shared" si="30"/>
        <v>17.428571428571427</v>
      </c>
      <c r="AC38" s="54">
        <f t="shared" si="30"/>
        <v>398.42857142857144</v>
      </c>
      <c r="AD38" s="54">
        <f t="shared" si="30"/>
        <v>0.14285714285714285</v>
      </c>
      <c r="AE38" s="55">
        <f t="shared" si="30"/>
        <v>1025.2857142857142</v>
      </c>
      <c r="AF38" s="55">
        <f t="shared" si="30"/>
        <v>1423.7142857142858</v>
      </c>
    </row>
    <row r="39" spans="2:32" ht="23.1" customHeight="1" x14ac:dyDescent="0.25">
      <c r="B39" s="24" t="s">
        <v>66</v>
      </c>
      <c r="C39" s="49">
        <f>AVERAGE('29.10 Bujuko-Buloba'!C39,'30.10 Bujuko-Buloba'!C39,'1.11 Bujuko-Buloba'!C39,'3.11 Bujuko-Buloba'!C39,'31.10 Bujuko-Buloba-24h'!C39,'2.11 Bujuko-Buloba-24HR'!C39,'4.11 Bujuko-Buloba'!C39)</f>
        <v>16.142857142857142</v>
      </c>
      <c r="D39" s="49">
        <f>AVERAGE('29.10 Bujuko-Buloba'!D39,'30.10 Bujuko-Buloba'!D39,'1.11 Bujuko-Buloba'!D39,'3.11 Bujuko-Buloba'!D39,'31.10 Bujuko-Buloba-24h'!D39,'2.11 Bujuko-Buloba-24HR'!D39,'4.11 Bujuko-Buloba'!D39)</f>
        <v>4.2857142857142856</v>
      </c>
      <c r="E39" s="49">
        <f>AVERAGE('29.10 Bujuko-Buloba'!E39,'30.10 Bujuko-Buloba'!E39,'1.11 Bujuko-Buloba'!E39,'3.11 Bujuko-Buloba'!E39,'31.10 Bujuko-Buloba-24h'!E39,'2.11 Bujuko-Buloba-24HR'!E39,'4.11 Bujuko-Buloba'!E39)</f>
        <v>5.4285714285714288</v>
      </c>
      <c r="F39" s="49">
        <f>AVERAGE('29.10 Bujuko-Buloba'!F39,'30.10 Bujuko-Buloba'!F39,'1.11 Bujuko-Buloba'!F39,'3.11 Bujuko-Buloba'!F39,'31.10 Bujuko-Buloba-24h'!F39,'2.11 Bujuko-Buloba-24HR'!F39,'4.11 Bujuko-Buloba'!F39)</f>
        <v>14.857142857142858</v>
      </c>
      <c r="G39" s="49">
        <f>AVERAGE('29.10 Bujuko-Buloba'!G39,'30.10 Bujuko-Buloba'!G39,'1.11 Bujuko-Buloba'!G39,'3.11 Bujuko-Buloba'!G39,'31.10 Bujuko-Buloba-24h'!G39,'2.11 Bujuko-Buloba-24HR'!G39,'4.11 Bujuko-Buloba'!G39)</f>
        <v>0</v>
      </c>
      <c r="H39" s="49">
        <f>AVERAGE('29.10 Bujuko-Buloba'!H39,'30.10 Bujuko-Buloba'!H39,'1.11 Bujuko-Buloba'!H39,'3.11 Bujuko-Buloba'!H39,'31.10 Bujuko-Buloba-24h'!H39,'2.11 Bujuko-Buloba-24HR'!H39,'4.11 Bujuko-Buloba'!H39)</f>
        <v>0.2857142857142857</v>
      </c>
      <c r="I39" s="49">
        <f>AVERAGE('29.10 Bujuko-Buloba'!I39,'30.10 Bujuko-Buloba'!I39,'1.11 Bujuko-Buloba'!I39,'3.11 Bujuko-Buloba'!I39,'31.10 Bujuko-Buloba-24h'!I39,'2.11 Bujuko-Buloba-24HR'!I39,'4.11 Bujuko-Buloba'!I39)</f>
        <v>5.8571428571428568</v>
      </c>
      <c r="J39" s="49">
        <f>AVERAGE('29.10 Bujuko-Buloba'!J39,'30.10 Bujuko-Buloba'!J39,'1.11 Bujuko-Buloba'!J39,'3.11 Bujuko-Buloba'!J39,'31.10 Bujuko-Buloba-24h'!J39,'2.11 Bujuko-Buloba-24HR'!J39,'4.11 Bujuko-Buloba'!J39)</f>
        <v>3.4285714285714284</v>
      </c>
      <c r="K39" s="49">
        <f>AVERAGE('29.10 Bujuko-Buloba'!K39,'30.10 Bujuko-Buloba'!K39,'1.11 Bujuko-Buloba'!K39,'3.11 Bujuko-Buloba'!K39,'31.10 Bujuko-Buloba-24h'!K39,'2.11 Bujuko-Buloba-24HR'!K39,'4.11 Bujuko-Buloba'!K39)</f>
        <v>0.7142857142857143</v>
      </c>
      <c r="L39" s="49">
        <f>AVERAGE('29.10 Bujuko-Buloba'!L39,'30.10 Bujuko-Buloba'!L39,'1.11 Bujuko-Buloba'!L39,'3.11 Bujuko-Buloba'!L39,'31.10 Bujuko-Buloba-24h'!L39,'2.11 Bujuko-Buloba-24HR'!L39,'4.11 Bujuko-Buloba'!L39)</f>
        <v>0.8571428571428571</v>
      </c>
      <c r="M39" s="49">
        <f>AVERAGE('29.10 Bujuko-Buloba'!M39,'30.10 Bujuko-Buloba'!M39,'1.11 Bujuko-Buloba'!M39,'3.11 Bujuko-Buloba'!M39,'31.10 Bujuko-Buloba-24h'!M39,'2.11 Bujuko-Buloba-24HR'!M39,'4.11 Bujuko-Buloba'!M39)</f>
        <v>18.142857142857142</v>
      </c>
      <c r="N39" s="49">
        <f>AVERAGE('29.10 Bujuko-Buloba'!N39,'30.10 Bujuko-Buloba'!N39,'1.11 Bujuko-Buloba'!N39,'3.11 Bujuko-Buloba'!N39,'31.10 Bujuko-Buloba-24h'!N39,'2.11 Bujuko-Buloba-24HR'!N39,'4.11 Bujuko-Buloba'!N39)</f>
        <v>0</v>
      </c>
      <c r="O39" s="15">
        <f t="shared" si="0"/>
        <v>51.857142857142847</v>
      </c>
      <c r="P39" s="15">
        <f t="shared" si="1"/>
        <v>69.999999999999986</v>
      </c>
      <c r="R39" s="29" t="s">
        <v>87</v>
      </c>
      <c r="S39" s="54">
        <f t="shared" ref="S39:AF39" si="31">SUM(S19:S21)</f>
        <v>305.71428571428578</v>
      </c>
      <c r="T39" s="54">
        <f t="shared" si="31"/>
        <v>72.285714285714292</v>
      </c>
      <c r="U39" s="54">
        <f t="shared" si="31"/>
        <v>59.571428571428577</v>
      </c>
      <c r="V39" s="54">
        <f t="shared" si="31"/>
        <v>210.85714285714283</v>
      </c>
      <c r="W39" s="54">
        <f t="shared" si="31"/>
        <v>12.142857142857142</v>
      </c>
      <c r="X39" s="54">
        <f t="shared" si="31"/>
        <v>7.7142857142857135</v>
      </c>
      <c r="Y39" s="54">
        <f t="shared" si="31"/>
        <v>80.142857142857139</v>
      </c>
      <c r="Z39" s="54">
        <f t="shared" si="31"/>
        <v>31.428571428571427</v>
      </c>
      <c r="AA39" s="54">
        <f t="shared" si="31"/>
        <v>9.5714285714285694</v>
      </c>
      <c r="AB39" s="54">
        <f t="shared" si="31"/>
        <v>13.571428571428573</v>
      </c>
      <c r="AC39" s="54">
        <f t="shared" si="31"/>
        <v>269.14285714285711</v>
      </c>
      <c r="AD39" s="54">
        <f t="shared" si="31"/>
        <v>0</v>
      </c>
      <c r="AE39" s="55">
        <f t="shared" si="31"/>
        <v>803</v>
      </c>
      <c r="AF39" s="55">
        <f t="shared" si="31"/>
        <v>1072.1428571428571</v>
      </c>
    </row>
    <row r="40" spans="2:32" ht="23.1" customHeight="1" x14ac:dyDescent="0.25">
      <c r="B40" s="24" t="s">
        <v>67</v>
      </c>
      <c r="C40" s="49">
        <f>AVERAGE('29.10 Bujuko-Buloba'!C40,'30.10 Bujuko-Buloba'!C40,'1.11 Bujuko-Buloba'!C40,'3.11 Bujuko-Buloba'!C40,'31.10 Bujuko-Buloba-24h'!C40,'2.11 Bujuko-Buloba-24HR'!C40,'4.11 Bujuko-Buloba'!C40)</f>
        <v>16.285714285714285</v>
      </c>
      <c r="D40" s="49">
        <f>AVERAGE('29.10 Bujuko-Buloba'!D40,'30.10 Bujuko-Buloba'!D40,'1.11 Bujuko-Buloba'!D40,'3.11 Bujuko-Buloba'!D40,'31.10 Bujuko-Buloba-24h'!D40,'2.11 Bujuko-Buloba-24HR'!D40,'4.11 Bujuko-Buloba'!D40)</f>
        <v>4.5714285714285712</v>
      </c>
      <c r="E40" s="49">
        <f>AVERAGE('29.10 Bujuko-Buloba'!E40,'30.10 Bujuko-Buloba'!E40,'1.11 Bujuko-Buloba'!E40,'3.11 Bujuko-Buloba'!E40,'31.10 Bujuko-Buloba-24h'!E40,'2.11 Bujuko-Buloba-24HR'!E40,'4.11 Bujuko-Buloba'!E40)</f>
        <v>3.2857142857142856</v>
      </c>
      <c r="F40" s="49">
        <f>AVERAGE('29.10 Bujuko-Buloba'!F40,'30.10 Bujuko-Buloba'!F40,'1.11 Bujuko-Buloba'!F40,'3.11 Bujuko-Buloba'!F40,'31.10 Bujuko-Buloba-24h'!F40,'2.11 Bujuko-Buloba-24HR'!F40,'4.11 Bujuko-Buloba'!F40)</f>
        <v>13</v>
      </c>
      <c r="G40" s="49">
        <f>AVERAGE('29.10 Bujuko-Buloba'!G40,'30.10 Bujuko-Buloba'!G40,'1.11 Bujuko-Buloba'!G40,'3.11 Bujuko-Buloba'!G40,'31.10 Bujuko-Buloba-24h'!G40,'2.11 Bujuko-Buloba-24HR'!G40,'4.11 Bujuko-Buloba'!G40)</f>
        <v>0.14285714285714285</v>
      </c>
      <c r="H40" s="49">
        <f>AVERAGE('29.10 Bujuko-Buloba'!H40,'30.10 Bujuko-Buloba'!H40,'1.11 Bujuko-Buloba'!H40,'3.11 Bujuko-Buloba'!H40,'31.10 Bujuko-Buloba-24h'!H40,'2.11 Bujuko-Buloba-24HR'!H40,'4.11 Bujuko-Buloba'!H40)</f>
        <v>0.2857142857142857</v>
      </c>
      <c r="I40" s="49">
        <f>AVERAGE('29.10 Bujuko-Buloba'!I40,'30.10 Bujuko-Buloba'!I40,'1.11 Bujuko-Buloba'!I40,'3.11 Bujuko-Buloba'!I40,'31.10 Bujuko-Buloba-24h'!I40,'2.11 Bujuko-Buloba-24HR'!I40,'4.11 Bujuko-Buloba'!I40)</f>
        <v>4.2857142857142856</v>
      </c>
      <c r="J40" s="49">
        <f>AVERAGE('29.10 Bujuko-Buloba'!J40,'30.10 Bujuko-Buloba'!J40,'1.11 Bujuko-Buloba'!J40,'3.11 Bujuko-Buloba'!J40,'31.10 Bujuko-Buloba-24h'!J40,'2.11 Bujuko-Buloba-24HR'!J40,'4.11 Bujuko-Buloba'!J40)</f>
        <v>2.7142857142857144</v>
      </c>
      <c r="K40" s="49">
        <f>AVERAGE('29.10 Bujuko-Buloba'!K40,'30.10 Bujuko-Buloba'!K40,'1.11 Bujuko-Buloba'!K40,'3.11 Bujuko-Buloba'!K40,'31.10 Bujuko-Buloba-24h'!K40,'2.11 Bujuko-Buloba-24HR'!K40,'4.11 Bujuko-Buloba'!K40)</f>
        <v>0.5714285714285714</v>
      </c>
      <c r="L40" s="49">
        <f>AVERAGE('29.10 Bujuko-Buloba'!L40,'30.10 Bujuko-Buloba'!L40,'1.11 Bujuko-Buloba'!L40,'3.11 Bujuko-Buloba'!L40,'31.10 Bujuko-Buloba-24h'!L40,'2.11 Bujuko-Buloba-24HR'!L40,'4.11 Bujuko-Buloba'!L40)</f>
        <v>0.8571428571428571</v>
      </c>
      <c r="M40" s="49">
        <f>AVERAGE('29.10 Bujuko-Buloba'!M40,'30.10 Bujuko-Buloba'!M40,'1.11 Bujuko-Buloba'!M40,'3.11 Bujuko-Buloba'!M40,'31.10 Bujuko-Buloba-24h'!M40,'2.11 Bujuko-Buloba-24HR'!M40,'4.11 Bujuko-Buloba'!M40)</f>
        <v>13.571428571428571</v>
      </c>
      <c r="N40" s="49">
        <f>AVERAGE('29.10 Bujuko-Buloba'!N40,'30.10 Bujuko-Buloba'!N40,'1.11 Bujuko-Buloba'!N40,'3.11 Bujuko-Buloba'!N40,'31.10 Bujuko-Buloba-24h'!N40,'2.11 Bujuko-Buloba-24HR'!N40,'4.11 Bujuko-Buloba'!N40)</f>
        <v>0.14285714285714285</v>
      </c>
      <c r="O40" s="15">
        <f t="shared" si="0"/>
        <v>46.142857142857139</v>
      </c>
      <c r="P40" s="15">
        <f t="shared" si="1"/>
        <v>59.714285714285708</v>
      </c>
      <c r="R40" s="5" t="s">
        <v>17</v>
      </c>
      <c r="S40" s="54">
        <f t="shared" ref="S40:AF40" si="32">SUM(S10:S21)</f>
        <v>834.85714285714289</v>
      </c>
      <c r="T40" s="54">
        <f t="shared" si="32"/>
        <v>175.14285714285717</v>
      </c>
      <c r="U40" s="54">
        <f t="shared" si="32"/>
        <v>151.57142857142856</v>
      </c>
      <c r="V40" s="54">
        <f t="shared" si="32"/>
        <v>709.99999999999989</v>
      </c>
      <c r="W40" s="54">
        <f t="shared" si="32"/>
        <v>17.857142857142854</v>
      </c>
      <c r="X40" s="54">
        <f t="shared" si="32"/>
        <v>15.714285714285714</v>
      </c>
      <c r="Y40" s="54">
        <f t="shared" si="32"/>
        <v>240.14285714285714</v>
      </c>
      <c r="Z40" s="54">
        <f t="shared" si="32"/>
        <v>99.285714285714306</v>
      </c>
      <c r="AA40" s="54">
        <f t="shared" si="32"/>
        <v>27.142857142857139</v>
      </c>
      <c r="AB40" s="54">
        <f t="shared" si="32"/>
        <v>36.571428571428569</v>
      </c>
      <c r="AC40" s="54">
        <f t="shared" si="32"/>
        <v>917.42857142857133</v>
      </c>
      <c r="AD40" s="54">
        <f t="shared" si="32"/>
        <v>0.14285714285714285</v>
      </c>
      <c r="AE40" s="55">
        <f t="shared" si="32"/>
        <v>2308.4285714285716</v>
      </c>
      <c r="AF40" s="55">
        <f t="shared" si="32"/>
        <v>3225.8571428571427</v>
      </c>
    </row>
    <row r="41" spans="2:32" ht="23.1" customHeight="1" x14ac:dyDescent="0.25">
      <c r="B41" s="23" t="s">
        <v>68</v>
      </c>
      <c r="C41" s="49">
        <f>AVERAGE('29.10 Bujuko-Buloba'!C41,'30.10 Bujuko-Buloba'!C41,'1.11 Bujuko-Buloba'!C41,'3.11 Bujuko-Buloba'!C41,'31.10 Bujuko-Buloba-24h'!C41,'2.11 Bujuko-Buloba-24HR'!C41,'4.11 Bujuko-Buloba'!C41)</f>
        <v>14.285714285714286</v>
      </c>
      <c r="D41" s="49">
        <f>AVERAGE('29.10 Bujuko-Buloba'!D41,'30.10 Bujuko-Buloba'!D41,'1.11 Bujuko-Buloba'!D41,'3.11 Bujuko-Buloba'!D41,'31.10 Bujuko-Buloba-24h'!D41,'2.11 Bujuko-Buloba-24HR'!D41,'4.11 Bujuko-Buloba'!D41)</f>
        <v>2.7142857142857144</v>
      </c>
      <c r="E41" s="49">
        <f>AVERAGE('29.10 Bujuko-Buloba'!E41,'30.10 Bujuko-Buloba'!E41,'1.11 Bujuko-Buloba'!E41,'3.11 Bujuko-Buloba'!E41,'31.10 Bujuko-Buloba-24h'!E41,'2.11 Bujuko-Buloba-24HR'!E41,'4.11 Bujuko-Buloba'!E41)</f>
        <v>2.4285714285714284</v>
      </c>
      <c r="F41" s="49">
        <f>AVERAGE('29.10 Bujuko-Buloba'!F41,'30.10 Bujuko-Buloba'!F41,'1.11 Bujuko-Buloba'!F41,'3.11 Bujuko-Buloba'!F41,'31.10 Bujuko-Buloba-24h'!F41,'2.11 Bujuko-Buloba-24HR'!F41,'4.11 Bujuko-Buloba'!F41)</f>
        <v>13.285714285714286</v>
      </c>
      <c r="G41" s="49">
        <f>AVERAGE('29.10 Bujuko-Buloba'!G41,'30.10 Bujuko-Buloba'!G41,'1.11 Bujuko-Buloba'!G41,'3.11 Bujuko-Buloba'!G41,'31.10 Bujuko-Buloba-24h'!G41,'2.11 Bujuko-Buloba-24HR'!G41,'4.11 Bujuko-Buloba'!G41)</f>
        <v>0</v>
      </c>
      <c r="H41" s="49">
        <f>AVERAGE('29.10 Bujuko-Buloba'!H41,'30.10 Bujuko-Buloba'!H41,'1.11 Bujuko-Buloba'!H41,'3.11 Bujuko-Buloba'!H41,'31.10 Bujuko-Buloba-24h'!H41,'2.11 Bujuko-Buloba-24HR'!H41,'4.11 Bujuko-Buloba'!H41)</f>
        <v>0.5714285714285714</v>
      </c>
      <c r="I41" s="49">
        <f>AVERAGE('29.10 Bujuko-Buloba'!I41,'30.10 Bujuko-Buloba'!I41,'1.11 Bujuko-Buloba'!I41,'3.11 Bujuko-Buloba'!I41,'31.10 Bujuko-Buloba-24h'!I41,'2.11 Bujuko-Buloba-24HR'!I41,'4.11 Bujuko-Buloba'!I41)</f>
        <v>3.4285714285714284</v>
      </c>
      <c r="J41" s="49">
        <f>AVERAGE('29.10 Bujuko-Buloba'!J41,'30.10 Bujuko-Buloba'!J41,'1.11 Bujuko-Buloba'!J41,'3.11 Bujuko-Buloba'!J41,'31.10 Bujuko-Buloba-24h'!J41,'2.11 Bujuko-Buloba-24HR'!J41,'4.11 Bujuko-Buloba'!J41)</f>
        <v>2.4285714285714284</v>
      </c>
      <c r="K41" s="49">
        <f>AVERAGE('29.10 Bujuko-Buloba'!K41,'30.10 Bujuko-Buloba'!K41,'1.11 Bujuko-Buloba'!K41,'3.11 Bujuko-Buloba'!K41,'31.10 Bujuko-Buloba-24h'!K41,'2.11 Bujuko-Buloba-24HR'!K41,'4.11 Bujuko-Buloba'!K41)</f>
        <v>0.8571428571428571</v>
      </c>
      <c r="L41" s="49">
        <f>AVERAGE('29.10 Bujuko-Buloba'!L41,'30.10 Bujuko-Buloba'!L41,'1.11 Bujuko-Buloba'!L41,'3.11 Bujuko-Buloba'!L41,'31.10 Bujuko-Buloba-24h'!L41,'2.11 Bujuko-Buloba-24HR'!L41,'4.11 Bujuko-Buloba'!L41)</f>
        <v>0.2857142857142857</v>
      </c>
      <c r="M41" s="49">
        <f>AVERAGE('29.10 Bujuko-Buloba'!M41,'30.10 Bujuko-Buloba'!M41,'1.11 Bujuko-Buloba'!M41,'3.11 Bujuko-Buloba'!M41,'31.10 Bujuko-Buloba-24h'!M41,'2.11 Bujuko-Buloba-24HR'!M41,'4.11 Bujuko-Buloba'!M41)</f>
        <v>11.428571428571429</v>
      </c>
      <c r="N41" s="49">
        <f>AVERAGE('29.10 Bujuko-Buloba'!N41,'30.10 Bujuko-Buloba'!N41,'1.11 Bujuko-Buloba'!N41,'3.11 Bujuko-Buloba'!N41,'31.10 Bujuko-Buloba-24h'!N41,'2.11 Bujuko-Buloba-24HR'!N41,'4.11 Bujuko-Buloba'!N41)</f>
        <v>0</v>
      </c>
      <c r="O41" s="15">
        <f t="shared" si="0"/>
        <v>40.285714285714285</v>
      </c>
      <c r="P41" s="15">
        <f t="shared" si="1"/>
        <v>51.714285714285715</v>
      </c>
      <c r="R41" s="5" t="s">
        <v>185</v>
      </c>
      <c r="S41" s="54">
        <f>SUM(S10:S33)</f>
        <v>1281.3571428571429</v>
      </c>
      <c r="T41" s="54">
        <f t="shared" ref="T41:AD41" si="33">SUM(T10:T33)</f>
        <v>255.64285714285717</v>
      </c>
      <c r="U41" s="54">
        <f t="shared" si="33"/>
        <v>227.07142857142856</v>
      </c>
      <c r="V41" s="54">
        <f t="shared" si="33"/>
        <v>975.49999999999989</v>
      </c>
      <c r="W41" s="54">
        <f t="shared" si="33"/>
        <v>24.357142857142854</v>
      </c>
      <c r="X41" s="54">
        <f t="shared" si="33"/>
        <v>27.714285714285715</v>
      </c>
      <c r="Y41" s="54">
        <f t="shared" si="33"/>
        <v>389.14285714285711</v>
      </c>
      <c r="Z41" s="54">
        <f t="shared" si="33"/>
        <v>206.78571428571431</v>
      </c>
      <c r="AA41" s="54">
        <f t="shared" si="33"/>
        <v>62.642857142857139</v>
      </c>
      <c r="AB41" s="54">
        <f t="shared" si="33"/>
        <v>68.071428571428569</v>
      </c>
      <c r="AC41" s="54">
        <f t="shared" si="33"/>
        <v>1323.4285714285713</v>
      </c>
      <c r="AD41" s="54">
        <f t="shared" si="33"/>
        <v>0.14285714285714285</v>
      </c>
      <c r="AE41" s="55">
        <f>SUM(AE10:AE33)</f>
        <v>3518.4285714285716</v>
      </c>
      <c r="AF41" s="55">
        <f>SUM(AF10:AF33)</f>
        <v>4841.8571428571431</v>
      </c>
    </row>
    <row r="42" spans="2:32" ht="23.1" customHeight="1" x14ac:dyDescent="0.25">
      <c r="B42" s="24" t="s">
        <v>69</v>
      </c>
      <c r="C42" s="49">
        <f>AVERAGE('29.10 Bujuko-Buloba'!C42,'30.10 Bujuko-Buloba'!C42,'1.11 Bujuko-Buloba'!C42,'3.11 Bujuko-Buloba'!C42,'31.10 Bujuko-Buloba-24h'!C42,'2.11 Bujuko-Buloba-24HR'!C42,'4.11 Bujuko-Buloba'!C42)</f>
        <v>16</v>
      </c>
      <c r="D42" s="49">
        <f>AVERAGE('29.10 Bujuko-Buloba'!D42,'30.10 Bujuko-Buloba'!D42,'1.11 Bujuko-Buloba'!D42,'3.11 Bujuko-Buloba'!D42,'31.10 Bujuko-Buloba-24h'!D42,'2.11 Bujuko-Buloba-24HR'!D42,'4.11 Bujuko-Buloba'!D42)</f>
        <v>5.2857142857142856</v>
      </c>
      <c r="E42" s="49">
        <f>AVERAGE('29.10 Bujuko-Buloba'!E42,'30.10 Bujuko-Buloba'!E42,'1.11 Bujuko-Buloba'!E42,'3.11 Bujuko-Buloba'!E42,'31.10 Bujuko-Buloba-24h'!E42,'2.11 Bujuko-Buloba-24HR'!E42,'4.11 Bujuko-Buloba'!E42)</f>
        <v>4.7142857142857144</v>
      </c>
      <c r="F42" s="49">
        <f>AVERAGE('29.10 Bujuko-Buloba'!F42,'30.10 Bujuko-Buloba'!F42,'1.11 Bujuko-Buloba'!F42,'3.11 Bujuko-Buloba'!F42,'31.10 Bujuko-Buloba-24h'!F42,'2.11 Bujuko-Buloba-24HR'!F42,'4.11 Bujuko-Buloba'!F42)</f>
        <v>12.142857142857142</v>
      </c>
      <c r="G42" s="49">
        <f>AVERAGE('29.10 Bujuko-Buloba'!G42,'30.10 Bujuko-Buloba'!G42,'1.11 Bujuko-Buloba'!G42,'3.11 Bujuko-Buloba'!G42,'31.10 Bujuko-Buloba-24h'!G42,'2.11 Bujuko-Buloba-24HR'!G42,'4.11 Bujuko-Buloba'!G42)</f>
        <v>0.14285714285714285</v>
      </c>
      <c r="H42" s="49">
        <f>AVERAGE('29.10 Bujuko-Buloba'!H42,'30.10 Bujuko-Buloba'!H42,'1.11 Bujuko-Buloba'!H42,'3.11 Bujuko-Buloba'!H42,'31.10 Bujuko-Buloba-24h'!H42,'2.11 Bujuko-Buloba-24HR'!H42,'4.11 Bujuko-Buloba'!H42)</f>
        <v>0.5714285714285714</v>
      </c>
      <c r="I42" s="49">
        <f>AVERAGE('29.10 Bujuko-Buloba'!I42,'30.10 Bujuko-Buloba'!I42,'1.11 Bujuko-Buloba'!I42,'3.11 Bujuko-Buloba'!I42,'31.10 Bujuko-Buloba-24h'!I42,'2.11 Bujuko-Buloba-24HR'!I42,'4.11 Bujuko-Buloba'!I42)</f>
        <v>5.2857142857142856</v>
      </c>
      <c r="J42" s="49">
        <f>AVERAGE('29.10 Bujuko-Buloba'!J42,'30.10 Bujuko-Buloba'!J42,'1.11 Bujuko-Buloba'!J42,'3.11 Bujuko-Buloba'!J42,'31.10 Bujuko-Buloba-24h'!J42,'2.11 Bujuko-Buloba-24HR'!J42,'4.11 Bujuko-Buloba'!J42)</f>
        <v>2.2857142857142856</v>
      </c>
      <c r="K42" s="49">
        <f>AVERAGE('29.10 Bujuko-Buloba'!K42,'30.10 Bujuko-Buloba'!K42,'1.11 Bujuko-Buloba'!K42,'3.11 Bujuko-Buloba'!K42,'31.10 Bujuko-Buloba-24h'!K42,'2.11 Bujuko-Buloba-24HR'!K42,'4.11 Bujuko-Buloba'!K42)</f>
        <v>0.8571428571428571</v>
      </c>
      <c r="L42" s="49">
        <f>AVERAGE('29.10 Bujuko-Buloba'!L42,'30.10 Bujuko-Buloba'!L42,'1.11 Bujuko-Buloba'!L42,'3.11 Bujuko-Buloba'!L42,'31.10 Bujuko-Buloba-24h'!L42,'2.11 Bujuko-Buloba-24HR'!L42,'4.11 Bujuko-Buloba'!L42)</f>
        <v>0.7142857142857143</v>
      </c>
      <c r="M42" s="49">
        <f>AVERAGE('29.10 Bujuko-Buloba'!M42,'30.10 Bujuko-Buloba'!M42,'1.11 Bujuko-Buloba'!M42,'3.11 Bujuko-Buloba'!M42,'31.10 Bujuko-Buloba-24h'!M42,'2.11 Bujuko-Buloba-24HR'!M42,'4.11 Bujuko-Buloba'!M42)</f>
        <v>15.857142857142858</v>
      </c>
      <c r="N42" s="49">
        <f>AVERAGE('29.10 Bujuko-Buloba'!N42,'30.10 Bujuko-Buloba'!N42,'1.11 Bujuko-Buloba'!N42,'3.11 Bujuko-Buloba'!N42,'31.10 Bujuko-Buloba-24h'!N42,'2.11 Bujuko-Buloba-24HR'!N42,'4.11 Bujuko-Buloba'!N42)</f>
        <v>0</v>
      </c>
      <c r="O42" s="15">
        <f t="shared" si="0"/>
        <v>47.999999999999993</v>
      </c>
      <c r="P42" s="15">
        <f t="shared" si="1"/>
        <v>63.857142857142847</v>
      </c>
      <c r="R42" s="5" t="s">
        <v>160</v>
      </c>
      <c r="S42" s="48">
        <f>S41/S40</f>
        <v>1.5348220396988363</v>
      </c>
      <c r="T42" s="48">
        <f t="shared" ref="T42:AF42" si="34">T41/T40</f>
        <v>1.4596247960848288</v>
      </c>
      <c r="U42" s="48">
        <f t="shared" si="34"/>
        <v>1.4981149858623941</v>
      </c>
      <c r="V42" s="48">
        <f t="shared" si="34"/>
        <v>1.373943661971831</v>
      </c>
      <c r="W42" s="48">
        <f t="shared" si="34"/>
        <v>1.3640000000000001</v>
      </c>
      <c r="X42" s="48">
        <f t="shared" si="34"/>
        <v>1.7636363636363639</v>
      </c>
      <c r="Y42" s="48">
        <f t="shared" si="34"/>
        <v>1.620464009518144</v>
      </c>
      <c r="Z42" s="48">
        <f t="shared" si="34"/>
        <v>2.0827338129496402</v>
      </c>
      <c r="AA42" s="48">
        <f t="shared" si="34"/>
        <v>2.3078947368421057</v>
      </c>
      <c r="AB42" s="48">
        <f t="shared" si="34"/>
        <v>1.861328125</v>
      </c>
      <c r="AC42" s="48">
        <f t="shared" si="34"/>
        <v>1.4425412644036126</v>
      </c>
      <c r="AD42" s="48">
        <f t="shared" si="34"/>
        <v>1</v>
      </c>
      <c r="AE42" s="56">
        <f t="shared" si="34"/>
        <v>1.5241660993873383</v>
      </c>
      <c r="AF42" s="56">
        <f t="shared" si="34"/>
        <v>1.5009521278951332</v>
      </c>
    </row>
    <row r="43" spans="2:32" ht="23.1" customHeight="1" x14ac:dyDescent="0.25">
      <c r="B43" s="23" t="s">
        <v>70</v>
      </c>
      <c r="C43" s="49">
        <f>AVERAGE('29.10 Bujuko-Buloba'!C43,'30.10 Bujuko-Buloba'!C43,'1.11 Bujuko-Buloba'!C43,'3.11 Bujuko-Buloba'!C43,'31.10 Bujuko-Buloba-24h'!C43,'2.11 Bujuko-Buloba-24HR'!C43,'4.11 Bujuko-Buloba'!C43)</f>
        <v>14</v>
      </c>
      <c r="D43" s="49">
        <f>AVERAGE('29.10 Bujuko-Buloba'!D43,'30.10 Bujuko-Buloba'!D43,'1.11 Bujuko-Buloba'!D43,'3.11 Bujuko-Buloba'!D43,'31.10 Bujuko-Buloba-24h'!D43,'2.11 Bujuko-Buloba-24HR'!D43,'4.11 Bujuko-Buloba'!D43)</f>
        <v>5.2857142857142856</v>
      </c>
      <c r="E43" s="49">
        <f>AVERAGE('29.10 Bujuko-Buloba'!E43,'30.10 Bujuko-Buloba'!E43,'1.11 Bujuko-Buloba'!E43,'3.11 Bujuko-Buloba'!E43,'31.10 Bujuko-Buloba-24h'!E43,'2.11 Bujuko-Buloba-24HR'!E43,'4.11 Bujuko-Buloba'!E43)</f>
        <v>4.1428571428571432</v>
      </c>
      <c r="F43" s="49">
        <f>AVERAGE('29.10 Bujuko-Buloba'!F43,'30.10 Bujuko-Buloba'!F43,'1.11 Bujuko-Buloba'!F43,'3.11 Bujuko-Buloba'!F43,'31.10 Bujuko-Buloba-24h'!F43,'2.11 Bujuko-Buloba-24HR'!F43,'4.11 Bujuko-Buloba'!F43)</f>
        <v>13.142857142857142</v>
      </c>
      <c r="G43" s="49">
        <f>AVERAGE('29.10 Bujuko-Buloba'!G43,'30.10 Bujuko-Buloba'!G43,'1.11 Bujuko-Buloba'!G43,'3.11 Bujuko-Buloba'!G43,'31.10 Bujuko-Buloba-24h'!G43,'2.11 Bujuko-Buloba-24HR'!G43,'4.11 Bujuko-Buloba'!G43)</f>
        <v>0.2857142857142857</v>
      </c>
      <c r="H43" s="49">
        <f>AVERAGE('29.10 Bujuko-Buloba'!H43,'30.10 Bujuko-Buloba'!H43,'1.11 Bujuko-Buloba'!H43,'3.11 Bujuko-Buloba'!H43,'31.10 Bujuko-Buloba-24h'!H43,'2.11 Bujuko-Buloba-24HR'!H43,'4.11 Bujuko-Buloba'!H43)</f>
        <v>0.8571428571428571</v>
      </c>
      <c r="I43" s="49">
        <f>AVERAGE('29.10 Bujuko-Buloba'!I43,'30.10 Bujuko-Buloba'!I43,'1.11 Bujuko-Buloba'!I43,'3.11 Bujuko-Buloba'!I43,'31.10 Bujuko-Buloba-24h'!I43,'2.11 Bujuko-Buloba-24HR'!I43,'4.11 Bujuko-Buloba'!I43)</f>
        <v>6.1428571428571432</v>
      </c>
      <c r="J43" s="49">
        <f>AVERAGE('29.10 Bujuko-Buloba'!J43,'30.10 Bujuko-Buloba'!J43,'1.11 Bujuko-Buloba'!J43,'3.11 Bujuko-Buloba'!J43,'31.10 Bujuko-Buloba-24h'!J43,'2.11 Bujuko-Buloba-24HR'!J43,'4.11 Bujuko-Buloba'!J43)</f>
        <v>1.8571428571428572</v>
      </c>
      <c r="K43" s="49">
        <f>AVERAGE('29.10 Bujuko-Buloba'!K43,'30.10 Bujuko-Buloba'!K43,'1.11 Bujuko-Buloba'!K43,'3.11 Bujuko-Buloba'!K43,'31.10 Bujuko-Buloba-24h'!K43,'2.11 Bujuko-Buloba-24HR'!K43,'4.11 Bujuko-Buloba'!K43)</f>
        <v>0.8571428571428571</v>
      </c>
      <c r="L43" s="49">
        <f>AVERAGE('29.10 Bujuko-Buloba'!L43,'30.10 Bujuko-Buloba'!L43,'1.11 Bujuko-Buloba'!L43,'3.11 Bujuko-Buloba'!L43,'31.10 Bujuko-Buloba-24h'!L43,'2.11 Bujuko-Buloba-24HR'!L43,'4.11 Bujuko-Buloba'!L43)</f>
        <v>0.2857142857142857</v>
      </c>
      <c r="M43" s="49">
        <f>AVERAGE('29.10 Bujuko-Buloba'!M43,'30.10 Bujuko-Buloba'!M43,'1.11 Bujuko-Buloba'!M43,'3.11 Bujuko-Buloba'!M43,'31.10 Bujuko-Buloba-24h'!M43,'2.11 Bujuko-Buloba-24HR'!M43,'4.11 Bujuko-Buloba'!M43)</f>
        <v>15.285714285714286</v>
      </c>
      <c r="N43" s="49">
        <f>AVERAGE('29.10 Bujuko-Buloba'!N43,'30.10 Bujuko-Buloba'!N43,'1.11 Bujuko-Buloba'!N43,'3.11 Bujuko-Buloba'!N43,'31.10 Bujuko-Buloba-24h'!N43,'2.11 Bujuko-Buloba-24HR'!N43,'4.11 Bujuko-Buloba'!N43)</f>
        <v>0</v>
      </c>
      <c r="O43" s="15">
        <f t="shared" si="0"/>
        <v>46.857142857142847</v>
      </c>
      <c r="P43" s="15">
        <f t="shared" si="1"/>
        <v>62.142857142857132</v>
      </c>
    </row>
    <row r="44" spans="2:32" ht="23.1" customHeight="1" x14ac:dyDescent="0.25">
      <c r="B44" s="25" t="s">
        <v>71</v>
      </c>
      <c r="C44" s="49">
        <f>AVERAGE('29.10 Bujuko-Buloba'!C44,'30.10 Bujuko-Buloba'!C44,'1.11 Bujuko-Buloba'!C44,'3.11 Bujuko-Buloba'!C44,'31.10 Bujuko-Buloba-24h'!C44,'2.11 Bujuko-Buloba-24HR'!C44,'4.11 Bujuko-Buloba'!C44)</f>
        <v>18.428571428571427</v>
      </c>
      <c r="D44" s="49">
        <f>AVERAGE('29.10 Bujuko-Buloba'!D44,'30.10 Bujuko-Buloba'!D44,'1.11 Bujuko-Buloba'!D44,'3.11 Bujuko-Buloba'!D44,'31.10 Bujuko-Buloba-24h'!D44,'2.11 Bujuko-Buloba-24HR'!D44,'4.11 Bujuko-Buloba'!D44)</f>
        <v>3.2857142857142856</v>
      </c>
      <c r="E44" s="49">
        <f>AVERAGE('29.10 Bujuko-Buloba'!E44,'30.10 Bujuko-Buloba'!E44,'1.11 Bujuko-Buloba'!E44,'3.11 Bujuko-Buloba'!E44,'31.10 Bujuko-Buloba-24h'!E44,'2.11 Bujuko-Buloba-24HR'!E44,'4.11 Bujuko-Buloba'!E44)</f>
        <v>3.1428571428571428</v>
      </c>
      <c r="F44" s="49">
        <f>AVERAGE('29.10 Bujuko-Buloba'!F44,'30.10 Bujuko-Buloba'!F44,'1.11 Bujuko-Buloba'!F44,'3.11 Bujuko-Buloba'!F44,'31.10 Bujuko-Buloba-24h'!F44,'2.11 Bujuko-Buloba-24HR'!F44,'4.11 Bujuko-Buloba'!F44)</f>
        <v>17.142857142857142</v>
      </c>
      <c r="G44" s="49">
        <f>AVERAGE('29.10 Bujuko-Buloba'!G44,'30.10 Bujuko-Buloba'!G44,'1.11 Bujuko-Buloba'!G44,'3.11 Bujuko-Buloba'!G44,'31.10 Bujuko-Buloba-24h'!G44,'2.11 Bujuko-Buloba-24HR'!G44,'4.11 Bujuko-Buloba'!G44)</f>
        <v>0</v>
      </c>
      <c r="H44" s="49">
        <f>AVERAGE('29.10 Bujuko-Buloba'!H44,'30.10 Bujuko-Buloba'!H44,'1.11 Bujuko-Buloba'!H44,'3.11 Bujuko-Buloba'!H44,'31.10 Bujuko-Buloba-24h'!H44,'2.11 Bujuko-Buloba-24HR'!H44,'4.11 Bujuko-Buloba'!H44)</f>
        <v>0.7142857142857143</v>
      </c>
      <c r="I44" s="49">
        <f>AVERAGE('29.10 Bujuko-Buloba'!I44,'30.10 Bujuko-Buloba'!I44,'1.11 Bujuko-Buloba'!I44,'3.11 Bujuko-Buloba'!I44,'31.10 Bujuko-Buloba-24h'!I44,'2.11 Bujuko-Buloba-24HR'!I44,'4.11 Bujuko-Buloba'!I44)</f>
        <v>6.2857142857142856</v>
      </c>
      <c r="J44" s="49">
        <f>AVERAGE('29.10 Bujuko-Buloba'!J44,'30.10 Bujuko-Buloba'!J44,'1.11 Bujuko-Buloba'!J44,'3.11 Bujuko-Buloba'!J44,'31.10 Bujuko-Buloba-24h'!J44,'2.11 Bujuko-Buloba-24HR'!J44,'4.11 Bujuko-Buloba'!J44)</f>
        <v>2</v>
      </c>
      <c r="K44" s="49">
        <f>AVERAGE('29.10 Bujuko-Buloba'!K44,'30.10 Bujuko-Buloba'!K44,'1.11 Bujuko-Buloba'!K44,'3.11 Bujuko-Buloba'!K44,'31.10 Bujuko-Buloba-24h'!K44,'2.11 Bujuko-Buloba-24HR'!K44,'4.11 Bujuko-Buloba'!K44)</f>
        <v>0.7142857142857143</v>
      </c>
      <c r="L44" s="49">
        <f>AVERAGE('29.10 Bujuko-Buloba'!L44,'30.10 Bujuko-Buloba'!L44,'1.11 Bujuko-Buloba'!L44,'3.11 Bujuko-Buloba'!L44,'31.10 Bujuko-Buloba-24h'!L44,'2.11 Bujuko-Buloba-24HR'!L44,'4.11 Bujuko-Buloba'!L44)</f>
        <v>0.8571428571428571</v>
      </c>
      <c r="M44" s="49">
        <f>AVERAGE('29.10 Bujuko-Buloba'!M44,'30.10 Bujuko-Buloba'!M44,'1.11 Bujuko-Buloba'!M44,'3.11 Bujuko-Buloba'!M44,'31.10 Bujuko-Buloba-24h'!M44,'2.11 Bujuko-Buloba-24HR'!M44,'4.11 Bujuko-Buloba'!M44)</f>
        <v>15.428571428571429</v>
      </c>
      <c r="N44" s="49">
        <f>AVERAGE('29.10 Bujuko-Buloba'!N44,'30.10 Bujuko-Buloba'!N44,'1.11 Bujuko-Buloba'!N44,'3.11 Bujuko-Buloba'!N44,'31.10 Bujuko-Buloba-24h'!N44,'2.11 Bujuko-Buloba-24HR'!N44,'4.11 Bujuko-Buloba'!N44)</f>
        <v>0</v>
      </c>
      <c r="O44" s="15">
        <f t="shared" si="0"/>
        <v>52.571428571428569</v>
      </c>
      <c r="P44" s="15">
        <f t="shared" si="1"/>
        <v>68</v>
      </c>
    </row>
    <row r="45" spans="2:32" ht="23.1" customHeight="1" x14ac:dyDescent="0.25">
      <c r="B45" s="23" t="s">
        <v>72</v>
      </c>
      <c r="C45" s="49">
        <f>AVERAGE('29.10 Bujuko-Buloba'!C45,'30.10 Bujuko-Buloba'!C45,'1.11 Bujuko-Buloba'!C45,'3.11 Bujuko-Buloba'!C45,'31.10 Bujuko-Buloba-24h'!C45,'2.11 Bujuko-Buloba-24HR'!C45,'4.11 Bujuko-Buloba'!C45)</f>
        <v>23.142857142857142</v>
      </c>
      <c r="D45" s="49">
        <f>AVERAGE('29.10 Bujuko-Buloba'!D45,'30.10 Bujuko-Buloba'!D45,'1.11 Bujuko-Buloba'!D45,'3.11 Bujuko-Buloba'!D45,'31.10 Bujuko-Buloba-24h'!D45,'2.11 Bujuko-Buloba-24HR'!D45,'4.11 Bujuko-Buloba'!D45)</f>
        <v>3.5714285714285716</v>
      </c>
      <c r="E45" s="49">
        <f>AVERAGE('29.10 Bujuko-Buloba'!E45,'30.10 Bujuko-Buloba'!E45,'1.11 Bujuko-Buloba'!E45,'3.11 Bujuko-Buloba'!E45,'31.10 Bujuko-Buloba-24h'!E45,'2.11 Bujuko-Buloba-24HR'!E45,'4.11 Bujuko-Buloba'!E45)</f>
        <v>5.1428571428571432</v>
      </c>
      <c r="F45" s="49">
        <f>AVERAGE('29.10 Bujuko-Buloba'!F45,'30.10 Bujuko-Buloba'!F45,'1.11 Bujuko-Buloba'!F45,'3.11 Bujuko-Buloba'!F45,'31.10 Bujuko-Buloba-24h'!F45,'2.11 Bujuko-Buloba-24HR'!F45,'4.11 Bujuko-Buloba'!F45)</f>
        <v>14.571428571428571</v>
      </c>
      <c r="G45" s="49">
        <f>AVERAGE('29.10 Bujuko-Buloba'!G45,'30.10 Bujuko-Buloba'!G45,'1.11 Bujuko-Buloba'!G45,'3.11 Bujuko-Buloba'!G45,'31.10 Bujuko-Buloba-24h'!G45,'2.11 Bujuko-Buloba-24HR'!G45,'4.11 Bujuko-Buloba'!G45)</f>
        <v>0.14285714285714285</v>
      </c>
      <c r="H45" s="49">
        <f>AVERAGE('29.10 Bujuko-Buloba'!H45,'30.10 Bujuko-Buloba'!H45,'1.11 Bujuko-Buloba'!H45,'3.11 Bujuko-Buloba'!H45,'31.10 Bujuko-Buloba-24h'!H45,'2.11 Bujuko-Buloba-24HR'!H45,'4.11 Bujuko-Buloba'!H45)</f>
        <v>0.42857142857142855</v>
      </c>
      <c r="I45" s="49">
        <f>AVERAGE('29.10 Bujuko-Buloba'!I45,'30.10 Bujuko-Buloba'!I45,'1.11 Bujuko-Buloba'!I45,'3.11 Bujuko-Buloba'!I45,'31.10 Bujuko-Buloba-24h'!I45,'2.11 Bujuko-Buloba-24HR'!I45,'4.11 Bujuko-Buloba'!I45)</f>
        <v>6.4285714285714288</v>
      </c>
      <c r="J45" s="49">
        <f>AVERAGE('29.10 Bujuko-Buloba'!J45,'30.10 Bujuko-Buloba'!J45,'1.11 Bujuko-Buloba'!J45,'3.11 Bujuko-Buloba'!J45,'31.10 Bujuko-Buloba-24h'!J45,'2.11 Bujuko-Buloba-24HR'!J45,'4.11 Bujuko-Buloba'!J45)</f>
        <v>3.2857142857142856</v>
      </c>
      <c r="K45" s="49">
        <f>AVERAGE('29.10 Bujuko-Buloba'!K45,'30.10 Bujuko-Buloba'!K45,'1.11 Bujuko-Buloba'!K45,'3.11 Bujuko-Buloba'!K45,'31.10 Bujuko-Buloba-24h'!K45,'2.11 Bujuko-Buloba-24HR'!K45,'4.11 Bujuko-Buloba'!K45)</f>
        <v>0.7142857142857143</v>
      </c>
      <c r="L45" s="49">
        <f>AVERAGE('29.10 Bujuko-Buloba'!L45,'30.10 Bujuko-Buloba'!L45,'1.11 Bujuko-Buloba'!L45,'3.11 Bujuko-Buloba'!L45,'31.10 Bujuko-Buloba-24h'!L45,'2.11 Bujuko-Buloba-24HR'!L45,'4.11 Bujuko-Buloba'!L45)</f>
        <v>1</v>
      </c>
      <c r="M45" s="49">
        <f>AVERAGE('29.10 Bujuko-Buloba'!M45,'30.10 Bujuko-Buloba'!M45,'1.11 Bujuko-Buloba'!M45,'3.11 Bujuko-Buloba'!M45,'31.10 Bujuko-Buloba-24h'!M45,'2.11 Bujuko-Buloba-24HR'!M45,'4.11 Bujuko-Buloba'!M45)</f>
        <v>19.285714285714285</v>
      </c>
      <c r="N45" s="49">
        <f>AVERAGE('29.10 Bujuko-Buloba'!N45,'30.10 Bujuko-Buloba'!N45,'1.11 Bujuko-Buloba'!N45,'3.11 Bujuko-Buloba'!N45,'31.10 Bujuko-Buloba-24h'!N45,'2.11 Bujuko-Buloba-24HR'!N45,'4.11 Bujuko-Buloba'!N45)</f>
        <v>0</v>
      </c>
      <c r="O45" s="15">
        <f t="shared" si="0"/>
        <v>58.428571428571438</v>
      </c>
      <c r="P45" s="15">
        <f t="shared" si="1"/>
        <v>77.714285714285722</v>
      </c>
    </row>
    <row r="46" spans="2:32" ht="23.1" customHeight="1" x14ac:dyDescent="0.25">
      <c r="B46" s="24" t="s">
        <v>73</v>
      </c>
      <c r="C46" s="49">
        <f>AVERAGE('29.10 Bujuko-Buloba'!C46,'30.10 Bujuko-Buloba'!C46,'1.11 Bujuko-Buloba'!C46,'3.11 Bujuko-Buloba'!C46,'31.10 Bujuko-Buloba-24h'!C46,'2.11 Bujuko-Buloba-24HR'!C46,'4.11 Bujuko-Buloba'!C46)</f>
        <v>19.285714285714285</v>
      </c>
      <c r="D46" s="49">
        <f>AVERAGE('29.10 Bujuko-Buloba'!D46,'30.10 Bujuko-Buloba'!D46,'1.11 Bujuko-Buloba'!D46,'3.11 Bujuko-Buloba'!D46,'31.10 Bujuko-Buloba-24h'!D46,'2.11 Bujuko-Buloba-24HR'!D46,'4.11 Bujuko-Buloba'!D46)</f>
        <v>4.8571428571428568</v>
      </c>
      <c r="E46" s="49">
        <f>AVERAGE('29.10 Bujuko-Buloba'!E46,'30.10 Bujuko-Buloba'!E46,'1.11 Bujuko-Buloba'!E46,'3.11 Bujuko-Buloba'!E46,'31.10 Bujuko-Buloba-24h'!E46,'2.11 Bujuko-Buloba-24HR'!E46,'4.11 Bujuko-Buloba'!E46)</f>
        <v>4</v>
      </c>
      <c r="F46" s="49">
        <f>AVERAGE('29.10 Bujuko-Buloba'!F46,'30.10 Bujuko-Buloba'!F46,'1.11 Bujuko-Buloba'!F46,'3.11 Bujuko-Buloba'!F46,'31.10 Bujuko-Buloba-24h'!F46,'2.11 Bujuko-Buloba-24HR'!F46,'4.11 Bujuko-Buloba'!F46)</f>
        <v>13.571428571428571</v>
      </c>
      <c r="G46" s="49">
        <f>AVERAGE('29.10 Bujuko-Buloba'!G46,'30.10 Bujuko-Buloba'!G46,'1.11 Bujuko-Buloba'!G46,'3.11 Bujuko-Buloba'!G46,'31.10 Bujuko-Buloba-24h'!G46,'2.11 Bujuko-Buloba-24HR'!G46,'4.11 Bujuko-Buloba'!G46)</f>
        <v>0</v>
      </c>
      <c r="H46" s="49">
        <f>AVERAGE('29.10 Bujuko-Buloba'!H46,'30.10 Bujuko-Buloba'!H46,'1.11 Bujuko-Buloba'!H46,'3.11 Bujuko-Buloba'!H46,'31.10 Bujuko-Buloba-24h'!H46,'2.11 Bujuko-Buloba-24HR'!H46,'4.11 Bujuko-Buloba'!H46)</f>
        <v>0.5714285714285714</v>
      </c>
      <c r="I46" s="49">
        <f>AVERAGE('29.10 Bujuko-Buloba'!I46,'30.10 Bujuko-Buloba'!I46,'1.11 Bujuko-Buloba'!I46,'3.11 Bujuko-Buloba'!I46,'31.10 Bujuko-Buloba-24h'!I46,'2.11 Bujuko-Buloba-24HR'!I46,'4.11 Bujuko-Buloba'!I46)</f>
        <v>6.7142857142857144</v>
      </c>
      <c r="J46" s="49">
        <f>AVERAGE('29.10 Bujuko-Buloba'!J46,'30.10 Bujuko-Buloba'!J46,'1.11 Bujuko-Buloba'!J46,'3.11 Bujuko-Buloba'!J46,'31.10 Bujuko-Buloba-24h'!J46,'2.11 Bujuko-Buloba-24HR'!J46,'4.11 Bujuko-Buloba'!J46)</f>
        <v>2.7142857142857144</v>
      </c>
      <c r="K46" s="49">
        <f>AVERAGE('29.10 Bujuko-Buloba'!K46,'30.10 Bujuko-Buloba'!K46,'1.11 Bujuko-Buloba'!K46,'3.11 Bujuko-Buloba'!K46,'31.10 Bujuko-Buloba-24h'!K46,'2.11 Bujuko-Buloba-24HR'!K46,'4.11 Bujuko-Buloba'!K46)</f>
        <v>1.2857142857142858</v>
      </c>
      <c r="L46" s="49">
        <f>AVERAGE('29.10 Bujuko-Buloba'!L46,'30.10 Bujuko-Buloba'!L46,'1.11 Bujuko-Buloba'!L46,'3.11 Bujuko-Buloba'!L46,'31.10 Bujuko-Buloba-24h'!L46,'2.11 Bujuko-Buloba-24HR'!L46,'4.11 Bujuko-Buloba'!L46)</f>
        <v>0.5714285714285714</v>
      </c>
      <c r="M46" s="49">
        <f>AVERAGE('29.10 Bujuko-Buloba'!M46,'30.10 Bujuko-Buloba'!M46,'1.11 Bujuko-Buloba'!M46,'3.11 Bujuko-Buloba'!M46,'31.10 Bujuko-Buloba-24h'!M46,'2.11 Bujuko-Buloba-24HR'!M46,'4.11 Bujuko-Buloba'!M46)</f>
        <v>23.714285714285715</v>
      </c>
      <c r="N46" s="49">
        <f>AVERAGE('29.10 Bujuko-Buloba'!N46,'30.10 Bujuko-Buloba'!N46,'1.11 Bujuko-Buloba'!N46,'3.11 Bujuko-Buloba'!N46,'31.10 Bujuko-Buloba-24h'!N46,'2.11 Bujuko-Buloba-24HR'!N46,'4.11 Bujuko-Buloba'!N46)</f>
        <v>0</v>
      </c>
      <c r="O46" s="15">
        <f t="shared" si="0"/>
        <v>53.571428571428569</v>
      </c>
      <c r="P46" s="15">
        <f t="shared" si="1"/>
        <v>77.285714285714278</v>
      </c>
      <c r="R46" s="8"/>
      <c r="T46"/>
    </row>
    <row r="47" spans="2:32" ht="23.1" customHeight="1" x14ac:dyDescent="0.25">
      <c r="B47" s="24" t="s">
        <v>74</v>
      </c>
      <c r="C47" s="49">
        <f>AVERAGE('29.10 Bujuko-Buloba'!C47,'30.10 Bujuko-Buloba'!C47,'1.11 Bujuko-Buloba'!C47,'3.11 Bujuko-Buloba'!C47,'31.10 Bujuko-Buloba-24h'!C47,'2.11 Bujuko-Buloba-24HR'!C47,'4.11 Bujuko-Buloba'!C47)</f>
        <v>20.142857142857142</v>
      </c>
      <c r="D47" s="49">
        <f>AVERAGE('29.10 Bujuko-Buloba'!D47,'30.10 Bujuko-Buloba'!D47,'1.11 Bujuko-Buloba'!D47,'3.11 Bujuko-Buloba'!D47,'31.10 Bujuko-Buloba-24h'!D47,'2.11 Bujuko-Buloba-24HR'!D47,'4.11 Bujuko-Buloba'!D47)</f>
        <v>3.7142857142857144</v>
      </c>
      <c r="E47" s="49">
        <f>AVERAGE('29.10 Bujuko-Buloba'!E47,'30.10 Bujuko-Buloba'!E47,'1.11 Bujuko-Buloba'!E47,'3.11 Bujuko-Buloba'!E47,'31.10 Bujuko-Buloba-24h'!E47,'2.11 Bujuko-Buloba-24HR'!E47,'4.11 Bujuko-Buloba'!E47)</f>
        <v>3.7142857142857144</v>
      </c>
      <c r="F47" s="49">
        <f>AVERAGE('29.10 Bujuko-Buloba'!F47,'30.10 Bujuko-Buloba'!F47,'1.11 Bujuko-Buloba'!F47,'3.11 Bujuko-Buloba'!F47,'31.10 Bujuko-Buloba-24h'!F47,'2.11 Bujuko-Buloba-24HR'!F47,'4.11 Bujuko-Buloba'!F47)</f>
        <v>12.285714285714286</v>
      </c>
      <c r="G47" s="49">
        <f>AVERAGE('29.10 Bujuko-Buloba'!G47,'30.10 Bujuko-Buloba'!G47,'1.11 Bujuko-Buloba'!G47,'3.11 Bujuko-Buloba'!G47,'31.10 Bujuko-Buloba-24h'!G47,'2.11 Bujuko-Buloba-24HR'!G47,'4.11 Bujuko-Buloba'!G47)</f>
        <v>0.14285714285714285</v>
      </c>
      <c r="H47" s="49">
        <f>AVERAGE('29.10 Bujuko-Buloba'!H47,'30.10 Bujuko-Buloba'!H47,'1.11 Bujuko-Buloba'!H47,'3.11 Bujuko-Buloba'!H47,'31.10 Bujuko-Buloba-24h'!H47,'2.11 Bujuko-Buloba-24HR'!H47,'4.11 Bujuko-Buloba'!H47)</f>
        <v>0.42857142857142855</v>
      </c>
      <c r="I47" s="49">
        <f>AVERAGE('29.10 Bujuko-Buloba'!I47,'30.10 Bujuko-Buloba'!I47,'1.11 Bujuko-Buloba'!I47,'3.11 Bujuko-Buloba'!I47,'31.10 Bujuko-Buloba-24h'!I47,'2.11 Bujuko-Buloba-24HR'!I47,'4.11 Bujuko-Buloba'!I47)</f>
        <v>5.5714285714285712</v>
      </c>
      <c r="J47" s="49">
        <f>AVERAGE('29.10 Bujuko-Buloba'!J47,'30.10 Bujuko-Buloba'!J47,'1.11 Bujuko-Buloba'!J47,'3.11 Bujuko-Buloba'!J47,'31.10 Bujuko-Buloba-24h'!J47,'2.11 Bujuko-Buloba-24HR'!J47,'4.11 Bujuko-Buloba'!J47)</f>
        <v>2.7142857142857144</v>
      </c>
      <c r="K47" s="49">
        <f>AVERAGE('29.10 Bujuko-Buloba'!K47,'30.10 Bujuko-Buloba'!K47,'1.11 Bujuko-Buloba'!K47,'3.11 Bujuko-Buloba'!K47,'31.10 Bujuko-Buloba-24h'!K47,'2.11 Bujuko-Buloba-24HR'!K47,'4.11 Bujuko-Buloba'!K47)</f>
        <v>0.7142857142857143</v>
      </c>
      <c r="L47" s="49">
        <f>AVERAGE('29.10 Bujuko-Buloba'!L47,'30.10 Bujuko-Buloba'!L47,'1.11 Bujuko-Buloba'!L47,'3.11 Bujuko-Buloba'!L47,'31.10 Bujuko-Buloba-24h'!L47,'2.11 Bujuko-Buloba-24HR'!L47,'4.11 Bujuko-Buloba'!L47)</f>
        <v>1.4285714285714286</v>
      </c>
      <c r="M47" s="49">
        <f>AVERAGE('29.10 Bujuko-Buloba'!M47,'30.10 Bujuko-Buloba'!M47,'1.11 Bujuko-Buloba'!M47,'3.11 Bujuko-Buloba'!M47,'31.10 Bujuko-Buloba-24h'!M47,'2.11 Bujuko-Buloba-24HR'!M47,'4.11 Bujuko-Buloba'!M47)</f>
        <v>18.142857142857142</v>
      </c>
      <c r="N47" s="49">
        <f>AVERAGE('29.10 Bujuko-Buloba'!N47,'30.10 Bujuko-Buloba'!N47,'1.11 Bujuko-Buloba'!N47,'3.11 Bujuko-Buloba'!N47,'31.10 Bujuko-Buloba-24h'!N47,'2.11 Bujuko-Buloba-24HR'!N47,'4.11 Bujuko-Buloba'!N47)</f>
        <v>0</v>
      </c>
      <c r="O47" s="15">
        <f t="shared" si="0"/>
        <v>50.857142857142868</v>
      </c>
      <c r="P47" s="15">
        <f t="shared" si="1"/>
        <v>69.000000000000014</v>
      </c>
      <c r="R47" s="8"/>
      <c r="T47"/>
    </row>
    <row r="48" spans="2:32" ht="23.1" customHeight="1" x14ac:dyDescent="0.25">
      <c r="B48" s="24" t="s">
        <v>75</v>
      </c>
      <c r="C48" s="49">
        <f>AVERAGE('29.10 Bujuko-Buloba'!C48,'30.10 Bujuko-Buloba'!C48,'1.11 Bujuko-Buloba'!C48,'3.11 Bujuko-Buloba'!C48,'31.10 Bujuko-Buloba-24h'!C48,'2.11 Bujuko-Buloba-24HR'!C48,'4.11 Bujuko-Buloba'!C48)</f>
        <v>21.857142857142858</v>
      </c>
      <c r="D48" s="49">
        <f>AVERAGE('29.10 Bujuko-Buloba'!D48,'30.10 Bujuko-Buloba'!D48,'1.11 Bujuko-Buloba'!D48,'3.11 Bujuko-Buloba'!D48,'31.10 Bujuko-Buloba-24h'!D48,'2.11 Bujuko-Buloba-24HR'!D48,'4.11 Bujuko-Buloba'!D48)</f>
        <v>5</v>
      </c>
      <c r="E48" s="49">
        <f>AVERAGE('29.10 Bujuko-Buloba'!E48,'30.10 Bujuko-Buloba'!E48,'1.11 Bujuko-Buloba'!E48,'3.11 Bujuko-Buloba'!E48,'31.10 Bujuko-Buloba-24h'!E48,'2.11 Bujuko-Buloba-24HR'!E48,'4.11 Bujuko-Buloba'!E48)</f>
        <v>4.1428571428571432</v>
      </c>
      <c r="F48" s="49">
        <f>AVERAGE('29.10 Bujuko-Buloba'!F48,'30.10 Bujuko-Buloba'!F48,'1.11 Bujuko-Buloba'!F48,'3.11 Bujuko-Buloba'!F48,'31.10 Bujuko-Buloba-24h'!F48,'2.11 Bujuko-Buloba-24HR'!F48,'4.11 Bujuko-Buloba'!F48)</f>
        <v>16.285714285714285</v>
      </c>
      <c r="G48" s="49">
        <f>AVERAGE('29.10 Bujuko-Buloba'!G48,'30.10 Bujuko-Buloba'!G48,'1.11 Bujuko-Buloba'!G48,'3.11 Bujuko-Buloba'!G48,'31.10 Bujuko-Buloba-24h'!G48,'2.11 Bujuko-Buloba-24HR'!G48,'4.11 Bujuko-Buloba'!G48)</f>
        <v>2.5714285714285716</v>
      </c>
      <c r="H48" s="49">
        <f>AVERAGE('29.10 Bujuko-Buloba'!H48,'30.10 Bujuko-Buloba'!H48,'1.11 Bujuko-Buloba'!H48,'3.11 Bujuko-Buloba'!H48,'31.10 Bujuko-Buloba-24h'!H48,'2.11 Bujuko-Buloba-24HR'!H48,'4.11 Bujuko-Buloba'!H48)</f>
        <v>0.7142857142857143</v>
      </c>
      <c r="I48" s="49">
        <f>AVERAGE('29.10 Bujuko-Buloba'!I48,'30.10 Bujuko-Buloba'!I48,'1.11 Bujuko-Buloba'!I48,'3.11 Bujuko-Buloba'!I48,'31.10 Bujuko-Buloba-24h'!I48,'2.11 Bujuko-Buloba-24HR'!I48,'4.11 Bujuko-Buloba'!I48)</f>
        <v>7</v>
      </c>
      <c r="J48" s="49">
        <f>AVERAGE('29.10 Bujuko-Buloba'!J48,'30.10 Bujuko-Buloba'!J48,'1.11 Bujuko-Buloba'!J48,'3.11 Bujuko-Buloba'!J48,'31.10 Bujuko-Buloba-24h'!J48,'2.11 Bujuko-Buloba-24HR'!J48,'4.11 Bujuko-Buloba'!J48)</f>
        <v>3.8571428571428572</v>
      </c>
      <c r="K48" s="49">
        <f>AVERAGE('29.10 Bujuko-Buloba'!K48,'30.10 Bujuko-Buloba'!K48,'1.11 Bujuko-Buloba'!K48,'3.11 Bujuko-Buloba'!K48,'31.10 Bujuko-Buloba-24h'!K48,'2.11 Bujuko-Buloba-24HR'!K48,'4.11 Bujuko-Buloba'!K48)</f>
        <v>0.42857142857142855</v>
      </c>
      <c r="L48" s="49">
        <f>AVERAGE('29.10 Bujuko-Buloba'!L48,'30.10 Bujuko-Buloba'!L48,'1.11 Bujuko-Buloba'!L48,'3.11 Bujuko-Buloba'!L48,'31.10 Bujuko-Buloba-24h'!L48,'2.11 Bujuko-Buloba-24HR'!L48,'4.11 Bujuko-Buloba'!L48)</f>
        <v>0.8571428571428571</v>
      </c>
      <c r="M48" s="49">
        <f>AVERAGE('29.10 Bujuko-Buloba'!M48,'30.10 Bujuko-Buloba'!M48,'1.11 Bujuko-Buloba'!M48,'3.11 Bujuko-Buloba'!M48,'31.10 Bujuko-Buloba-24h'!M48,'2.11 Bujuko-Buloba-24HR'!M48,'4.11 Bujuko-Buloba'!M48)</f>
        <v>21.571428571428573</v>
      </c>
      <c r="N48" s="49">
        <f>AVERAGE('29.10 Bujuko-Buloba'!N48,'30.10 Bujuko-Buloba'!N48,'1.11 Bujuko-Buloba'!N48,'3.11 Bujuko-Buloba'!N48,'31.10 Bujuko-Buloba-24h'!N48,'2.11 Bujuko-Buloba-24HR'!N48,'4.11 Bujuko-Buloba'!N48)</f>
        <v>0</v>
      </c>
      <c r="O48" s="15">
        <f t="shared" si="0"/>
        <v>62.714285714285708</v>
      </c>
      <c r="P48" s="15">
        <f t="shared" si="1"/>
        <v>84.285714285714278</v>
      </c>
      <c r="R48" s="8"/>
      <c r="T48"/>
    </row>
    <row r="49" spans="2:20" ht="23.1" customHeight="1" x14ac:dyDescent="0.25">
      <c r="B49" s="23" t="s">
        <v>76</v>
      </c>
      <c r="C49" s="49">
        <f>AVERAGE('29.10 Bujuko-Buloba'!C49,'30.10 Bujuko-Buloba'!C49,'1.11 Bujuko-Buloba'!C49,'3.11 Bujuko-Buloba'!C49,'31.10 Bujuko-Buloba-24h'!C49,'2.11 Bujuko-Buloba-24HR'!C49,'4.11 Bujuko-Buloba'!C49)</f>
        <v>22.285714285714285</v>
      </c>
      <c r="D49" s="49">
        <f>AVERAGE('29.10 Bujuko-Buloba'!D49,'30.10 Bujuko-Buloba'!D49,'1.11 Bujuko-Buloba'!D49,'3.11 Bujuko-Buloba'!D49,'31.10 Bujuko-Buloba-24h'!D49,'2.11 Bujuko-Buloba-24HR'!D49,'4.11 Bujuko-Buloba'!D49)</f>
        <v>5.1428571428571432</v>
      </c>
      <c r="E49" s="49">
        <f>AVERAGE('29.10 Bujuko-Buloba'!E49,'30.10 Bujuko-Buloba'!E49,'1.11 Bujuko-Buloba'!E49,'3.11 Bujuko-Buloba'!E49,'31.10 Bujuko-Buloba-24h'!E49,'2.11 Bujuko-Buloba-24HR'!E49,'4.11 Bujuko-Buloba'!E49)</f>
        <v>4.2857142857142856</v>
      </c>
      <c r="F49" s="49">
        <f>AVERAGE('29.10 Bujuko-Buloba'!F49,'30.10 Bujuko-Buloba'!F49,'1.11 Bujuko-Buloba'!F49,'3.11 Bujuko-Buloba'!F49,'31.10 Bujuko-Buloba-24h'!F49,'2.11 Bujuko-Buloba-24HR'!F49,'4.11 Bujuko-Buloba'!F49)</f>
        <v>15</v>
      </c>
      <c r="G49" s="49">
        <f>AVERAGE('29.10 Bujuko-Buloba'!G49,'30.10 Bujuko-Buloba'!G49,'1.11 Bujuko-Buloba'!G49,'3.11 Bujuko-Buloba'!G49,'31.10 Bujuko-Buloba-24h'!G49,'2.11 Bujuko-Buloba-24HR'!G49,'4.11 Bujuko-Buloba'!G49)</f>
        <v>0.42857142857142855</v>
      </c>
      <c r="H49" s="49">
        <f>AVERAGE('29.10 Bujuko-Buloba'!H49,'30.10 Bujuko-Buloba'!H49,'1.11 Bujuko-Buloba'!H49,'3.11 Bujuko-Buloba'!H49,'31.10 Bujuko-Buloba-24h'!H49,'2.11 Bujuko-Buloba-24HR'!H49,'4.11 Bujuko-Buloba'!H49)</f>
        <v>1.1428571428571428</v>
      </c>
      <c r="I49" s="49">
        <f>AVERAGE('29.10 Bujuko-Buloba'!I49,'30.10 Bujuko-Buloba'!I49,'1.11 Bujuko-Buloba'!I49,'3.11 Bujuko-Buloba'!I49,'31.10 Bujuko-Buloba-24h'!I49,'2.11 Bujuko-Buloba-24HR'!I49,'4.11 Bujuko-Buloba'!I49)</f>
        <v>7.4285714285714288</v>
      </c>
      <c r="J49" s="49">
        <f>AVERAGE('29.10 Bujuko-Buloba'!J49,'30.10 Bujuko-Buloba'!J49,'1.11 Bujuko-Buloba'!J49,'3.11 Bujuko-Buloba'!J49,'31.10 Bujuko-Buloba-24h'!J49,'2.11 Bujuko-Buloba-24HR'!J49,'4.11 Bujuko-Buloba'!J49)</f>
        <v>2.4285714285714284</v>
      </c>
      <c r="K49" s="49">
        <f>AVERAGE('29.10 Bujuko-Buloba'!K49,'30.10 Bujuko-Buloba'!K49,'1.11 Bujuko-Buloba'!K49,'3.11 Bujuko-Buloba'!K49,'31.10 Bujuko-Buloba-24h'!K49,'2.11 Bujuko-Buloba-24HR'!K49,'4.11 Bujuko-Buloba'!K49)</f>
        <v>1</v>
      </c>
      <c r="L49" s="49">
        <f>AVERAGE('29.10 Bujuko-Buloba'!L49,'30.10 Bujuko-Buloba'!L49,'1.11 Bujuko-Buloba'!L49,'3.11 Bujuko-Buloba'!L49,'31.10 Bujuko-Buloba-24h'!L49,'2.11 Bujuko-Buloba-24HR'!L49,'4.11 Bujuko-Buloba'!L49)</f>
        <v>1.4285714285714286</v>
      </c>
      <c r="M49" s="49">
        <f>AVERAGE('29.10 Bujuko-Buloba'!M49,'30.10 Bujuko-Buloba'!M49,'1.11 Bujuko-Buloba'!M49,'3.11 Bujuko-Buloba'!M49,'31.10 Bujuko-Buloba-24h'!M49,'2.11 Bujuko-Buloba-24HR'!M49,'4.11 Bujuko-Buloba'!M49)</f>
        <v>15.142857142857142</v>
      </c>
      <c r="N49" s="49">
        <f>AVERAGE('29.10 Bujuko-Buloba'!N49,'30.10 Bujuko-Buloba'!N49,'1.11 Bujuko-Buloba'!N49,'3.11 Bujuko-Buloba'!N49,'31.10 Bujuko-Buloba-24h'!N49,'2.11 Bujuko-Buloba-24HR'!N49,'4.11 Bujuko-Buloba'!N49)</f>
        <v>0</v>
      </c>
      <c r="O49" s="15">
        <f t="shared" si="0"/>
        <v>60.571428571428577</v>
      </c>
      <c r="P49" s="15">
        <f t="shared" si="1"/>
        <v>75.714285714285722</v>
      </c>
      <c r="R49" s="8"/>
      <c r="T49"/>
    </row>
    <row r="50" spans="2:20" ht="23.1" customHeight="1" x14ac:dyDescent="0.25">
      <c r="B50" s="24" t="s">
        <v>77</v>
      </c>
      <c r="C50" s="49">
        <f>AVERAGE('29.10 Bujuko-Buloba'!C50,'30.10 Bujuko-Buloba'!C50,'1.11 Bujuko-Buloba'!C50,'3.11 Bujuko-Buloba'!C50,'31.10 Bujuko-Buloba-24h'!C50,'2.11 Bujuko-Buloba-24HR'!C50,'4.11 Bujuko-Buloba'!C50)</f>
        <v>23</v>
      </c>
      <c r="D50" s="49">
        <f>AVERAGE('29.10 Bujuko-Buloba'!D50,'30.10 Bujuko-Buloba'!D50,'1.11 Bujuko-Buloba'!D50,'3.11 Bujuko-Buloba'!D50,'31.10 Bujuko-Buloba-24h'!D50,'2.11 Bujuko-Buloba-24HR'!D50,'4.11 Bujuko-Buloba'!D50)</f>
        <v>8</v>
      </c>
      <c r="E50" s="49">
        <f>AVERAGE('29.10 Bujuko-Buloba'!E50,'30.10 Bujuko-Buloba'!E50,'1.11 Bujuko-Buloba'!E50,'3.11 Bujuko-Buloba'!E50,'31.10 Bujuko-Buloba-24h'!E50,'2.11 Bujuko-Buloba-24HR'!E50,'4.11 Bujuko-Buloba'!E50)</f>
        <v>5.1428571428571432</v>
      </c>
      <c r="F50" s="49">
        <f>AVERAGE('29.10 Bujuko-Buloba'!F50,'30.10 Bujuko-Buloba'!F50,'1.11 Bujuko-Buloba'!F50,'3.11 Bujuko-Buloba'!F50,'31.10 Bujuko-Buloba-24h'!F50,'2.11 Bujuko-Buloba-24HR'!F50,'4.11 Bujuko-Buloba'!F50)</f>
        <v>16.714285714285715</v>
      </c>
      <c r="G50" s="49">
        <f>AVERAGE('29.10 Bujuko-Buloba'!G50,'30.10 Bujuko-Buloba'!G50,'1.11 Bujuko-Buloba'!G50,'3.11 Bujuko-Buloba'!G50,'31.10 Bujuko-Buloba-24h'!G50,'2.11 Bujuko-Buloba-24HR'!G50,'4.11 Bujuko-Buloba'!G50)</f>
        <v>0.42857142857142855</v>
      </c>
      <c r="H50" s="49">
        <f>AVERAGE('29.10 Bujuko-Buloba'!H50,'30.10 Bujuko-Buloba'!H50,'1.11 Bujuko-Buloba'!H50,'3.11 Bujuko-Buloba'!H50,'31.10 Bujuko-Buloba-24h'!H50,'2.11 Bujuko-Buloba-24HR'!H50,'4.11 Bujuko-Buloba'!H50)</f>
        <v>0.42857142857142855</v>
      </c>
      <c r="I50" s="49">
        <f>AVERAGE('29.10 Bujuko-Buloba'!I50,'30.10 Bujuko-Buloba'!I50,'1.11 Bujuko-Buloba'!I50,'3.11 Bujuko-Buloba'!I50,'31.10 Bujuko-Buloba-24h'!I50,'2.11 Bujuko-Buloba-24HR'!I50,'4.11 Bujuko-Buloba'!I50)</f>
        <v>6.5714285714285712</v>
      </c>
      <c r="J50" s="49">
        <f>AVERAGE('29.10 Bujuko-Buloba'!J50,'30.10 Bujuko-Buloba'!J50,'1.11 Bujuko-Buloba'!J50,'3.11 Bujuko-Buloba'!J50,'31.10 Bujuko-Buloba-24h'!J50,'2.11 Bujuko-Buloba-24HR'!J50,'4.11 Bujuko-Buloba'!J50)</f>
        <v>2.1428571428571428</v>
      </c>
      <c r="K50" s="49">
        <f>AVERAGE('29.10 Bujuko-Buloba'!K50,'30.10 Bujuko-Buloba'!K50,'1.11 Bujuko-Buloba'!K50,'3.11 Bujuko-Buloba'!K50,'31.10 Bujuko-Buloba-24h'!K50,'2.11 Bujuko-Buloba-24HR'!K50,'4.11 Bujuko-Buloba'!K50)</f>
        <v>0.42857142857142855</v>
      </c>
      <c r="L50" s="49">
        <f>AVERAGE('29.10 Bujuko-Buloba'!L50,'30.10 Bujuko-Buloba'!L50,'1.11 Bujuko-Buloba'!L50,'3.11 Bujuko-Buloba'!L50,'31.10 Bujuko-Buloba-24h'!L50,'2.11 Bujuko-Buloba-24HR'!L50,'4.11 Bujuko-Buloba'!L50)</f>
        <v>1.2857142857142858</v>
      </c>
      <c r="M50" s="49">
        <f>AVERAGE('29.10 Bujuko-Buloba'!M50,'30.10 Bujuko-Buloba'!M50,'1.11 Bujuko-Buloba'!M50,'3.11 Bujuko-Buloba'!M50,'31.10 Bujuko-Buloba-24h'!M50,'2.11 Bujuko-Buloba-24HR'!M50,'4.11 Bujuko-Buloba'!M50)</f>
        <v>22.142857142857142</v>
      </c>
      <c r="N50" s="49">
        <f>AVERAGE('29.10 Bujuko-Buloba'!N50,'30.10 Bujuko-Buloba'!N50,'1.11 Bujuko-Buloba'!N50,'3.11 Bujuko-Buloba'!N50,'31.10 Bujuko-Buloba-24h'!N50,'2.11 Bujuko-Buloba-24HR'!N50,'4.11 Bujuko-Buloba'!N50)</f>
        <v>0</v>
      </c>
      <c r="O50" s="15">
        <f t="shared" si="0"/>
        <v>64.142857142857153</v>
      </c>
      <c r="P50" s="15">
        <f t="shared" si="1"/>
        <v>86.285714285714292</v>
      </c>
      <c r="R50" s="8"/>
      <c r="T50"/>
    </row>
    <row r="51" spans="2:20" ht="23.1" customHeight="1" x14ac:dyDescent="0.25">
      <c r="B51" s="24" t="s">
        <v>78</v>
      </c>
      <c r="C51" s="49">
        <f>AVERAGE('29.10 Bujuko-Buloba'!C51,'30.10 Bujuko-Buloba'!C51,'1.11 Bujuko-Buloba'!C51,'3.11 Bujuko-Buloba'!C51,'31.10 Bujuko-Buloba-24h'!C51,'2.11 Bujuko-Buloba-24HR'!C51,'4.11 Bujuko-Buloba'!C51)</f>
        <v>24.571428571428573</v>
      </c>
      <c r="D51" s="49">
        <f>AVERAGE('29.10 Bujuko-Buloba'!D51,'30.10 Bujuko-Buloba'!D51,'1.11 Bujuko-Buloba'!D51,'3.11 Bujuko-Buloba'!D51,'31.10 Bujuko-Buloba-24h'!D51,'2.11 Bujuko-Buloba-24HR'!D51,'4.11 Bujuko-Buloba'!D51)</f>
        <v>6.4285714285714288</v>
      </c>
      <c r="E51" s="49">
        <f>AVERAGE('29.10 Bujuko-Buloba'!E51,'30.10 Bujuko-Buloba'!E51,'1.11 Bujuko-Buloba'!E51,'3.11 Bujuko-Buloba'!E51,'31.10 Bujuko-Buloba-24h'!E51,'2.11 Bujuko-Buloba-24HR'!E51,'4.11 Bujuko-Buloba'!E51)</f>
        <v>5.7142857142857144</v>
      </c>
      <c r="F51" s="49">
        <f>AVERAGE('29.10 Bujuko-Buloba'!F51,'30.10 Bujuko-Buloba'!F51,'1.11 Bujuko-Buloba'!F51,'3.11 Bujuko-Buloba'!F51,'31.10 Bujuko-Buloba-24h'!F51,'2.11 Bujuko-Buloba-24HR'!F51,'4.11 Bujuko-Buloba'!F51)</f>
        <v>16.428571428571427</v>
      </c>
      <c r="G51" s="49">
        <f>AVERAGE('29.10 Bujuko-Buloba'!G51,'30.10 Bujuko-Buloba'!G51,'1.11 Bujuko-Buloba'!G51,'3.11 Bujuko-Buloba'!G51,'31.10 Bujuko-Buloba-24h'!G51,'2.11 Bujuko-Buloba-24HR'!G51,'4.11 Bujuko-Buloba'!G51)</f>
        <v>0</v>
      </c>
      <c r="H51" s="49">
        <f>AVERAGE('29.10 Bujuko-Buloba'!H51,'30.10 Bujuko-Buloba'!H51,'1.11 Bujuko-Buloba'!H51,'3.11 Bujuko-Buloba'!H51,'31.10 Bujuko-Buloba-24h'!H51,'2.11 Bujuko-Buloba-24HR'!H51,'4.11 Bujuko-Buloba'!H51)</f>
        <v>1</v>
      </c>
      <c r="I51" s="49">
        <f>AVERAGE('29.10 Bujuko-Buloba'!I51,'30.10 Bujuko-Buloba'!I51,'1.11 Bujuko-Buloba'!I51,'3.11 Bujuko-Buloba'!I51,'31.10 Bujuko-Buloba-24h'!I51,'2.11 Bujuko-Buloba-24HR'!I51,'4.11 Bujuko-Buloba'!I51)</f>
        <v>7.4285714285714288</v>
      </c>
      <c r="J51" s="49">
        <f>AVERAGE('29.10 Bujuko-Buloba'!J51,'30.10 Bujuko-Buloba'!J51,'1.11 Bujuko-Buloba'!J51,'3.11 Bujuko-Buloba'!J51,'31.10 Bujuko-Buloba-24h'!J51,'2.11 Bujuko-Buloba-24HR'!J51,'4.11 Bujuko-Buloba'!J51)</f>
        <v>2.4285714285714284</v>
      </c>
      <c r="K51" s="49">
        <f>AVERAGE('29.10 Bujuko-Buloba'!K51,'30.10 Bujuko-Buloba'!K51,'1.11 Bujuko-Buloba'!K51,'3.11 Bujuko-Buloba'!K51,'31.10 Bujuko-Buloba-24h'!K51,'2.11 Bujuko-Buloba-24HR'!K51,'4.11 Bujuko-Buloba'!K51)</f>
        <v>0.2857142857142857</v>
      </c>
      <c r="L51" s="49">
        <f>AVERAGE('29.10 Bujuko-Buloba'!L51,'30.10 Bujuko-Buloba'!L51,'1.11 Bujuko-Buloba'!L51,'3.11 Bujuko-Buloba'!L51,'31.10 Bujuko-Buloba-24h'!L51,'2.11 Bujuko-Buloba-24HR'!L51,'4.11 Bujuko-Buloba'!L51)</f>
        <v>0.8571428571428571</v>
      </c>
      <c r="M51" s="49">
        <f>AVERAGE('29.10 Bujuko-Buloba'!M51,'30.10 Bujuko-Buloba'!M51,'1.11 Bujuko-Buloba'!M51,'3.11 Bujuko-Buloba'!M51,'31.10 Bujuko-Buloba-24h'!M51,'2.11 Bujuko-Buloba-24HR'!M51,'4.11 Bujuko-Buloba'!M51)</f>
        <v>21</v>
      </c>
      <c r="N51" s="49">
        <f>AVERAGE('29.10 Bujuko-Buloba'!N51,'30.10 Bujuko-Buloba'!N51,'1.11 Bujuko-Buloba'!N51,'3.11 Bujuko-Buloba'!N51,'31.10 Bujuko-Buloba-24h'!N51,'2.11 Bujuko-Buloba-24HR'!N51,'4.11 Bujuko-Buloba'!N51)</f>
        <v>0</v>
      </c>
      <c r="O51" s="15">
        <f t="shared" si="0"/>
        <v>65.142857142857153</v>
      </c>
      <c r="P51" s="15">
        <f t="shared" si="1"/>
        <v>86.142857142857153</v>
      </c>
      <c r="R51" s="8"/>
      <c r="T51"/>
    </row>
    <row r="52" spans="2:20" ht="23.1" customHeight="1" x14ac:dyDescent="0.25">
      <c r="B52" s="24" t="s">
        <v>79</v>
      </c>
      <c r="C52" s="49">
        <f>AVERAGE('29.10 Bujuko-Buloba'!C52,'30.10 Bujuko-Buloba'!C52,'1.11 Bujuko-Buloba'!C52,'3.11 Bujuko-Buloba'!C52,'31.10 Bujuko-Buloba-24h'!C52,'2.11 Bujuko-Buloba-24HR'!C52,'4.11 Bujuko-Buloba'!C52)</f>
        <v>22.285714285714285</v>
      </c>
      <c r="D52" s="49">
        <f>AVERAGE('29.10 Bujuko-Buloba'!D52,'30.10 Bujuko-Buloba'!D52,'1.11 Bujuko-Buloba'!D52,'3.11 Bujuko-Buloba'!D52,'31.10 Bujuko-Buloba-24h'!D52,'2.11 Bujuko-Buloba-24HR'!D52,'4.11 Bujuko-Buloba'!D52)</f>
        <v>4.2857142857142856</v>
      </c>
      <c r="E52" s="49">
        <f>AVERAGE('29.10 Bujuko-Buloba'!E52,'30.10 Bujuko-Buloba'!E52,'1.11 Bujuko-Buloba'!E52,'3.11 Bujuko-Buloba'!E52,'31.10 Bujuko-Buloba-24h'!E52,'2.11 Bujuko-Buloba-24HR'!E52,'4.11 Bujuko-Buloba'!E52)</f>
        <v>3.7142857142857144</v>
      </c>
      <c r="F52" s="49">
        <f>AVERAGE('29.10 Bujuko-Buloba'!F52,'30.10 Bujuko-Buloba'!F52,'1.11 Bujuko-Buloba'!F52,'3.11 Bujuko-Buloba'!F52,'31.10 Bujuko-Buloba-24h'!F52,'2.11 Bujuko-Buloba-24HR'!F52,'4.11 Bujuko-Buloba'!F52)</f>
        <v>14</v>
      </c>
      <c r="G52" s="49">
        <f>AVERAGE('29.10 Bujuko-Buloba'!G52,'30.10 Bujuko-Buloba'!G52,'1.11 Bujuko-Buloba'!G52,'3.11 Bujuko-Buloba'!G52,'31.10 Bujuko-Buloba-24h'!G52,'2.11 Bujuko-Buloba-24HR'!G52,'4.11 Bujuko-Buloba'!G52)</f>
        <v>0</v>
      </c>
      <c r="H52" s="49">
        <f>AVERAGE('29.10 Bujuko-Buloba'!H52,'30.10 Bujuko-Buloba'!H52,'1.11 Bujuko-Buloba'!H52,'3.11 Bujuko-Buloba'!H52,'31.10 Bujuko-Buloba-24h'!H52,'2.11 Bujuko-Buloba-24HR'!H52,'4.11 Bujuko-Buloba'!H52)</f>
        <v>0.5714285714285714</v>
      </c>
      <c r="I52" s="49">
        <f>AVERAGE('29.10 Bujuko-Buloba'!I52,'30.10 Bujuko-Buloba'!I52,'1.11 Bujuko-Buloba'!I52,'3.11 Bujuko-Buloba'!I52,'31.10 Bujuko-Buloba-24h'!I52,'2.11 Bujuko-Buloba-24HR'!I52,'4.11 Bujuko-Buloba'!I52)</f>
        <v>5.8571428571428568</v>
      </c>
      <c r="J52" s="49">
        <f>AVERAGE('29.10 Bujuko-Buloba'!J52,'30.10 Bujuko-Buloba'!J52,'1.11 Bujuko-Buloba'!J52,'3.11 Bujuko-Buloba'!J52,'31.10 Bujuko-Buloba-24h'!J52,'2.11 Bujuko-Buloba-24HR'!J52,'4.11 Bujuko-Buloba'!J52)</f>
        <v>2.1428571428571428</v>
      </c>
      <c r="K52" s="49">
        <f>AVERAGE('29.10 Bujuko-Buloba'!K52,'30.10 Bujuko-Buloba'!K52,'1.11 Bujuko-Buloba'!K52,'3.11 Bujuko-Buloba'!K52,'31.10 Bujuko-Buloba-24h'!K52,'2.11 Bujuko-Buloba-24HR'!K52,'4.11 Bujuko-Buloba'!K52)</f>
        <v>0.5714285714285714</v>
      </c>
      <c r="L52" s="49">
        <f>AVERAGE('29.10 Bujuko-Buloba'!L52,'30.10 Bujuko-Buloba'!L52,'1.11 Bujuko-Buloba'!L52,'3.11 Bujuko-Buloba'!L52,'31.10 Bujuko-Buloba-24h'!L52,'2.11 Bujuko-Buloba-24HR'!L52,'4.11 Bujuko-Buloba'!L52)</f>
        <v>0.5714285714285714</v>
      </c>
      <c r="M52" s="49">
        <f>AVERAGE('29.10 Bujuko-Buloba'!M52,'30.10 Bujuko-Buloba'!M52,'1.11 Bujuko-Buloba'!M52,'3.11 Bujuko-Buloba'!M52,'31.10 Bujuko-Buloba-24h'!M52,'2.11 Bujuko-Buloba-24HR'!M52,'4.11 Bujuko-Buloba'!M52)</f>
        <v>23.428571428571427</v>
      </c>
      <c r="N52" s="49">
        <f>AVERAGE('29.10 Bujuko-Buloba'!N52,'30.10 Bujuko-Buloba'!N52,'1.11 Bujuko-Buloba'!N52,'3.11 Bujuko-Buloba'!N52,'31.10 Bujuko-Buloba-24h'!N52,'2.11 Bujuko-Buloba-24HR'!N52,'4.11 Bujuko-Buloba'!N52)</f>
        <v>0</v>
      </c>
      <c r="O52" s="15">
        <f t="shared" si="0"/>
        <v>53.999999999999993</v>
      </c>
      <c r="P52" s="15">
        <f t="shared" si="1"/>
        <v>77.428571428571416</v>
      </c>
      <c r="R52" s="8"/>
      <c r="T52"/>
    </row>
    <row r="53" spans="2:20" ht="23.1" customHeight="1" x14ac:dyDescent="0.25">
      <c r="B53" s="23" t="s">
        <v>80</v>
      </c>
      <c r="C53" s="49">
        <f>AVERAGE('29.10 Bujuko-Buloba'!C53,'30.10 Bujuko-Buloba'!C53,'1.11 Bujuko-Buloba'!C53,'3.11 Bujuko-Buloba'!C53,'31.10 Bujuko-Buloba-24h'!C53,'2.11 Bujuko-Buloba-24HR'!C53,'4.11 Bujuko-Buloba'!C53)</f>
        <v>29.428571428571427</v>
      </c>
      <c r="D53" s="49">
        <f>AVERAGE('29.10 Bujuko-Buloba'!D53,'30.10 Bujuko-Buloba'!D53,'1.11 Bujuko-Buloba'!D53,'3.11 Bujuko-Buloba'!D53,'31.10 Bujuko-Buloba-24h'!D53,'2.11 Bujuko-Buloba-24HR'!D53,'4.11 Bujuko-Buloba'!D53)</f>
        <v>7.2857142857142856</v>
      </c>
      <c r="E53" s="49">
        <f>AVERAGE('29.10 Bujuko-Buloba'!E53,'30.10 Bujuko-Buloba'!E53,'1.11 Bujuko-Buloba'!E53,'3.11 Bujuko-Buloba'!E53,'31.10 Bujuko-Buloba-24h'!E53,'2.11 Bujuko-Buloba-24HR'!E53,'4.11 Bujuko-Buloba'!E53)</f>
        <v>5.5714285714285712</v>
      </c>
      <c r="F53" s="49">
        <f>AVERAGE('29.10 Bujuko-Buloba'!F53,'30.10 Bujuko-Buloba'!F53,'1.11 Bujuko-Buloba'!F53,'3.11 Bujuko-Buloba'!F53,'31.10 Bujuko-Buloba-24h'!F53,'2.11 Bujuko-Buloba-24HR'!F53,'4.11 Bujuko-Buloba'!F53)</f>
        <v>20.142857142857142</v>
      </c>
      <c r="G53" s="49">
        <f>AVERAGE('29.10 Bujuko-Buloba'!G53,'30.10 Bujuko-Buloba'!G53,'1.11 Bujuko-Buloba'!G53,'3.11 Bujuko-Buloba'!G53,'31.10 Bujuko-Buloba-24h'!G53,'2.11 Bujuko-Buloba-24HR'!G53,'4.11 Bujuko-Buloba'!G53)</f>
        <v>1.8571428571428572</v>
      </c>
      <c r="H53" s="49">
        <f>AVERAGE('29.10 Bujuko-Buloba'!H53,'30.10 Bujuko-Buloba'!H53,'1.11 Bujuko-Buloba'!H53,'3.11 Bujuko-Buloba'!H53,'31.10 Bujuko-Buloba-24h'!H53,'2.11 Bujuko-Buloba-24HR'!H53,'4.11 Bujuko-Buloba'!H53)</f>
        <v>0.2857142857142857</v>
      </c>
      <c r="I53" s="49">
        <f>AVERAGE('29.10 Bujuko-Buloba'!I53,'30.10 Bujuko-Buloba'!I53,'1.11 Bujuko-Buloba'!I53,'3.11 Bujuko-Buloba'!I53,'31.10 Bujuko-Buloba-24h'!I53,'2.11 Bujuko-Buloba-24HR'!I53,'4.11 Bujuko-Buloba'!I53)</f>
        <v>7.1428571428571432</v>
      </c>
      <c r="J53" s="49">
        <f>AVERAGE('29.10 Bujuko-Buloba'!J53,'30.10 Bujuko-Buloba'!J53,'1.11 Bujuko-Buloba'!J53,'3.11 Bujuko-Buloba'!J53,'31.10 Bujuko-Buloba-24h'!J53,'2.11 Bujuko-Buloba-24HR'!J53,'4.11 Bujuko-Buloba'!J53)</f>
        <v>2.1428571428571428</v>
      </c>
      <c r="K53" s="49">
        <f>AVERAGE('29.10 Bujuko-Buloba'!K53,'30.10 Bujuko-Buloba'!K53,'1.11 Bujuko-Buloba'!K53,'3.11 Bujuko-Buloba'!K53,'31.10 Bujuko-Buloba-24h'!K53,'2.11 Bujuko-Buloba-24HR'!K53,'4.11 Bujuko-Buloba'!K53)</f>
        <v>1.5714285714285714</v>
      </c>
      <c r="L53" s="49">
        <f>AVERAGE('29.10 Bujuko-Buloba'!L53,'30.10 Bujuko-Buloba'!L53,'1.11 Bujuko-Buloba'!L53,'3.11 Bujuko-Buloba'!L53,'31.10 Bujuko-Buloba-24h'!L53,'2.11 Bujuko-Buloba-24HR'!L53,'4.11 Bujuko-Buloba'!L53)</f>
        <v>1.4285714285714286</v>
      </c>
      <c r="M53" s="49">
        <f>AVERAGE('29.10 Bujuko-Buloba'!M53,'30.10 Bujuko-Buloba'!M53,'1.11 Bujuko-Buloba'!M53,'3.11 Bujuko-Buloba'!M53,'31.10 Bujuko-Buloba-24h'!M53,'2.11 Bujuko-Buloba-24HR'!M53,'4.11 Bujuko-Buloba'!M53)</f>
        <v>21.857142857142858</v>
      </c>
      <c r="N53" s="49">
        <f>AVERAGE('29.10 Bujuko-Buloba'!N53,'30.10 Bujuko-Buloba'!N53,'1.11 Bujuko-Buloba'!N53,'3.11 Bujuko-Buloba'!N53,'31.10 Bujuko-Buloba-24h'!N53,'2.11 Bujuko-Buloba-24HR'!N53,'4.11 Bujuko-Buloba'!N53)</f>
        <v>0</v>
      </c>
      <c r="O53" s="15">
        <f t="shared" si="0"/>
        <v>76.857142857142861</v>
      </c>
      <c r="P53" s="15">
        <f t="shared" si="1"/>
        <v>98.714285714285722</v>
      </c>
      <c r="R53" s="8"/>
      <c r="T53"/>
    </row>
    <row r="54" spans="2:20" ht="23.1" customHeight="1" x14ac:dyDescent="0.25">
      <c r="B54" s="23" t="s">
        <v>81</v>
      </c>
      <c r="C54" s="49">
        <f>AVERAGE('29.10 Bujuko-Buloba'!C54,'30.10 Bujuko-Buloba'!C54,'1.11 Bujuko-Buloba'!C54,'3.11 Bujuko-Buloba'!C54,'31.10 Bujuko-Buloba-24h'!C54,'2.11 Bujuko-Buloba-24HR'!C54,'4.11 Bujuko-Buloba'!C54)</f>
        <v>30.285714285714285</v>
      </c>
      <c r="D54" s="49">
        <f>AVERAGE('29.10 Bujuko-Buloba'!D54,'30.10 Bujuko-Buloba'!D54,'1.11 Bujuko-Buloba'!D54,'3.11 Bujuko-Buloba'!D54,'31.10 Bujuko-Buloba-24h'!D54,'2.11 Bujuko-Buloba-24HR'!D54,'4.11 Bujuko-Buloba'!D54)</f>
        <v>7.4285714285714288</v>
      </c>
      <c r="E54" s="49">
        <f>AVERAGE('29.10 Bujuko-Buloba'!E54,'30.10 Bujuko-Buloba'!E54,'1.11 Bujuko-Buloba'!E54,'3.11 Bujuko-Buloba'!E54,'31.10 Bujuko-Buloba-24h'!E54,'2.11 Bujuko-Buloba-24HR'!E54,'4.11 Bujuko-Buloba'!E54)</f>
        <v>6.2857142857142856</v>
      </c>
      <c r="F54" s="49">
        <f>AVERAGE('29.10 Bujuko-Buloba'!F54,'30.10 Bujuko-Buloba'!F54,'1.11 Bujuko-Buloba'!F54,'3.11 Bujuko-Buloba'!F54,'31.10 Bujuko-Buloba-24h'!F54,'2.11 Bujuko-Buloba-24HR'!F54,'4.11 Bujuko-Buloba'!F54)</f>
        <v>20.571428571428573</v>
      </c>
      <c r="G54" s="49">
        <f>AVERAGE('29.10 Bujuko-Buloba'!G54,'30.10 Bujuko-Buloba'!G54,'1.11 Bujuko-Buloba'!G54,'3.11 Bujuko-Buloba'!G54,'31.10 Bujuko-Buloba-24h'!G54,'2.11 Bujuko-Buloba-24HR'!G54,'4.11 Bujuko-Buloba'!G54)</f>
        <v>1.5714285714285714</v>
      </c>
      <c r="H54" s="49">
        <f>AVERAGE('29.10 Bujuko-Buloba'!H54,'30.10 Bujuko-Buloba'!H54,'1.11 Bujuko-Buloba'!H54,'3.11 Bujuko-Buloba'!H54,'31.10 Bujuko-Buloba-24h'!H54,'2.11 Bujuko-Buloba-24HR'!H54,'4.11 Bujuko-Buloba'!H54)</f>
        <v>1</v>
      </c>
      <c r="I54" s="49">
        <f>AVERAGE('29.10 Bujuko-Buloba'!I54,'30.10 Bujuko-Buloba'!I54,'1.11 Bujuko-Buloba'!I54,'3.11 Bujuko-Buloba'!I54,'31.10 Bujuko-Buloba-24h'!I54,'2.11 Bujuko-Buloba-24HR'!I54,'4.11 Bujuko-Buloba'!I54)</f>
        <v>5.8571428571428568</v>
      </c>
      <c r="J54" s="49">
        <f>AVERAGE('29.10 Bujuko-Buloba'!J54,'30.10 Bujuko-Buloba'!J54,'1.11 Bujuko-Buloba'!J54,'3.11 Bujuko-Buloba'!J54,'31.10 Bujuko-Buloba-24h'!J54,'2.11 Bujuko-Buloba-24HR'!J54,'4.11 Bujuko-Buloba'!J54)</f>
        <v>2.8571428571428572</v>
      </c>
      <c r="K54" s="49">
        <f>AVERAGE('29.10 Bujuko-Buloba'!K54,'30.10 Bujuko-Buloba'!K54,'1.11 Bujuko-Buloba'!K54,'3.11 Bujuko-Buloba'!K54,'31.10 Bujuko-Buloba-24h'!K54,'2.11 Bujuko-Buloba-24HR'!K54,'4.11 Bujuko-Buloba'!K54)</f>
        <v>0.8571428571428571</v>
      </c>
      <c r="L54" s="49">
        <f>AVERAGE('29.10 Bujuko-Buloba'!L54,'30.10 Bujuko-Buloba'!L54,'1.11 Bujuko-Buloba'!L54,'3.11 Bujuko-Buloba'!L54,'31.10 Bujuko-Buloba-24h'!L54,'2.11 Bujuko-Buloba-24HR'!L54,'4.11 Bujuko-Buloba'!L54)</f>
        <v>1.2857142857142858</v>
      </c>
      <c r="M54" s="49">
        <f>AVERAGE('29.10 Bujuko-Buloba'!M54,'30.10 Bujuko-Buloba'!M54,'1.11 Bujuko-Buloba'!M54,'3.11 Bujuko-Buloba'!M54,'31.10 Bujuko-Buloba-24h'!M54,'2.11 Bujuko-Buloba-24HR'!M54,'4.11 Bujuko-Buloba'!M54)</f>
        <v>28.857142857142858</v>
      </c>
      <c r="N54" s="49">
        <f>AVERAGE('29.10 Bujuko-Buloba'!N54,'30.10 Bujuko-Buloba'!N54,'1.11 Bujuko-Buloba'!N54,'3.11 Bujuko-Buloba'!N54,'31.10 Bujuko-Buloba-24h'!N54,'2.11 Bujuko-Buloba-24HR'!N54,'4.11 Bujuko-Buloba'!N54)</f>
        <v>0</v>
      </c>
      <c r="O54" s="15">
        <f t="shared" si="0"/>
        <v>78.000000000000014</v>
      </c>
      <c r="P54" s="15">
        <f t="shared" si="1"/>
        <v>106.85714285714288</v>
      </c>
      <c r="R54" s="8"/>
      <c r="T54"/>
    </row>
    <row r="55" spans="2:20" ht="23.1" customHeight="1" x14ac:dyDescent="0.25">
      <c r="B55" s="23" t="s">
        <v>82</v>
      </c>
      <c r="C55" s="49">
        <f>AVERAGE('29.10 Bujuko-Buloba'!C55,'30.10 Bujuko-Buloba'!C55,'1.11 Bujuko-Buloba'!C55,'3.11 Bujuko-Buloba'!C55,'31.10 Bujuko-Buloba-24h'!C55,'2.11 Bujuko-Buloba-24HR'!C55,'4.11 Bujuko-Buloba'!C55)</f>
        <v>27</v>
      </c>
      <c r="D55" s="49">
        <f>AVERAGE('29.10 Bujuko-Buloba'!D55,'30.10 Bujuko-Buloba'!D55,'1.11 Bujuko-Buloba'!D55,'3.11 Bujuko-Buloba'!D55,'31.10 Bujuko-Buloba-24h'!D55,'2.11 Bujuko-Buloba-24HR'!D55,'4.11 Bujuko-Buloba'!D55)</f>
        <v>7.1428571428571432</v>
      </c>
      <c r="E55" s="49">
        <f>AVERAGE('29.10 Bujuko-Buloba'!E55,'30.10 Bujuko-Buloba'!E55,'1.11 Bujuko-Buloba'!E55,'3.11 Bujuko-Buloba'!E55,'31.10 Bujuko-Buloba-24h'!E55,'2.11 Bujuko-Buloba-24HR'!E55,'4.11 Bujuko-Buloba'!E55)</f>
        <v>5.8571428571428568</v>
      </c>
      <c r="F55" s="49">
        <f>AVERAGE('29.10 Bujuko-Buloba'!F55,'30.10 Bujuko-Buloba'!F55,'1.11 Bujuko-Buloba'!F55,'3.11 Bujuko-Buloba'!F55,'31.10 Bujuko-Buloba-24h'!F55,'2.11 Bujuko-Buloba-24HR'!F55,'4.11 Bujuko-Buloba'!F55)</f>
        <v>24</v>
      </c>
      <c r="G55" s="49">
        <f>AVERAGE('29.10 Bujuko-Buloba'!G55,'30.10 Bujuko-Buloba'!G55,'1.11 Bujuko-Buloba'!G55,'3.11 Bujuko-Buloba'!G55,'31.10 Bujuko-Buloba-24h'!G55,'2.11 Bujuko-Buloba-24HR'!G55,'4.11 Bujuko-Buloba'!G55)</f>
        <v>2.1428571428571428</v>
      </c>
      <c r="H55" s="49">
        <f>AVERAGE('29.10 Bujuko-Buloba'!H55,'30.10 Bujuko-Buloba'!H55,'1.11 Bujuko-Buloba'!H55,'3.11 Bujuko-Buloba'!H55,'31.10 Bujuko-Buloba-24h'!H55,'2.11 Bujuko-Buloba-24HR'!H55,'4.11 Bujuko-Buloba'!H55)</f>
        <v>0.42857142857142855</v>
      </c>
      <c r="I55" s="49">
        <f>AVERAGE('29.10 Bujuko-Buloba'!I55,'30.10 Bujuko-Buloba'!I55,'1.11 Bujuko-Buloba'!I55,'3.11 Bujuko-Buloba'!I55,'31.10 Bujuko-Buloba-24h'!I55,'2.11 Bujuko-Buloba-24HR'!I55,'4.11 Bujuko-Buloba'!I55)</f>
        <v>6.1428571428571432</v>
      </c>
      <c r="J55" s="49">
        <f>AVERAGE('29.10 Bujuko-Buloba'!J55,'30.10 Bujuko-Buloba'!J55,'1.11 Bujuko-Buloba'!J55,'3.11 Bujuko-Buloba'!J55,'31.10 Bujuko-Buloba-24h'!J55,'2.11 Bujuko-Buloba-24HR'!J55,'4.11 Bujuko-Buloba'!J55)</f>
        <v>2</v>
      </c>
      <c r="K55" s="49">
        <f>AVERAGE('29.10 Bujuko-Buloba'!K55,'30.10 Bujuko-Buloba'!K55,'1.11 Bujuko-Buloba'!K55,'3.11 Bujuko-Buloba'!K55,'31.10 Bujuko-Buloba-24h'!K55,'2.11 Bujuko-Buloba-24HR'!K55,'4.11 Bujuko-Buloba'!K55)</f>
        <v>0.7142857142857143</v>
      </c>
      <c r="L55" s="49">
        <f>AVERAGE('29.10 Bujuko-Buloba'!L55,'30.10 Bujuko-Buloba'!L55,'1.11 Bujuko-Buloba'!L55,'3.11 Bujuko-Buloba'!L55,'31.10 Bujuko-Buloba-24h'!L55,'2.11 Bujuko-Buloba-24HR'!L55,'4.11 Bujuko-Buloba'!L55)</f>
        <v>0.8571428571428571</v>
      </c>
      <c r="M55" s="49">
        <f>AVERAGE('29.10 Bujuko-Buloba'!M55,'30.10 Bujuko-Buloba'!M55,'1.11 Bujuko-Buloba'!M55,'3.11 Bujuko-Buloba'!M55,'31.10 Bujuko-Buloba-24h'!M55,'2.11 Bujuko-Buloba-24HR'!M55,'4.11 Bujuko-Buloba'!M55)</f>
        <v>24.571428571428573</v>
      </c>
      <c r="N55" s="49">
        <f>AVERAGE('29.10 Bujuko-Buloba'!N55,'30.10 Bujuko-Buloba'!N55,'1.11 Bujuko-Buloba'!N55,'3.11 Bujuko-Buloba'!N55,'31.10 Bujuko-Buloba-24h'!N55,'2.11 Bujuko-Buloba-24HR'!N55,'4.11 Bujuko-Buloba'!N55)</f>
        <v>0</v>
      </c>
      <c r="O55" s="15">
        <f t="shared" si="0"/>
        <v>76.285714285714278</v>
      </c>
      <c r="P55" s="15">
        <f t="shared" si="1"/>
        <v>100.85714285714285</v>
      </c>
      <c r="R55" s="8"/>
      <c r="T55"/>
    </row>
    <row r="56" spans="2:20" ht="23.1" customHeight="1" x14ac:dyDescent="0.25">
      <c r="B56" s="23" t="s">
        <v>83</v>
      </c>
      <c r="C56" s="49">
        <f>AVERAGE('29.10 Bujuko-Buloba'!C56,'30.10 Bujuko-Buloba'!C56,'1.11 Bujuko-Buloba'!C56,'3.11 Bujuko-Buloba'!C56,'31.10 Bujuko-Buloba-24h'!C56,'2.11 Bujuko-Buloba-24HR'!C56,'4.11 Bujuko-Buloba'!C56)</f>
        <v>29.428571428571427</v>
      </c>
      <c r="D56" s="49">
        <f>AVERAGE('29.10 Bujuko-Buloba'!D56,'30.10 Bujuko-Buloba'!D56,'1.11 Bujuko-Buloba'!D56,'3.11 Bujuko-Buloba'!D56,'31.10 Bujuko-Buloba-24h'!D56,'2.11 Bujuko-Buloba-24HR'!D56,'4.11 Bujuko-Buloba'!D56)</f>
        <v>5.8571428571428568</v>
      </c>
      <c r="E56" s="49">
        <f>AVERAGE('29.10 Bujuko-Buloba'!E56,'30.10 Bujuko-Buloba'!E56,'1.11 Bujuko-Buloba'!E56,'3.11 Bujuko-Buloba'!E56,'31.10 Bujuko-Buloba-24h'!E56,'2.11 Bujuko-Buloba-24HR'!E56,'4.11 Bujuko-Buloba'!E56)</f>
        <v>4.8571428571428568</v>
      </c>
      <c r="F56" s="49">
        <f>AVERAGE('29.10 Bujuko-Buloba'!F56,'30.10 Bujuko-Buloba'!F56,'1.11 Bujuko-Buloba'!F56,'3.11 Bujuko-Buloba'!F56,'31.10 Bujuko-Buloba-24h'!F56,'2.11 Bujuko-Buloba-24HR'!F56,'4.11 Bujuko-Buloba'!F56)</f>
        <v>18.285714285714285</v>
      </c>
      <c r="G56" s="49">
        <f>AVERAGE('29.10 Bujuko-Buloba'!G56,'30.10 Bujuko-Buloba'!G56,'1.11 Bujuko-Buloba'!G56,'3.11 Bujuko-Buloba'!G56,'31.10 Bujuko-Buloba-24h'!G56,'2.11 Bujuko-Buloba-24HR'!G56,'4.11 Bujuko-Buloba'!G56)</f>
        <v>1.8571428571428572</v>
      </c>
      <c r="H56" s="49">
        <f>AVERAGE('29.10 Bujuko-Buloba'!H56,'30.10 Bujuko-Buloba'!H56,'1.11 Bujuko-Buloba'!H56,'3.11 Bujuko-Buloba'!H56,'31.10 Bujuko-Buloba-24h'!H56,'2.11 Bujuko-Buloba-24HR'!H56,'4.11 Bujuko-Buloba'!H56)</f>
        <v>0.5714285714285714</v>
      </c>
      <c r="I56" s="49">
        <f>AVERAGE('29.10 Bujuko-Buloba'!I56,'30.10 Bujuko-Buloba'!I56,'1.11 Bujuko-Buloba'!I56,'3.11 Bujuko-Buloba'!I56,'31.10 Bujuko-Buloba-24h'!I56,'2.11 Bujuko-Buloba-24HR'!I56,'4.11 Bujuko-Buloba'!I56)</f>
        <v>7.2857142857142856</v>
      </c>
      <c r="J56" s="49">
        <f>AVERAGE('29.10 Bujuko-Buloba'!J56,'30.10 Bujuko-Buloba'!J56,'1.11 Bujuko-Buloba'!J56,'3.11 Bujuko-Buloba'!J56,'31.10 Bujuko-Buloba-24h'!J56,'2.11 Bujuko-Buloba-24HR'!J56,'4.11 Bujuko-Buloba'!J56)</f>
        <v>2.2857142857142856</v>
      </c>
      <c r="K56" s="49">
        <f>AVERAGE('29.10 Bujuko-Buloba'!K56,'30.10 Bujuko-Buloba'!K56,'1.11 Bujuko-Buloba'!K56,'3.11 Bujuko-Buloba'!K56,'31.10 Bujuko-Buloba-24h'!K56,'2.11 Bujuko-Buloba-24HR'!K56,'4.11 Bujuko-Buloba'!K56)</f>
        <v>1.1428571428571428</v>
      </c>
      <c r="L56" s="49">
        <f>AVERAGE('29.10 Bujuko-Buloba'!L56,'30.10 Bujuko-Buloba'!L56,'1.11 Bujuko-Buloba'!L56,'3.11 Bujuko-Buloba'!L56,'31.10 Bujuko-Buloba-24h'!L56,'2.11 Bujuko-Buloba-24HR'!L56,'4.11 Bujuko-Buloba'!L56)</f>
        <v>1.5714285714285714</v>
      </c>
      <c r="M56" s="49">
        <f>AVERAGE('29.10 Bujuko-Buloba'!M56,'30.10 Bujuko-Buloba'!M56,'1.11 Bujuko-Buloba'!M56,'3.11 Bujuko-Buloba'!M56,'31.10 Bujuko-Buloba-24h'!M56,'2.11 Bujuko-Buloba-24HR'!M56,'4.11 Bujuko-Buloba'!M56)</f>
        <v>22.714285714285715</v>
      </c>
      <c r="N56" s="49">
        <f>AVERAGE('29.10 Bujuko-Buloba'!N56,'30.10 Bujuko-Buloba'!N56,'1.11 Bujuko-Buloba'!N56,'3.11 Bujuko-Buloba'!N56,'31.10 Bujuko-Buloba-24h'!N56,'2.11 Bujuko-Buloba-24HR'!N56,'4.11 Bujuko-Buloba'!N56)</f>
        <v>0</v>
      </c>
      <c r="O56" s="15">
        <f t="shared" si="0"/>
        <v>73.142857142857139</v>
      </c>
      <c r="P56" s="15">
        <f t="shared" si="1"/>
        <v>95.857142857142861</v>
      </c>
      <c r="R56" s="8"/>
      <c r="T56"/>
    </row>
    <row r="57" spans="2:20" ht="23.1" customHeight="1" x14ac:dyDescent="0.25">
      <c r="B57" s="23" t="s">
        <v>84</v>
      </c>
      <c r="C57" s="49">
        <f>AVERAGE('29.10 Bujuko-Buloba'!C57,'30.10 Bujuko-Buloba'!C57,'1.11 Bujuko-Buloba'!C57,'3.11 Bujuko-Buloba'!C57,'31.10 Bujuko-Buloba-24h'!C57,'2.11 Bujuko-Buloba-24HR'!C57,'4.11 Bujuko-Buloba'!C57)</f>
        <v>36.142857142857146</v>
      </c>
      <c r="D57" s="49">
        <f>AVERAGE('29.10 Bujuko-Buloba'!D57,'30.10 Bujuko-Buloba'!D57,'1.11 Bujuko-Buloba'!D57,'3.11 Bujuko-Buloba'!D57,'31.10 Bujuko-Buloba-24h'!D57,'2.11 Bujuko-Buloba-24HR'!D57,'4.11 Bujuko-Buloba'!D57)</f>
        <v>7.1428571428571432</v>
      </c>
      <c r="E57" s="49">
        <f>AVERAGE('29.10 Bujuko-Buloba'!E57,'30.10 Bujuko-Buloba'!E57,'1.11 Bujuko-Buloba'!E57,'3.11 Bujuko-Buloba'!E57,'31.10 Bujuko-Buloba-24h'!E57,'2.11 Bujuko-Buloba-24HR'!E57,'4.11 Bujuko-Buloba'!E57)</f>
        <v>6.2857142857142856</v>
      </c>
      <c r="F57" s="49">
        <f>AVERAGE('29.10 Bujuko-Buloba'!F57,'30.10 Bujuko-Buloba'!F57,'1.11 Bujuko-Buloba'!F57,'3.11 Bujuko-Buloba'!F57,'31.10 Bujuko-Buloba-24h'!F57,'2.11 Bujuko-Buloba-24HR'!F57,'4.11 Bujuko-Buloba'!F57)</f>
        <v>23.571428571428573</v>
      </c>
      <c r="G57" s="49">
        <f>AVERAGE('29.10 Bujuko-Buloba'!G57,'30.10 Bujuko-Buloba'!G57,'1.11 Bujuko-Buloba'!G57,'3.11 Bujuko-Buloba'!G57,'31.10 Bujuko-Buloba-24h'!G57,'2.11 Bujuko-Buloba-24HR'!G57,'4.11 Bujuko-Buloba'!G57)</f>
        <v>1.1428571428571428</v>
      </c>
      <c r="H57" s="49">
        <f>AVERAGE('29.10 Bujuko-Buloba'!H57,'30.10 Bujuko-Buloba'!H57,'1.11 Bujuko-Buloba'!H57,'3.11 Bujuko-Buloba'!H57,'31.10 Bujuko-Buloba-24h'!H57,'2.11 Bujuko-Buloba-24HR'!H57,'4.11 Bujuko-Buloba'!H57)</f>
        <v>0.5714285714285714</v>
      </c>
      <c r="I57" s="49">
        <f>AVERAGE('29.10 Bujuko-Buloba'!I57,'30.10 Bujuko-Buloba'!I57,'1.11 Bujuko-Buloba'!I57,'3.11 Bujuko-Buloba'!I57,'31.10 Bujuko-Buloba-24h'!I57,'2.11 Bujuko-Buloba-24HR'!I57,'4.11 Bujuko-Buloba'!I57)</f>
        <v>7.1428571428571432</v>
      </c>
      <c r="J57" s="49">
        <f>AVERAGE('29.10 Bujuko-Buloba'!J57,'30.10 Bujuko-Buloba'!J57,'1.11 Bujuko-Buloba'!J57,'3.11 Bujuko-Buloba'!J57,'31.10 Bujuko-Buloba-24h'!J57,'2.11 Bujuko-Buloba-24HR'!J57,'4.11 Bujuko-Buloba'!J57)</f>
        <v>3.7142857142857144</v>
      </c>
      <c r="K57" s="49">
        <f>AVERAGE('29.10 Bujuko-Buloba'!K57,'30.10 Bujuko-Buloba'!K57,'1.11 Bujuko-Buloba'!K57,'3.11 Bujuko-Buloba'!K57,'31.10 Bujuko-Buloba-24h'!K57,'2.11 Bujuko-Buloba-24HR'!K57,'4.11 Bujuko-Buloba'!K57)</f>
        <v>0.5714285714285714</v>
      </c>
      <c r="L57" s="49">
        <f>AVERAGE('29.10 Bujuko-Buloba'!L57,'30.10 Bujuko-Buloba'!L57,'1.11 Bujuko-Buloba'!L57,'3.11 Bujuko-Buloba'!L57,'31.10 Bujuko-Buloba-24h'!L57,'2.11 Bujuko-Buloba-24HR'!L57,'4.11 Bujuko-Buloba'!L57)</f>
        <v>1.4285714285714286</v>
      </c>
      <c r="M57" s="49">
        <f>AVERAGE('29.10 Bujuko-Buloba'!M57,'30.10 Bujuko-Buloba'!M57,'1.11 Bujuko-Buloba'!M57,'3.11 Bujuko-Buloba'!M57,'31.10 Bujuko-Buloba-24h'!M57,'2.11 Bujuko-Buloba-24HR'!M57,'4.11 Bujuko-Buloba'!M57)</f>
        <v>26</v>
      </c>
      <c r="N57" s="49">
        <f>AVERAGE('29.10 Bujuko-Buloba'!N57,'30.10 Bujuko-Buloba'!N57,'1.11 Bujuko-Buloba'!N57,'3.11 Bujuko-Buloba'!N57,'31.10 Bujuko-Buloba-24h'!N57,'2.11 Bujuko-Buloba-24HR'!N57,'4.11 Bujuko-Buloba'!N57)</f>
        <v>0</v>
      </c>
      <c r="O57" s="15">
        <f t="shared" si="0"/>
        <v>87.714285714285708</v>
      </c>
      <c r="P57" s="15">
        <f t="shared" si="1"/>
        <v>113.71428571428571</v>
      </c>
      <c r="R57" s="8"/>
      <c r="T57"/>
    </row>
    <row r="58" spans="2:20" ht="23.1" customHeight="1" x14ac:dyDescent="0.25">
      <c r="B58" s="23" t="s">
        <v>99</v>
      </c>
      <c r="C58" s="49">
        <f>AVERAGE('31.10 Bujuko-Buloba-24h'!C58,'2.11 Bujuko-Buloba-24HR'!C58)</f>
        <v>32</v>
      </c>
      <c r="D58" s="49">
        <f>AVERAGE('31.10 Bujuko-Buloba-24h'!D58,'2.11 Bujuko-Buloba-24HR'!D58)</f>
        <v>7</v>
      </c>
      <c r="E58" s="49">
        <f>AVERAGE('31.10 Bujuko-Buloba-24h'!E58,'2.11 Bujuko-Buloba-24HR'!E58)</f>
        <v>10</v>
      </c>
      <c r="F58" s="49">
        <f>AVERAGE('31.10 Bujuko-Buloba-24h'!F58,'2.11 Bujuko-Buloba-24HR'!F58)</f>
        <v>18</v>
      </c>
      <c r="G58" s="49">
        <f>AVERAGE('31.10 Bujuko-Buloba-24h'!G58,'2.11 Bujuko-Buloba-24HR'!G58)</f>
        <v>0.5</v>
      </c>
      <c r="H58" s="49">
        <f>AVERAGE('31.10 Bujuko-Buloba-24h'!H58,'2.11 Bujuko-Buloba-24HR'!H58)</f>
        <v>0</v>
      </c>
      <c r="I58" s="49">
        <f>AVERAGE('31.10 Bujuko-Buloba-24h'!I58,'2.11 Bujuko-Buloba-24HR'!I58)</f>
        <v>7</v>
      </c>
      <c r="J58" s="49">
        <f>AVERAGE('31.10 Bujuko-Buloba-24h'!J58,'2.11 Bujuko-Buloba-24HR'!J58)</f>
        <v>6</v>
      </c>
      <c r="K58" s="49">
        <f>AVERAGE('31.10 Bujuko-Buloba-24h'!K58,'2.11 Bujuko-Buloba-24HR'!K58)</f>
        <v>2</v>
      </c>
      <c r="L58" s="49">
        <f>AVERAGE('31.10 Bujuko-Buloba-24h'!L58,'2.11 Bujuko-Buloba-24HR'!L58)</f>
        <v>2.5</v>
      </c>
      <c r="M58" s="49">
        <f>AVERAGE('31.10 Bujuko-Buloba-24h'!M58,'2.11 Bujuko-Buloba-24HR'!M58)</f>
        <v>20.5</v>
      </c>
      <c r="N58" s="49">
        <f>AVERAGE('31.10 Bujuko-Buloba-24h'!N58,'2.11 Bujuko-Buloba-24HR'!N58)</f>
        <v>0</v>
      </c>
      <c r="O58" s="15">
        <f t="shared" si="0"/>
        <v>85</v>
      </c>
      <c r="P58" s="15">
        <f t="shared" si="1"/>
        <v>105.5</v>
      </c>
      <c r="R58" s="8"/>
      <c r="T58"/>
    </row>
    <row r="59" spans="2:20" ht="23.1" customHeight="1" x14ac:dyDescent="0.25">
      <c r="B59" s="23" t="s">
        <v>100</v>
      </c>
      <c r="C59" s="49">
        <f>AVERAGE('31.10 Bujuko-Buloba-24h'!C59,'2.11 Bujuko-Buloba-24HR'!C59)</f>
        <v>31</v>
      </c>
      <c r="D59" s="49">
        <f>AVERAGE('31.10 Bujuko-Buloba-24h'!D59,'2.11 Bujuko-Buloba-24HR'!D59)</f>
        <v>8</v>
      </c>
      <c r="E59" s="49">
        <f>AVERAGE('31.10 Bujuko-Buloba-24h'!E59,'2.11 Bujuko-Buloba-24HR'!E59)</f>
        <v>6.5</v>
      </c>
      <c r="F59" s="49">
        <f>AVERAGE('31.10 Bujuko-Buloba-24h'!F59,'2.11 Bujuko-Buloba-24HR'!F59)</f>
        <v>21.5</v>
      </c>
      <c r="G59" s="49">
        <f>AVERAGE('31.10 Bujuko-Buloba-24h'!G59,'2.11 Bujuko-Buloba-24HR'!G59)</f>
        <v>0</v>
      </c>
      <c r="H59" s="49">
        <f>AVERAGE('31.10 Bujuko-Buloba-24h'!H59,'2.11 Bujuko-Buloba-24HR'!H59)</f>
        <v>0.5</v>
      </c>
      <c r="I59" s="49">
        <f>AVERAGE('31.10 Bujuko-Buloba-24h'!I59,'2.11 Bujuko-Buloba-24HR'!I59)</f>
        <v>11</v>
      </c>
      <c r="J59" s="49">
        <f>AVERAGE('31.10 Bujuko-Buloba-24h'!J59,'2.11 Bujuko-Buloba-24HR'!J59)</f>
        <v>4.5</v>
      </c>
      <c r="K59" s="49">
        <f>AVERAGE('31.10 Bujuko-Buloba-24h'!K59,'2.11 Bujuko-Buloba-24HR'!K59)</f>
        <v>0</v>
      </c>
      <c r="L59" s="49">
        <f>AVERAGE('31.10 Bujuko-Buloba-24h'!L59,'2.11 Bujuko-Buloba-24HR'!L59)</f>
        <v>2</v>
      </c>
      <c r="M59" s="49">
        <f>AVERAGE('31.10 Bujuko-Buloba-24h'!M59,'2.11 Bujuko-Buloba-24HR'!M59)</f>
        <v>33.5</v>
      </c>
      <c r="N59" s="49">
        <f>AVERAGE('31.10 Bujuko-Buloba-24h'!N59,'2.11 Bujuko-Buloba-24HR'!N59)</f>
        <v>0</v>
      </c>
      <c r="O59" s="15">
        <f t="shared" si="0"/>
        <v>85</v>
      </c>
      <c r="P59" s="15">
        <f t="shared" si="1"/>
        <v>118.5</v>
      </c>
      <c r="R59" s="8"/>
      <c r="T59"/>
    </row>
    <row r="60" spans="2:20" ht="23.1" customHeight="1" x14ac:dyDescent="0.25">
      <c r="B60" s="23" t="s">
        <v>101</v>
      </c>
      <c r="C60" s="49">
        <f>AVERAGE('31.10 Bujuko-Buloba-24h'!C60,'2.11 Bujuko-Buloba-24HR'!C60)</f>
        <v>31.5</v>
      </c>
      <c r="D60" s="49">
        <f>AVERAGE('31.10 Bujuko-Buloba-24h'!D60,'2.11 Bujuko-Buloba-24HR'!D60)</f>
        <v>12</v>
      </c>
      <c r="E60" s="49">
        <f>AVERAGE('31.10 Bujuko-Buloba-24h'!E60,'2.11 Bujuko-Buloba-24HR'!E60)</f>
        <v>4.5</v>
      </c>
      <c r="F60" s="49">
        <f>AVERAGE('31.10 Bujuko-Buloba-24h'!F60,'2.11 Bujuko-Buloba-24HR'!F60)</f>
        <v>24</v>
      </c>
      <c r="G60" s="49">
        <f>AVERAGE('31.10 Bujuko-Buloba-24h'!G60,'2.11 Bujuko-Buloba-24HR'!G60)</f>
        <v>0.5</v>
      </c>
      <c r="H60" s="49">
        <f>AVERAGE('31.10 Bujuko-Buloba-24h'!H60,'2.11 Bujuko-Buloba-24HR'!H60)</f>
        <v>0</v>
      </c>
      <c r="I60" s="49">
        <f>AVERAGE('31.10 Bujuko-Buloba-24h'!I60,'2.11 Bujuko-Buloba-24HR'!I60)</f>
        <v>7</v>
      </c>
      <c r="J60" s="49">
        <f>AVERAGE('31.10 Bujuko-Buloba-24h'!J60,'2.11 Bujuko-Buloba-24HR'!J60)</f>
        <v>5.5</v>
      </c>
      <c r="K60" s="49">
        <f>AVERAGE('31.10 Bujuko-Buloba-24h'!K60,'2.11 Bujuko-Buloba-24HR'!K60)</f>
        <v>3</v>
      </c>
      <c r="L60" s="49">
        <f>AVERAGE('31.10 Bujuko-Buloba-24h'!L60,'2.11 Bujuko-Buloba-24HR'!L60)</f>
        <v>0.5</v>
      </c>
      <c r="M60" s="49">
        <f>AVERAGE('31.10 Bujuko-Buloba-24h'!M60,'2.11 Bujuko-Buloba-24HR'!M60)</f>
        <v>26</v>
      </c>
      <c r="N60" s="49">
        <f>AVERAGE('31.10 Bujuko-Buloba-24h'!N60,'2.11 Bujuko-Buloba-24HR'!N60)</f>
        <v>0</v>
      </c>
      <c r="O60" s="15">
        <f t="shared" si="0"/>
        <v>88.5</v>
      </c>
      <c r="P60" s="15">
        <f t="shared" si="1"/>
        <v>114.5</v>
      </c>
      <c r="R60" s="8"/>
      <c r="T60"/>
    </row>
    <row r="61" spans="2:20" ht="23.1" customHeight="1" x14ac:dyDescent="0.25">
      <c r="B61" s="23" t="s">
        <v>102</v>
      </c>
      <c r="C61" s="49">
        <f>AVERAGE('31.10 Bujuko-Buloba-24h'!C61,'2.11 Bujuko-Buloba-24HR'!C61)</f>
        <v>28</v>
      </c>
      <c r="D61" s="49">
        <f>AVERAGE('31.10 Bujuko-Buloba-24h'!D61,'2.11 Bujuko-Buloba-24HR'!D61)</f>
        <v>2.5</v>
      </c>
      <c r="E61" s="49">
        <f>AVERAGE('31.10 Bujuko-Buloba-24h'!E61,'2.11 Bujuko-Buloba-24HR'!E61)</f>
        <v>5</v>
      </c>
      <c r="F61" s="49">
        <f>AVERAGE('31.10 Bujuko-Buloba-24h'!F61,'2.11 Bujuko-Buloba-24HR'!F61)</f>
        <v>19.5</v>
      </c>
      <c r="G61" s="49">
        <f>AVERAGE('31.10 Bujuko-Buloba-24h'!G61,'2.11 Bujuko-Buloba-24HR'!G61)</f>
        <v>0</v>
      </c>
      <c r="H61" s="49">
        <f>AVERAGE('31.10 Bujuko-Buloba-24h'!H61,'2.11 Bujuko-Buloba-24HR'!H61)</f>
        <v>1</v>
      </c>
      <c r="I61" s="49">
        <f>AVERAGE('31.10 Bujuko-Buloba-24h'!I61,'2.11 Bujuko-Buloba-24HR'!I61)</f>
        <v>6.5</v>
      </c>
      <c r="J61" s="49">
        <f>AVERAGE('31.10 Bujuko-Buloba-24h'!J61,'2.11 Bujuko-Buloba-24HR'!J61)</f>
        <v>2.5</v>
      </c>
      <c r="K61" s="49">
        <f>AVERAGE('31.10 Bujuko-Buloba-24h'!K61,'2.11 Bujuko-Buloba-24HR'!K61)</f>
        <v>1</v>
      </c>
      <c r="L61" s="49">
        <f>AVERAGE('31.10 Bujuko-Buloba-24h'!L61,'2.11 Bujuko-Buloba-24HR'!L61)</f>
        <v>0</v>
      </c>
      <c r="M61" s="49">
        <f>AVERAGE('31.10 Bujuko-Buloba-24h'!M61,'2.11 Bujuko-Buloba-24HR'!M61)</f>
        <v>20.5</v>
      </c>
      <c r="N61" s="49">
        <f>AVERAGE('31.10 Bujuko-Buloba-24h'!N61,'2.11 Bujuko-Buloba-24HR'!N61)</f>
        <v>0</v>
      </c>
      <c r="O61" s="15">
        <f t="shared" si="0"/>
        <v>66</v>
      </c>
      <c r="P61" s="15">
        <f t="shared" si="1"/>
        <v>86.5</v>
      </c>
      <c r="R61" s="8"/>
      <c r="T61"/>
    </row>
    <row r="62" spans="2:20" ht="23.1" customHeight="1" x14ac:dyDescent="0.25">
      <c r="B62" s="23" t="s">
        <v>107</v>
      </c>
      <c r="C62" s="49">
        <f>AVERAGE('31.10 Bujuko-Buloba-24h'!C62,'2.11 Bujuko-Buloba-24HR'!C62)</f>
        <v>12</v>
      </c>
      <c r="D62" s="49">
        <f>AVERAGE('31.10 Bujuko-Buloba-24h'!D62,'2.11 Bujuko-Buloba-24HR'!D62)</f>
        <v>5</v>
      </c>
      <c r="E62" s="49">
        <f>AVERAGE('31.10 Bujuko-Buloba-24h'!E62,'2.11 Bujuko-Buloba-24HR'!E62)</f>
        <v>4.5</v>
      </c>
      <c r="F62" s="49">
        <f>AVERAGE('31.10 Bujuko-Buloba-24h'!F62,'2.11 Bujuko-Buloba-24HR'!F62)</f>
        <v>9.5</v>
      </c>
      <c r="G62" s="49">
        <f>AVERAGE('31.10 Bujuko-Buloba-24h'!G62,'2.11 Bujuko-Buloba-24HR'!G62)</f>
        <v>1</v>
      </c>
      <c r="H62" s="49">
        <f>AVERAGE('31.10 Bujuko-Buloba-24h'!H62,'2.11 Bujuko-Buloba-24HR'!H62)</f>
        <v>0</v>
      </c>
      <c r="I62" s="49">
        <f>AVERAGE('31.10 Bujuko-Buloba-24h'!I62,'2.11 Bujuko-Buloba-24HR'!I62)</f>
        <v>7.5</v>
      </c>
      <c r="J62" s="49">
        <f>AVERAGE('31.10 Bujuko-Buloba-24h'!J62,'2.11 Bujuko-Buloba-24HR'!J62)</f>
        <v>2</v>
      </c>
      <c r="K62" s="49">
        <f>AVERAGE('31.10 Bujuko-Buloba-24h'!K62,'2.11 Bujuko-Buloba-24HR'!K62)</f>
        <v>1</v>
      </c>
      <c r="L62" s="49">
        <f>AVERAGE('31.10 Bujuko-Buloba-24h'!L62,'2.11 Bujuko-Buloba-24HR'!L62)</f>
        <v>1.5</v>
      </c>
      <c r="M62" s="49">
        <f>AVERAGE('31.10 Bujuko-Buloba-24h'!M62,'2.11 Bujuko-Buloba-24HR'!M62)</f>
        <v>18</v>
      </c>
      <c r="N62" s="49">
        <f>AVERAGE('31.10 Bujuko-Buloba-24h'!N62,'2.11 Bujuko-Buloba-24HR'!N62)</f>
        <v>0</v>
      </c>
      <c r="O62" s="15">
        <f t="shared" si="0"/>
        <v>44</v>
      </c>
      <c r="P62" s="15">
        <f t="shared" si="1"/>
        <v>62</v>
      </c>
      <c r="R62" s="8"/>
      <c r="T62"/>
    </row>
    <row r="63" spans="2:20" ht="23.1" customHeight="1" x14ac:dyDescent="0.25">
      <c r="B63" s="23" t="s">
        <v>108</v>
      </c>
      <c r="C63" s="49">
        <f>AVERAGE('31.10 Bujuko-Buloba-24h'!C63,'2.11 Bujuko-Buloba-24HR'!C63)</f>
        <v>17</v>
      </c>
      <c r="D63" s="49">
        <f>AVERAGE('31.10 Bujuko-Buloba-24h'!D63,'2.11 Bujuko-Buloba-24HR'!D63)</f>
        <v>4</v>
      </c>
      <c r="E63" s="49">
        <f>AVERAGE('31.10 Bujuko-Buloba-24h'!E63,'2.11 Bujuko-Buloba-24HR'!E63)</f>
        <v>4</v>
      </c>
      <c r="F63" s="49">
        <f>AVERAGE('31.10 Bujuko-Buloba-24h'!F63,'2.11 Bujuko-Buloba-24HR'!F63)</f>
        <v>11.5</v>
      </c>
      <c r="G63" s="49">
        <f>AVERAGE('31.10 Bujuko-Buloba-24h'!G63,'2.11 Bujuko-Buloba-24HR'!G63)</f>
        <v>1.5</v>
      </c>
      <c r="H63" s="49">
        <f>AVERAGE('31.10 Bujuko-Buloba-24h'!H63,'2.11 Bujuko-Buloba-24HR'!H63)</f>
        <v>1.5</v>
      </c>
      <c r="I63" s="49">
        <f>AVERAGE('31.10 Bujuko-Buloba-24h'!I63,'2.11 Bujuko-Buloba-24HR'!I63)</f>
        <v>7</v>
      </c>
      <c r="J63" s="49">
        <f>AVERAGE('31.10 Bujuko-Buloba-24h'!J63,'2.11 Bujuko-Buloba-24HR'!J63)</f>
        <v>2</v>
      </c>
      <c r="K63" s="49">
        <f>AVERAGE('31.10 Bujuko-Buloba-24h'!K63,'2.11 Bujuko-Buloba-24HR'!K63)</f>
        <v>1.5</v>
      </c>
      <c r="L63" s="49">
        <f>AVERAGE('31.10 Bujuko-Buloba-24h'!L63,'2.11 Bujuko-Buloba-24HR'!L63)</f>
        <v>1</v>
      </c>
      <c r="M63" s="49">
        <f>AVERAGE('31.10 Bujuko-Buloba-24h'!M63,'2.11 Bujuko-Buloba-24HR'!M63)</f>
        <v>16.5</v>
      </c>
      <c r="N63" s="49">
        <f>AVERAGE('31.10 Bujuko-Buloba-24h'!N63,'2.11 Bujuko-Buloba-24HR'!N63)</f>
        <v>0</v>
      </c>
      <c r="O63" s="15">
        <f t="shared" si="0"/>
        <v>51</v>
      </c>
      <c r="P63" s="15">
        <f t="shared" si="1"/>
        <v>67.5</v>
      </c>
      <c r="R63" s="8"/>
      <c r="T63"/>
    </row>
    <row r="64" spans="2:20" ht="23.1" customHeight="1" x14ac:dyDescent="0.25">
      <c r="B64" s="23" t="s">
        <v>109</v>
      </c>
      <c r="C64" s="49">
        <f>AVERAGE('31.10 Bujuko-Buloba-24h'!C64,'2.11 Bujuko-Buloba-24HR'!C64)</f>
        <v>30</v>
      </c>
      <c r="D64" s="49">
        <f>AVERAGE('31.10 Bujuko-Buloba-24h'!D64,'2.11 Bujuko-Buloba-24HR'!D64)</f>
        <v>2</v>
      </c>
      <c r="E64" s="49">
        <f>AVERAGE('31.10 Bujuko-Buloba-24h'!E64,'2.11 Bujuko-Buloba-24HR'!E64)</f>
        <v>2</v>
      </c>
      <c r="F64" s="49">
        <f>AVERAGE('31.10 Bujuko-Buloba-24h'!F64,'2.11 Bujuko-Buloba-24HR'!F64)</f>
        <v>13.5</v>
      </c>
      <c r="G64" s="49">
        <f>AVERAGE('31.10 Bujuko-Buloba-24h'!G64,'2.11 Bujuko-Buloba-24HR'!G64)</f>
        <v>0</v>
      </c>
      <c r="H64" s="49">
        <f>AVERAGE('31.10 Bujuko-Buloba-24h'!H64,'2.11 Bujuko-Buloba-24HR'!H64)</f>
        <v>0</v>
      </c>
      <c r="I64" s="49">
        <f>AVERAGE('31.10 Bujuko-Buloba-24h'!I64,'2.11 Bujuko-Buloba-24HR'!I64)</f>
        <v>6.5</v>
      </c>
      <c r="J64" s="49">
        <f>AVERAGE('31.10 Bujuko-Buloba-24h'!J64,'2.11 Bujuko-Buloba-24HR'!J64)</f>
        <v>5</v>
      </c>
      <c r="K64" s="49">
        <f>AVERAGE('31.10 Bujuko-Buloba-24h'!K64,'2.11 Bujuko-Buloba-24HR'!K64)</f>
        <v>1</v>
      </c>
      <c r="L64" s="49">
        <f>AVERAGE('31.10 Bujuko-Buloba-24h'!L64,'2.11 Bujuko-Buloba-24HR'!L64)</f>
        <v>1</v>
      </c>
      <c r="M64" s="49">
        <f>AVERAGE('31.10 Bujuko-Buloba-24h'!M64,'2.11 Bujuko-Buloba-24HR'!M64)</f>
        <v>19.5</v>
      </c>
      <c r="N64" s="49">
        <f>AVERAGE('31.10 Bujuko-Buloba-24h'!N64,'2.11 Bujuko-Buloba-24HR'!N64)</f>
        <v>0</v>
      </c>
      <c r="O64" s="15">
        <f t="shared" si="0"/>
        <v>61</v>
      </c>
      <c r="P64" s="15">
        <f t="shared" si="1"/>
        <v>80.5</v>
      </c>
      <c r="R64" s="8"/>
      <c r="T64"/>
    </row>
    <row r="65" spans="2:20" ht="23.1" customHeight="1" x14ac:dyDescent="0.25">
      <c r="B65" s="23" t="s">
        <v>158</v>
      </c>
      <c r="C65" s="49">
        <f>AVERAGE('31.10 Bujuko-Buloba-24h'!C65,'2.11 Bujuko-Buloba-24HR'!C65)</f>
        <v>16</v>
      </c>
      <c r="D65" s="49">
        <f>AVERAGE('31.10 Bujuko-Buloba-24h'!D65,'2.11 Bujuko-Buloba-24HR'!D65)</f>
        <v>1</v>
      </c>
      <c r="E65" s="49">
        <f>AVERAGE('31.10 Bujuko-Buloba-24h'!E65,'2.11 Bujuko-Buloba-24HR'!E65)</f>
        <v>4.5</v>
      </c>
      <c r="F65" s="49">
        <f>AVERAGE('31.10 Bujuko-Buloba-24h'!F65,'2.11 Bujuko-Buloba-24HR'!F65)</f>
        <v>10</v>
      </c>
      <c r="G65" s="49">
        <f>AVERAGE('31.10 Bujuko-Buloba-24h'!G65,'2.11 Bujuko-Buloba-24HR'!G65)</f>
        <v>0</v>
      </c>
      <c r="H65" s="49">
        <f>AVERAGE('31.10 Bujuko-Buloba-24h'!H65,'2.11 Bujuko-Buloba-24HR'!H65)</f>
        <v>0</v>
      </c>
      <c r="I65" s="49">
        <f>AVERAGE('31.10 Bujuko-Buloba-24h'!I65,'2.11 Bujuko-Buloba-24HR'!I65)</f>
        <v>3</v>
      </c>
      <c r="J65" s="49">
        <f>AVERAGE('31.10 Bujuko-Buloba-24h'!J65,'2.11 Bujuko-Buloba-24HR'!J65)</f>
        <v>2.5</v>
      </c>
      <c r="K65" s="49">
        <f>AVERAGE('31.10 Bujuko-Buloba-24h'!K65,'2.11 Bujuko-Buloba-24HR'!K65)</f>
        <v>0.5</v>
      </c>
      <c r="L65" s="49">
        <f>AVERAGE('31.10 Bujuko-Buloba-24h'!L65,'2.11 Bujuko-Buloba-24HR'!L65)</f>
        <v>1</v>
      </c>
      <c r="M65" s="49">
        <f>AVERAGE('31.10 Bujuko-Buloba-24h'!M65,'2.11 Bujuko-Buloba-24HR'!M65)</f>
        <v>17.5</v>
      </c>
      <c r="N65" s="49">
        <f>AVERAGE('31.10 Bujuko-Buloba-24h'!N65,'2.11 Bujuko-Buloba-24HR'!N65)</f>
        <v>0</v>
      </c>
      <c r="O65" s="15">
        <f t="shared" si="0"/>
        <v>38.5</v>
      </c>
      <c r="P65" s="15">
        <f t="shared" si="1"/>
        <v>56</v>
      </c>
      <c r="R65" s="8"/>
      <c r="T65"/>
    </row>
    <row r="66" spans="2:20" ht="23.1" customHeight="1" x14ac:dyDescent="0.25">
      <c r="B66" s="23" t="s">
        <v>103</v>
      </c>
      <c r="C66" s="49">
        <f>AVERAGE('31.10 Bujuko-Buloba-24h'!C66,'2.11 Bujuko-Buloba-24HR'!C66)</f>
        <v>13.5</v>
      </c>
      <c r="D66" s="49">
        <f>AVERAGE('31.10 Bujuko-Buloba-24h'!D66,'2.11 Bujuko-Buloba-24HR'!D66)</f>
        <v>3</v>
      </c>
      <c r="E66" s="49">
        <f>AVERAGE('31.10 Bujuko-Buloba-24h'!E66,'2.11 Bujuko-Buloba-24HR'!E66)</f>
        <v>4.5</v>
      </c>
      <c r="F66" s="49">
        <f>AVERAGE('31.10 Bujuko-Buloba-24h'!F66,'2.11 Bujuko-Buloba-24HR'!F66)</f>
        <v>13.5</v>
      </c>
      <c r="G66" s="49">
        <f>AVERAGE('31.10 Bujuko-Buloba-24h'!G66,'2.11 Bujuko-Buloba-24HR'!G66)</f>
        <v>1</v>
      </c>
      <c r="H66" s="49">
        <f>AVERAGE('31.10 Bujuko-Buloba-24h'!H66,'2.11 Bujuko-Buloba-24HR'!H66)</f>
        <v>1.5</v>
      </c>
      <c r="I66" s="49">
        <f>AVERAGE('31.10 Bujuko-Buloba-24h'!I66,'2.11 Bujuko-Buloba-24HR'!I66)</f>
        <v>6.5</v>
      </c>
      <c r="J66" s="49">
        <f>AVERAGE('31.10 Bujuko-Buloba-24h'!J66,'2.11 Bujuko-Buloba-24HR'!J66)</f>
        <v>4.5</v>
      </c>
      <c r="K66" s="49">
        <f>AVERAGE('31.10 Bujuko-Buloba-24h'!K66,'2.11 Bujuko-Buloba-24HR'!K66)</f>
        <v>0</v>
      </c>
      <c r="L66" s="49">
        <f>AVERAGE('31.10 Bujuko-Buloba-24h'!L66,'2.11 Bujuko-Buloba-24HR'!L66)</f>
        <v>0.5</v>
      </c>
      <c r="M66" s="49">
        <f>AVERAGE('31.10 Bujuko-Buloba-24h'!M66,'2.11 Bujuko-Buloba-24HR'!M66)</f>
        <v>16.5</v>
      </c>
      <c r="N66" s="49">
        <f>AVERAGE('31.10 Bujuko-Buloba-24h'!N66,'2.11 Bujuko-Buloba-24HR'!N66)</f>
        <v>0</v>
      </c>
      <c r="O66" s="15">
        <f t="shared" si="0"/>
        <v>48.5</v>
      </c>
      <c r="P66" s="15">
        <f t="shared" si="1"/>
        <v>65</v>
      </c>
      <c r="R66" s="8"/>
      <c r="T66"/>
    </row>
    <row r="67" spans="2:20" ht="23.1" customHeight="1" x14ac:dyDescent="0.25">
      <c r="B67" s="23" t="s">
        <v>104</v>
      </c>
      <c r="C67" s="49">
        <f>AVERAGE('31.10 Bujuko-Buloba-24h'!C67,'2.11 Bujuko-Buloba-24HR'!C67)</f>
        <v>14.5</v>
      </c>
      <c r="D67" s="49">
        <f>AVERAGE('31.10 Bujuko-Buloba-24h'!D67,'2.11 Bujuko-Buloba-24HR'!D67)</f>
        <v>2</v>
      </c>
      <c r="E67" s="49">
        <f>AVERAGE('31.10 Bujuko-Buloba-24h'!E67,'2.11 Bujuko-Buloba-24HR'!E67)</f>
        <v>2.5</v>
      </c>
      <c r="F67" s="49">
        <f>AVERAGE('31.10 Bujuko-Buloba-24h'!F67,'2.11 Bujuko-Buloba-24HR'!F67)</f>
        <v>11</v>
      </c>
      <c r="G67" s="49">
        <f>AVERAGE('31.10 Bujuko-Buloba-24h'!G67,'2.11 Bujuko-Buloba-24HR'!G67)</f>
        <v>0</v>
      </c>
      <c r="H67" s="49">
        <f>AVERAGE('31.10 Bujuko-Buloba-24h'!H67,'2.11 Bujuko-Buloba-24HR'!H67)</f>
        <v>0</v>
      </c>
      <c r="I67" s="49">
        <f>AVERAGE('31.10 Bujuko-Buloba-24h'!I67,'2.11 Bujuko-Buloba-24HR'!I67)</f>
        <v>6</v>
      </c>
      <c r="J67" s="49">
        <f>AVERAGE('31.10 Bujuko-Buloba-24h'!J67,'2.11 Bujuko-Buloba-24HR'!J67)</f>
        <v>2</v>
      </c>
      <c r="K67" s="49">
        <f>AVERAGE('31.10 Bujuko-Buloba-24h'!K67,'2.11 Bujuko-Buloba-24HR'!K67)</f>
        <v>2.5</v>
      </c>
      <c r="L67" s="49">
        <f>AVERAGE('31.10 Bujuko-Buloba-24h'!L67,'2.11 Bujuko-Buloba-24HR'!L67)</f>
        <v>1.5</v>
      </c>
      <c r="M67" s="49">
        <f>AVERAGE('31.10 Bujuko-Buloba-24h'!M67,'2.11 Bujuko-Buloba-24HR'!M67)</f>
        <v>11.5</v>
      </c>
      <c r="N67" s="49">
        <f>AVERAGE('31.10 Bujuko-Buloba-24h'!N67,'2.11 Bujuko-Buloba-24HR'!N67)</f>
        <v>0</v>
      </c>
      <c r="O67" s="15">
        <f t="shared" si="0"/>
        <v>42</v>
      </c>
      <c r="P67" s="15">
        <f t="shared" si="1"/>
        <v>53.5</v>
      </c>
      <c r="R67" s="8"/>
      <c r="T67"/>
    </row>
    <row r="68" spans="2:20" ht="23.1" customHeight="1" x14ac:dyDescent="0.25">
      <c r="B68" s="23" t="s">
        <v>105</v>
      </c>
      <c r="C68" s="49">
        <f>AVERAGE('31.10 Bujuko-Buloba-24h'!C68,'2.11 Bujuko-Buloba-24HR'!C68)</f>
        <v>11.5</v>
      </c>
      <c r="D68" s="49">
        <f>AVERAGE('31.10 Bujuko-Buloba-24h'!D68,'2.11 Bujuko-Buloba-24HR'!D68)</f>
        <v>0.5</v>
      </c>
      <c r="E68" s="49">
        <f>AVERAGE('31.10 Bujuko-Buloba-24h'!E68,'2.11 Bujuko-Buloba-24HR'!E68)</f>
        <v>2</v>
      </c>
      <c r="F68" s="49">
        <f>AVERAGE('31.10 Bujuko-Buloba-24h'!F68,'2.11 Bujuko-Buloba-24HR'!F68)</f>
        <v>8</v>
      </c>
      <c r="G68" s="49">
        <f>AVERAGE('31.10 Bujuko-Buloba-24h'!G68,'2.11 Bujuko-Buloba-24HR'!G68)</f>
        <v>0</v>
      </c>
      <c r="H68" s="49">
        <f>AVERAGE('31.10 Bujuko-Buloba-24h'!H68,'2.11 Bujuko-Buloba-24HR'!H68)</f>
        <v>0</v>
      </c>
      <c r="I68" s="49">
        <f>AVERAGE('31.10 Bujuko-Buloba-24h'!I68,'2.11 Bujuko-Buloba-24HR'!I68)</f>
        <v>7</v>
      </c>
      <c r="J68" s="49">
        <f>AVERAGE('31.10 Bujuko-Buloba-24h'!J68,'2.11 Bujuko-Buloba-24HR'!J68)</f>
        <v>7</v>
      </c>
      <c r="K68" s="49">
        <f>AVERAGE('31.10 Bujuko-Buloba-24h'!K68,'2.11 Bujuko-Buloba-24HR'!K68)</f>
        <v>0.5</v>
      </c>
      <c r="L68" s="49">
        <f>AVERAGE('31.10 Bujuko-Buloba-24h'!L68,'2.11 Bujuko-Buloba-24HR'!L68)</f>
        <v>0</v>
      </c>
      <c r="M68" s="49">
        <f>AVERAGE('31.10 Bujuko-Buloba-24h'!M68,'2.11 Bujuko-Buloba-24HR'!M68)</f>
        <v>14.5</v>
      </c>
      <c r="N68" s="49">
        <f>AVERAGE('31.10 Bujuko-Buloba-24h'!N68,'2.11 Bujuko-Buloba-24HR'!N68)</f>
        <v>0</v>
      </c>
      <c r="O68" s="15">
        <f t="shared" si="0"/>
        <v>36.5</v>
      </c>
      <c r="P68" s="15">
        <f t="shared" si="1"/>
        <v>51</v>
      </c>
      <c r="R68" s="8"/>
      <c r="T68"/>
    </row>
    <row r="69" spans="2:20" ht="23.1" customHeight="1" x14ac:dyDescent="0.25">
      <c r="B69" s="23" t="s">
        <v>106</v>
      </c>
      <c r="C69" s="49">
        <f>AVERAGE('31.10 Bujuko-Buloba-24h'!C69,'2.11 Bujuko-Buloba-24HR'!C69)</f>
        <v>22.5</v>
      </c>
      <c r="D69" s="49">
        <f>AVERAGE('31.10 Bujuko-Buloba-24h'!D69,'2.11 Bujuko-Buloba-24HR'!D69)</f>
        <v>1.5</v>
      </c>
      <c r="E69" s="49">
        <f>AVERAGE('31.10 Bujuko-Buloba-24h'!E69,'2.11 Bujuko-Buloba-24HR'!E69)</f>
        <v>2.5</v>
      </c>
      <c r="F69" s="49">
        <f>AVERAGE('31.10 Bujuko-Buloba-24h'!F69,'2.11 Bujuko-Buloba-24HR'!F69)</f>
        <v>8.5</v>
      </c>
      <c r="G69" s="49">
        <f>AVERAGE('31.10 Bujuko-Buloba-24h'!G69,'2.11 Bujuko-Buloba-24HR'!G69)</f>
        <v>0</v>
      </c>
      <c r="H69" s="49">
        <f>AVERAGE('31.10 Bujuko-Buloba-24h'!H69,'2.11 Bujuko-Buloba-24HR'!H69)</f>
        <v>2</v>
      </c>
      <c r="I69" s="49">
        <f>AVERAGE('31.10 Bujuko-Buloba-24h'!I69,'2.11 Bujuko-Buloba-24HR'!I69)</f>
        <v>5.5</v>
      </c>
      <c r="J69" s="49">
        <f>AVERAGE('31.10 Bujuko-Buloba-24h'!J69,'2.11 Bujuko-Buloba-24HR'!J69)</f>
        <v>5.5</v>
      </c>
      <c r="K69" s="49">
        <f>AVERAGE('31.10 Bujuko-Buloba-24h'!K69,'2.11 Bujuko-Buloba-24HR'!K69)</f>
        <v>2</v>
      </c>
      <c r="L69" s="49">
        <f>AVERAGE('31.10 Bujuko-Buloba-24h'!L69,'2.11 Bujuko-Buloba-24HR'!L69)</f>
        <v>2.5</v>
      </c>
      <c r="M69" s="49">
        <f>AVERAGE('31.10 Bujuko-Buloba-24h'!M69,'2.11 Bujuko-Buloba-24HR'!M69)</f>
        <v>8</v>
      </c>
      <c r="N69" s="49">
        <f>AVERAGE('31.10 Bujuko-Buloba-24h'!N69,'2.11 Bujuko-Buloba-24HR'!N69)</f>
        <v>0</v>
      </c>
      <c r="O69" s="15">
        <f t="shared" si="0"/>
        <v>52.5</v>
      </c>
      <c r="P69" s="15">
        <f t="shared" si="1"/>
        <v>60.5</v>
      </c>
      <c r="R69" s="8"/>
      <c r="T69"/>
    </row>
    <row r="70" spans="2:20" ht="23.1" customHeight="1" x14ac:dyDescent="0.25">
      <c r="B70" s="23" t="s">
        <v>110</v>
      </c>
      <c r="C70" s="49">
        <f>AVERAGE('31.10 Bujuko-Buloba-24h'!C70,'2.11 Bujuko-Buloba-24HR'!C70)</f>
        <v>12.5</v>
      </c>
      <c r="D70" s="49">
        <f>AVERAGE('31.10 Bujuko-Buloba-24h'!D70,'2.11 Bujuko-Buloba-24HR'!D70)</f>
        <v>4</v>
      </c>
      <c r="E70" s="49">
        <f>AVERAGE('31.10 Bujuko-Buloba-24h'!E70,'2.11 Bujuko-Buloba-24HR'!E70)</f>
        <v>1.5</v>
      </c>
      <c r="F70" s="49">
        <f>AVERAGE('31.10 Bujuko-Buloba-24h'!F70,'2.11 Bujuko-Buloba-24HR'!F70)</f>
        <v>9.5</v>
      </c>
      <c r="G70" s="49">
        <f>AVERAGE('31.10 Bujuko-Buloba-24h'!G70,'2.11 Bujuko-Buloba-24HR'!G70)</f>
        <v>0</v>
      </c>
      <c r="H70" s="49">
        <f>AVERAGE('31.10 Bujuko-Buloba-24h'!H70,'2.11 Bujuko-Buloba-24HR'!H70)</f>
        <v>0</v>
      </c>
      <c r="I70" s="49">
        <f>AVERAGE('31.10 Bujuko-Buloba-24h'!I70,'2.11 Bujuko-Buloba-24HR'!I70)</f>
        <v>5.5</v>
      </c>
      <c r="J70" s="49">
        <f>AVERAGE('31.10 Bujuko-Buloba-24h'!J70,'2.11 Bujuko-Buloba-24HR'!J70)</f>
        <v>1</v>
      </c>
      <c r="K70" s="49">
        <f>AVERAGE('31.10 Bujuko-Buloba-24h'!K70,'2.11 Bujuko-Buloba-24HR'!K70)</f>
        <v>1</v>
      </c>
      <c r="L70" s="49">
        <f>AVERAGE('31.10 Bujuko-Buloba-24h'!L70,'2.11 Bujuko-Buloba-24HR'!L70)</f>
        <v>1</v>
      </c>
      <c r="M70" s="49">
        <f>AVERAGE('31.10 Bujuko-Buloba-24h'!M70,'2.11 Bujuko-Buloba-24HR'!M70)</f>
        <v>12</v>
      </c>
      <c r="N70" s="49">
        <f>AVERAGE('31.10 Bujuko-Buloba-24h'!N70,'2.11 Bujuko-Buloba-24HR'!N70)</f>
        <v>0</v>
      </c>
      <c r="O70" s="15">
        <f t="shared" si="0"/>
        <v>36</v>
      </c>
      <c r="P70" s="15">
        <f t="shared" si="1"/>
        <v>48</v>
      </c>
      <c r="R70" s="8"/>
      <c r="T70"/>
    </row>
    <row r="71" spans="2:20" ht="23.1" customHeight="1" x14ac:dyDescent="0.25">
      <c r="B71" s="23" t="s">
        <v>111</v>
      </c>
      <c r="C71" s="49">
        <f>AVERAGE('31.10 Bujuko-Buloba-24h'!C71,'2.11 Bujuko-Buloba-24HR'!C71)</f>
        <v>12</v>
      </c>
      <c r="D71" s="49">
        <f>AVERAGE('31.10 Bujuko-Buloba-24h'!D71,'2.11 Bujuko-Buloba-24HR'!D71)</f>
        <v>1</v>
      </c>
      <c r="E71" s="49">
        <f>AVERAGE('31.10 Bujuko-Buloba-24h'!E71,'2.11 Bujuko-Buloba-24HR'!E71)</f>
        <v>2</v>
      </c>
      <c r="F71" s="49">
        <f>AVERAGE('31.10 Bujuko-Buloba-24h'!F71,'2.11 Bujuko-Buloba-24HR'!F71)</f>
        <v>6</v>
      </c>
      <c r="G71" s="49">
        <f>AVERAGE('31.10 Bujuko-Buloba-24h'!G71,'2.11 Bujuko-Buloba-24HR'!G71)</f>
        <v>1</v>
      </c>
      <c r="H71" s="49">
        <f>AVERAGE('31.10 Bujuko-Buloba-24h'!H71,'2.11 Bujuko-Buloba-24HR'!H71)</f>
        <v>0.5</v>
      </c>
      <c r="I71" s="49">
        <f>AVERAGE('31.10 Bujuko-Buloba-24h'!I71,'2.11 Bujuko-Buloba-24HR'!I71)</f>
        <v>2.5</v>
      </c>
      <c r="J71" s="49">
        <f>AVERAGE('31.10 Bujuko-Buloba-24h'!J71,'2.11 Bujuko-Buloba-24HR'!J71)</f>
        <v>2</v>
      </c>
      <c r="K71" s="49">
        <f>AVERAGE('31.10 Bujuko-Buloba-24h'!K71,'2.11 Bujuko-Buloba-24HR'!K71)</f>
        <v>0.5</v>
      </c>
      <c r="L71" s="49">
        <f>AVERAGE('31.10 Bujuko-Buloba-24h'!L71,'2.11 Bujuko-Buloba-24HR'!L71)</f>
        <v>1</v>
      </c>
      <c r="M71" s="49">
        <f>AVERAGE('31.10 Bujuko-Buloba-24h'!M71,'2.11 Bujuko-Buloba-24HR'!M71)</f>
        <v>10.5</v>
      </c>
      <c r="N71" s="49">
        <f>AVERAGE('31.10 Bujuko-Buloba-24h'!N71,'2.11 Bujuko-Buloba-24HR'!N71)</f>
        <v>0</v>
      </c>
      <c r="O71" s="15">
        <f t="shared" si="0"/>
        <v>28.5</v>
      </c>
      <c r="P71" s="15">
        <f t="shared" si="1"/>
        <v>39</v>
      </c>
      <c r="R71" s="8"/>
      <c r="T71"/>
    </row>
    <row r="72" spans="2:20" ht="23.1" customHeight="1" x14ac:dyDescent="0.25">
      <c r="B72" s="23" t="s">
        <v>112</v>
      </c>
      <c r="C72" s="49">
        <f>AVERAGE('31.10 Bujuko-Buloba-24h'!C72,'2.11 Bujuko-Buloba-24HR'!C72)</f>
        <v>13</v>
      </c>
      <c r="D72" s="49">
        <f>AVERAGE('31.10 Bujuko-Buloba-24h'!D72,'2.11 Bujuko-Buloba-24HR'!D72)</f>
        <v>2</v>
      </c>
      <c r="E72" s="49">
        <f>AVERAGE('31.10 Bujuko-Buloba-24h'!E72,'2.11 Bujuko-Buloba-24HR'!E72)</f>
        <v>3</v>
      </c>
      <c r="F72" s="49">
        <f>AVERAGE('31.10 Bujuko-Buloba-24h'!F72,'2.11 Bujuko-Buloba-24HR'!F72)</f>
        <v>6.5</v>
      </c>
      <c r="G72" s="49">
        <f>AVERAGE('31.10 Bujuko-Buloba-24h'!G72,'2.11 Bujuko-Buloba-24HR'!G72)</f>
        <v>0</v>
      </c>
      <c r="H72" s="49">
        <f>AVERAGE('31.10 Bujuko-Buloba-24h'!H72,'2.11 Bujuko-Buloba-24HR'!H72)</f>
        <v>0.5</v>
      </c>
      <c r="I72" s="49">
        <f>AVERAGE('31.10 Bujuko-Buloba-24h'!I72,'2.11 Bujuko-Buloba-24HR'!I72)</f>
        <v>4.5</v>
      </c>
      <c r="J72" s="49">
        <f>AVERAGE('31.10 Bujuko-Buloba-24h'!J72,'2.11 Bujuko-Buloba-24HR'!J72)</f>
        <v>4.5</v>
      </c>
      <c r="K72" s="49">
        <f>AVERAGE('31.10 Bujuko-Buloba-24h'!K72,'2.11 Bujuko-Buloba-24HR'!K72)</f>
        <v>0</v>
      </c>
      <c r="L72" s="49">
        <f>AVERAGE('31.10 Bujuko-Buloba-24h'!L72,'2.11 Bujuko-Buloba-24HR'!L72)</f>
        <v>2</v>
      </c>
      <c r="M72" s="49">
        <f>AVERAGE('31.10 Bujuko-Buloba-24h'!M72,'2.11 Bujuko-Buloba-24HR'!M72)</f>
        <v>12</v>
      </c>
      <c r="N72" s="49">
        <f>AVERAGE('31.10 Bujuko-Buloba-24h'!N72,'2.11 Bujuko-Buloba-24HR'!N72)</f>
        <v>0</v>
      </c>
      <c r="O72" s="15">
        <f t="shared" si="0"/>
        <v>36</v>
      </c>
      <c r="P72" s="15">
        <f t="shared" si="1"/>
        <v>48</v>
      </c>
      <c r="R72" s="8"/>
      <c r="T72"/>
    </row>
    <row r="73" spans="2:20" ht="23.1" customHeight="1" x14ac:dyDescent="0.25">
      <c r="B73" s="23" t="s">
        <v>113</v>
      </c>
      <c r="C73" s="49">
        <f>AVERAGE('31.10 Bujuko-Buloba-24h'!C73,'2.11 Bujuko-Buloba-24HR'!C73)</f>
        <v>4.5</v>
      </c>
      <c r="D73" s="49">
        <f>AVERAGE('31.10 Bujuko-Buloba-24h'!D73,'2.11 Bujuko-Buloba-24HR'!D73)</f>
        <v>0.5</v>
      </c>
      <c r="E73" s="49">
        <f>AVERAGE('31.10 Bujuko-Buloba-24h'!E73,'2.11 Bujuko-Buloba-24HR'!E73)</f>
        <v>0.5</v>
      </c>
      <c r="F73" s="49">
        <f>AVERAGE('31.10 Bujuko-Buloba-24h'!F73,'2.11 Bujuko-Buloba-24HR'!F73)</f>
        <v>4.5</v>
      </c>
      <c r="G73" s="49">
        <f>AVERAGE('31.10 Bujuko-Buloba-24h'!G73,'2.11 Bujuko-Buloba-24HR'!G73)</f>
        <v>0</v>
      </c>
      <c r="H73" s="49">
        <f>AVERAGE('31.10 Bujuko-Buloba-24h'!H73,'2.11 Bujuko-Buloba-24HR'!H73)</f>
        <v>0</v>
      </c>
      <c r="I73" s="49">
        <f>AVERAGE('31.10 Bujuko-Buloba-24h'!I73,'2.11 Bujuko-Buloba-24HR'!I73)</f>
        <v>3</v>
      </c>
      <c r="J73" s="49">
        <f>AVERAGE('31.10 Bujuko-Buloba-24h'!J73,'2.11 Bujuko-Buloba-24HR'!J73)</f>
        <v>3</v>
      </c>
      <c r="K73" s="49">
        <f>AVERAGE('31.10 Bujuko-Buloba-24h'!K73,'2.11 Bujuko-Buloba-24HR'!K73)</f>
        <v>1</v>
      </c>
      <c r="L73" s="49">
        <f>AVERAGE('31.10 Bujuko-Buloba-24h'!L73,'2.11 Bujuko-Buloba-24HR'!L73)</f>
        <v>0.5</v>
      </c>
      <c r="M73" s="49">
        <f>AVERAGE('31.10 Bujuko-Buloba-24h'!M73,'2.11 Bujuko-Buloba-24HR'!M73)</f>
        <v>9.5</v>
      </c>
      <c r="N73" s="49">
        <f>AVERAGE('31.10 Bujuko-Buloba-24h'!N73,'2.11 Bujuko-Buloba-24HR'!N73)</f>
        <v>0</v>
      </c>
      <c r="O73" s="15">
        <f t="shared" si="0"/>
        <v>17.5</v>
      </c>
      <c r="P73" s="15">
        <f t="shared" si="1"/>
        <v>27</v>
      </c>
      <c r="R73" s="8"/>
      <c r="T73"/>
    </row>
    <row r="74" spans="2:20" ht="23.1" customHeight="1" x14ac:dyDescent="0.25">
      <c r="B74" s="23" t="s">
        <v>114</v>
      </c>
      <c r="C74" s="49">
        <f>AVERAGE('31.10 Bujuko-Buloba-24h'!C74,'2.11 Bujuko-Buloba-24HR'!C74)</f>
        <v>6.5</v>
      </c>
      <c r="D74" s="49">
        <f>AVERAGE('31.10 Bujuko-Buloba-24h'!D74,'2.11 Bujuko-Buloba-24HR'!D74)</f>
        <v>1</v>
      </c>
      <c r="E74" s="49">
        <f>AVERAGE('31.10 Bujuko-Buloba-24h'!E74,'2.11 Bujuko-Buloba-24HR'!E74)</f>
        <v>1.5</v>
      </c>
      <c r="F74" s="49">
        <f>AVERAGE('31.10 Bujuko-Buloba-24h'!F74,'2.11 Bujuko-Buloba-24HR'!F74)</f>
        <v>3</v>
      </c>
      <c r="G74" s="49">
        <f>AVERAGE('31.10 Bujuko-Buloba-24h'!G74,'2.11 Bujuko-Buloba-24HR'!G74)</f>
        <v>0</v>
      </c>
      <c r="H74" s="49">
        <f>AVERAGE('31.10 Bujuko-Buloba-24h'!H74,'2.11 Bujuko-Buloba-24HR'!H74)</f>
        <v>0</v>
      </c>
      <c r="I74" s="49">
        <f>AVERAGE('31.10 Bujuko-Buloba-24h'!I74,'2.11 Bujuko-Buloba-24HR'!I74)</f>
        <v>2.5</v>
      </c>
      <c r="J74" s="49">
        <f>AVERAGE('31.10 Bujuko-Buloba-24h'!J74,'2.11 Bujuko-Buloba-24HR'!J74)</f>
        <v>3</v>
      </c>
      <c r="K74" s="49">
        <f>AVERAGE('31.10 Bujuko-Buloba-24h'!K74,'2.11 Bujuko-Buloba-24HR'!K74)</f>
        <v>0.5</v>
      </c>
      <c r="L74" s="49">
        <f>AVERAGE('31.10 Bujuko-Buloba-24h'!L74,'2.11 Bujuko-Buloba-24HR'!L74)</f>
        <v>0</v>
      </c>
      <c r="M74" s="49">
        <f>AVERAGE('31.10 Bujuko-Buloba-24h'!M74,'2.11 Bujuko-Buloba-24HR'!M74)</f>
        <v>7.5</v>
      </c>
      <c r="N74" s="49">
        <f>AVERAGE('31.10 Bujuko-Buloba-24h'!N74,'2.11 Bujuko-Buloba-24HR'!N74)</f>
        <v>0</v>
      </c>
      <c r="O74" s="15">
        <f t="shared" ref="O74:O105" si="35">SUM(C74:L74,N74)</f>
        <v>18</v>
      </c>
      <c r="P74" s="15">
        <f t="shared" ref="P74:P105" si="36">SUM(C74:N74)</f>
        <v>25.5</v>
      </c>
      <c r="R74" s="8"/>
      <c r="T74"/>
    </row>
    <row r="75" spans="2:20" ht="23.1" customHeight="1" x14ac:dyDescent="0.25">
      <c r="B75" s="23" t="s">
        <v>115</v>
      </c>
      <c r="C75" s="49">
        <f>AVERAGE('31.10 Bujuko-Buloba-24h'!C75,'2.11 Bujuko-Buloba-24HR'!C75)</f>
        <v>10.5</v>
      </c>
      <c r="D75" s="49">
        <f>AVERAGE('31.10 Bujuko-Buloba-24h'!D75,'2.11 Bujuko-Buloba-24HR'!D75)</f>
        <v>2.5</v>
      </c>
      <c r="E75" s="49">
        <f>AVERAGE('31.10 Bujuko-Buloba-24h'!E75,'2.11 Bujuko-Buloba-24HR'!E75)</f>
        <v>1.5</v>
      </c>
      <c r="F75" s="49">
        <f>AVERAGE('31.10 Bujuko-Buloba-24h'!F75,'2.11 Bujuko-Buloba-24HR'!F75)</f>
        <v>1.5</v>
      </c>
      <c r="G75" s="49">
        <f>AVERAGE('31.10 Bujuko-Buloba-24h'!G75,'2.11 Bujuko-Buloba-24HR'!G75)</f>
        <v>0</v>
      </c>
      <c r="H75" s="49">
        <f>AVERAGE('31.10 Bujuko-Buloba-24h'!H75,'2.11 Bujuko-Buloba-24HR'!H75)</f>
        <v>0</v>
      </c>
      <c r="I75" s="49">
        <f>AVERAGE('31.10 Bujuko-Buloba-24h'!I75,'2.11 Bujuko-Buloba-24HR'!I75)</f>
        <v>2.5</v>
      </c>
      <c r="J75" s="49">
        <f>AVERAGE('31.10 Bujuko-Buloba-24h'!J75,'2.11 Bujuko-Buloba-24HR'!J75)</f>
        <v>4.5</v>
      </c>
      <c r="K75" s="49">
        <f>AVERAGE('31.10 Bujuko-Buloba-24h'!K75,'2.11 Bujuko-Buloba-24HR'!K75)</f>
        <v>0</v>
      </c>
      <c r="L75" s="49">
        <f>AVERAGE('31.10 Bujuko-Buloba-24h'!L75,'2.11 Bujuko-Buloba-24HR'!L75)</f>
        <v>0</v>
      </c>
      <c r="M75" s="49">
        <f>AVERAGE('31.10 Bujuko-Buloba-24h'!M75,'2.11 Bujuko-Buloba-24HR'!M75)</f>
        <v>10</v>
      </c>
      <c r="N75" s="49">
        <f>AVERAGE('31.10 Bujuko-Buloba-24h'!N75,'2.11 Bujuko-Buloba-24HR'!N75)</f>
        <v>0</v>
      </c>
      <c r="O75" s="15">
        <f t="shared" si="35"/>
        <v>23</v>
      </c>
      <c r="P75" s="15">
        <f t="shared" si="36"/>
        <v>33</v>
      </c>
      <c r="R75" s="8"/>
      <c r="T75"/>
    </row>
    <row r="76" spans="2:20" ht="23.1" customHeight="1" x14ac:dyDescent="0.25">
      <c r="B76" s="23" t="s">
        <v>116</v>
      </c>
      <c r="C76" s="49">
        <f>AVERAGE('31.10 Bujuko-Buloba-24h'!C76,'2.11 Bujuko-Buloba-24HR'!C76)</f>
        <v>1.5</v>
      </c>
      <c r="D76" s="49">
        <f>AVERAGE('31.10 Bujuko-Buloba-24h'!D76,'2.11 Bujuko-Buloba-24HR'!D76)</f>
        <v>0.5</v>
      </c>
      <c r="E76" s="49">
        <f>AVERAGE('31.10 Bujuko-Buloba-24h'!E76,'2.11 Bujuko-Buloba-24HR'!E76)</f>
        <v>0</v>
      </c>
      <c r="F76" s="49">
        <f>AVERAGE('31.10 Bujuko-Buloba-24h'!F76,'2.11 Bujuko-Buloba-24HR'!F76)</f>
        <v>3</v>
      </c>
      <c r="G76" s="49">
        <f>AVERAGE('31.10 Bujuko-Buloba-24h'!G76,'2.11 Bujuko-Buloba-24HR'!G76)</f>
        <v>0</v>
      </c>
      <c r="H76" s="49">
        <f>AVERAGE('31.10 Bujuko-Buloba-24h'!H76,'2.11 Bujuko-Buloba-24HR'!H76)</f>
        <v>0</v>
      </c>
      <c r="I76" s="49">
        <f>AVERAGE('31.10 Bujuko-Buloba-24h'!I76,'2.11 Bujuko-Buloba-24HR'!I76)</f>
        <v>3.5</v>
      </c>
      <c r="J76" s="49">
        <f>AVERAGE('31.10 Bujuko-Buloba-24h'!J76,'2.11 Bujuko-Buloba-24HR'!J76)</f>
        <v>4</v>
      </c>
      <c r="K76" s="49">
        <f>AVERAGE('31.10 Bujuko-Buloba-24h'!K76,'2.11 Bujuko-Buloba-24HR'!K76)</f>
        <v>0.5</v>
      </c>
      <c r="L76" s="49">
        <f>AVERAGE('31.10 Bujuko-Buloba-24h'!L76,'2.11 Bujuko-Buloba-24HR'!L76)</f>
        <v>1</v>
      </c>
      <c r="M76" s="49">
        <f>AVERAGE('31.10 Bujuko-Buloba-24h'!M76,'2.11 Bujuko-Buloba-24HR'!M76)</f>
        <v>6</v>
      </c>
      <c r="N76" s="49">
        <f>AVERAGE('31.10 Bujuko-Buloba-24h'!N76,'2.11 Bujuko-Buloba-24HR'!N76)</f>
        <v>0</v>
      </c>
      <c r="O76" s="15">
        <f t="shared" si="35"/>
        <v>14</v>
      </c>
      <c r="P76" s="15">
        <f t="shared" si="36"/>
        <v>20</v>
      </c>
      <c r="R76" s="8"/>
      <c r="T76"/>
    </row>
    <row r="77" spans="2:20" ht="23.1" customHeight="1" x14ac:dyDescent="0.25">
      <c r="B77" s="23" t="s">
        <v>117</v>
      </c>
      <c r="C77" s="49">
        <f>AVERAGE('31.10 Bujuko-Buloba-24h'!C77,'2.11 Bujuko-Buloba-24HR'!C77)</f>
        <v>5.5</v>
      </c>
      <c r="D77" s="49">
        <f>AVERAGE('31.10 Bujuko-Buloba-24h'!D77,'2.11 Bujuko-Buloba-24HR'!D77)</f>
        <v>2</v>
      </c>
      <c r="E77" s="49">
        <f>AVERAGE('31.10 Bujuko-Buloba-24h'!E77,'2.11 Bujuko-Buloba-24HR'!E77)</f>
        <v>1.5</v>
      </c>
      <c r="F77" s="49">
        <f>AVERAGE('31.10 Bujuko-Buloba-24h'!F77,'2.11 Bujuko-Buloba-24HR'!F77)</f>
        <v>2.5</v>
      </c>
      <c r="G77" s="49">
        <f>AVERAGE('31.10 Bujuko-Buloba-24h'!G77,'2.11 Bujuko-Buloba-24HR'!G77)</f>
        <v>0</v>
      </c>
      <c r="H77" s="49">
        <f>AVERAGE('31.10 Bujuko-Buloba-24h'!H77,'2.11 Bujuko-Buloba-24HR'!H77)</f>
        <v>0</v>
      </c>
      <c r="I77" s="49">
        <f>AVERAGE('31.10 Bujuko-Buloba-24h'!I77,'2.11 Bujuko-Buloba-24HR'!I77)</f>
        <v>0.5</v>
      </c>
      <c r="J77" s="49">
        <f>AVERAGE('31.10 Bujuko-Buloba-24h'!J77,'2.11 Bujuko-Buloba-24HR'!J77)</f>
        <v>2.5</v>
      </c>
      <c r="K77" s="49">
        <f>AVERAGE('31.10 Bujuko-Buloba-24h'!K77,'2.11 Bujuko-Buloba-24HR'!K77)</f>
        <v>1.5</v>
      </c>
      <c r="L77" s="49">
        <f>AVERAGE('31.10 Bujuko-Buloba-24h'!L77,'2.11 Bujuko-Buloba-24HR'!L77)</f>
        <v>1.5</v>
      </c>
      <c r="M77" s="49">
        <f>AVERAGE('31.10 Bujuko-Buloba-24h'!M77,'2.11 Bujuko-Buloba-24HR'!M77)</f>
        <v>5.5</v>
      </c>
      <c r="N77" s="49">
        <f>AVERAGE('31.10 Bujuko-Buloba-24h'!N77,'2.11 Bujuko-Buloba-24HR'!N77)</f>
        <v>0</v>
      </c>
      <c r="O77" s="15">
        <f t="shared" si="35"/>
        <v>17.5</v>
      </c>
      <c r="P77" s="15">
        <f t="shared" si="36"/>
        <v>23</v>
      </c>
      <c r="R77" s="8"/>
      <c r="T77"/>
    </row>
    <row r="78" spans="2:20" ht="23.1" customHeight="1" x14ac:dyDescent="0.25">
      <c r="B78" s="24" t="s">
        <v>118</v>
      </c>
      <c r="C78" s="49">
        <f>AVERAGE('31.10 Bujuko-Buloba-24h'!C78,'2.11 Bujuko-Buloba-24HR'!C78)</f>
        <v>6.5</v>
      </c>
      <c r="D78" s="49">
        <f>AVERAGE('31.10 Bujuko-Buloba-24h'!D78,'2.11 Bujuko-Buloba-24HR'!D78)</f>
        <v>1.5</v>
      </c>
      <c r="E78" s="49">
        <f>AVERAGE('31.10 Bujuko-Buloba-24h'!E78,'2.11 Bujuko-Buloba-24HR'!E78)</f>
        <v>0.5</v>
      </c>
      <c r="F78" s="49">
        <f>AVERAGE('31.10 Bujuko-Buloba-24h'!F78,'2.11 Bujuko-Buloba-24HR'!F78)</f>
        <v>2.5</v>
      </c>
      <c r="G78" s="49">
        <f>AVERAGE('31.10 Bujuko-Buloba-24h'!G78,'2.11 Bujuko-Buloba-24HR'!G78)</f>
        <v>0</v>
      </c>
      <c r="H78" s="49">
        <f>AVERAGE('31.10 Bujuko-Buloba-24h'!H78,'2.11 Bujuko-Buloba-24HR'!H78)</f>
        <v>0</v>
      </c>
      <c r="I78" s="49">
        <f>AVERAGE('31.10 Bujuko-Buloba-24h'!I78,'2.11 Bujuko-Buloba-24HR'!I78)</f>
        <v>2.5</v>
      </c>
      <c r="J78" s="49">
        <f>AVERAGE('31.10 Bujuko-Buloba-24h'!J78,'2.11 Bujuko-Buloba-24HR'!J78)</f>
        <v>3</v>
      </c>
      <c r="K78" s="49">
        <f>AVERAGE('31.10 Bujuko-Buloba-24h'!K78,'2.11 Bujuko-Buloba-24HR'!K78)</f>
        <v>0.5</v>
      </c>
      <c r="L78" s="49">
        <f>AVERAGE('31.10 Bujuko-Buloba-24h'!L78,'2.11 Bujuko-Buloba-24HR'!L78)</f>
        <v>0</v>
      </c>
      <c r="M78" s="49">
        <f>AVERAGE('31.10 Bujuko-Buloba-24h'!M78,'2.11 Bujuko-Buloba-24HR'!M78)</f>
        <v>5.5</v>
      </c>
      <c r="N78" s="49">
        <f>AVERAGE('31.10 Bujuko-Buloba-24h'!N78,'2.11 Bujuko-Buloba-24HR'!N78)</f>
        <v>0</v>
      </c>
      <c r="O78" s="15">
        <f t="shared" si="35"/>
        <v>17</v>
      </c>
      <c r="P78" s="15">
        <f t="shared" si="36"/>
        <v>22.5</v>
      </c>
      <c r="R78" s="8"/>
      <c r="T78"/>
    </row>
    <row r="79" spans="2:20" ht="23.1" customHeight="1" x14ac:dyDescent="0.25">
      <c r="B79" s="23" t="s">
        <v>119</v>
      </c>
      <c r="C79" s="49">
        <f>AVERAGE('31.10 Bujuko-Buloba-24h'!C79,'2.11 Bujuko-Buloba-24HR'!C79)</f>
        <v>3</v>
      </c>
      <c r="D79" s="49">
        <f>AVERAGE('31.10 Bujuko-Buloba-24h'!D79,'2.11 Bujuko-Buloba-24HR'!D79)</f>
        <v>0</v>
      </c>
      <c r="E79" s="49">
        <f>AVERAGE('31.10 Bujuko-Buloba-24h'!E79,'2.11 Bujuko-Buloba-24HR'!E79)</f>
        <v>1</v>
      </c>
      <c r="F79" s="49">
        <f>AVERAGE('31.10 Bujuko-Buloba-24h'!F79,'2.11 Bujuko-Buloba-24HR'!F79)</f>
        <v>1</v>
      </c>
      <c r="G79" s="49">
        <f>AVERAGE('31.10 Bujuko-Buloba-24h'!G79,'2.11 Bujuko-Buloba-24HR'!G79)</f>
        <v>0</v>
      </c>
      <c r="H79" s="49">
        <f>AVERAGE('31.10 Bujuko-Buloba-24h'!H79,'2.11 Bujuko-Buloba-24HR'!H79)</f>
        <v>0</v>
      </c>
      <c r="I79" s="49">
        <f>AVERAGE('31.10 Bujuko-Buloba-24h'!I79,'2.11 Bujuko-Buloba-24HR'!I79)</f>
        <v>4.5</v>
      </c>
      <c r="J79" s="49">
        <f>AVERAGE('31.10 Bujuko-Buloba-24h'!J79,'2.11 Bujuko-Buloba-24HR'!J79)</f>
        <v>0.5</v>
      </c>
      <c r="K79" s="49">
        <f>AVERAGE('31.10 Bujuko-Buloba-24h'!K79,'2.11 Bujuko-Buloba-24HR'!K79)</f>
        <v>0</v>
      </c>
      <c r="L79" s="49">
        <f>AVERAGE('31.10 Bujuko-Buloba-24h'!L79,'2.11 Bujuko-Buloba-24HR'!L79)</f>
        <v>0</v>
      </c>
      <c r="M79" s="49">
        <f>AVERAGE('31.10 Bujuko-Buloba-24h'!M79,'2.11 Bujuko-Buloba-24HR'!M79)</f>
        <v>1.5</v>
      </c>
      <c r="N79" s="49">
        <f>AVERAGE('31.10 Bujuko-Buloba-24h'!N79,'2.11 Bujuko-Buloba-24HR'!N79)</f>
        <v>0</v>
      </c>
      <c r="O79" s="15">
        <f t="shared" si="35"/>
        <v>10</v>
      </c>
      <c r="P79" s="15">
        <f t="shared" si="36"/>
        <v>11.5</v>
      </c>
      <c r="R79" s="8"/>
      <c r="T79"/>
    </row>
    <row r="80" spans="2:20" ht="23.1" customHeight="1" x14ac:dyDescent="0.25">
      <c r="B80" s="25" t="s">
        <v>120</v>
      </c>
      <c r="C80" s="49">
        <f>AVERAGE('31.10 Bujuko-Buloba-24h'!C80,'2.11 Bujuko-Buloba-24HR'!C80)</f>
        <v>1.5</v>
      </c>
      <c r="D80" s="49">
        <f>AVERAGE('31.10 Bujuko-Buloba-24h'!D80,'2.11 Bujuko-Buloba-24HR'!D80)</f>
        <v>0.5</v>
      </c>
      <c r="E80" s="49">
        <f>AVERAGE('31.10 Bujuko-Buloba-24h'!E80,'2.11 Bujuko-Buloba-24HR'!E80)</f>
        <v>1</v>
      </c>
      <c r="F80" s="49">
        <f>AVERAGE('31.10 Bujuko-Buloba-24h'!F80,'2.11 Bujuko-Buloba-24HR'!F80)</f>
        <v>0</v>
      </c>
      <c r="G80" s="49">
        <f>AVERAGE('31.10 Bujuko-Buloba-24h'!G80,'2.11 Bujuko-Buloba-24HR'!G80)</f>
        <v>0</v>
      </c>
      <c r="H80" s="49">
        <f>AVERAGE('31.10 Bujuko-Buloba-24h'!H80,'2.11 Bujuko-Buloba-24HR'!H80)</f>
        <v>0</v>
      </c>
      <c r="I80" s="49">
        <f>AVERAGE('31.10 Bujuko-Buloba-24h'!I80,'2.11 Bujuko-Buloba-24HR'!I80)</f>
        <v>1.5</v>
      </c>
      <c r="J80" s="49">
        <f>AVERAGE('31.10 Bujuko-Buloba-24h'!J80,'2.11 Bujuko-Buloba-24HR'!J80)</f>
        <v>1</v>
      </c>
      <c r="K80" s="49">
        <f>AVERAGE('31.10 Bujuko-Buloba-24h'!K80,'2.11 Bujuko-Buloba-24HR'!K80)</f>
        <v>0</v>
      </c>
      <c r="L80" s="49">
        <f>AVERAGE('31.10 Bujuko-Buloba-24h'!L80,'2.11 Bujuko-Buloba-24HR'!L80)</f>
        <v>0.5</v>
      </c>
      <c r="M80" s="49">
        <f>AVERAGE('31.10 Bujuko-Buloba-24h'!M80,'2.11 Bujuko-Buloba-24HR'!M80)</f>
        <v>1</v>
      </c>
      <c r="N80" s="49">
        <f>AVERAGE('31.10 Bujuko-Buloba-24h'!N80,'2.11 Bujuko-Buloba-24HR'!N80)</f>
        <v>0</v>
      </c>
      <c r="O80" s="15">
        <f t="shared" si="35"/>
        <v>6</v>
      </c>
      <c r="P80" s="15">
        <f t="shared" si="36"/>
        <v>7</v>
      </c>
      <c r="R80" s="8"/>
      <c r="T80"/>
    </row>
    <row r="81" spans="2:20" ht="23.1" customHeight="1" x14ac:dyDescent="0.25">
      <c r="B81" s="23" t="s">
        <v>121</v>
      </c>
      <c r="C81" s="49">
        <f>AVERAGE('31.10 Bujuko-Buloba-24h'!C81,'2.11 Bujuko-Buloba-24HR'!C81)</f>
        <v>3</v>
      </c>
      <c r="D81" s="49">
        <f>AVERAGE('31.10 Bujuko-Buloba-24h'!D81,'2.11 Bujuko-Buloba-24HR'!D81)</f>
        <v>0</v>
      </c>
      <c r="E81" s="49">
        <f>AVERAGE('31.10 Bujuko-Buloba-24h'!E81,'2.11 Bujuko-Buloba-24HR'!E81)</f>
        <v>0.5</v>
      </c>
      <c r="F81" s="49">
        <f>AVERAGE('31.10 Bujuko-Buloba-24h'!F81,'2.11 Bujuko-Buloba-24HR'!F81)</f>
        <v>1</v>
      </c>
      <c r="G81" s="49">
        <f>AVERAGE('31.10 Bujuko-Buloba-24h'!G81,'2.11 Bujuko-Buloba-24HR'!G81)</f>
        <v>0</v>
      </c>
      <c r="H81" s="49">
        <f>AVERAGE('31.10 Bujuko-Buloba-24h'!H81,'2.11 Bujuko-Buloba-24HR'!H81)</f>
        <v>0</v>
      </c>
      <c r="I81" s="49">
        <f>AVERAGE('31.10 Bujuko-Buloba-24h'!I81,'2.11 Bujuko-Buloba-24HR'!I81)</f>
        <v>2.5</v>
      </c>
      <c r="J81" s="49">
        <f>AVERAGE('31.10 Bujuko-Buloba-24h'!J81,'2.11 Bujuko-Buloba-24HR'!J81)</f>
        <v>2</v>
      </c>
      <c r="K81" s="49">
        <f>AVERAGE('31.10 Bujuko-Buloba-24h'!K81,'2.11 Bujuko-Buloba-24HR'!K81)</f>
        <v>0</v>
      </c>
      <c r="L81" s="49">
        <f>AVERAGE('31.10 Bujuko-Buloba-24h'!L81,'2.11 Bujuko-Buloba-24HR'!L81)</f>
        <v>0.5</v>
      </c>
      <c r="M81" s="49">
        <f>AVERAGE('31.10 Bujuko-Buloba-24h'!M81,'2.11 Bujuko-Buloba-24HR'!M81)</f>
        <v>3</v>
      </c>
      <c r="N81" s="49">
        <f>AVERAGE('31.10 Bujuko-Buloba-24h'!N81,'2.11 Bujuko-Buloba-24HR'!N81)</f>
        <v>0</v>
      </c>
      <c r="O81" s="15">
        <f t="shared" si="35"/>
        <v>9.5</v>
      </c>
      <c r="P81" s="15">
        <f t="shared" si="36"/>
        <v>12.5</v>
      </c>
      <c r="R81" s="8"/>
      <c r="T81"/>
    </row>
    <row r="82" spans="2:20" ht="23.1" customHeight="1" x14ac:dyDescent="0.25">
      <c r="B82" s="24" t="s">
        <v>122</v>
      </c>
      <c r="C82" s="49">
        <f>AVERAGE('31.10 Bujuko-Buloba-24h'!C82,'2.11 Bujuko-Buloba-24HR'!C82)</f>
        <v>1.5</v>
      </c>
      <c r="D82" s="49">
        <f>AVERAGE('31.10 Bujuko-Buloba-24h'!D82,'2.11 Bujuko-Buloba-24HR'!D82)</f>
        <v>2</v>
      </c>
      <c r="E82" s="49">
        <f>AVERAGE('31.10 Bujuko-Buloba-24h'!E82,'2.11 Bujuko-Buloba-24HR'!E82)</f>
        <v>0.5</v>
      </c>
      <c r="F82" s="49">
        <f>AVERAGE('31.10 Bujuko-Buloba-24h'!F82,'2.11 Bujuko-Buloba-24HR'!F82)</f>
        <v>0</v>
      </c>
      <c r="G82" s="49">
        <f>AVERAGE('31.10 Bujuko-Buloba-24h'!G82,'2.11 Bujuko-Buloba-24HR'!G82)</f>
        <v>0</v>
      </c>
      <c r="H82" s="49">
        <f>AVERAGE('31.10 Bujuko-Buloba-24h'!H82,'2.11 Bujuko-Buloba-24HR'!H82)</f>
        <v>0</v>
      </c>
      <c r="I82" s="49">
        <f>AVERAGE('31.10 Bujuko-Buloba-24h'!I82,'2.11 Bujuko-Buloba-24HR'!I82)</f>
        <v>0.5</v>
      </c>
      <c r="J82" s="49">
        <f>AVERAGE('31.10 Bujuko-Buloba-24h'!J82,'2.11 Bujuko-Buloba-24HR'!J82)</f>
        <v>3.5</v>
      </c>
      <c r="K82" s="49">
        <f>AVERAGE('31.10 Bujuko-Buloba-24h'!K82,'2.11 Bujuko-Buloba-24HR'!K82)</f>
        <v>1</v>
      </c>
      <c r="L82" s="49">
        <f>AVERAGE('31.10 Bujuko-Buloba-24h'!L82,'2.11 Bujuko-Buloba-24HR'!L82)</f>
        <v>1.5</v>
      </c>
      <c r="M82" s="49">
        <f>AVERAGE('31.10 Bujuko-Buloba-24h'!M82,'2.11 Bujuko-Buloba-24HR'!M82)</f>
        <v>2.5</v>
      </c>
      <c r="N82" s="49">
        <f>AVERAGE('31.10 Bujuko-Buloba-24h'!N82,'2.11 Bujuko-Buloba-24HR'!N82)</f>
        <v>0</v>
      </c>
      <c r="O82" s="15">
        <f t="shared" si="35"/>
        <v>10.5</v>
      </c>
      <c r="P82" s="15">
        <f t="shared" si="36"/>
        <v>13</v>
      </c>
      <c r="R82" s="8"/>
      <c r="T82"/>
    </row>
    <row r="83" spans="2:20" ht="23.1" customHeight="1" x14ac:dyDescent="0.25">
      <c r="B83" s="23" t="s">
        <v>123</v>
      </c>
      <c r="C83" s="49">
        <f>AVERAGE('31.10 Bujuko-Buloba-24h'!C83,'2.11 Bujuko-Buloba-24HR'!C83)</f>
        <v>2</v>
      </c>
      <c r="D83" s="49">
        <f>AVERAGE('31.10 Bujuko-Buloba-24h'!D83,'2.11 Bujuko-Buloba-24HR'!D83)</f>
        <v>1</v>
      </c>
      <c r="E83" s="49">
        <f>AVERAGE('31.10 Bujuko-Buloba-24h'!E83,'2.11 Bujuko-Buloba-24HR'!E83)</f>
        <v>0</v>
      </c>
      <c r="F83" s="49">
        <f>AVERAGE('31.10 Bujuko-Buloba-24h'!F83,'2.11 Bujuko-Buloba-24HR'!F83)</f>
        <v>0.5</v>
      </c>
      <c r="G83" s="49">
        <f>AVERAGE('31.10 Bujuko-Buloba-24h'!G83,'2.11 Bujuko-Buloba-24HR'!G83)</f>
        <v>0</v>
      </c>
      <c r="H83" s="49">
        <f>AVERAGE('31.10 Bujuko-Buloba-24h'!H83,'2.11 Bujuko-Buloba-24HR'!H83)</f>
        <v>0</v>
      </c>
      <c r="I83" s="49">
        <f>AVERAGE('31.10 Bujuko-Buloba-24h'!I83,'2.11 Bujuko-Buloba-24HR'!I83)</f>
        <v>3</v>
      </c>
      <c r="J83" s="49">
        <f>AVERAGE('31.10 Bujuko-Buloba-24h'!J83,'2.11 Bujuko-Buloba-24HR'!J83)</f>
        <v>1</v>
      </c>
      <c r="K83" s="49">
        <f>AVERAGE('31.10 Bujuko-Buloba-24h'!K83,'2.11 Bujuko-Buloba-24HR'!K83)</f>
        <v>1.5</v>
      </c>
      <c r="L83" s="49">
        <f>AVERAGE('31.10 Bujuko-Buloba-24h'!L83,'2.11 Bujuko-Buloba-24HR'!L83)</f>
        <v>0.5</v>
      </c>
      <c r="M83" s="49">
        <f>AVERAGE('31.10 Bujuko-Buloba-24h'!M83,'2.11 Bujuko-Buloba-24HR'!M83)</f>
        <v>2.5</v>
      </c>
      <c r="N83" s="49">
        <f>AVERAGE('31.10 Bujuko-Buloba-24h'!N83,'2.11 Bujuko-Buloba-24HR'!N83)</f>
        <v>0</v>
      </c>
      <c r="O83" s="15">
        <f t="shared" si="35"/>
        <v>9.5</v>
      </c>
      <c r="P83" s="15">
        <f t="shared" si="36"/>
        <v>12</v>
      </c>
      <c r="R83" s="8"/>
      <c r="T83"/>
    </row>
    <row r="84" spans="2:20" ht="23.1" customHeight="1" x14ac:dyDescent="0.25">
      <c r="B84" s="25" t="s">
        <v>124</v>
      </c>
      <c r="C84" s="49">
        <f>AVERAGE('31.10 Bujuko-Buloba-24h'!C84,'2.11 Bujuko-Buloba-24HR'!C84)</f>
        <v>4</v>
      </c>
      <c r="D84" s="49">
        <f>AVERAGE('31.10 Bujuko-Buloba-24h'!D84,'2.11 Bujuko-Buloba-24HR'!D84)</f>
        <v>1.5</v>
      </c>
      <c r="E84" s="49">
        <f>AVERAGE('31.10 Bujuko-Buloba-24h'!E84,'2.11 Bujuko-Buloba-24HR'!E84)</f>
        <v>1.5</v>
      </c>
      <c r="F84" s="49">
        <f>AVERAGE('31.10 Bujuko-Buloba-24h'!F84,'2.11 Bujuko-Buloba-24HR'!F84)</f>
        <v>0</v>
      </c>
      <c r="G84" s="49">
        <f>AVERAGE('31.10 Bujuko-Buloba-24h'!G84,'2.11 Bujuko-Buloba-24HR'!G84)</f>
        <v>0</v>
      </c>
      <c r="H84" s="49">
        <f>AVERAGE('31.10 Bujuko-Buloba-24h'!H84,'2.11 Bujuko-Buloba-24HR'!H84)</f>
        <v>0</v>
      </c>
      <c r="I84" s="49">
        <f>AVERAGE('31.10 Bujuko-Buloba-24h'!I84,'2.11 Bujuko-Buloba-24HR'!I84)</f>
        <v>1</v>
      </c>
      <c r="J84" s="49">
        <f>AVERAGE('31.10 Bujuko-Buloba-24h'!J84,'2.11 Bujuko-Buloba-24HR'!J84)</f>
        <v>0.5</v>
      </c>
      <c r="K84" s="49">
        <f>AVERAGE('31.10 Bujuko-Buloba-24h'!K84,'2.11 Bujuko-Buloba-24HR'!K84)</f>
        <v>0</v>
      </c>
      <c r="L84" s="49">
        <f>AVERAGE('31.10 Bujuko-Buloba-24h'!L84,'2.11 Bujuko-Buloba-24HR'!L84)</f>
        <v>0.5</v>
      </c>
      <c r="M84" s="49">
        <f>AVERAGE('31.10 Bujuko-Buloba-24h'!M84,'2.11 Bujuko-Buloba-24HR'!M84)</f>
        <v>2.5</v>
      </c>
      <c r="N84" s="49">
        <f>AVERAGE('31.10 Bujuko-Buloba-24h'!N84,'2.11 Bujuko-Buloba-24HR'!N84)</f>
        <v>0</v>
      </c>
      <c r="O84" s="15">
        <f t="shared" si="35"/>
        <v>9</v>
      </c>
      <c r="P84" s="15">
        <f t="shared" si="36"/>
        <v>11.5</v>
      </c>
      <c r="R84" s="8"/>
      <c r="T84"/>
    </row>
    <row r="85" spans="2:20" ht="23.1" customHeight="1" x14ac:dyDescent="0.25">
      <c r="B85" s="23" t="s">
        <v>125</v>
      </c>
      <c r="C85" s="49">
        <f>AVERAGE('31.10 Bujuko-Buloba-24h'!C85,'2.11 Bujuko-Buloba-24HR'!C85)</f>
        <v>3</v>
      </c>
      <c r="D85" s="49">
        <f>AVERAGE('31.10 Bujuko-Buloba-24h'!D85,'2.11 Bujuko-Buloba-24HR'!D85)</f>
        <v>2</v>
      </c>
      <c r="E85" s="49">
        <f>AVERAGE('31.10 Bujuko-Buloba-24h'!E85,'2.11 Bujuko-Buloba-24HR'!E85)</f>
        <v>1</v>
      </c>
      <c r="F85" s="49">
        <f>AVERAGE('31.10 Bujuko-Buloba-24h'!F85,'2.11 Bujuko-Buloba-24HR'!F85)</f>
        <v>0</v>
      </c>
      <c r="G85" s="49">
        <f>AVERAGE('31.10 Bujuko-Buloba-24h'!G85,'2.11 Bujuko-Buloba-24HR'!G85)</f>
        <v>0</v>
      </c>
      <c r="H85" s="49">
        <f>AVERAGE('31.10 Bujuko-Buloba-24h'!H85,'2.11 Bujuko-Buloba-24HR'!H85)</f>
        <v>0</v>
      </c>
      <c r="I85" s="49">
        <f>AVERAGE('31.10 Bujuko-Buloba-24h'!I85,'2.11 Bujuko-Buloba-24HR'!I85)</f>
        <v>3.5</v>
      </c>
      <c r="J85" s="49">
        <f>AVERAGE('31.10 Bujuko-Buloba-24h'!J85,'2.11 Bujuko-Buloba-24HR'!J85)</f>
        <v>0</v>
      </c>
      <c r="K85" s="49">
        <f>AVERAGE('31.10 Bujuko-Buloba-24h'!K85,'2.11 Bujuko-Buloba-24HR'!K85)</f>
        <v>0.5</v>
      </c>
      <c r="L85" s="49">
        <f>AVERAGE('31.10 Bujuko-Buloba-24h'!L85,'2.11 Bujuko-Buloba-24HR'!L85)</f>
        <v>0.5</v>
      </c>
      <c r="M85" s="49">
        <f>AVERAGE('31.10 Bujuko-Buloba-24h'!M85,'2.11 Bujuko-Buloba-24HR'!M85)</f>
        <v>3</v>
      </c>
      <c r="N85" s="49">
        <f>AVERAGE('31.10 Bujuko-Buloba-24h'!N85,'2.11 Bujuko-Buloba-24HR'!N85)</f>
        <v>0</v>
      </c>
      <c r="O85" s="15">
        <f t="shared" si="35"/>
        <v>10.5</v>
      </c>
      <c r="P85" s="15">
        <f t="shared" si="36"/>
        <v>13.5</v>
      </c>
      <c r="R85" s="8"/>
      <c r="T85"/>
    </row>
    <row r="86" spans="2:20" ht="23.1" customHeight="1" x14ac:dyDescent="0.25">
      <c r="B86" s="24" t="s">
        <v>126</v>
      </c>
      <c r="C86" s="49">
        <f>AVERAGE('31.10 Bujuko-Buloba-24h'!C86,'2.11 Bujuko-Buloba-24HR'!C86)</f>
        <v>3</v>
      </c>
      <c r="D86" s="49">
        <f>AVERAGE('31.10 Bujuko-Buloba-24h'!D86,'2.11 Bujuko-Buloba-24HR'!D86)</f>
        <v>0</v>
      </c>
      <c r="E86" s="49">
        <f>AVERAGE('31.10 Bujuko-Buloba-24h'!E86,'2.11 Bujuko-Buloba-24HR'!E86)</f>
        <v>0</v>
      </c>
      <c r="F86" s="49">
        <f>AVERAGE('31.10 Bujuko-Buloba-24h'!F86,'2.11 Bujuko-Buloba-24HR'!F86)</f>
        <v>0</v>
      </c>
      <c r="G86" s="49">
        <f>AVERAGE('31.10 Bujuko-Buloba-24h'!G86,'2.11 Bujuko-Buloba-24HR'!G86)</f>
        <v>0</v>
      </c>
      <c r="H86" s="49">
        <f>AVERAGE('31.10 Bujuko-Buloba-24h'!H86,'2.11 Bujuko-Buloba-24HR'!H86)</f>
        <v>0</v>
      </c>
      <c r="I86" s="49">
        <f>AVERAGE('31.10 Bujuko-Buloba-24h'!I86,'2.11 Bujuko-Buloba-24HR'!I86)</f>
        <v>1</v>
      </c>
      <c r="J86" s="49">
        <f>AVERAGE('31.10 Bujuko-Buloba-24h'!J86,'2.11 Bujuko-Buloba-24HR'!J86)</f>
        <v>0</v>
      </c>
      <c r="K86" s="49">
        <f>AVERAGE('31.10 Bujuko-Buloba-24h'!K86,'2.11 Bujuko-Buloba-24HR'!K86)</f>
        <v>1</v>
      </c>
      <c r="L86" s="49">
        <f>AVERAGE('31.10 Bujuko-Buloba-24h'!L86,'2.11 Bujuko-Buloba-24HR'!L86)</f>
        <v>1.5</v>
      </c>
      <c r="M86" s="49">
        <f>AVERAGE('31.10 Bujuko-Buloba-24h'!M86,'2.11 Bujuko-Buloba-24HR'!M86)</f>
        <v>4</v>
      </c>
      <c r="N86" s="49">
        <f>AVERAGE('31.10 Bujuko-Buloba-24h'!N86,'2.11 Bujuko-Buloba-24HR'!N86)</f>
        <v>0</v>
      </c>
      <c r="O86" s="15">
        <f t="shared" si="35"/>
        <v>6.5</v>
      </c>
      <c r="P86" s="15">
        <f t="shared" si="36"/>
        <v>10.5</v>
      </c>
      <c r="R86" s="8"/>
      <c r="T86"/>
    </row>
    <row r="87" spans="2:20" ht="23.1" customHeight="1" x14ac:dyDescent="0.25">
      <c r="B87" s="23" t="s">
        <v>127</v>
      </c>
      <c r="C87" s="49">
        <f>AVERAGE('31.10 Bujuko-Buloba-24h'!C87,'2.11 Bujuko-Buloba-24HR'!C87)</f>
        <v>2</v>
      </c>
      <c r="D87" s="49">
        <f>AVERAGE('31.10 Bujuko-Buloba-24h'!D87,'2.11 Bujuko-Buloba-24HR'!D87)</f>
        <v>0</v>
      </c>
      <c r="E87" s="49">
        <f>AVERAGE('31.10 Bujuko-Buloba-24h'!E87,'2.11 Bujuko-Buloba-24HR'!E87)</f>
        <v>0.5</v>
      </c>
      <c r="F87" s="49">
        <f>AVERAGE('31.10 Bujuko-Buloba-24h'!F87,'2.11 Bujuko-Buloba-24HR'!F87)</f>
        <v>0</v>
      </c>
      <c r="G87" s="49">
        <f>AVERAGE('31.10 Bujuko-Buloba-24h'!G87,'2.11 Bujuko-Buloba-24HR'!G87)</f>
        <v>0</v>
      </c>
      <c r="H87" s="49">
        <f>AVERAGE('31.10 Bujuko-Buloba-24h'!H87,'2.11 Bujuko-Buloba-24HR'!H87)</f>
        <v>0</v>
      </c>
      <c r="I87" s="49">
        <f>AVERAGE('31.10 Bujuko-Buloba-24h'!I87,'2.11 Bujuko-Buloba-24HR'!I87)</f>
        <v>1</v>
      </c>
      <c r="J87" s="49">
        <f>AVERAGE('31.10 Bujuko-Buloba-24h'!J87,'2.11 Bujuko-Buloba-24HR'!J87)</f>
        <v>0</v>
      </c>
      <c r="K87" s="49">
        <f>AVERAGE('31.10 Bujuko-Buloba-24h'!K87,'2.11 Bujuko-Buloba-24HR'!K87)</f>
        <v>0</v>
      </c>
      <c r="L87" s="49">
        <f>AVERAGE('31.10 Bujuko-Buloba-24h'!L87,'2.11 Bujuko-Buloba-24HR'!L87)</f>
        <v>0</v>
      </c>
      <c r="M87" s="49">
        <f>AVERAGE('31.10 Bujuko-Buloba-24h'!M87,'2.11 Bujuko-Buloba-24HR'!M87)</f>
        <v>6.5</v>
      </c>
      <c r="N87" s="49">
        <f>AVERAGE('31.10 Bujuko-Buloba-24h'!N87,'2.11 Bujuko-Buloba-24HR'!N87)</f>
        <v>0</v>
      </c>
      <c r="O87" s="15">
        <f t="shared" si="35"/>
        <v>3.5</v>
      </c>
      <c r="P87" s="15">
        <f t="shared" si="36"/>
        <v>10</v>
      </c>
      <c r="R87" s="8"/>
      <c r="T87"/>
    </row>
    <row r="88" spans="2:20" ht="23.1" customHeight="1" x14ac:dyDescent="0.25">
      <c r="B88" s="25" t="s">
        <v>128</v>
      </c>
      <c r="C88" s="49">
        <f>AVERAGE('31.10 Bujuko-Buloba-24h'!C88,'2.11 Bujuko-Buloba-24HR'!C88)</f>
        <v>1</v>
      </c>
      <c r="D88" s="49">
        <f>AVERAGE('31.10 Bujuko-Buloba-24h'!D88,'2.11 Bujuko-Buloba-24HR'!D88)</f>
        <v>1</v>
      </c>
      <c r="E88" s="49">
        <f>AVERAGE('31.10 Bujuko-Buloba-24h'!E88,'2.11 Bujuko-Buloba-24HR'!E88)</f>
        <v>1.5</v>
      </c>
      <c r="F88" s="49">
        <f>AVERAGE('31.10 Bujuko-Buloba-24h'!F88,'2.11 Bujuko-Buloba-24HR'!F88)</f>
        <v>0.5</v>
      </c>
      <c r="G88" s="49">
        <f>AVERAGE('31.10 Bujuko-Buloba-24h'!G88,'2.11 Bujuko-Buloba-24HR'!G88)</f>
        <v>0</v>
      </c>
      <c r="H88" s="49">
        <f>AVERAGE('31.10 Bujuko-Buloba-24h'!H88,'2.11 Bujuko-Buloba-24HR'!H88)</f>
        <v>0</v>
      </c>
      <c r="I88" s="49">
        <f>AVERAGE('31.10 Bujuko-Buloba-24h'!I88,'2.11 Bujuko-Buloba-24HR'!I88)</f>
        <v>0.5</v>
      </c>
      <c r="J88" s="49">
        <f>AVERAGE('31.10 Bujuko-Buloba-24h'!J88,'2.11 Bujuko-Buloba-24HR'!J88)</f>
        <v>0</v>
      </c>
      <c r="K88" s="49">
        <f>AVERAGE('31.10 Bujuko-Buloba-24h'!K88,'2.11 Bujuko-Buloba-24HR'!K88)</f>
        <v>1</v>
      </c>
      <c r="L88" s="49">
        <f>AVERAGE('31.10 Bujuko-Buloba-24h'!L88,'2.11 Bujuko-Buloba-24HR'!L88)</f>
        <v>0.5</v>
      </c>
      <c r="M88" s="49">
        <f>AVERAGE('31.10 Bujuko-Buloba-24h'!M88,'2.11 Bujuko-Buloba-24HR'!M88)</f>
        <v>2.5</v>
      </c>
      <c r="N88" s="49">
        <f>AVERAGE('31.10 Bujuko-Buloba-24h'!N88,'2.11 Bujuko-Buloba-24HR'!N88)</f>
        <v>0</v>
      </c>
      <c r="O88" s="15">
        <f t="shared" si="35"/>
        <v>6</v>
      </c>
      <c r="P88" s="15">
        <f t="shared" si="36"/>
        <v>8.5</v>
      </c>
      <c r="R88" s="8"/>
      <c r="T88"/>
    </row>
    <row r="89" spans="2:20" ht="23.1" customHeight="1" x14ac:dyDescent="0.25">
      <c r="B89" s="23" t="s">
        <v>129</v>
      </c>
      <c r="C89" s="49">
        <f>AVERAGE('31.10 Bujuko-Buloba-24h'!C89,'2.11 Bujuko-Buloba-24HR'!C89)</f>
        <v>2.5</v>
      </c>
      <c r="D89" s="49">
        <f>AVERAGE('31.10 Bujuko-Buloba-24h'!D89,'2.11 Bujuko-Buloba-24HR'!D89)</f>
        <v>0</v>
      </c>
      <c r="E89" s="49">
        <f>AVERAGE('31.10 Bujuko-Buloba-24h'!E89,'2.11 Bujuko-Buloba-24HR'!E89)</f>
        <v>0.5</v>
      </c>
      <c r="F89" s="49">
        <f>AVERAGE('31.10 Bujuko-Buloba-24h'!F89,'2.11 Bujuko-Buloba-24HR'!F89)</f>
        <v>0.5</v>
      </c>
      <c r="G89" s="49">
        <f>AVERAGE('31.10 Bujuko-Buloba-24h'!G89,'2.11 Bujuko-Buloba-24HR'!G89)</f>
        <v>0</v>
      </c>
      <c r="H89" s="49">
        <f>AVERAGE('31.10 Bujuko-Buloba-24h'!H89,'2.11 Bujuko-Buloba-24HR'!H89)</f>
        <v>0</v>
      </c>
      <c r="I89" s="49">
        <f>AVERAGE('31.10 Bujuko-Buloba-24h'!I89,'2.11 Bujuko-Buloba-24HR'!I89)</f>
        <v>2</v>
      </c>
      <c r="J89" s="49">
        <f>AVERAGE('31.10 Bujuko-Buloba-24h'!J89,'2.11 Bujuko-Buloba-24HR'!J89)</f>
        <v>0.5</v>
      </c>
      <c r="K89" s="49">
        <f>AVERAGE('31.10 Bujuko-Buloba-24h'!K89,'2.11 Bujuko-Buloba-24HR'!K89)</f>
        <v>1.5</v>
      </c>
      <c r="L89" s="49">
        <f>AVERAGE('31.10 Bujuko-Buloba-24h'!L89,'2.11 Bujuko-Buloba-24HR'!L89)</f>
        <v>0</v>
      </c>
      <c r="M89" s="49">
        <f>AVERAGE('31.10 Bujuko-Buloba-24h'!M89,'2.11 Bujuko-Buloba-24HR'!M89)</f>
        <v>2</v>
      </c>
      <c r="N89" s="49">
        <f>AVERAGE('31.10 Bujuko-Buloba-24h'!N89,'2.11 Bujuko-Buloba-24HR'!N89)</f>
        <v>0</v>
      </c>
      <c r="O89" s="15">
        <f t="shared" si="35"/>
        <v>7.5</v>
      </c>
      <c r="P89" s="15">
        <f t="shared" si="36"/>
        <v>9.5</v>
      </c>
      <c r="R89" s="8"/>
      <c r="T89"/>
    </row>
    <row r="90" spans="2:20" ht="23.1" customHeight="1" x14ac:dyDescent="0.25">
      <c r="B90" s="24" t="s">
        <v>130</v>
      </c>
      <c r="C90" s="49">
        <f>AVERAGE('31.10 Bujuko-Buloba-24h'!C90,'2.11 Bujuko-Buloba-24HR'!C90)</f>
        <v>1</v>
      </c>
      <c r="D90" s="49">
        <f>AVERAGE('31.10 Bujuko-Buloba-24h'!D90,'2.11 Bujuko-Buloba-24HR'!D90)</f>
        <v>0</v>
      </c>
      <c r="E90" s="49">
        <f>AVERAGE('31.10 Bujuko-Buloba-24h'!E90,'2.11 Bujuko-Buloba-24HR'!E90)</f>
        <v>0</v>
      </c>
      <c r="F90" s="49">
        <f>AVERAGE('31.10 Bujuko-Buloba-24h'!F90,'2.11 Bujuko-Buloba-24HR'!F90)</f>
        <v>0</v>
      </c>
      <c r="G90" s="49">
        <f>AVERAGE('31.10 Bujuko-Buloba-24h'!G90,'2.11 Bujuko-Buloba-24HR'!G90)</f>
        <v>0</v>
      </c>
      <c r="H90" s="49">
        <f>AVERAGE('31.10 Bujuko-Buloba-24h'!H90,'2.11 Bujuko-Buloba-24HR'!H90)</f>
        <v>0</v>
      </c>
      <c r="I90" s="49">
        <f>AVERAGE('31.10 Bujuko-Buloba-24h'!I90,'2.11 Bujuko-Buloba-24HR'!I90)</f>
        <v>1.5</v>
      </c>
      <c r="J90" s="49">
        <f>AVERAGE('31.10 Bujuko-Buloba-24h'!J90,'2.11 Bujuko-Buloba-24HR'!J90)</f>
        <v>2</v>
      </c>
      <c r="K90" s="49">
        <f>AVERAGE('31.10 Bujuko-Buloba-24h'!K90,'2.11 Bujuko-Buloba-24HR'!K90)</f>
        <v>0</v>
      </c>
      <c r="L90" s="49">
        <f>AVERAGE('31.10 Bujuko-Buloba-24h'!L90,'2.11 Bujuko-Buloba-24HR'!L90)</f>
        <v>0</v>
      </c>
      <c r="M90" s="49">
        <f>AVERAGE('31.10 Bujuko-Buloba-24h'!M90,'2.11 Bujuko-Buloba-24HR'!M90)</f>
        <v>1</v>
      </c>
      <c r="N90" s="49">
        <f>AVERAGE('31.10 Bujuko-Buloba-24h'!N90,'2.11 Bujuko-Buloba-24HR'!N90)</f>
        <v>0</v>
      </c>
      <c r="O90" s="15">
        <f t="shared" si="35"/>
        <v>4.5</v>
      </c>
      <c r="P90" s="15">
        <f t="shared" si="36"/>
        <v>5.5</v>
      </c>
      <c r="R90" s="8"/>
      <c r="T90"/>
    </row>
    <row r="91" spans="2:20" ht="23.1" customHeight="1" x14ac:dyDescent="0.25">
      <c r="B91" s="23" t="s">
        <v>131</v>
      </c>
      <c r="C91" s="49">
        <f>AVERAGE('31.10 Bujuko-Buloba-24h'!C91,'2.11 Bujuko-Buloba-24HR'!C91)</f>
        <v>1.5</v>
      </c>
      <c r="D91" s="49">
        <f>AVERAGE('31.10 Bujuko-Buloba-24h'!D91,'2.11 Bujuko-Buloba-24HR'!D91)</f>
        <v>0</v>
      </c>
      <c r="E91" s="49">
        <f>AVERAGE('31.10 Bujuko-Buloba-24h'!E91,'2.11 Bujuko-Buloba-24HR'!E91)</f>
        <v>0</v>
      </c>
      <c r="F91" s="49">
        <f>AVERAGE('31.10 Bujuko-Buloba-24h'!F91,'2.11 Bujuko-Buloba-24HR'!F91)</f>
        <v>0</v>
      </c>
      <c r="G91" s="49">
        <f>AVERAGE('31.10 Bujuko-Buloba-24h'!G91,'2.11 Bujuko-Buloba-24HR'!G91)</f>
        <v>0</v>
      </c>
      <c r="H91" s="49">
        <f>AVERAGE('31.10 Bujuko-Buloba-24h'!H91,'2.11 Bujuko-Buloba-24HR'!H91)</f>
        <v>0</v>
      </c>
      <c r="I91" s="49">
        <f>AVERAGE('31.10 Bujuko-Buloba-24h'!I91,'2.11 Bujuko-Buloba-24HR'!I91)</f>
        <v>2</v>
      </c>
      <c r="J91" s="49">
        <f>AVERAGE('31.10 Bujuko-Buloba-24h'!J91,'2.11 Bujuko-Buloba-24HR'!J91)</f>
        <v>0.5</v>
      </c>
      <c r="K91" s="49">
        <f>AVERAGE('31.10 Bujuko-Buloba-24h'!K91,'2.11 Bujuko-Buloba-24HR'!K91)</f>
        <v>0</v>
      </c>
      <c r="L91" s="49">
        <f>AVERAGE('31.10 Bujuko-Buloba-24h'!L91,'2.11 Bujuko-Buloba-24HR'!L91)</f>
        <v>0</v>
      </c>
      <c r="M91" s="49">
        <f>AVERAGE('31.10 Bujuko-Buloba-24h'!M91,'2.11 Bujuko-Buloba-24HR'!M91)</f>
        <v>0.5</v>
      </c>
      <c r="N91" s="49">
        <f>AVERAGE('31.10 Bujuko-Buloba-24h'!N91,'2.11 Bujuko-Buloba-24HR'!N91)</f>
        <v>0</v>
      </c>
      <c r="O91" s="15">
        <f t="shared" si="35"/>
        <v>4</v>
      </c>
      <c r="P91" s="15">
        <f t="shared" si="36"/>
        <v>4.5</v>
      </c>
      <c r="R91" s="8"/>
      <c r="T91"/>
    </row>
    <row r="92" spans="2:20" ht="23.1" customHeight="1" x14ac:dyDescent="0.25">
      <c r="B92" s="25" t="s">
        <v>132</v>
      </c>
      <c r="C92" s="49">
        <f>AVERAGE('31.10 Bujuko-Buloba-24h'!C92,'2.11 Bujuko-Buloba-24HR'!C92)</f>
        <v>2</v>
      </c>
      <c r="D92" s="49">
        <f>AVERAGE('31.10 Bujuko-Buloba-24h'!D92,'2.11 Bujuko-Buloba-24HR'!D92)</f>
        <v>1</v>
      </c>
      <c r="E92" s="49">
        <f>AVERAGE('31.10 Bujuko-Buloba-24h'!E92,'2.11 Bujuko-Buloba-24HR'!E92)</f>
        <v>0</v>
      </c>
      <c r="F92" s="49">
        <f>AVERAGE('31.10 Bujuko-Buloba-24h'!F92,'2.11 Bujuko-Buloba-24HR'!F92)</f>
        <v>0</v>
      </c>
      <c r="G92" s="49">
        <f>AVERAGE('31.10 Bujuko-Buloba-24h'!G92,'2.11 Bujuko-Buloba-24HR'!G92)</f>
        <v>0</v>
      </c>
      <c r="H92" s="49">
        <f>AVERAGE('31.10 Bujuko-Buloba-24h'!H92,'2.11 Bujuko-Buloba-24HR'!H92)</f>
        <v>0</v>
      </c>
      <c r="I92" s="49">
        <f>AVERAGE('31.10 Bujuko-Buloba-24h'!I92,'2.11 Bujuko-Buloba-24HR'!I92)</f>
        <v>0</v>
      </c>
      <c r="J92" s="49">
        <f>AVERAGE('31.10 Bujuko-Buloba-24h'!J92,'2.11 Bujuko-Buloba-24HR'!J92)</f>
        <v>1</v>
      </c>
      <c r="K92" s="49">
        <f>AVERAGE('31.10 Bujuko-Buloba-24h'!K92,'2.11 Bujuko-Buloba-24HR'!K92)</f>
        <v>0.5</v>
      </c>
      <c r="L92" s="49">
        <f>AVERAGE('31.10 Bujuko-Buloba-24h'!L92,'2.11 Bujuko-Buloba-24HR'!L92)</f>
        <v>0</v>
      </c>
      <c r="M92" s="49">
        <f>AVERAGE('31.10 Bujuko-Buloba-24h'!M92,'2.11 Bujuko-Buloba-24HR'!M92)</f>
        <v>2</v>
      </c>
      <c r="N92" s="49">
        <f>AVERAGE('31.10 Bujuko-Buloba-24h'!N92,'2.11 Bujuko-Buloba-24HR'!N92)</f>
        <v>0</v>
      </c>
      <c r="O92" s="15">
        <f t="shared" si="35"/>
        <v>4.5</v>
      </c>
      <c r="P92" s="15">
        <f t="shared" si="36"/>
        <v>6.5</v>
      </c>
      <c r="R92" s="8"/>
      <c r="T92"/>
    </row>
    <row r="93" spans="2:20" ht="23.1" customHeight="1" x14ac:dyDescent="0.25">
      <c r="B93" s="23" t="s">
        <v>133</v>
      </c>
      <c r="C93" s="49">
        <f>AVERAGE('31.10 Bujuko-Buloba-24h'!C93,'2.11 Bujuko-Buloba-24HR'!C93)</f>
        <v>2.5</v>
      </c>
      <c r="D93" s="49">
        <f>AVERAGE('31.10 Bujuko-Buloba-24h'!D93,'2.11 Bujuko-Buloba-24HR'!D93)</f>
        <v>0</v>
      </c>
      <c r="E93" s="49">
        <f>AVERAGE('31.10 Bujuko-Buloba-24h'!E93,'2.11 Bujuko-Buloba-24HR'!E93)</f>
        <v>0</v>
      </c>
      <c r="F93" s="49">
        <f>AVERAGE('31.10 Bujuko-Buloba-24h'!F93,'2.11 Bujuko-Buloba-24HR'!F93)</f>
        <v>0</v>
      </c>
      <c r="G93" s="49">
        <f>AVERAGE('31.10 Bujuko-Buloba-24h'!G93,'2.11 Bujuko-Buloba-24HR'!G93)</f>
        <v>0</v>
      </c>
      <c r="H93" s="49">
        <f>AVERAGE('31.10 Bujuko-Buloba-24h'!H93,'2.11 Bujuko-Buloba-24HR'!H93)</f>
        <v>0</v>
      </c>
      <c r="I93" s="49">
        <f>AVERAGE('31.10 Bujuko-Buloba-24h'!I93,'2.11 Bujuko-Buloba-24HR'!I93)</f>
        <v>0.5</v>
      </c>
      <c r="J93" s="49">
        <f>AVERAGE('31.10 Bujuko-Buloba-24h'!J93,'2.11 Bujuko-Buloba-24HR'!J93)</f>
        <v>0</v>
      </c>
      <c r="K93" s="49">
        <f>AVERAGE('31.10 Bujuko-Buloba-24h'!K93,'2.11 Bujuko-Buloba-24HR'!K93)</f>
        <v>1.5</v>
      </c>
      <c r="L93" s="49">
        <f>AVERAGE('31.10 Bujuko-Buloba-24h'!L93,'2.11 Bujuko-Buloba-24HR'!L93)</f>
        <v>0</v>
      </c>
      <c r="M93" s="49">
        <f>AVERAGE('31.10 Bujuko-Buloba-24h'!M93,'2.11 Bujuko-Buloba-24HR'!M93)</f>
        <v>5</v>
      </c>
      <c r="N93" s="49">
        <f>AVERAGE('31.10 Bujuko-Buloba-24h'!N93,'2.11 Bujuko-Buloba-24HR'!N93)</f>
        <v>0</v>
      </c>
      <c r="O93" s="15">
        <f t="shared" si="35"/>
        <v>4.5</v>
      </c>
      <c r="P93" s="15">
        <f t="shared" si="36"/>
        <v>9.5</v>
      </c>
      <c r="R93" s="8"/>
      <c r="T93"/>
    </row>
    <row r="94" spans="2:20" ht="23.1" customHeight="1" x14ac:dyDescent="0.25">
      <c r="B94" s="24" t="s">
        <v>134</v>
      </c>
      <c r="C94" s="49">
        <f>AVERAGE('31.10 Bujuko-Buloba-24h'!C94,'2.11 Bujuko-Buloba-24HR'!C94)</f>
        <v>5</v>
      </c>
      <c r="D94" s="49">
        <f>AVERAGE('31.10 Bujuko-Buloba-24h'!D94,'2.11 Bujuko-Buloba-24HR'!D94)</f>
        <v>0</v>
      </c>
      <c r="E94" s="49">
        <f>AVERAGE('31.10 Bujuko-Buloba-24h'!E94,'2.11 Bujuko-Buloba-24HR'!E94)</f>
        <v>0.5</v>
      </c>
      <c r="F94" s="49">
        <f>AVERAGE('31.10 Bujuko-Buloba-24h'!F94,'2.11 Bujuko-Buloba-24HR'!F94)</f>
        <v>1.5</v>
      </c>
      <c r="G94" s="49">
        <f>AVERAGE('31.10 Bujuko-Buloba-24h'!G94,'2.11 Bujuko-Buloba-24HR'!G94)</f>
        <v>0</v>
      </c>
      <c r="H94" s="49">
        <f>AVERAGE('31.10 Bujuko-Buloba-24h'!H94,'2.11 Bujuko-Buloba-24HR'!H94)</f>
        <v>0.5</v>
      </c>
      <c r="I94" s="49">
        <f>AVERAGE('31.10 Bujuko-Buloba-24h'!I94,'2.11 Bujuko-Buloba-24HR'!I94)</f>
        <v>2.5</v>
      </c>
      <c r="J94" s="49">
        <f>AVERAGE('31.10 Bujuko-Buloba-24h'!J94,'2.11 Bujuko-Buloba-24HR'!J94)</f>
        <v>0</v>
      </c>
      <c r="K94" s="49">
        <f>AVERAGE('31.10 Bujuko-Buloba-24h'!K94,'2.11 Bujuko-Buloba-24HR'!K94)</f>
        <v>0</v>
      </c>
      <c r="L94" s="49">
        <f>AVERAGE('31.10 Bujuko-Buloba-24h'!L94,'2.11 Bujuko-Buloba-24HR'!L94)</f>
        <v>0</v>
      </c>
      <c r="M94" s="49">
        <f>AVERAGE('31.10 Bujuko-Buloba-24h'!M94,'2.11 Bujuko-Buloba-24HR'!M94)</f>
        <v>2</v>
      </c>
      <c r="N94" s="49">
        <f>AVERAGE('31.10 Bujuko-Buloba-24h'!N94,'2.11 Bujuko-Buloba-24HR'!N94)</f>
        <v>0</v>
      </c>
      <c r="O94" s="15">
        <f t="shared" si="35"/>
        <v>10</v>
      </c>
      <c r="P94" s="15">
        <f t="shared" si="36"/>
        <v>12</v>
      </c>
      <c r="R94" s="8"/>
      <c r="T94"/>
    </row>
    <row r="95" spans="2:20" ht="23.1" customHeight="1" x14ac:dyDescent="0.25">
      <c r="B95" s="23" t="s">
        <v>135</v>
      </c>
      <c r="C95" s="49">
        <f>AVERAGE('31.10 Bujuko-Buloba-24h'!C95,'2.11 Bujuko-Buloba-24HR'!C95)</f>
        <v>1.5</v>
      </c>
      <c r="D95" s="49">
        <f>AVERAGE('31.10 Bujuko-Buloba-24h'!D95,'2.11 Bujuko-Buloba-24HR'!D95)</f>
        <v>0</v>
      </c>
      <c r="E95" s="49">
        <f>AVERAGE('31.10 Bujuko-Buloba-24h'!E95,'2.11 Bujuko-Buloba-24HR'!E95)</f>
        <v>0</v>
      </c>
      <c r="F95" s="49">
        <f>AVERAGE('31.10 Bujuko-Buloba-24h'!F95,'2.11 Bujuko-Buloba-24HR'!F95)</f>
        <v>0</v>
      </c>
      <c r="G95" s="49">
        <f>AVERAGE('31.10 Bujuko-Buloba-24h'!G95,'2.11 Bujuko-Buloba-24HR'!G95)</f>
        <v>0</v>
      </c>
      <c r="H95" s="49">
        <f>AVERAGE('31.10 Bujuko-Buloba-24h'!H95,'2.11 Bujuko-Buloba-24HR'!H95)</f>
        <v>0</v>
      </c>
      <c r="I95" s="49">
        <f>AVERAGE('31.10 Bujuko-Buloba-24h'!I95,'2.11 Bujuko-Buloba-24HR'!I95)</f>
        <v>2.5</v>
      </c>
      <c r="J95" s="49">
        <f>AVERAGE('31.10 Bujuko-Buloba-24h'!J95,'2.11 Bujuko-Buloba-24HR'!J95)</f>
        <v>0</v>
      </c>
      <c r="K95" s="49">
        <f>AVERAGE('31.10 Bujuko-Buloba-24h'!K95,'2.11 Bujuko-Buloba-24HR'!K95)</f>
        <v>0</v>
      </c>
      <c r="L95" s="49">
        <f>AVERAGE('31.10 Bujuko-Buloba-24h'!L95,'2.11 Bujuko-Buloba-24HR'!L95)</f>
        <v>0</v>
      </c>
      <c r="M95" s="49">
        <f>AVERAGE('31.10 Bujuko-Buloba-24h'!M95,'2.11 Bujuko-Buloba-24HR'!M95)</f>
        <v>5.5</v>
      </c>
      <c r="N95" s="49">
        <f>AVERAGE('31.10 Bujuko-Buloba-24h'!N95,'2.11 Bujuko-Buloba-24HR'!N95)</f>
        <v>0</v>
      </c>
      <c r="O95" s="15">
        <f t="shared" si="35"/>
        <v>4</v>
      </c>
      <c r="P95" s="15">
        <f t="shared" si="36"/>
        <v>9.5</v>
      </c>
      <c r="R95" s="8"/>
      <c r="T95"/>
    </row>
    <row r="96" spans="2:20" ht="23.1" customHeight="1" x14ac:dyDescent="0.25">
      <c r="B96" s="25" t="s">
        <v>136</v>
      </c>
      <c r="C96" s="49">
        <f>AVERAGE('31.10 Bujuko-Buloba-24h'!C96,'2.11 Bujuko-Buloba-24HR'!C96)</f>
        <v>10</v>
      </c>
      <c r="D96" s="49">
        <f>AVERAGE('31.10 Bujuko-Buloba-24h'!D96,'2.11 Bujuko-Buloba-24HR'!D96)</f>
        <v>0</v>
      </c>
      <c r="E96" s="49">
        <f>AVERAGE('31.10 Bujuko-Buloba-24h'!E96,'2.11 Bujuko-Buloba-24HR'!E96)</f>
        <v>0</v>
      </c>
      <c r="F96" s="49">
        <f>AVERAGE('31.10 Bujuko-Buloba-24h'!F96,'2.11 Bujuko-Buloba-24HR'!F96)</f>
        <v>0</v>
      </c>
      <c r="G96" s="49">
        <f>AVERAGE('31.10 Bujuko-Buloba-24h'!G96,'2.11 Bujuko-Buloba-24HR'!G96)</f>
        <v>0</v>
      </c>
      <c r="H96" s="49">
        <f>AVERAGE('31.10 Bujuko-Buloba-24h'!H96,'2.11 Bujuko-Buloba-24HR'!H96)</f>
        <v>1</v>
      </c>
      <c r="I96" s="49">
        <f>AVERAGE('31.10 Bujuko-Buloba-24h'!I96,'2.11 Bujuko-Buloba-24HR'!I96)</f>
        <v>0.5</v>
      </c>
      <c r="J96" s="49">
        <f>AVERAGE('31.10 Bujuko-Buloba-24h'!J96,'2.11 Bujuko-Buloba-24HR'!J96)</f>
        <v>1</v>
      </c>
      <c r="K96" s="49">
        <f>AVERAGE('31.10 Bujuko-Buloba-24h'!K96,'2.11 Bujuko-Buloba-24HR'!K96)</f>
        <v>0</v>
      </c>
      <c r="L96" s="49">
        <f>AVERAGE('31.10 Bujuko-Buloba-24h'!L96,'2.11 Bujuko-Buloba-24HR'!L96)</f>
        <v>0</v>
      </c>
      <c r="M96" s="49">
        <f>AVERAGE('31.10 Bujuko-Buloba-24h'!M96,'2.11 Bujuko-Buloba-24HR'!M96)</f>
        <v>1</v>
      </c>
      <c r="N96" s="49">
        <f>AVERAGE('31.10 Bujuko-Buloba-24h'!N96,'2.11 Bujuko-Buloba-24HR'!N96)</f>
        <v>0</v>
      </c>
      <c r="O96" s="15">
        <f t="shared" si="35"/>
        <v>12.5</v>
      </c>
      <c r="P96" s="15">
        <f t="shared" si="36"/>
        <v>13.5</v>
      </c>
      <c r="R96" s="8"/>
      <c r="T96"/>
    </row>
    <row r="97" spans="2:20" ht="23.1" customHeight="1" x14ac:dyDescent="0.25">
      <c r="B97" s="23" t="s">
        <v>137</v>
      </c>
      <c r="C97" s="49">
        <f>AVERAGE('31.10 Bujuko-Buloba-24h'!C97,'2.11 Bujuko-Buloba-24HR'!C97)</f>
        <v>2.5</v>
      </c>
      <c r="D97" s="49">
        <f>AVERAGE('31.10 Bujuko-Buloba-24h'!D97,'2.11 Bujuko-Buloba-24HR'!D97)</f>
        <v>0</v>
      </c>
      <c r="E97" s="49">
        <f>AVERAGE('31.10 Bujuko-Buloba-24h'!E97,'2.11 Bujuko-Buloba-24HR'!E97)</f>
        <v>0</v>
      </c>
      <c r="F97" s="49">
        <f>AVERAGE('31.10 Bujuko-Buloba-24h'!F97,'2.11 Bujuko-Buloba-24HR'!F97)</f>
        <v>1</v>
      </c>
      <c r="G97" s="49">
        <f>AVERAGE('31.10 Bujuko-Buloba-24h'!G97,'2.11 Bujuko-Buloba-24HR'!G97)</f>
        <v>0</v>
      </c>
      <c r="H97" s="49">
        <f>AVERAGE('31.10 Bujuko-Buloba-24h'!H97,'2.11 Bujuko-Buloba-24HR'!H97)</f>
        <v>0</v>
      </c>
      <c r="I97" s="49">
        <f>AVERAGE('31.10 Bujuko-Buloba-24h'!I97,'2.11 Bujuko-Buloba-24HR'!I97)</f>
        <v>1</v>
      </c>
      <c r="J97" s="49">
        <f>AVERAGE('31.10 Bujuko-Buloba-24h'!J97,'2.11 Bujuko-Buloba-24HR'!J97)</f>
        <v>0.5</v>
      </c>
      <c r="K97" s="49">
        <f>AVERAGE('31.10 Bujuko-Buloba-24h'!K97,'2.11 Bujuko-Buloba-24HR'!K97)</f>
        <v>1</v>
      </c>
      <c r="L97" s="49">
        <f>AVERAGE('31.10 Bujuko-Buloba-24h'!L97,'2.11 Bujuko-Buloba-24HR'!L97)</f>
        <v>0</v>
      </c>
      <c r="M97" s="49">
        <f>AVERAGE('31.10 Bujuko-Buloba-24h'!M97,'2.11 Bujuko-Buloba-24HR'!M97)</f>
        <v>2</v>
      </c>
      <c r="N97" s="49">
        <f>AVERAGE('31.10 Bujuko-Buloba-24h'!N97,'2.11 Bujuko-Buloba-24HR'!N97)</f>
        <v>0</v>
      </c>
      <c r="O97" s="15">
        <f t="shared" si="35"/>
        <v>6</v>
      </c>
      <c r="P97" s="15">
        <f t="shared" si="36"/>
        <v>8</v>
      </c>
      <c r="R97" s="8"/>
      <c r="T97"/>
    </row>
    <row r="98" spans="2:20" ht="23.1" customHeight="1" x14ac:dyDescent="0.25">
      <c r="B98" s="24" t="s">
        <v>138</v>
      </c>
      <c r="C98" s="49">
        <f>AVERAGE('31.10 Bujuko-Buloba-24h'!C98,'2.11 Bujuko-Buloba-24HR'!C98)</f>
        <v>5</v>
      </c>
      <c r="D98" s="49">
        <f>AVERAGE('31.10 Bujuko-Buloba-24h'!D98,'2.11 Bujuko-Buloba-24HR'!D98)</f>
        <v>1.5</v>
      </c>
      <c r="E98" s="49">
        <f>AVERAGE('31.10 Bujuko-Buloba-24h'!E98,'2.11 Bujuko-Buloba-24HR'!E98)</f>
        <v>0.5</v>
      </c>
      <c r="F98" s="49">
        <f>AVERAGE('31.10 Bujuko-Buloba-24h'!F98,'2.11 Bujuko-Buloba-24HR'!F98)</f>
        <v>3</v>
      </c>
      <c r="G98" s="49">
        <f>AVERAGE('31.10 Bujuko-Buloba-24h'!G98,'2.11 Bujuko-Buloba-24HR'!G98)</f>
        <v>0</v>
      </c>
      <c r="H98" s="49">
        <f>AVERAGE('31.10 Bujuko-Buloba-24h'!H98,'2.11 Bujuko-Buloba-24HR'!H98)</f>
        <v>1</v>
      </c>
      <c r="I98" s="49">
        <f>AVERAGE('31.10 Bujuko-Buloba-24h'!I98,'2.11 Bujuko-Buloba-24HR'!I98)</f>
        <v>1</v>
      </c>
      <c r="J98" s="49">
        <f>AVERAGE('31.10 Bujuko-Buloba-24h'!J98,'2.11 Bujuko-Buloba-24HR'!J98)</f>
        <v>5.5</v>
      </c>
      <c r="K98" s="49">
        <f>AVERAGE('31.10 Bujuko-Buloba-24h'!K98,'2.11 Bujuko-Buloba-24HR'!K98)</f>
        <v>3.5</v>
      </c>
      <c r="L98" s="49">
        <f>AVERAGE('31.10 Bujuko-Buloba-24h'!L98,'2.11 Bujuko-Buloba-24HR'!L98)</f>
        <v>1.5</v>
      </c>
      <c r="M98" s="49">
        <f>AVERAGE('31.10 Bujuko-Buloba-24h'!M98,'2.11 Bujuko-Buloba-24HR'!M98)</f>
        <v>6</v>
      </c>
      <c r="N98" s="49">
        <f>AVERAGE('31.10 Bujuko-Buloba-24h'!N98,'2.11 Bujuko-Buloba-24HR'!N98)</f>
        <v>0</v>
      </c>
      <c r="O98" s="15">
        <f t="shared" si="35"/>
        <v>22.5</v>
      </c>
      <c r="P98" s="15">
        <f t="shared" si="36"/>
        <v>28.5</v>
      </c>
      <c r="R98" s="8"/>
      <c r="T98"/>
    </row>
    <row r="99" spans="2:20" ht="23.1" customHeight="1" x14ac:dyDescent="0.25">
      <c r="B99" s="23" t="s">
        <v>139</v>
      </c>
      <c r="C99" s="49">
        <f>AVERAGE('31.10 Bujuko-Buloba-24h'!C99,'2.11 Bujuko-Buloba-24HR'!C99)</f>
        <v>7</v>
      </c>
      <c r="D99" s="49">
        <f>AVERAGE('31.10 Bujuko-Buloba-24h'!D99,'2.11 Bujuko-Buloba-24HR'!D99)</f>
        <v>1.5</v>
      </c>
      <c r="E99" s="49">
        <f>AVERAGE('31.10 Bujuko-Buloba-24h'!E99,'2.11 Bujuko-Buloba-24HR'!E99)</f>
        <v>0</v>
      </c>
      <c r="F99" s="49">
        <f>AVERAGE('31.10 Bujuko-Buloba-24h'!F99,'2.11 Bujuko-Buloba-24HR'!F99)</f>
        <v>5.5</v>
      </c>
      <c r="G99" s="49">
        <f>AVERAGE('31.10 Bujuko-Buloba-24h'!G99,'2.11 Bujuko-Buloba-24HR'!G99)</f>
        <v>0</v>
      </c>
      <c r="H99" s="49">
        <f>AVERAGE('31.10 Bujuko-Buloba-24h'!H99,'2.11 Bujuko-Buloba-24HR'!H99)</f>
        <v>0</v>
      </c>
      <c r="I99" s="49">
        <f>AVERAGE('31.10 Bujuko-Buloba-24h'!I99,'2.11 Bujuko-Buloba-24HR'!I99)</f>
        <v>1</v>
      </c>
      <c r="J99" s="49">
        <f>AVERAGE('31.10 Bujuko-Buloba-24h'!J99,'2.11 Bujuko-Buloba-24HR'!J99)</f>
        <v>1.5</v>
      </c>
      <c r="K99" s="49">
        <f>AVERAGE('31.10 Bujuko-Buloba-24h'!K99,'2.11 Bujuko-Buloba-24HR'!K99)</f>
        <v>0</v>
      </c>
      <c r="L99" s="49">
        <f>AVERAGE('31.10 Bujuko-Buloba-24h'!L99,'2.11 Bujuko-Buloba-24HR'!L99)</f>
        <v>0</v>
      </c>
      <c r="M99" s="49">
        <f>AVERAGE('31.10 Bujuko-Buloba-24h'!M99,'2.11 Bujuko-Buloba-24HR'!M99)</f>
        <v>4.5</v>
      </c>
      <c r="N99" s="49">
        <f>AVERAGE('31.10 Bujuko-Buloba-24h'!N99,'2.11 Bujuko-Buloba-24HR'!N99)</f>
        <v>0</v>
      </c>
      <c r="O99" s="15">
        <f t="shared" si="35"/>
        <v>16.5</v>
      </c>
      <c r="P99" s="15">
        <f t="shared" si="36"/>
        <v>21</v>
      </c>
      <c r="R99" s="8"/>
      <c r="T99"/>
    </row>
    <row r="100" spans="2:20" ht="23.1" customHeight="1" x14ac:dyDescent="0.25">
      <c r="B100" s="25" t="s">
        <v>140</v>
      </c>
      <c r="C100" s="49">
        <f>AVERAGE('31.10 Bujuko-Buloba-24h'!C100,'2.11 Bujuko-Buloba-24HR'!C100)</f>
        <v>3.5</v>
      </c>
      <c r="D100" s="49">
        <f>AVERAGE('31.10 Bujuko-Buloba-24h'!D100,'2.11 Bujuko-Buloba-24HR'!D100)</f>
        <v>0</v>
      </c>
      <c r="E100" s="49">
        <f>AVERAGE('31.10 Bujuko-Buloba-24h'!E100,'2.11 Bujuko-Buloba-24HR'!E100)</f>
        <v>0</v>
      </c>
      <c r="F100" s="49">
        <f>AVERAGE('31.10 Bujuko-Buloba-24h'!F100,'2.11 Bujuko-Buloba-24HR'!F100)</f>
        <v>6</v>
      </c>
      <c r="G100" s="49">
        <f>AVERAGE('31.10 Bujuko-Buloba-24h'!G100,'2.11 Bujuko-Buloba-24HR'!G100)</f>
        <v>0</v>
      </c>
      <c r="H100" s="49">
        <f>AVERAGE('31.10 Bujuko-Buloba-24h'!H100,'2.11 Bujuko-Buloba-24HR'!H100)</f>
        <v>0</v>
      </c>
      <c r="I100" s="49">
        <f>AVERAGE('31.10 Bujuko-Buloba-24h'!I100,'2.11 Bujuko-Buloba-24HR'!I100)</f>
        <v>2.5</v>
      </c>
      <c r="J100" s="49">
        <f>AVERAGE('31.10 Bujuko-Buloba-24h'!J100,'2.11 Bujuko-Buloba-24HR'!J100)</f>
        <v>2.5</v>
      </c>
      <c r="K100" s="49">
        <f>AVERAGE('31.10 Bujuko-Buloba-24h'!K100,'2.11 Bujuko-Buloba-24HR'!K100)</f>
        <v>0</v>
      </c>
      <c r="L100" s="49">
        <f>AVERAGE('31.10 Bujuko-Buloba-24h'!L100,'2.11 Bujuko-Buloba-24HR'!L100)</f>
        <v>0</v>
      </c>
      <c r="M100" s="49">
        <f>AVERAGE('31.10 Bujuko-Buloba-24h'!M100,'2.11 Bujuko-Buloba-24HR'!M100)</f>
        <v>7</v>
      </c>
      <c r="N100" s="49">
        <f>AVERAGE('31.10 Bujuko-Buloba-24h'!N100,'2.11 Bujuko-Buloba-24HR'!N100)</f>
        <v>0</v>
      </c>
      <c r="O100" s="15">
        <f t="shared" si="35"/>
        <v>14.5</v>
      </c>
      <c r="P100" s="15">
        <f t="shared" si="36"/>
        <v>21.5</v>
      </c>
      <c r="R100" s="8"/>
      <c r="T100"/>
    </row>
    <row r="101" spans="2:20" ht="23.1" customHeight="1" x14ac:dyDescent="0.25">
      <c r="B101" s="23" t="s">
        <v>141</v>
      </c>
      <c r="C101" s="49">
        <f>AVERAGE('31.10 Bujuko-Buloba-24h'!C101,'2.11 Bujuko-Buloba-24HR'!C101)</f>
        <v>7</v>
      </c>
      <c r="D101" s="49">
        <f>AVERAGE('31.10 Bujuko-Buloba-24h'!D101,'2.11 Bujuko-Buloba-24HR'!D101)</f>
        <v>2</v>
      </c>
      <c r="E101" s="49">
        <f>AVERAGE('31.10 Bujuko-Buloba-24h'!E101,'2.11 Bujuko-Buloba-24HR'!E101)</f>
        <v>1</v>
      </c>
      <c r="F101" s="49">
        <f>AVERAGE('31.10 Bujuko-Buloba-24h'!F101,'2.11 Bujuko-Buloba-24HR'!F101)</f>
        <v>6.5</v>
      </c>
      <c r="G101" s="49">
        <f>AVERAGE('31.10 Bujuko-Buloba-24h'!G101,'2.11 Bujuko-Buloba-24HR'!G101)</f>
        <v>0</v>
      </c>
      <c r="H101" s="49">
        <f>AVERAGE('31.10 Bujuko-Buloba-24h'!H101,'2.11 Bujuko-Buloba-24HR'!H101)</f>
        <v>0.5</v>
      </c>
      <c r="I101" s="49">
        <f>AVERAGE('31.10 Bujuko-Buloba-24h'!I101,'2.11 Bujuko-Buloba-24HR'!I101)</f>
        <v>0.5</v>
      </c>
      <c r="J101" s="49">
        <f>AVERAGE('31.10 Bujuko-Buloba-24h'!J101,'2.11 Bujuko-Buloba-24HR'!J101)</f>
        <v>2.5</v>
      </c>
      <c r="K101" s="49">
        <f>AVERAGE('31.10 Bujuko-Buloba-24h'!K101,'2.11 Bujuko-Buloba-24HR'!K101)</f>
        <v>0</v>
      </c>
      <c r="L101" s="49">
        <f>AVERAGE('31.10 Bujuko-Buloba-24h'!L101,'2.11 Bujuko-Buloba-24HR'!L101)</f>
        <v>0</v>
      </c>
      <c r="M101" s="49">
        <f>AVERAGE('31.10 Bujuko-Buloba-24h'!M101,'2.11 Bujuko-Buloba-24HR'!M101)</f>
        <v>12.5</v>
      </c>
      <c r="N101" s="49">
        <f>AVERAGE('31.10 Bujuko-Buloba-24h'!N101,'2.11 Bujuko-Buloba-24HR'!N101)</f>
        <v>0</v>
      </c>
      <c r="O101" s="15">
        <f t="shared" si="35"/>
        <v>20</v>
      </c>
      <c r="P101" s="15">
        <f t="shared" si="36"/>
        <v>32.5</v>
      </c>
      <c r="R101" s="8"/>
      <c r="T101"/>
    </row>
    <row r="102" spans="2:20" ht="23.1" customHeight="1" x14ac:dyDescent="0.25">
      <c r="B102" s="24" t="s">
        <v>142</v>
      </c>
      <c r="C102" s="49">
        <f>AVERAGE('31.10 Bujuko-Buloba-24h'!C102,'2.11 Bujuko-Buloba-24HR'!C102)</f>
        <v>6</v>
      </c>
      <c r="D102" s="49">
        <f>AVERAGE('31.10 Bujuko-Buloba-24h'!D102,'2.11 Bujuko-Buloba-24HR'!D102)</f>
        <v>0</v>
      </c>
      <c r="E102" s="49">
        <f>AVERAGE('31.10 Bujuko-Buloba-24h'!E102,'2.11 Bujuko-Buloba-24HR'!E102)</f>
        <v>0</v>
      </c>
      <c r="F102" s="49">
        <f>AVERAGE('31.10 Bujuko-Buloba-24h'!F102,'2.11 Bujuko-Buloba-24HR'!F102)</f>
        <v>2</v>
      </c>
      <c r="G102" s="49">
        <f>AVERAGE('31.10 Bujuko-Buloba-24h'!G102,'2.11 Bujuko-Buloba-24HR'!G102)</f>
        <v>1</v>
      </c>
      <c r="H102" s="49">
        <f>AVERAGE('31.10 Bujuko-Buloba-24h'!H102,'2.11 Bujuko-Buloba-24HR'!H102)</f>
        <v>0.5</v>
      </c>
      <c r="I102" s="49">
        <f>AVERAGE('31.10 Bujuko-Buloba-24h'!I102,'2.11 Bujuko-Buloba-24HR'!I102)</f>
        <v>1.5</v>
      </c>
      <c r="J102" s="49">
        <f>AVERAGE('31.10 Bujuko-Buloba-24h'!J102,'2.11 Bujuko-Buloba-24HR'!J102)</f>
        <v>1.5</v>
      </c>
      <c r="K102" s="49">
        <f>AVERAGE('31.10 Bujuko-Buloba-24h'!K102,'2.11 Bujuko-Buloba-24HR'!K102)</f>
        <v>2</v>
      </c>
      <c r="L102" s="49">
        <f>AVERAGE('31.10 Bujuko-Buloba-24h'!L102,'2.11 Bujuko-Buloba-24HR'!L102)</f>
        <v>1</v>
      </c>
      <c r="M102" s="49">
        <f>AVERAGE('31.10 Bujuko-Buloba-24h'!M102,'2.11 Bujuko-Buloba-24HR'!M102)</f>
        <v>5</v>
      </c>
      <c r="N102" s="49">
        <f>AVERAGE('31.10 Bujuko-Buloba-24h'!N102,'2.11 Bujuko-Buloba-24HR'!N102)</f>
        <v>0</v>
      </c>
      <c r="O102" s="15">
        <f t="shared" si="35"/>
        <v>15.5</v>
      </c>
      <c r="P102" s="15">
        <f t="shared" si="36"/>
        <v>20.5</v>
      </c>
      <c r="R102" s="8"/>
      <c r="T102"/>
    </row>
    <row r="103" spans="2:20" ht="23.1" customHeight="1" x14ac:dyDescent="0.25">
      <c r="B103" s="23" t="s">
        <v>143</v>
      </c>
      <c r="C103" s="49">
        <f>AVERAGE('31.10 Bujuko-Buloba-24h'!C103,'2.11 Bujuko-Buloba-24HR'!C103)</f>
        <v>10.5</v>
      </c>
      <c r="D103" s="49">
        <f>AVERAGE('31.10 Bujuko-Buloba-24h'!D103,'2.11 Bujuko-Buloba-24HR'!D103)</f>
        <v>1</v>
      </c>
      <c r="E103" s="49">
        <f>AVERAGE('31.10 Bujuko-Buloba-24h'!E103,'2.11 Bujuko-Buloba-24HR'!E103)</f>
        <v>0</v>
      </c>
      <c r="F103" s="49">
        <f>AVERAGE('31.10 Bujuko-Buloba-24h'!F103,'2.11 Bujuko-Buloba-24HR'!F103)</f>
        <v>10.5</v>
      </c>
      <c r="G103" s="49">
        <f>AVERAGE('31.10 Bujuko-Buloba-24h'!G103,'2.11 Bujuko-Buloba-24HR'!G103)</f>
        <v>0</v>
      </c>
      <c r="H103" s="49">
        <f>AVERAGE('31.10 Bujuko-Buloba-24h'!H103,'2.11 Bujuko-Buloba-24HR'!H103)</f>
        <v>0.5</v>
      </c>
      <c r="I103" s="49">
        <f>AVERAGE('31.10 Bujuko-Buloba-24h'!I103,'2.11 Bujuko-Buloba-24HR'!I103)</f>
        <v>0.5</v>
      </c>
      <c r="J103" s="49">
        <f>AVERAGE('31.10 Bujuko-Buloba-24h'!J103,'2.11 Bujuko-Buloba-24HR'!J103)</f>
        <v>1</v>
      </c>
      <c r="K103" s="49">
        <f>AVERAGE('31.10 Bujuko-Buloba-24h'!K103,'2.11 Bujuko-Buloba-24HR'!K103)</f>
        <v>0</v>
      </c>
      <c r="L103" s="49">
        <f>AVERAGE('31.10 Bujuko-Buloba-24h'!L103,'2.11 Bujuko-Buloba-24HR'!L103)</f>
        <v>1</v>
      </c>
      <c r="M103" s="49">
        <f>AVERAGE('31.10 Bujuko-Buloba-24h'!M103,'2.11 Bujuko-Buloba-24HR'!M103)</f>
        <v>7.5</v>
      </c>
      <c r="N103" s="49">
        <f>AVERAGE('31.10 Bujuko-Buloba-24h'!N103,'2.11 Bujuko-Buloba-24HR'!N103)</f>
        <v>0</v>
      </c>
      <c r="O103" s="15">
        <f t="shared" si="35"/>
        <v>25</v>
      </c>
      <c r="P103" s="15">
        <f t="shared" si="36"/>
        <v>32.5</v>
      </c>
      <c r="R103" s="8"/>
      <c r="T103"/>
    </row>
    <row r="104" spans="2:20" ht="23.1" customHeight="1" x14ac:dyDescent="0.25">
      <c r="B104" s="25" t="s">
        <v>144</v>
      </c>
      <c r="C104" s="49">
        <f>AVERAGE('31.10 Bujuko-Buloba-24h'!C104,'2.11 Bujuko-Buloba-24HR'!C104)</f>
        <v>7.5</v>
      </c>
      <c r="D104" s="49">
        <f>AVERAGE('31.10 Bujuko-Buloba-24h'!D104,'2.11 Bujuko-Buloba-24HR'!D104)</f>
        <v>2</v>
      </c>
      <c r="E104" s="49">
        <f>AVERAGE('31.10 Bujuko-Buloba-24h'!E104,'2.11 Bujuko-Buloba-24HR'!E104)</f>
        <v>0.5</v>
      </c>
      <c r="F104" s="49">
        <f>AVERAGE('31.10 Bujuko-Buloba-24h'!F104,'2.11 Bujuko-Buloba-24HR'!F104)</f>
        <v>5</v>
      </c>
      <c r="G104" s="49">
        <f>AVERAGE('31.10 Bujuko-Buloba-24h'!G104,'2.11 Bujuko-Buloba-24HR'!G104)</f>
        <v>0</v>
      </c>
      <c r="H104" s="49">
        <f>AVERAGE('31.10 Bujuko-Buloba-24h'!H104,'2.11 Bujuko-Buloba-24HR'!H104)</f>
        <v>0.5</v>
      </c>
      <c r="I104" s="49">
        <f>AVERAGE('31.10 Bujuko-Buloba-24h'!I104,'2.11 Bujuko-Buloba-24HR'!I104)</f>
        <v>1.5</v>
      </c>
      <c r="J104" s="49">
        <f>AVERAGE('31.10 Bujuko-Buloba-24h'!J104,'2.11 Bujuko-Buloba-24HR'!J104)</f>
        <v>0.5</v>
      </c>
      <c r="K104" s="49">
        <f>AVERAGE('31.10 Bujuko-Buloba-24h'!K104,'2.11 Bujuko-Buloba-24HR'!K104)</f>
        <v>0</v>
      </c>
      <c r="L104" s="49">
        <f>AVERAGE('31.10 Bujuko-Buloba-24h'!L104,'2.11 Bujuko-Buloba-24HR'!L104)</f>
        <v>0</v>
      </c>
      <c r="M104" s="49">
        <f>AVERAGE('31.10 Bujuko-Buloba-24h'!M104,'2.11 Bujuko-Buloba-24HR'!M104)</f>
        <v>4.5</v>
      </c>
      <c r="N104" s="49">
        <f>AVERAGE('31.10 Bujuko-Buloba-24h'!N104,'2.11 Bujuko-Buloba-24HR'!N104)</f>
        <v>0</v>
      </c>
      <c r="O104" s="15">
        <f t="shared" si="35"/>
        <v>17.5</v>
      </c>
      <c r="P104" s="15">
        <f t="shared" si="36"/>
        <v>22</v>
      </c>
      <c r="R104" s="8"/>
      <c r="T104"/>
    </row>
    <row r="105" spans="2:20" ht="23.1" customHeight="1" x14ac:dyDescent="0.25">
      <c r="B105" s="23" t="s">
        <v>145</v>
      </c>
      <c r="C105" s="49">
        <f>AVERAGE('31.10 Bujuko-Buloba-24h'!C105,'2.11 Bujuko-Buloba-24HR'!C105)</f>
        <v>15.5</v>
      </c>
      <c r="D105" s="49">
        <f>AVERAGE('31.10 Bujuko-Buloba-24h'!D105,'2.11 Bujuko-Buloba-24HR'!D105)</f>
        <v>0</v>
      </c>
      <c r="E105" s="49">
        <f>AVERAGE('31.10 Bujuko-Buloba-24h'!E105,'2.11 Bujuko-Buloba-24HR'!E105)</f>
        <v>0.5</v>
      </c>
      <c r="F105" s="49">
        <f>AVERAGE('31.10 Bujuko-Buloba-24h'!F105,'2.11 Bujuko-Buloba-24HR'!F105)</f>
        <v>13.5</v>
      </c>
      <c r="G105" s="49">
        <f>AVERAGE('31.10 Bujuko-Buloba-24h'!G105,'2.11 Bujuko-Buloba-24HR'!G105)</f>
        <v>0</v>
      </c>
      <c r="H105" s="49">
        <f>AVERAGE('31.10 Bujuko-Buloba-24h'!H105,'2.11 Bujuko-Buloba-24HR'!H105)</f>
        <v>0</v>
      </c>
      <c r="I105" s="49">
        <f>AVERAGE('31.10 Bujuko-Buloba-24h'!I105,'2.11 Bujuko-Buloba-24HR'!I105)</f>
        <v>1.5</v>
      </c>
      <c r="J105" s="49">
        <f>AVERAGE('31.10 Bujuko-Buloba-24h'!J105,'2.11 Bujuko-Buloba-24HR'!J105)</f>
        <v>2</v>
      </c>
      <c r="K105" s="49">
        <f>AVERAGE('31.10 Bujuko-Buloba-24h'!K105,'2.11 Bujuko-Buloba-24HR'!K105)</f>
        <v>0</v>
      </c>
      <c r="L105" s="49">
        <f>AVERAGE('31.10 Bujuko-Buloba-24h'!L105,'2.11 Bujuko-Buloba-24HR'!L105)</f>
        <v>1</v>
      </c>
      <c r="M105" s="49">
        <f>AVERAGE('31.10 Bujuko-Buloba-24h'!M105,'2.11 Bujuko-Buloba-24HR'!M105)</f>
        <v>8</v>
      </c>
      <c r="N105" s="49">
        <f>AVERAGE('31.10 Bujuko-Buloba-24h'!N105,'2.11 Bujuko-Buloba-24HR'!N105)</f>
        <v>0</v>
      </c>
      <c r="O105" s="15">
        <f t="shared" si="35"/>
        <v>34</v>
      </c>
      <c r="P105" s="15">
        <f t="shared" si="36"/>
        <v>42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1281.3571428571431</v>
      </c>
      <c r="D106" s="16">
        <f t="shared" ref="D106:P106" si="37">SUM(D10:D105)</f>
        <v>255.64285714285711</v>
      </c>
      <c r="E106" s="16">
        <f t="shared" si="37"/>
        <v>227.07142857142856</v>
      </c>
      <c r="F106" s="16">
        <f t="shared" si="37"/>
        <v>975.50000000000011</v>
      </c>
      <c r="G106" s="16">
        <f t="shared" si="37"/>
        <v>24.357142857142858</v>
      </c>
      <c r="H106" s="16">
        <f t="shared" si="37"/>
        <v>27.714285714285715</v>
      </c>
      <c r="I106" s="16">
        <f t="shared" si="37"/>
        <v>389.14285714285705</v>
      </c>
      <c r="J106" s="16">
        <f t="shared" si="37"/>
        <v>206.78571428571428</v>
      </c>
      <c r="K106" s="16">
        <f t="shared" si="37"/>
        <v>62.642857142857146</v>
      </c>
      <c r="L106" s="16">
        <f t="shared" si="37"/>
        <v>68.071428571428569</v>
      </c>
      <c r="M106" s="16">
        <f t="shared" si="37"/>
        <v>1323.4285714285713</v>
      </c>
      <c r="N106" s="16">
        <f t="shared" si="37"/>
        <v>0.14285714285714285</v>
      </c>
      <c r="O106" s="16">
        <f t="shared" si="37"/>
        <v>3518.428571428572</v>
      </c>
      <c r="P106" s="16">
        <f t="shared" si="37"/>
        <v>4841.8571428571431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0.2646416664207949</v>
      </c>
      <c r="D107" s="43">
        <f t="shared" si="38"/>
        <v>5.2798512967279367E-2</v>
      </c>
      <c r="E107" s="43">
        <f t="shared" si="38"/>
        <v>4.6897589472752479E-2</v>
      </c>
      <c r="F107" s="43">
        <f t="shared" si="38"/>
        <v>0.20147228041188447</v>
      </c>
      <c r="G107" s="43">
        <f t="shared" si="38"/>
        <v>5.0305372790841766E-3</v>
      </c>
      <c r="H107" s="43">
        <f t="shared" si="38"/>
        <v>5.7238957896910865E-3</v>
      </c>
      <c r="I107" s="43">
        <f t="shared" si="38"/>
        <v>8.0370577995456272E-2</v>
      </c>
      <c r="J107" s="43">
        <f t="shared" si="38"/>
        <v>4.270793379163839E-2</v>
      </c>
      <c r="K107" s="43">
        <f t="shared" si="38"/>
        <v>1.2937774761750214E-2</v>
      </c>
      <c r="L107" s="43">
        <f t="shared" si="38"/>
        <v>1.4058950225710323E-2</v>
      </c>
      <c r="M107" s="43">
        <f t="shared" si="38"/>
        <v>0.27333077626648566</v>
      </c>
      <c r="N107" s="43">
        <f t="shared" si="38"/>
        <v>2.9504617472634463E-5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0.36418449794957164</v>
      </c>
      <c r="D108" s="44">
        <f t="shared" ref="D108:N108" si="39">D106/$O$106</f>
        <v>7.2658248406350212E-2</v>
      </c>
      <c r="E108" s="44">
        <f t="shared" si="39"/>
        <v>6.4537740062527896E-2</v>
      </c>
      <c r="F108" s="44">
        <f t="shared" si="39"/>
        <v>0.27725445612895366</v>
      </c>
      <c r="G108" s="44">
        <f t="shared" si="39"/>
        <v>6.9227333631085297E-3</v>
      </c>
      <c r="H108" s="44">
        <f t="shared" si="39"/>
        <v>7.8768930935076524E-3</v>
      </c>
      <c r="I108" s="44">
        <f t="shared" si="39"/>
        <v>0.11060132364286</v>
      </c>
      <c r="J108" s="44">
        <f t="shared" si="39"/>
        <v>5.8772179138414052E-2</v>
      </c>
      <c r="K108" s="44">
        <f t="shared" si="39"/>
        <v>1.7804214543830441E-2</v>
      </c>
      <c r="L108" s="44">
        <f t="shared" si="39"/>
        <v>1.9347111129156682E-2</v>
      </c>
      <c r="M108" s="44"/>
      <c r="N108" s="44">
        <f t="shared" si="39"/>
        <v>4.0602541719111607E-5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F61" zoomScale="60" workbookViewId="0">
      <selection activeCell="AD51" sqref="AD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'4.11.BULOBA-BUJUKO'!C3:G3</f>
        <v>MCC - C2 - STN62 - BUJUKO-BULOBA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66" t="str">
        <f>'4.11.BULOBA-BUJUKO'!G5:H5</f>
        <v>Buloba Pop Oil</v>
      </c>
      <c r="H5" s="67"/>
      <c r="I5" s="14"/>
      <c r="J5" s="2" t="s">
        <v>5</v>
      </c>
      <c r="K5" s="66" t="str">
        <f>'4.11.BULOBA-BUJUKO'!K5:L5</f>
        <v>Doreen Geofrey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'4.11.BULOBA-BUJUKO'!D6:E6</f>
        <v>Buloba</v>
      </c>
      <c r="E6" s="67"/>
      <c r="F6" s="2" t="s">
        <v>2</v>
      </c>
      <c r="G6" s="66" t="str">
        <f>'4.11.BULOBA-BUJUKO'!G6:H6</f>
        <v>Bujuko</v>
      </c>
      <c r="H6" s="67"/>
      <c r="J6" s="2" t="s">
        <v>21</v>
      </c>
      <c r="K6" s="66" t="str">
        <f>'4.11.BULOBA-BUJUKO'!K6:L6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AVERAGE('29.10 Buloba-Bujuko'!C10,'30.10 Buloba-Bujuko'!C10,'1.11 Buloba-Bujuko'!C10,'3.11 Buloba-Bujuko'!C10,'31.10 Buloba-Bujuko-24h'!C10,'2.11 Buloba-Bujuko-24HR'!C10,'4.11.BULOBA-BUJUKO'!C10)</f>
        <v>7.8571428571428568</v>
      </c>
      <c r="D10" s="49">
        <f>AVERAGE('29.10 Buloba-Bujuko'!D10,'30.10 Buloba-Bujuko'!D10,'1.11 Buloba-Bujuko'!D10,'3.11 Buloba-Bujuko'!D10,'31.10 Buloba-Bujuko-24h'!D10,'2.11 Buloba-Bujuko-24HR'!D10,'4.11.BULOBA-BUJUKO'!D10)</f>
        <v>1.2857142857142858</v>
      </c>
      <c r="E10" s="49">
        <f>AVERAGE('29.10 Buloba-Bujuko'!E10,'30.10 Buloba-Bujuko'!E10,'1.11 Buloba-Bujuko'!E10,'3.11 Buloba-Bujuko'!E10,'31.10 Buloba-Bujuko-24h'!E10,'2.11 Buloba-Bujuko-24HR'!E10,'4.11.BULOBA-BUJUKO'!E10)</f>
        <v>3.4285714285714284</v>
      </c>
      <c r="F10" s="49">
        <f>AVERAGE('29.10 Buloba-Bujuko'!F10,'30.10 Buloba-Bujuko'!F10,'1.11 Buloba-Bujuko'!F10,'3.11 Buloba-Bujuko'!F10,'31.10 Buloba-Bujuko-24h'!F10,'2.11 Buloba-Bujuko-24HR'!F10,'4.11.BULOBA-BUJUKO'!F10)</f>
        <v>7.8571428571428568</v>
      </c>
      <c r="G10" s="49">
        <f>AVERAGE('29.10 Buloba-Bujuko'!G10,'30.10 Buloba-Bujuko'!G10,'1.11 Buloba-Bujuko'!G10,'3.11 Buloba-Bujuko'!G10,'31.10 Buloba-Bujuko-24h'!G10,'2.11 Buloba-Bujuko-24HR'!G10,'4.11.BULOBA-BUJUKO'!G10)</f>
        <v>1.1428571428571428</v>
      </c>
      <c r="H10" s="49">
        <f>AVERAGE('29.10 Buloba-Bujuko'!H10,'30.10 Buloba-Bujuko'!H10,'1.11 Buloba-Bujuko'!H10,'3.11 Buloba-Bujuko'!H10,'31.10 Buloba-Bujuko-24h'!H10,'2.11 Buloba-Bujuko-24HR'!H10,'4.11.BULOBA-BUJUKO'!H10)</f>
        <v>0.14285714285714285</v>
      </c>
      <c r="I10" s="49">
        <f>AVERAGE('29.10 Buloba-Bujuko'!I10,'30.10 Buloba-Bujuko'!I10,'1.11 Buloba-Bujuko'!I10,'3.11 Buloba-Bujuko'!I10,'31.10 Buloba-Bujuko-24h'!I10,'2.11 Buloba-Bujuko-24HR'!I10,'4.11.BULOBA-BUJUKO'!I10)</f>
        <v>2.4285714285714284</v>
      </c>
      <c r="J10" s="49">
        <f>AVERAGE('29.10 Buloba-Bujuko'!J10,'30.10 Buloba-Bujuko'!J10,'1.11 Buloba-Bujuko'!J10,'3.11 Buloba-Bujuko'!J10,'31.10 Buloba-Bujuko-24h'!J10,'2.11 Buloba-Bujuko-24HR'!J10,'4.11.BULOBA-BUJUKO'!J10)</f>
        <v>1.5714285714285714</v>
      </c>
      <c r="K10" s="49">
        <f>AVERAGE('29.10 Buloba-Bujuko'!K10,'30.10 Buloba-Bujuko'!K10,'1.11 Buloba-Bujuko'!K10,'3.11 Buloba-Bujuko'!K10,'31.10 Buloba-Bujuko-24h'!K10,'2.11 Buloba-Bujuko-24HR'!K10,'4.11.BULOBA-BUJUKO'!K10)</f>
        <v>0.14285714285714285</v>
      </c>
      <c r="L10" s="49">
        <f>AVERAGE('29.10 Buloba-Bujuko'!L10,'30.10 Buloba-Bujuko'!L10,'1.11 Buloba-Bujuko'!L10,'3.11 Buloba-Bujuko'!L10,'31.10 Buloba-Bujuko-24h'!L10,'2.11 Buloba-Bujuko-24HR'!L10,'4.11.BULOBA-BUJUKO'!L10)</f>
        <v>0.7142857142857143</v>
      </c>
      <c r="M10" s="49">
        <f>AVERAGE('29.10 Buloba-Bujuko'!M10,'30.10 Buloba-Bujuko'!M10,'1.11 Buloba-Bujuko'!M10,'3.11 Buloba-Bujuko'!M10,'31.10 Buloba-Bujuko-24h'!M10,'2.11 Buloba-Bujuko-24HR'!M10,'4.11.BULOBA-BUJUKO'!M10)</f>
        <v>9.4285714285714288</v>
      </c>
      <c r="N10" s="49">
        <f>AVERAGE('29.10 Buloba-Bujuko'!N10,'30.10 Buloba-Bujuko'!N10,'1.11 Buloba-Bujuko'!N10,'3.11 Buloba-Bujuko'!N10,'31.10 Buloba-Bujuko-24h'!N10,'2.11 Buloba-Bujuko-24HR'!N10,'4.11.BULOBA-BUJUKO'!N10)</f>
        <v>0</v>
      </c>
      <c r="O10" s="15">
        <f t="shared" ref="O10:O73" si="0">SUM(C10:L10,N10)</f>
        <v>26.571428571428569</v>
      </c>
      <c r="P10" s="15">
        <f t="shared" ref="P10:P73" si="1">SUM(C10:N10)</f>
        <v>36</v>
      </c>
      <c r="R10" s="1" t="s">
        <v>6</v>
      </c>
      <c r="S10" s="17">
        <f t="shared" ref="S10:AF10" si="2">SUM(C10:C13)</f>
        <v>47.857142857142854</v>
      </c>
      <c r="T10" s="17">
        <f t="shared" si="2"/>
        <v>10.285714285714285</v>
      </c>
      <c r="U10" s="17">
        <f t="shared" si="2"/>
        <v>10.857142857142856</v>
      </c>
      <c r="V10" s="17">
        <f t="shared" si="2"/>
        <v>36.857142857142854</v>
      </c>
      <c r="W10" s="17">
        <f t="shared" si="2"/>
        <v>1.714285714285714</v>
      </c>
      <c r="X10" s="17">
        <f t="shared" si="2"/>
        <v>0.71428571428571419</v>
      </c>
      <c r="Y10" s="17">
        <f t="shared" si="2"/>
        <v>15.428571428571431</v>
      </c>
      <c r="Z10" s="17">
        <f t="shared" si="2"/>
        <v>8.8571428571428577</v>
      </c>
      <c r="AA10" s="17">
        <f t="shared" si="2"/>
        <v>1.714285714285714</v>
      </c>
      <c r="AB10" s="17">
        <f t="shared" si="2"/>
        <v>2.1428571428571428</v>
      </c>
      <c r="AC10" s="17">
        <f t="shared" si="2"/>
        <v>40.571428571428569</v>
      </c>
      <c r="AD10" s="17">
        <f t="shared" si="2"/>
        <v>0</v>
      </c>
      <c r="AE10" s="31">
        <f t="shared" si="2"/>
        <v>136.42857142857142</v>
      </c>
      <c r="AF10" s="31">
        <f t="shared" si="2"/>
        <v>177</v>
      </c>
    </row>
    <row r="11" spans="2:32" s="6" customFormat="1" ht="23.1" customHeight="1" x14ac:dyDescent="0.25">
      <c r="B11" s="23" t="s">
        <v>38</v>
      </c>
      <c r="C11" s="49">
        <f>AVERAGE('29.10 Buloba-Bujuko'!C11,'30.10 Buloba-Bujuko'!C11,'1.11 Buloba-Bujuko'!C11,'3.11 Buloba-Bujuko'!C11,'31.10 Buloba-Bujuko-24h'!C11,'2.11 Buloba-Bujuko-24HR'!C11,'4.11.BULOBA-BUJUKO'!C11)</f>
        <v>13</v>
      </c>
      <c r="D11" s="49">
        <f>AVERAGE('29.10 Buloba-Bujuko'!D11,'30.10 Buloba-Bujuko'!D11,'1.11 Buloba-Bujuko'!D11,'3.11 Buloba-Bujuko'!D11,'31.10 Buloba-Bujuko-24h'!D11,'2.11 Buloba-Bujuko-24HR'!D11,'4.11.BULOBA-BUJUKO'!D11)</f>
        <v>2.8571428571428572</v>
      </c>
      <c r="E11" s="49">
        <f>AVERAGE('29.10 Buloba-Bujuko'!E11,'30.10 Buloba-Bujuko'!E11,'1.11 Buloba-Bujuko'!E11,'3.11 Buloba-Bujuko'!E11,'31.10 Buloba-Bujuko-24h'!E11,'2.11 Buloba-Bujuko-24HR'!E11,'4.11.BULOBA-BUJUKO'!E11)</f>
        <v>1.7142857142857142</v>
      </c>
      <c r="F11" s="49">
        <f>AVERAGE('29.10 Buloba-Bujuko'!F11,'30.10 Buloba-Bujuko'!F11,'1.11 Buloba-Bujuko'!F11,'3.11 Buloba-Bujuko'!F11,'31.10 Buloba-Bujuko-24h'!F11,'2.11 Buloba-Bujuko-24HR'!F11,'4.11.BULOBA-BUJUKO'!F11)</f>
        <v>8.8571428571428577</v>
      </c>
      <c r="G11" s="49">
        <f>AVERAGE('29.10 Buloba-Bujuko'!G11,'30.10 Buloba-Bujuko'!G11,'1.11 Buloba-Bujuko'!G11,'3.11 Buloba-Bujuko'!G11,'31.10 Buloba-Bujuko-24h'!G11,'2.11 Buloba-Bujuko-24HR'!G11,'4.11.BULOBA-BUJUKO'!G11)</f>
        <v>0.2857142857142857</v>
      </c>
      <c r="H11" s="49">
        <f>AVERAGE('29.10 Buloba-Bujuko'!H11,'30.10 Buloba-Bujuko'!H11,'1.11 Buloba-Bujuko'!H11,'3.11 Buloba-Bujuko'!H11,'31.10 Buloba-Bujuko-24h'!H11,'2.11 Buloba-Bujuko-24HR'!H11,'4.11.BULOBA-BUJUKO'!H11)</f>
        <v>0.42857142857142855</v>
      </c>
      <c r="I11" s="49">
        <f>AVERAGE('29.10 Buloba-Bujuko'!I11,'30.10 Buloba-Bujuko'!I11,'1.11 Buloba-Bujuko'!I11,'3.11 Buloba-Bujuko'!I11,'31.10 Buloba-Bujuko-24h'!I11,'2.11 Buloba-Bujuko-24HR'!I11,'4.11.BULOBA-BUJUKO'!I11)</f>
        <v>4.4285714285714288</v>
      </c>
      <c r="J11" s="49">
        <f>AVERAGE('29.10 Buloba-Bujuko'!J11,'30.10 Buloba-Bujuko'!J11,'1.11 Buloba-Bujuko'!J11,'3.11 Buloba-Bujuko'!J11,'31.10 Buloba-Bujuko-24h'!J11,'2.11 Buloba-Bujuko-24HR'!J11,'4.11.BULOBA-BUJUKO'!J11)</f>
        <v>1.5714285714285714</v>
      </c>
      <c r="K11" s="49">
        <f>AVERAGE('29.10 Buloba-Bujuko'!K11,'30.10 Buloba-Bujuko'!K11,'1.11 Buloba-Bujuko'!K11,'3.11 Buloba-Bujuko'!K11,'31.10 Buloba-Bujuko-24h'!K11,'2.11 Buloba-Bujuko-24HR'!K11,'4.11.BULOBA-BUJUKO'!K11)</f>
        <v>0.14285714285714285</v>
      </c>
      <c r="L11" s="49">
        <f>AVERAGE('29.10 Buloba-Bujuko'!L11,'30.10 Buloba-Bujuko'!L11,'1.11 Buloba-Bujuko'!L11,'3.11 Buloba-Bujuko'!L11,'31.10 Buloba-Bujuko-24h'!L11,'2.11 Buloba-Bujuko-24HR'!L11,'4.11.BULOBA-BUJUKO'!L11)</f>
        <v>0.2857142857142857</v>
      </c>
      <c r="M11" s="49">
        <f>AVERAGE('29.10 Buloba-Bujuko'!M11,'30.10 Buloba-Bujuko'!M11,'1.11 Buloba-Bujuko'!M11,'3.11 Buloba-Bujuko'!M11,'31.10 Buloba-Bujuko-24h'!M11,'2.11 Buloba-Bujuko-24HR'!M11,'4.11.BULOBA-BUJUKO'!M11)</f>
        <v>8.7142857142857135</v>
      </c>
      <c r="N11" s="49">
        <f>AVERAGE('29.10 Buloba-Bujuko'!N11,'30.10 Buloba-Bujuko'!N11,'1.11 Buloba-Bujuko'!N11,'3.11 Buloba-Bujuko'!N11,'31.10 Buloba-Bujuko-24h'!N11,'2.11 Buloba-Bujuko-24HR'!N11,'4.11.BULOBA-BUJUKO'!N11)</f>
        <v>0</v>
      </c>
      <c r="O11" s="15">
        <f t="shared" si="0"/>
        <v>33.571428571428569</v>
      </c>
      <c r="P11" s="15">
        <f t="shared" si="1"/>
        <v>42.285714285714285</v>
      </c>
      <c r="R11" s="1" t="s">
        <v>7</v>
      </c>
      <c r="S11" s="17">
        <f t="shared" ref="S11:AF11" si="3">SUM(C14:C17)</f>
        <v>58.285714285714285</v>
      </c>
      <c r="T11" s="17">
        <f t="shared" si="3"/>
        <v>19.285714285714285</v>
      </c>
      <c r="U11" s="17">
        <f t="shared" si="3"/>
        <v>15.142857142857144</v>
      </c>
      <c r="V11" s="17">
        <f t="shared" si="3"/>
        <v>51.571428571428569</v>
      </c>
      <c r="W11" s="17">
        <f t="shared" si="3"/>
        <v>1.1428571428571428</v>
      </c>
      <c r="X11" s="17">
        <f t="shared" si="3"/>
        <v>1.4285714285714284</v>
      </c>
      <c r="Y11" s="17">
        <f t="shared" si="3"/>
        <v>20.857142857142854</v>
      </c>
      <c r="Z11" s="17">
        <f t="shared" si="3"/>
        <v>8.4285714285714288</v>
      </c>
      <c r="AA11" s="17">
        <f t="shared" si="3"/>
        <v>3.7142857142857144</v>
      </c>
      <c r="AB11" s="17">
        <f t="shared" si="3"/>
        <v>1.1428571428571428</v>
      </c>
      <c r="AC11" s="17">
        <f t="shared" si="3"/>
        <v>57.285714285714292</v>
      </c>
      <c r="AD11" s="17">
        <f t="shared" si="3"/>
        <v>0</v>
      </c>
      <c r="AE11" s="31">
        <f t="shared" si="3"/>
        <v>180.99999999999997</v>
      </c>
      <c r="AF11" s="31">
        <f t="shared" si="3"/>
        <v>238.28571428571428</v>
      </c>
    </row>
    <row r="12" spans="2:32" ht="23.1" customHeight="1" x14ac:dyDescent="0.25">
      <c r="B12" s="23" t="s">
        <v>39</v>
      </c>
      <c r="C12" s="49">
        <f>AVERAGE('29.10 Buloba-Bujuko'!C12,'30.10 Buloba-Bujuko'!C12,'1.11 Buloba-Bujuko'!C12,'3.11 Buloba-Bujuko'!C12,'31.10 Buloba-Bujuko-24h'!C12,'2.11 Buloba-Bujuko-24HR'!C12,'4.11.BULOBA-BUJUKO'!C12)</f>
        <v>11.714285714285714</v>
      </c>
      <c r="D12" s="49">
        <f>AVERAGE('29.10 Buloba-Bujuko'!D12,'30.10 Buloba-Bujuko'!D12,'1.11 Buloba-Bujuko'!D12,'3.11 Buloba-Bujuko'!D12,'31.10 Buloba-Bujuko-24h'!D12,'2.11 Buloba-Bujuko-24HR'!D12,'4.11.BULOBA-BUJUKO'!D12)</f>
        <v>2.8571428571428572</v>
      </c>
      <c r="E12" s="49">
        <f>AVERAGE('29.10 Buloba-Bujuko'!E12,'30.10 Buloba-Bujuko'!E12,'1.11 Buloba-Bujuko'!E12,'3.11 Buloba-Bujuko'!E12,'31.10 Buloba-Bujuko-24h'!E12,'2.11 Buloba-Bujuko-24HR'!E12,'4.11.BULOBA-BUJUKO'!E12)</f>
        <v>2.2857142857142856</v>
      </c>
      <c r="F12" s="49">
        <f>AVERAGE('29.10 Buloba-Bujuko'!F12,'30.10 Buloba-Bujuko'!F12,'1.11 Buloba-Bujuko'!F12,'3.11 Buloba-Bujuko'!F12,'31.10 Buloba-Bujuko-24h'!F12,'2.11 Buloba-Bujuko-24HR'!F12,'4.11.BULOBA-BUJUKO'!F12)</f>
        <v>8.5714285714285712</v>
      </c>
      <c r="G12" s="49">
        <f>AVERAGE('29.10 Buloba-Bujuko'!G12,'30.10 Buloba-Bujuko'!G12,'1.11 Buloba-Bujuko'!G12,'3.11 Buloba-Bujuko'!G12,'31.10 Buloba-Bujuko-24h'!G12,'2.11 Buloba-Bujuko-24HR'!G12,'4.11.BULOBA-BUJUKO'!G12)</f>
        <v>0.2857142857142857</v>
      </c>
      <c r="H12" s="49">
        <f>AVERAGE('29.10 Buloba-Bujuko'!H12,'30.10 Buloba-Bujuko'!H12,'1.11 Buloba-Bujuko'!H12,'3.11 Buloba-Bujuko'!H12,'31.10 Buloba-Bujuko-24h'!H12,'2.11 Buloba-Bujuko-24HR'!H12,'4.11.BULOBA-BUJUKO'!H12)</f>
        <v>0</v>
      </c>
      <c r="I12" s="49">
        <f>AVERAGE('29.10 Buloba-Bujuko'!I12,'30.10 Buloba-Bujuko'!I12,'1.11 Buloba-Bujuko'!I12,'3.11 Buloba-Bujuko'!I12,'31.10 Buloba-Bujuko-24h'!I12,'2.11 Buloba-Bujuko-24HR'!I12,'4.11.BULOBA-BUJUKO'!I12)</f>
        <v>3.7142857142857144</v>
      </c>
      <c r="J12" s="49">
        <f>AVERAGE('29.10 Buloba-Bujuko'!J12,'30.10 Buloba-Bujuko'!J12,'1.11 Buloba-Bujuko'!J12,'3.11 Buloba-Bujuko'!J12,'31.10 Buloba-Bujuko-24h'!J12,'2.11 Buloba-Bujuko-24HR'!J12,'4.11.BULOBA-BUJUKO'!J12)</f>
        <v>2.4285714285714284</v>
      </c>
      <c r="K12" s="49">
        <f>AVERAGE('29.10 Buloba-Bujuko'!K12,'30.10 Buloba-Bujuko'!K12,'1.11 Buloba-Bujuko'!K12,'3.11 Buloba-Bujuko'!K12,'31.10 Buloba-Bujuko-24h'!K12,'2.11 Buloba-Bujuko-24HR'!K12,'4.11.BULOBA-BUJUKO'!K12)</f>
        <v>1.1428571428571428</v>
      </c>
      <c r="L12" s="49">
        <f>AVERAGE('29.10 Buloba-Bujuko'!L12,'30.10 Buloba-Bujuko'!L12,'1.11 Buloba-Bujuko'!L12,'3.11 Buloba-Bujuko'!L12,'31.10 Buloba-Bujuko-24h'!L12,'2.11 Buloba-Bujuko-24HR'!L12,'4.11.BULOBA-BUJUKO'!L12)</f>
        <v>0.2857142857142857</v>
      </c>
      <c r="M12" s="49">
        <f>AVERAGE('29.10 Buloba-Bujuko'!M12,'30.10 Buloba-Bujuko'!M12,'1.11 Buloba-Bujuko'!M12,'3.11 Buloba-Bujuko'!M12,'31.10 Buloba-Bujuko-24h'!M12,'2.11 Buloba-Bujuko-24HR'!M12,'4.11.BULOBA-BUJUKO'!M12)</f>
        <v>9.2857142857142865</v>
      </c>
      <c r="N12" s="49">
        <f>AVERAGE('29.10 Buloba-Bujuko'!N12,'30.10 Buloba-Bujuko'!N12,'1.11 Buloba-Bujuko'!N12,'3.11 Buloba-Bujuko'!N12,'31.10 Buloba-Bujuko-24h'!N12,'2.11 Buloba-Bujuko-24HR'!N12,'4.11.BULOBA-BUJUKO'!N12)</f>
        <v>0</v>
      </c>
      <c r="O12" s="15">
        <f t="shared" si="0"/>
        <v>33.285714285714285</v>
      </c>
      <c r="P12" s="15">
        <f t="shared" si="1"/>
        <v>42.571428571428569</v>
      </c>
      <c r="R12" s="1" t="s">
        <v>8</v>
      </c>
      <c r="S12" s="17">
        <f t="shared" ref="S12:AF12" si="4">SUM(C18:C21)</f>
        <v>55.142857142857146</v>
      </c>
      <c r="T12" s="17">
        <f t="shared" si="4"/>
        <v>20.571428571428573</v>
      </c>
      <c r="U12" s="17">
        <f t="shared" si="4"/>
        <v>14.428571428571429</v>
      </c>
      <c r="V12" s="17">
        <f t="shared" si="4"/>
        <v>56.285714285714285</v>
      </c>
      <c r="W12" s="17">
        <f t="shared" si="4"/>
        <v>0.71428571428571419</v>
      </c>
      <c r="X12" s="17">
        <f t="shared" si="4"/>
        <v>1.7142857142857142</v>
      </c>
      <c r="Y12" s="17">
        <f t="shared" si="4"/>
        <v>24.285714285714285</v>
      </c>
      <c r="Z12" s="17">
        <f t="shared" si="4"/>
        <v>8.1428571428571423</v>
      </c>
      <c r="AA12" s="17">
        <f t="shared" si="4"/>
        <v>4.2857142857142856</v>
      </c>
      <c r="AB12" s="17">
        <f t="shared" si="4"/>
        <v>2</v>
      </c>
      <c r="AC12" s="17">
        <f t="shared" si="4"/>
        <v>58.571428571428569</v>
      </c>
      <c r="AD12" s="17">
        <f t="shared" si="4"/>
        <v>0</v>
      </c>
      <c r="AE12" s="31">
        <f t="shared" si="4"/>
        <v>187.57142857142856</v>
      </c>
      <c r="AF12" s="31">
        <f t="shared" si="4"/>
        <v>246.14285714285714</v>
      </c>
    </row>
    <row r="13" spans="2:32" ht="23.1" customHeight="1" x14ac:dyDescent="0.25">
      <c r="B13" s="23" t="s">
        <v>40</v>
      </c>
      <c r="C13" s="49">
        <f>AVERAGE('29.10 Buloba-Bujuko'!C13,'30.10 Buloba-Bujuko'!C13,'1.11 Buloba-Bujuko'!C13,'3.11 Buloba-Bujuko'!C13,'31.10 Buloba-Bujuko-24h'!C13,'2.11 Buloba-Bujuko-24HR'!C13,'4.11.BULOBA-BUJUKO'!C13)</f>
        <v>15.285714285714286</v>
      </c>
      <c r="D13" s="49">
        <f>AVERAGE('29.10 Buloba-Bujuko'!D13,'30.10 Buloba-Bujuko'!D13,'1.11 Buloba-Bujuko'!D13,'3.11 Buloba-Bujuko'!D13,'31.10 Buloba-Bujuko-24h'!D13,'2.11 Buloba-Bujuko-24HR'!D13,'4.11.BULOBA-BUJUKO'!D13)</f>
        <v>3.2857142857142856</v>
      </c>
      <c r="E13" s="49">
        <f>AVERAGE('29.10 Buloba-Bujuko'!E13,'30.10 Buloba-Bujuko'!E13,'1.11 Buloba-Bujuko'!E13,'3.11 Buloba-Bujuko'!E13,'31.10 Buloba-Bujuko-24h'!E13,'2.11 Buloba-Bujuko-24HR'!E13,'4.11.BULOBA-BUJUKO'!E13)</f>
        <v>3.4285714285714284</v>
      </c>
      <c r="F13" s="49">
        <f>AVERAGE('29.10 Buloba-Bujuko'!F13,'30.10 Buloba-Bujuko'!F13,'1.11 Buloba-Bujuko'!F13,'3.11 Buloba-Bujuko'!F13,'31.10 Buloba-Bujuko-24h'!F13,'2.11 Buloba-Bujuko-24HR'!F13,'4.11.BULOBA-BUJUKO'!F13)</f>
        <v>11.571428571428571</v>
      </c>
      <c r="G13" s="49">
        <f>AVERAGE('29.10 Buloba-Bujuko'!G13,'30.10 Buloba-Bujuko'!G13,'1.11 Buloba-Bujuko'!G13,'3.11 Buloba-Bujuko'!G13,'31.10 Buloba-Bujuko-24h'!G13,'2.11 Buloba-Bujuko-24HR'!G13,'4.11.BULOBA-BUJUKO'!G13)</f>
        <v>0</v>
      </c>
      <c r="H13" s="49">
        <f>AVERAGE('29.10 Buloba-Bujuko'!H13,'30.10 Buloba-Bujuko'!H13,'1.11 Buloba-Bujuko'!H13,'3.11 Buloba-Bujuko'!H13,'31.10 Buloba-Bujuko-24h'!H13,'2.11 Buloba-Bujuko-24HR'!H13,'4.11.BULOBA-BUJUKO'!H13)</f>
        <v>0.14285714285714285</v>
      </c>
      <c r="I13" s="49">
        <f>AVERAGE('29.10 Buloba-Bujuko'!I13,'30.10 Buloba-Bujuko'!I13,'1.11 Buloba-Bujuko'!I13,'3.11 Buloba-Bujuko'!I13,'31.10 Buloba-Bujuko-24h'!I13,'2.11 Buloba-Bujuko-24HR'!I13,'4.11.BULOBA-BUJUKO'!I13)</f>
        <v>4.8571428571428568</v>
      </c>
      <c r="J13" s="49">
        <f>AVERAGE('29.10 Buloba-Bujuko'!J13,'30.10 Buloba-Bujuko'!J13,'1.11 Buloba-Bujuko'!J13,'3.11 Buloba-Bujuko'!J13,'31.10 Buloba-Bujuko-24h'!J13,'2.11 Buloba-Bujuko-24HR'!J13,'4.11.BULOBA-BUJUKO'!J13)</f>
        <v>3.2857142857142856</v>
      </c>
      <c r="K13" s="49">
        <f>AVERAGE('29.10 Buloba-Bujuko'!K13,'30.10 Buloba-Bujuko'!K13,'1.11 Buloba-Bujuko'!K13,'3.11 Buloba-Bujuko'!K13,'31.10 Buloba-Bujuko-24h'!K13,'2.11 Buloba-Bujuko-24HR'!K13,'4.11.BULOBA-BUJUKO'!K13)</f>
        <v>0.2857142857142857</v>
      </c>
      <c r="L13" s="49">
        <f>AVERAGE('29.10 Buloba-Bujuko'!L13,'30.10 Buloba-Bujuko'!L13,'1.11 Buloba-Bujuko'!L13,'3.11 Buloba-Bujuko'!L13,'31.10 Buloba-Bujuko-24h'!L13,'2.11 Buloba-Bujuko-24HR'!L13,'4.11.BULOBA-BUJUKO'!L13)</f>
        <v>0.8571428571428571</v>
      </c>
      <c r="M13" s="49">
        <f>AVERAGE('29.10 Buloba-Bujuko'!M13,'30.10 Buloba-Bujuko'!M13,'1.11 Buloba-Bujuko'!M13,'3.11 Buloba-Bujuko'!M13,'31.10 Buloba-Bujuko-24h'!M13,'2.11 Buloba-Bujuko-24HR'!M13,'4.11.BULOBA-BUJUKO'!M13)</f>
        <v>13.142857142857142</v>
      </c>
      <c r="N13" s="49">
        <f>AVERAGE('29.10 Buloba-Bujuko'!N13,'30.10 Buloba-Bujuko'!N13,'1.11 Buloba-Bujuko'!N13,'3.11 Buloba-Bujuko'!N13,'31.10 Buloba-Bujuko-24h'!N13,'2.11 Buloba-Bujuko-24HR'!N13,'4.11.BULOBA-BUJUKO'!N13)</f>
        <v>0</v>
      </c>
      <c r="O13" s="15">
        <f t="shared" si="0"/>
        <v>42.999999999999993</v>
      </c>
      <c r="P13" s="15">
        <f t="shared" si="1"/>
        <v>56.142857142857139</v>
      </c>
      <c r="R13" s="1" t="s">
        <v>9</v>
      </c>
      <c r="S13" s="17">
        <f t="shared" ref="S13:AF13" si="5">SUM(C22:C25)</f>
        <v>71.285714285714278</v>
      </c>
      <c r="T13" s="17">
        <f t="shared" si="5"/>
        <v>21.714285714285715</v>
      </c>
      <c r="U13" s="17">
        <f t="shared" si="5"/>
        <v>17.571428571428569</v>
      </c>
      <c r="V13" s="17">
        <f t="shared" si="5"/>
        <v>66.142857142857139</v>
      </c>
      <c r="W13" s="17">
        <f t="shared" si="5"/>
        <v>1.8571428571428572</v>
      </c>
      <c r="X13" s="17">
        <f t="shared" si="5"/>
        <v>1.5714285714285714</v>
      </c>
      <c r="Y13" s="17">
        <f t="shared" si="5"/>
        <v>31.428571428571431</v>
      </c>
      <c r="Z13" s="17">
        <f t="shared" si="5"/>
        <v>12.428571428571429</v>
      </c>
      <c r="AA13" s="17">
        <f t="shared" si="5"/>
        <v>6.7142857142857144</v>
      </c>
      <c r="AB13" s="17">
        <f t="shared" si="5"/>
        <v>3</v>
      </c>
      <c r="AC13" s="17">
        <f t="shared" si="5"/>
        <v>67.142857142857139</v>
      </c>
      <c r="AD13" s="17">
        <f t="shared" si="5"/>
        <v>0.14285714285714285</v>
      </c>
      <c r="AE13" s="31">
        <f t="shared" si="5"/>
        <v>233.85714285714289</v>
      </c>
      <c r="AF13" s="31">
        <f t="shared" si="5"/>
        <v>301</v>
      </c>
    </row>
    <row r="14" spans="2:32" ht="23.1" customHeight="1" x14ac:dyDescent="0.25">
      <c r="B14" s="23" t="s">
        <v>41</v>
      </c>
      <c r="C14" s="49">
        <f>AVERAGE('29.10 Buloba-Bujuko'!C14,'30.10 Buloba-Bujuko'!C14,'1.11 Buloba-Bujuko'!C14,'3.11 Buloba-Bujuko'!C14,'31.10 Buloba-Bujuko-24h'!C14,'2.11 Buloba-Bujuko-24HR'!C14,'4.11.BULOBA-BUJUKO'!C14)</f>
        <v>17.285714285714285</v>
      </c>
      <c r="D14" s="49">
        <f>AVERAGE('29.10 Buloba-Bujuko'!D14,'30.10 Buloba-Bujuko'!D14,'1.11 Buloba-Bujuko'!D14,'3.11 Buloba-Bujuko'!D14,'31.10 Buloba-Bujuko-24h'!D14,'2.11 Buloba-Bujuko-24HR'!D14,'4.11.BULOBA-BUJUKO'!D14)</f>
        <v>6.1428571428571432</v>
      </c>
      <c r="E14" s="49">
        <f>AVERAGE('29.10 Buloba-Bujuko'!E14,'30.10 Buloba-Bujuko'!E14,'1.11 Buloba-Bujuko'!E14,'3.11 Buloba-Bujuko'!E14,'31.10 Buloba-Bujuko-24h'!E14,'2.11 Buloba-Bujuko-24HR'!E14,'4.11.BULOBA-BUJUKO'!E14)</f>
        <v>4.4285714285714288</v>
      </c>
      <c r="F14" s="49">
        <f>AVERAGE('29.10 Buloba-Bujuko'!F14,'30.10 Buloba-Bujuko'!F14,'1.11 Buloba-Bujuko'!F14,'3.11 Buloba-Bujuko'!F14,'31.10 Buloba-Bujuko-24h'!F14,'2.11 Buloba-Bujuko-24HR'!F14,'4.11.BULOBA-BUJUKO'!F14)</f>
        <v>15.857142857142858</v>
      </c>
      <c r="G14" s="49">
        <f>AVERAGE('29.10 Buloba-Bujuko'!G14,'30.10 Buloba-Bujuko'!G14,'1.11 Buloba-Bujuko'!G14,'3.11 Buloba-Bujuko'!G14,'31.10 Buloba-Bujuko-24h'!G14,'2.11 Buloba-Bujuko-24HR'!G14,'4.11.BULOBA-BUJUKO'!G14)</f>
        <v>0.2857142857142857</v>
      </c>
      <c r="H14" s="49">
        <f>AVERAGE('29.10 Buloba-Bujuko'!H14,'30.10 Buloba-Bujuko'!H14,'1.11 Buloba-Bujuko'!H14,'3.11 Buloba-Bujuko'!H14,'31.10 Buloba-Bujuko-24h'!H14,'2.11 Buloba-Bujuko-24HR'!H14,'4.11.BULOBA-BUJUKO'!H14)</f>
        <v>0.42857142857142855</v>
      </c>
      <c r="I14" s="49">
        <f>AVERAGE('29.10 Buloba-Bujuko'!I14,'30.10 Buloba-Bujuko'!I14,'1.11 Buloba-Bujuko'!I14,'3.11 Buloba-Bujuko'!I14,'31.10 Buloba-Bujuko-24h'!I14,'2.11 Buloba-Bujuko-24HR'!I14,'4.11.BULOBA-BUJUKO'!I14)</f>
        <v>6.7142857142857144</v>
      </c>
      <c r="J14" s="49">
        <f>AVERAGE('29.10 Buloba-Bujuko'!J14,'30.10 Buloba-Bujuko'!J14,'1.11 Buloba-Bujuko'!J14,'3.11 Buloba-Bujuko'!J14,'31.10 Buloba-Bujuko-24h'!J14,'2.11 Buloba-Bujuko-24HR'!J14,'4.11.BULOBA-BUJUKO'!J14)</f>
        <v>2.5714285714285716</v>
      </c>
      <c r="K14" s="49">
        <f>AVERAGE('29.10 Buloba-Bujuko'!K14,'30.10 Buloba-Bujuko'!K14,'1.11 Buloba-Bujuko'!K14,'3.11 Buloba-Bujuko'!K14,'31.10 Buloba-Bujuko-24h'!K14,'2.11 Buloba-Bujuko-24HR'!K14,'4.11.BULOBA-BUJUKO'!K14)</f>
        <v>1.5714285714285714</v>
      </c>
      <c r="L14" s="49">
        <f>AVERAGE('29.10 Buloba-Bujuko'!L14,'30.10 Buloba-Bujuko'!L14,'1.11 Buloba-Bujuko'!L14,'3.11 Buloba-Bujuko'!L14,'31.10 Buloba-Bujuko-24h'!L14,'2.11 Buloba-Bujuko-24HR'!L14,'4.11.BULOBA-BUJUKO'!L14)</f>
        <v>0.8571428571428571</v>
      </c>
      <c r="M14" s="49">
        <f>AVERAGE('29.10 Buloba-Bujuko'!M14,'30.10 Buloba-Bujuko'!M14,'1.11 Buloba-Bujuko'!M14,'3.11 Buloba-Bujuko'!M14,'31.10 Buloba-Bujuko-24h'!M14,'2.11 Buloba-Bujuko-24HR'!M14,'4.11.BULOBA-BUJUKO'!M14)</f>
        <v>17.285714285714285</v>
      </c>
      <c r="N14" s="49">
        <f>AVERAGE('29.10 Buloba-Bujuko'!N14,'30.10 Buloba-Bujuko'!N14,'1.11 Buloba-Bujuko'!N14,'3.11 Buloba-Bujuko'!N14,'31.10 Buloba-Bujuko-24h'!N14,'2.11 Buloba-Bujuko-24HR'!N14,'4.11.BULOBA-BUJUKO'!N14)</f>
        <v>0</v>
      </c>
      <c r="O14" s="15">
        <f t="shared" si="0"/>
        <v>56.142857142857132</v>
      </c>
      <c r="P14" s="15">
        <f t="shared" si="1"/>
        <v>73.428571428571416</v>
      </c>
      <c r="R14" s="1" t="s">
        <v>10</v>
      </c>
      <c r="S14" s="17">
        <f t="shared" ref="S14:AF14" si="6">SUM(C26:C29)</f>
        <v>77.571428571428569</v>
      </c>
      <c r="T14" s="17">
        <f t="shared" si="6"/>
        <v>22</v>
      </c>
      <c r="U14" s="17">
        <f t="shared" si="6"/>
        <v>16.428571428571431</v>
      </c>
      <c r="V14" s="17">
        <f t="shared" si="6"/>
        <v>66</v>
      </c>
      <c r="W14" s="17">
        <f t="shared" si="6"/>
        <v>1.4285714285714286</v>
      </c>
      <c r="X14" s="17">
        <f t="shared" si="6"/>
        <v>3.4285714285714288</v>
      </c>
      <c r="Y14" s="17">
        <f t="shared" si="6"/>
        <v>26.857142857142854</v>
      </c>
      <c r="Z14" s="17">
        <f t="shared" si="6"/>
        <v>9</v>
      </c>
      <c r="AA14" s="17">
        <f t="shared" si="6"/>
        <v>4.8571428571428568</v>
      </c>
      <c r="AB14" s="17">
        <f t="shared" si="6"/>
        <v>1.9999999999999998</v>
      </c>
      <c r="AC14" s="17">
        <f t="shared" si="6"/>
        <v>65.714285714285708</v>
      </c>
      <c r="AD14" s="17">
        <f t="shared" si="6"/>
        <v>0</v>
      </c>
      <c r="AE14" s="31">
        <f t="shared" si="6"/>
        <v>229.57142857142856</v>
      </c>
      <c r="AF14" s="31">
        <f t="shared" si="6"/>
        <v>295.28571428571428</v>
      </c>
    </row>
    <row r="15" spans="2:32" ht="23.1" customHeight="1" x14ac:dyDescent="0.25">
      <c r="B15" s="23" t="s">
        <v>42</v>
      </c>
      <c r="C15" s="49">
        <f>AVERAGE('29.10 Buloba-Bujuko'!C15,'30.10 Buloba-Bujuko'!C15,'1.11 Buloba-Bujuko'!C15,'3.11 Buloba-Bujuko'!C15,'31.10 Buloba-Bujuko-24h'!C15,'2.11 Buloba-Bujuko-24HR'!C15,'4.11.BULOBA-BUJUKO'!C15)</f>
        <v>14.571428571428571</v>
      </c>
      <c r="D15" s="49">
        <f>AVERAGE('29.10 Buloba-Bujuko'!D15,'30.10 Buloba-Bujuko'!D15,'1.11 Buloba-Bujuko'!D15,'3.11 Buloba-Bujuko'!D15,'31.10 Buloba-Bujuko-24h'!D15,'2.11 Buloba-Bujuko-24HR'!D15,'4.11.BULOBA-BUJUKO'!D15)</f>
        <v>4.5714285714285712</v>
      </c>
      <c r="E15" s="49">
        <f>AVERAGE('29.10 Buloba-Bujuko'!E15,'30.10 Buloba-Bujuko'!E15,'1.11 Buloba-Bujuko'!E15,'3.11 Buloba-Bujuko'!E15,'31.10 Buloba-Bujuko-24h'!E15,'2.11 Buloba-Bujuko-24HR'!E15,'4.11.BULOBA-BUJUKO'!E15)</f>
        <v>2.2857142857142856</v>
      </c>
      <c r="F15" s="49">
        <f>AVERAGE('29.10 Buloba-Bujuko'!F15,'30.10 Buloba-Bujuko'!F15,'1.11 Buloba-Bujuko'!F15,'3.11 Buloba-Bujuko'!F15,'31.10 Buloba-Bujuko-24h'!F15,'2.11 Buloba-Bujuko-24HR'!F15,'4.11.BULOBA-BUJUKO'!F15)</f>
        <v>13.714285714285714</v>
      </c>
      <c r="G15" s="49">
        <f>AVERAGE('29.10 Buloba-Bujuko'!G15,'30.10 Buloba-Bujuko'!G15,'1.11 Buloba-Bujuko'!G15,'3.11 Buloba-Bujuko'!G15,'31.10 Buloba-Bujuko-24h'!G15,'2.11 Buloba-Bujuko-24HR'!G15,'4.11.BULOBA-BUJUKO'!G15)</f>
        <v>0.14285714285714285</v>
      </c>
      <c r="H15" s="49">
        <f>AVERAGE('29.10 Buloba-Bujuko'!H15,'30.10 Buloba-Bujuko'!H15,'1.11 Buloba-Bujuko'!H15,'3.11 Buloba-Bujuko'!H15,'31.10 Buloba-Bujuko-24h'!H15,'2.11 Buloba-Bujuko-24HR'!H15,'4.11.BULOBA-BUJUKO'!H15)</f>
        <v>0.42857142857142855</v>
      </c>
      <c r="I15" s="49">
        <f>AVERAGE('29.10 Buloba-Bujuko'!I15,'30.10 Buloba-Bujuko'!I15,'1.11 Buloba-Bujuko'!I15,'3.11 Buloba-Bujuko'!I15,'31.10 Buloba-Bujuko-24h'!I15,'2.11 Buloba-Bujuko-24HR'!I15,'4.11.BULOBA-BUJUKO'!I15)</f>
        <v>3.8571428571428572</v>
      </c>
      <c r="J15" s="49">
        <f>AVERAGE('29.10 Buloba-Bujuko'!J15,'30.10 Buloba-Bujuko'!J15,'1.11 Buloba-Bujuko'!J15,'3.11 Buloba-Bujuko'!J15,'31.10 Buloba-Bujuko-24h'!J15,'2.11 Buloba-Bujuko-24HR'!J15,'4.11.BULOBA-BUJUKO'!J15)</f>
        <v>2.4285714285714284</v>
      </c>
      <c r="K15" s="49">
        <f>AVERAGE('29.10 Buloba-Bujuko'!K15,'30.10 Buloba-Bujuko'!K15,'1.11 Buloba-Bujuko'!K15,'3.11 Buloba-Bujuko'!K15,'31.10 Buloba-Bujuko-24h'!K15,'2.11 Buloba-Bujuko-24HR'!K15,'4.11.BULOBA-BUJUKO'!K15)</f>
        <v>0.8571428571428571</v>
      </c>
      <c r="L15" s="49">
        <f>AVERAGE('29.10 Buloba-Bujuko'!L15,'30.10 Buloba-Bujuko'!L15,'1.11 Buloba-Bujuko'!L15,'3.11 Buloba-Bujuko'!L15,'31.10 Buloba-Bujuko-24h'!L15,'2.11 Buloba-Bujuko-24HR'!L15,'4.11.BULOBA-BUJUKO'!L15)</f>
        <v>0.2857142857142857</v>
      </c>
      <c r="M15" s="49">
        <f>AVERAGE('29.10 Buloba-Bujuko'!M15,'30.10 Buloba-Bujuko'!M15,'1.11 Buloba-Bujuko'!M15,'3.11 Buloba-Bujuko'!M15,'31.10 Buloba-Bujuko-24h'!M15,'2.11 Buloba-Bujuko-24HR'!M15,'4.11.BULOBA-BUJUKO'!M15)</f>
        <v>12.428571428571429</v>
      </c>
      <c r="N15" s="49">
        <f>AVERAGE('29.10 Buloba-Bujuko'!N15,'30.10 Buloba-Bujuko'!N15,'1.11 Buloba-Bujuko'!N15,'3.11 Buloba-Bujuko'!N15,'31.10 Buloba-Bujuko-24h'!N15,'2.11 Buloba-Bujuko-24HR'!N15,'4.11.BULOBA-BUJUKO'!N15)</f>
        <v>0</v>
      </c>
      <c r="O15" s="15">
        <f t="shared" si="0"/>
        <v>43.142857142857139</v>
      </c>
      <c r="P15" s="15">
        <f t="shared" si="1"/>
        <v>55.571428571428569</v>
      </c>
      <c r="R15" s="1" t="s">
        <v>11</v>
      </c>
      <c r="S15" s="17">
        <f t="shared" ref="S15:AF15" si="7">SUM(C30:C33)</f>
        <v>70.285714285714278</v>
      </c>
      <c r="T15" s="17">
        <f t="shared" si="7"/>
        <v>27.857142857142858</v>
      </c>
      <c r="U15" s="17">
        <f t="shared" si="7"/>
        <v>16.857142857142858</v>
      </c>
      <c r="V15" s="17">
        <f t="shared" si="7"/>
        <v>61.142857142857139</v>
      </c>
      <c r="W15" s="17">
        <f t="shared" si="7"/>
        <v>2.2857142857142856</v>
      </c>
      <c r="X15" s="17">
        <f t="shared" si="7"/>
        <v>1.2857142857142856</v>
      </c>
      <c r="Y15" s="17">
        <f t="shared" si="7"/>
        <v>30</v>
      </c>
      <c r="Z15" s="17">
        <f t="shared" si="7"/>
        <v>9.571428571428573</v>
      </c>
      <c r="AA15" s="17">
        <f t="shared" si="7"/>
        <v>5.8571428571428577</v>
      </c>
      <c r="AB15" s="17">
        <f t="shared" si="7"/>
        <v>2.7142857142857144</v>
      </c>
      <c r="AC15" s="17">
        <f t="shared" si="7"/>
        <v>65.714285714285708</v>
      </c>
      <c r="AD15" s="17">
        <f t="shared" si="7"/>
        <v>0</v>
      </c>
      <c r="AE15" s="31">
        <f t="shared" si="7"/>
        <v>227.85714285714283</v>
      </c>
      <c r="AF15" s="31">
        <f t="shared" si="7"/>
        <v>293.57142857142856</v>
      </c>
    </row>
    <row r="16" spans="2:32" ht="23.1" customHeight="1" x14ac:dyDescent="0.25">
      <c r="B16" s="23" t="s">
        <v>43</v>
      </c>
      <c r="C16" s="49">
        <f>AVERAGE('29.10 Buloba-Bujuko'!C16,'30.10 Buloba-Bujuko'!C16,'1.11 Buloba-Bujuko'!C16,'3.11 Buloba-Bujuko'!C16,'31.10 Buloba-Bujuko-24h'!C16,'2.11 Buloba-Bujuko-24HR'!C16,'4.11.BULOBA-BUJUKO'!C16)</f>
        <v>13</v>
      </c>
      <c r="D16" s="49">
        <f>AVERAGE('29.10 Buloba-Bujuko'!D16,'30.10 Buloba-Bujuko'!D16,'1.11 Buloba-Bujuko'!D16,'3.11 Buloba-Bujuko'!D16,'31.10 Buloba-Bujuko-24h'!D16,'2.11 Buloba-Bujuko-24HR'!D16,'4.11.BULOBA-BUJUKO'!D16)</f>
        <v>3.2857142857142856</v>
      </c>
      <c r="E16" s="49">
        <f>AVERAGE('29.10 Buloba-Bujuko'!E16,'30.10 Buloba-Bujuko'!E16,'1.11 Buloba-Bujuko'!E16,'3.11 Buloba-Bujuko'!E16,'31.10 Buloba-Bujuko-24h'!E16,'2.11 Buloba-Bujuko-24HR'!E16,'4.11.BULOBA-BUJUKO'!E16)</f>
        <v>4</v>
      </c>
      <c r="F16" s="49">
        <f>AVERAGE('29.10 Buloba-Bujuko'!F16,'30.10 Buloba-Bujuko'!F16,'1.11 Buloba-Bujuko'!F16,'3.11 Buloba-Bujuko'!F16,'31.10 Buloba-Bujuko-24h'!F16,'2.11 Buloba-Bujuko-24HR'!F16,'4.11.BULOBA-BUJUKO'!F16)</f>
        <v>10.428571428571429</v>
      </c>
      <c r="G16" s="49">
        <f>AVERAGE('29.10 Buloba-Bujuko'!G16,'30.10 Buloba-Bujuko'!G16,'1.11 Buloba-Bujuko'!G16,'3.11 Buloba-Bujuko'!G16,'31.10 Buloba-Bujuko-24h'!G16,'2.11 Buloba-Bujuko-24HR'!G16,'4.11.BULOBA-BUJUKO'!G16)</f>
        <v>0.42857142857142855</v>
      </c>
      <c r="H16" s="49">
        <f>AVERAGE('29.10 Buloba-Bujuko'!H16,'30.10 Buloba-Bujuko'!H16,'1.11 Buloba-Bujuko'!H16,'3.11 Buloba-Bujuko'!H16,'31.10 Buloba-Bujuko-24h'!H16,'2.11 Buloba-Bujuko-24HR'!H16,'4.11.BULOBA-BUJUKO'!H16)</f>
        <v>0.2857142857142857</v>
      </c>
      <c r="I16" s="49">
        <f>AVERAGE('29.10 Buloba-Bujuko'!I16,'30.10 Buloba-Bujuko'!I16,'1.11 Buloba-Bujuko'!I16,'3.11 Buloba-Bujuko'!I16,'31.10 Buloba-Bujuko-24h'!I16,'2.11 Buloba-Bujuko-24HR'!I16,'4.11.BULOBA-BUJUKO'!I16)</f>
        <v>4.8571428571428568</v>
      </c>
      <c r="J16" s="49">
        <f>AVERAGE('29.10 Buloba-Bujuko'!J16,'30.10 Buloba-Bujuko'!J16,'1.11 Buloba-Bujuko'!J16,'3.11 Buloba-Bujuko'!J16,'31.10 Buloba-Bujuko-24h'!J16,'2.11 Buloba-Bujuko-24HR'!J16,'4.11.BULOBA-BUJUKO'!J16)</f>
        <v>2.5714285714285716</v>
      </c>
      <c r="K16" s="49">
        <f>AVERAGE('29.10 Buloba-Bujuko'!K16,'30.10 Buloba-Bujuko'!K16,'1.11 Buloba-Bujuko'!K16,'3.11 Buloba-Bujuko'!K16,'31.10 Buloba-Bujuko-24h'!K16,'2.11 Buloba-Bujuko-24HR'!K16,'4.11.BULOBA-BUJUKO'!K16)</f>
        <v>0.7142857142857143</v>
      </c>
      <c r="L16" s="49">
        <f>AVERAGE('29.10 Buloba-Bujuko'!L16,'30.10 Buloba-Bujuko'!L16,'1.11 Buloba-Bujuko'!L16,'3.11 Buloba-Bujuko'!L16,'31.10 Buloba-Bujuko-24h'!L16,'2.11 Buloba-Bujuko-24HR'!L16,'4.11.BULOBA-BUJUKO'!L16)</f>
        <v>0</v>
      </c>
      <c r="M16" s="49">
        <f>AVERAGE('29.10 Buloba-Bujuko'!M16,'30.10 Buloba-Bujuko'!M16,'1.11 Buloba-Bujuko'!M16,'3.11 Buloba-Bujuko'!M16,'31.10 Buloba-Bujuko-24h'!M16,'2.11 Buloba-Bujuko-24HR'!M16,'4.11.BULOBA-BUJUKO'!M16)</f>
        <v>12.142857142857142</v>
      </c>
      <c r="N16" s="49">
        <f>AVERAGE('29.10 Buloba-Bujuko'!N16,'30.10 Buloba-Bujuko'!N16,'1.11 Buloba-Bujuko'!N16,'3.11 Buloba-Bujuko'!N16,'31.10 Buloba-Bujuko-24h'!N16,'2.11 Buloba-Bujuko-24HR'!N16,'4.11.BULOBA-BUJUKO'!N16)</f>
        <v>0</v>
      </c>
      <c r="O16" s="15">
        <f t="shared" si="0"/>
        <v>39.571428571428569</v>
      </c>
      <c r="P16" s="15">
        <f t="shared" si="1"/>
        <v>51.714285714285708</v>
      </c>
      <c r="R16" s="1" t="s">
        <v>12</v>
      </c>
      <c r="S16" s="17">
        <f t="shared" ref="S16:AF16" si="8">SUM(C34:C37)</f>
        <v>70</v>
      </c>
      <c r="T16" s="17">
        <f t="shared" si="8"/>
        <v>23.714285714285715</v>
      </c>
      <c r="U16" s="17">
        <f t="shared" si="8"/>
        <v>19</v>
      </c>
      <c r="V16" s="17">
        <f t="shared" si="8"/>
        <v>71</v>
      </c>
      <c r="W16" s="17">
        <f t="shared" si="8"/>
        <v>3.5714285714285716</v>
      </c>
      <c r="X16" s="17">
        <f t="shared" si="8"/>
        <v>2.5714285714285712</v>
      </c>
      <c r="Y16" s="17">
        <f t="shared" si="8"/>
        <v>27.857142857142858</v>
      </c>
      <c r="Z16" s="17">
        <f t="shared" si="8"/>
        <v>9.1428571428571423</v>
      </c>
      <c r="AA16" s="17">
        <f t="shared" si="8"/>
        <v>6.8571428571428568</v>
      </c>
      <c r="AB16" s="17">
        <f t="shared" si="8"/>
        <v>3.8571428571428568</v>
      </c>
      <c r="AC16" s="17">
        <f t="shared" si="8"/>
        <v>61.999999999999993</v>
      </c>
      <c r="AD16" s="17">
        <f t="shared" si="8"/>
        <v>0.2857142857142857</v>
      </c>
      <c r="AE16" s="31">
        <f t="shared" si="8"/>
        <v>237.85714285714289</v>
      </c>
      <c r="AF16" s="31">
        <f t="shared" si="8"/>
        <v>299.85714285714283</v>
      </c>
    </row>
    <row r="17" spans="2:32" ht="23.1" customHeight="1" x14ac:dyDescent="0.25">
      <c r="B17" s="23" t="s">
        <v>44</v>
      </c>
      <c r="C17" s="49">
        <f>AVERAGE('29.10 Buloba-Bujuko'!C17,'30.10 Buloba-Bujuko'!C17,'1.11 Buloba-Bujuko'!C17,'3.11 Buloba-Bujuko'!C17,'31.10 Buloba-Bujuko-24h'!C17,'2.11 Buloba-Bujuko-24HR'!C17,'4.11.BULOBA-BUJUKO'!C17)</f>
        <v>13.428571428571429</v>
      </c>
      <c r="D17" s="49">
        <f>AVERAGE('29.10 Buloba-Bujuko'!D17,'30.10 Buloba-Bujuko'!D17,'1.11 Buloba-Bujuko'!D17,'3.11 Buloba-Bujuko'!D17,'31.10 Buloba-Bujuko-24h'!D17,'2.11 Buloba-Bujuko-24HR'!D17,'4.11.BULOBA-BUJUKO'!D17)</f>
        <v>5.2857142857142856</v>
      </c>
      <c r="E17" s="49">
        <f>AVERAGE('29.10 Buloba-Bujuko'!E17,'30.10 Buloba-Bujuko'!E17,'1.11 Buloba-Bujuko'!E17,'3.11 Buloba-Bujuko'!E17,'31.10 Buloba-Bujuko-24h'!E17,'2.11 Buloba-Bujuko-24HR'!E17,'4.11.BULOBA-BUJUKO'!E17)</f>
        <v>4.4285714285714288</v>
      </c>
      <c r="F17" s="49">
        <f>AVERAGE('29.10 Buloba-Bujuko'!F17,'30.10 Buloba-Bujuko'!F17,'1.11 Buloba-Bujuko'!F17,'3.11 Buloba-Bujuko'!F17,'31.10 Buloba-Bujuko-24h'!F17,'2.11 Buloba-Bujuko-24HR'!F17,'4.11.BULOBA-BUJUKO'!F17)</f>
        <v>11.571428571428571</v>
      </c>
      <c r="G17" s="49">
        <f>AVERAGE('29.10 Buloba-Bujuko'!G17,'30.10 Buloba-Bujuko'!G17,'1.11 Buloba-Bujuko'!G17,'3.11 Buloba-Bujuko'!G17,'31.10 Buloba-Bujuko-24h'!G17,'2.11 Buloba-Bujuko-24HR'!G17,'4.11.BULOBA-BUJUKO'!G17)</f>
        <v>0.2857142857142857</v>
      </c>
      <c r="H17" s="49">
        <f>AVERAGE('29.10 Buloba-Bujuko'!H17,'30.10 Buloba-Bujuko'!H17,'1.11 Buloba-Bujuko'!H17,'3.11 Buloba-Bujuko'!H17,'31.10 Buloba-Bujuko-24h'!H17,'2.11 Buloba-Bujuko-24HR'!H17,'4.11.BULOBA-BUJUKO'!H17)</f>
        <v>0.2857142857142857</v>
      </c>
      <c r="I17" s="49">
        <f>AVERAGE('29.10 Buloba-Bujuko'!I17,'30.10 Buloba-Bujuko'!I17,'1.11 Buloba-Bujuko'!I17,'3.11 Buloba-Bujuko'!I17,'31.10 Buloba-Bujuko-24h'!I17,'2.11 Buloba-Bujuko-24HR'!I17,'4.11.BULOBA-BUJUKO'!I17)</f>
        <v>5.4285714285714288</v>
      </c>
      <c r="J17" s="49">
        <f>AVERAGE('29.10 Buloba-Bujuko'!J17,'30.10 Buloba-Bujuko'!J17,'1.11 Buloba-Bujuko'!J17,'3.11 Buloba-Bujuko'!J17,'31.10 Buloba-Bujuko-24h'!J17,'2.11 Buloba-Bujuko-24HR'!J17,'4.11.BULOBA-BUJUKO'!J17)</f>
        <v>0.8571428571428571</v>
      </c>
      <c r="K17" s="49">
        <f>AVERAGE('29.10 Buloba-Bujuko'!K17,'30.10 Buloba-Bujuko'!K17,'1.11 Buloba-Bujuko'!K17,'3.11 Buloba-Bujuko'!K17,'31.10 Buloba-Bujuko-24h'!K17,'2.11 Buloba-Bujuko-24HR'!K17,'4.11.BULOBA-BUJUKO'!K17)</f>
        <v>0.5714285714285714</v>
      </c>
      <c r="L17" s="49">
        <f>AVERAGE('29.10 Buloba-Bujuko'!L17,'30.10 Buloba-Bujuko'!L17,'1.11 Buloba-Bujuko'!L17,'3.11 Buloba-Bujuko'!L17,'31.10 Buloba-Bujuko-24h'!L17,'2.11 Buloba-Bujuko-24HR'!L17,'4.11.BULOBA-BUJUKO'!L17)</f>
        <v>0</v>
      </c>
      <c r="M17" s="49">
        <f>AVERAGE('29.10 Buloba-Bujuko'!M17,'30.10 Buloba-Bujuko'!M17,'1.11 Buloba-Bujuko'!M17,'3.11 Buloba-Bujuko'!M17,'31.10 Buloba-Bujuko-24h'!M17,'2.11 Buloba-Bujuko-24HR'!M17,'4.11.BULOBA-BUJUKO'!M17)</f>
        <v>15.428571428571429</v>
      </c>
      <c r="N17" s="49">
        <f>AVERAGE('29.10 Buloba-Bujuko'!N17,'30.10 Buloba-Bujuko'!N17,'1.11 Buloba-Bujuko'!N17,'3.11 Buloba-Bujuko'!N17,'31.10 Buloba-Bujuko-24h'!N17,'2.11 Buloba-Bujuko-24HR'!N17,'4.11.BULOBA-BUJUKO'!N17)</f>
        <v>0</v>
      </c>
      <c r="O17" s="15">
        <f t="shared" si="0"/>
        <v>42.142857142857139</v>
      </c>
      <c r="P17" s="15">
        <f t="shared" si="1"/>
        <v>57.571428571428569</v>
      </c>
      <c r="R17" s="1" t="s">
        <v>13</v>
      </c>
      <c r="S17" s="17">
        <f t="shared" ref="S17:AF17" si="9">SUM(C38:C41)</f>
        <v>68.857142857142861</v>
      </c>
      <c r="T17" s="17">
        <f t="shared" si="9"/>
        <v>23.428571428571427</v>
      </c>
      <c r="U17" s="17">
        <f t="shared" si="9"/>
        <v>21.857142857142858</v>
      </c>
      <c r="V17" s="17">
        <f t="shared" si="9"/>
        <v>77</v>
      </c>
      <c r="W17" s="17">
        <f t="shared" si="9"/>
        <v>2.2857142857142856</v>
      </c>
      <c r="X17" s="17">
        <f t="shared" si="9"/>
        <v>1.714285714285714</v>
      </c>
      <c r="Y17" s="17">
        <f t="shared" si="9"/>
        <v>32</v>
      </c>
      <c r="Z17" s="17">
        <f t="shared" si="9"/>
        <v>10.857142857142856</v>
      </c>
      <c r="AA17" s="17">
        <f t="shared" si="9"/>
        <v>8.2857142857142847</v>
      </c>
      <c r="AB17" s="17">
        <f t="shared" si="9"/>
        <v>3.8571428571428572</v>
      </c>
      <c r="AC17" s="17">
        <f t="shared" si="9"/>
        <v>62.714285714285715</v>
      </c>
      <c r="AD17" s="17">
        <f t="shared" si="9"/>
        <v>0</v>
      </c>
      <c r="AE17" s="31">
        <f t="shared" si="9"/>
        <v>250.14285714285714</v>
      </c>
      <c r="AF17" s="31">
        <f t="shared" si="9"/>
        <v>312.85714285714283</v>
      </c>
    </row>
    <row r="18" spans="2:32" ht="23.1" customHeight="1" x14ac:dyDescent="0.25">
      <c r="B18" s="23" t="s">
        <v>45</v>
      </c>
      <c r="C18" s="49">
        <f>AVERAGE('29.10 Buloba-Bujuko'!C18,'30.10 Buloba-Bujuko'!C18,'1.11 Buloba-Bujuko'!C18,'3.11 Buloba-Bujuko'!C18,'31.10 Buloba-Bujuko-24h'!C18,'2.11 Buloba-Bujuko-24HR'!C18,'4.11.BULOBA-BUJUKO'!C18)</f>
        <v>14.857142857142858</v>
      </c>
      <c r="D18" s="49">
        <f>AVERAGE('29.10 Buloba-Bujuko'!D18,'30.10 Buloba-Bujuko'!D18,'1.11 Buloba-Bujuko'!D18,'3.11 Buloba-Bujuko'!D18,'31.10 Buloba-Bujuko-24h'!D18,'2.11 Buloba-Bujuko-24HR'!D18,'4.11.BULOBA-BUJUKO'!D18)</f>
        <v>6</v>
      </c>
      <c r="E18" s="49">
        <f>AVERAGE('29.10 Buloba-Bujuko'!E18,'30.10 Buloba-Bujuko'!E18,'1.11 Buloba-Bujuko'!E18,'3.11 Buloba-Bujuko'!E18,'31.10 Buloba-Bujuko-24h'!E18,'2.11 Buloba-Bujuko-24HR'!E18,'4.11.BULOBA-BUJUKO'!E18)</f>
        <v>3.1428571428571428</v>
      </c>
      <c r="F18" s="49">
        <f>AVERAGE('29.10 Buloba-Bujuko'!F18,'30.10 Buloba-Bujuko'!F18,'1.11 Buloba-Bujuko'!F18,'3.11 Buloba-Bujuko'!F18,'31.10 Buloba-Bujuko-24h'!F18,'2.11 Buloba-Bujuko-24HR'!F18,'4.11.BULOBA-BUJUKO'!F18)</f>
        <v>14</v>
      </c>
      <c r="G18" s="49">
        <f>AVERAGE('29.10 Buloba-Bujuko'!G18,'30.10 Buloba-Bujuko'!G18,'1.11 Buloba-Bujuko'!G18,'3.11 Buloba-Bujuko'!G18,'31.10 Buloba-Bujuko-24h'!G18,'2.11 Buloba-Bujuko-24HR'!G18,'4.11.BULOBA-BUJUKO'!G18)</f>
        <v>0.2857142857142857</v>
      </c>
      <c r="H18" s="49">
        <f>AVERAGE('29.10 Buloba-Bujuko'!H18,'30.10 Buloba-Bujuko'!H18,'1.11 Buloba-Bujuko'!H18,'3.11 Buloba-Bujuko'!H18,'31.10 Buloba-Bujuko-24h'!H18,'2.11 Buloba-Bujuko-24HR'!H18,'4.11.BULOBA-BUJUKO'!H18)</f>
        <v>0.42857142857142855</v>
      </c>
      <c r="I18" s="49">
        <f>AVERAGE('29.10 Buloba-Bujuko'!I18,'30.10 Buloba-Bujuko'!I18,'1.11 Buloba-Bujuko'!I18,'3.11 Buloba-Bujuko'!I18,'31.10 Buloba-Bujuko-24h'!I18,'2.11 Buloba-Bujuko-24HR'!I18,'4.11.BULOBA-BUJUKO'!I18)</f>
        <v>6.8571428571428568</v>
      </c>
      <c r="J18" s="49">
        <f>AVERAGE('29.10 Buloba-Bujuko'!J18,'30.10 Buloba-Bujuko'!J18,'1.11 Buloba-Bujuko'!J18,'3.11 Buloba-Bujuko'!J18,'31.10 Buloba-Bujuko-24h'!J18,'2.11 Buloba-Bujuko-24HR'!J18,'4.11.BULOBA-BUJUKO'!J18)</f>
        <v>2.4285714285714284</v>
      </c>
      <c r="K18" s="49">
        <f>AVERAGE('29.10 Buloba-Bujuko'!K18,'30.10 Buloba-Bujuko'!K18,'1.11 Buloba-Bujuko'!K18,'3.11 Buloba-Bujuko'!K18,'31.10 Buloba-Bujuko-24h'!K18,'2.11 Buloba-Bujuko-24HR'!K18,'4.11.BULOBA-BUJUKO'!K18)</f>
        <v>0.7142857142857143</v>
      </c>
      <c r="L18" s="49">
        <f>AVERAGE('29.10 Buloba-Bujuko'!L18,'30.10 Buloba-Bujuko'!L18,'1.11 Buloba-Bujuko'!L18,'3.11 Buloba-Bujuko'!L18,'31.10 Buloba-Bujuko-24h'!L18,'2.11 Buloba-Bujuko-24HR'!L18,'4.11.BULOBA-BUJUKO'!L18)</f>
        <v>0.5714285714285714</v>
      </c>
      <c r="M18" s="49">
        <f>AVERAGE('29.10 Buloba-Bujuko'!M18,'30.10 Buloba-Bujuko'!M18,'1.11 Buloba-Bujuko'!M18,'3.11 Buloba-Bujuko'!M18,'31.10 Buloba-Bujuko-24h'!M18,'2.11 Buloba-Bujuko-24HR'!M18,'4.11.BULOBA-BUJUKO'!M18)</f>
        <v>15.714285714285714</v>
      </c>
      <c r="N18" s="49">
        <f>AVERAGE('29.10 Buloba-Bujuko'!N18,'30.10 Buloba-Bujuko'!N18,'1.11 Buloba-Bujuko'!N18,'3.11 Buloba-Bujuko'!N18,'31.10 Buloba-Bujuko-24h'!N18,'2.11 Buloba-Bujuko-24HR'!N18,'4.11.BULOBA-BUJUKO'!N18)</f>
        <v>0</v>
      </c>
      <c r="O18" s="15">
        <f t="shared" si="0"/>
        <v>49.285714285714285</v>
      </c>
      <c r="P18" s="15">
        <f t="shared" si="1"/>
        <v>65</v>
      </c>
      <c r="R18" s="1" t="s">
        <v>14</v>
      </c>
      <c r="S18" s="17">
        <f t="shared" ref="S18:AF18" si="10">SUM(C42:C45)</f>
        <v>69.428571428571431</v>
      </c>
      <c r="T18" s="17">
        <f t="shared" si="10"/>
        <v>18.571428571428569</v>
      </c>
      <c r="U18" s="17">
        <f t="shared" si="10"/>
        <v>14.857142857142858</v>
      </c>
      <c r="V18" s="17">
        <f t="shared" si="10"/>
        <v>68.857142857142861</v>
      </c>
      <c r="W18" s="17">
        <f t="shared" si="10"/>
        <v>1</v>
      </c>
      <c r="X18" s="17">
        <f t="shared" si="10"/>
        <v>2</v>
      </c>
      <c r="Y18" s="17">
        <f t="shared" si="10"/>
        <v>30</v>
      </c>
      <c r="Z18" s="17">
        <f t="shared" si="10"/>
        <v>10.857142857142858</v>
      </c>
      <c r="AA18" s="17">
        <f t="shared" si="10"/>
        <v>7.4285714285714288</v>
      </c>
      <c r="AB18" s="17">
        <f t="shared" si="10"/>
        <v>2</v>
      </c>
      <c r="AC18" s="17">
        <f t="shared" si="10"/>
        <v>54.428571428571431</v>
      </c>
      <c r="AD18" s="17">
        <f t="shared" si="10"/>
        <v>0.14285714285714285</v>
      </c>
      <c r="AE18" s="31">
        <f t="shared" si="10"/>
        <v>225.14285714285714</v>
      </c>
      <c r="AF18" s="31">
        <f t="shared" si="10"/>
        <v>279.57142857142856</v>
      </c>
    </row>
    <row r="19" spans="2:32" ht="23.1" customHeight="1" x14ac:dyDescent="0.25">
      <c r="B19" s="23" t="s">
        <v>46</v>
      </c>
      <c r="C19" s="49">
        <f>AVERAGE('29.10 Buloba-Bujuko'!C19,'30.10 Buloba-Bujuko'!C19,'1.11 Buloba-Bujuko'!C19,'3.11 Buloba-Bujuko'!C19,'31.10 Buloba-Bujuko-24h'!C19,'2.11 Buloba-Bujuko-24HR'!C19,'4.11.BULOBA-BUJUKO'!C19)</f>
        <v>13.571428571428571</v>
      </c>
      <c r="D19" s="49">
        <f>AVERAGE('29.10 Buloba-Bujuko'!D19,'30.10 Buloba-Bujuko'!D19,'1.11 Buloba-Bujuko'!D19,'3.11 Buloba-Bujuko'!D19,'31.10 Buloba-Bujuko-24h'!D19,'2.11 Buloba-Bujuko-24HR'!D19,'4.11.BULOBA-BUJUKO'!D19)</f>
        <v>5.4285714285714288</v>
      </c>
      <c r="E19" s="49">
        <f>AVERAGE('29.10 Buloba-Bujuko'!E19,'30.10 Buloba-Bujuko'!E19,'1.11 Buloba-Bujuko'!E19,'3.11 Buloba-Bujuko'!E19,'31.10 Buloba-Bujuko-24h'!E19,'2.11 Buloba-Bujuko-24HR'!E19,'4.11.BULOBA-BUJUKO'!E19)</f>
        <v>3.8571428571428572</v>
      </c>
      <c r="F19" s="49">
        <f>AVERAGE('29.10 Buloba-Bujuko'!F19,'30.10 Buloba-Bujuko'!F19,'1.11 Buloba-Bujuko'!F19,'3.11 Buloba-Bujuko'!F19,'31.10 Buloba-Bujuko-24h'!F19,'2.11 Buloba-Bujuko-24HR'!F19,'4.11.BULOBA-BUJUKO'!F19)</f>
        <v>13.571428571428571</v>
      </c>
      <c r="G19" s="49">
        <f>AVERAGE('29.10 Buloba-Bujuko'!G19,'30.10 Buloba-Bujuko'!G19,'1.11 Buloba-Bujuko'!G19,'3.11 Buloba-Bujuko'!G19,'31.10 Buloba-Bujuko-24h'!G19,'2.11 Buloba-Bujuko-24HR'!G19,'4.11.BULOBA-BUJUKO'!G19)</f>
        <v>0</v>
      </c>
      <c r="H19" s="49">
        <f>AVERAGE('29.10 Buloba-Bujuko'!H19,'30.10 Buloba-Bujuko'!H19,'1.11 Buloba-Bujuko'!H19,'3.11 Buloba-Bujuko'!H19,'31.10 Buloba-Bujuko-24h'!H19,'2.11 Buloba-Bujuko-24HR'!H19,'4.11.BULOBA-BUJUKO'!H19)</f>
        <v>0.5714285714285714</v>
      </c>
      <c r="I19" s="49">
        <f>AVERAGE('29.10 Buloba-Bujuko'!I19,'30.10 Buloba-Bujuko'!I19,'1.11 Buloba-Bujuko'!I19,'3.11 Buloba-Bujuko'!I19,'31.10 Buloba-Bujuko-24h'!I19,'2.11 Buloba-Bujuko-24HR'!I19,'4.11.BULOBA-BUJUKO'!I19)</f>
        <v>5.5714285714285712</v>
      </c>
      <c r="J19" s="49">
        <f>AVERAGE('29.10 Buloba-Bujuko'!J19,'30.10 Buloba-Bujuko'!J19,'1.11 Buloba-Bujuko'!J19,'3.11 Buloba-Bujuko'!J19,'31.10 Buloba-Bujuko-24h'!J19,'2.11 Buloba-Bujuko-24HR'!J19,'4.11.BULOBA-BUJUKO'!J19)</f>
        <v>1.5714285714285714</v>
      </c>
      <c r="K19" s="49">
        <f>AVERAGE('29.10 Buloba-Bujuko'!K19,'30.10 Buloba-Bujuko'!K19,'1.11 Buloba-Bujuko'!K19,'3.11 Buloba-Bujuko'!K19,'31.10 Buloba-Bujuko-24h'!K19,'2.11 Buloba-Bujuko-24HR'!K19,'4.11.BULOBA-BUJUKO'!K19)</f>
        <v>1.7142857142857142</v>
      </c>
      <c r="L19" s="49">
        <f>AVERAGE('29.10 Buloba-Bujuko'!L19,'30.10 Buloba-Bujuko'!L19,'1.11 Buloba-Bujuko'!L19,'3.11 Buloba-Bujuko'!L19,'31.10 Buloba-Bujuko-24h'!L19,'2.11 Buloba-Bujuko-24HR'!L19,'4.11.BULOBA-BUJUKO'!L19)</f>
        <v>0.7142857142857143</v>
      </c>
      <c r="M19" s="49">
        <f>AVERAGE('29.10 Buloba-Bujuko'!M19,'30.10 Buloba-Bujuko'!M19,'1.11 Buloba-Bujuko'!M19,'3.11 Buloba-Bujuko'!M19,'31.10 Buloba-Bujuko-24h'!M19,'2.11 Buloba-Bujuko-24HR'!M19,'4.11.BULOBA-BUJUKO'!M19)</f>
        <v>11.142857142857142</v>
      </c>
      <c r="N19" s="49">
        <f>AVERAGE('29.10 Buloba-Bujuko'!N19,'30.10 Buloba-Bujuko'!N19,'1.11 Buloba-Bujuko'!N19,'3.11 Buloba-Bujuko'!N19,'31.10 Buloba-Bujuko-24h'!N19,'2.11 Buloba-Bujuko-24HR'!N19,'4.11.BULOBA-BUJUKO'!N19)</f>
        <v>0</v>
      </c>
      <c r="O19" s="15">
        <f t="shared" si="0"/>
        <v>46.571428571428569</v>
      </c>
      <c r="P19" s="15">
        <f t="shared" si="1"/>
        <v>57.714285714285708</v>
      </c>
      <c r="R19" s="1" t="s">
        <v>15</v>
      </c>
      <c r="S19" s="17">
        <f t="shared" ref="S19:AF19" si="11">SUM(C46:C49)</f>
        <v>66.142857142857139</v>
      </c>
      <c r="T19" s="17">
        <f t="shared" si="11"/>
        <v>19.714285714285715</v>
      </c>
      <c r="U19" s="17">
        <f t="shared" si="11"/>
        <v>16.714285714285715</v>
      </c>
      <c r="V19" s="17">
        <f t="shared" si="11"/>
        <v>60</v>
      </c>
      <c r="W19" s="17">
        <f t="shared" si="11"/>
        <v>0.71428571428571419</v>
      </c>
      <c r="X19" s="17">
        <f t="shared" si="11"/>
        <v>1.8571428571428572</v>
      </c>
      <c r="Y19" s="17">
        <f t="shared" si="11"/>
        <v>28.428571428571427</v>
      </c>
      <c r="Z19" s="17">
        <f t="shared" si="11"/>
        <v>10.428571428571427</v>
      </c>
      <c r="AA19" s="17">
        <f t="shared" si="11"/>
        <v>4.2857142857142856</v>
      </c>
      <c r="AB19" s="17">
        <f t="shared" si="11"/>
        <v>3.714285714285714</v>
      </c>
      <c r="AC19" s="17">
        <f t="shared" si="11"/>
        <v>50.285714285714292</v>
      </c>
      <c r="AD19" s="17">
        <f t="shared" si="11"/>
        <v>0.14285714285714285</v>
      </c>
      <c r="AE19" s="31">
        <f t="shared" si="11"/>
        <v>212.14285714285717</v>
      </c>
      <c r="AF19" s="31">
        <f t="shared" si="11"/>
        <v>262.42857142857144</v>
      </c>
    </row>
    <row r="20" spans="2:32" ht="23.1" customHeight="1" x14ac:dyDescent="0.25">
      <c r="B20" s="23" t="s">
        <v>47</v>
      </c>
      <c r="C20" s="49">
        <f>AVERAGE('29.10 Buloba-Bujuko'!C20,'30.10 Buloba-Bujuko'!C20,'1.11 Buloba-Bujuko'!C20,'3.11 Buloba-Bujuko'!C20,'31.10 Buloba-Bujuko-24h'!C20,'2.11 Buloba-Bujuko-24HR'!C20,'4.11.BULOBA-BUJUKO'!C20)</f>
        <v>13</v>
      </c>
      <c r="D20" s="49">
        <f>AVERAGE('29.10 Buloba-Bujuko'!D20,'30.10 Buloba-Bujuko'!D20,'1.11 Buloba-Bujuko'!D20,'3.11 Buloba-Bujuko'!D20,'31.10 Buloba-Bujuko-24h'!D20,'2.11 Buloba-Bujuko-24HR'!D20,'4.11.BULOBA-BUJUKO'!D20)</f>
        <v>4</v>
      </c>
      <c r="E20" s="49">
        <f>AVERAGE('29.10 Buloba-Bujuko'!E20,'30.10 Buloba-Bujuko'!E20,'1.11 Buloba-Bujuko'!E20,'3.11 Buloba-Bujuko'!E20,'31.10 Buloba-Bujuko-24h'!E20,'2.11 Buloba-Bujuko-24HR'!E20,'4.11.BULOBA-BUJUKO'!E20)</f>
        <v>3.5714285714285716</v>
      </c>
      <c r="F20" s="49">
        <f>AVERAGE('29.10 Buloba-Bujuko'!F20,'30.10 Buloba-Bujuko'!F20,'1.11 Buloba-Bujuko'!F20,'3.11 Buloba-Bujuko'!F20,'31.10 Buloba-Bujuko-24h'!F20,'2.11 Buloba-Bujuko-24HR'!F20,'4.11.BULOBA-BUJUKO'!F20)</f>
        <v>14.714285714285714</v>
      </c>
      <c r="G20" s="49">
        <f>AVERAGE('29.10 Buloba-Bujuko'!G20,'30.10 Buloba-Bujuko'!G20,'1.11 Buloba-Bujuko'!G20,'3.11 Buloba-Bujuko'!G20,'31.10 Buloba-Bujuko-24h'!G20,'2.11 Buloba-Bujuko-24HR'!G20,'4.11.BULOBA-BUJUKO'!G20)</f>
        <v>0.2857142857142857</v>
      </c>
      <c r="H20" s="49">
        <f>AVERAGE('29.10 Buloba-Bujuko'!H20,'30.10 Buloba-Bujuko'!H20,'1.11 Buloba-Bujuko'!H20,'3.11 Buloba-Bujuko'!H20,'31.10 Buloba-Bujuko-24h'!H20,'2.11 Buloba-Bujuko-24HR'!H20,'4.11.BULOBA-BUJUKO'!H20)</f>
        <v>0.2857142857142857</v>
      </c>
      <c r="I20" s="49">
        <f>AVERAGE('29.10 Buloba-Bujuko'!I20,'30.10 Buloba-Bujuko'!I20,'1.11 Buloba-Bujuko'!I20,'3.11 Buloba-Bujuko'!I20,'31.10 Buloba-Bujuko-24h'!I20,'2.11 Buloba-Bujuko-24HR'!I20,'4.11.BULOBA-BUJUKO'!I20)</f>
        <v>6.5714285714285712</v>
      </c>
      <c r="J20" s="49">
        <f>AVERAGE('29.10 Buloba-Bujuko'!J20,'30.10 Buloba-Bujuko'!J20,'1.11 Buloba-Bujuko'!J20,'3.11 Buloba-Bujuko'!J20,'31.10 Buloba-Bujuko-24h'!J20,'2.11 Buloba-Bujuko-24HR'!J20,'4.11.BULOBA-BUJUKO'!J20)</f>
        <v>2.4285714285714284</v>
      </c>
      <c r="K20" s="49">
        <f>AVERAGE('29.10 Buloba-Bujuko'!K20,'30.10 Buloba-Bujuko'!K20,'1.11 Buloba-Bujuko'!K20,'3.11 Buloba-Bujuko'!K20,'31.10 Buloba-Bujuko-24h'!K20,'2.11 Buloba-Bujuko-24HR'!K20,'4.11.BULOBA-BUJUKO'!K20)</f>
        <v>0.8571428571428571</v>
      </c>
      <c r="L20" s="49">
        <f>AVERAGE('29.10 Buloba-Bujuko'!L20,'30.10 Buloba-Bujuko'!L20,'1.11 Buloba-Bujuko'!L20,'3.11 Buloba-Bujuko'!L20,'31.10 Buloba-Bujuko-24h'!L20,'2.11 Buloba-Bujuko-24HR'!L20,'4.11.BULOBA-BUJUKO'!L20)</f>
        <v>0</v>
      </c>
      <c r="M20" s="49">
        <f>AVERAGE('29.10 Buloba-Bujuko'!M20,'30.10 Buloba-Bujuko'!M20,'1.11 Buloba-Bujuko'!M20,'3.11 Buloba-Bujuko'!M20,'31.10 Buloba-Bujuko-24h'!M20,'2.11 Buloba-Bujuko-24HR'!M20,'4.11.BULOBA-BUJUKO'!M20)</f>
        <v>12.714285714285714</v>
      </c>
      <c r="N20" s="49">
        <f>AVERAGE('29.10 Buloba-Bujuko'!N20,'30.10 Buloba-Bujuko'!N20,'1.11 Buloba-Bujuko'!N20,'3.11 Buloba-Bujuko'!N20,'31.10 Buloba-Bujuko-24h'!N20,'2.11 Buloba-Bujuko-24HR'!N20,'4.11.BULOBA-BUJUKO'!N20)</f>
        <v>0</v>
      </c>
      <c r="O20" s="15">
        <f t="shared" si="0"/>
        <v>45.714285714285708</v>
      </c>
      <c r="P20" s="15">
        <f t="shared" si="1"/>
        <v>58.428571428571423</v>
      </c>
      <c r="R20" s="1" t="s">
        <v>16</v>
      </c>
      <c r="S20" s="17">
        <f t="shared" ref="S20:AF20" si="12">SUM(C50:C53)</f>
        <v>59.857142857142861</v>
      </c>
      <c r="T20" s="17">
        <f t="shared" si="12"/>
        <v>23</v>
      </c>
      <c r="U20" s="17">
        <f t="shared" si="12"/>
        <v>15.714285714285714</v>
      </c>
      <c r="V20" s="17">
        <f t="shared" si="12"/>
        <v>57.857142857142861</v>
      </c>
      <c r="W20" s="17">
        <f t="shared" si="12"/>
        <v>1.1428571428571428</v>
      </c>
      <c r="X20" s="17">
        <f t="shared" si="12"/>
        <v>1.2857142857142856</v>
      </c>
      <c r="Y20" s="17">
        <f t="shared" si="12"/>
        <v>25.142857142857142</v>
      </c>
      <c r="Z20" s="17">
        <f t="shared" si="12"/>
        <v>10.142857142857142</v>
      </c>
      <c r="AA20" s="17">
        <f t="shared" si="12"/>
        <v>3</v>
      </c>
      <c r="AB20" s="17">
        <f t="shared" si="12"/>
        <v>2</v>
      </c>
      <c r="AC20" s="17">
        <f t="shared" si="12"/>
        <v>47.428571428571431</v>
      </c>
      <c r="AD20" s="17">
        <f t="shared" si="12"/>
        <v>0.42857142857142855</v>
      </c>
      <c r="AE20" s="31">
        <f t="shared" si="12"/>
        <v>199.57142857142856</v>
      </c>
      <c r="AF20" s="31">
        <f t="shared" si="12"/>
        <v>247</v>
      </c>
    </row>
    <row r="21" spans="2:32" ht="23.1" customHeight="1" x14ac:dyDescent="0.25">
      <c r="B21" s="23" t="s">
        <v>48</v>
      </c>
      <c r="C21" s="49">
        <f>AVERAGE('29.10 Buloba-Bujuko'!C21,'30.10 Buloba-Bujuko'!C21,'1.11 Buloba-Bujuko'!C21,'3.11 Buloba-Bujuko'!C21,'31.10 Buloba-Bujuko-24h'!C21,'2.11 Buloba-Bujuko-24HR'!C21,'4.11.BULOBA-BUJUKO'!C21)</f>
        <v>13.714285714285714</v>
      </c>
      <c r="D21" s="49">
        <f>AVERAGE('29.10 Buloba-Bujuko'!D21,'30.10 Buloba-Bujuko'!D21,'1.11 Buloba-Bujuko'!D21,'3.11 Buloba-Bujuko'!D21,'31.10 Buloba-Bujuko-24h'!D21,'2.11 Buloba-Bujuko-24HR'!D21,'4.11.BULOBA-BUJUKO'!D21)</f>
        <v>5.1428571428571432</v>
      </c>
      <c r="E21" s="49">
        <f>AVERAGE('29.10 Buloba-Bujuko'!E21,'30.10 Buloba-Bujuko'!E21,'1.11 Buloba-Bujuko'!E21,'3.11 Buloba-Bujuko'!E21,'31.10 Buloba-Bujuko-24h'!E21,'2.11 Buloba-Bujuko-24HR'!E21,'4.11.BULOBA-BUJUKO'!E21)</f>
        <v>3.8571428571428572</v>
      </c>
      <c r="F21" s="49">
        <f>AVERAGE('29.10 Buloba-Bujuko'!F21,'30.10 Buloba-Bujuko'!F21,'1.11 Buloba-Bujuko'!F21,'3.11 Buloba-Bujuko'!F21,'31.10 Buloba-Bujuko-24h'!F21,'2.11 Buloba-Bujuko-24HR'!F21,'4.11.BULOBA-BUJUKO'!F21)</f>
        <v>14</v>
      </c>
      <c r="G21" s="49">
        <f>AVERAGE('29.10 Buloba-Bujuko'!G21,'30.10 Buloba-Bujuko'!G21,'1.11 Buloba-Bujuko'!G21,'3.11 Buloba-Bujuko'!G21,'31.10 Buloba-Bujuko-24h'!G21,'2.11 Buloba-Bujuko-24HR'!G21,'4.11.BULOBA-BUJUKO'!G21)</f>
        <v>0.14285714285714285</v>
      </c>
      <c r="H21" s="49">
        <f>AVERAGE('29.10 Buloba-Bujuko'!H21,'30.10 Buloba-Bujuko'!H21,'1.11 Buloba-Bujuko'!H21,'3.11 Buloba-Bujuko'!H21,'31.10 Buloba-Bujuko-24h'!H21,'2.11 Buloba-Bujuko-24HR'!H21,'4.11.BULOBA-BUJUKO'!H21)</f>
        <v>0.42857142857142855</v>
      </c>
      <c r="I21" s="49">
        <f>AVERAGE('29.10 Buloba-Bujuko'!I21,'30.10 Buloba-Bujuko'!I21,'1.11 Buloba-Bujuko'!I21,'3.11 Buloba-Bujuko'!I21,'31.10 Buloba-Bujuko-24h'!I21,'2.11 Buloba-Bujuko-24HR'!I21,'4.11.BULOBA-BUJUKO'!I21)</f>
        <v>5.2857142857142856</v>
      </c>
      <c r="J21" s="49">
        <f>AVERAGE('29.10 Buloba-Bujuko'!J21,'30.10 Buloba-Bujuko'!J21,'1.11 Buloba-Bujuko'!J21,'3.11 Buloba-Bujuko'!J21,'31.10 Buloba-Bujuko-24h'!J21,'2.11 Buloba-Bujuko-24HR'!J21,'4.11.BULOBA-BUJUKO'!J21)</f>
        <v>1.7142857142857142</v>
      </c>
      <c r="K21" s="49">
        <f>AVERAGE('29.10 Buloba-Bujuko'!K21,'30.10 Buloba-Bujuko'!K21,'1.11 Buloba-Bujuko'!K21,'3.11 Buloba-Bujuko'!K21,'31.10 Buloba-Bujuko-24h'!K21,'2.11 Buloba-Bujuko-24HR'!K21,'4.11.BULOBA-BUJUKO'!K21)</f>
        <v>1</v>
      </c>
      <c r="L21" s="49">
        <f>AVERAGE('29.10 Buloba-Bujuko'!L21,'30.10 Buloba-Bujuko'!L21,'1.11 Buloba-Bujuko'!L21,'3.11 Buloba-Bujuko'!L21,'31.10 Buloba-Bujuko-24h'!L21,'2.11 Buloba-Bujuko-24HR'!L21,'4.11.BULOBA-BUJUKO'!L21)</f>
        <v>0.7142857142857143</v>
      </c>
      <c r="M21" s="49">
        <f>AVERAGE('29.10 Buloba-Bujuko'!M21,'30.10 Buloba-Bujuko'!M21,'1.11 Buloba-Bujuko'!M21,'3.11 Buloba-Bujuko'!M21,'31.10 Buloba-Bujuko-24h'!M21,'2.11 Buloba-Bujuko-24HR'!M21,'4.11.BULOBA-BUJUKO'!M21)</f>
        <v>19</v>
      </c>
      <c r="N21" s="49">
        <f>AVERAGE('29.10 Buloba-Bujuko'!N21,'30.10 Buloba-Bujuko'!N21,'1.11 Buloba-Bujuko'!N21,'3.11 Buloba-Bujuko'!N21,'31.10 Buloba-Bujuko-24h'!N21,'2.11 Buloba-Bujuko-24HR'!N21,'4.11.BULOBA-BUJUKO'!N21)</f>
        <v>0</v>
      </c>
      <c r="O21" s="15">
        <f t="shared" si="0"/>
        <v>46.000000000000007</v>
      </c>
      <c r="P21" s="15">
        <f t="shared" si="1"/>
        <v>65</v>
      </c>
      <c r="R21" s="36" t="s">
        <v>20</v>
      </c>
      <c r="S21" s="34">
        <f t="shared" ref="S21:AF21" si="13">SUM(C54:C57)</f>
        <v>62.714285714285708</v>
      </c>
      <c r="T21" s="17">
        <f t="shared" si="13"/>
        <v>17.285714285714288</v>
      </c>
      <c r="U21" s="17">
        <f t="shared" si="13"/>
        <v>15.285714285714285</v>
      </c>
      <c r="V21" s="17">
        <f t="shared" si="13"/>
        <v>58.714285714285708</v>
      </c>
      <c r="W21" s="17">
        <f t="shared" si="13"/>
        <v>1.7142857142857144</v>
      </c>
      <c r="X21" s="17">
        <f t="shared" si="13"/>
        <v>1.857142857142857</v>
      </c>
      <c r="Y21" s="17">
        <f t="shared" si="13"/>
        <v>27.714285714285715</v>
      </c>
      <c r="Z21" s="17">
        <f t="shared" si="13"/>
        <v>9</v>
      </c>
      <c r="AA21" s="17">
        <f t="shared" si="13"/>
        <v>2.714285714285714</v>
      </c>
      <c r="AB21" s="17">
        <f t="shared" si="13"/>
        <v>2.4285714285714284</v>
      </c>
      <c r="AC21" s="17">
        <f t="shared" si="13"/>
        <v>50.452380952380949</v>
      </c>
      <c r="AD21" s="17">
        <f t="shared" si="13"/>
        <v>0.42857142857142855</v>
      </c>
      <c r="AE21" s="31">
        <f t="shared" si="13"/>
        <v>199.85714285714283</v>
      </c>
      <c r="AF21" s="31">
        <f t="shared" si="13"/>
        <v>250.3095238095238</v>
      </c>
    </row>
    <row r="22" spans="2:32" ht="23.1" customHeight="1" x14ac:dyDescent="0.25">
      <c r="B22" s="23" t="s">
        <v>49</v>
      </c>
      <c r="C22" s="49">
        <f>AVERAGE('29.10 Buloba-Bujuko'!C22,'30.10 Buloba-Bujuko'!C22,'1.11 Buloba-Bujuko'!C22,'3.11 Buloba-Bujuko'!C22,'31.10 Buloba-Bujuko-24h'!C22,'2.11 Buloba-Bujuko-24HR'!C22,'4.11.BULOBA-BUJUKO'!C22)</f>
        <v>14.428571428571429</v>
      </c>
      <c r="D22" s="49">
        <f>AVERAGE('29.10 Buloba-Bujuko'!D22,'30.10 Buloba-Bujuko'!D22,'1.11 Buloba-Bujuko'!D22,'3.11 Buloba-Bujuko'!D22,'31.10 Buloba-Bujuko-24h'!D22,'2.11 Buloba-Bujuko-24HR'!D22,'4.11.BULOBA-BUJUKO'!D22)</f>
        <v>5.2857142857142856</v>
      </c>
      <c r="E22" s="49">
        <f>AVERAGE('29.10 Buloba-Bujuko'!E22,'30.10 Buloba-Bujuko'!E22,'1.11 Buloba-Bujuko'!E22,'3.11 Buloba-Bujuko'!E22,'31.10 Buloba-Bujuko-24h'!E22,'2.11 Buloba-Bujuko-24HR'!E22,'4.11.BULOBA-BUJUKO'!E22)</f>
        <v>3.8571428571428572</v>
      </c>
      <c r="F22" s="49">
        <f>AVERAGE('29.10 Buloba-Bujuko'!F22,'30.10 Buloba-Bujuko'!F22,'1.11 Buloba-Bujuko'!F22,'3.11 Buloba-Bujuko'!F22,'31.10 Buloba-Bujuko-24h'!F22,'2.11 Buloba-Bujuko-24HR'!F22,'4.11.BULOBA-BUJUKO'!F22)</f>
        <v>14</v>
      </c>
      <c r="G22" s="49">
        <f>AVERAGE('29.10 Buloba-Bujuko'!G22,'30.10 Buloba-Bujuko'!G22,'1.11 Buloba-Bujuko'!G22,'3.11 Buloba-Bujuko'!G22,'31.10 Buloba-Bujuko-24h'!G22,'2.11 Buloba-Bujuko-24HR'!G22,'4.11.BULOBA-BUJUKO'!G22)</f>
        <v>0.14285714285714285</v>
      </c>
      <c r="H22" s="49">
        <f>AVERAGE('29.10 Buloba-Bujuko'!H22,'30.10 Buloba-Bujuko'!H22,'1.11 Buloba-Bujuko'!H22,'3.11 Buloba-Bujuko'!H22,'31.10 Buloba-Bujuko-24h'!H22,'2.11 Buloba-Bujuko-24HR'!H22,'4.11.BULOBA-BUJUKO'!H22)</f>
        <v>0.14285714285714285</v>
      </c>
      <c r="I22" s="49">
        <f>AVERAGE('29.10 Buloba-Bujuko'!I22,'30.10 Buloba-Bujuko'!I22,'1.11 Buloba-Bujuko'!I22,'3.11 Buloba-Bujuko'!I22,'31.10 Buloba-Bujuko-24h'!I22,'2.11 Buloba-Bujuko-24HR'!I22,'4.11.BULOBA-BUJUKO'!I22)</f>
        <v>8.1428571428571423</v>
      </c>
      <c r="J22" s="49">
        <f>AVERAGE('29.10 Buloba-Bujuko'!J22,'30.10 Buloba-Bujuko'!J22,'1.11 Buloba-Bujuko'!J22,'3.11 Buloba-Bujuko'!J22,'31.10 Buloba-Bujuko-24h'!J22,'2.11 Buloba-Bujuko-24HR'!J22,'4.11.BULOBA-BUJUKO'!J22)</f>
        <v>2.1428571428571428</v>
      </c>
      <c r="K22" s="49">
        <f>AVERAGE('29.10 Buloba-Bujuko'!K22,'30.10 Buloba-Bujuko'!K22,'1.11 Buloba-Bujuko'!K22,'3.11 Buloba-Bujuko'!K22,'31.10 Buloba-Bujuko-24h'!K22,'2.11 Buloba-Bujuko-24HR'!K22,'4.11.BULOBA-BUJUKO'!K22)</f>
        <v>1.8571428571428572</v>
      </c>
      <c r="L22" s="49">
        <f>AVERAGE('29.10 Buloba-Bujuko'!L22,'30.10 Buloba-Bujuko'!L22,'1.11 Buloba-Bujuko'!L22,'3.11 Buloba-Bujuko'!L22,'31.10 Buloba-Bujuko-24h'!L22,'2.11 Buloba-Bujuko-24HR'!L22,'4.11.BULOBA-BUJUKO'!L22)</f>
        <v>1.2857142857142858</v>
      </c>
      <c r="M22" s="49">
        <f>AVERAGE('29.10 Buloba-Bujuko'!M22,'30.10 Buloba-Bujuko'!M22,'1.11 Buloba-Bujuko'!M22,'3.11 Buloba-Bujuko'!M22,'31.10 Buloba-Bujuko-24h'!M22,'2.11 Buloba-Bujuko-24HR'!M22,'4.11.BULOBA-BUJUKO'!M22)</f>
        <v>15.571428571428571</v>
      </c>
      <c r="N22" s="49">
        <f>AVERAGE('29.10 Buloba-Bujuko'!N22,'30.10 Buloba-Bujuko'!N22,'1.11 Buloba-Bujuko'!N22,'3.11 Buloba-Bujuko'!N22,'31.10 Buloba-Bujuko-24h'!N22,'2.11 Buloba-Bujuko-24HR'!N22,'4.11.BULOBA-BUJUKO'!N22)</f>
        <v>0</v>
      </c>
      <c r="O22" s="15">
        <f t="shared" si="0"/>
        <v>51.285714285714285</v>
      </c>
      <c r="P22" s="15">
        <f t="shared" si="1"/>
        <v>66.857142857142861</v>
      </c>
      <c r="R22" s="1" t="s">
        <v>146</v>
      </c>
      <c r="S22" s="34">
        <f>SUM(C58:C61)</f>
        <v>60.5</v>
      </c>
      <c r="T22" s="34">
        <f t="shared" ref="T22:AF22" si="14">SUM(D58:D61)</f>
        <v>11</v>
      </c>
      <c r="U22" s="34">
        <f t="shared" si="14"/>
        <v>10.5</v>
      </c>
      <c r="V22" s="34">
        <f t="shared" si="14"/>
        <v>53</v>
      </c>
      <c r="W22" s="34">
        <f t="shared" si="14"/>
        <v>0</v>
      </c>
      <c r="X22" s="34">
        <f t="shared" si="14"/>
        <v>1.5</v>
      </c>
      <c r="Y22" s="34">
        <f t="shared" si="14"/>
        <v>18</v>
      </c>
      <c r="Z22" s="34">
        <f t="shared" si="14"/>
        <v>17.5</v>
      </c>
      <c r="AA22" s="34">
        <f t="shared" si="14"/>
        <v>2.5</v>
      </c>
      <c r="AB22" s="34">
        <f t="shared" si="14"/>
        <v>6.5</v>
      </c>
      <c r="AC22" s="34">
        <f t="shared" si="14"/>
        <v>82.5</v>
      </c>
      <c r="AD22" s="34">
        <f t="shared" si="14"/>
        <v>0</v>
      </c>
      <c r="AE22" s="31">
        <f t="shared" si="14"/>
        <v>181</v>
      </c>
      <c r="AF22" s="31">
        <f t="shared" si="14"/>
        <v>263.5</v>
      </c>
    </row>
    <row r="23" spans="2:32" ht="23.1" customHeight="1" x14ac:dyDescent="0.25">
      <c r="B23" s="23" t="s">
        <v>50</v>
      </c>
      <c r="C23" s="49">
        <f>AVERAGE('29.10 Buloba-Bujuko'!C23,'30.10 Buloba-Bujuko'!C23,'1.11 Buloba-Bujuko'!C23,'3.11 Buloba-Bujuko'!C23,'31.10 Buloba-Bujuko-24h'!C23,'2.11 Buloba-Bujuko-24HR'!C23,'4.11.BULOBA-BUJUKO'!C23)</f>
        <v>18.571428571428573</v>
      </c>
      <c r="D23" s="49">
        <f>AVERAGE('29.10 Buloba-Bujuko'!D23,'30.10 Buloba-Bujuko'!D23,'1.11 Buloba-Bujuko'!D23,'3.11 Buloba-Bujuko'!D23,'31.10 Buloba-Bujuko-24h'!D23,'2.11 Buloba-Bujuko-24HR'!D23,'4.11.BULOBA-BUJUKO'!D23)</f>
        <v>4.2857142857142856</v>
      </c>
      <c r="E23" s="49">
        <f>AVERAGE('29.10 Buloba-Bujuko'!E23,'30.10 Buloba-Bujuko'!E23,'1.11 Buloba-Bujuko'!E23,'3.11 Buloba-Bujuko'!E23,'31.10 Buloba-Bujuko-24h'!E23,'2.11 Buloba-Bujuko-24HR'!E23,'4.11.BULOBA-BUJUKO'!E23)</f>
        <v>4.5714285714285712</v>
      </c>
      <c r="F23" s="49">
        <f>AVERAGE('29.10 Buloba-Bujuko'!F23,'30.10 Buloba-Bujuko'!F23,'1.11 Buloba-Bujuko'!F23,'3.11 Buloba-Bujuko'!F23,'31.10 Buloba-Bujuko-24h'!F23,'2.11 Buloba-Bujuko-24HR'!F23,'4.11.BULOBA-BUJUKO'!F23)</f>
        <v>15.857142857142858</v>
      </c>
      <c r="G23" s="49">
        <f>AVERAGE('29.10 Buloba-Bujuko'!G23,'30.10 Buloba-Bujuko'!G23,'1.11 Buloba-Bujuko'!G23,'3.11 Buloba-Bujuko'!G23,'31.10 Buloba-Bujuko-24h'!G23,'2.11 Buloba-Bujuko-24HR'!G23,'4.11.BULOBA-BUJUKO'!G23)</f>
        <v>0.2857142857142857</v>
      </c>
      <c r="H23" s="49">
        <f>AVERAGE('29.10 Buloba-Bujuko'!H23,'30.10 Buloba-Bujuko'!H23,'1.11 Buloba-Bujuko'!H23,'3.11 Buloba-Bujuko'!H23,'31.10 Buloba-Bujuko-24h'!H23,'2.11 Buloba-Bujuko-24HR'!H23,'4.11.BULOBA-BUJUKO'!H23)</f>
        <v>0.7142857142857143</v>
      </c>
      <c r="I23" s="49">
        <f>AVERAGE('29.10 Buloba-Bujuko'!I23,'30.10 Buloba-Bujuko'!I23,'1.11 Buloba-Bujuko'!I23,'3.11 Buloba-Bujuko'!I23,'31.10 Buloba-Bujuko-24h'!I23,'2.11 Buloba-Bujuko-24HR'!I23,'4.11.BULOBA-BUJUKO'!I23)</f>
        <v>6.4285714285714288</v>
      </c>
      <c r="J23" s="49">
        <f>AVERAGE('29.10 Buloba-Bujuko'!J23,'30.10 Buloba-Bujuko'!J23,'1.11 Buloba-Bujuko'!J23,'3.11 Buloba-Bujuko'!J23,'31.10 Buloba-Bujuko-24h'!J23,'2.11 Buloba-Bujuko-24HR'!J23,'4.11.BULOBA-BUJUKO'!J23)</f>
        <v>1.8571428571428572</v>
      </c>
      <c r="K23" s="49">
        <f>AVERAGE('29.10 Buloba-Bujuko'!K23,'30.10 Buloba-Bujuko'!K23,'1.11 Buloba-Bujuko'!K23,'3.11 Buloba-Bujuko'!K23,'31.10 Buloba-Bujuko-24h'!K23,'2.11 Buloba-Bujuko-24HR'!K23,'4.11.BULOBA-BUJUKO'!K23)</f>
        <v>1.4285714285714286</v>
      </c>
      <c r="L23" s="49">
        <f>AVERAGE('29.10 Buloba-Bujuko'!L23,'30.10 Buloba-Bujuko'!L23,'1.11 Buloba-Bujuko'!L23,'3.11 Buloba-Bujuko'!L23,'31.10 Buloba-Bujuko-24h'!L23,'2.11 Buloba-Bujuko-24HR'!L23,'4.11.BULOBA-BUJUKO'!L23)</f>
        <v>0.5714285714285714</v>
      </c>
      <c r="M23" s="49">
        <f>AVERAGE('29.10 Buloba-Bujuko'!M23,'30.10 Buloba-Bujuko'!M23,'1.11 Buloba-Bujuko'!M23,'3.11 Buloba-Bujuko'!M23,'31.10 Buloba-Bujuko-24h'!M23,'2.11 Buloba-Bujuko-24HR'!M23,'4.11.BULOBA-BUJUKO'!M23)</f>
        <v>15.714285714285714</v>
      </c>
      <c r="N23" s="49">
        <f>AVERAGE('29.10 Buloba-Bujuko'!N23,'30.10 Buloba-Bujuko'!N23,'1.11 Buloba-Bujuko'!N23,'3.11 Buloba-Bujuko'!N23,'31.10 Buloba-Bujuko-24h'!N23,'2.11 Buloba-Bujuko-24HR'!N23,'4.11.BULOBA-BUJUKO'!N23)</f>
        <v>0</v>
      </c>
      <c r="O23" s="15">
        <f t="shared" si="0"/>
        <v>54.571428571428577</v>
      </c>
      <c r="P23" s="15">
        <f t="shared" si="1"/>
        <v>70.285714285714292</v>
      </c>
      <c r="R23" s="1" t="s">
        <v>147</v>
      </c>
      <c r="S23" s="34">
        <f>SUM(C62:C65)</f>
        <v>39.5</v>
      </c>
      <c r="T23" s="34">
        <f t="shared" ref="T23:AF23" si="15">SUM(D62:D65)</f>
        <v>8.5</v>
      </c>
      <c r="U23" s="34">
        <f t="shared" si="15"/>
        <v>8</v>
      </c>
      <c r="V23" s="34">
        <f t="shared" si="15"/>
        <v>46</v>
      </c>
      <c r="W23" s="34">
        <f t="shared" si="15"/>
        <v>0</v>
      </c>
      <c r="X23" s="34">
        <f t="shared" si="15"/>
        <v>0.5</v>
      </c>
      <c r="Y23" s="34">
        <f t="shared" si="15"/>
        <v>15</v>
      </c>
      <c r="Z23" s="34">
        <f t="shared" si="15"/>
        <v>7.5</v>
      </c>
      <c r="AA23" s="34">
        <f t="shared" si="15"/>
        <v>5</v>
      </c>
      <c r="AB23" s="34">
        <f t="shared" si="15"/>
        <v>1</v>
      </c>
      <c r="AC23" s="34">
        <f t="shared" si="15"/>
        <v>52.5</v>
      </c>
      <c r="AD23" s="34">
        <f t="shared" si="15"/>
        <v>0</v>
      </c>
      <c r="AE23" s="31">
        <f t="shared" si="15"/>
        <v>131</v>
      </c>
      <c r="AF23" s="31">
        <f t="shared" si="15"/>
        <v>183.5</v>
      </c>
    </row>
    <row r="24" spans="2:32" ht="23.1" customHeight="1" x14ac:dyDescent="0.25">
      <c r="B24" s="23" t="s">
        <v>51</v>
      </c>
      <c r="C24" s="49">
        <f>AVERAGE('29.10 Buloba-Bujuko'!C24,'30.10 Buloba-Bujuko'!C24,'1.11 Buloba-Bujuko'!C24,'3.11 Buloba-Bujuko'!C24,'31.10 Buloba-Bujuko-24h'!C24,'2.11 Buloba-Bujuko-24HR'!C24,'4.11.BULOBA-BUJUKO'!C24)</f>
        <v>19</v>
      </c>
      <c r="D24" s="49">
        <f>AVERAGE('29.10 Buloba-Bujuko'!D24,'30.10 Buloba-Bujuko'!D24,'1.11 Buloba-Bujuko'!D24,'3.11 Buloba-Bujuko'!D24,'31.10 Buloba-Bujuko-24h'!D24,'2.11 Buloba-Bujuko-24HR'!D24,'4.11.BULOBA-BUJUKO'!D24)</f>
        <v>6.2857142857142856</v>
      </c>
      <c r="E24" s="49">
        <f>AVERAGE('29.10 Buloba-Bujuko'!E24,'30.10 Buloba-Bujuko'!E24,'1.11 Buloba-Bujuko'!E24,'3.11 Buloba-Bujuko'!E24,'31.10 Buloba-Bujuko-24h'!E24,'2.11 Buloba-Bujuko-24HR'!E24,'4.11.BULOBA-BUJUKO'!E24)</f>
        <v>5.8571428571428568</v>
      </c>
      <c r="F24" s="49">
        <f>AVERAGE('29.10 Buloba-Bujuko'!F24,'30.10 Buloba-Bujuko'!F24,'1.11 Buloba-Bujuko'!F24,'3.11 Buloba-Bujuko'!F24,'31.10 Buloba-Bujuko-24h'!F24,'2.11 Buloba-Bujuko-24HR'!F24,'4.11.BULOBA-BUJUKO'!F24)</f>
        <v>18.285714285714285</v>
      </c>
      <c r="G24" s="49">
        <f>AVERAGE('29.10 Buloba-Bujuko'!G24,'30.10 Buloba-Bujuko'!G24,'1.11 Buloba-Bujuko'!G24,'3.11 Buloba-Bujuko'!G24,'31.10 Buloba-Bujuko-24h'!G24,'2.11 Buloba-Bujuko-24HR'!G24,'4.11.BULOBA-BUJUKO'!G24)</f>
        <v>0.5714285714285714</v>
      </c>
      <c r="H24" s="49">
        <f>AVERAGE('29.10 Buloba-Bujuko'!H24,'30.10 Buloba-Bujuko'!H24,'1.11 Buloba-Bujuko'!H24,'3.11 Buloba-Bujuko'!H24,'31.10 Buloba-Bujuko-24h'!H24,'2.11 Buloba-Bujuko-24HR'!H24,'4.11.BULOBA-BUJUKO'!H24)</f>
        <v>0.2857142857142857</v>
      </c>
      <c r="I24" s="49">
        <f>AVERAGE('29.10 Buloba-Bujuko'!I24,'30.10 Buloba-Bujuko'!I24,'1.11 Buloba-Bujuko'!I24,'3.11 Buloba-Bujuko'!I24,'31.10 Buloba-Bujuko-24h'!I24,'2.11 Buloba-Bujuko-24HR'!I24,'4.11.BULOBA-BUJUKO'!I24)</f>
        <v>9.4285714285714288</v>
      </c>
      <c r="J24" s="49">
        <f>AVERAGE('29.10 Buloba-Bujuko'!J24,'30.10 Buloba-Bujuko'!J24,'1.11 Buloba-Bujuko'!J24,'3.11 Buloba-Bujuko'!J24,'31.10 Buloba-Bujuko-24h'!J24,'2.11 Buloba-Bujuko-24HR'!J24,'4.11.BULOBA-BUJUKO'!J24)</f>
        <v>4.5714285714285712</v>
      </c>
      <c r="K24" s="49">
        <f>AVERAGE('29.10 Buloba-Bujuko'!K24,'30.10 Buloba-Bujuko'!K24,'1.11 Buloba-Bujuko'!K24,'3.11 Buloba-Bujuko'!K24,'31.10 Buloba-Bujuko-24h'!K24,'2.11 Buloba-Bujuko-24HR'!K24,'4.11.BULOBA-BUJUKO'!K24)</f>
        <v>1.4285714285714286</v>
      </c>
      <c r="L24" s="49">
        <f>AVERAGE('29.10 Buloba-Bujuko'!L24,'30.10 Buloba-Bujuko'!L24,'1.11 Buloba-Bujuko'!L24,'3.11 Buloba-Bujuko'!L24,'31.10 Buloba-Bujuko-24h'!L24,'2.11 Buloba-Bujuko-24HR'!L24,'4.11.BULOBA-BUJUKO'!L24)</f>
        <v>0.7142857142857143</v>
      </c>
      <c r="M24" s="49">
        <f>AVERAGE('29.10 Buloba-Bujuko'!M24,'30.10 Buloba-Bujuko'!M24,'1.11 Buloba-Bujuko'!M24,'3.11 Buloba-Bujuko'!M24,'31.10 Buloba-Bujuko-24h'!M24,'2.11 Buloba-Bujuko-24HR'!M24,'4.11.BULOBA-BUJUKO'!M24)</f>
        <v>17.571428571428573</v>
      </c>
      <c r="N24" s="49">
        <f>AVERAGE('29.10 Buloba-Bujuko'!N24,'30.10 Buloba-Bujuko'!N24,'1.11 Buloba-Bujuko'!N24,'3.11 Buloba-Bujuko'!N24,'31.10 Buloba-Bujuko-24h'!N24,'2.11 Buloba-Bujuko-24HR'!N24,'4.11.BULOBA-BUJUKO'!N24)</f>
        <v>0.14285714285714285</v>
      </c>
      <c r="O24" s="15">
        <f t="shared" si="0"/>
        <v>66.571428571428569</v>
      </c>
      <c r="P24" s="15">
        <f t="shared" si="1"/>
        <v>84.142857142857139</v>
      </c>
      <c r="R24" s="1" t="s">
        <v>148</v>
      </c>
      <c r="S24" s="34">
        <f>SUM(C66:C69)</f>
        <v>31</v>
      </c>
      <c r="T24" s="34">
        <f t="shared" ref="T24:AF24" si="16">SUM(D66:D69)</f>
        <v>7</v>
      </c>
      <c r="U24" s="34">
        <f t="shared" si="16"/>
        <v>5</v>
      </c>
      <c r="V24" s="34">
        <f t="shared" si="16"/>
        <v>32</v>
      </c>
      <c r="W24" s="34">
        <f t="shared" si="16"/>
        <v>0.5</v>
      </c>
      <c r="X24" s="34">
        <f t="shared" si="16"/>
        <v>1.5</v>
      </c>
      <c r="Y24" s="34">
        <f t="shared" si="16"/>
        <v>14.5</v>
      </c>
      <c r="Z24" s="34">
        <f t="shared" si="16"/>
        <v>13.5</v>
      </c>
      <c r="AA24" s="34">
        <f t="shared" si="16"/>
        <v>6.5</v>
      </c>
      <c r="AB24" s="34">
        <f t="shared" si="16"/>
        <v>11.5</v>
      </c>
      <c r="AC24" s="34">
        <f t="shared" si="16"/>
        <v>31.5</v>
      </c>
      <c r="AD24" s="34">
        <f t="shared" si="16"/>
        <v>0</v>
      </c>
      <c r="AE24" s="31">
        <f t="shared" si="16"/>
        <v>123</v>
      </c>
      <c r="AF24" s="31">
        <f t="shared" si="16"/>
        <v>154.5</v>
      </c>
    </row>
    <row r="25" spans="2:32" ht="23.1" customHeight="1" x14ac:dyDescent="0.25">
      <c r="B25" s="23" t="s">
        <v>52</v>
      </c>
      <c r="C25" s="49">
        <f>AVERAGE('29.10 Buloba-Bujuko'!C25,'30.10 Buloba-Bujuko'!C25,'1.11 Buloba-Bujuko'!C25,'3.11 Buloba-Bujuko'!C25,'31.10 Buloba-Bujuko-24h'!C25,'2.11 Buloba-Bujuko-24HR'!C25,'4.11.BULOBA-BUJUKO'!C25)</f>
        <v>19.285714285714285</v>
      </c>
      <c r="D25" s="49">
        <f>AVERAGE('29.10 Buloba-Bujuko'!D25,'30.10 Buloba-Bujuko'!D25,'1.11 Buloba-Bujuko'!D25,'3.11 Buloba-Bujuko'!D25,'31.10 Buloba-Bujuko-24h'!D25,'2.11 Buloba-Bujuko-24HR'!D25,'4.11.BULOBA-BUJUKO'!D25)</f>
        <v>5.8571428571428568</v>
      </c>
      <c r="E25" s="49">
        <f>AVERAGE('29.10 Buloba-Bujuko'!E25,'30.10 Buloba-Bujuko'!E25,'1.11 Buloba-Bujuko'!E25,'3.11 Buloba-Bujuko'!E25,'31.10 Buloba-Bujuko-24h'!E25,'2.11 Buloba-Bujuko-24HR'!E25,'4.11.BULOBA-BUJUKO'!E25)</f>
        <v>3.2857142857142856</v>
      </c>
      <c r="F25" s="49">
        <f>AVERAGE('29.10 Buloba-Bujuko'!F25,'30.10 Buloba-Bujuko'!F25,'1.11 Buloba-Bujuko'!F25,'3.11 Buloba-Bujuko'!F25,'31.10 Buloba-Bujuko-24h'!F25,'2.11 Buloba-Bujuko-24HR'!F25,'4.11.BULOBA-BUJUKO'!F25)</f>
        <v>18</v>
      </c>
      <c r="G25" s="49">
        <f>AVERAGE('29.10 Buloba-Bujuko'!G25,'30.10 Buloba-Bujuko'!G25,'1.11 Buloba-Bujuko'!G25,'3.11 Buloba-Bujuko'!G25,'31.10 Buloba-Bujuko-24h'!G25,'2.11 Buloba-Bujuko-24HR'!G25,'4.11.BULOBA-BUJUKO'!G25)</f>
        <v>0.8571428571428571</v>
      </c>
      <c r="H25" s="49">
        <f>AVERAGE('29.10 Buloba-Bujuko'!H25,'30.10 Buloba-Bujuko'!H25,'1.11 Buloba-Bujuko'!H25,'3.11 Buloba-Bujuko'!H25,'31.10 Buloba-Bujuko-24h'!H25,'2.11 Buloba-Bujuko-24HR'!H25,'4.11.BULOBA-BUJUKO'!H25)</f>
        <v>0.42857142857142855</v>
      </c>
      <c r="I25" s="49">
        <f>AVERAGE('29.10 Buloba-Bujuko'!I25,'30.10 Buloba-Bujuko'!I25,'1.11 Buloba-Bujuko'!I25,'3.11 Buloba-Bujuko'!I25,'31.10 Buloba-Bujuko-24h'!I25,'2.11 Buloba-Bujuko-24HR'!I25,'4.11.BULOBA-BUJUKO'!I25)</f>
        <v>7.4285714285714288</v>
      </c>
      <c r="J25" s="49">
        <f>AVERAGE('29.10 Buloba-Bujuko'!J25,'30.10 Buloba-Bujuko'!J25,'1.11 Buloba-Bujuko'!J25,'3.11 Buloba-Bujuko'!J25,'31.10 Buloba-Bujuko-24h'!J25,'2.11 Buloba-Bujuko-24HR'!J25,'4.11.BULOBA-BUJUKO'!J25)</f>
        <v>3.8571428571428572</v>
      </c>
      <c r="K25" s="49">
        <f>AVERAGE('29.10 Buloba-Bujuko'!K25,'30.10 Buloba-Bujuko'!K25,'1.11 Buloba-Bujuko'!K25,'3.11 Buloba-Bujuko'!K25,'31.10 Buloba-Bujuko-24h'!K25,'2.11 Buloba-Bujuko-24HR'!K25,'4.11.BULOBA-BUJUKO'!K25)</f>
        <v>2</v>
      </c>
      <c r="L25" s="49">
        <f>AVERAGE('29.10 Buloba-Bujuko'!L25,'30.10 Buloba-Bujuko'!L25,'1.11 Buloba-Bujuko'!L25,'3.11 Buloba-Bujuko'!L25,'31.10 Buloba-Bujuko-24h'!L25,'2.11 Buloba-Bujuko-24HR'!L25,'4.11.BULOBA-BUJUKO'!L25)</f>
        <v>0.42857142857142855</v>
      </c>
      <c r="M25" s="49">
        <f>AVERAGE('29.10 Buloba-Bujuko'!M25,'30.10 Buloba-Bujuko'!M25,'1.11 Buloba-Bujuko'!M25,'3.11 Buloba-Bujuko'!M25,'31.10 Buloba-Bujuko-24h'!M25,'2.11 Buloba-Bujuko-24HR'!M25,'4.11.BULOBA-BUJUKO'!M25)</f>
        <v>18.285714285714285</v>
      </c>
      <c r="N25" s="49">
        <f>AVERAGE('29.10 Buloba-Bujuko'!N25,'30.10 Buloba-Bujuko'!N25,'1.11 Buloba-Bujuko'!N25,'3.11 Buloba-Bujuko'!N25,'31.10 Buloba-Bujuko-24h'!N25,'2.11 Buloba-Bujuko-24HR'!N25,'4.11.BULOBA-BUJUKO'!N25)</f>
        <v>0</v>
      </c>
      <c r="O25" s="15">
        <f t="shared" si="0"/>
        <v>61.428571428571431</v>
      </c>
      <c r="P25" s="15">
        <f t="shared" si="1"/>
        <v>79.714285714285722</v>
      </c>
      <c r="R25" s="1" t="s">
        <v>149</v>
      </c>
      <c r="S25" s="34">
        <f>SUM(C70:C73)</f>
        <v>37</v>
      </c>
      <c r="T25" s="34">
        <f t="shared" ref="T25:AF25" si="17">SUM(D70:D73)</f>
        <v>6.5</v>
      </c>
      <c r="U25" s="34">
        <f t="shared" si="17"/>
        <v>6</v>
      </c>
      <c r="V25" s="34">
        <f t="shared" si="17"/>
        <v>22</v>
      </c>
      <c r="W25" s="34">
        <f t="shared" si="17"/>
        <v>0</v>
      </c>
      <c r="X25" s="34">
        <f t="shared" si="17"/>
        <v>1</v>
      </c>
      <c r="Y25" s="34">
        <f t="shared" si="17"/>
        <v>16.5</v>
      </c>
      <c r="Z25" s="34">
        <f t="shared" si="17"/>
        <v>12.5</v>
      </c>
      <c r="AA25" s="34">
        <f t="shared" si="17"/>
        <v>3</v>
      </c>
      <c r="AB25" s="34">
        <f t="shared" si="17"/>
        <v>2.5</v>
      </c>
      <c r="AC25" s="34">
        <f t="shared" si="17"/>
        <v>37</v>
      </c>
      <c r="AD25" s="34">
        <f t="shared" si="17"/>
        <v>0</v>
      </c>
      <c r="AE25" s="31">
        <f t="shared" si="17"/>
        <v>107</v>
      </c>
      <c r="AF25" s="31">
        <f t="shared" si="17"/>
        <v>144</v>
      </c>
    </row>
    <row r="26" spans="2:32" ht="23.1" customHeight="1" x14ac:dyDescent="0.25">
      <c r="B26" s="23" t="s">
        <v>53</v>
      </c>
      <c r="C26" s="49">
        <f>AVERAGE('29.10 Buloba-Bujuko'!C26,'30.10 Buloba-Bujuko'!C26,'1.11 Buloba-Bujuko'!C26,'3.11 Buloba-Bujuko'!C26,'31.10 Buloba-Bujuko-24h'!C26,'2.11 Buloba-Bujuko-24HR'!C26,'4.11.BULOBA-BUJUKO'!C26)</f>
        <v>19.857142857142858</v>
      </c>
      <c r="D26" s="49">
        <f>AVERAGE('29.10 Buloba-Bujuko'!D26,'30.10 Buloba-Bujuko'!D26,'1.11 Buloba-Bujuko'!D26,'3.11 Buloba-Bujuko'!D26,'31.10 Buloba-Bujuko-24h'!D26,'2.11 Buloba-Bujuko-24HR'!D26,'4.11.BULOBA-BUJUKO'!D26)</f>
        <v>4.5714285714285712</v>
      </c>
      <c r="E26" s="49">
        <f>AVERAGE('29.10 Buloba-Bujuko'!E26,'30.10 Buloba-Bujuko'!E26,'1.11 Buloba-Bujuko'!E26,'3.11 Buloba-Bujuko'!E26,'31.10 Buloba-Bujuko-24h'!E26,'2.11 Buloba-Bujuko-24HR'!E26,'4.11.BULOBA-BUJUKO'!E26)</f>
        <v>4.1428571428571432</v>
      </c>
      <c r="F26" s="49">
        <f>AVERAGE('29.10 Buloba-Bujuko'!F26,'30.10 Buloba-Bujuko'!F26,'1.11 Buloba-Bujuko'!F26,'3.11 Buloba-Bujuko'!F26,'31.10 Buloba-Bujuko-24h'!F26,'2.11 Buloba-Bujuko-24HR'!F26,'4.11.BULOBA-BUJUKO'!F26)</f>
        <v>16.571428571428573</v>
      </c>
      <c r="G26" s="49">
        <f>AVERAGE('29.10 Buloba-Bujuko'!G26,'30.10 Buloba-Bujuko'!G26,'1.11 Buloba-Bujuko'!G26,'3.11 Buloba-Bujuko'!G26,'31.10 Buloba-Bujuko-24h'!G26,'2.11 Buloba-Bujuko-24HR'!G26,'4.11.BULOBA-BUJUKO'!G26)</f>
        <v>0.2857142857142857</v>
      </c>
      <c r="H26" s="49">
        <f>AVERAGE('29.10 Buloba-Bujuko'!H26,'30.10 Buloba-Bujuko'!H26,'1.11 Buloba-Bujuko'!H26,'3.11 Buloba-Bujuko'!H26,'31.10 Buloba-Bujuko-24h'!H26,'2.11 Buloba-Bujuko-24HR'!H26,'4.11.BULOBA-BUJUKO'!H26)</f>
        <v>0.7142857142857143</v>
      </c>
      <c r="I26" s="49">
        <f>AVERAGE('29.10 Buloba-Bujuko'!I26,'30.10 Buloba-Bujuko'!I26,'1.11 Buloba-Bujuko'!I26,'3.11 Buloba-Bujuko'!I26,'31.10 Buloba-Bujuko-24h'!I26,'2.11 Buloba-Bujuko-24HR'!I26,'4.11.BULOBA-BUJUKO'!I26)</f>
        <v>8.4285714285714288</v>
      </c>
      <c r="J26" s="49">
        <f>AVERAGE('29.10 Buloba-Bujuko'!J26,'30.10 Buloba-Bujuko'!J26,'1.11 Buloba-Bujuko'!J26,'3.11 Buloba-Bujuko'!J26,'31.10 Buloba-Bujuko-24h'!J26,'2.11 Buloba-Bujuko-24HR'!J26,'4.11.BULOBA-BUJUKO'!J26)</f>
        <v>2.7142857142857144</v>
      </c>
      <c r="K26" s="49">
        <f>AVERAGE('29.10 Buloba-Bujuko'!K26,'30.10 Buloba-Bujuko'!K26,'1.11 Buloba-Bujuko'!K26,'3.11 Buloba-Bujuko'!K26,'31.10 Buloba-Bujuko-24h'!K26,'2.11 Buloba-Bujuko-24HR'!K26,'4.11.BULOBA-BUJUKO'!K26)</f>
        <v>1.4285714285714286</v>
      </c>
      <c r="L26" s="49">
        <f>AVERAGE('29.10 Buloba-Bujuko'!L26,'30.10 Buloba-Bujuko'!L26,'1.11 Buloba-Bujuko'!L26,'3.11 Buloba-Bujuko'!L26,'31.10 Buloba-Bujuko-24h'!L26,'2.11 Buloba-Bujuko-24HR'!L26,'4.11.BULOBA-BUJUKO'!L26)</f>
        <v>0.8571428571428571</v>
      </c>
      <c r="M26" s="49">
        <f>AVERAGE('29.10 Buloba-Bujuko'!M26,'30.10 Buloba-Bujuko'!M26,'1.11 Buloba-Bujuko'!M26,'3.11 Buloba-Bujuko'!M26,'31.10 Buloba-Bujuko-24h'!M26,'2.11 Buloba-Bujuko-24HR'!M26,'4.11.BULOBA-BUJUKO'!M26)</f>
        <v>20.857142857142858</v>
      </c>
      <c r="N26" s="49">
        <f>AVERAGE('29.10 Buloba-Bujuko'!N26,'30.10 Buloba-Bujuko'!N26,'1.11 Buloba-Bujuko'!N26,'3.11 Buloba-Bujuko'!N26,'31.10 Buloba-Bujuko-24h'!N26,'2.11 Buloba-Bujuko-24HR'!N26,'4.11.BULOBA-BUJUKO'!N26)</f>
        <v>0</v>
      </c>
      <c r="O26" s="15">
        <f t="shared" si="0"/>
        <v>59.571428571428577</v>
      </c>
      <c r="P26" s="15">
        <f t="shared" si="1"/>
        <v>80.428571428571431</v>
      </c>
      <c r="R26" s="1" t="s">
        <v>150</v>
      </c>
      <c r="S26" s="34">
        <f>SUM(C74:C77)</f>
        <v>37</v>
      </c>
      <c r="T26" s="34">
        <f t="shared" ref="T26:AF26" si="18">SUM(D74:D77)</f>
        <v>3</v>
      </c>
      <c r="U26" s="34">
        <f t="shared" si="18"/>
        <v>5</v>
      </c>
      <c r="V26" s="34">
        <f t="shared" si="18"/>
        <v>15</v>
      </c>
      <c r="W26" s="34">
        <f t="shared" si="18"/>
        <v>0</v>
      </c>
      <c r="X26" s="34">
        <f t="shared" si="18"/>
        <v>0.5</v>
      </c>
      <c r="Y26" s="34">
        <f t="shared" si="18"/>
        <v>9</v>
      </c>
      <c r="Z26" s="34">
        <f t="shared" si="18"/>
        <v>15.5</v>
      </c>
      <c r="AA26" s="34">
        <f t="shared" si="18"/>
        <v>6.5</v>
      </c>
      <c r="AB26" s="34">
        <f t="shared" si="18"/>
        <v>3</v>
      </c>
      <c r="AC26" s="34">
        <f t="shared" si="18"/>
        <v>21.5</v>
      </c>
      <c r="AD26" s="34">
        <f t="shared" si="18"/>
        <v>0</v>
      </c>
      <c r="AE26" s="31">
        <f t="shared" si="18"/>
        <v>94.5</v>
      </c>
      <c r="AF26" s="31">
        <f t="shared" si="18"/>
        <v>116</v>
      </c>
    </row>
    <row r="27" spans="2:32" ht="23.1" customHeight="1" x14ac:dyDescent="0.25">
      <c r="B27" s="23" t="s">
        <v>54</v>
      </c>
      <c r="C27" s="49">
        <f>AVERAGE('29.10 Buloba-Bujuko'!C27,'30.10 Buloba-Bujuko'!C27,'1.11 Buloba-Bujuko'!C27,'3.11 Buloba-Bujuko'!C27,'31.10 Buloba-Bujuko-24h'!C27,'2.11 Buloba-Bujuko-24HR'!C27,'4.11.BULOBA-BUJUKO'!C27)</f>
        <v>18.285714285714285</v>
      </c>
      <c r="D27" s="49">
        <f>AVERAGE('29.10 Buloba-Bujuko'!D27,'30.10 Buloba-Bujuko'!D27,'1.11 Buloba-Bujuko'!D27,'3.11 Buloba-Bujuko'!D27,'31.10 Buloba-Bujuko-24h'!D27,'2.11 Buloba-Bujuko-24HR'!D27,'4.11.BULOBA-BUJUKO'!D27)</f>
        <v>3.8571428571428572</v>
      </c>
      <c r="E27" s="49">
        <f>AVERAGE('29.10 Buloba-Bujuko'!E27,'30.10 Buloba-Bujuko'!E27,'1.11 Buloba-Bujuko'!E27,'3.11 Buloba-Bujuko'!E27,'31.10 Buloba-Bujuko-24h'!E27,'2.11 Buloba-Bujuko-24HR'!E27,'4.11.BULOBA-BUJUKO'!E27)</f>
        <v>3.8571428571428572</v>
      </c>
      <c r="F27" s="49">
        <f>AVERAGE('29.10 Buloba-Bujuko'!F27,'30.10 Buloba-Bujuko'!F27,'1.11 Buloba-Bujuko'!F27,'3.11 Buloba-Bujuko'!F27,'31.10 Buloba-Bujuko-24h'!F27,'2.11 Buloba-Bujuko-24HR'!F27,'4.11.BULOBA-BUJUKO'!F27)</f>
        <v>17.571428571428573</v>
      </c>
      <c r="G27" s="49">
        <f>AVERAGE('29.10 Buloba-Bujuko'!G27,'30.10 Buloba-Bujuko'!G27,'1.11 Buloba-Bujuko'!G27,'3.11 Buloba-Bujuko'!G27,'31.10 Buloba-Bujuko-24h'!G27,'2.11 Buloba-Bujuko-24HR'!G27,'4.11.BULOBA-BUJUKO'!G27)</f>
        <v>0.5714285714285714</v>
      </c>
      <c r="H27" s="49">
        <f>AVERAGE('29.10 Buloba-Bujuko'!H27,'30.10 Buloba-Bujuko'!H27,'1.11 Buloba-Bujuko'!H27,'3.11 Buloba-Bujuko'!H27,'31.10 Buloba-Bujuko-24h'!H27,'2.11 Buloba-Bujuko-24HR'!H27,'4.11.BULOBA-BUJUKO'!H27)</f>
        <v>1</v>
      </c>
      <c r="I27" s="49">
        <f>AVERAGE('29.10 Buloba-Bujuko'!I27,'30.10 Buloba-Bujuko'!I27,'1.11 Buloba-Bujuko'!I27,'3.11 Buloba-Bujuko'!I27,'31.10 Buloba-Bujuko-24h'!I27,'2.11 Buloba-Bujuko-24HR'!I27,'4.11.BULOBA-BUJUKO'!I27)</f>
        <v>4.8571428571428568</v>
      </c>
      <c r="J27" s="49">
        <f>AVERAGE('29.10 Buloba-Bujuko'!J27,'30.10 Buloba-Bujuko'!J27,'1.11 Buloba-Bujuko'!J27,'3.11 Buloba-Bujuko'!J27,'31.10 Buloba-Bujuko-24h'!J27,'2.11 Buloba-Bujuko-24HR'!J27,'4.11.BULOBA-BUJUKO'!J27)</f>
        <v>2.8571428571428572</v>
      </c>
      <c r="K27" s="49">
        <f>AVERAGE('29.10 Buloba-Bujuko'!K27,'30.10 Buloba-Bujuko'!K27,'1.11 Buloba-Bujuko'!K27,'3.11 Buloba-Bujuko'!K27,'31.10 Buloba-Bujuko-24h'!K27,'2.11 Buloba-Bujuko-24HR'!K27,'4.11.BULOBA-BUJUKO'!K27)</f>
        <v>0.5714285714285714</v>
      </c>
      <c r="L27" s="49">
        <f>AVERAGE('29.10 Buloba-Bujuko'!L27,'30.10 Buloba-Bujuko'!L27,'1.11 Buloba-Bujuko'!L27,'3.11 Buloba-Bujuko'!L27,'31.10 Buloba-Bujuko-24h'!L27,'2.11 Buloba-Bujuko-24HR'!L27,'4.11.BULOBA-BUJUKO'!L27)</f>
        <v>0.5714285714285714</v>
      </c>
      <c r="M27" s="49">
        <f>AVERAGE('29.10 Buloba-Bujuko'!M27,'30.10 Buloba-Bujuko'!M27,'1.11 Buloba-Bujuko'!M27,'3.11 Buloba-Bujuko'!M27,'31.10 Buloba-Bujuko-24h'!M27,'2.11 Buloba-Bujuko-24HR'!M27,'4.11.BULOBA-BUJUKO'!M27)</f>
        <v>17.428571428571427</v>
      </c>
      <c r="N27" s="49">
        <f>AVERAGE('29.10 Buloba-Bujuko'!N27,'30.10 Buloba-Bujuko'!N27,'1.11 Buloba-Bujuko'!N27,'3.11 Buloba-Bujuko'!N27,'31.10 Buloba-Bujuko-24h'!N27,'2.11 Buloba-Bujuko-24HR'!N27,'4.11.BULOBA-BUJUKO'!N27)</f>
        <v>0</v>
      </c>
      <c r="O27" s="15">
        <f t="shared" si="0"/>
        <v>53.999999999999986</v>
      </c>
      <c r="P27" s="15">
        <f t="shared" si="1"/>
        <v>71.428571428571416</v>
      </c>
      <c r="R27" s="1" t="s">
        <v>151</v>
      </c>
      <c r="S27" s="34">
        <f>SUM(C78:C81)</f>
        <v>23</v>
      </c>
      <c r="T27" s="34">
        <f t="shared" ref="T27:AF27" si="19">SUM(D78:D81)</f>
        <v>3</v>
      </c>
      <c r="U27" s="34">
        <f t="shared" si="19"/>
        <v>5</v>
      </c>
      <c r="V27" s="34">
        <f t="shared" si="19"/>
        <v>11</v>
      </c>
      <c r="W27" s="34">
        <f t="shared" si="19"/>
        <v>0</v>
      </c>
      <c r="X27" s="34">
        <f t="shared" si="19"/>
        <v>0.5</v>
      </c>
      <c r="Y27" s="34">
        <f t="shared" si="19"/>
        <v>15.5</v>
      </c>
      <c r="Z27" s="34">
        <f t="shared" si="19"/>
        <v>9</v>
      </c>
      <c r="AA27" s="34">
        <f t="shared" si="19"/>
        <v>1.5</v>
      </c>
      <c r="AB27" s="34">
        <f t="shared" si="19"/>
        <v>2.5</v>
      </c>
      <c r="AC27" s="34">
        <f t="shared" si="19"/>
        <v>14.5</v>
      </c>
      <c r="AD27" s="34">
        <f t="shared" si="19"/>
        <v>0</v>
      </c>
      <c r="AE27" s="31">
        <f t="shared" si="19"/>
        <v>71</v>
      </c>
      <c r="AF27" s="31">
        <f t="shared" si="19"/>
        <v>85.5</v>
      </c>
    </row>
    <row r="28" spans="2:32" ht="23.1" customHeight="1" x14ac:dyDescent="0.25">
      <c r="B28" s="23" t="s">
        <v>55</v>
      </c>
      <c r="C28" s="49">
        <f>AVERAGE('29.10 Buloba-Bujuko'!C28,'30.10 Buloba-Bujuko'!C28,'1.11 Buloba-Bujuko'!C28,'3.11 Buloba-Bujuko'!C28,'31.10 Buloba-Bujuko-24h'!C28,'2.11 Buloba-Bujuko-24HR'!C28,'4.11.BULOBA-BUJUKO'!C28)</f>
        <v>20.285714285714285</v>
      </c>
      <c r="D28" s="49">
        <f>AVERAGE('29.10 Buloba-Bujuko'!D28,'30.10 Buloba-Bujuko'!D28,'1.11 Buloba-Bujuko'!D28,'3.11 Buloba-Bujuko'!D28,'31.10 Buloba-Bujuko-24h'!D28,'2.11 Buloba-Bujuko-24HR'!D28,'4.11.BULOBA-BUJUKO'!D28)</f>
        <v>6.1428571428571432</v>
      </c>
      <c r="E28" s="49">
        <f>AVERAGE('29.10 Buloba-Bujuko'!E28,'30.10 Buloba-Bujuko'!E28,'1.11 Buloba-Bujuko'!E28,'3.11 Buloba-Bujuko'!E28,'31.10 Buloba-Bujuko-24h'!E28,'2.11 Buloba-Bujuko-24HR'!E28,'4.11.BULOBA-BUJUKO'!E28)</f>
        <v>3</v>
      </c>
      <c r="F28" s="49">
        <f>AVERAGE('29.10 Buloba-Bujuko'!F28,'30.10 Buloba-Bujuko'!F28,'1.11 Buloba-Bujuko'!F28,'3.11 Buloba-Bujuko'!F28,'31.10 Buloba-Bujuko-24h'!F28,'2.11 Buloba-Bujuko-24HR'!F28,'4.11.BULOBA-BUJUKO'!F28)</f>
        <v>16.285714285714285</v>
      </c>
      <c r="G28" s="49">
        <f>AVERAGE('29.10 Buloba-Bujuko'!G28,'30.10 Buloba-Bujuko'!G28,'1.11 Buloba-Bujuko'!G28,'3.11 Buloba-Bujuko'!G28,'31.10 Buloba-Bujuko-24h'!G28,'2.11 Buloba-Bujuko-24HR'!G28,'4.11.BULOBA-BUJUKO'!G28)</f>
        <v>0.14285714285714285</v>
      </c>
      <c r="H28" s="49">
        <f>AVERAGE('29.10 Buloba-Bujuko'!H28,'30.10 Buloba-Bujuko'!H28,'1.11 Buloba-Bujuko'!H28,'3.11 Buloba-Bujuko'!H28,'31.10 Buloba-Bujuko-24h'!H28,'2.11 Buloba-Bujuko-24HR'!H28,'4.11.BULOBA-BUJUKO'!H28)</f>
        <v>1.4285714285714286</v>
      </c>
      <c r="I28" s="49">
        <f>AVERAGE('29.10 Buloba-Bujuko'!I28,'30.10 Buloba-Bujuko'!I28,'1.11 Buloba-Bujuko'!I28,'3.11 Buloba-Bujuko'!I28,'31.10 Buloba-Bujuko-24h'!I28,'2.11 Buloba-Bujuko-24HR'!I28,'4.11.BULOBA-BUJUKO'!I28)</f>
        <v>7</v>
      </c>
      <c r="J28" s="49">
        <f>AVERAGE('29.10 Buloba-Bujuko'!J28,'30.10 Buloba-Bujuko'!J28,'1.11 Buloba-Bujuko'!J28,'3.11 Buloba-Bujuko'!J28,'31.10 Buloba-Bujuko-24h'!J28,'2.11 Buloba-Bujuko-24HR'!J28,'4.11.BULOBA-BUJUKO'!J28)</f>
        <v>2.2857142857142856</v>
      </c>
      <c r="K28" s="49">
        <f>AVERAGE('29.10 Buloba-Bujuko'!K28,'30.10 Buloba-Bujuko'!K28,'1.11 Buloba-Bujuko'!K28,'3.11 Buloba-Bujuko'!K28,'31.10 Buloba-Bujuko-24h'!K28,'2.11 Buloba-Bujuko-24HR'!K28,'4.11.BULOBA-BUJUKO'!K28)</f>
        <v>1.2857142857142858</v>
      </c>
      <c r="L28" s="49">
        <f>AVERAGE('29.10 Buloba-Bujuko'!L28,'30.10 Buloba-Bujuko'!L28,'1.11 Buloba-Bujuko'!L28,'3.11 Buloba-Bujuko'!L28,'31.10 Buloba-Bujuko-24h'!L28,'2.11 Buloba-Bujuko-24HR'!L28,'4.11.BULOBA-BUJUKO'!L28)</f>
        <v>0.5714285714285714</v>
      </c>
      <c r="M28" s="49">
        <f>AVERAGE('29.10 Buloba-Bujuko'!M28,'30.10 Buloba-Bujuko'!M28,'1.11 Buloba-Bujuko'!M28,'3.11 Buloba-Bujuko'!M28,'31.10 Buloba-Bujuko-24h'!M28,'2.11 Buloba-Bujuko-24HR'!M28,'4.11.BULOBA-BUJUKO'!M28)</f>
        <v>15.285714285714286</v>
      </c>
      <c r="N28" s="49">
        <f>AVERAGE('29.10 Buloba-Bujuko'!N28,'30.10 Buloba-Bujuko'!N28,'1.11 Buloba-Bujuko'!N28,'3.11 Buloba-Bujuko'!N28,'31.10 Buloba-Bujuko-24h'!N28,'2.11 Buloba-Bujuko-24HR'!N28,'4.11.BULOBA-BUJUKO'!N28)</f>
        <v>0</v>
      </c>
      <c r="O28" s="15">
        <f t="shared" si="0"/>
        <v>58.428571428571423</v>
      </c>
      <c r="P28" s="15">
        <f t="shared" si="1"/>
        <v>73.714285714285708</v>
      </c>
      <c r="R28" s="1" t="s">
        <v>152</v>
      </c>
      <c r="S28" s="34">
        <f>SUM(C82:C85)</f>
        <v>8.5</v>
      </c>
      <c r="T28" s="34">
        <f t="shared" ref="T28:AF28" si="20">SUM(D82:D85)</f>
        <v>4.5</v>
      </c>
      <c r="U28" s="34">
        <f t="shared" si="20"/>
        <v>1.5</v>
      </c>
      <c r="V28" s="34">
        <f t="shared" si="20"/>
        <v>2.5</v>
      </c>
      <c r="W28" s="34">
        <f t="shared" si="20"/>
        <v>0</v>
      </c>
      <c r="X28" s="34">
        <f t="shared" si="20"/>
        <v>0.5</v>
      </c>
      <c r="Y28" s="34">
        <f t="shared" si="20"/>
        <v>3.5</v>
      </c>
      <c r="Z28" s="34">
        <f t="shared" si="20"/>
        <v>5.5</v>
      </c>
      <c r="AA28" s="34">
        <f t="shared" si="20"/>
        <v>2</v>
      </c>
      <c r="AB28" s="34">
        <f t="shared" si="20"/>
        <v>1.5</v>
      </c>
      <c r="AC28" s="34">
        <f t="shared" si="20"/>
        <v>9</v>
      </c>
      <c r="AD28" s="34">
        <f t="shared" si="20"/>
        <v>0</v>
      </c>
      <c r="AE28" s="31">
        <f t="shared" si="20"/>
        <v>30</v>
      </c>
      <c r="AF28" s="31">
        <f t="shared" si="20"/>
        <v>39</v>
      </c>
    </row>
    <row r="29" spans="2:32" ht="23.1" customHeight="1" x14ac:dyDescent="0.25">
      <c r="B29" s="23" t="s">
        <v>56</v>
      </c>
      <c r="C29" s="49">
        <f>AVERAGE('29.10 Buloba-Bujuko'!C29,'30.10 Buloba-Bujuko'!C29,'1.11 Buloba-Bujuko'!C29,'3.11 Buloba-Bujuko'!C29,'31.10 Buloba-Bujuko-24h'!C29,'2.11 Buloba-Bujuko-24HR'!C29,'4.11.BULOBA-BUJUKO'!C29)</f>
        <v>19.142857142857142</v>
      </c>
      <c r="D29" s="49">
        <f>AVERAGE('29.10 Buloba-Bujuko'!D29,'30.10 Buloba-Bujuko'!D29,'1.11 Buloba-Bujuko'!D29,'3.11 Buloba-Bujuko'!D29,'31.10 Buloba-Bujuko-24h'!D29,'2.11 Buloba-Bujuko-24HR'!D29,'4.11.BULOBA-BUJUKO'!D29)</f>
        <v>7.4285714285714288</v>
      </c>
      <c r="E29" s="49">
        <f>AVERAGE('29.10 Buloba-Bujuko'!E29,'30.10 Buloba-Bujuko'!E29,'1.11 Buloba-Bujuko'!E29,'3.11 Buloba-Bujuko'!E29,'31.10 Buloba-Bujuko-24h'!E29,'2.11 Buloba-Bujuko-24HR'!E29,'4.11.BULOBA-BUJUKO'!E29)</f>
        <v>5.4285714285714288</v>
      </c>
      <c r="F29" s="49">
        <f>AVERAGE('29.10 Buloba-Bujuko'!F29,'30.10 Buloba-Bujuko'!F29,'1.11 Buloba-Bujuko'!F29,'3.11 Buloba-Bujuko'!F29,'31.10 Buloba-Bujuko-24h'!F29,'2.11 Buloba-Bujuko-24HR'!F29,'4.11.BULOBA-BUJUKO'!F29)</f>
        <v>15.571428571428571</v>
      </c>
      <c r="G29" s="49">
        <f>AVERAGE('29.10 Buloba-Bujuko'!G29,'30.10 Buloba-Bujuko'!G29,'1.11 Buloba-Bujuko'!G29,'3.11 Buloba-Bujuko'!G29,'31.10 Buloba-Bujuko-24h'!G29,'2.11 Buloba-Bujuko-24HR'!G29,'4.11.BULOBA-BUJUKO'!G29)</f>
        <v>0.42857142857142855</v>
      </c>
      <c r="H29" s="49">
        <f>AVERAGE('29.10 Buloba-Bujuko'!H29,'30.10 Buloba-Bujuko'!H29,'1.11 Buloba-Bujuko'!H29,'3.11 Buloba-Bujuko'!H29,'31.10 Buloba-Bujuko-24h'!H29,'2.11 Buloba-Bujuko-24HR'!H29,'4.11.BULOBA-BUJUKO'!H29)</f>
        <v>0.2857142857142857</v>
      </c>
      <c r="I29" s="49">
        <f>AVERAGE('29.10 Buloba-Bujuko'!I29,'30.10 Buloba-Bujuko'!I29,'1.11 Buloba-Bujuko'!I29,'3.11 Buloba-Bujuko'!I29,'31.10 Buloba-Bujuko-24h'!I29,'2.11 Buloba-Bujuko-24HR'!I29,'4.11.BULOBA-BUJUKO'!I29)</f>
        <v>6.5714285714285712</v>
      </c>
      <c r="J29" s="49">
        <f>AVERAGE('29.10 Buloba-Bujuko'!J29,'30.10 Buloba-Bujuko'!J29,'1.11 Buloba-Bujuko'!J29,'3.11 Buloba-Bujuko'!J29,'31.10 Buloba-Bujuko-24h'!J29,'2.11 Buloba-Bujuko-24HR'!J29,'4.11.BULOBA-BUJUKO'!J29)</f>
        <v>1.1428571428571428</v>
      </c>
      <c r="K29" s="49">
        <f>AVERAGE('29.10 Buloba-Bujuko'!K29,'30.10 Buloba-Bujuko'!K29,'1.11 Buloba-Bujuko'!K29,'3.11 Buloba-Bujuko'!K29,'31.10 Buloba-Bujuko-24h'!K29,'2.11 Buloba-Bujuko-24HR'!K29,'4.11.BULOBA-BUJUKO'!K29)</f>
        <v>1.5714285714285714</v>
      </c>
      <c r="L29" s="49">
        <f>AVERAGE('29.10 Buloba-Bujuko'!L29,'30.10 Buloba-Bujuko'!L29,'1.11 Buloba-Bujuko'!L29,'3.11 Buloba-Bujuko'!L29,'31.10 Buloba-Bujuko-24h'!L29,'2.11 Buloba-Bujuko-24HR'!L29,'4.11.BULOBA-BUJUKO'!L29)</f>
        <v>0</v>
      </c>
      <c r="M29" s="49">
        <f>AVERAGE('29.10 Buloba-Bujuko'!M29,'30.10 Buloba-Bujuko'!M29,'1.11 Buloba-Bujuko'!M29,'3.11 Buloba-Bujuko'!M29,'31.10 Buloba-Bujuko-24h'!M29,'2.11 Buloba-Bujuko-24HR'!M29,'4.11.BULOBA-BUJUKO'!M29)</f>
        <v>12.142857142857142</v>
      </c>
      <c r="N29" s="49">
        <f>AVERAGE('29.10 Buloba-Bujuko'!N29,'30.10 Buloba-Bujuko'!N29,'1.11 Buloba-Bujuko'!N29,'3.11 Buloba-Bujuko'!N29,'31.10 Buloba-Bujuko-24h'!N29,'2.11 Buloba-Bujuko-24HR'!N29,'4.11.BULOBA-BUJUKO'!N29)</f>
        <v>0</v>
      </c>
      <c r="O29" s="15">
        <f t="shared" si="0"/>
        <v>57.571428571428569</v>
      </c>
      <c r="P29" s="15">
        <f t="shared" si="1"/>
        <v>69.714285714285708</v>
      </c>
      <c r="R29" s="1" t="s">
        <v>153</v>
      </c>
      <c r="S29" s="34">
        <f>SUM(C86:C89)</f>
        <v>6</v>
      </c>
      <c r="T29" s="34">
        <f t="shared" ref="T29:AF29" si="21">SUM(D86:D89)</f>
        <v>2</v>
      </c>
      <c r="U29" s="34">
        <f t="shared" si="21"/>
        <v>3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3</v>
      </c>
      <c r="AA29" s="34">
        <f t="shared" si="21"/>
        <v>3.5</v>
      </c>
      <c r="AB29" s="34">
        <f t="shared" si="21"/>
        <v>0.5</v>
      </c>
      <c r="AC29" s="34">
        <f t="shared" si="21"/>
        <v>8</v>
      </c>
      <c r="AD29" s="34">
        <f t="shared" si="21"/>
        <v>0</v>
      </c>
      <c r="AE29" s="31">
        <f t="shared" si="21"/>
        <v>22</v>
      </c>
      <c r="AF29" s="31">
        <f t="shared" si="21"/>
        <v>30</v>
      </c>
    </row>
    <row r="30" spans="2:32" ht="23.1" customHeight="1" x14ac:dyDescent="0.25">
      <c r="B30" s="23" t="s">
        <v>57</v>
      </c>
      <c r="C30" s="49">
        <f>AVERAGE('29.10 Buloba-Bujuko'!C30,'30.10 Buloba-Bujuko'!C30,'1.11 Buloba-Bujuko'!C30,'3.11 Buloba-Bujuko'!C30,'31.10 Buloba-Bujuko-24h'!C30,'2.11 Buloba-Bujuko-24HR'!C30,'4.11.BULOBA-BUJUKO'!C30)</f>
        <v>19</v>
      </c>
      <c r="D30" s="49">
        <f>AVERAGE('29.10 Buloba-Bujuko'!D30,'30.10 Buloba-Bujuko'!D30,'1.11 Buloba-Bujuko'!D30,'3.11 Buloba-Bujuko'!D30,'31.10 Buloba-Bujuko-24h'!D30,'2.11 Buloba-Bujuko-24HR'!D30,'4.11.BULOBA-BUJUKO'!D30)</f>
        <v>6.8571428571428568</v>
      </c>
      <c r="E30" s="49">
        <f>AVERAGE('29.10 Buloba-Bujuko'!E30,'30.10 Buloba-Bujuko'!E30,'1.11 Buloba-Bujuko'!E30,'3.11 Buloba-Bujuko'!E30,'31.10 Buloba-Bujuko-24h'!E30,'2.11 Buloba-Bujuko-24HR'!E30,'4.11.BULOBA-BUJUKO'!E30)</f>
        <v>4.1428571428571432</v>
      </c>
      <c r="F30" s="49">
        <f>AVERAGE('29.10 Buloba-Bujuko'!F30,'30.10 Buloba-Bujuko'!F30,'1.11 Buloba-Bujuko'!F30,'3.11 Buloba-Bujuko'!F30,'31.10 Buloba-Bujuko-24h'!F30,'2.11 Buloba-Bujuko-24HR'!F30,'4.11.BULOBA-BUJUKO'!F30)</f>
        <v>15.285714285714286</v>
      </c>
      <c r="G30" s="49">
        <f>AVERAGE('29.10 Buloba-Bujuko'!G30,'30.10 Buloba-Bujuko'!G30,'1.11 Buloba-Bujuko'!G30,'3.11 Buloba-Bujuko'!G30,'31.10 Buloba-Bujuko-24h'!G30,'2.11 Buloba-Bujuko-24HR'!G30,'4.11.BULOBA-BUJUKO'!G30)</f>
        <v>0.2857142857142857</v>
      </c>
      <c r="H30" s="49">
        <f>AVERAGE('29.10 Buloba-Bujuko'!H30,'30.10 Buloba-Bujuko'!H30,'1.11 Buloba-Bujuko'!H30,'3.11 Buloba-Bujuko'!H30,'31.10 Buloba-Bujuko-24h'!H30,'2.11 Buloba-Bujuko-24HR'!H30,'4.11.BULOBA-BUJUKO'!H30)</f>
        <v>0.2857142857142857</v>
      </c>
      <c r="I30" s="49">
        <f>AVERAGE('29.10 Buloba-Bujuko'!I30,'30.10 Buloba-Bujuko'!I30,'1.11 Buloba-Bujuko'!I30,'3.11 Buloba-Bujuko'!I30,'31.10 Buloba-Bujuko-24h'!I30,'2.11 Buloba-Bujuko-24HR'!I30,'4.11.BULOBA-BUJUKO'!I30)</f>
        <v>6.8571428571428568</v>
      </c>
      <c r="J30" s="49">
        <f>AVERAGE('29.10 Buloba-Bujuko'!J30,'30.10 Buloba-Bujuko'!J30,'1.11 Buloba-Bujuko'!J30,'3.11 Buloba-Bujuko'!J30,'31.10 Buloba-Bujuko-24h'!J30,'2.11 Buloba-Bujuko-24HR'!J30,'4.11.BULOBA-BUJUKO'!J30)</f>
        <v>3</v>
      </c>
      <c r="K30" s="49">
        <f>AVERAGE('29.10 Buloba-Bujuko'!K30,'30.10 Buloba-Bujuko'!K30,'1.11 Buloba-Bujuko'!K30,'3.11 Buloba-Bujuko'!K30,'31.10 Buloba-Bujuko-24h'!K30,'2.11 Buloba-Bujuko-24HR'!K30,'4.11.BULOBA-BUJUKO'!K30)</f>
        <v>0.8571428571428571</v>
      </c>
      <c r="L30" s="49">
        <f>AVERAGE('29.10 Buloba-Bujuko'!L30,'30.10 Buloba-Bujuko'!L30,'1.11 Buloba-Bujuko'!L30,'3.11 Buloba-Bujuko'!L30,'31.10 Buloba-Bujuko-24h'!L30,'2.11 Buloba-Bujuko-24HR'!L30,'4.11.BULOBA-BUJUKO'!L30)</f>
        <v>0.14285714285714285</v>
      </c>
      <c r="M30" s="49">
        <f>AVERAGE('29.10 Buloba-Bujuko'!M30,'30.10 Buloba-Bujuko'!M30,'1.11 Buloba-Bujuko'!M30,'3.11 Buloba-Bujuko'!M30,'31.10 Buloba-Bujuko-24h'!M30,'2.11 Buloba-Bujuko-24HR'!M30,'4.11.BULOBA-BUJUKO'!M30)</f>
        <v>16.857142857142858</v>
      </c>
      <c r="N30" s="49">
        <f>AVERAGE('29.10 Buloba-Bujuko'!N30,'30.10 Buloba-Bujuko'!N30,'1.11 Buloba-Bujuko'!N30,'3.11 Buloba-Bujuko'!N30,'31.10 Buloba-Bujuko-24h'!N30,'2.11 Buloba-Bujuko-24HR'!N30,'4.11.BULOBA-BUJUKO'!N30)</f>
        <v>0</v>
      </c>
      <c r="O30" s="15">
        <f t="shared" si="0"/>
        <v>56.714285714285708</v>
      </c>
      <c r="P30" s="15">
        <f t="shared" si="1"/>
        <v>73.571428571428569</v>
      </c>
      <c r="R30" s="1" t="s">
        <v>154</v>
      </c>
      <c r="S30" s="34">
        <f>SUM(C90:C93)</f>
        <v>6.5</v>
      </c>
      <c r="T30" s="34">
        <f t="shared" ref="T30:AF30" si="22">SUM(D90:D93)</f>
        <v>2</v>
      </c>
      <c r="U30" s="34">
        <f t="shared" si="22"/>
        <v>1.5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3.5</v>
      </c>
      <c r="Z30" s="34">
        <f t="shared" si="22"/>
        <v>3.5</v>
      </c>
      <c r="AA30" s="34">
        <f t="shared" si="22"/>
        <v>1</v>
      </c>
      <c r="AB30" s="34">
        <f t="shared" si="22"/>
        <v>1.5</v>
      </c>
      <c r="AC30" s="34">
        <f t="shared" si="22"/>
        <v>4</v>
      </c>
      <c r="AD30" s="34">
        <f t="shared" si="22"/>
        <v>0</v>
      </c>
      <c r="AE30" s="31">
        <f t="shared" si="22"/>
        <v>20.5</v>
      </c>
      <c r="AF30" s="31">
        <f t="shared" si="22"/>
        <v>24.5</v>
      </c>
    </row>
    <row r="31" spans="2:32" ht="23.1" customHeight="1" x14ac:dyDescent="0.25">
      <c r="B31" s="24" t="s">
        <v>58</v>
      </c>
      <c r="C31" s="49">
        <f>AVERAGE('29.10 Buloba-Bujuko'!C31,'30.10 Buloba-Bujuko'!C31,'1.11 Buloba-Bujuko'!C31,'3.11 Buloba-Bujuko'!C31,'31.10 Buloba-Bujuko-24h'!C31,'2.11 Buloba-Bujuko-24HR'!C31,'4.11.BULOBA-BUJUKO'!C31)</f>
        <v>17.142857142857142</v>
      </c>
      <c r="D31" s="49">
        <f>AVERAGE('29.10 Buloba-Bujuko'!D31,'30.10 Buloba-Bujuko'!D31,'1.11 Buloba-Bujuko'!D31,'3.11 Buloba-Bujuko'!D31,'31.10 Buloba-Bujuko-24h'!D31,'2.11 Buloba-Bujuko-24HR'!D31,'4.11.BULOBA-BUJUKO'!D31)</f>
        <v>6.5714285714285712</v>
      </c>
      <c r="E31" s="49">
        <f>AVERAGE('29.10 Buloba-Bujuko'!E31,'30.10 Buloba-Bujuko'!E31,'1.11 Buloba-Bujuko'!E31,'3.11 Buloba-Bujuko'!E31,'31.10 Buloba-Bujuko-24h'!E31,'2.11 Buloba-Bujuko-24HR'!E31,'4.11.BULOBA-BUJUKO'!E31)</f>
        <v>4</v>
      </c>
      <c r="F31" s="49">
        <f>AVERAGE('29.10 Buloba-Bujuko'!F31,'30.10 Buloba-Bujuko'!F31,'1.11 Buloba-Bujuko'!F31,'3.11 Buloba-Bujuko'!F31,'31.10 Buloba-Bujuko-24h'!F31,'2.11 Buloba-Bujuko-24HR'!F31,'4.11.BULOBA-BUJUKO'!F31)</f>
        <v>16</v>
      </c>
      <c r="G31" s="49">
        <f>AVERAGE('29.10 Buloba-Bujuko'!G31,'30.10 Buloba-Bujuko'!G31,'1.11 Buloba-Bujuko'!G31,'3.11 Buloba-Bujuko'!G31,'31.10 Buloba-Bujuko-24h'!G31,'2.11 Buloba-Bujuko-24HR'!G31,'4.11.BULOBA-BUJUKO'!G31)</f>
        <v>1</v>
      </c>
      <c r="H31" s="49">
        <f>AVERAGE('29.10 Buloba-Bujuko'!H31,'30.10 Buloba-Bujuko'!H31,'1.11 Buloba-Bujuko'!H31,'3.11 Buloba-Bujuko'!H31,'31.10 Buloba-Bujuko-24h'!H31,'2.11 Buloba-Bujuko-24HR'!H31,'4.11.BULOBA-BUJUKO'!H31)</f>
        <v>0.5714285714285714</v>
      </c>
      <c r="I31" s="49">
        <f>AVERAGE('29.10 Buloba-Bujuko'!I31,'30.10 Buloba-Bujuko'!I31,'1.11 Buloba-Bujuko'!I31,'3.11 Buloba-Bujuko'!I31,'31.10 Buloba-Bujuko-24h'!I31,'2.11 Buloba-Bujuko-24HR'!I31,'4.11.BULOBA-BUJUKO'!I31)</f>
        <v>7.1428571428571432</v>
      </c>
      <c r="J31" s="49">
        <f>AVERAGE('29.10 Buloba-Bujuko'!J31,'30.10 Buloba-Bujuko'!J31,'1.11 Buloba-Bujuko'!J31,'3.11 Buloba-Bujuko'!J31,'31.10 Buloba-Bujuko-24h'!J31,'2.11 Buloba-Bujuko-24HR'!J31,'4.11.BULOBA-BUJUKO'!J31)</f>
        <v>2.8571428571428572</v>
      </c>
      <c r="K31" s="49">
        <f>AVERAGE('29.10 Buloba-Bujuko'!K31,'30.10 Buloba-Bujuko'!K31,'1.11 Buloba-Bujuko'!K31,'3.11 Buloba-Bujuko'!K31,'31.10 Buloba-Bujuko-24h'!K31,'2.11 Buloba-Bujuko-24HR'!K31,'4.11.BULOBA-BUJUKO'!K31)</f>
        <v>2.2857142857142856</v>
      </c>
      <c r="L31" s="49">
        <f>AVERAGE('29.10 Buloba-Bujuko'!L31,'30.10 Buloba-Bujuko'!L31,'1.11 Buloba-Bujuko'!L31,'3.11 Buloba-Bujuko'!L31,'31.10 Buloba-Bujuko-24h'!L31,'2.11 Buloba-Bujuko-24HR'!L31,'4.11.BULOBA-BUJUKO'!L31)</f>
        <v>0.42857142857142855</v>
      </c>
      <c r="M31" s="49">
        <f>AVERAGE('29.10 Buloba-Bujuko'!M31,'30.10 Buloba-Bujuko'!M31,'1.11 Buloba-Bujuko'!M31,'3.11 Buloba-Bujuko'!M31,'31.10 Buloba-Bujuko-24h'!M31,'2.11 Buloba-Bujuko-24HR'!M31,'4.11.BULOBA-BUJUKO'!M31)</f>
        <v>19.285714285714285</v>
      </c>
      <c r="N31" s="49">
        <f>AVERAGE('29.10 Buloba-Bujuko'!N31,'30.10 Buloba-Bujuko'!N31,'1.11 Buloba-Bujuko'!N31,'3.11 Buloba-Bujuko'!N31,'31.10 Buloba-Bujuko-24h'!N31,'2.11 Buloba-Bujuko-24HR'!N31,'4.11.BULOBA-BUJUKO'!N31)</f>
        <v>0</v>
      </c>
      <c r="O31" s="15">
        <f t="shared" si="0"/>
        <v>58</v>
      </c>
      <c r="P31" s="15">
        <f t="shared" si="1"/>
        <v>77.285714285714278</v>
      </c>
      <c r="R31" s="1" t="s">
        <v>155</v>
      </c>
      <c r="S31" s="34">
        <f>SUM(C94:C97)</f>
        <v>8.5</v>
      </c>
      <c r="T31" s="34">
        <f t="shared" ref="T31:AF31" si="23">SUM(D94:D97)</f>
        <v>2.5</v>
      </c>
      <c r="U31" s="34">
        <f t="shared" si="23"/>
        <v>0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4</v>
      </c>
      <c r="Z31" s="34">
        <f t="shared" si="23"/>
        <v>2</v>
      </c>
      <c r="AA31" s="34">
        <f t="shared" si="23"/>
        <v>1</v>
      </c>
      <c r="AB31" s="34">
        <f t="shared" si="23"/>
        <v>0</v>
      </c>
      <c r="AC31" s="34">
        <f t="shared" si="23"/>
        <v>9.5</v>
      </c>
      <c r="AD31" s="34">
        <f t="shared" si="23"/>
        <v>0</v>
      </c>
      <c r="AE31" s="31">
        <f t="shared" si="23"/>
        <v>19</v>
      </c>
      <c r="AF31" s="31">
        <f t="shared" si="23"/>
        <v>28.5</v>
      </c>
    </row>
    <row r="32" spans="2:32" ht="23.1" customHeight="1" x14ac:dyDescent="0.25">
      <c r="B32" s="24" t="s">
        <v>59</v>
      </c>
      <c r="C32" s="49">
        <f>AVERAGE('29.10 Buloba-Bujuko'!C32,'30.10 Buloba-Bujuko'!C32,'1.11 Buloba-Bujuko'!C32,'3.11 Buloba-Bujuko'!C32,'31.10 Buloba-Bujuko-24h'!C32,'2.11 Buloba-Bujuko-24HR'!C32,'4.11.BULOBA-BUJUKO'!C32)</f>
        <v>18.428571428571427</v>
      </c>
      <c r="D32" s="49">
        <f>AVERAGE('29.10 Buloba-Bujuko'!D32,'30.10 Buloba-Bujuko'!D32,'1.11 Buloba-Bujuko'!D32,'3.11 Buloba-Bujuko'!D32,'31.10 Buloba-Bujuko-24h'!D32,'2.11 Buloba-Bujuko-24HR'!D32,'4.11.BULOBA-BUJUKO'!D32)</f>
        <v>8.5714285714285712</v>
      </c>
      <c r="E32" s="49">
        <f>AVERAGE('29.10 Buloba-Bujuko'!E32,'30.10 Buloba-Bujuko'!E32,'1.11 Buloba-Bujuko'!E32,'3.11 Buloba-Bujuko'!E32,'31.10 Buloba-Bujuko-24h'!E32,'2.11 Buloba-Bujuko-24HR'!E32,'4.11.BULOBA-BUJUKO'!E32)</f>
        <v>4.5714285714285712</v>
      </c>
      <c r="F32" s="49">
        <f>AVERAGE('29.10 Buloba-Bujuko'!F32,'30.10 Buloba-Bujuko'!F32,'1.11 Buloba-Bujuko'!F32,'3.11 Buloba-Bujuko'!F32,'31.10 Buloba-Bujuko-24h'!F32,'2.11 Buloba-Bujuko-24HR'!F32,'4.11.BULOBA-BUJUKO'!F32)</f>
        <v>16.428571428571427</v>
      </c>
      <c r="G32" s="49">
        <f>AVERAGE('29.10 Buloba-Bujuko'!G32,'30.10 Buloba-Bujuko'!G32,'1.11 Buloba-Bujuko'!G32,'3.11 Buloba-Bujuko'!G32,'31.10 Buloba-Bujuko-24h'!G32,'2.11 Buloba-Bujuko-24HR'!G32,'4.11.BULOBA-BUJUKO'!G32)</f>
        <v>0.42857142857142855</v>
      </c>
      <c r="H32" s="49">
        <f>AVERAGE('29.10 Buloba-Bujuko'!H32,'30.10 Buloba-Bujuko'!H32,'1.11 Buloba-Bujuko'!H32,'3.11 Buloba-Bujuko'!H32,'31.10 Buloba-Bujuko-24h'!H32,'2.11 Buloba-Bujuko-24HR'!H32,'4.11.BULOBA-BUJUKO'!H32)</f>
        <v>0.2857142857142857</v>
      </c>
      <c r="I32" s="49">
        <f>AVERAGE('29.10 Buloba-Bujuko'!I32,'30.10 Buloba-Bujuko'!I32,'1.11 Buloba-Bujuko'!I32,'3.11 Buloba-Bujuko'!I32,'31.10 Buloba-Bujuko-24h'!I32,'2.11 Buloba-Bujuko-24HR'!I32,'4.11.BULOBA-BUJUKO'!I32)</f>
        <v>8.7142857142857135</v>
      </c>
      <c r="J32" s="49">
        <f>AVERAGE('29.10 Buloba-Bujuko'!J32,'30.10 Buloba-Bujuko'!J32,'1.11 Buloba-Bujuko'!J32,'3.11 Buloba-Bujuko'!J32,'31.10 Buloba-Bujuko-24h'!J32,'2.11 Buloba-Bujuko-24HR'!J32,'4.11.BULOBA-BUJUKO'!J32)</f>
        <v>1.8571428571428572</v>
      </c>
      <c r="K32" s="49">
        <f>AVERAGE('29.10 Buloba-Bujuko'!K32,'30.10 Buloba-Bujuko'!K32,'1.11 Buloba-Bujuko'!K32,'3.11 Buloba-Bujuko'!K32,'31.10 Buloba-Bujuko-24h'!K32,'2.11 Buloba-Bujuko-24HR'!K32,'4.11.BULOBA-BUJUKO'!K32)</f>
        <v>1.5714285714285714</v>
      </c>
      <c r="L32" s="49">
        <f>AVERAGE('29.10 Buloba-Bujuko'!L32,'30.10 Buloba-Bujuko'!L32,'1.11 Buloba-Bujuko'!L32,'3.11 Buloba-Bujuko'!L32,'31.10 Buloba-Bujuko-24h'!L32,'2.11 Buloba-Bujuko-24HR'!L32,'4.11.BULOBA-BUJUKO'!L32)</f>
        <v>0.7142857142857143</v>
      </c>
      <c r="M32" s="49">
        <f>AVERAGE('29.10 Buloba-Bujuko'!M32,'30.10 Buloba-Bujuko'!M32,'1.11 Buloba-Bujuko'!M32,'3.11 Buloba-Bujuko'!M32,'31.10 Buloba-Bujuko-24h'!M32,'2.11 Buloba-Bujuko-24HR'!M32,'4.11.BULOBA-BUJUKO'!M32)</f>
        <v>13.714285714285714</v>
      </c>
      <c r="N32" s="49">
        <f>AVERAGE('29.10 Buloba-Bujuko'!N32,'30.10 Buloba-Bujuko'!N32,'1.11 Buloba-Bujuko'!N32,'3.11 Buloba-Bujuko'!N32,'31.10 Buloba-Bujuko-24h'!N32,'2.11 Buloba-Bujuko-24HR'!N32,'4.11.BULOBA-BUJUKO'!N32)</f>
        <v>0</v>
      </c>
      <c r="O32" s="15">
        <f t="shared" si="0"/>
        <v>61.571428571428569</v>
      </c>
      <c r="P32" s="15">
        <f t="shared" si="1"/>
        <v>75.285714285714278</v>
      </c>
      <c r="R32" s="1" t="s">
        <v>156</v>
      </c>
      <c r="S32" s="34">
        <f>SUM(C98:C101)</f>
        <v>12.5</v>
      </c>
      <c r="T32" s="34">
        <f t="shared" ref="T32:AF32" si="24">SUM(D98:D101)</f>
        <v>3.5</v>
      </c>
      <c r="U32" s="34">
        <f t="shared" si="24"/>
        <v>1.5</v>
      </c>
      <c r="V32" s="34">
        <f t="shared" si="24"/>
        <v>2.5</v>
      </c>
      <c r="W32" s="34">
        <f t="shared" si="24"/>
        <v>0.5</v>
      </c>
      <c r="X32" s="34">
        <f t="shared" si="24"/>
        <v>1</v>
      </c>
      <c r="Y32" s="34">
        <f t="shared" si="24"/>
        <v>4</v>
      </c>
      <c r="Z32" s="34">
        <f t="shared" si="24"/>
        <v>1.5</v>
      </c>
      <c r="AA32" s="34">
        <f t="shared" si="24"/>
        <v>2.5</v>
      </c>
      <c r="AB32" s="34">
        <f t="shared" si="24"/>
        <v>1</v>
      </c>
      <c r="AC32" s="34">
        <f t="shared" si="24"/>
        <v>19</v>
      </c>
      <c r="AD32" s="34">
        <f t="shared" si="24"/>
        <v>0</v>
      </c>
      <c r="AE32" s="31">
        <f t="shared" si="24"/>
        <v>30.5</v>
      </c>
      <c r="AF32" s="31">
        <f t="shared" si="24"/>
        <v>49.5</v>
      </c>
    </row>
    <row r="33" spans="2:32" ht="23.1" customHeight="1" x14ac:dyDescent="0.25">
      <c r="B33" s="23" t="s">
        <v>60</v>
      </c>
      <c r="C33" s="49">
        <f>AVERAGE('29.10 Buloba-Bujuko'!C33,'30.10 Buloba-Bujuko'!C33,'1.11 Buloba-Bujuko'!C33,'3.11 Buloba-Bujuko'!C33,'31.10 Buloba-Bujuko-24h'!C33,'2.11 Buloba-Bujuko-24HR'!C33,'4.11.BULOBA-BUJUKO'!C33)</f>
        <v>15.714285714285714</v>
      </c>
      <c r="D33" s="49">
        <f>AVERAGE('29.10 Buloba-Bujuko'!D33,'30.10 Buloba-Bujuko'!D33,'1.11 Buloba-Bujuko'!D33,'3.11 Buloba-Bujuko'!D33,'31.10 Buloba-Bujuko-24h'!D33,'2.11 Buloba-Bujuko-24HR'!D33,'4.11.BULOBA-BUJUKO'!D33)</f>
        <v>5.8571428571428568</v>
      </c>
      <c r="E33" s="49">
        <f>AVERAGE('29.10 Buloba-Bujuko'!E33,'30.10 Buloba-Bujuko'!E33,'1.11 Buloba-Bujuko'!E33,'3.11 Buloba-Bujuko'!E33,'31.10 Buloba-Bujuko-24h'!E33,'2.11 Buloba-Bujuko-24HR'!E33,'4.11.BULOBA-BUJUKO'!E33)</f>
        <v>4.1428571428571432</v>
      </c>
      <c r="F33" s="49">
        <f>AVERAGE('29.10 Buloba-Bujuko'!F33,'30.10 Buloba-Bujuko'!F33,'1.11 Buloba-Bujuko'!F33,'3.11 Buloba-Bujuko'!F33,'31.10 Buloba-Bujuko-24h'!F33,'2.11 Buloba-Bujuko-24HR'!F33,'4.11.BULOBA-BUJUKO'!F33)</f>
        <v>13.428571428571429</v>
      </c>
      <c r="G33" s="49">
        <f>AVERAGE('29.10 Buloba-Bujuko'!G33,'30.10 Buloba-Bujuko'!G33,'1.11 Buloba-Bujuko'!G33,'3.11 Buloba-Bujuko'!G33,'31.10 Buloba-Bujuko-24h'!G33,'2.11 Buloba-Bujuko-24HR'!G33,'4.11.BULOBA-BUJUKO'!G33)</f>
        <v>0.5714285714285714</v>
      </c>
      <c r="H33" s="49">
        <f>AVERAGE('29.10 Buloba-Bujuko'!H33,'30.10 Buloba-Bujuko'!H33,'1.11 Buloba-Bujuko'!H33,'3.11 Buloba-Bujuko'!H33,'31.10 Buloba-Bujuko-24h'!H33,'2.11 Buloba-Bujuko-24HR'!H33,'4.11.BULOBA-BUJUKO'!H33)</f>
        <v>0.14285714285714285</v>
      </c>
      <c r="I33" s="49">
        <f>AVERAGE('29.10 Buloba-Bujuko'!I33,'30.10 Buloba-Bujuko'!I33,'1.11 Buloba-Bujuko'!I33,'3.11 Buloba-Bujuko'!I33,'31.10 Buloba-Bujuko-24h'!I33,'2.11 Buloba-Bujuko-24HR'!I33,'4.11.BULOBA-BUJUKO'!I33)</f>
        <v>7.2857142857142856</v>
      </c>
      <c r="J33" s="49">
        <f>AVERAGE('29.10 Buloba-Bujuko'!J33,'30.10 Buloba-Bujuko'!J33,'1.11 Buloba-Bujuko'!J33,'3.11 Buloba-Bujuko'!J33,'31.10 Buloba-Bujuko-24h'!J33,'2.11 Buloba-Bujuko-24HR'!J33,'4.11.BULOBA-BUJUKO'!J33)</f>
        <v>1.8571428571428572</v>
      </c>
      <c r="K33" s="49">
        <f>AVERAGE('29.10 Buloba-Bujuko'!K33,'30.10 Buloba-Bujuko'!K33,'1.11 Buloba-Bujuko'!K33,'3.11 Buloba-Bujuko'!K33,'31.10 Buloba-Bujuko-24h'!K33,'2.11 Buloba-Bujuko-24HR'!K33,'4.11.BULOBA-BUJUKO'!K33)</f>
        <v>1.1428571428571428</v>
      </c>
      <c r="L33" s="49">
        <f>AVERAGE('29.10 Buloba-Bujuko'!L33,'30.10 Buloba-Bujuko'!L33,'1.11 Buloba-Bujuko'!L33,'3.11 Buloba-Bujuko'!L33,'31.10 Buloba-Bujuko-24h'!L33,'2.11 Buloba-Bujuko-24HR'!L33,'4.11.BULOBA-BUJUKO'!L33)</f>
        <v>1.4285714285714286</v>
      </c>
      <c r="M33" s="49">
        <f>AVERAGE('29.10 Buloba-Bujuko'!M33,'30.10 Buloba-Bujuko'!M33,'1.11 Buloba-Bujuko'!M33,'3.11 Buloba-Bujuko'!M33,'31.10 Buloba-Bujuko-24h'!M33,'2.11 Buloba-Bujuko-24HR'!M33,'4.11.BULOBA-BUJUKO'!M33)</f>
        <v>15.857142857142858</v>
      </c>
      <c r="N33" s="49">
        <f>AVERAGE('29.10 Buloba-Bujuko'!N33,'30.10 Buloba-Bujuko'!N33,'1.11 Buloba-Bujuko'!N33,'3.11 Buloba-Bujuko'!N33,'31.10 Buloba-Bujuko-24h'!N33,'2.11 Buloba-Bujuko-24HR'!N33,'4.11.BULOBA-BUJUKO'!N33)</f>
        <v>0</v>
      </c>
      <c r="O33" s="15">
        <f t="shared" si="0"/>
        <v>51.571428571428569</v>
      </c>
      <c r="P33" s="15">
        <f t="shared" si="1"/>
        <v>67.428571428571431</v>
      </c>
      <c r="R33" s="1" t="s">
        <v>157</v>
      </c>
      <c r="S33" s="34">
        <f>SUM(C102:C105)</f>
        <v>12</v>
      </c>
      <c r="T33" s="34">
        <f t="shared" ref="T33:AF33" si="25">SUM(D102:D105)</f>
        <v>2.5</v>
      </c>
      <c r="U33" s="34">
        <f t="shared" si="25"/>
        <v>1.5</v>
      </c>
      <c r="V33" s="34">
        <f t="shared" si="25"/>
        <v>4</v>
      </c>
      <c r="W33" s="34">
        <f t="shared" si="25"/>
        <v>1</v>
      </c>
      <c r="X33" s="34">
        <f t="shared" si="25"/>
        <v>0.5</v>
      </c>
      <c r="Y33" s="34">
        <f t="shared" si="25"/>
        <v>8</v>
      </c>
      <c r="Z33" s="34">
        <f t="shared" si="25"/>
        <v>2</v>
      </c>
      <c r="AA33" s="34">
        <f t="shared" si="25"/>
        <v>1.5</v>
      </c>
      <c r="AB33" s="34">
        <f t="shared" si="25"/>
        <v>0.5</v>
      </c>
      <c r="AC33" s="34">
        <f t="shared" si="25"/>
        <v>20.5</v>
      </c>
      <c r="AD33" s="34">
        <f t="shared" si="25"/>
        <v>0</v>
      </c>
      <c r="AE33" s="31">
        <f t="shared" si="25"/>
        <v>33.5</v>
      </c>
      <c r="AF33" s="31">
        <f t="shared" si="25"/>
        <v>54</v>
      </c>
    </row>
    <row r="34" spans="2:32" ht="23.1" customHeight="1" x14ac:dyDescent="0.25">
      <c r="B34" s="24" t="s">
        <v>61</v>
      </c>
      <c r="C34" s="49">
        <f>AVERAGE('29.10 Buloba-Bujuko'!C34,'30.10 Buloba-Bujuko'!C34,'1.11 Buloba-Bujuko'!C34,'3.11 Buloba-Bujuko'!C34,'31.10 Buloba-Bujuko-24h'!C34,'2.11 Buloba-Bujuko-24HR'!C34,'4.11.BULOBA-BUJUKO'!C34)</f>
        <v>16.857142857142858</v>
      </c>
      <c r="D34" s="49">
        <f>AVERAGE('29.10 Buloba-Bujuko'!D34,'30.10 Buloba-Bujuko'!D34,'1.11 Buloba-Bujuko'!D34,'3.11 Buloba-Bujuko'!D34,'31.10 Buloba-Bujuko-24h'!D34,'2.11 Buloba-Bujuko-24HR'!D34,'4.11.BULOBA-BUJUKO'!D34)</f>
        <v>7.4285714285714288</v>
      </c>
      <c r="E34" s="49">
        <f>AVERAGE('29.10 Buloba-Bujuko'!E34,'30.10 Buloba-Bujuko'!E34,'1.11 Buloba-Bujuko'!E34,'3.11 Buloba-Bujuko'!E34,'31.10 Buloba-Bujuko-24h'!E34,'2.11 Buloba-Bujuko-24HR'!E34,'4.11.BULOBA-BUJUKO'!E34)</f>
        <v>5.7142857142857144</v>
      </c>
      <c r="F34" s="49">
        <f>AVERAGE('29.10 Buloba-Bujuko'!F34,'30.10 Buloba-Bujuko'!F34,'1.11 Buloba-Bujuko'!F34,'3.11 Buloba-Bujuko'!F34,'31.10 Buloba-Bujuko-24h'!F34,'2.11 Buloba-Bujuko-24HR'!F34,'4.11.BULOBA-BUJUKO'!F34)</f>
        <v>21.142857142857142</v>
      </c>
      <c r="G34" s="49">
        <f>AVERAGE('29.10 Buloba-Bujuko'!G34,'30.10 Buloba-Bujuko'!G34,'1.11 Buloba-Bujuko'!G34,'3.11 Buloba-Bujuko'!G34,'31.10 Buloba-Bujuko-24h'!G34,'2.11 Buloba-Bujuko-24HR'!G34,'4.11.BULOBA-BUJUKO'!G34)</f>
        <v>1</v>
      </c>
      <c r="H34" s="49">
        <f>AVERAGE('29.10 Buloba-Bujuko'!H34,'30.10 Buloba-Bujuko'!H34,'1.11 Buloba-Bujuko'!H34,'3.11 Buloba-Bujuko'!H34,'31.10 Buloba-Bujuko-24h'!H34,'2.11 Buloba-Bujuko-24HR'!H34,'4.11.BULOBA-BUJUKO'!H34)</f>
        <v>1.1428571428571428</v>
      </c>
      <c r="I34" s="49">
        <f>AVERAGE('29.10 Buloba-Bujuko'!I34,'30.10 Buloba-Bujuko'!I34,'1.11 Buloba-Bujuko'!I34,'3.11 Buloba-Bujuko'!I34,'31.10 Buloba-Bujuko-24h'!I34,'2.11 Buloba-Bujuko-24HR'!I34,'4.11.BULOBA-BUJUKO'!I34)</f>
        <v>7.1428571428571432</v>
      </c>
      <c r="J34" s="49">
        <f>AVERAGE('29.10 Buloba-Bujuko'!J34,'30.10 Buloba-Bujuko'!J34,'1.11 Buloba-Bujuko'!J34,'3.11 Buloba-Bujuko'!J34,'31.10 Buloba-Bujuko-24h'!J34,'2.11 Buloba-Bujuko-24HR'!J34,'4.11.BULOBA-BUJUKO'!J34)</f>
        <v>3</v>
      </c>
      <c r="K34" s="49">
        <f>AVERAGE('29.10 Buloba-Bujuko'!K34,'30.10 Buloba-Bujuko'!K34,'1.11 Buloba-Bujuko'!K34,'3.11 Buloba-Bujuko'!K34,'31.10 Buloba-Bujuko-24h'!K34,'2.11 Buloba-Bujuko-24HR'!K34,'4.11.BULOBA-BUJUKO'!K34)</f>
        <v>3.1428571428571428</v>
      </c>
      <c r="L34" s="49">
        <f>AVERAGE('29.10 Buloba-Bujuko'!L34,'30.10 Buloba-Bujuko'!L34,'1.11 Buloba-Bujuko'!L34,'3.11 Buloba-Bujuko'!L34,'31.10 Buloba-Bujuko-24h'!L34,'2.11 Buloba-Bujuko-24HR'!L34,'4.11.BULOBA-BUJUKO'!L34)</f>
        <v>2</v>
      </c>
      <c r="M34" s="49">
        <f>AVERAGE('29.10 Buloba-Bujuko'!M34,'30.10 Buloba-Bujuko'!M34,'1.11 Buloba-Bujuko'!M34,'3.11 Buloba-Bujuko'!M34,'31.10 Buloba-Bujuko-24h'!M34,'2.11 Buloba-Bujuko-24HR'!M34,'4.11.BULOBA-BUJUKO'!M34)</f>
        <v>17.142857142857142</v>
      </c>
      <c r="N34" s="49">
        <f>AVERAGE('29.10 Buloba-Bujuko'!N34,'30.10 Buloba-Bujuko'!N34,'1.11 Buloba-Bujuko'!N34,'3.11 Buloba-Bujuko'!N34,'31.10 Buloba-Bujuko-24h'!N34,'2.11 Buloba-Bujuko-24HR'!N34,'4.11.BULOBA-BUJUKO'!N34)</f>
        <v>0</v>
      </c>
      <c r="O34" s="15">
        <f t="shared" si="0"/>
        <v>68.571428571428569</v>
      </c>
      <c r="P34" s="15">
        <f t="shared" si="1"/>
        <v>85.714285714285708</v>
      </c>
      <c r="R34" s="51" t="s">
        <v>90</v>
      </c>
      <c r="S34" s="52">
        <f t="shared" ref="S34:AF34" si="26">MAX(S10:S12)</f>
        <v>58.285714285714285</v>
      </c>
      <c r="T34" s="52">
        <f t="shared" si="26"/>
        <v>20.571428571428573</v>
      </c>
      <c r="U34" s="52">
        <f t="shared" si="26"/>
        <v>15.142857142857144</v>
      </c>
      <c r="V34" s="52">
        <f t="shared" si="26"/>
        <v>56.285714285714285</v>
      </c>
      <c r="W34" s="52">
        <f t="shared" si="26"/>
        <v>1.714285714285714</v>
      </c>
      <c r="X34" s="52">
        <f t="shared" si="26"/>
        <v>1.7142857142857142</v>
      </c>
      <c r="Y34" s="52">
        <f t="shared" si="26"/>
        <v>24.285714285714285</v>
      </c>
      <c r="Z34" s="52">
        <f t="shared" si="26"/>
        <v>8.8571428571428577</v>
      </c>
      <c r="AA34" s="52">
        <f t="shared" si="26"/>
        <v>4.2857142857142856</v>
      </c>
      <c r="AB34" s="52">
        <f t="shared" si="26"/>
        <v>2.1428571428571428</v>
      </c>
      <c r="AC34" s="52">
        <f t="shared" si="26"/>
        <v>58.571428571428569</v>
      </c>
      <c r="AD34" s="52">
        <f t="shared" si="26"/>
        <v>0</v>
      </c>
      <c r="AE34" s="40">
        <f t="shared" si="26"/>
        <v>187.57142857142856</v>
      </c>
      <c r="AF34" s="40">
        <f t="shared" si="26"/>
        <v>246.14285714285714</v>
      </c>
    </row>
    <row r="35" spans="2:32" ht="23.1" customHeight="1" x14ac:dyDescent="0.25">
      <c r="B35" s="24" t="s">
        <v>62</v>
      </c>
      <c r="C35" s="49">
        <f>AVERAGE('29.10 Buloba-Bujuko'!C35,'30.10 Buloba-Bujuko'!C35,'1.11 Buloba-Bujuko'!C35,'3.11 Buloba-Bujuko'!C35,'31.10 Buloba-Bujuko-24h'!C35,'2.11 Buloba-Bujuko-24HR'!C35,'4.11.BULOBA-BUJUKO'!C35)</f>
        <v>17.714285714285715</v>
      </c>
      <c r="D35" s="49">
        <f>AVERAGE('29.10 Buloba-Bujuko'!D35,'30.10 Buloba-Bujuko'!D35,'1.11 Buloba-Bujuko'!D35,'3.11 Buloba-Bujuko'!D35,'31.10 Buloba-Bujuko-24h'!D35,'2.11 Buloba-Bujuko-24HR'!D35,'4.11.BULOBA-BUJUKO'!D35)</f>
        <v>5.7142857142857144</v>
      </c>
      <c r="E35" s="49">
        <f>AVERAGE('29.10 Buloba-Bujuko'!E35,'30.10 Buloba-Bujuko'!E35,'1.11 Buloba-Bujuko'!E35,'3.11 Buloba-Bujuko'!E35,'31.10 Buloba-Bujuko-24h'!E35,'2.11 Buloba-Bujuko-24HR'!E35,'4.11.BULOBA-BUJUKO'!E35)</f>
        <v>4.2857142857142856</v>
      </c>
      <c r="F35" s="49">
        <f>AVERAGE('29.10 Buloba-Bujuko'!F35,'30.10 Buloba-Bujuko'!F35,'1.11 Buloba-Bujuko'!F35,'3.11 Buloba-Bujuko'!F35,'31.10 Buloba-Bujuko-24h'!F35,'2.11 Buloba-Bujuko-24HR'!F35,'4.11.BULOBA-BUJUKO'!F35)</f>
        <v>17</v>
      </c>
      <c r="G35" s="49">
        <f>AVERAGE('29.10 Buloba-Bujuko'!G35,'30.10 Buloba-Bujuko'!G35,'1.11 Buloba-Bujuko'!G35,'3.11 Buloba-Bujuko'!G35,'31.10 Buloba-Bujuko-24h'!G35,'2.11 Buloba-Bujuko-24HR'!G35,'4.11.BULOBA-BUJUKO'!G35)</f>
        <v>1.4285714285714286</v>
      </c>
      <c r="H35" s="49">
        <f>AVERAGE('29.10 Buloba-Bujuko'!H35,'30.10 Buloba-Bujuko'!H35,'1.11 Buloba-Bujuko'!H35,'3.11 Buloba-Bujuko'!H35,'31.10 Buloba-Bujuko-24h'!H35,'2.11 Buloba-Bujuko-24HR'!H35,'4.11.BULOBA-BUJUKO'!H35)</f>
        <v>0.42857142857142855</v>
      </c>
      <c r="I35" s="49">
        <f>AVERAGE('29.10 Buloba-Bujuko'!I35,'30.10 Buloba-Bujuko'!I35,'1.11 Buloba-Bujuko'!I35,'3.11 Buloba-Bujuko'!I35,'31.10 Buloba-Bujuko-24h'!I35,'2.11 Buloba-Bujuko-24HR'!I35,'4.11.BULOBA-BUJUKO'!I35)</f>
        <v>6.5714285714285712</v>
      </c>
      <c r="J35" s="49">
        <f>AVERAGE('29.10 Buloba-Bujuko'!J35,'30.10 Buloba-Bujuko'!J35,'1.11 Buloba-Bujuko'!J35,'3.11 Buloba-Bujuko'!J35,'31.10 Buloba-Bujuko-24h'!J35,'2.11 Buloba-Bujuko-24HR'!J35,'4.11.BULOBA-BUJUKO'!J35)</f>
        <v>1.4285714285714286</v>
      </c>
      <c r="K35" s="49">
        <f>AVERAGE('29.10 Buloba-Bujuko'!K35,'30.10 Buloba-Bujuko'!K35,'1.11 Buloba-Bujuko'!K35,'3.11 Buloba-Bujuko'!K35,'31.10 Buloba-Bujuko-24h'!K35,'2.11 Buloba-Bujuko-24HR'!K35,'4.11.BULOBA-BUJUKO'!K35)</f>
        <v>1.1428571428571428</v>
      </c>
      <c r="L35" s="49">
        <f>AVERAGE('29.10 Buloba-Bujuko'!L35,'30.10 Buloba-Bujuko'!L35,'1.11 Buloba-Bujuko'!L35,'3.11 Buloba-Bujuko'!L35,'31.10 Buloba-Bujuko-24h'!L35,'2.11 Buloba-Bujuko-24HR'!L35,'4.11.BULOBA-BUJUKO'!L35)</f>
        <v>0.14285714285714285</v>
      </c>
      <c r="M35" s="49">
        <f>AVERAGE('29.10 Buloba-Bujuko'!M35,'30.10 Buloba-Bujuko'!M35,'1.11 Buloba-Bujuko'!M35,'3.11 Buloba-Bujuko'!M35,'31.10 Buloba-Bujuko-24h'!M35,'2.11 Buloba-Bujuko-24HR'!M35,'4.11.BULOBA-BUJUKO'!M35)</f>
        <v>17</v>
      </c>
      <c r="N35" s="49">
        <f>AVERAGE('29.10 Buloba-Bujuko'!N35,'30.10 Buloba-Bujuko'!N35,'1.11 Buloba-Bujuko'!N35,'3.11 Buloba-Bujuko'!N35,'31.10 Buloba-Bujuko-24h'!N35,'2.11 Buloba-Bujuko-24HR'!N35,'4.11.BULOBA-BUJUKO'!N35)</f>
        <v>0</v>
      </c>
      <c r="O35" s="15">
        <f t="shared" si="0"/>
        <v>55.857142857142868</v>
      </c>
      <c r="P35" s="15">
        <f t="shared" si="1"/>
        <v>72.857142857142861</v>
      </c>
      <c r="R35" s="51" t="s">
        <v>91</v>
      </c>
      <c r="S35" s="52">
        <f t="shared" ref="S35:AF35" si="27">MAX(S13:S18)</f>
        <v>77.571428571428569</v>
      </c>
      <c r="T35" s="52">
        <f t="shared" si="27"/>
        <v>27.857142857142858</v>
      </c>
      <c r="U35" s="52">
        <f t="shared" si="27"/>
        <v>21.857142857142858</v>
      </c>
      <c r="V35" s="52">
        <f t="shared" si="27"/>
        <v>77</v>
      </c>
      <c r="W35" s="52">
        <f t="shared" si="27"/>
        <v>3.5714285714285716</v>
      </c>
      <c r="X35" s="52">
        <f t="shared" si="27"/>
        <v>3.4285714285714288</v>
      </c>
      <c r="Y35" s="52">
        <f t="shared" si="27"/>
        <v>32</v>
      </c>
      <c r="Z35" s="52">
        <f t="shared" si="27"/>
        <v>12.428571428571429</v>
      </c>
      <c r="AA35" s="52">
        <f t="shared" si="27"/>
        <v>8.2857142857142847</v>
      </c>
      <c r="AB35" s="52">
        <f t="shared" si="27"/>
        <v>3.8571428571428572</v>
      </c>
      <c r="AC35" s="52">
        <f t="shared" si="27"/>
        <v>67.142857142857139</v>
      </c>
      <c r="AD35" s="52">
        <f t="shared" si="27"/>
        <v>0.2857142857142857</v>
      </c>
      <c r="AE35" s="40">
        <f t="shared" si="27"/>
        <v>250.14285714285714</v>
      </c>
      <c r="AF35" s="40">
        <f t="shared" si="27"/>
        <v>312.85714285714283</v>
      </c>
    </row>
    <row r="36" spans="2:32" ht="23.1" customHeight="1" x14ac:dyDescent="0.25">
      <c r="B36" s="24" t="s">
        <v>63</v>
      </c>
      <c r="C36" s="49">
        <f>AVERAGE('29.10 Buloba-Bujuko'!C36,'30.10 Buloba-Bujuko'!C36,'1.11 Buloba-Bujuko'!C36,'3.11 Buloba-Bujuko'!C36,'31.10 Buloba-Bujuko-24h'!C36,'2.11 Buloba-Bujuko-24HR'!C36,'4.11.BULOBA-BUJUKO'!C36)</f>
        <v>14.571428571428571</v>
      </c>
      <c r="D36" s="49">
        <f>AVERAGE('29.10 Buloba-Bujuko'!D36,'30.10 Buloba-Bujuko'!D36,'1.11 Buloba-Bujuko'!D36,'3.11 Buloba-Bujuko'!D36,'31.10 Buloba-Bujuko-24h'!D36,'2.11 Buloba-Bujuko-24HR'!D36,'4.11.BULOBA-BUJUKO'!D36)</f>
        <v>4</v>
      </c>
      <c r="E36" s="49">
        <f>AVERAGE('29.10 Buloba-Bujuko'!E36,'30.10 Buloba-Bujuko'!E36,'1.11 Buloba-Bujuko'!E36,'3.11 Buloba-Bujuko'!E36,'31.10 Buloba-Bujuko-24h'!E36,'2.11 Buloba-Bujuko-24HR'!E36,'4.11.BULOBA-BUJUKO'!E36)</f>
        <v>3.8571428571428572</v>
      </c>
      <c r="F36" s="49">
        <f>AVERAGE('29.10 Buloba-Bujuko'!F36,'30.10 Buloba-Bujuko'!F36,'1.11 Buloba-Bujuko'!F36,'3.11 Buloba-Bujuko'!F36,'31.10 Buloba-Bujuko-24h'!F36,'2.11 Buloba-Bujuko-24HR'!F36,'4.11.BULOBA-BUJUKO'!F36)</f>
        <v>14.142857142857142</v>
      </c>
      <c r="G36" s="49">
        <f>AVERAGE('29.10 Buloba-Bujuko'!G36,'30.10 Buloba-Bujuko'!G36,'1.11 Buloba-Bujuko'!G36,'3.11 Buloba-Bujuko'!G36,'31.10 Buloba-Bujuko-24h'!G36,'2.11 Buloba-Bujuko-24HR'!G36,'4.11.BULOBA-BUJUKO'!G36)</f>
        <v>0.7142857142857143</v>
      </c>
      <c r="H36" s="49">
        <f>AVERAGE('29.10 Buloba-Bujuko'!H36,'30.10 Buloba-Bujuko'!H36,'1.11 Buloba-Bujuko'!H36,'3.11 Buloba-Bujuko'!H36,'31.10 Buloba-Bujuko-24h'!H36,'2.11 Buloba-Bujuko-24HR'!H36,'4.11.BULOBA-BUJUKO'!H36)</f>
        <v>0.5714285714285714</v>
      </c>
      <c r="I36" s="49">
        <f>AVERAGE('29.10 Buloba-Bujuko'!I36,'30.10 Buloba-Bujuko'!I36,'1.11 Buloba-Bujuko'!I36,'3.11 Buloba-Bujuko'!I36,'31.10 Buloba-Bujuko-24h'!I36,'2.11 Buloba-Bujuko-24HR'!I36,'4.11.BULOBA-BUJUKO'!I36)</f>
        <v>6.2857142857142856</v>
      </c>
      <c r="J36" s="49">
        <f>AVERAGE('29.10 Buloba-Bujuko'!J36,'30.10 Buloba-Bujuko'!J36,'1.11 Buloba-Bujuko'!J36,'3.11 Buloba-Bujuko'!J36,'31.10 Buloba-Bujuko-24h'!J36,'2.11 Buloba-Bujuko-24HR'!J36,'4.11.BULOBA-BUJUKO'!J36)</f>
        <v>2.4285714285714284</v>
      </c>
      <c r="K36" s="49">
        <f>AVERAGE('29.10 Buloba-Bujuko'!K36,'30.10 Buloba-Bujuko'!K36,'1.11 Buloba-Bujuko'!K36,'3.11 Buloba-Bujuko'!K36,'31.10 Buloba-Bujuko-24h'!K36,'2.11 Buloba-Bujuko-24HR'!K36,'4.11.BULOBA-BUJUKO'!K36)</f>
        <v>1.7142857142857142</v>
      </c>
      <c r="L36" s="49">
        <f>AVERAGE('29.10 Buloba-Bujuko'!L36,'30.10 Buloba-Bujuko'!L36,'1.11 Buloba-Bujuko'!L36,'3.11 Buloba-Bujuko'!L36,'31.10 Buloba-Bujuko-24h'!L36,'2.11 Buloba-Bujuko-24HR'!L36,'4.11.BULOBA-BUJUKO'!L36)</f>
        <v>0.2857142857142857</v>
      </c>
      <c r="M36" s="49">
        <f>AVERAGE('29.10 Buloba-Bujuko'!M36,'30.10 Buloba-Bujuko'!M36,'1.11 Buloba-Bujuko'!M36,'3.11 Buloba-Bujuko'!M36,'31.10 Buloba-Bujuko-24h'!M36,'2.11 Buloba-Bujuko-24HR'!M36,'4.11.BULOBA-BUJUKO'!M36)</f>
        <v>13.285714285714286</v>
      </c>
      <c r="N36" s="49">
        <f>AVERAGE('29.10 Buloba-Bujuko'!N36,'30.10 Buloba-Bujuko'!N36,'1.11 Buloba-Bujuko'!N36,'3.11 Buloba-Bujuko'!N36,'31.10 Buloba-Bujuko-24h'!N36,'2.11 Buloba-Bujuko-24HR'!N36,'4.11.BULOBA-BUJUKO'!N36)</f>
        <v>0.14285714285714285</v>
      </c>
      <c r="O36" s="15">
        <f t="shared" si="0"/>
        <v>48.714285714285715</v>
      </c>
      <c r="P36" s="15">
        <f t="shared" si="1"/>
        <v>62</v>
      </c>
      <c r="R36" s="51" t="s">
        <v>92</v>
      </c>
      <c r="S36" s="52">
        <f t="shared" ref="S36:AF36" si="28">MAX(S19:S21)</f>
        <v>66.142857142857139</v>
      </c>
      <c r="T36" s="52">
        <f t="shared" si="28"/>
        <v>23</v>
      </c>
      <c r="U36" s="52">
        <f t="shared" si="28"/>
        <v>16.714285714285715</v>
      </c>
      <c r="V36" s="52">
        <f t="shared" si="28"/>
        <v>60</v>
      </c>
      <c r="W36" s="52">
        <f t="shared" si="28"/>
        <v>1.7142857142857144</v>
      </c>
      <c r="X36" s="52">
        <f t="shared" si="28"/>
        <v>1.8571428571428572</v>
      </c>
      <c r="Y36" s="52">
        <f t="shared" si="28"/>
        <v>28.428571428571427</v>
      </c>
      <c r="Z36" s="52">
        <f t="shared" si="28"/>
        <v>10.428571428571427</v>
      </c>
      <c r="AA36" s="52">
        <f t="shared" si="28"/>
        <v>4.2857142857142856</v>
      </c>
      <c r="AB36" s="52">
        <f t="shared" si="28"/>
        <v>3.714285714285714</v>
      </c>
      <c r="AC36" s="52">
        <f t="shared" si="28"/>
        <v>50.452380952380949</v>
      </c>
      <c r="AD36" s="52">
        <f t="shared" si="28"/>
        <v>0.42857142857142855</v>
      </c>
      <c r="AE36" s="40">
        <f t="shared" si="28"/>
        <v>212.14285714285717</v>
      </c>
      <c r="AF36" s="40">
        <f t="shared" si="28"/>
        <v>262.42857142857144</v>
      </c>
    </row>
    <row r="37" spans="2:32" ht="23.1" customHeight="1" x14ac:dyDescent="0.25">
      <c r="B37" s="23" t="s">
        <v>64</v>
      </c>
      <c r="C37" s="49">
        <f>AVERAGE('29.10 Buloba-Bujuko'!C37,'30.10 Buloba-Bujuko'!C37,'1.11 Buloba-Bujuko'!C37,'3.11 Buloba-Bujuko'!C37,'31.10 Buloba-Bujuko-24h'!C37,'2.11 Buloba-Bujuko-24HR'!C37,'4.11.BULOBA-BUJUKO'!C37)</f>
        <v>20.857142857142858</v>
      </c>
      <c r="D37" s="49">
        <f>AVERAGE('29.10 Buloba-Bujuko'!D37,'30.10 Buloba-Bujuko'!D37,'1.11 Buloba-Bujuko'!D37,'3.11 Buloba-Bujuko'!D37,'31.10 Buloba-Bujuko-24h'!D37,'2.11 Buloba-Bujuko-24HR'!D37,'4.11.BULOBA-BUJUKO'!D37)</f>
        <v>6.5714285714285712</v>
      </c>
      <c r="E37" s="49">
        <f>AVERAGE('29.10 Buloba-Bujuko'!E37,'30.10 Buloba-Bujuko'!E37,'1.11 Buloba-Bujuko'!E37,'3.11 Buloba-Bujuko'!E37,'31.10 Buloba-Bujuko-24h'!E37,'2.11 Buloba-Bujuko-24HR'!E37,'4.11.BULOBA-BUJUKO'!E37)</f>
        <v>5.1428571428571432</v>
      </c>
      <c r="F37" s="49">
        <f>AVERAGE('29.10 Buloba-Bujuko'!F37,'30.10 Buloba-Bujuko'!F37,'1.11 Buloba-Bujuko'!F37,'3.11 Buloba-Bujuko'!F37,'31.10 Buloba-Bujuko-24h'!F37,'2.11 Buloba-Bujuko-24HR'!F37,'4.11.BULOBA-BUJUKO'!F37)</f>
        <v>18.714285714285715</v>
      </c>
      <c r="G37" s="49">
        <f>AVERAGE('29.10 Buloba-Bujuko'!G37,'30.10 Buloba-Bujuko'!G37,'1.11 Buloba-Bujuko'!G37,'3.11 Buloba-Bujuko'!G37,'31.10 Buloba-Bujuko-24h'!G37,'2.11 Buloba-Bujuko-24HR'!G37,'4.11.BULOBA-BUJUKO'!G37)</f>
        <v>0.42857142857142855</v>
      </c>
      <c r="H37" s="49">
        <f>AVERAGE('29.10 Buloba-Bujuko'!H37,'30.10 Buloba-Bujuko'!H37,'1.11 Buloba-Bujuko'!H37,'3.11 Buloba-Bujuko'!H37,'31.10 Buloba-Bujuko-24h'!H37,'2.11 Buloba-Bujuko-24HR'!H37,'4.11.BULOBA-BUJUKO'!H37)</f>
        <v>0.42857142857142855</v>
      </c>
      <c r="I37" s="49">
        <f>AVERAGE('29.10 Buloba-Bujuko'!I37,'30.10 Buloba-Bujuko'!I37,'1.11 Buloba-Bujuko'!I37,'3.11 Buloba-Bujuko'!I37,'31.10 Buloba-Bujuko-24h'!I37,'2.11 Buloba-Bujuko-24HR'!I37,'4.11.BULOBA-BUJUKO'!I37)</f>
        <v>7.8571428571428568</v>
      </c>
      <c r="J37" s="49">
        <f>AVERAGE('29.10 Buloba-Bujuko'!J37,'30.10 Buloba-Bujuko'!J37,'1.11 Buloba-Bujuko'!J37,'3.11 Buloba-Bujuko'!J37,'31.10 Buloba-Bujuko-24h'!J37,'2.11 Buloba-Bujuko-24HR'!J37,'4.11.BULOBA-BUJUKO'!J37)</f>
        <v>2.2857142857142856</v>
      </c>
      <c r="K37" s="49">
        <f>AVERAGE('29.10 Buloba-Bujuko'!K37,'30.10 Buloba-Bujuko'!K37,'1.11 Buloba-Bujuko'!K37,'3.11 Buloba-Bujuko'!K37,'31.10 Buloba-Bujuko-24h'!K37,'2.11 Buloba-Bujuko-24HR'!K37,'4.11.BULOBA-BUJUKO'!K37)</f>
        <v>0.8571428571428571</v>
      </c>
      <c r="L37" s="49">
        <f>AVERAGE('29.10 Buloba-Bujuko'!L37,'30.10 Buloba-Bujuko'!L37,'1.11 Buloba-Bujuko'!L37,'3.11 Buloba-Bujuko'!L37,'31.10 Buloba-Bujuko-24h'!L37,'2.11 Buloba-Bujuko-24HR'!L37,'4.11.BULOBA-BUJUKO'!L37)</f>
        <v>1.4285714285714286</v>
      </c>
      <c r="M37" s="49">
        <f>AVERAGE('29.10 Buloba-Bujuko'!M37,'30.10 Buloba-Bujuko'!M37,'1.11 Buloba-Bujuko'!M37,'3.11 Buloba-Bujuko'!M37,'31.10 Buloba-Bujuko-24h'!M37,'2.11 Buloba-Bujuko-24HR'!M37,'4.11.BULOBA-BUJUKO'!M37)</f>
        <v>14.571428571428571</v>
      </c>
      <c r="N37" s="49">
        <f>AVERAGE('29.10 Buloba-Bujuko'!N37,'30.10 Buloba-Bujuko'!N37,'1.11 Buloba-Bujuko'!N37,'3.11 Buloba-Bujuko'!N37,'31.10 Buloba-Bujuko-24h'!N37,'2.11 Buloba-Bujuko-24HR'!N37,'4.11.BULOBA-BUJUKO'!N37)</f>
        <v>0.14285714285714285</v>
      </c>
      <c r="O37" s="15">
        <f t="shared" si="0"/>
        <v>64.714285714285708</v>
      </c>
      <c r="P37" s="15">
        <f t="shared" si="1"/>
        <v>79.285714285714278</v>
      </c>
      <c r="R37" s="37" t="s">
        <v>85</v>
      </c>
      <c r="S37" s="53">
        <f t="shared" ref="S37:AF37" si="29">SUM(S10:S12)</f>
        <v>161.28571428571428</v>
      </c>
      <c r="T37" s="54">
        <f t="shared" si="29"/>
        <v>50.142857142857139</v>
      </c>
      <c r="U37" s="54">
        <f t="shared" si="29"/>
        <v>40.428571428571431</v>
      </c>
      <c r="V37" s="54">
        <f t="shared" si="29"/>
        <v>144.71428571428569</v>
      </c>
      <c r="W37" s="54">
        <f t="shared" si="29"/>
        <v>3.5714285714285712</v>
      </c>
      <c r="X37" s="54">
        <f t="shared" si="29"/>
        <v>3.8571428571428568</v>
      </c>
      <c r="Y37" s="54">
        <f t="shared" si="29"/>
        <v>60.571428571428569</v>
      </c>
      <c r="Z37" s="54">
        <f t="shared" si="29"/>
        <v>25.428571428571427</v>
      </c>
      <c r="AA37" s="54">
        <f t="shared" si="29"/>
        <v>9.7142857142857153</v>
      </c>
      <c r="AB37" s="54">
        <f t="shared" si="29"/>
        <v>5.2857142857142856</v>
      </c>
      <c r="AC37" s="54">
        <f t="shared" si="29"/>
        <v>156.42857142857144</v>
      </c>
      <c r="AD37" s="54">
        <f t="shared" si="29"/>
        <v>0</v>
      </c>
      <c r="AE37" s="55">
        <f t="shared" si="29"/>
        <v>504.99999999999994</v>
      </c>
      <c r="AF37" s="55">
        <f t="shared" si="29"/>
        <v>661.42857142857144</v>
      </c>
    </row>
    <row r="38" spans="2:32" ht="23.1" customHeight="1" x14ac:dyDescent="0.25">
      <c r="B38" s="24" t="s">
        <v>65</v>
      </c>
      <c r="C38" s="49">
        <f>AVERAGE('29.10 Buloba-Bujuko'!C38,'30.10 Buloba-Bujuko'!C38,'1.11 Buloba-Bujuko'!C38,'3.11 Buloba-Bujuko'!C38,'31.10 Buloba-Bujuko-24h'!C38,'2.11 Buloba-Bujuko-24HR'!C38,'4.11.BULOBA-BUJUKO'!C38)</f>
        <v>20</v>
      </c>
      <c r="D38" s="49">
        <f>AVERAGE('29.10 Buloba-Bujuko'!D38,'30.10 Buloba-Bujuko'!D38,'1.11 Buloba-Bujuko'!D38,'3.11 Buloba-Bujuko'!D38,'31.10 Buloba-Bujuko-24h'!D38,'2.11 Buloba-Bujuko-24HR'!D38,'4.11.BULOBA-BUJUKO'!D38)</f>
        <v>7.1428571428571432</v>
      </c>
      <c r="E38" s="49">
        <f>AVERAGE('29.10 Buloba-Bujuko'!E38,'30.10 Buloba-Bujuko'!E38,'1.11 Buloba-Bujuko'!E38,'3.11 Buloba-Bujuko'!E38,'31.10 Buloba-Bujuko-24h'!E38,'2.11 Buloba-Bujuko-24HR'!E38,'4.11.BULOBA-BUJUKO'!E38)</f>
        <v>5.5714285714285712</v>
      </c>
      <c r="F38" s="49">
        <f>AVERAGE('29.10 Buloba-Bujuko'!F38,'30.10 Buloba-Bujuko'!F38,'1.11 Buloba-Bujuko'!F38,'3.11 Buloba-Bujuko'!F38,'31.10 Buloba-Bujuko-24h'!F38,'2.11 Buloba-Bujuko-24HR'!F38,'4.11.BULOBA-BUJUKO'!F38)</f>
        <v>19.428571428571427</v>
      </c>
      <c r="G38" s="49">
        <f>AVERAGE('29.10 Buloba-Bujuko'!G38,'30.10 Buloba-Bujuko'!G38,'1.11 Buloba-Bujuko'!G38,'3.11 Buloba-Bujuko'!G38,'31.10 Buloba-Bujuko-24h'!G38,'2.11 Buloba-Bujuko-24HR'!G38,'4.11.BULOBA-BUJUKO'!G38)</f>
        <v>1</v>
      </c>
      <c r="H38" s="49">
        <f>AVERAGE('29.10 Buloba-Bujuko'!H38,'30.10 Buloba-Bujuko'!H38,'1.11 Buloba-Bujuko'!H38,'3.11 Buloba-Bujuko'!H38,'31.10 Buloba-Bujuko-24h'!H38,'2.11 Buloba-Bujuko-24HR'!H38,'4.11.BULOBA-BUJUKO'!H38)</f>
        <v>0.42857142857142855</v>
      </c>
      <c r="I38" s="49">
        <f>AVERAGE('29.10 Buloba-Bujuko'!I38,'30.10 Buloba-Bujuko'!I38,'1.11 Buloba-Bujuko'!I38,'3.11 Buloba-Bujuko'!I38,'31.10 Buloba-Bujuko-24h'!I38,'2.11 Buloba-Bujuko-24HR'!I38,'4.11.BULOBA-BUJUKO'!I38)</f>
        <v>8.1428571428571423</v>
      </c>
      <c r="J38" s="49">
        <f>AVERAGE('29.10 Buloba-Bujuko'!J38,'30.10 Buloba-Bujuko'!J38,'1.11 Buloba-Bujuko'!J38,'3.11 Buloba-Bujuko'!J38,'31.10 Buloba-Bujuko-24h'!J38,'2.11 Buloba-Bujuko-24HR'!J38,'4.11.BULOBA-BUJUKO'!J38)</f>
        <v>3.4285714285714284</v>
      </c>
      <c r="K38" s="49">
        <f>AVERAGE('29.10 Buloba-Bujuko'!K38,'30.10 Buloba-Bujuko'!K38,'1.11 Buloba-Bujuko'!K38,'3.11 Buloba-Bujuko'!K38,'31.10 Buloba-Bujuko-24h'!K38,'2.11 Buloba-Bujuko-24HR'!K38,'4.11.BULOBA-BUJUKO'!K38)</f>
        <v>2.1428571428571428</v>
      </c>
      <c r="L38" s="49">
        <f>AVERAGE('29.10 Buloba-Bujuko'!L38,'30.10 Buloba-Bujuko'!L38,'1.11 Buloba-Bujuko'!L38,'3.11 Buloba-Bujuko'!L38,'31.10 Buloba-Bujuko-24h'!L38,'2.11 Buloba-Bujuko-24HR'!L38,'4.11.BULOBA-BUJUKO'!L38)</f>
        <v>0.5714285714285714</v>
      </c>
      <c r="M38" s="49">
        <f>AVERAGE('29.10 Buloba-Bujuko'!M38,'30.10 Buloba-Bujuko'!M38,'1.11 Buloba-Bujuko'!M38,'3.11 Buloba-Bujuko'!M38,'31.10 Buloba-Bujuko-24h'!M38,'2.11 Buloba-Bujuko-24HR'!M38,'4.11.BULOBA-BUJUKO'!M38)</f>
        <v>18.142857142857142</v>
      </c>
      <c r="N38" s="49">
        <f>AVERAGE('29.10 Buloba-Bujuko'!N38,'30.10 Buloba-Bujuko'!N38,'1.11 Buloba-Bujuko'!N38,'3.11 Buloba-Bujuko'!N38,'31.10 Buloba-Bujuko-24h'!N38,'2.11 Buloba-Bujuko-24HR'!N38,'4.11.BULOBA-BUJUKO'!N38)</f>
        <v>0</v>
      </c>
      <c r="O38" s="15">
        <f t="shared" si="0"/>
        <v>67.857142857142847</v>
      </c>
      <c r="P38" s="15">
        <f t="shared" si="1"/>
        <v>85.999999999999986</v>
      </c>
      <c r="R38" s="28" t="s">
        <v>86</v>
      </c>
      <c r="S38" s="54">
        <f t="shared" ref="S38:AF38" si="30">SUM(S13:S18)</f>
        <v>427.42857142857144</v>
      </c>
      <c r="T38" s="54">
        <f t="shared" si="30"/>
        <v>137.28571428571428</v>
      </c>
      <c r="U38" s="54">
        <f t="shared" si="30"/>
        <v>106.57142857142858</v>
      </c>
      <c r="V38" s="54">
        <f t="shared" si="30"/>
        <v>410.14285714285711</v>
      </c>
      <c r="W38" s="54">
        <f t="shared" si="30"/>
        <v>12.428571428571427</v>
      </c>
      <c r="X38" s="54">
        <f t="shared" si="30"/>
        <v>12.571428571428571</v>
      </c>
      <c r="Y38" s="54">
        <f t="shared" si="30"/>
        <v>178.14285714285714</v>
      </c>
      <c r="Z38" s="54">
        <f t="shared" si="30"/>
        <v>61.857142857142861</v>
      </c>
      <c r="AA38" s="54">
        <f t="shared" si="30"/>
        <v>40</v>
      </c>
      <c r="AB38" s="54">
        <f t="shared" si="30"/>
        <v>17.428571428571431</v>
      </c>
      <c r="AC38" s="54">
        <f t="shared" si="30"/>
        <v>377.71428571428572</v>
      </c>
      <c r="AD38" s="54">
        <f t="shared" si="30"/>
        <v>0.5714285714285714</v>
      </c>
      <c r="AE38" s="55">
        <f t="shared" si="30"/>
        <v>1404.4285714285713</v>
      </c>
      <c r="AF38" s="55">
        <f t="shared" si="30"/>
        <v>1782.1428571428569</v>
      </c>
    </row>
    <row r="39" spans="2:32" ht="23.1" customHeight="1" x14ac:dyDescent="0.25">
      <c r="B39" s="24" t="s">
        <v>66</v>
      </c>
      <c r="C39" s="49">
        <f>AVERAGE('29.10 Buloba-Bujuko'!C39,'30.10 Buloba-Bujuko'!C39,'1.11 Buloba-Bujuko'!C39,'3.11 Buloba-Bujuko'!C39,'31.10 Buloba-Bujuko-24h'!C39,'2.11 Buloba-Bujuko-24HR'!C39,'4.11.BULOBA-BUJUKO'!C39)</f>
        <v>12.142857142857142</v>
      </c>
      <c r="D39" s="49">
        <f>AVERAGE('29.10 Buloba-Bujuko'!D39,'30.10 Buloba-Bujuko'!D39,'1.11 Buloba-Bujuko'!D39,'3.11 Buloba-Bujuko'!D39,'31.10 Buloba-Bujuko-24h'!D39,'2.11 Buloba-Bujuko-24HR'!D39,'4.11.BULOBA-BUJUKO'!D39)</f>
        <v>6.1428571428571432</v>
      </c>
      <c r="E39" s="49">
        <f>AVERAGE('29.10 Buloba-Bujuko'!E39,'30.10 Buloba-Bujuko'!E39,'1.11 Buloba-Bujuko'!E39,'3.11 Buloba-Bujuko'!E39,'31.10 Buloba-Bujuko-24h'!E39,'2.11 Buloba-Bujuko-24HR'!E39,'4.11.BULOBA-BUJUKO'!E39)</f>
        <v>4.4285714285714288</v>
      </c>
      <c r="F39" s="49">
        <f>AVERAGE('29.10 Buloba-Bujuko'!F39,'30.10 Buloba-Bujuko'!F39,'1.11 Buloba-Bujuko'!F39,'3.11 Buloba-Bujuko'!F39,'31.10 Buloba-Bujuko-24h'!F39,'2.11 Buloba-Bujuko-24HR'!F39,'4.11.BULOBA-BUJUKO'!F39)</f>
        <v>15.714285714285714</v>
      </c>
      <c r="G39" s="49">
        <f>AVERAGE('29.10 Buloba-Bujuko'!G39,'30.10 Buloba-Bujuko'!G39,'1.11 Buloba-Bujuko'!G39,'3.11 Buloba-Bujuko'!G39,'31.10 Buloba-Bujuko-24h'!G39,'2.11 Buloba-Bujuko-24HR'!G39,'4.11.BULOBA-BUJUKO'!G39)</f>
        <v>0.8571428571428571</v>
      </c>
      <c r="H39" s="49">
        <f>AVERAGE('29.10 Buloba-Bujuko'!H39,'30.10 Buloba-Bujuko'!H39,'1.11 Buloba-Bujuko'!H39,'3.11 Buloba-Bujuko'!H39,'31.10 Buloba-Bujuko-24h'!H39,'2.11 Buloba-Bujuko-24HR'!H39,'4.11.BULOBA-BUJUKO'!H39)</f>
        <v>0.7142857142857143</v>
      </c>
      <c r="I39" s="49">
        <f>AVERAGE('29.10 Buloba-Bujuko'!I39,'30.10 Buloba-Bujuko'!I39,'1.11 Buloba-Bujuko'!I39,'3.11 Buloba-Bujuko'!I39,'31.10 Buloba-Bujuko-24h'!I39,'2.11 Buloba-Bujuko-24HR'!I39,'4.11.BULOBA-BUJUKO'!I39)</f>
        <v>7.4285714285714288</v>
      </c>
      <c r="J39" s="49">
        <f>AVERAGE('29.10 Buloba-Bujuko'!J39,'30.10 Buloba-Bujuko'!J39,'1.11 Buloba-Bujuko'!J39,'3.11 Buloba-Bujuko'!J39,'31.10 Buloba-Bujuko-24h'!J39,'2.11 Buloba-Bujuko-24HR'!J39,'4.11.BULOBA-BUJUKO'!J39)</f>
        <v>1.7142857142857142</v>
      </c>
      <c r="K39" s="49">
        <f>AVERAGE('29.10 Buloba-Bujuko'!K39,'30.10 Buloba-Bujuko'!K39,'1.11 Buloba-Bujuko'!K39,'3.11 Buloba-Bujuko'!K39,'31.10 Buloba-Bujuko-24h'!K39,'2.11 Buloba-Bujuko-24HR'!K39,'4.11.BULOBA-BUJUKO'!K39)</f>
        <v>2.1428571428571428</v>
      </c>
      <c r="L39" s="49">
        <f>AVERAGE('29.10 Buloba-Bujuko'!L39,'30.10 Buloba-Bujuko'!L39,'1.11 Buloba-Bujuko'!L39,'3.11 Buloba-Bujuko'!L39,'31.10 Buloba-Bujuko-24h'!L39,'2.11 Buloba-Bujuko-24HR'!L39,'4.11.BULOBA-BUJUKO'!L39)</f>
        <v>1</v>
      </c>
      <c r="M39" s="49">
        <f>AVERAGE('29.10 Buloba-Bujuko'!M39,'30.10 Buloba-Bujuko'!M39,'1.11 Buloba-Bujuko'!M39,'3.11 Buloba-Bujuko'!M39,'31.10 Buloba-Bujuko-24h'!M39,'2.11 Buloba-Bujuko-24HR'!M39,'4.11.BULOBA-BUJUKO'!M39)</f>
        <v>12.142857142857142</v>
      </c>
      <c r="N39" s="49">
        <f>AVERAGE('29.10 Buloba-Bujuko'!N39,'30.10 Buloba-Bujuko'!N39,'1.11 Buloba-Bujuko'!N39,'3.11 Buloba-Bujuko'!N39,'31.10 Buloba-Bujuko-24h'!N39,'2.11 Buloba-Bujuko-24HR'!N39,'4.11.BULOBA-BUJUKO'!N39)</f>
        <v>0</v>
      </c>
      <c r="O39" s="15">
        <f t="shared" si="0"/>
        <v>52.285714285714292</v>
      </c>
      <c r="P39" s="15">
        <f t="shared" si="1"/>
        <v>64.428571428571431</v>
      </c>
      <c r="R39" s="29" t="s">
        <v>87</v>
      </c>
      <c r="S39" s="54">
        <f t="shared" ref="S39:AF39" si="31">SUM(S19:S21)</f>
        <v>188.71428571428572</v>
      </c>
      <c r="T39" s="54">
        <f t="shared" si="31"/>
        <v>60</v>
      </c>
      <c r="U39" s="54">
        <f t="shared" si="31"/>
        <v>47.714285714285715</v>
      </c>
      <c r="V39" s="54">
        <f t="shared" si="31"/>
        <v>176.57142857142856</v>
      </c>
      <c r="W39" s="54">
        <f t="shared" si="31"/>
        <v>3.5714285714285712</v>
      </c>
      <c r="X39" s="54">
        <f t="shared" si="31"/>
        <v>5</v>
      </c>
      <c r="Y39" s="54">
        <f t="shared" si="31"/>
        <v>81.285714285714278</v>
      </c>
      <c r="Z39" s="54">
        <f t="shared" si="31"/>
        <v>29.571428571428569</v>
      </c>
      <c r="AA39" s="54">
        <f t="shared" si="31"/>
        <v>10</v>
      </c>
      <c r="AB39" s="54">
        <f t="shared" si="31"/>
        <v>8.1428571428571423</v>
      </c>
      <c r="AC39" s="54">
        <f t="shared" si="31"/>
        <v>148.16666666666669</v>
      </c>
      <c r="AD39" s="54">
        <f t="shared" si="31"/>
        <v>1</v>
      </c>
      <c r="AE39" s="55">
        <f t="shared" si="31"/>
        <v>611.57142857142856</v>
      </c>
      <c r="AF39" s="55">
        <f t="shared" si="31"/>
        <v>759.73809523809518</v>
      </c>
    </row>
    <row r="40" spans="2:32" ht="23.1" customHeight="1" x14ac:dyDescent="0.25">
      <c r="B40" s="24" t="s">
        <v>67</v>
      </c>
      <c r="C40" s="49">
        <f>AVERAGE('29.10 Buloba-Bujuko'!C40,'30.10 Buloba-Bujuko'!C40,'1.11 Buloba-Bujuko'!C40,'3.11 Buloba-Bujuko'!C40,'31.10 Buloba-Bujuko-24h'!C40,'2.11 Buloba-Bujuko-24HR'!C40,'4.11.BULOBA-BUJUKO'!C40)</f>
        <v>19.714285714285715</v>
      </c>
      <c r="D40" s="49">
        <f>AVERAGE('29.10 Buloba-Bujuko'!D40,'30.10 Buloba-Bujuko'!D40,'1.11 Buloba-Bujuko'!D40,'3.11 Buloba-Bujuko'!D40,'31.10 Buloba-Bujuko-24h'!D40,'2.11 Buloba-Bujuko-24HR'!D40,'4.11.BULOBA-BUJUKO'!D40)</f>
        <v>5</v>
      </c>
      <c r="E40" s="49">
        <f>AVERAGE('29.10 Buloba-Bujuko'!E40,'30.10 Buloba-Bujuko'!E40,'1.11 Buloba-Bujuko'!E40,'3.11 Buloba-Bujuko'!E40,'31.10 Buloba-Bujuko-24h'!E40,'2.11 Buloba-Bujuko-24HR'!E40,'4.11.BULOBA-BUJUKO'!E40)</f>
        <v>5.5714285714285712</v>
      </c>
      <c r="F40" s="49">
        <f>AVERAGE('29.10 Buloba-Bujuko'!F40,'30.10 Buloba-Bujuko'!F40,'1.11 Buloba-Bujuko'!F40,'3.11 Buloba-Bujuko'!F40,'31.10 Buloba-Bujuko-24h'!F40,'2.11 Buloba-Bujuko-24HR'!F40,'4.11.BULOBA-BUJUKO'!F40)</f>
        <v>21</v>
      </c>
      <c r="G40" s="49">
        <f>AVERAGE('29.10 Buloba-Bujuko'!G40,'30.10 Buloba-Bujuko'!G40,'1.11 Buloba-Bujuko'!G40,'3.11 Buloba-Bujuko'!G40,'31.10 Buloba-Bujuko-24h'!G40,'2.11 Buloba-Bujuko-24HR'!G40,'4.11.BULOBA-BUJUKO'!G40)</f>
        <v>0.42857142857142855</v>
      </c>
      <c r="H40" s="49">
        <f>AVERAGE('29.10 Buloba-Bujuko'!H40,'30.10 Buloba-Bujuko'!H40,'1.11 Buloba-Bujuko'!H40,'3.11 Buloba-Bujuko'!H40,'31.10 Buloba-Bujuko-24h'!H40,'2.11 Buloba-Bujuko-24HR'!H40,'4.11.BULOBA-BUJUKO'!H40)</f>
        <v>0.2857142857142857</v>
      </c>
      <c r="I40" s="49">
        <f>AVERAGE('29.10 Buloba-Bujuko'!I40,'30.10 Buloba-Bujuko'!I40,'1.11 Buloba-Bujuko'!I40,'3.11 Buloba-Bujuko'!I40,'31.10 Buloba-Bujuko-24h'!I40,'2.11 Buloba-Bujuko-24HR'!I40,'4.11.BULOBA-BUJUKO'!I40)</f>
        <v>7</v>
      </c>
      <c r="J40" s="49">
        <f>AVERAGE('29.10 Buloba-Bujuko'!J40,'30.10 Buloba-Bujuko'!J40,'1.11 Buloba-Bujuko'!J40,'3.11 Buloba-Bujuko'!J40,'31.10 Buloba-Bujuko-24h'!J40,'2.11 Buloba-Bujuko-24HR'!J40,'4.11.BULOBA-BUJUKO'!J40)</f>
        <v>2.1428571428571428</v>
      </c>
      <c r="K40" s="49">
        <f>AVERAGE('29.10 Buloba-Bujuko'!K40,'30.10 Buloba-Bujuko'!K40,'1.11 Buloba-Bujuko'!K40,'3.11 Buloba-Bujuko'!K40,'31.10 Buloba-Bujuko-24h'!K40,'2.11 Buloba-Bujuko-24HR'!K40,'4.11.BULOBA-BUJUKO'!K40)</f>
        <v>1.5714285714285714</v>
      </c>
      <c r="L40" s="49">
        <f>AVERAGE('29.10 Buloba-Bujuko'!L40,'30.10 Buloba-Bujuko'!L40,'1.11 Buloba-Bujuko'!L40,'3.11 Buloba-Bujuko'!L40,'31.10 Buloba-Bujuko-24h'!L40,'2.11 Buloba-Bujuko-24HR'!L40,'4.11.BULOBA-BUJUKO'!L40)</f>
        <v>1.2857142857142858</v>
      </c>
      <c r="M40" s="49">
        <f>AVERAGE('29.10 Buloba-Bujuko'!M40,'30.10 Buloba-Bujuko'!M40,'1.11 Buloba-Bujuko'!M40,'3.11 Buloba-Bujuko'!M40,'31.10 Buloba-Bujuko-24h'!M40,'2.11 Buloba-Bujuko-24HR'!M40,'4.11.BULOBA-BUJUKO'!M40)</f>
        <v>12.714285714285714</v>
      </c>
      <c r="N40" s="49">
        <f>AVERAGE('29.10 Buloba-Bujuko'!N40,'30.10 Buloba-Bujuko'!N40,'1.11 Buloba-Bujuko'!N40,'3.11 Buloba-Bujuko'!N40,'31.10 Buloba-Bujuko-24h'!N40,'2.11 Buloba-Bujuko-24HR'!N40,'4.11.BULOBA-BUJUKO'!N40)</f>
        <v>0</v>
      </c>
      <c r="O40" s="15">
        <f t="shared" si="0"/>
        <v>64</v>
      </c>
      <c r="P40" s="15">
        <f t="shared" si="1"/>
        <v>76.714285714285708</v>
      </c>
      <c r="R40" s="5" t="s">
        <v>17</v>
      </c>
      <c r="S40" s="54">
        <f t="shared" ref="S40:AF40" si="32">SUM(S10:S21)</f>
        <v>777.42857142857133</v>
      </c>
      <c r="T40" s="54">
        <f t="shared" si="32"/>
        <v>247.42857142857144</v>
      </c>
      <c r="U40" s="54">
        <f t="shared" si="32"/>
        <v>194.71428571428572</v>
      </c>
      <c r="V40" s="54">
        <f t="shared" si="32"/>
        <v>731.42857142857144</v>
      </c>
      <c r="W40" s="54">
        <f t="shared" si="32"/>
        <v>19.571428571428573</v>
      </c>
      <c r="X40" s="54">
        <f t="shared" si="32"/>
        <v>21.428571428571427</v>
      </c>
      <c r="Y40" s="54">
        <f t="shared" si="32"/>
        <v>320.00000000000006</v>
      </c>
      <c r="Z40" s="54">
        <f t="shared" si="32"/>
        <v>116.85714285714286</v>
      </c>
      <c r="AA40" s="54">
        <f t="shared" si="32"/>
        <v>59.714285714285715</v>
      </c>
      <c r="AB40" s="54">
        <f t="shared" si="32"/>
        <v>30.857142857142858</v>
      </c>
      <c r="AC40" s="54">
        <f t="shared" si="32"/>
        <v>682.30952380952385</v>
      </c>
      <c r="AD40" s="54">
        <f t="shared" si="32"/>
        <v>1.5714285714285714</v>
      </c>
      <c r="AE40" s="55">
        <f t="shared" si="32"/>
        <v>2520.9999999999995</v>
      </c>
      <c r="AF40" s="55">
        <f t="shared" si="32"/>
        <v>3203.3095238095239</v>
      </c>
    </row>
    <row r="41" spans="2:32" ht="23.1" customHeight="1" x14ac:dyDescent="0.25">
      <c r="B41" s="23" t="s">
        <v>68</v>
      </c>
      <c r="C41" s="49">
        <f>AVERAGE('29.10 Buloba-Bujuko'!C41,'30.10 Buloba-Bujuko'!C41,'1.11 Buloba-Bujuko'!C41,'3.11 Buloba-Bujuko'!C41,'31.10 Buloba-Bujuko-24h'!C41,'2.11 Buloba-Bujuko-24HR'!C41,'4.11.BULOBA-BUJUKO'!C41)</f>
        <v>17</v>
      </c>
      <c r="D41" s="49">
        <f>AVERAGE('29.10 Buloba-Bujuko'!D41,'30.10 Buloba-Bujuko'!D41,'1.11 Buloba-Bujuko'!D41,'3.11 Buloba-Bujuko'!D41,'31.10 Buloba-Bujuko-24h'!D41,'2.11 Buloba-Bujuko-24HR'!D41,'4.11.BULOBA-BUJUKO'!D41)</f>
        <v>5.1428571428571432</v>
      </c>
      <c r="E41" s="49">
        <f>AVERAGE('29.10 Buloba-Bujuko'!E41,'30.10 Buloba-Bujuko'!E41,'1.11 Buloba-Bujuko'!E41,'3.11 Buloba-Bujuko'!E41,'31.10 Buloba-Bujuko-24h'!E41,'2.11 Buloba-Bujuko-24HR'!E41,'4.11.BULOBA-BUJUKO'!E41)</f>
        <v>6.2857142857142856</v>
      </c>
      <c r="F41" s="49">
        <f>AVERAGE('29.10 Buloba-Bujuko'!F41,'30.10 Buloba-Bujuko'!F41,'1.11 Buloba-Bujuko'!F41,'3.11 Buloba-Bujuko'!F41,'31.10 Buloba-Bujuko-24h'!F41,'2.11 Buloba-Bujuko-24HR'!F41,'4.11.BULOBA-BUJUKO'!F41)</f>
        <v>20.857142857142858</v>
      </c>
      <c r="G41" s="49">
        <f>AVERAGE('29.10 Buloba-Bujuko'!G41,'30.10 Buloba-Bujuko'!G41,'1.11 Buloba-Bujuko'!G41,'3.11 Buloba-Bujuko'!G41,'31.10 Buloba-Bujuko-24h'!G41,'2.11 Buloba-Bujuko-24HR'!G41,'4.11.BULOBA-BUJUKO'!G41)</f>
        <v>0</v>
      </c>
      <c r="H41" s="49">
        <f>AVERAGE('29.10 Buloba-Bujuko'!H41,'30.10 Buloba-Bujuko'!H41,'1.11 Buloba-Bujuko'!H41,'3.11 Buloba-Bujuko'!H41,'31.10 Buloba-Bujuko-24h'!H41,'2.11 Buloba-Bujuko-24HR'!H41,'4.11.BULOBA-BUJUKO'!H41)</f>
        <v>0.2857142857142857</v>
      </c>
      <c r="I41" s="49">
        <f>AVERAGE('29.10 Buloba-Bujuko'!I41,'30.10 Buloba-Bujuko'!I41,'1.11 Buloba-Bujuko'!I41,'3.11 Buloba-Bujuko'!I41,'31.10 Buloba-Bujuko-24h'!I41,'2.11 Buloba-Bujuko-24HR'!I41,'4.11.BULOBA-BUJUKO'!I41)</f>
        <v>9.4285714285714288</v>
      </c>
      <c r="J41" s="49">
        <f>AVERAGE('29.10 Buloba-Bujuko'!J41,'30.10 Buloba-Bujuko'!J41,'1.11 Buloba-Bujuko'!J41,'3.11 Buloba-Bujuko'!J41,'31.10 Buloba-Bujuko-24h'!J41,'2.11 Buloba-Bujuko-24HR'!J41,'4.11.BULOBA-BUJUKO'!J41)</f>
        <v>3.5714285714285716</v>
      </c>
      <c r="K41" s="49">
        <f>AVERAGE('29.10 Buloba-Bujuko'!K41,'30.10 Buloba-Bujuko'!K41,'1.11 Buloba-Bujuko'!K41,'3.11 Buloba-Bujuko'!K41,'31.10 Buloba-Bujuko-24h'!K41,'2.11 Buloba-Bujuko-24HR'!K41,'4.11.BULOBA-BUJUKO'!K41)</f>
        <v>2.4285714285714284</v>
      </c>
      <c r="L41" s="49">
        <f>AVERAGE('29.10 Buloba-Bujuko'!L41,'30.10 Buloba-Bujuko'!L41,'1.11 Buloba-Bujuko'!L41,'3.11 Buloba-Bujuko'!L41,'31.10 Buloba-Bujuko-24h'!L41,'2.11 Buloba-Bujuko-24HR'!L41,'4.11.BULOBA-BUJUKO'!L41)</f>
        <v>1</v>
      </c>
      <c r="M41" s="49">
        <f>AVERAGE('29.10 Buloba-Bujuko'!M41,'30.10 Buloba-Bujuko'!M41,'1.11 Buloba-Bujuko'!M41,'3.11 Buloba-Bujuko'!M41,'31.10 Buloba-Bujuko-24h'!M41,'2.11 Buloba-Bujuko-24HR'!M41,'4.11.BULOBA-BUJUKO'!M41)</f>
        <v>19.714285714285715</v>
      </c>
      <c r="N41" s="49">
        <f>AVERAGE('29.10 Buloba-Bujuko'!N41,'30.10 Buloba-Bujuko'!N41,'1.11 Buloba-Bujuko'!N41,'3.11 Buloba-Bujuko'!N41,'31.10 Buloba-Bujuko-24h'!N41,'2.11 Buloba-Bujuko-24HR'!N41,'4.11.BULOBA-BUJUKO'!N41)</f>
        <v>0</v>
      </c>
      <c r="O41" s="15">
        <f t="shared" si="0"/>
        <v>66</v>
      </c>
      <c r="P41" s="15">
        <f t="shared" si="1"/>
        <v>85.714285714285722</v>
      </c>
      <c r="R41" s="5" t="s">
        <v>185</v>
      </c>
      <c r="S41" s="54">
        <f>SUM(S10:S33)</f>
        <v>1059.4285714285713</v>
      </c>
      <c r="T41" s="54">
        <f t="shared" ref="T41:AD41" si="33">SUM(T10:T33)</f>
        <v>303.42857142857144</v>
      </c>
      <c r="U41" s="54">
        <f t="shared" si="33"/>
        <v>243.21428571428572</v>
      </c>
      <c r="V41" s="54">
        <f t="shared" si="33"/>
        <v>922.42857142857144</v>
      </c>
      <c r="W41" s="54">
        <f t="shared" si="33"/>
        <v>21.571428571428573</v>
      </c>
      <c r="X41" s="54">
        <f t="shared" si="33"/>
        <v>28.928571428571427</v>
      </c>
      <c r="Y41" s="54">
        <f t="shared" si="33"/>
        <v>434.50000000000006</v>
      </c>
      <c r="Z41" s="54">
        <f t="shared" si="33"/>
        <v>209.85714285714286</v>
      </c>
      <c r="AA41" s="54">
        <f t="shared" si="33"/>
        <v>96.214285714285722</v>
      </c>
      <c r="AB41" s="54">
        <f t="shared" si="33"/>
        <v>62.857142857142861</v>
      </c>
      <c r="AC41" s="54">
        <f t="shared" si="33"/>
        <v>991.80952380952385</v>
      </c>
      <c r="AD41" s="54">
        <f t="shared" si="33"/>
        <v>1.5714285714285714</v>
      </c>
      <c r="AE41" s="55">
        <f>SUM(AE10:AE33)</f>
        <v>3383.9999999999995</v>
      </c>
      <c r="AF41" s="55">
        <f>SUM(AF10:AF33)</f>
        <v>4375.8095238095239</v>
      </c>
    </row>
    <row r="42" spans="2:32" ht="23.1" customHeight="1" x14ac:dyDescent="0.25">
      <c r="B42" s="24" t="s">
        <v>69</v>
      </c>
      <c r="C42" s="49">
        <f>AVERAGE('29.10 Buloba-Bujuko'!C42,'30.10 Buloba-Bujuko'!C42,'1.11 Buloba-Bujuko'!C42,'3.11 Buloba-Bujuko'!C42,'31.10 Buloba-Bujuko-24h'!C42,'2.11 Buloba-Bujuko-24HR'!C42,'4.11.BULOBA-BUJUKO'!C42)</f>
        <v>18</v>
      </c>
      <c r="D42" s="49">
        <f>AVERAGE('29.10 Buloba-Bujuko'!D42,'30.10 Buloba-Bujuko'!D42,'1.11 Buloba-Bujuko'!D42,'3.11 Buloba-Bujuko'!D42,'31.10 Buloba-Bujuko-24h'!D42,'2.11 Buloba-Bujuko-24HR'!D42,'4.11.BULOBA-BUJUKO'!D42)</f>
        <v>3.7142857142857144</v>
      </c>
      <c r="E42" s="49">
        <f>AVERAGE('29.10 Buloba-Bujuko'!E42,'30.10 Buloba-Bujuko'!E42,'1.11 Buloba-Bujuko'!E42,'3.11 Buloba-Bujuko'!E42,'31.10 Buloba-Bujuko-24h'!E42,'2.11 Buloba-Bujuko-24HR'!E42,'4.11.BULOBA-BUJUKO'!E42)</f>
        <v>3.1428571428571428</v>
      </c>
      <c r="F42" s="49">
        <f>AVERAGE('29.10 Buloba-Bujuko'!F42,'30.10 Buloba-Bujuko'!F42,'1.11 Buloba-Bujuko'!F42,'3.11 Buloba-Bujuko'!F42,'31.10 Buloba-Bujuko-24h'!F42,'2.11 Buloba-Bujuko-24HR'!F42,'4.11.BULOBA-BUJUKO'!F42)</f>
        <v>19.428571428571427</v>
      </c>
      <c r="G42" s="49">
        <f>AVERAGE('29.10 Buloba-Bujuko'!G42,'30.10 Buloba-Bujuko'!G42,'1.11 Buloba-Bujuko'!G42,'3.11 Buloba-Bujuko'!G42,'31.10 Buloba-Bujuko-24h'!G42,'2.11 Buloba-Bujuko-24HR'!G42,'4.11.BULOBA-BUJUKO'!G42)</f>
        <v>0.14285714285714285</v>
      </c>
      <c r="H42" s="49">
        <f>AVERAGE('29.10 Buloba-Bujuko'!H42,'30.10 Buloba-Bujuko'!H42,'1.11 Buloba-Bujuko'!H42,'3.11 Buloba-Bujuko'!H42,'31.10 Buloba-Bujuko-24h'!H42,'2.11 Buloba-Bujuko-24HR'!H42,'4.11.BULOBA-BUJUKO'!H42)</f>
        <v>0.2857142857142857</v>
      </c>
      <c r="I42" s="49">
        <f>AVERAGE('29.10 Buloba-Bujuko'!I42,'30.10 Buloba-Bujuko'!I42,'1.11 Buloba-Bujuko'!I42,'3.11 Buloba-Bujuko'!I42,'31.10 Buloba-Bujuko-24h'!I42,'2.11 Buloba-Bujuko-24HR'!I42,'4.11.BULOBA-BUJUKO'!I42)</f>
        <v>7.8571428571428568</v>
      </c>
      <c r="J42" s="49">
        <f>AVERAGE('29.10 Buloba-Bujuko'!J42,'30.10 Buloba-Bujuko'!J42,'1.11 Buloba-Bujuko'!J42,'3.11 Buloba-Bujuko'!J42,'31.10 Buloba-Bujuko-24h'!J42,'2.11 Buloba-Bujuko-24HR'!J42,'4.11.BULOBA-BUJUKO'!J42)</f>
        <v>3</v>
      </c>
      <c r="K42" s="49">
        <f>AVERAGE('29.10 Buloba-Bujuko'!K42,'30.10 Buloba-Bujuko'!K42,'1.11 Buloba-Bujuko'!K42,'3.11 Buloba-Bujuko'!K42,'31.10 Buloba-Bujuko-24h'!K42,'2.11 Buloba-Bujuko-24HR'!K42,'4.11.BULOBA-BUJUKO'!K42)</f>
        <v>2.2857142857142856</v>
      </c>
      <c r="L42" s="49">
        <f>AVERAGE('29.10 Buloba-Bujuko'!L42,'30.10 Buloba-Bujuko'!L42,'1.11 Buloba-Bujuko'!L42,'3.11 Buloba-Bujuko'!L42,'31.10 Buloba-Bujuko-24h'!L42,'2.11 Buloba-Bujuko-24HR'!L42,'4.11.BULOBA-BUJUKO'!L42)</f>
        <v>0.7142857142857143</v>
      </c>
      <c r="M42" s="49">
        <f>AVERAGE('29.10 Buloba-Bujuko'!M42,'30.10 Buloba-Bujuko'!M42,'1.11 Buloba-Bujuko'!M42,'3.11 Buloba-Bujuko'!M42,'31.10 Buloba-Bujuko-24h'!M42,'2.11 Buloba-Bujuko-24HR'!M42,'4.11.BULOBA-BUJUKO'!M42)</f>
        <v>15.857142857142858</v>
      </c>
      <c r="N42" s="49">
        <f>AVERAGE('29.10 Buloba-Bujuko'!N42,'30.10 Buloba-Bujuko'!N42,'1.11 Buloba-Bujuko'!N42,'3.11 Buloba-Bujuko'!N42,'31.10 Buloba-Bujuko-24h'!N42,'2.11 Buloba-Bujuko-24HR'!N42,'4.11.BULOBA-BUJUKO'!N42)</f>
        <v>0</v>
      </c>
      <c r="O42" s="15">
        <f t="shared" si="0"/>
        <v>58.571428571428569</v>
      </c>
      <c r="P42" s="15">
        <f t="shared" si="1"/>
        <v>74.428571428571431</v>
      </c>
      <c r="R42" s="5" t="s">
        <v>160</v>
      </c>
      <c r="S42" s="48">
        <f>S41/S40</f>
        <v>1.3627342888643881</v>
      </c>
      <c r="T42" s="48">
        <f t="shared" ref="T42:AF42" si="34">T41/T40</f>
        <v>1.2263279445727482</v>
      </c>
      <c r="U42" s="48">
        <f t="shared" si="34"/>
        <v>1.2490829053558328</v>
      </c>
      <c r="V42" s="48">
        <f t="shared" si="34"/>
        <v>1.2611328125000001</v>
      </c>
      <c r="W42" s="48">
        <f t="shared" si="34"/>
        <v>1.1021897810218979</v>
      </c>
      <c r="X42" s="48">
        <f t="shared" si="34"/>
        <v>1.35</v>
      </c>
      <c r="Y42" s="48">
        <f t="shared" si="34"/>
        <v>1.3578124999999999</v>
      </c>
      <c r="Z42" s="48">
        <f t="shared" si="34"/>
        <v>1.795843520782396</v>
      </c>
      <c r="AA42" s="48">
        <f t="shared" si="34"/>
        <v>1.611244019138756</v>
      </c>
      <c r="AB42" s="48">
        <f t="shared" si="34"/>
        <v>2.0370370370370372</v>
      </c>
      <c r="AC42" s="48">
        <f t="shared" si="34"/>
        <v>1.4536064486861848</v>
      </c>
      <c r="AD42" s="48">
        <f t="shared" si="34"/>
        <v>1</v>
      </c>
      <c r="AE42" s="56">
        <f t="shared" si="34"/>
        <v>1.3423244744149148</v>
      </c>
      <c r="AF42" s="56">
        <f t="shared" si="34"/>
        <v>1.3660276945718342</v>
      </c>
    </row>
    <row r="43" spans="2:32" ht="23.1" customHeight="1" x14ac:dyDescent="0.25">
      <c r="B43" s="23" t="s">
        <v>70</v>
      </c>
      <c r="C43" s="49">
        <f>AVERAGE('29.10 Buloba-Bujuko'!C43,'30.10 Buloba-Bujuko'!C43,'1.11 Buloba-Bujuko'!C43,'3.11 Buloba-Bujuko'!C43,'31.10 Buloba-Bujuko-24h'!C43,'2.11 Buloba-Bujuko-24HR'!C43,'4.11.BULOBA-BUJUKO'!C43)</f>
        <v>17.285714285714285</v>
      </c>
      <c r="D43" s="49">
        <f>AVERAGE('29.10 Buloba-Bujuko'!D43,'30.10 Buloba-Bujuko'!D43,'1.11 Buloba-Bujuko'!D43,'3.11 Buloba-Bujuko'!D43,'31.10 Buloba-Bujuko-24h'!D43,'2.11 Buloba-Bujuko-24HR'!D43,'4.11.BULOBA-BUJUKO'!D43)</f>
        <v>4.7142857142857144</v>
      </c>
      <c r="E43" s="49">
        <f>AVERAGE('29.10 Buloba-Bujuko'!E43,'30.10 Buloba-Bujuko'!E43,'1.11 Buloba-Bujuko'!E43,'3.11 Buloba-Bujuko'!E43,'31.10 Buloba-Bujuko-24h'!E43,'2.11 Buloba-Bujuko-24HR'!E43,'4.11.BULOBA-BUJUKO'!E43)</f>
        <v>2.1428571428571428</v>
      </c>
      <c r="F43" s="49">
        <f>AVERAGE('29.10 Buloba-Bujuko'!F43,'30.10 Buloba-Bujuko'!F43,'1.11 Buloba-Bujuko'!F43,'3.11 Buloba-Bujuko'!F43,'31.10 Buloba-Bujuko-24h'!F43,'2.11 Buloba-Bujuko-24HR'!F43,'4.11.BULOBA-BUJUKO'!F43)</f>
        <v>15.428571428571429</v>
      </c>
      <c r="G43" s="49">
        <f>AVERAGE('29.10 Buloba-Bujuko'!G43,'30.10 Buloba-Bujuko'!G43,'1.11 Buloba-Bujuko'!G43,'3.11 Buloba-Bujuko'!G43,'31.10 Buloba-Bujuko-24h'!G43,'2.11 Buloba-Bujuko-24HR'!G43,'4.11.BULOBA-BUJUKO'!G43)</f>
        <v>0.14285714285714285</v>
      </c>
      <c r="H43" s="49">
        <f>AVERAGE('29.10 Buloba-Bujuko'!H43,'30.10 Buloba-Bujuko'!H43,'1.11 Buloba-Bujuko'!H43,'3.11 Buloba-Bujuko'!H43,'31.10 Buloba-Bujuko-24h'!H43,'2.11 Buloba-Bujuko-24HR'!H43,'4.11.BULOBA-BUJUKO'!H43)</f>
        <v>0.42857142857142855</v>
      </c>
      <c r="I43" s="49">
        <f>AVERAGE('29.10 Buloba-Bujuko'!I43,'30.10 Buloba-Bujuko'!I43,'1.11 Buloba-Bujuko'!I43,'3.11 Buloba-Bujuko'!I43,'31.10 Buloba-Bujuko-24h'!I43,'2.11 Buloba-Bujuko-24HR'!I43,'4.11.BULOBA-BUJUKO'!I43)</f>
        <v>7.5714285714285712</v>
      </c>
      <c r="J43" s="49">
        <f>AVERAGE('29.10 Buloba-Bujuko'!J43,'30.10 Buloba-Bujuko'!J43,'1.11 Buloba-Bujuko'!J43,'3.11 Buloba-Bujuko'!J43,'31.10 Buloba-Bujuko-24h'!J43,'2.11 Buloba-Bujuko-24HR'!J43,'4.11.BULOBA-BUJUKO'!J43)</f>
        <v>3</v>
      </c>
      <c r="K43" s="49">
        <f>AVERAGE('29.10 Buloba-Bujuko'!K43,'30.10 Buloba-Bujuko'!K43,'1.11 Buloba-Bujuko'!K43,'3.11 Buloba-Bujuko'!K43,'31.10 Buloba-Bujuko-24h'!K43,'2.11 Buloba-Bujuko-24HR'!K43,'4.11.BULOBA-BUJUKO'!K43)</f>
        <v>2.1428571428571428</v>
      </c>
      <c r="L43" s="49">
        <f>AVERAGE('29.10 Buloba-Bujuko'!L43,'30.10 Buloba-Bujuko'!L43,'1.11 Buloba-Bujuko'!L43,'3.11 Buloba-Bujuko'!L43,'31.10 Buloba-Bujuko-24h'!L43,'2.11 Buloba-Bujuko-24HR'!L43,'4.11.BULOBA-BUJUKO'!L43)</f>
        <v>0.8571428571428571</v>
      </c>
      <c r="M43" s="49">
        <f>AVERAGE('29.10 Buloba-Bujuko'!M43,'30.10 Buloba-Bujuko'!M43,'1.11 Buloba-Bujuko'!M43,'3.11 Buloba-Bujuko'!M43,'31.10 Buloba-Bujuko-24h'!M43,'2.11 Buloba-Bujuko-24HR'!M43,'4.11.BULOBA-BUJUKO'!M43)</f>
        <v>13.142857142857142</v>
      </c>
      <c r="N43" s="49">
        <f>AVERAGE('29.10 Buloba-Bujuko'!N43,'30.10 Buloba-Bujuko'!N43,'1.11 Buloba-Bujuko'!N43,'3.11 Buloba-Bujuko'!N43,'31.10 Buloba-Bujuko-24h'!N43,'2.11 Buloba-Bujuko-24HR'!N43,'4.11.BULOBA-BUJUKO'!N43)</f>
        <v>0</v>
      </c>
      <c r="O43" s="15">
        <f t="shared" si="0"/>
        <v>53.714285714285715</v>
      </c>
      <c r="P43" s="15">
        <f t="shared" si="1"/>
        <v>66.857142857142861</v>
      </c>
    </row>
    <row r="44" spans="2:32" ht="23.1" customHeight="1" x14ac:dyDescent="0.25">
      <c r="B44" s="25" t="s">
        <v>71</v>
      </c>
      <c r="C44" s="49">
        <f>AVERAGE('29.10 Buloba-Bujuko'!C44,'30.10 Buloba-Bujuko'!C44,'1.11 Buloba-Bujuko'!C44,'3.11 Buloba-Bujuko'!C44,'31.10 Buloba-Bujuko-24h'!C44,'2.11 Buloba-Bujuko-24HR'!C44,'4.11.BULOBA-BUJUKO'!C44)</f>
        <v>17.714285714285715</v>
      </c>
      <c r="D44" s="49">
        <f>AVERAGE('29.10 Buloba-Bujuko'!D44,'30.10 Buloba-Bujuko'!D44,'1.11 Buloba-Bujuko'!D44,'3.11 Buloba-Bujuko'!D44,'31.10 Buloba-Bujuko-24h'!D44,'2.11 Buloba-Bujuko-24HR'!D44,'4.11.BULOBA-BUJUKO'!D44)</f>
        <v>4.7142857142857144</v>
      </c>
      <c r="E44" s="49">
        <f>AVERAGE('29.10 Buloba-Bujuko'!E44,'30.10 Buloba-Bujuko'!E44,'1.11 Buloba-Bujuko'!E44,'3.11 Buloba-Bujuko'!E44,'31.10 Buloba-Bujuko-24h'!E44,'2.11 Buloba-Bujuko-24HR'!E44,'4.11.BULOBA-BUJUKO'!E44)</f>
        <v>4.4285714285714288</v>
      </c>
      <c r="F44" s="49">
        <f>AVERAGE('29.10 Buloba-Bujuko'!F44,'30.10 Buloba-Bujuko'!F44,'1.11 Buloba-Bujuko'!F44,'3.11 Buloba-Bujuko'!F44,'31.10 Buloba-Bujuko-24h'!F44,'2.11 Buloba-Bujuko-24HR'!F44,'4.11.BULOBA-BUJUKO'!F44)</f>
        <v>17</v>
      </c>
      <c r="G44" s="49">
        <f>AVERAGE('29.10 Buloba-Bujuko'!G44,'30.10 Buloba-Bujuko'!G44,'1.11 Buloba-Bujuko'!G44,'3.11 Buloba-Bujuko'!G44,'31.10 Buloba-Bujuko-24h'!G44,'2.11 Buloba-Bujuko-24HR'!G44,'4.11.BULOBA-BUJUKO'!G44)</f>
        <v>0.5714285714285714</v>
      </c>
      <c r="H44" s="49">
        <f>AVERAGE('29.10 Buloba-Bujuko'!H44,'30.10 Buloba-Bujuko'!H44,'1.11 Buloba-Bujuko'!H44,'3.11 Buloba-Bujuko'!H44,'31.10 Buloba-Bujuko-24h'!H44,'2.11 Buloba-Bujuko-24HR'!H44,'4.11.BULOBA-BUJUKO'!H44)</f>
        <v>1</v>
      </c>
      <c r="I44" s="49">
        <f>AVERAGE('29.10 Buloba-Bujuko'!I44,'30.10 Buloba-Bujuko'!I44,'1.11 Buloba-Bujuko'!I44,'3.11 Buloba-Bujuko'!I44,'31.10 Buloba-Bujuko-24h'!I44,'2.11 Buloba-Bujuko-24HR'!I44,'4.11.BULOBA-BUJUKO'!I44)</f>
        <v>7.7142857142857144</v>
      </c>
      <c r="J44" s="49">
        <f>AVERAGE('29.10 Buloba-Bujuko'!J44,'30.10 Buloba-Bujuko'!J44,'1.11 Buloba-Bujuko'!J44,'3.11 Buloba-Bujuko'!J44,'31.10 Buloba-Bujuko-24h'!J44,'2.11 Buloba-Bujuko-24HR'!J44,'4.11.BULOBA-BUJUKO'!J44)</f>
        <v>2.1428571428571428</v>
      </c>
      <c r="K44" s="49">
        <f>AVERAGE('29.10 Buloba-Bujuko'!K44,'30.10 Buloba-Bujuko'!K44,'1.11 Buloba-Bujuko'!K44,'3.11 Buloba-Bujuko'!K44,'31.10 Buloba-Bujuko-24h'!K44,'2.11 Buloba-Bujuko-24HR'!K44,'4.11.BULOBA-BUJUKO'!K44)</f>
        <v>1.4285714285714286</v>
      </c>
      <c r="L44" s="49">
        <f>AVERAGE('29.10 Buloba-Bujuko'!L44,'30.10 Buloba-Bujuko'!L44,'1.11 Buloba-Bujuko'!L44,'3.11 Buloba-Bujuko'!L44,'31.10 Buloba-Bujuko-24h'!L44,'2.11 Buloba-Bujuko-24HR'!L44,'4.11.BULOBA-BUJUKO'!L44)</f>
        <v>0.14285714285714285</v>
      </c>
      <c r="M44" s="49">
        <f>AVERAGE('29.10 Buloba-Bujuko'!M44,'30.10 Buloba-Bujuko'!M44,'1.11 Buloba-Bujuko'!M44,'3.11 Buloba-Bujuko'!M44,'31.10 Buloba-Bujuko-24h'!M44,'2.11 Buloba-Bujuko-24HR'!M44,'4.11.BULOBA-BUJUKO'!M44)</f>
        <v>11.428571428571429</v>
      </c>
      <c r="N44" s="49">
        <f>AVERAGE('29.10 Buloba-Bujuko'!N44,'30.10 Buloba-Bujuko'!N44,'1.11 Buloba-Bujuko'!N44,'3.11 Buloba-Bujuko'!N44,'31.10 Buloba-Bujuko-24h'!N44,'2.11 Buloba-Bujuko-24HR'!N44,'4.11.BULOBA-BUJUKO'!N44)</f>
        <v>0</v>
      </c>
      <c r="O44" s="15">
        <f t="shared" si="0"/>
        <v>56.857142857142868</v>
      </c>
      <c r="P44" s="15">
        <f t="shared" si="1"/>
        <v>68.285714285714292</v>
      </c>
    </row>
    <row r="45" spans="2:32" ht="23.1" customHeight="1" x14ac:dyDescent="0.25">
      <c r="B45" s="23" t="s">
        <v>72</v>
      </c>
      <c r="C45" s="49">
        <f>AVERAGE('29.10 Buloba-Bujuko'!C45,'30.10 Buloba-Bujuko'!C45,'1.11 Buloba-Bujuko'!C45,'3.11 Buloba-Bujuko'!C45,'31.10 Buloba-Bujuko-24h'!C45,'2.11 Buloba-Bujuko-24HR'!C45,'4.11.BULOBA-BUJUKO'!C45)</f>
        <v>16.428571428571427</v>
      </c>
      <c r="D45" s="49">
        <f>AVERAGE('29.10 Buloba-Bujuko'!D45,'30.10 Buloba-Bujuko'!D45,'1.11 Buloba-Bujuko'!D45,'3.11 Buloba-Bujuko'!D45,'31.10 Buloba-Bujuko-24h'!D45,'2.11 Buloba-Bujuko-24HR'!D45,'4.11.BULOBA-BUJUKO'!D45)</f>
        <v>5.4285714285714288</v>
      </c>
      <c r="E45" s="49">
        <f>AVERAGE('29.10 Buloba-Bujuko'!E45,'30.10 Buloba-Bujuko'!E45,'1.11 Buloba-Bujuko'!E45,'3.11 Buloba-Bujuko'!E45,'31.10 Buloba-Bujuko-24h'!E45,'2.11 Buloba-Bujuko-24HR'!E45,'4.11.BULOBA-BUJUKO'!E45)</f>
        <v>5.1428571428571432</v>
      </c>
      <c r="F45" s="49">
        <f>AVERAGE('29.10 Buloba-Bujuko'!F45,'30.10 Buloba-Bujuko'!F45,'1.11 Buloba-Bujuko'!F45,'3.11 Buloba-Bujuko'!F45,'31.10 Buloba-Bujuko-24h'!F45,'2.11 Buloba-Bujuko-24HR'!F45,'4.11.BULOBA-BUJUKO'!F45)</f>
        <v>17</v>
      </c>
      <c r="G45" s="49">
        <f>AVERAGE('29.10 Buloba-Bujuko'!G45,'30.10 Buloba-Bujuko'!G45,'1.11 Buloba-Bujuko'!G45,'3.11 Buloba-Bujuko'!G45,'31.10 Buloba-Bujuko-24h'!G45,'2.11 Buloba-Bujuko-24HR'!G45,'4.11.BULOBA-BUJUKO'!G45)</f>
        <v>0.14285714285714285</v>
      </c>
      <c r="H45" s="49">
        <f>AVERAGE('29.10 Buloba-Bujuko'!H45,'30.10 Buloba-Bujuko'!H45,'1.11 Buloba-Bujuko'!H45,'3.11 Buloba-Bujuko'!H45,'31.10 Buloba-Bujuko-24h'!H45,'2.11 Buloba-Bujuko-24HR'!H45,'4.11.BULOBA-BUJUKO'!H45)</f>
        <v>0.2857142857142857</v>
      </c>
      <c r="I45" s="49">
        <f>AVERAGE('29.10 Buloba-Bujuko'!I45,'30.10 Buloba-Bujuko'!I45,'1.11 Buloba-Bujuko'!I45,'3.11 Buloba-Bujuko'!I45,'31.10 Buloba-Bujuko-24h'!I45,'2.11 Buloba-Bujuko-24HR'!I45,'4.11.BULOBA-BUJUKO'!I45)</f>
        <v>6.8571428571428568</v>
      </c>
      <c r="J45" s="49">
        <f>AVERAGE('29.10 Buloba-Bujuko'!J45,'30.10 Buloba-Bujuko'!J45,'1.11 Buloba-Bujuko'!J45,'3.11 Buloba-Bujuko'!J45,'31.10 Buloba-Bujuko-24h'!J45,'2.11 Buloba-Bujuko-24HR'!J45,'4.11.BULOBA-BUJUKO'!J45)</f>
        <v>2.7142857142857144</v>
      </c>
      <c r="K45" s="49">
        <f>AVERAGE('29.10 Buloba-Bujuko'!K45,'30.10 Buloba-Bujuko'!K45,'1.11 Buloba-Bujuko'!K45,'3.11 Buloba-Bujuko'!K45,'31.10 Buloba-Bujuko-24h'!K45,'2.11 Buloba-Bujuko-24HR'!K45,'4.11.BULOBA-BUJUKO'!K45)</f>
        <v>1.5714285714285714</v>
      </c>
      <c r="L45" s="49">
        <f>AVERAGE('29.10 Buloba-Bujuko'!L45,'30.10 Buloba-Bujuko'!L45,'1.11 Buloba-Bujuko'!L45,'3.11 Buloba-Bujuko'!L45,'31.10 Buloba-Bujuko-24h'!L45,'2.11 Buloba-Bujuko-24HR'!L45,'4.11.BULOBA-BUJUKO'!L45)</f>
        <v>0.2857142857142857</v>
      </c>
      <c r="M45" s="49">
        <f>AVERAGE('29.10 Buloba-Bujuko'!M45,'30.10 Buloba-Bujuko'!M45,'1.11 Buloba-Bujuko'!M45,'3.11 Buloba-Bujuko'!M45,'31.10 Buloba-Bujuko-24h'!M45,'2.11 Buloba-Bujuko-24HR'!M45,'4.11.BULOBA-BUJUKO'!M45)</f>
        <v>14</v>
      </c>
      <c r="N45" s="49">
        <f>AVERAGE('29.10 Buloba-Bujuko'!N45,'30.10 Buloba-Bujuko'!N45,'1.11 Buloba-Bujuko'!N45,'3.11 Buloba-Bujuko'!N45,'31.10 Buloba-Bujuko-24h'!N45,'2.11 Buloba-Bujuko-24HR'!N45,'4.11.BULOBA-BUJUKO'!N45)</f>
        <v>0.14285714285714285</v>
      </c>
      <c r="O45" s="15">
        <f t="shared" si="0"/>
        <v>56</v>
      </c>
      <c r="P45" s="15">
        <f t="shared" si="1"/>
        <v>70</v>
      </c>
    </row>
    <row r="46" spans="2:32" ht="23.1" customHeight="1" x14ac:dyDescent="0.25">
      <c r="B46" s="24" t="s">
        <v>73</v>
      </c>
      <c r="C46" s="49">
        <f>AVERAGE('29.10 Buloba-Bujuko'!C46,'30.10 Buloba-Bujuko'!C46,'1.11 Buloba-Bujuko'!C46,'3.11 Buloba-Bujuko'!C46,'31.10 Buloba-Bujuko-24h'!C46,'2.11 Buloba-Bujuko-24HR'!C46,'4.11.BULOBA-BUJUKO'!C46)</f>
        <v>17.285714285714285</v>
      </c>
      <c r="D46" s="49">
        <f>AVERAGE('29.10 Buloba-Bujuko'!D46,'30.10 Buloba-Bujuko'!D46,'1.11 Buloba-Bujuko'!D46,'3.11 Buloba-Bujuko'!D46,'31.10 Buloba-Bujuko-24h'!D46,'2.11 Buloba-Bujuko-24HR'!D46,'4.11.BULOBA-BUJUKO'!D46)</f>
        <v>5.1428571428571432</v>
      </c>
      <c r="E46" s="49">
        <f>AVERAGE('29.10 Buloba-Bujuko'!E46,'30.10 Buloba-Bujuko'!E46,'1.11 Buloba-Bujuko'!E46,'3.11 Buloba-Bujuko'!E46,'31.10 Buloba-Bujuko-24h'!E46,'2.11 Buloba-Bujuko-24HR'!E46,'4.11.BULOBA-BUJUKO'!E46)</f>
        <v>3</v>
      </c>
      <c r="F46" s="49">
        <f>AVERAGE('29.10 Buloba-Bujuko'!F46,'30.10 Buloba-Bujuko'!F46,'1.11 Buloba-Bujuko'!F46,'3.11 Buloba-Bujuko'!F46,'31.10 Buloba-Bujuko-24h'!F46,'2.11 Buloba-Bujuko-24HR'!F46,'4.11.BULOBA-BUJUKO'!F46)</f>
        <v>16.285714285714285</v>
      </c>
      <c r="G46" s="49">
        <f>AVERAGE('29.10 Buloba-Bujuko'!G46,'30.10 Buloba-Bujuko'!G46,'1.11 Buloba-Bujuko'!G46,'3.11 Buloba-Bujuko'!G46,'31.10 Buloba-Bujuko-24h'!G46,'2.11 Buloba-Bujuko-24HR'!G46,'4.11.BULOBA-BUJUKO'!G46)</f>
        <v>0.14285714285714285</v>
      </c>
      <c r="H46" s="49">
        <f>AVERAGE('29.10 Buloba-Bujuko'!H46,'30.10 Buloba-Bujuko'!H46,'1.11 Buloba-Bujuko'!H46,'3.11 Buloba-Bujuko'!H46,'31.10 Buloba-Bujuko-24h'!H46,'2.11 Buloba-Bujuko-24HR'!H46,'4.11.BULOBA-BUJUKO'!H46)</f>
        <v>0.7142857142857143</v>
      </c>
      <c r="I46" s="49">
        <f>AVERAGE('29.10 Buloba-Bujuko'!I46,'30.10 Buloba-Bujuko'!I46,'1.11 Buloba-Bujuko'!I46,'3.11 Buloba-Bujuko'!I46,'31.10 Buloba-Bujuko-24h'!I46,'2.11 Buloba-Bujuko-24HR'!I46,'4.11.BULOBA-BUJUKO'!I46)</f>
        <v>7.7142857142857144</v>
      </c>
      <c r="J46" s="49">
        <f>AVERAGE('29.10 Buloba-Bujuko'!J46,'30.10 Buloba-Bujuko'!J46,'1.11 Buloba-Bujuko'!J46,'3.11 Buloba-Bujuko'!J46,'31.10 Buloba-Bujuko-24h'!J46,'2.11 Buloba-Bujuko-24HR'!J46,'4.11.BULOBA-BUJUKO'!J46)</f>
        <v>2.2857142857142856</v>
      </c>
      <c r="K46" s="49">
        <f>AVERAGE('29.10 Buloba-Bujuko'!K46,'30.10 Buloba-Bujuko'!K46,'1.11 Buloba-Bujuko'!K46,'3.11 Buloba-Bujuko'!K46,'31.10 Buloba-Bujuko-24h'!K46,'2.11 Buloba-Bujuko-24HR'!K46,'4.11.BULOBA-BUJUKO'!K46)</f>
        <v>1.5714285714285714</v>
      </c>
      <c r="L46" s="49">
        <f>AVERAGE('29.10 Buloba-Bujuko'!L46,'30.10 Buloba-Bujuko'!L46,'1.11 Buloba-Bujuko'!L46,'3.11 Buloba-Bujuko'!L46,'31.10 Buloba-Bujuko-24h'!L46,'2.11 Buloba-Bujuko-24HR'!L46,'4.11.BULOBA-BUJUKO'!L46)</f>
        <v>1.1428571428571428</v>
      </c>
      <c r="M46" s="49">
        <f>AVERAGE('29.10 Buloba-Bujuko'!M46,'30.10 Buloba-Bujuko'!M46,'1.11 Buloba-Bujuko'!M46,'3.11 Buloba-Bujuko'!M46,'31.10 Buloba-Bujuko-24h'!M46,'2.11 Buloba-Bujuko-24HR'!M46,'4.11.BULOBA-BUJUKO'!M46)</f>
        <v>14</v>
      </c>
      <c r="N46" s="49">
        <f>AVERAGE('29.10 Buloba-Bujuko'!N46,'30.10 Buloba-Bujuko'!N46,'1.11 Buloba-Bujuko'!N46,'3.11 Buloba-Bujuko'!N46,'31.10 Buloba-Bujuko-24h'!N46,'2.11 Buloba-Bujuko-24HR'!N46,'4.11.BULOBA-BUJUKO'!N46)</f>
        <v>0.14285714285714285</v>
      </c>
      <c r="O46" s="15">
        <f t="shared" si="0"/>
        <v>55.428571428571431</v>
      </c>
      <c r="P46" s="15">
        <f t="shared" si="1"/>
        <v>69.428571428571416</v>
      </c>
      <c r="R46" s="8"/>
      <c r="T46"/>
    </row>
    <row r="47" spans="2:32" ht="23.1" customHeight="1" x14ac:dyDescent="0.25">
      <c r="B47" s="24" t="s">
        <v>74</v>
      </c>
      <c r="C47" s="49">
        <f>AVERAGE('29.10 Buloba-Bujuko'!C47,'30.10 Buloba-Bujuko'!C47,'1.11 Buloba-Bujuko'!C47,'3.11 Buloba-Bujuko'!C47,'31.10 Buloba-Bujuko-24h'!C47,'2.11 Buloba-Bujuko-24HR'!C47,'4.11.BULOBA-BUJUKO'!C47)</f>
        <v>14.285714285714286</v>
      </c>
      <c r="D47" s="49">
        <f>AVERAGE('29.10 Buloba-Bujuko'!D47,'30.10 Buloba-Bujuko'!D47,'1.11 Buloba-Bujuko'!D47,'3.11 Buloba-Bujuko'!D47,'31.10 Buloba-Bujuko-24h'!D47,'2.11 Buloba-Bujuko-24HR'!D47,'4.11.BULOBA-BUJUKO'!D47)</f>
        <v>4.1428571428571432</v>
      </c>
      <c r="E47" s="49">
        <f>AVERAGE('29.10 Buloba-Bujuko'!E47,'30.10 Buloba-Bujuko'!E47,'1.11 Buloba-Bujuko'!E47,'3.11 Buloba-Bujuko'!E47,'31.10 Buloba-Bujuko-24h'!E47,'2.11 Buloba-Bujuko-24HR'!E47,'4.11.BULOBA-BUJUKO'!E47)</f>
        <v>3.5714285714285716</v>
      </c>
      <c r="F47" s="49">
        <f>AVERAGE('29.10 Buloba-Bujuko'!F47,'30.10 Buloba-Bujuko'!F47,'1.11 Buloba-Bujuko'!F47,'3.11 Buloba-Bujuko'!F47,'31.10 Buloba-Bujuko-24h'!F47,'2.11 Buloba-Bujuko-24HR'!F47,'4.11.BULOBA-BUJUKO'!F47)</f>
        <v>12.857142857142858</v>
      </c>
      <c r="G47" s="49">
        <f>AVERAGE('29.10 Buloba-Bujuko'!G47,'30.10 Buloba-Bujuko'!G47,'1.11 Buloba-Bujuko'!G47,'3.11 Buloba-Bujuko'!G47,'31.10 Buloba-Bujuko-24h'!G47,'2.11 Buloba-Bujuko-24HR'!G47,'4.11.BULOBA-BUJUKO'!G47)</f>
        <v>0.42857142857142855</v>
      </c>
      <c r="H47" s="49">
        <f>AVERAGE('29.10 Buloba-Bujuko'!H47,'30.10 Buloba-Bujuko'!H47,'1.11 Buloba-Bujuko'!H47,'3.11 Buloba-Bujuko'!H47,'31.10 Buloba-Bujuko-24h'!H47,'2.11 Buloba-Bujuko-24HR'!H47,'4.11.BULOBA-BUJUKO'!H47)</f>
        <v>0.14285714285714285</v>
      </c>
      <c r="I47" s="49">
        <f>AVERAGE('29.10 Buloba-Bujuko'!I47,'30.10 Buloba-Bujuko'!I47,'1.11 Buloba-Bujuko'!I47,'3.11 Buloba-Bujuko'!I47,'31.10 Buloba-Bujuko-24h'!I47,'2.11 Buloba-Bujuko-24HR'!I47,'4.11.BULOBA-BUJUKO'!I47)</f>
        <v>6.2857142857142856</v>
      </c>
      <c r="J47" s="49">
        <f>AVERAGE('29.10 Buloba-Bujuko'!J47,'30.10 Buloba-Bujuko'!J47,'1.11 Buloba-Bujuko'!J47,'3.11 Buloba-Bujuko'!J47,'31.10 Buloba-Bujuko-24h'!J47,'2.11 Buloba-Bujuko-24HR'!J47,'4.11.BULOBA-BUJUKO'!J47)</f>
        <v>1.8571428571428572</v>
      </c>
      <c r="K47" s="49">
        <f>AVERAGE('29.10 Buloba-Bujuko'!K47,'30.10 Buloba-Bujuko'!K47,'1.11 Buloba-Bujuko'!K47,'3.11 Buloba-Bujuko'!K47,'31.10 Buloba-Bujuko-24h'!K47,'2.11 Buloba-Bujuko-24HR'!K47,'4.11.BULOBA-BUJUKO'!K47)</f>
        <v>0.5714285714285714</v>
      </c>
      <c r="L47" s="49">
        <f>AVERAGE('29.10 Buloba-Bujuko'!L47,'30.10 Buloba-Bujuko'!L47,'1.11 Buloba-Bujuko'!L47,'3.11 Buloba-Bujuko'!L47,'31.10 Buloba-Bujuko-24h'!L47,'2.11 Buloba-Bujuko-24HR'!L47,'4.11.BULOBA-BUJUKO'!L47)</f>
        <v>0.42857142857142855</v>
      </c>
      <c r="M47" s="49">
        <f>AVERAGE('29.10 Buloba-Bujuko'!M47,'30.10 Buloba-Bujuko'!M47,'1.11 Buloba-Bujuko'!M47,'3.11 Buloba-Bujuko'!M47,'31.10 Buloba-Bujuko-24h'!M47,'2.11 Buloba-Bujuko-24HR'!M47,'4.11.BULOBA-BUJUKO'!M47)</f>
        <v>9.5714285714285712</v>
      </c>
      <c r="N47" s="49">
        <f>AVERAGE('29.10 Buloba-Bujuko'!N47,'30.10 Buloba-Bujuko'!N47,'1.11 Buloba-Bujuko'!N47,'3.11 Buloba-Bujuko'!N47,'31.10 Buloba-Bujuko-24h'!N47,'2.11 Buloba-Bujuko-24HR'!N47,'4.11.BULOBA-BUJUKO'!N47)</f>
        <v>0</v>
      </c>
      <c r="O47" s="15">
        <f t="shared" si="0"/>
        <v>44.571428571428577</v>
      </c>
      <c r="P47" s="15">
        <f t="shared" si="1"/>
        <v>54.142857142857146</v>
      </c>
      <c r="R47" s="8"/>
      <c r="T47"/>
    </row>
    <row r="48" spans="2:32" ht="23.1" customHeight="1" x14ac:dyDescent="0.25">
      <c r="B48" s="24" t="s">
        <v>75</v>
      </c>
      <c r="C48" s="49">
        <f>AVERAGE('29.10 Buloba-Bujuko'!C48,'30.10 Buloba-Bujuko'!C48,'1.11 Buloba-Bujuko'!C48,'3.11 Buloba-Bujuko'!C48,'31.10 Buloba-Bujuko-24h'!C48,'2.11 Buloba-Bujuko-24HR'!C48,'4.11.BULOBA-BUJUKO'!C48)</f>
        <v>14.142857142857142</v>
      </c>
      <c r="D48" s="49">
        <f>AVERAGE('29.10 Buloba-Bujuko'!D48,'30.10 Buloba-Bujuko'!D48,'1.11 Buloba-Bujuko'!D48,'3.11 Buloba-Bujuko'!D48,'31.10 Buloba-Bujuko-24h'!D48,'2.11 Buloba-Bujuko-24HR'!D48,'4.11.BULOBA-BUJUKO'!D48)</f>
        <v>4.5714285714285712</v>
      </c>
      <c r="E48" s="49">
        <f>AVERAGE('29.10 Buloba-Bujuko'!E48,'30.10 Buloba-Bujuko'!E48,'1.11 Buloba-Bujuko'!E48,'3.11 Buloba-Bujuko'!E48,'31.10 Buloba-Bujuko-24h'!E48,'2.11 Buloba-Bujuko-24HR'!E48,'4.11.BULOBA-BUJUKO'!E48)</f>
        <v>3.7142857142857144</v>
      </c>
      <c r="F48" s="49">
        <f>AVERAGE('29.10 Buloba-Bujuko'!F48,'30.10 Buloba-Bujuko'!F48,'1.11 Buloba-Bujuko'!F48,'3.11 Buloba-Bujuko'!F48,'31.10 Buloba-Bujuko-24h'!F48,'2.11 Buloba-Bujuko-24HR'!F48,'4.11.BULOBA-BUJUKO'!F48)</f>
        <v>13.142857142857142</v>
      </c>
      <c r="G48" s="49">
        <f>AVERAGE('29.10 Buloba-Bujuko'!G48,'30.10 Buloba-Bujuko'!G48,'1.11 Buloba-Bujuko'!G48,'3.11 Buloba-Bujuko'!G48,'31.10 Buloba-Bujuko-24h'!G48,'2.11 Buloba-Bujuko-24HR'!G48,'4.11.BULOBA-BUJUKO'!G48)</f>
        <v>0.14285714285714285</v>
      </c>
      <c r="H48" s="49">
        <f>AVERAGE('29.10 Buloba-Bujuko'!H48,'30.10 Buloba-Bujuko'!H48,'1.11 Buloba-Bujuko'!H48,'3.11 Buloba-Bujuko'!H48,'31.10 Buloba-Bujuko-24h'!H48,'2.11 Buloba-Bujuko-24HR'!H48,'4.11.BULOBA-BUJUKO'!H48)</f>
        <v>0.42857142857142855</v>
      </c>
      <c r="I48" s="49">
        <f>AVERAGE('29.10 Buloba-Bujuko'!I48,'30.10 Buloba-Bujuko'!I48,'1.11 Buloba-Bujuko'!I48,'3.11 Buloba-Bujuko'!I48,'31.10 Buloba-Bujuko-24h'!I48,'2.11 Buloba-Bujuko-24HR'!I48,'4.11.BULOBA-BUJUKO'!I48)</f>
        <v>8.2857142857142865</v>
      </c>
      <c r="J48" s="49">
        <f>AVERAGE('29.10 Buloba-Bujuko'!J48,'30.10 Buloba-Bujuko'!J48,'1.11 Buloba-Bujuko'!J48,'3.11 Buloba-Bujuko'!J48,'31.10 Buloba-Bujuko-24h'!J48,'2.11 Buloba-Bujuko-24HR'!J48,'4.11.BULOBA-BUJUKO'!J48)</f>
        <v>3.1428571428571428</v>
      </c>
      <c r="K48" s="49">
        <f>AVERAGE('29.10 Buloba-Bujuko'!K48,'30.10 Buloba-Bujuko'!K48,'1.11 Buloba-Bujuko'!K48,'3.11 Buloba-Bujuko'!K48,'31.10 Buloba-Bujuko-24h'!K48,'2.11 Buloba-Bujuko-24HR'!K48,'4.11.BULOBA-BUJUKO'!K48)</f>
        <v>1.1428571428571428</v>
      </c>
      <c r="L48" s="49">
        <f>AVERAGE('29.10 Buloba-Bujuko'!L48,'30.10 Buloba-Bujuko'!L48,'1.11 Buloba-Bujuko'!L48,'3.11 Buloba-Bujuko'!L48,'31.10 Buloba-Bujuko-24h'!L48,'2.11 Buloba-Bujuko-24HR'!L48,'4.11.BULOBA-BUJUKO'!L48)</f>
        <v>1</v>
      </c>
      <c r="M48" s="49">
        <f>AVERAGE('29.10 Buloba-Bujuko'!M48,'30.10 Buloba-Bujuko'!M48,'1.11 Buloba-Bujuko'!M48,'3.11 Buloba-Bujuko'!M48,'31.10 Buloba-Bujuko-24h'!M48,'2.11 Buloba-Bujuko-24HR'!M48,'4.11.BULOBA-BUJUKO'!M48)</f>
        <v>12.857142857142858</v>
      </c>
      <c r="N48" s="49">
        <f>AVERAGE('29.10 Buloba-Bujuko'!N48,'30.10 Buloba-Bujuko'!N48,'1.11 Buloba-Bujuko'!N48,'3.11 Buloba-Bujuko'!N48,'31.10 Buloba-Bujuko-24h'!N48,'2.11 Buloba-Bujuko-24HR'!N48,'4.11.BULOBA-BUJUKO'!N48)</f>
        <v>0</v>
      </c>
      <c r="O48" s="15">
        <f t="shared" si="0"/>
        <v>49.714285714285722</v>
      </c>
      <c r="P48" s="15">
        <f t="shared" si="1"/>
        <v>62.571428571428584</v>
      </c>
      <c r="R48" s="8"/>
      <c r="T48"/>
    </row>
    <row r="49" spans="2:20" ht="23.1" customHeight="1" x14ac:dyDescent="0.25">
      <c r="B49" s="23" t="s">
        <v>76</v>
      </c>
      <c r="C49" s="49">
        <f>AVERAGE('29.10 Buloba-Bujuko'!C49,'30.10 Buloba-Bujuko'!C49,'1.11 Buloba-Bujuko'!C49,'3.11 Buloba-Bujuko'!C49,'31.10 Buloba-Bujuko-24h'!C49,'2.11 Buloba-Bujuko-24HR'!C49,'4.11.BULOBA-BUJUKO'!C49)</f>
        <v>20.428571428571427</v>
      </c>
      <c r="D49" s="49">
        <f>AVERAGE('29.10 Buloba-Bujuko'!D49,'30.10 Buloba-Bujuko'!D49,'1.11 Buloba-Bujuko'!D49,'3.11 Buloba-Bujuko'!D49,'31.10 Buloba-Bujuko-24h'!D49,'2.11 Buloba-Bujuko-24HR'!D49,'4.11.BULOBA-BUJUKO'!D49)</f>
        <v>5.8571428571428568</v>
      </c>
      <c r="E49" s="49">
        <f>AVERAGE('29.10 Buloba-Bujuko'!E49,'30.10 Buloba-Bujuko'!E49,'1.11 Buloba-Bujuko'!E49,'3.11 Buloba-Bujuko'!E49,'31.10 Buloba-Bujuko-24h'!E49,'2.11 Buloba-Bujuko-24HR'!E49,'4.11.BULOBA-BUJUKO'!E49)</f>
        <v>6.4285714285714288</v>
      </c>
      <c r="F49" s="49">
        <f>AVERAGE('29.10 Buloba-Bujuko'!F49,'30.10 Buloba-Bujuko'!F49,'1.11 Buloba-Bujuko'!F49,'3.11 Buloba-Bujuko'!F49,'31.10 Buloba-Bujuko-24h'!F49,'2.11 Buloba-Bujuko-24HR'!F49,'4.11.BULOBA-BUJUKO'!F49)</f>
        <v>17.714285714285715</v>
      </c>
      <c r="G49" s="49">
        <f>AVERAGE('29.10 Buloba-Bujuko'!G49,'30.10 Buloba-Bujuko'!G49,'1.11 Buloba-Bujuko'!G49,'3.11 Buloba-Bujuko'!G49,'31.10 Buloba-Bujuko-24h'!G49,'2.11 Buloba-Bujuko-24HR'!G49,'4.11.BULOBA-BUJUKO'!G49)</f>
        <v>0</v>
      </c>
      <c r="H49" s="49">
        <f>AVERAGE('29.10 Buloba-Bujuko'!H49,'30.10 Buloba-Bujuko'!H49,'1.11 Buloba-Bujuko'!H49,'3.11 Buloba-Bujuko'!H49,'31.10 Buloba-Bujuko-24h'!H49,'2.11 Buloba-Bujuko-24HR'!H49,'4.11.BULOBA-BUJUKO'!H49)</f>
        <v>0.5714285714285714</v>
      </c>
      <c r="I49" s="49">
        <f>AVERAGE('29.10 Buloba-Bujuko'!I49,'30.10 Buloba-Bujuko'!I49,'1.11 Buloba-Bujuko'!I49,'3.11 Buloba-Bujuko'!I49,'31.10 Buloba-Bujuko-24h'!I49,'2.11 Buloba-Bujuko-24HR'!I49,'4.11.BULOBA-BUJUKO'!I49)</f>
        <v>6.1428571428571432</v>
      </c>
      <c r="J49" s="49">
        <f>AVERAGE('29.10 Buloba-Bujuko'!J49,'30.10 Buloba-Bujuko'!J49,'1.11 Buloba-Bujuko'!J49,'3.11 Buloba-Bujuko'!J49,'31.10 Buloba-Bujuko-24h'!J49,'2.11 Buloba-Bujuko-24HR'!J49,'4.11.BULOBA-BUJUKO'!J49)</f>
        <v>3.1428571428571428</v>
      </c>
      <c r="K49" s="49">
        <f>AVERAGE('29.10 Buloba-Bujuko'!K49,'30.10 Buloba-Bujuko'!K49,'1.11 Buloba-Bujuko'!K49,'3.11 Buloba-Bujuko'!K49,'31.10 Buloba-Bujuko-24h'!K49,'2.11 Buloba-Bujuko-24HR'!K49,'4.11.BULOBA-BUJUKO'!K49)</f>
        <v>1</v>
      </c>
      <c r="L49" s="49">
        <f>AVERAGE('29.10 Buloba-Bujuko'!L49,'30.10 Buloba-Bujuko'!L49,'1.11 Buloba-Bujuko'!L49,'3.11 Buloba-Bujuko'!L49,'31.10 Buloba-Bujuko-24h'!L49,'2.11 Buloba-Bujuko-24HR'!L49,'4.11.BULOBA-BUJUKO'!L49)</f>
        <v>1.1428571428571428</v>
      </c>
      <c r="M49" s="49">
        <f>AVERAGE('29.10 Buloba-Bujuko'!M49,'30.10 Buloba-Bujuko'!M49,'1.11 Buloba-Bujuko'!M49,'3.11 Buloba-Bujuko'!M49,'31.10 Buloba-Bujuko-24h'!M49,'2.11 Buloba-Bujuko-24HR'!M49,'4.11.BULOBA-BUJUKO'!M49)</f>
        <v>13.857142857142858</v>
      </c>
      <c r="N49" s="49">
        <f>AVERAGE('29.10 Buloba-Bujuko'!N49,'30.10 Buloba-Bujuko'!N49,'1.11 Buloba-Bujuko'!N49,'3.11 Buloba-Bujuko'!N49,'31.10 Buloba-Bujuko-24h'!N49,'2.11 Buloba-Bujuko-24HR'!N49,'4.11.BULOBA-BUJUKO'!N49)</f>
        <v>0</v>
      </c>
      <c r="O49" s="15">
        <f t="shared" si="0"/>
        <v>62.428571428571438</v>
      </c>
      <c r="P49" s="15">
        <f t="shared" si="1"/>
        <v>76.285714285714292</v>
      </c>
      <c r="R49" s="8"/>
      <c r="T49"/>
    </row>
    <row r="50" spans="2:20" ht="23.1" customHeight="1" x14ac:dyDescent="0.25">
      <c r="B50" s="24" t="s">
        <v>77</v>
      </c>
      <c r="C50" s="49">
        <f>AVERAGE('29.10 Buloba-Bujuko'!C50,'30.10 Buloba-Bujuko'!C50,'1.11 Buloba-Bujuko'!C50,'3.11 Buloba-Bujuko'!C50,'31.10 Buloba-Bujuko-24h'!C50,'2.11 Buloba-Bujuko-24HR'!C50,'4.11.BULOBA-BUJUKO'!C50)</f>
        <v>14.571428571428571</v>
      </c>
      <c r="D50" s="49">
        <f>AVERAGE('29.10 Buloba-Bujuko'!D50,'30.10 Buloba-Bujuko'!D50,'1.11 Buloba-Bujuko'!D50,'3.11 Buloba-Bujuko'!D50,'31.10 Buloba-Bujuko-24h'!D50,'2.11 Buloba-Bujuko-24HR'!D50,'4.11.BULOBA-BUJUKO'!D50)</f>
        <v>5.5714285714285712</v>
      </c>
      <c r="E50" s="49">
        <f>AVERAGE('29.10 Buloba-Bujuko'!E50,'30.10 Buloba-Bujuko'!E50,'1.11 Buloba-Bujuko'!E50,'3.11 Buloba-Bujuko'!E50,'31.10 Buloba-Bujuko-24h'!E50,'2.11 Buloba-Bujuko-24HR'!E50,'4.11.BULOBA-BUJUKO'!E50)</f>
        <v>4.7142857142857144</v>
      </c>
      <c r="F50" s="49">
        <f>AVERAGE('29.10 Buloba-Bujuko'!F50,'30.10 Buloba-Bujuko'!F50,'1.11 Buloba-Bujuko'!F50,'3.11 Buloba-Bujuko'!F50,'31.10 Buloba-Bujuko-24h'!F50,'2.11 Buloba-Bujuko-24HR'!F50,'4.11.BULOBA-BUJUKO'!F50)</f>
        <v>14</v>
      </c>
      <c r="G50" s="49">
        <f>AVERAGE('29.10 Buloba-Bujuko'!G50,'30.10 Buloba-Bujuko'!G50,'1.11 Buloba-Bujuko'!G50,'3.11 Buloba-Bujuko'!G50,'31.10 Buloba-Bujuko-24h'!G50,'2.11 Buloba-Bujuko-24HR'!G50,'4.11.BULOBA-BUJUKO'!G50)</f>
        <v>0.14285714285714285</v>
      </c>
      <c r="H50" s="49">
        <f>AVERAGE('29.10 Buloba-Bujuko'!H50,'30.10 Buloba-Bujuko'!H50,'1.11 Buloba-Bujuko'!H50,'3.11 Buloba-Bujuko'!H50,'31.10 Buloba-Bujuko-24h'!H50,'2.11 Buloba-Bujuko-24HR'!H50,'4.11.BULOBA-BUJUKO'!H50)</f>
        <v>0.5714285714285714</v>
      </c>
      <c r="I50" s="49">
        <f>AVERAGE('29.10 Buloba-Bujuko'!I50,'30.10 Buloba-Bujuko'!I50,'1.11 Buloba-Bujuko'!I50,'3.11 Buloba-Bujuko'!I50,'31.10 Buloba-Bujuko-24h'!I50,'2.11 Buloba-Bujuko-24HR'!I50,'4.11.BULOBA-BUJUKO'!I50)</f>
        <v>5.2857142857142856</v>
      </c>
      <c r="J50" s="49">
        <f>AVERAGE('29.10 Buloba-Bujuko'!J50,'30.10 Buloba-Bujuko'!J50,'1.11 Buloba-Bujuko'!J50,'3.11 Buloba-Bujuko'!J50,'31.10 Buloba-Bujuko-24h'!J50,'2.11 Buloba-Bujuko-24HR'!J50,'4.11.BULOBA-BUJUKO'!J50)</f>
        <v>2.2857142857142856</v>
      </c>
      <c r="K50" s="49">
        <f>AVERAGE('29.10 Buloba-Bujuko'!K50,'30.10 Buloba-Bujuko'!K50,'1.11 Buloba-Bujuko'!K50,'3.11 Buloba-Bujuko'!K50,'31.10 Buloba-Bujuko-24h'!K50,'2.11 Buloba-Bujuko-24HR'!K50,'4.11.BULOBA-BUJUKO'!K50)</f>
        <v>1</v>
      </c>
      <c r="L50" s="49">
        <f>AVERAGE('29.10 Buloba-Bujuko'!L50,'30.10 Buloba-Bujuko'!L50,'1.11 Buloba-Bujuko'!L50,'3.11 Buloba-Bujuko'!L50,'31.10 Buloba-Bujuko-24h'!L50,'2.11 Buloba-Bujuko-24HR'!L50,'4.11.BULOBA-BUJUKO'!L50)</f>
        <v>1</v>
      </c>
      <c r="M50" s="49">
        <f>AVERAGE('29.10 Buloba-Bujuko'!M50,'30.10 Buloba-Bujuko'!M50,'1.11 Buloba-Bujuko'!M50,'3.11 Buloba-Bujuko'!M50,'31.10 Buloba-Bujuko-24h'!M50,'2.11 Buloba-Bujuko-24HR'!M50,'4.11.BULOBA-BUJUKO'!M50)</f>
        <v>11.142857142857142</v>
      </c>
      <c r="N50" s="49">
        <f>AVERAGE('29.10 Buloba-Bujuko'!N50,'30.10 Buloba-Bujuko'!N50,'1.11 Buloba-Bujuko'!N50,'3.11 Buloba-Bujuko'!N50,'31.10 Buloba-Bujuko-24h'!N50,'2.11 Buloba-Bujuko-24HR'!N50,'4.11.BULOBA-BUJUKO'!N50)</f>
        <v>0</v>
      </c>
      <c r="O50" s="15">
        <f t="shared" si="0"/>
        <v>49.142857142857146</v>
      </c>
      <c r="P50" s="15">
        <f t="shared" si="1"/>
        <v>60.285714285714292</v>
      </c>
      <c r="R50" s="8"/>
      <c r="T50"/>
    </row>
    <row r="51" spans="2:20" ht="23.1" customHeight="1" x14ac:dyDescent="0.25">
      <c r="B51" s="24" t="s">
        <v>78</v>
      </c>
      <c r="C51" s="49">
        <f>AVERAGE('29.10 Buloba-Bujuko'!C51,'30.10 Buloba-Bujuko'!C51,'1.11 Buloba-Bujuko'!C51,'3.11 Buloba-Bujuko'!C51,'31.10 Buloba-Bujuko-24h'!C51,'2.11 Buloba-Bujuko-24HR'!C51,'4.11.BULOBA-BUJUKO'!C51)</f>
        <v>16.857142857142858</v>
      </c>
      <c r="D51" s="49">
        <f>AVERAGE('29.10 Buloba-Bujuko'!D51,'30.10 Buloba-Bujuko'!D51,'1.11 Buloba-Bujuko'!D51,'3.11 Buloba-Bujuko'!D51,'31.10 Buloba-Bujuko-24h'!D51,'2.11 Buloba-Bujuko-24HR'!D51,'4.11.BULOBA-BUJUKO'!D51)</f>
        <v>6</v>
      </c>
      <c r="E51" s="49">
        <f>AVERAGE('29.10 Buloba-Bujuko'!E51,'30.10 Buloba-Bujuko'!E51,'1.11 Buloba-Bujuko'!E51,'3.11 Buloba-Bujuko'!E51,'31.10 Buloba-Bujuko-24h'!E51,'2.11 Buloba-Bujuko-24HR'!E51,'4.11.BULOBA-BUJUKO'!E51)</f>
        <v>3.4285714285714284</v>
      </c>
      <c r="F51" s="49">
        <f>AVERAGE('29.10 Buloba-Bujuko'!F51,'30.10 Buloba-Bujuko'!F51,'1.11 Buloba-Bujuko'!F51,'3.11 Buloba-Bujuko'!F51,'31.10 Buloba-Bujuko-24h'!F51,'2.11 Buloba-Bujuko-24HR'!F51,'4.11.BULOBA-BUJUKO'!F51)</f>
        <v>14.428571428571429</v>
      </c>
      <c r="G51" s="49">
        <f>AVERAGE('29.10 Buloba-Bujuko'!G51,'30.10 Buloba-Bujuko'!G51,'1.11 Buloba-Bujuko'!G51,'3.11 Buloba-Bujuko'!G51,'31.10 Buloba-Bujuko-24h'!G51,'2.11 Buloba-Bujuko-24HR'!G51,'4.11.BULOBA-BUJUKO'!G51)</f>
        <v>0.14285714285714285</v>
      </c>
      <c r="H51" s="49">
        <f>AVERAGE('29.10 Buloba-Bujuko'!H51,'30.10 Buloba-Bujuko'!H51,'1.11 Buloba-Bujuko'!H51,'3.11 Buloba-Bujuko'!H51,'31.10 Buloba-Bujuko-24h'!H51,'2.11 Buloba-Bujuko-24HR'!H51,'4.11.BULOBA-BUJUKO'!H51)</f>
        <v>0</v>
      </c>
      <c r="I51" s="49">
        <f>AVERAGE('29.10 Buloba-Bujuko'!I51,'30.10 Buloba-Bujuko'!I51,'1.11 Buloba-Bujuko'!I51,'3.11 Buloba-Bujuko'!I51,'31.10 Buloba-Bujuko-24h'!I51,'2.11 Buloba-Bujuko-24HR'!I51,'4.11.BULOBA-BUJUKO'!I51)</f>
        <v>7.5714285714285712</v>
      </c>
      <c r="J51" s="49">
        <f>AVERAGE('29.10 Buloba-Bujuko'!J51,'30.10 Buloba-Bujuko'!J51,'1.11 Buloba-Bujuko'!J51,'3.11 Buloba-Bujuko'!J51,'31.10 Buloba-Bujuko-24h'!J51,'2.11 Buloba-Bujuko-24HR'!J51,'4.11.BULOBA-BUJUKO'!J51)</f>
        <v>1.8571428571428572</v>
      </c>
      <c r="K51" s="49">
        <f>AVERAGE('29.10 Buloba-Bujuko'!K51,'30.10 Buloba-Bujuko'!K51,'1.11 Buloba-Bujuko'!K51,'3.11 Buloba-Bujuko'!K51,'31.10 Buloba-Bujuko-24h'!K51,'2.11 Buloba-Bujuko-24HR'!K51,'4.11.BULOBA-BUJUKO'!K51)</f>
        <v>0.7142857142857143</v>
      </c>
      <c r="L51" s="49">
        <f>AVERAGE('29.10 Buloba-Bujuko'!L51,'30.10 Buloba-Bujuko'!L51,'1.11 Buloba-Bujuko'!L51,'3.11 Buloba-Bujuko'!L51,'31.10 Buloba-Bujuko-24h'!L51,'2.11 Buloba-Bujuko-24HR'!L51,'4.11.BULOBA-BUJUKO'!L51)</f>
        <v>0.5714285714285714</v>
      </c>
      <c r="M51" s="49">
        <f>AVERAGE('29.10 Buloba-Bujuko'!M51,'30.10 Buloba-Bujuko'!M51,'1.11 Buloba-Bujuko'!M51,'3.11 Buloba-Bujuko'!M51,'31.10 Buloba-Bujuko-24h'!M51,'2.11 Buloba-Bujuko-24HR'!M51,'4.11.BULOBA-BUJUKO'!M51)</f>
        <v>11</v>
      </c>
      <c r="N51" s="49">
        <f>AVERAGE('29.10 Buloba-Bujuko'!N51,'30.10 Buloba-Bujuko'!N51,'1.11 Buloba-Bujuko'!N51,'3.11 Buloba-Bujuko'!N51,'31.10 Buloba-Bujuko-24h'!N51,'2.11 Buloba-Bujuko-24HR'!N51,'4.11.BULOBA-BUJUKO'!N51)</f>
        <v>0.42857142857142855</v>
      </c>
      <c r="O51" s="15">
        <f t="shared" si="0"/>
        <v>52</v>
      </c>
      <c r="P51" s="15">
        <f t="shared" si="1"/>
        <v>63</v>
      </c>
      <c r="R51" s="8"/>
      <c r="T51"/>
    </row>
    <row r="52" spans="2:20" ht="23.1" customHeight="1" x14ac:dyDescent="0.25">
      <c r="B52" s="24" t="s">
        <v>79</v>
      </c>
      <c r="C52" s="49">
        <f>AVERAGE('29.10 Buloba-Bujuko'!C52,'30.10 Buloba-Bujuko'!C52,'1.11 Buloba-Bujuko'!C52,'3.11 Buloba-Bujuko'!C52,'31.10 Buloba-Bujuko-24h'!C52,'2.11 Buloba-Bujuko-24HR'!C52,'4.11.BULOBA-BUJUKO'!C52)</f>
        <v>16</v>
      </c>
      <c r="D52" s="49">
        <f>AVERAGE('29.10 Buloba-Bujuko'!D52,'30.10 Buloba-Bujuko'!D52,'1.11 Buloba-Bujuko'!D52,'3.11 Buloba-Bujuko'!D52,'31.10 Buloba-Bujuko-24h'!D52,'2.11 Buloba-Bujuko-24HR'!D52,'4.11.BULOBA-BUJUKO'!D52)</f>
        <v>5.7142857142857144</v>
      </c>
      <c r="E52" s="49">
        <f>AVERAGE('29.10 Buloba-Bujuko'!E52,'30.10 Buloba-Bujuko'!E52,'1.11 Buloba-Bujuko'!E52,'3.11 Buloba-Bujuko'!E52,'31.10 Buloba-Bujuko-24h'!E52,'2.11 Buloba-Bujuko-24HR'!E52,'4.11.BULOBA-BUJUKO'!E52)</f>
        <v>3.5714285714285716</v>
      </c>
      <c r="F52" s="49">
        <f>AVERAGE('29.10 Buloba-Bujuko'!F52,'30.10 Buloba-Bujuko'!F52,'1.11 Buloba-Bujuko'!F52,'3.11 Buloba-Bujuko'!F52,'31.10 Buloba-Bujuko-24h'!F52,'2.11 Buloba-Bujuko-24HR'!F52,'4.11.BULOBA-BUJUKO'!F52)</f>
        <v>17</v>
      </c>
      <c r="G52" s="49">
        <f>AVERAGE('29.10 Buloba-Bujuko'!G52,'30.10 Buloba-Bujuko'!G52,'1.11 Buloba-Bujuko'!G52,'3.11 Buloba-Bujuko'!G52,'31.10 Buloba-Bujuko-24h'!G52,'2.11 Buloba-Bujuko-24HR'!G52,'4.11.BULOBA-BUJUKO'!G52)</f>
        <v>0.5714285714285714</v>
      </c>
      <c r="H52" s="49">
        <f>AVERAGE('29.10 Buloba-Bujuko'!H52,'30.10 Buloba-Bujuko'!H52,'1.11 Buloba-Bujuko'!H52,'3.11 Buloba-Bujuko'!H52,'31.10 Buloba-Bujuko-24h'!H52,'2.11 Buloba-Bujuko-24HR'!H52,'4.11.BULOBA-BUJUKO'!H52)</f>
        <v>0</v>
      </c>
      <c r="I52" s="49">
        <f>AVERAGE('29.10 Buloba-Bujuko'!I52,'30.10 Buloba-Bujuko'!I52,'1.11 Buloba-Bujuko'!I52,'3.11 Buloba-Bujuko'!I52,'31.10 Buloba-Bujuko-24h'!I52,'2.11 Buloba-Bujuko-24HR'!I52,'4.11.BULOBA-BUJUKO'!I52)</f>
        <v>6.4285714285714288</v>
      </c>
      <c r="J52" s="49">
        <f>AVERAGE('29.10 Buloba-Bujuko'!J52,'30.10 Buloba-Bujuko'!J52,'1.11 Buloba-Bujuko'!J52,'3.11 Buloba-Bujuko'!J52,'31.10 Buloba-Bujuko-24h'!J52,'2.11 Buloba-Bujuko-24HR'!J52,'4.11.BULOBA-BUJUKO'!J52)</f>
        <v>2.2857142857142856</v>
      </c>
      <c r="K52" s="49">
        <f>AVERAGE('29.10 Buloba-Bujuko'!K52,'30.10 Buloba-Bujuko'!K52,'1.11 Buloba-Bujuko'!K52,'3.11 Buloba-Bujuko'!K52,'31.10 Buloba-Bujuko-24h'!K52,'2.11 Buloba-Bujuko-24HR'!K52,'4.11.BULOBA-BUJUKO'!K52)</f>
        <v>0.42857142857142855</v>
      </c>
      <c r="L52" s="49">
        <f>AVERAGE('29.10 Buloba-Bujuko'!L52,'30.10 Buloba-Bujuko'!L52,'1.11 Buloba-Bujuko'!L52,'3.11 Buloba-Bujuko'!L52,'31.10 Buloba-Bujuko-24h'!L52,'2.11 Buloba-Bujuko-24HR'!L52,'4.11.BULOBA-BUJUKO'!L52)</f>
        <v>0.14285714285714285</v>
      </c>
      <c r="M52" s="49">
        <f>AVERAGE('29.10 Buloba-Bujuko'!M52,'30.10 Buloba-Bujuko'!M52,'1.11 Buloba-Bujuko'!M52,'3.11 Buloba-Bujuko'!M52,'31.10 Buloba-Bujuko-24h'!M52,'2.11 Buloba-Bujuko-24HR'!M52,'4.11.BULOBA-BUJUKO'!M52)</f>
        <v>12.285714285714286</v>
      </c>
      <c r="N52" s="49">
        <f>AVERAGE('29.10 Buloba-Bujuko'!N52,'30.10 Buloba-Bujuko'!N52,'1.11 Buloba-Bujuko'!N52,'3.11 Buloba-Bujuko'!N52,'31.10 Buloba-Bujuko-24h'!N52,'2.11 Buloba-Bujuko-24HR'!N52,'4.11.BULOBA-BUJUKO'!N52)</f>
        <v>0</v>
      </c>
      <c r="O52" s="15">
        <f t="shared" si="0"/>
        <v>52.142857142857153</v>
      </c>
      <c r="P52" s="15">
        <f t="shared" si="1"/>
        <v>64.428571428571445</v>
      </c>
      <c r="R52" s="8"/>
      <c r="T52"/>
    </row>
    <row r="53" spans="2:20" ht="23.1" customHeight="1" x14ac:dyDescent="0.25">
      <c r="B53" s="23" t="s">
        <v>80</v>
      </c>
      <c r="C53" s="49">
        <f>AVERAGE('29.10 Buloba-Bujuko'!C53,'30.10 Buloba-Bujuko'!C53,'1.11 Buloba-Bujuko'!C53,'3.11 Buloba-Bujuko'!C53,'31.10 Buloba-Bujuko-24h'!C53,'2.11 Buloba-Bujuko-24HR'!C53,'4.11.BULOBA-BUJUKO'!C53)</f>
        <v>12.428571428571429</v>
      </c>
      <c r="D53" s="49">
        <f>AVERAGE('29.10 Buloba-Bujuko'!D53,'30.10 Buloba-Bujuko'!D53,'1.11 Buloba-Bujuko'!D53,'3.11 Buloba-Bujuko'!D53,'31.10 Buloba-Bujuko-24h'!D53,'2.11 Buloba-Bujuko-24HR'!D53,'4.11.BULOBA-BUJUKO'!D53)</f>
        <v>5.7142857142857144</v>
      </c>
      <c r="E53" s="49">
        <f>AVERAGE('29.10 Buloba-Bujuko'!E53,'30.10 Buloba-Bujuko'!E53,'1.11 Buloba-Bujuko'!E53,'3.11 Buloba-Bujuko'!E53,'31.10 Buloba-Bujuko-24h'!E53,'2.11 Buloba-Bujuko-24HR'!E53,'4.11.BULOBA-BUJUKO'!E53)</f>
        <v>4</v>
      </c>
      <c r="F53" s="49">
        <f>AVERAGE('29.10 Buloba-Bujuko'!F53,'30.10 Buloba-Bujuko'!F53,'1.11 Buloba-Bujuko'!F53,'3.11 Buloba-Bujuko'!F53,'31.10 Buloba-Bujuko-24h'!F53,'2.11 Buloba-Bujuko-24HR'!F53,'4.11.BULOBA-BUJUKO'!F53)</f>
        <v>12.428571428571429</v>
      </c>
      <c r="G53" s="49">
        <f>AVERAGE('29.10 Buloba-Bujuko'!G53,'30.10 Buloba-Bujuko'!G53,'1.11 Buloba-Bujuko'!G53,'3.11 Buloba-Bujuko'!G53,'31.10 Buloba-Bujuko-24h'!G53,'2.11 Buloba-Bujuko-24HR'!G53,'4.11.BULOBA-BUJUKO'!G53)</f>
        <v>0.2857142857142857</v>
      </c>
      <c r="H53" s="49">
        <f>AVERAGE('29.10 Buloba-Bujuko'!H53,'30.10 Buloba-Bujuko'!H53,'1.11 Buloba-Bujuko'!H53,'3.11 Buloba-Bujuko'!H53,'31.10 Buloba-Bujuko-24h'!H53,'2.11 Buloba-Bujuko-24HR'!H53,'4.11.BULOBA-BUJUKO'!H53)</f>
        <v>0.7142857142857143</v>
      </c>
      <c r="I53" s="49">
        <f>AVERAGE('29.10 Buloba-Bujuko'!I53,'30.10 Buloba-Bujuko'!I53,'1.11 Buloba-Bujuko'!I53,'3.11 Buloba-Bujuko'!I53,'31.10 Buloba-Bujuko-24h'!I53,'2.11 Buloba-Bujuko-24HR'!I53,'4.11.BULOBA-BUJUKO'!I53)</f>
        <v>5.8571428571428568</v>
      </c>
      <c r="J53" s="49">
        <f>AVERAGE('29.10 Buloba-Bujuko'!J53,'30.10 Buloba-Bujuko'!J53,'1.11 Buloba-Bujuko'!J53,'3.11 Buloba-Bujuko'!J53,'31.10 Buloba-Bujuko-24h'!J53,'2.11 Buloba-Bujuko-24HR'!J53,'4.11.BULOBA-BUJUKO'!J53)</f>
        <v>3.7142857142857144</v>
      </c>
      <c r="K53" s="49">
        <f>AVERAGE('29.10 Buloba-Bujuko'!K53,'30.10 Buloba-Bujuko'!K53,'1.11 Buloba-Bujuko'!K53,'3.11 Buloba-Bujuko'!K53,'31.10 Buloba-Bujuko-24h'!K53,'2.11 Buloba-Bujuko-24HR'!K53,'4.11.BULOBA-BUJUKO'!K53)</f>
        <v>0.8571428571428571</v>
      </c>
      <c r="L53" s="49">
        <f>AVERAGE('29.10 Buloba-Bujuko'!L53,'30.10 Buloba-Bujuko'!L53,'1.11 Buloba-Bujuko'!L53,'3.11 Buloba-Bujuko'!L53,'31.10 Buloba-Bujuko-24h'!L53,'2.11 Buloba-Bujuko-24HR'!L53,'4.11.BULOBA-BUJUKO'!L53)</f>
        <v>0.2857142857142857</v>
      </c>
      <c r="M53" s="49">
        <f>AVERAGE('29.10 Buloba-Bujuko'!M53,'30.10 Buloba-Bujuko'!M53,'1.11 Buloba-Bujuko'!M53,'3.11 Buloba-Bujuko'!M53,'31.10 Buloba-Bujuko-24h'!M53,'2.11 Buloba-Bujuko-24HR'!M53,'4.11.BULOBA-BUJUKO'!M53)</f>
        <v>13</v>
      </c>
      <c r="N53" s="49">
        <f>AVERAGE('29.10 Buloba-Bujuko'!N53,'30.10 Buloba-Bujuko'!N53,'1.11 Buloba-Bujuko'!N53,'3.11 Buloba-Bujuko'!N53,'31.10 Buloba-Bujuko-24h'!N53,'2.11 Buloba-Bujuko-24HR'!N53,'4.11.BULOBA-BUJUKO'!N53)</f>
        <v>0</v>
      </c>
      <c r="O53" s="15">
        <f t="shared" si="0"/>
        <v>46.285714285714278</v>
      </c>
      <c r="P53" s="15">
        <f t="shared" si="1"/>
        <v>59.285714285714278</v>
      </c>
      <c r="R53" s="8"/>
      <c r="T53"/>
    </row>
    <row r="54" spans="2:20" ht="23.1" customHeight="1" x14ac:dyDescent="0.25">
      <c r="B54" s="23" t="s">
        <v>81</v>
      </c>
      <c r="C54" s="49">
        <f>AVERAGE('29.10 Buloba-Bujuko'!C54,'30.10 Buloba-Bujuko'!C54,'1.11 Buloba-Bujuko'!C54,'3.11 Buloba-Bujuko'!C54,'31.10 Buloba-Bujuko-24h'!C54,'2.11 Buloba-Bujuko-24HR'!C54,'4.11.BULOBA-BUJUKO'!C54)</f>
        <v>15.714285714285714</v>
      </c>
      <c r="D54" s="49">
        <f>AVERAGE('29.10 Buloba-Bujuko'!D54,'30.10 Buloba-Bujuko'!D54,'1.11 Buloba-Bujuko'!D54,'3.11 Buloba-Bujuko'!D54,'31.10 Buloba-Bujuko-24h'!D54,'2.11 Buloba-Bujuko-24HR'!D54,'4.11.BULOBA-BUJUKO'!D54)</f>
        <v>6.4285714285714288</v>
      </c>
      <c r="E54" s="49">
        <f>AVERAGE('29.10 Buloba-Bujuko'!E54,'30.10 Buloba-Bujuko'!E54,'1.11 Buloba-Bujuko'!E54,'3.11 Buloba-Bujuko'!E54,'31.10 Buloba-Bujuko-24h'!E54,'2.11 Buloba-Bujuko-24HR'!E54,'4.11.BULOBA-BUJUKO'!E54)</f>
        <v>4.2857142857142856</v>
      </c>
      <c r="F54" s="49">
        <f>AVERAGE('29.10 Buloba-Bujuko'!F54,'30.10 Buloba-Bujuko'!F54,'1.11 Buloba-Bujuko'!F54,'3.11 Buloba-Bujuko'!F54,'31.10 Buloba-Bujuko-24h'!F54,'2.11 Buloba-Bujuko-24HR'!F54,'4.11.BULOBA-BUJUKO'!F54)</f>
        <v>17.285714285714285</v>
      </c>
      <c r="G54" s="49">
        <f>AVERAGE('29.10 Buloba-Bujuko'!G54,'30.10 Buloba-Bujuko'!G54,'1.11 Buloba-Bujuko'!G54,'3.11 Buloba-Bujuko'!G54,'31.10 Buloba-Bujuko-24h'!G54,'2.11 Buloba-Bujuko-24HR'!G54,'4.11.BULOBA-BUJUKO'!G54)</f>
        <v>0.2857142857142857</v>
      </c>
      <c r="H54" s="49">
        <f>AVERAGE('29.10 Buloba-Bujuko'!H54,'30.10 Buloba-Bujuko'!H54,'1.11 Buloba-Bujuko'!H54,'3.11 Buloba-Bujuko'!H54,'31.10 Buloba-Bujuko-24h'!H54,'2.11 Buloba-Bujuko-24HR'!H54,'4.11.BULOBA-BUJUKO'!H54)</f>
        <v>0.5714285714285714</v>
      </c>
      <c r="I54" s="49">
        <f>AVERAGE('29.10 Buloba-Bujuko'!I54,'30.10 Buloba-Bujuko'!I54,'1.11 Buloba-Bujuko'!I54,'3.11 Buloba-Bujuko'!I54,'31.10 Buloba-Bujuko-24h'!I54,'2.11 Buloba-Bujuko-24HR'!I54,'4.11.BULOBA-BUJUKO'!I54)</f>
        <v>7.5714285714285712</v>
      </c>
      <c r="J54" s="49">
        <f>AVERAGE('29.10 Buloba-Bujuko'!J54,'30.10 Buloba-Bujuko'!J54,'1.11 Buloba-Bujuko'!J54,'3.11 Buloba-Bujuko'!J54,'31.10 Buloba-Bujuko-24h'!J54,'2.11 Buloba-Bujuko-24HR'!J54,'4.11.BULOBA-BUJUKO'!J54)</f>
        <v>2.2857142857142856</v>
      </c>
      <c r="K54" s="49">
        <f>AVERAGE('29.10 Buloba-Bujuko'!K54,'30.10 Buloba-Bujuko'!K54,'1.11 Buloba-Bujuko'!K54,'3.11 Buloba-Bujuko'!K54,'31.10 Buloba-Bujuko-24h'!K54,'2.11 Buloba-Bujuko-24HR'!K54,'4.11.BULOBA-BUJUKO'!K54)</f>
        <v>0.8571428571428571</v>
      </c>
      <c r="L54" s="49">
        <f>AVERAGE('29.10 Buloba-Bujuko'!L54,'30.10 Buloba-Bujuko'!L54,'1.11 Buloba-Bujuko'!L54,'3.11 Buloba-Bujuko'!L54,'31.10 Buloba-Bujuko-24h'!L54,'2.11 Buloba-Bujuko-24HR'!L54,'4.11.BULOBA-BUJUKO'!L54)</f>
        <v>0.42857142857142855</v>
      </c>
      <c r="M54" s="49">
        <f>AVERAGE('29.10 Buloba-Bujuko'!M54,'30.10 Buloba-Bujuko'!M54,'1.11 Buloba-Bujuko'!M54,'3.11 Buloba-Bujuko'!M54,'31.10 Buloba-Bujuko-24h'!M54,'2.11 Buloba-Bujuko-24HR'!M54,'4.11.BULOBA-BUJUKO'!M54)</f>
        <v>14.142857142857142</v>
      </c>
      <c r="N54" s="49">
        <f>AVERAGE('29.10 Buloba-Bujuko'!N54,'30.10 Buloba-Bujuko'!N54,'1.11 Buloba-Bujuko'!N54,'3.11 Buloba-Bujuko'!N54,'31.10 Buloba-Bujuko-24h'!N54,'2.11 Buloba-Bujuko-24HR'!N54,'4.11.BULOBA-BUJUKO'!N54)</f>
        <v>0</v>
      </c>
      <c r="O54" s="15">
        <f t="shared" si="0"/>
        <v>55.714285714285701</v>
      </c>
      <c r="P54" s="15">
        <f t="shared" si="1"/>
        <v>69.857142857142847</v>
      </c>
      <c r="R54" s="8"/>
      <c r="T54"/>
    </row>
    <row r="55" spans="2:20" ht="23.1" customHeight="1" x14ac:dyDescent="0.25">
      <c r="B55" s="23" t="s">
        <v>82</v>
      </c>
      <c r="C55" s="49">
        <f>AVERAGE('29.10 Buloba-Bujuko'!C55,'30.10 Buloba-Bujuko'!C55,'1.11 Buloba-Bujuko'!C55,'3.11 Buloba-Bujuko'!C55,'31.10 Buloba-Bujuko-24h'!C55,'2.11 Buloba-Bujuko-24HR'!C55,'4.11.BULOBA-BUJUKO'!C55)</f>
        <v>16.285714285714285</v>
      </c>
      <c r="D55" s="49">
        <f>AVERAGE('29.10 Buloba-Bujuko'!D55,'30.10 Buloba-Bujuko'!D55,'1.11 Buloba-Bujuko'!D55,'3.11 Buloba-Bujuko'!D55,'31.10 Buloba-Bujuko-24h'!D55,'2.11 Buloba-Bujuko-24HR'!D55,'4.11.BULOBA-BUJUKO'!D55)</f>
        <v>3.8571428571428572</v>
      </c>
      <c r="E55" s="49">
        <f>AVERAGE('29.10 Buloba-Bujuko'!E55,'30.10 Buloba-Bujuko'!E55,'1.11 Buloba-Bujuko'!E55,'3.11 Buloba-Bujuko'!E55,'31.10 Buloba-Bujuko-24h'!E55,'2.11 Buloba-Bujuko-24HR'!E55,'4.11.BULOBA-BUJUKO'!E55)</f>
        <v>3.2857142857142856</v>
      </c>
      <c r="F55" s="49">
        <f>AVERAGE('29.10 Buloba-Bujuko'!F55,'30.10 Buloba-Bujuko'!F55,'1.11 Buloba-Bujuko'!F55,'3.11 Buloba-Bujuko'!F55,'31.10 Buloba-Bujuko-24h'!F55,'2.11 Buloba-Bujuko-24HR'!F55,'4.11.BULOBA-BUJUKO'!F55)</f>
        <v>14</v>
      </c>
      <c r="G55" s="49">
        <f>AVERAGE('29.10 Buloba-Bujuko'!G55,'30.10 Buloba-Bujuko'!G55,'1.11 Buloba-Bujuko'!G55,'3.11 Buloba-Bujuko'!G55,'31.10 Buloba-Bujuko-24h'!G55,'2.11 Buloba-Bujuko-24HR'!G55,'4.11.BULOBA-BUJUKO'!G55)</f>
        <v>0.7142857142857143</v>
      </c>
      <c r="H55" s="49">
        <f>AVERAGE('29.10 Buloba-Bujuko'!H55,'30.10 Buloba-Bujuko'!H55,'1.11 Buloba-Bujuko'!H55,'3.11 Buloba-Bujuko'!H55,'31.10 Buloba-Bujuko-24h'!H55,'2.11 Buloba-Bujuko-24HR'!H55,'4.11.BULOBA-BUJUKO'!H55)</f>
        <v>0.2857142857142857</v>
      </c>
      <c r="I55" s="49">
        <f>AVERAGE('29.10 Buloba-Bujuko'!I55,'30.10 Buloba-Bujuko'!I55,'1.11 Buloba-Bujuko'!I55,'3.11 Buloba-Bujuko'!I55,'31.10 Buloba-Bujuko-24h'!I55,'2.11 Buloba-Bujuko-24HR'!I55,'4.11.BULOBA-BUJUKO'!I55)</f>
        <v>8.4285714285714288</v>
      </c>
      <c r="J55" s="49">
        <f>AVERAGE('29.10 Buloba-Bujuko'!J55,'30.10 Buloba-Bujuko'!J55,'1.11 Buloba-Bujuko'!J55,'3.11 Buloba-Bujuko'!J55,'31.10 Buloba-Bujuko-24h'!J55,'2.11 Buloba-Bujuko-24HR'!J55,'4.11.BULOBA-BUJUKO'!J55)</f>
        <v>3.5714285714285716</v>
      </c>
      <c r="K55" s="49">
        <f>AVERAGE('29.10 Buloba-Bujuko'!K55,'30.10 Buloba-Bujuko'!K55,'1.11 Buloba-Bujuko'!K55,'3.11 Buloba-Bujuko'!K55,'31.10 Buloba-Bujuko-24h'!K55,'2.11 Buloba-Bujuko-24HR'!K55,'4.11.BULOBA-BUJUKO'!K55)</f>
        <v>0.5714285714285714</v>
      </c>
      <c r="L55" s="49">
        <f>AVERAGE('29.10 Buloba-Bujuko'!L55,'30.10 Buloba-Bujuko'!L55,'1.11 Buloba-Bujuko'!L55,'3.11 Buloba-Bujuko'!L55,'31.10 Buloba-Bujuko-24h'!L55,'2.11 Buloba-Bujuko-24HR'!L55,'4.11.BULOBA-BUJUKO'!L55)</f>
        <v>0.42857142857142855</v>
      </c>
      <c r="M55" s="49">
        <f>AVERAGE('29.10 Buloba-Bujuko'!M55,'30.10 Buloba-Bujuko'!M55,'1.11 Buloba-Bujuko'!M55,'3.11 Buloba-Bujuko'!M55,'31.10 Buloba-Bujuko-24h'!M55,'2.11 Buloba-Bujuko-24HR'!M55,'4.11.BULOBA-BUJUKO'!M55)</f>
        <v>12.571428571428571</v>
      </c>
      <c r="N55" s="49">
        <f>AVERAGE('29.10 Buloba-Bujuko'!N55,'30.10 Buloba-Bujuko'!N55,'1.11 Buloba-Bujuko'!N55,'3.11 Buloba-Bujuko'!N55,'31.10 Buloba-Bujuko-24h'!N55,'2.11 Buloba-Bujuko-24HR'!N55,'4.11.BULOBA-BUJUKO'!N55)</f>
        <v>0.42857142857142855</v>
      </c>
      <c r="O55" s="15">
        <f t="shared" si="0"/>
        <v>51.857142857142861</v>
      </c>
      <c r="P55" s="15">
        <f t="shared" si="1"/>
        <v>64.428571428571431</v>
      </c>
      <c r="R55" s="8"/>
      <c r="T55"/>
    </row>
    <row r="56" spans="2:20" ht="23.1" customHeight="1" x14ac:dyDescent="0.25">
      <c r="B56" s="23" t="s">
        <v>83</v>
      </c>
      <c r="C56" s="49">
        <f>AVERAGE('29.10 Buloba-Bujuko'!C56,'30.10 Buloba-Bujuko'!C56,'1.11 Buloba-Bujuko'!C56,'3.11 Buloba-Bujuko'!C56,'31.10 Buloba-Bujuko-24h'!C56,'2.11 Buloba-Bujuko-24HR'!C56,'4.11.BULOBA-BUJUKO'!C56)</f>
        <v>12.285714285714286</v>
      </c>
      <c r="D56" s="49">
        <f>AVERAGE('29.10 Buloba-Bujuko'!D56,'30.10 Buloba-Bujuko'!D56,'1.11 Buloba-Bujuko'!D56,'3.11 Buloba-Bujuko'!D56,'31.10 Buloba-Bujuko-24h'!D56,'2.11 Buloba-Bujuko-24HR'!D56,'4.11.BULOBA-BUJUKO'!D56)</f>
        <v>4.1428571428571432</v>
      </c>
      <c r="E56" s="49">
        <f>AVERAGE('29.10 Buloba-Bujuko'!E56,'30.10 Buloba-Bujuko'!E56,'1.11 Buloba-Bujuko'!E56,'3.11 Buloba-Bujuko'!E56,'31.10 Buloba-Bujuko-24h'!E56,'2.11 Buloba-Bujuko-24HR'!E56,'4.11.BULOBA-BUJUKO'!E56)</f>
        <v>3</v>
      </c>
      <c r="F56" s="49">
        <f>AVERAGE('29.10 Buloba-Bujuko'!F56,'30.10 Buloba-Bujuko'!F56,'1.11 Buloba-Bujuko'!F56,'3.11 Buloba-Bujuko'!F56,'31.10 Buloba-Bujuko-24h'!F56,'2.11 Buloba-Bujuko-24HR'!F56,'4.11.BULOBA-BUJUKO'!F56)</f>
        <v>13.571428571428571</v>
      </c>
      <c r="G56" s="49">
        <f>AVERAGE('29.10 Buloba-Bujuko'!G56,'30.10 Buloba-Bujuko'!G56,'1.11 Buloba-Bujuko'!G56,'3.11 Buloba-Bujuko'!G56,'31.10 Buloba-Bujuko-24h'!G56,'2.11 Buloba-Bujuko-24HR'!G56,'4.11.BULOBA-BUJUKO'!G56)</f>
        <v>0.42857142857142855</v>
      </c>
      <c r="H56" s="49">
        <f>AVERAGE('29.10 Buloba-Bujuko'!H56,'30.10 Buloba-Bujuko'!H56,'1.11 Buloba-Bujuko'!H56,'3.11 Buloba-Bujuko'!H56,'31.10 Buloba-Bujuko-24h'!H56,'2.11 Buloba-Bujuko-24HR'!H56,'4.11.BULOBA-BUJUKO'!H56)</f>
        <v>0.42857142857142855</v>
      </c>
      <c r="I56" s="49">
        <f>AVERAGE('29.10 Buloba-Bujuko'!I56,'30.10 Buloba-Bujuko'!I56,'1.11 Buloba-Bujuko'!I56,'3.11 Buloba-Bujuko'!I56,'31.10 Buloba-Bujuko-24h'!I56,'2.11 Buloba-Bujuko-24HR'!I56,'4.11.BULOBA-BUJUKO'!I56)</f>
        <v>4.2857142857142856</v>
      </c>
      <c r="J56" s="49">
        <f>AVERAGE('29.10 Buloba-Bujuko'!J56,'30.10 Buloba-Bujuko'!J56,'1.11 Buloba-Bujuko'!J56,'3.11 Buloba-Bujuko'!J56,'31.10 Buloba-Bujuko-24h'!J56,'2.11 Buloba-Bujuko-24HR'!J56,'4.11.BULOBA-BUJUKO'!J56)</f>
        <v>1.4285714285714286</v>
      </c>
      <c r="K56" s="49">
        <f>AVERAGE('29.10 Buloba-Bujuko'!K56,'30.10 Buloba-Bujuko'!K56,'1.11 Buloba-Bujuko'!K56,'3.11 Buloba-Bujuko'!K56,'31.10 Buloba-Bujuko-24h'!K56,'2.11 Buloba-Bujuko-24HR'!K56,'4.11.BULOBA-BUJUKO'!K56)</f>
        <v>0.5714285714285714</v>
      </c>
      <c r="L56" s="49">
        <f>AVERAGE('29.10 Buloba-Bujuko'!L56,'30.10 Buloba-Bujuko'!L56,'1.11 Buloba-Bujuko'!L56,'3.11 Buloba-Bujuko'!L56,'31.10 Buloba-Bujuko-24h'!L56,'2.11 Buloba-Bujuko-24HR'!L56,'4.11.BULOBA-BUJUKO'!L56)</f>
        <v>0.8571428571428571</v>
      </c>
      <c r="M56" s="49">
        <f>AVERAGE('29.10 Buloba-Bujuko'!M56,'30.10 Buloba-Bujuko'!M56,'1.11 Buloba-Bujuko'!M56,'3.11 Buloba-Bujuko'!M56,'31.10 Buloba-Bujuko-24h'!M56,'2.11 Buloba-Bujuko-24HR'!M56,'4.11.BULOBA-BUJUKO'!M56)</f>
        <v>9.5714285714285712</v>
      </c>
      <c r="N56" s="49">
        <f>AVERAGE('29.10 Buloba-Bujuko'!N56,'30.10 Buloba-Bujuko'!N56,'1.11 Buloba-Bujuko'!N56,'3.11 Buloba-Bujuko'!N56,'31.10 Buloba-Bujuko-24h'!N56,'2.11 Buloba-Bujuko-24HR'!N56,'4.11.BULOBA-BUJUKO'!N56)</f>
        <v>0</v>
      </c>
      <c r="O56" s="15">
        <f t="shared" si="0"/>
        <v>41</v>
      </c>
      <c r="P56" s="15">
        <f t="shared" si="1"/>
        <v>50.571428571428569</v>
      </c>
      <c r="R56" s="8"/>
      <c r="T56"/>
    </row>
    <row r="57" spans="2:20" ht="23.1" customHeight="1" x14ac:dyDescent="0.25">
      <c r="B57" s="23" t="s">
        <v>84</v>
      </c>
      <c r="C57" s="49">
        <f>AVERAGE('29.10 Buloba-Bujuko'!C57,'30.10 Buloba-Bujuko'!C57,'1.11 Buloba-Bujuko'!C57,'3.11 Buloba-Bujuko'!C57,'31.10 Buloba-Bujuko-24h'!C57,'2.11 Buloba-Bujuko-24HR'!C57,'4.11.BULOBA-BUJUKO'!C57)</f>
        <v>18.428571428571427</v>
      </c>
      <c r="D57" s="49">
        <f>AVERAGE('29.10 Buloba-Bujuko'!D57,'30.10 Buloba-Bujuko'!D57,'1.11 Buloba-Bujuko'!D57,'3.11 Buloba-Bujuko'!D57,'31.10 Buloba-Bujuko-24h'!D57,'2.11 Buloba-Bujuko-24HR'!D57,'4.11.BULOBA-BUJUKO'!D57)</f>
        <v>2.8571428571428572</v>
      </c>
      <c r="E57" s="49">
        <f>AVERAGE('29.10 Buloba-Bujuko'!E57,'30.10 Buloba-Bujuko'!E57,'1.11 Buloba-Bujuko'!E57,'3.11 Buloba-Bujuko'!E57,'31.10 Buloba-Bujuko-24h'!E57,'2.11 Buloba-Bujuko-24HR'!E57,'4.11.BULOBA-BUJUKO'!E57)</f>
        <v>4.7142857142857144</v>
      </c>
      <c r="F57" s="49">
        <f>AVERAGE('29.10 Buloba-Bujuko'!F57,'30.10 Buloba-Bujuko'!F57,'1.11 Buloba-Bujuko'!F57,'3.11 Buloba-Bujuko'!F57,'31.10 Buloba-Bujuko-24h'!F57,'2.11 Buloba-Bujuko-24HR'!F57,'4.11.BULOBA-BUJUKO'!F57)</f>
        <v>13.857142857142858</v>
      </c>
      <c r="G57" s="49">
        <f>AVERAGE('29.10 Buloba-Bujuko'!G57,'30.10 Buloba-Bujuko'!G57,'1.11 Buloba-Bujuko'!G57,'3.11 Buloba-Bujuko'!G57,'31.10 Buloba-Bujuko-24h'!G57,'2.11 Buloba-Bujuko-24HR'!G57,'4.11.BULOBA-BUJUKO'!G57)</f>
        <v>0.2857142857142857</v>
      </c>
      <c r="H57" s="49">
        <f>AVERAGE('29.10 Buloba-Bujuko'!H57,'30.10 Buloba-Bujuko'!H57,'1.11 Buloba-Bujuko'!H57,'3.11 Buloba-Bujuko'!H57,'31.10 Buloba-Bujuko-24h'!H57,'2.11 Buloba-Bujuko-24HR'!H57,'4.11.BULOBA-BUJUKO'!H57)</f>
        <v>0.5714285714285714</v>
      </c>
      <c r="I57" s="49">
        <f>AVERAGE('29.10 Buloba-Bujuko'!I57,'30.10 Buloba-Bujuko'!I57,'1.11 Buloba-Bujuko'!I57,'3.11 Buloba-Bujuko'!I57,'31.10 Buloba-Bujuko-24h'!I57,'2.11 Buloba-Bujuko-24HR'!I57,'4.11.BULOBA-BUJUKO'!I57)</f>
        <v>7.4285714285714288</v>
      </c>
      <c r="J57" s="49">
        <f>AVERAGE('29.10 Buloba-Bujuko'!J57,'30.10 Buloba-Bujuko'!J57,'1.11 Buloba-Bujuko'!J57,'3.11 Buloba-Bujuko'!J57,'31.10 Buloba-Bujuko-24h'!J57,'2.11 Buloba-Bujuko-24HR'!J57,'4.11.BULOBA-BUJUKO'!J57)</f>
        <v>1.7142857142857142</v>
      </c>
      <c r="K57" s="49">
        <f>AVERAGE('29.10 Buloba-Bujuko'!K57,'30.10 Buloba-Bujuko'!K57,'1.11 Buloba-Bujuko'!K57,'3.11 Buloba-Bujuko'!K57,'31.10 Buloba-Bujuko-24h'!K57,'2.11 Buloba-Bujuko-24HR'!K57,'4.11.BULOBA-BUJUKO'!K57)</f>
        <v>0.7142857142857143</v>
      </c>
      <c r="L57" s="49">
        <f>AVERAGE('29.10 Buloba-Bujuko'!L57,'30.10 Buloba-Bujuko'!L57,'1.11 Buloba-Bujuko'!L57,'3.11 Buloba-Bujuko'!L57,'31.10 Buloba-Bujuko-24h'!L57,'2.11 Buloba-Bujuko-24HR'!L57,'4.11.BULOBA-BUJUKO'!L57)</f>
        <v>0.7142857142857143</v>
      </c>
      <c r="M57" s="49">
        <f>AVERAGE('29.10 Buloba-Bujuko'!M57,'30.10 Buloba-Bujuko'!M57,'1.11 Buloba-Bujuko'!M57,'3.11 Buloba-Bujuko'!M57,'31.10 Buloba-Bujuko-24h'!M57,'2.11 Buloba-Bujuko-24HR'!M57,'4.11.BULOBA-BUJUKO'!M57)</f>
        <v>14.166666666666666</v>
      </c>
      <c r="N57" s="49">
        <f>AVERAGE('29.10 Buloba-Bujuko'!N57,'30.10 Buloba-Bujuko'!N57,'1.11 Buloba-Bujuko'!N57,'3.11 Buloba-Bujuko'!N57,'31.10 Buloba-Bujuko-24h'!N57,'2.11 Buloba-Bujuko-24HR'!N57,'4.11.BULOBA-BUJUKO'!N57)</f>
        <v>0</v>
      </c>
      <c r="O57" s="15">
        <f t="shared" si="0"/>
        <v>51.285714285714292</v>
      </c>
      <c r="P57" s="15">
        <f t="shared" si="1"/>
        <v>65.452380952380963</v>
      </c>
      <c r="R57" s="8"/>
      <c r="T57"/>
    </row>
    <row r="58" spans="2:20" ht="23.1" customHeight="1" x14ac:dyDescent="0.25">
      <c r="B58" s="23" t="s">
        <v>99</v>
      </c>
      <c r="C58" s="49">
        <f>AVERAGE('31.10 Buloba-Bujuko-24h'!C58,'2.11 Buloba-Bujuko-24HR'!C58)</f>
        <v>19.5</v>
      </c>
      <c r="D58" s="49">
        <f>AVERAGE('31.10 Buloba-Bujuko-24h'!D58,'2.11 Buloba-Bujuko-24HR'!D58)</f>
        <v>2</v>
      </c>
      <c r="E58" s="49">
        <f>AVERAGE('31.10 Buloba-Bujuko-24h'!E58,'2.11 Buloba-Bujuko-24HR'!E58)</f>
        <v>2.5</v>
      </c>
      <c r="F58" s="49">
        <f>AVERAGE('31.10 Buloba-Bujuko-24h'!F58,'2.11 Buloba-Bujuko-24HR'!F58)</f>
        <v>13.5</v>
      </c>
      <c r="G58" s="49">
        <f>AVERAGE('31.10 Buloba-Bujuko-24h'!G58,'2.11 Buloba-Bujuko-24HR'!G58)</f>
        <v>0</v>
      </c>
      <c r="H58" s="49">
        <f>AVERAGE('31.10 Buloba-Bujuko-24h'!H58,'2.11 Buloba-Bujuko-24HR'!H58)</f>
        <v>0.5</v>
      </c>
      <c r="I58" s="49">
        <f>AVERAGE('31.10 Buloba-Bujuko-24h'!I58,'2.11 Buloba-Bujuko-24HR'!I58)</f>
        <v>5</v>
      </c>
      <c r="J58" s="49">
        <f>AVERAGE('31.10 Buloba-Bujuko-24h'!J58,'2.11 Buloba-Bujuko-24HR'!J58)</f>
        <v>4</v>
      </c>
      <c r="K58" s="49">
        <f>AVERAGE('31.10 Buloba-Bujuko-24h'!K58,'2.11 Buloba-Bujuko-24HR'!K58)</f>
        <v>0.5</v>
      </c>
      <c r="L58" s="49">
        <f>AVERAGE('31.10 Buloba-Bujuko-24h'!L58,'2.11 Buloba-Bujuko-24HR'!L58)</f>
        <v>3</v>
      </c>
      <c r="M58" s="49">
        <f>AVERAGE('31.10 Buloba-Bujuko-24h'!M58,'2.11 Buloba-Bujuko-24HR'!M58)</f>
        <v>23</v>
      </c>
      <c r="N58" s="49">
        <f>AVERAGE('31.10 Buloba-Bujuko-24h'!N58,'2.11 Buloba-Bujuko-24HR'!N58)</f>
        <v>0</v>
      </c>
      <c r="O58" s="15">
        <f t="shared" si="0"/>
        <v>50.5</v>
      </c>
      <c r="P58" s="15">
        <f t="shared" si="1"/>
        <v>73.5</v>
      </c>
      <c r="R58" s="8"/>
      <c r="T58"/>
    </row>
    <row r="59" spans="2:20" ht="23.1" customHeight="1" x14ac:dyDescent="0.25">
      <c r="B59" s="23" t="s">
        <v>100</v>
      </c>
      <c r="C59" s="49">
        <f>AVERAGE('31.10 Buloba-Bujuko-24h'!C59,'2.11 Buloba-Bujuko-24HR'!C59)</f>
        <v>12.5</v>
      </c>
      <c r="D59" s="49">
        <f>AVERAGE('31.10 Buloba-Bujuko-24h'!D59,'2.11 Buloba-Bujuko-24HR'!D59)</f>
        <v>4.5</v>
      </c>
      <c r="E59" s="49">
        <f>AVERAGE('31.10 Buloba-Bujuko-24h'!E59,'2.11 Buloba-Bujuko-24HR'!E59)</f>
        <v>4.5</v>
      </c>
      <c r="F59" s="49">
        <f>AVERAGE('31.10 Buloba-Bujuko-24h'!F59,'2.11 Buloba-Bujuko-24HR'!F59)</f>
        <v>14.5</v>
      </c>
      <c r="G59" s="49">
        <f>AVERAGE('31.10 Buloba-Bujuko-24h'!G59,'2.11 Buloba-Bujuko-24HR'!G59)</f>
        <v>0</v>
      </c>
      <c r="H59" s="49">
        <f>AVERAGE('31.10 Buloba-Bujuko-24h'!H59,'2.11 Buloba-Bujuko-24HR'!H59)</f>
        <v>0</v>
      </c>
      <c r="I59" s="49">
        <f>AVERAGE('31.10 Buloba-Bujuko-24h'!I59,'2.11 Buloba-Bujuko-24HR'!I59)</f>
        <v>6.5</v>
      </c>
      <c r="J59" s="49">
        <f>AVERAGE('31.10 Buloba-Bujuko-24h'!J59,'2.11 Buloba-Bujuko-24HR'!J59)</f>
        <v>6.5</v>
      </c>
      <c r="K59" s="49">
        <f>AVERAGE('31.10 Buloba-Bujuko-24h'!K59,'2.11 Buloba-Bujuko-24HR'!K59)</f>
        <v>0</v>
      </c>
      <c r="L59" s="49">
        <f>AVERAGE('31.10 Buloba-Bujuko-24h'!L59,'2.11 Buloba-Bujuko-24HR'!L59)</f>
        <v>2</v>
      </c>
      <c r="M59" s="49">
        <f>AVERAGE('31.10 Buloba-Bujuko-24h'!M59,'2.11 Buloba-Bujuko-24HR'!M59)</f>
        <v>24.5</v>
      </c>
      <c r="N59" s="49">
        <f>AVERAGE('31.10 Buloba-Bujuko-24h'!N59,'2.11 Buloba-Bujuko-24HR'!N59)</f>
        <v>0</v>
      </c>
      <c r="O59" s="15">
        <f t="shared" si="0"/>
        <v>51</v>
      </c>
      <c r="P59" s="15">
        <f t="shared" si="1"/>
        <v>75.5</v>
      </c>
      <c r="R59" s="8"/>
      <c r="T59"/>
    </row>
    <row r="60" spans="2:20" ht="23.1" customHeight="1" x14ac:dyDescent="0.25">
      <c r="B60" s="23" t="s">
        <v>101</v>
      </c>
      <c r="C60" s="49">
        <f>AVERAGE('31.10 Buloba-Bujuko-24h'!C60,'2.11 Buloba-Bujuko-24HR'!C60)</f>
        <v>15.5</v>
      </c>
      <c r="D60" s="49">
        <f>AVERAGE('31.10 Buloba-Bujuko-24h'!D60,'2.11 Buloba-Bujuko-24HR'!D60)</f>
        <v>2.5</v>
      </c>
      <c r="E60" s="49">
        <f>AVERAGE('31.10 Buloba-Bujuko-24h'!E60,'2.11 Buloba-Bujuko-24HR'!E60)</f>
        <v>2</v>
      </c>
      <c r="F60" s="49">
        <f>AVERAGE('31.10 Buloba-Bujuko-24h'!F60,'2.11 Buloba-Bujuko-24HR'!F60)</f>
        <v>13</v>
      </c>
      <c r="G60" s="49">
        <f>AVERAGE('31.10 Buloba-Bujuko-24h'!G60,'2.11 Buloba-Bujuko-24HR'!G60)</f>
        <v>0</v>
      </c>
      <c r="H60" s="49">
        <f>AVERAGE('31.10 Buloba-Bujuko-24h'!H60,'2.11 Buloba-Bujuko-24HR'!H60)</f>
        <v>0.5</v>
      </c>
      <c r="I60" s="49">
        <f>AVERAGE('31.10 Buloba-Bujuko-24h'!I60,'2.11 Buloba-Bujuko-24HR'!I60)</f>
        <v>4.5</v>
      </c>
      <c r="J60" s="49">
        <f>AVERAGE('31.10 Buloba-Bujuko-24h'!J60,'2.11 Buloba-Bujuko-24HR'!J60)</f>
        <v>2.5</v>
      </c>
      <c r="K60" s="49">
        <f>AVERAGE('31.10 Buloba-Bujuko-24h'!K60,'2.11 Buloba-Bujuko-24HR'!K60)</f>
        <v>1</v>
      </c>
      <c r="L60" s="49">
        <f>AVERAGE('31.10 Buloba-Bujuko-24h'!L60,'2.11 Buloba-Bujuko-24HR'!L60)</f>
        <v>1.5</v>
      </c>
      <c r="M60" s="49">
        <f>AVERAGE('31.10 Buloba-Bujuko-24h'!M60,'2.11 Buloba-Bujuko-24HR'!M60)</f>
        <v>21</v>
      </c>
      <c r="N60" s="49">
        <f>AVERAGE('31.10 Buloba-Bujuko-24h'!N60,'2.11 Buloba-Bujuko-24HR'!N60)</f>
        <v>0</v>
      </c>
      <c r="O60" s="15">
        <f t="shared" si="0"/>
        <v>43</v>
      </c>
      <c r="P60" s="15">
        <f t="shared" si="1"/>
        <v>64</v>
      </c>
      <c r="R60" s="8"/>
      <c r="T60"/>
    </row>
    <row r="61" spans="2:20" ht="23.1" customHeight="1" x14ac:dyDescent="0.25">
      <c r="B61" s="23" t="s">
        <v>102</v>
      </c>
      <c r="C61" s="49">
        <f>AVERAGE('31.10 Buloba-Bujuko-24h'!C61,'2.11 Buloba-Bujuko-24HR'!C61)</f>
        <v>13</v>
      </c>
      <c r="D61" s="49">
        <f>AVERAGE('31.10 Buloba-Bujuko-24h'!D61,'2.11 Buloba-Bujuko-24HR'!D61)</f>
        <v>2</v>
      </c>
      <c r="E61" s="49">
        <f>AVERAGE('31.10 Buloba-Bujuko-24h'!E61,'2.11 Buloba-Bujuko-24HR'!E61)</f>
        <v>1.5</v>
      </c>
      <c r="F61" s="49">
        <f>AVERAGE('31.10 Buloba-Bujuko-24h'!F61,'2.11 Buloba-Bujuko-24HR'!F61)</f>
        <v>12</v>
      </c>
      <c r="G61" s="49">
        <f>AVERAGE('31.10 Buloba-Bujuko-24h'!G61,'2.11 Buloba-Bujuko-24HR'!G61)</f>
        <v>0</v>
      </c>
      <c r="H61" s="49">
        <f>AVERAGE('31.10 Buloba-Bujuko-24h'!H61,'2.11 Buloba-Bujuko-24HR'!H61)</f>
        <v>0.5</v>
      </c>
      <c r="I61" s="49">
        <f>AVERAGE('31.10 Buloba-Bujuko-24h'!I61,'2.11 Buloba-Bujuko-24HR'!I61)</f>
        <v>2</v>
      </c>
      <c r="J61" s="49">
        <f>AVERAGE('31.10 Buloba-Bujuko-24h'!J61,'2.11 Buloba-Bujuko-24HR'!J61)</f>
        <v>4.5</v>
      </c>
      <c r="K61" s="49">
        <f>AVERAGE('31.10 Buloba-Bujuko-24h'!K61,'2.11 Buloba-Bujuko-24HR'!K61)</f>
        <v>1</v>
      </c>
      <c r="L61" s="49">
        <f>AVERAGE('31.10 Buloba-Bujuko-24h'!L61,'2.11 Buloba-Bujuko-24HR'!L61)</f>
        <v>0</v>
      </c>
      <c r="M61" s="49">
        <f>AVERAGE('31.10 Buloba-Bujuko-24h'!M61,'2.11 Buloba-Bujuko-24HR'!M61)</f>
        <v>14</v>
      </c>
      <c r="N61" s="49">
        <f>AVERAGE('31.10 Buloba-Bujuko-24h'!N61,'2.11 Buloba-Bujuko-24HR'!N61)</f>
        <v>0</v>
      </c>
      <c r="O61" s="15">
        <f t="shared" si="0"/>
        <v>36.5</v>
      </c>
      <c r="P61" s="15">
        <f t="shared" si="1"/>
        <v>50.5</v>
      </c>
      <c r="R61" s="8"/>
      <c r="T61"/>
    </row>
    <row r="62" spans="2:20" ht="23.1" customHeight="1" x14ac:dyDescent="0.25">
      <c r="B62" s="23" t="s">
        <v>107</v>
      </c>
      <c r="C62" s="49">
        <f>AVERAGE('31.10 Buloba-Bujuko-24h'!C62,'2.11 Buloba-Bujuko-24HR'!C62)</f>
        <v>15</v>
      </c>
      <c r="D62" s="49">
        <f>AVERAGE('31.10 Buloba-Bujuko-24h'!D62,'2.11 Buloba-Bujuko-24HR'!D62)</f>
        <v>1.5</v>
      </c>
      <c r="E62" s="49">
        <f>AVERAGE('31.10 Buloba-Bujuko-24h'!E62,'2.11 Buloba-Bujuko-24HR'!E62)</f>
        <v>5.5</v>
      </c>
      <c r="F62" s="49">
        <f>AVERAGE('31.10 Buloba-Bujuko-24h'!F62,'2.11 Buloba-Bujuko-24HR'!F62)</f>
        <v>18</v>
      </c>
      <c r="G62" s="49">
        <f>AVERAGE('31.10 Buloba-Bujuko-24h'!G62,'2.11 Buloba-Bujuko-24HR'!G62)</f>
        <v>0</v>
      </c>
      <c r="H62" s="49">
        <f>AVERAGE('31.10 Buloba-Bujuko-24h'!H62,'2.11 Buloba-Bujuko-24HR'!H62)</f>
        <v>0</v>
      </c>
      <c r="I62" s="49">
        <f>AVERAGE('31.10 Buloba-Bujuko-24h'!I62,'2.11 Buloba-Bujuko-24HR'!I62)</f>
        <v>4.5</v>
      </c>
      <c r="J62" s="49">
        <f>AVERAGE('31.10 Buloba-Bujuko-24h'!J62,'2.11 Buloba-Bujuko-24HR'!J62)</f>
        <v>3.5</v>
      </c>
      <c r="K62" s="49">
        <f>AVERAGE('31.10 Buloba-Bujuko-24h'!K62,'2.11 Buloba-Bujuko-24HR'!K62)</f>
        <v>1</v>
      </c>
      <c r="L62" s="49">
        <f>AVERAGE('31.10 Buloba-Bujuko-24h'!L62,'2.11 Buloba-Bujuko-24HR'!L62)</f>
        <v>1</v>
      </c>
      <c r="M62" s="49">
        <f>AVERAGE('31.10 Buloba-Bujuko-24h'!M62,'2.11 Buloba-Bujuko-24HR'!M62)</f>
        <v>21</v>
      </c>
      <c r="N62" s="49">
        <f>AVERAGE('31.10 Buloba-Bujuko-24h'!N62,'2.11 Buloba-Bujuko-24HR'!N62)</f>
        <v>0</v>
      </c>
      <c r="O62" s="15">
        <f t="shared" si="0"/>
        <v>50</v>
      </c>
      <c r="P62" s="15">
        <f t="shared" si="1"/>
        <v>71</v>
      </c>
      <c r="R62" s="8"/>
      <c r="T62"/>
    </row>
    <row r="63" spans="2:20" ht="23.1" customHeight="1" x14ac:dyDescent="0.25">
      <c r="B63" s="23" t="s">
        <v>108</v>
      </c>
      <c r="C63" s="49">
        <f>AVERAGE('31.10 Buloba-Bujuko-24h'!C63,'2.11 Buloba-Bujuko-24HR'!C63)</f>
        <v>6.5</v>
      </c>
      <c r="D63" s="49">
        <f>AVERAGE('31.10 Buloba-Bujuko-24h'!D63,'2.11 Buloba-Bujuko-24HR'!D63)</f>
        <v>2</v>
      </c>
      <c r="E63" s="49">
        <f>AVERAGE('31.10 Buloba-Bujuko-24h'!E63,'2.11 Buloba-Bujuko-24HR'!E63)</f>
        <v>1</v>
      </c>
      <c r="F63" s="49">
        <f>AVERAGE('31.10 Buloba-Bujuko-24h'!F63,'2.11 Buloba-Bujuko-24HR'!F63)</f>
        <v>9</v>
      </c>
      <c r="G63" s="49">
        <f>AVERAGE('31.10 Buloba-Bujuko-24h'!G63,'2.11 Buloba-Bujuko-24HR'!G63)</f>
        <v>0</v>
      </c>
      <c r="H63" s="49">
        <f>AVERAGE('31.10 Buloba-Bujuko-24h'!H63,'2.11 Buloba-Bujuko-24HR'!H63)</f>
        <v>0</v>
      </c>
      <c r="I63" s="49">
        <f>AVERAGE('31.10 Buloba-Bujuko-24h'!I63,'2.11 Buloba-Bujuko-24HR'!I63)</f>
        <v>4</v>
      </c>
      <c r="J63" s="49">
        <f>AVERAGE('31.10 Buloba-Bujuko-24h'!J63,'2.11 Buloba-Bujuko-24HR'!J63)</f>
        <v>3</v>
      </c>
      <c r="K63" s="49">
        <f>AVERAGE('31.10 Buloba-Bujuko-24h'!K63,'2.11 Buloba-Bujuko-24HR'!K63)</f>
        <v>2.5</v>
      </c>
      <c r="L63" s="49">
        <f>AVERAGE('31.10 Buloba-Bujuko-24h'!L63,'2.11 Buloba-Bujuko-24HR'!L63)</f>
        <v>0</v>
      </c>
      <c r="M63" s="49">
        <f>AVERAGE('31.10 Buloba-Bujuko-24h'!M63,'2.11 Buloba-Bujuko-24HR'!M63)</f>
        <v>11</v>
      </c>
      <c r="N63" s="49">
        <f>AVERAGE('31.10 Buloba-Bujuko-24h'!N63,'2.11 Buloba-Bujuko-24HR'!N63)</f>
        <v>0</v>
      </c>
      <c r="O63" s="15">
        <f t="shared" si="0"/>
        <v>28</v>
      </c>
      <c r="P63" s="15">
        <f t="shared" si="1"/>
        <v>39</v>
      </c>
      <c r="R63" s="8"/>
      <c r="T63"/>
    </row>
    <row r="64" spans="2:20" ht="23.1" customHeight="1" x14ac:dyDescent="0.25">
      <c r="B64" s="23" t="s">
        <v>109</v>
      </c>
      <c r="C64" s="49">
        <f>AVERAGE('31.10 Buloba-Bujuko-24h'!C64,'2.11 Buloba-Bujuko-24HR'!C64)</f>
        <v>11.5</v>
      </c>
      <c r="D64" s="49">
        <f>AVERAGE('31.10 Buloba-Bujuko-24h'!D64,'2.11 Buloba-Bujuko-24HR'!D64)</f>
        <v>3</v>
      </c>
      <c r="E64" s="49">
        <f>AVERAGE('31.10 Buloba-Bujuko-24h'!E64,'2.11 Buloba-Bujuko-24HR'!E64)</f>
        <v>0</v>
      </c>
      <c r="F64" s="49">
        <f>AVERAGE('31.10 Buloba-Bujuko-24h'!F64,'2.11 Buloba-Bujuko-24HR'!F64)</f>
        <v>13</v>
      </c>
      <c r="G64" s="49">
        <f>AVERAGE('31.10 Buloba-Bujuko-24h'!G64,'2.11 Buloba-Bujuko-24HR'!G64)</f>
        <v>0</v>
      </c>
      <c r="H64" s="49">
        <f>AVERAGE('31.10 Buloba-Bujuko-24h'!H64,'2.11 Buloba-Bujuko-24HR'!H64)</f>
        <v>0</v>
      </c>
      <c r="I64" s="49">
        <f>AVERAGE('31.10 Buloba-Bujuko-24h'!I64,'2.11 Buloba-Bujuko-24HR'!I64)</f>
        <v>2.5</v>
      </c>
      <c r="J64" s="49">
        <f>AVERAGE('31.10 Buloba-Bujuko-24h'!J64,'2.11 Buloba-Bujuko-24HR'!J64)</f>
        <v>1</v>
      </c>
      <c r="K64" s="49">
        <f>AVERAGE('31.10 Buloba-Bujuko-24h'!K64,'2.11 Buloba-Bujuko-24HR'!K64)</f>
        <v>0</v>
      </c>
      <c r="L64" s="49">
        <f>AVERAGE('31.10 Buloba-Bujuko-24h'!L64,'2.11 Buloba-Bujuko-24HR'!L64)</f>
        <v>0</v>
      </c>
      <c r="M64" s="49">
        <f>AVERAGE('31.10 Buloba-Bujuko-24h'!M64,'2.11 Buloba-Bujuko-24HR'!M64)</f>
        <v>10.5</v>
      </c>
      <c r="N64" s="49">
        <f>AVERAGE('31.10 Buloba-Bujuko-24h'!N64,'2.11 Buloba-Bujuko-24HR'!N64)</f>
        <v>0</v>
      </c>
      <c r="O64" s="15">
        <f t="shared" si="0"/>
        <v>31</v>
      </c>
      <c r="P64" s="15">
        <f t="shared" si="1"/>
        <v>41.5</v>
      </c>
      <c r="R64" s="8"/>
      <c r="T64"/>
    </row>
    <row r="65" spans="2:20" ht="23.1" customHeight="1" x14ac:dyDescent="0.25">
      <c r="B65" s="23" t="s">
        <v>158</v>
      </c>
      <c r="C65" s="49">
        <f>AVERAGE('31.10 Buloba-Bujuko-24h'!C65,'2.11 Buloba-Bujuko-24HR'!C65)</f>
        <v>6.5</v>
      </c>
      <c r="D65" s="49">
        <f>AVERAGE('31.10 Buloba-Bujuko-24h'!D65,'2.11 Buloba-Bujuko-24HR'!D65)</f>
        <v>2</v>
      </c>
      <c r="E65" s="49">
        <f>AVERAGE('31.10 Buloba-Bujuko-24h'!E65,'2.11 Buloba-Bujuko-24HR'!E65)</f>
        <v>1.5</v>
      </c>
      <c r="F65" s="49">
        <f>AVERAGE('31.10 Buloba-Bujuko-24h'!F65,'2.11 Buloba-Bujuko-24HR'!F65)</f>
        <v>6</v>
      </c>
      <c r="G65" s="49">
        <f>AVERAGE('31.10 Buloba-Bujuko-24h'!G65,'2.11 Buloba-Bujuko-24HR'!G65)</f>
        <v>0</v>
      </c>
      <c r="H65" s="49">
        <f>AVERAGE('31.10 Buloba-Bujuko-24h'!H65,'2.11 Buloba-Bujuko-24HR'!H65)</f>
        <v>0.5</v>
      </c>
      <c r="I65" s="49">
        <f>AVERAGE('31.10 Buloba-Bujuko-24h'!I65,'2.11 Buloba-Bujuko-24HR'!I65)</f>
        <v>4</v>
      </c>
      <c r="J65" s="49">
        <f>AVERAGE('31.10 Buloba-Bujuko-24h'!J65,'2.11 Buloba-Bujuko-24HR'!J65)</f>
        <v>0</v>
      </c>
      <c r="K65" s="49">
        <f>AVERAGE('31.10 Buloba-Bujuko-24h'!K65,'2.11 Buloba-Bujuko-24HR'!K65)</f>
        <v>1.5</v>
      </c>
      <c r="L65" s="49">
        <f>AVERAGE('31.10 Buloba-Bujuko-24h'!L65,'2.11 Buloba-Bujuko-24HR'!L65)</f>
        <v>0</v>
      </c>
      <c r="M65" s="49">
        <f>AVERAGE('31.10 Buloba-Bujuko-24h'!M65,'2.11 Buloba-Bujuko-24HR'!M65)</f>
        <v>10</v>
      </c>
      <c r="N65" s="49">
        <f>AVERAGE('31.10 Buloba-Bujuko-24h'!N65,'2.11 Buloba-Bujuko-24HR'!N65)</f>
        <v>0</v>
      </c>
      <c r="O65" s="15">
        <f t="shared" si="0"/>
        <v>22</v>
      </c>
      <c r="P65" s="15">
        <f t="shared" si="1"/>
        <v>32</v>
      </c>
      <c r="R65" s="8"/>
      <c r="T65"/>
    </row>
    <row r="66" spans="2:20" ht="23.1" customHeight="1" x14ac:dyDescent="0.25">
      <c r="B66" s="23" t="s">
        <v>103</v>
      </c>
      <c r="C66" s="49">
        <f>AVERAGE('31.10 Buloba-Bujuko-24h'!C66,'2.11 Buloba-Bujuko-24HR'!C66)</f>
        <v>4</v>
      </c>
      <c r="D66" s="49">
        <f>AVERAGE('31.10 Buloba-Bujuko-24h'!D66,'2.11 Buloba-Bujuko-24HR'!D66)</f>
        <v>3</v>
      </c>
      <c r="E66" s="49">
        <f>AVERAGE('31.10 Buloba-Bujuko-24h'!E66,'2.11 Buloba-Bujuko-24HR'!E66)</f>
        <v>1.5</v>
      </c>
      <c r="F66" s="49">
        <f>AVERAGE('31.10 Buloba-Bujuko-24h'!F66,'2.11 Buloba-Bujuko-24HR'!F66)</f>
        <v>7</v>
      </c>
      <c r="G66" s="49">
        <f>AVERAGE('31.10 Buloba-Bujuko-24h'!G66,'2.11 Buloba-Bujuko-24HR'!G66)</f>
        <v>0</v>
      </c>
      <c r="H66" s="49">
        <f>AVERAGE('31.10 Buloba-Bujuko-24h'!H66,'2.11 Buloba-Bujuko-24HR'!H66)</f>
        <v>0</v>
      </c>
      <c r="I66" s="49">
        <f>AVERAGE('31.10 Buloba-Bujuko-24h'!I66,'2.11 Buloba-Bujuko-24HR'!I66)</f>
        <v>5</v>
      </c>
      <c r="J66" s="49">
        <f>AVERAGE('31.10 Buloba-Bujuko-24h'!J66,'2.11 Buloba-Bujuko-24HR'!J66)</f>
        <v>3.5</v>
      </c>
      <c r="K66" s="49">
        <f>AVERAGE('31.10 Buloba-Bujuko-24h'!K66,'2.11 Buloba-Bujuko-24HR'!K66)</f>
        <v>1.5</v>
      </c>
      <c r="L66" s="49">
        <f>AVERAGE('31.10 Buloba-Bujuko-24h'!L66,'2.11 Buloba-Bujuko-24HR'!L66)</f>
        <v>3</v>
      </c>
      <c r="M66" s="49">
        <f>AVERAGE('31.10 Buloba-Bujuko-24h'!M66,'2.11 Buloba-Bujuko-24HR'!M66)</f>
        <v>5</v>
      </c>
      <c r="N66" s="49">
        <f>AVERAGE('31.10 Buloba-Bujuko-24h'!N66,'2.11 Buloba-Bujuko-24HR'!N66)</f>
        <v>0</v>
      </c>
      <c r="O66" s="15">
        <f t="shared" si="0"/>
        <v>28.5</v>
      </c>
      <c r="P66" s="15">
        <f t="shared" si="1"/>
        <v>33.5</v>
      </c>
      <c r="R66" s="8"/>
      <c r="T66"/>
    </row>
    <row r="67" spans="2:20" ht="23.1" customHeight="1" x14ac:dyDescent="0.25">
      <c r="B67" s="23" t="s">
        <v>104</v>
      </c>
      <c r="C67" s="49">
        <f>AVERAGE('31.10 Buloba-Bujuko-24h'!C67,'2.11 Buloba-Bujuko-24HR'!C67)</f>
        <v>7</v>
      </c>
      <c r="D67" s="49">
        <f>AVERAGE('31.10 Buloba-Bujuko-24h'!D67,'2.11 Buloba-Bujuko-24HR'!D67)</f>
        <v>1.5</v>
      </c>
      <c r="E67" s="49">
        <f>AVERAGE('31.10 Buloba-Bujuko-24h'!E67,'2.11 Buloba-Bujuko-24HR'!E67)</f>
        <v>0.5</v>
      </c>
      <c r="F67" s="49">
        <f>AVERAGE('31.10 Buloba-Bujuko-24h'!F67,'2.11 Buloba-Bujuko-24HR'!F67)</f>
        <v>6.5</v>
      </c>
      <c r="G67" s="49">
        <f>AVERAGE('31.10 Buloba-Bujuko-24h'!G67,'2.11 Buloba-Bujuko-24HR'!G67)</f>
        <v>0</v>
      </c>
      <c r="H67" s="49">
        <f>AVERAGE('31.10 Buloba-Bujuko-24h'!H67,'2.11 Buloba-Bujuko-24HR'!H67)</f>
        <v>0</v>
      </c>
      <c r="I67" s="49">
        <f>AVERAGE('31.10 Buloba-Bujuko-24h'!I67,'2.11 Buloba-Bujuko-24HR'!I67)</f>
        <v>3.5</v>
      </c>
      <c r="J67" s="49">
        <f>AVERAGE('31.10 Buloba-Bujuko-24h'!J67,'2.11 Buloba-Bujuko-24HR'!J67)</f>
        <v>2</v>
      </c>
      <c r="K67" s="49">
        <f>AVERAGE('31.10 Buloba-Bujuko-24h'!K67,'2.11 Buloba-Bujuko-24HR'!K67)</f>
        <v>1</v>
      </c>
      <c r="L67" s="49">
        <f>AVERAGE('31.10 Buloba-Bujuko-24h'!L67,'2.11 Buloba-Bujuko-24HR'!L67)</f>
        <v>3</v>
      </c>
      <c r="M67" s="49">
        <f>AVERAGE('31.10 Buloba-Bujuko-24h'!M67,'2.11 Buloba-Bujuko-24HR'!M67)</f>
        <v>9.5</v>
      </c>
      <c r="N67" s="49">
        <f>AVERAGE('31.10 Buloba-Bujuko-24h'!N67,'2.11 Buloba-Bujuko-24HR'!N67)</f>
        <v>0</v>
      </c>
      <c r="O67" s="15">
        <f t="shared" si="0"/>
        <v>25</v>
      </c>
      <c r="P67" s="15">
        <f t="shared" si="1"/>
        <v>34.5</v>
      </c>
      <c r="R67" s="8"/>
      <c r="T67"/>
    </row>
    <row r="68" spans="2:20" ht="23.1" customHeight="1" x14ac:dyDescent="0.25">
      <c r="B68" s="23" t="s">
        <v>105</v>
      </c>
      <c r="C68" s="49">
        <f>AVERAGE('31.10 Buloba-Bujuko-24h'!C68,'2.11 Buloba-Bujuko-24HR'!C68)</f>
        <v>7</v>
      </c>
      <c r="D68" s="49">
        <f>AVERAGE('31.10 Buloba-Bujuko-24h'!D68,'2.11 Buloba-Bujuko-24HR'!D68)</f>
        <v>1.5</v>
      </c>
      <c r="E68" s="49">
        <f>AVERAGE('31.10 Buloba-Bujuko-24h'!E68,'2.11 Buloba-Bujuko-24HR'!E68)</f>
        <v>2.5</v>
      </c>
      <c r="F68" s="49">
        <f>AVERAGE('31.10 Buloba-Bujuko-24h'!F68,'2.11 Buloba-Bujuko-24HR'!F68)</f>
        <v>8</v>
      </c>
      <c r="G68" s="49">
        <f>AVERAGE('31.10 Buloba-Bujuko-24h'!G68,'2.11 Buloba-Bujuko-24HR'!G68)</f>
        <v>0</v>
      </c>
      <c r="H68" s="49">
        <f>AVERAGE('31.10 Buloba-Bujuko-24h'!H68,'2.11 Buloba-Bujuko-24HR'!H68)</f>
        <v>0</v>
      </c>
      <c r="I68" s="49">
        <f>AVERAGE('31.10 Buloba-Bujuko-24h'!I68,'2.11 Buloba-Bujuko-24HR'!I68)</f>
        <v>2.5</v>
      </c>
      <c r="J68" s="49">
        <f>AVERAGE('31.10 Buloba-Bujuko-24h'!J68,'2.11 Buloba-Bujuko-24HR'!J68)</f>
        <v>5.5</v>
      </c>
      <c r="K68" s="49">
        <f>AVERAGE('31.10 Buloba-Bujuko-24h'!K68,'2.11 Buloba-Bujuko-24HR'!K68)</f>
        <v>1.5</v>
      </c>
      <c r="L68" s="49">
        <f>AVERAGE('31.10 Buloba-Bujuko-24h'!L68,'2.11 Buloba-Bujuko-24HR'!L68)</f>
        <v>3</v>
      </c>
      <c r="M68" s="49">
        <f>AVERAGE('31.10 Buloba-Bujuko-24h'!M68,'2.11 Buloba-Bujuko-24HR'!M68)</f>
        <v>6.5</v>
      </c>
      <c r="N68" s="49">
        <f>AVERAGE('31.10 Buloba-Bujuko-24h'!N68,'2.11 Buloba-Bujuko-24HR'!N68)</f>
        <v>0</v>
      </c>
      <c r="O68" s="15">
        <f t="shared" si="0"/>
        <v>31.5</v>
      </c>
      <c r="P68" s="15">
        <f t="shared" si="1"/>
        <v>38</v>
      </c>
      <c r="R68" s="8"/>
      <c r="T68"/>
    </row>
    <row r="69" spans="2:20" ht="23.1" customHeight="1" x14ac:dyDescent="0.25">
      <c r="B69" s="23" t="s">
        <v>106</v>
      </c>
      <c r="C69" s="49">
        <f>AVERAGE('31.10 Buloba-Bujuko-24h'!C69,'2.11 Buloba-Bujuko-24HR'!C69)</f>
        <v>13</v>
      </c>
      <c r="D69" s="49">
        <f>AVERAGE('31.10 Buloba-Bujuko-24h'!D69,'2.11 Buloba-Bujuko-24HR'!D69)</f>
        <v>1</v>
      </c>
      <c r="E69" s="49">
        <f>AVERAGE('31.10 Buloba-Bujuko-24h'!E69,'2.11 Buloba-Bujuko-24HR'!E69)</f>
        <v>0.5</v>
      </c>
      <c r="F69" s="49">
        <f>AVERAGE('31.10 Buloba-Bujuko-24h'!F69,'2.11 Buloba-Bujuko-24HR'!F69)</f>
        <v>10.5</v>
      </c>
      <c r="G69" s="49">
        <f>AVERAGE('31.10 Buloba-Bujuko-24h'!G69,'2.11 Buloba-Bujuko-24HR'!G69)</f>
        <v>0.5</v>
      </c>
      <c r="H69" s="49">
        <f>AVERAGE('31.10 Buloba-Bujuko-24h'!H69,'2.11 Buloba-Bujuko-24HR'!H69)</f>
        <v>1.5</v>
      </c>
      <c r="I69" s="49">
        <f>AVERAGE('31.10 Buloba-Bujuko-24h'!I69,'2.11 Buloba-Bujuko-24HR'!I69)</f>
        <v>3.5</v>
      </c>
      <c r="J69" s="49">
        <f>AVERAGE('31.10 Buloba-Bujuko-24h'!J69,'2.11 Buloba-Bujuko-24HR'!J69)</f>
        <v>2.5</v>
      </c>
      <c r="K69" s="49">
        <f>AVERAGE('31.10 Buloba-Bujuko-24h'!K69,'2.11 Buloba-Bujuko-24HR'!K69)</f>
        <v>2.5</v>
      </c>
      <c r="L69" s="49">
        <f>AVERAGE('31.10 Buloba-Bujuko-24h'!L69,'2.11 Buloba-Bujuko-24HR'!L69)</f>
        <v>2.5</v>
      </c>
      <c r="M69" s="49">
        <f>AVERAGE('31.10 Buloba-Bujuko-24h'!M69,'2.11 Buloba-Bujuko-24HR'!M69)</f>
        <v>10.5</v>
      </c>
      <c r="N69" s="49">
        <f>AVERAGE('31.10 Buloba-Bujuko-24h'!N69,'2.11 Buloba-Bujuko-24HR'!N69)</f>
        <v>0</v>
      </c>
      <c r="O69" s="15">
        <f t="shared" si="0"/>
        <v>38</v>
      </c>
      <c r="P69" s="15">
        <f t="shared" si="1"/>
        <v>48.5</v>
      </c>
      <c r="R69" s="8"/>
      <c r="T69"/>
    </row>
    <row r="70" spans="2:20" ht="23.1" customHeight="1" x14ac:dyDescent="0.25">
      <c r="B70" s="23" t="s">
        <v>110</v>
      </c>
      <c r="C70" s="49">
        <f>AVERAGE('31.10 Buloba-Bujuko-24h'!C70,'2.11 Buloba-Bujuko-24HR'!C70)</f>
        <v>13</v>
      </c>
      <c r="D70" s="49">
        <f>AVERAGE('31.10 Buloba-Bujuko-24h'!D70,'2.11 Buloba-Bujuko-24HR'!D70)</f>
        <v>2</v>
      </c>
      <c r="E70" s="49">
        <f>AVERAGE('31.10 Buloba-Bujuko-24h'!E70,'2.11 Buloba-Bujuko-24HR'!E70)</f>
        <v>2.5</v>
      </c>
      <c r="F70" s="49">
        <f>AVERAGE('31.10 Buloba-Bujuko-24h'!F70,'2.11 Buloba-Bujuko-24HR'!F70)</f>
        <v>9</v>
      </c>
      <c r="G70" s="49">
        <f>AVERAGE('31.10 Buloba-Bujuko-24h'!G70,'2.11 Buloba-Bujuko-24HR'!G70)</f>
        <v>0</v>
      </c>
      <c r="H70" s="49">
        <f>AVERAGE('31.10 Buloba-Bujuko-24h'!H70,'2.11 Buloba-Bujuko-24HR'!H70)</f>
        <v>0</v>
      </c>
      <c r="I70" s="49">
        <f>AVERAGE('31.10 Buloba-Bujuko-24h'!I70,'2.11 Buloba-Bujuko-24HR'!I70)</f>
        <v>3.5</v>
      </c>
      <c r="J70" s="49">
        <f>AVERAGE('31.10 Buloba-Bujuko-24h'!J70,'2.11 Buloba-Bujuko-24HR'!J70)</f>
        <v>4</v>
      </c>
      <c r="K70" s="49">
        <f>AVERAGE('31.10 Buloba-Bujuko-24h'!K70,'2.11 Buloba-Bujuko-24HR'!K70)</f>
        <v>1</v>
      </c>
      <c r="L70" s="49">
        <f>AVERAGE('31.10 Buloba-Bujuko-24h'!L70,'2.11 Buloba-Bujuko-24HR'!L70)</f>
        <v>0.5</v>
      </c>
      <c r="M70" s="49">
        <f>AVERAGE('31.10 Buloba-Bujuko-24h'!M70,'2.11 Buloba-Bujuko-24HR'!M70)</f>
        <v>7.5</v>
      </c>
      <c r="N70" s="49">
        <f>AVERAGE('31.10 Buloba-Bujuko-24h'!N70,'2.11 Buloba-Bujuko-24HR'!N70)</f>
        <v>0</v>
      </c>
      <c r="O70" s="15">
        <f t="shared" si="0"/>
        <v>35.5</v>
      </c>
      <c r="P70" s="15">
        <f t="shared" si="1"/>
        <v>43</v>
      </c>
      <c r="R70" s="8"/>
      <c r="T70"/>
    </row>
    <row r="71" spans="2:20" ht="23.1" customHeight="1" x14ac:dyDescent="0.25">
      <c r="B71" s="23" t="s">
        <v>111</v>
      </c>
      <c r="C71" s="49">
        <f>AVERAGE('31.10 Buloba-Bujuko-24h'!C71,'2.11 Buloba-Bujuko-24HR'!C71)</f>
        <v>7</v>
      </c>
      <c r="D71" s="49">
        <f>AVERAGE('31.10 Buloba-Bujuko-24h'!D71,'2.11 Buloba-Bujuko-24HR'!D71)</f>
        <v>1</v>
      </c>
      <c r="E71" s="49">
        <f>AVERAGE('31.10 Buloba-Bujuko-24h'!E71,'2.11 Buloba-Bujuko-24HR'!E71)</f>
        <v>1.5</v>
      </c>
      <c r="F71" s="49">
        <f>AVERAGE('31.10 Buloba-Bujuko-24h'!F71,'2.11 Buloba-Bujuko-24HR'!F71)</f>
        <v>2</v>
      </c>
      <c r="G71" s="49">
        <f>AVERAGE('31.10 Buloba-Bujuko-24h'!G71,'2.11 Buloba-Bujuko-24HR'!G71)</f>
        <v>0</v>
      </c>
      <c r="H71" s="49">
        <f>AVERAGE('31.10 Buloba-Bujuko-24h'!H71,'2.11 Buloba-Bujuko-24HR'!H71)</f>
        <v>0</v>
      </c>
      <c r="I71" s="49">
        <f>AVERAGE('31.10 Buloba-Bujuko-24h'!I71,'2.11 Buloba-Bujuko-24HR'!I71)</f>
        <v>4</v>
      </c>
      <c r="J71" s="49">
        <f>AVERAGE('31.10 Buloba-Bujuko-24h'!J71,'2.11 Buloba-Bujuko-24HR'!J71)</f>
        <v>3</v>
      </c>
      <c r="K71" s="49">
        <f>AVERAGE('31.10 Buloba-Bujuko-24h'!K71,'2.11 Buloba-Bujuko-24HR'!K71)</f>
        <v>0</v>
      </c>
      <c r="L71" s="49">
        <f>AVERAGE('31.10 Buloba-Bujuko-24h'!L71,'2.11 Buloba-Bujuko-24HR'!L71)</f>
        <v>0</v>
      </c>
      <c r="M71" s="49">
        <f>AVERAGE('31.10 Buloba-Bujuko-24h'!M71,'2.11 Buloba-Bujuko-24HR'!M71)</f>
        <v>12</v>
      </c>
      <c r="N71" s="49">
        <f>AVERAGE('31.10 Buloba-Bujuko-24h'!N71,'2.11 Buloba-Bujuko-24HR'!N71)</f>
        <v>0</v>
      </c>
      <c r="O71" s="15">
        <f t="shared" si="0"/>
        <v>18.5</v>
      </c>
      <c r="P71" s="15">
        <f t="shared" si="1"/>
        <v>30.5</v>
      </c>
      <c r="R71" s="8"/>
      <c r="T71"/>
    </row>
    <row r="72" spans="2:20" ht="23.1" customHeight="1" x14ac:dyDescent="0.25">
      <c r="B72" s="23" t="s">
        <v>112</v>
      </c>
      <c r="C72" s="49">
        <f>AVERAGE('31.10 Buloba-Bujuko-24h'!C72,'2.11 Buloba-Bujuko-24HR'!C72)</f>
        <v>5.5</v>
      </c>
      <c r="D72" s="49">
        <f>AVERAGE('31.10 Buloba-Bujuko-24h'!D72,'2.11 Buloba-Bujuko-24HR'!D72)</f>
        <v>2.5</v>
      </c>
      <c r="E72" s="49">
        <f>AVERAGE('31.10 Buloba-Bujuko-24h'!E72,'2.11 Buloba-Bujuko-24HR'!E72)</f>
        <v>1</v>
      </c>
      <c r="F72" s="49">
        <f>AVERAGE('31.10 Buloba-Bujuko-24h'!F72,'2.11 Buloba-Bujuko-24HR'!F72)</f>
        <v>6.5</v>
      </c>
      <c r="G72" s="49">
        <f>AVERAGE('31.10 Buloba-Bujuko-24h'!G72,'2.11 Buloba-Bujuko-24HR'!G72)</f>
        <v>0</v>
      </c>
      <c r="H72" s="49">
        <f>AVERAGE('31.10 Buloba-Bujuko-24h'!H72,'2.11 Buloba-Bujuko-24HR'!H72)</f>
        <v>0.5</v>
      </c>
      <c r="I72" s="49">
        <f>AVERAGE('31.10 Buloba-Bujuko-24h'!I72,'2.11 Buloba-Bujuko-24HR'!I72)</f>
        <v>3.5</v>
      </c>
      <c r="J72" s="49">
        <f>AVERAGE('31.10 Buloba-Bujuko-24h'!J72,'2.11 Buloba-Bujuko-24HR'!J72)</f>
        <v>4.5</v>
      </c>
      <c r="K72" s="49">
        <f>AVERAGE('31.10 Buloba-Bujuko-24h'!K72,'2.11 Buloba-Bujuko-24HR'!K72)</f>
        <v>0.5</v>
      </c>
      <c r="L72" s="49">
        <f>AVERAGE('31.10 Buloba-Bujuko-24h'!L72,'2.11 Buloba-Bujuko-24HR'!L72)</f>
        <v>0.5</v>
      </c>
      <c r="M72" s="49">
        <f>AVERAGE('31.10 Buloba-Bujuko-24h'!M72,'2.11 Buloba-Bujuko-24HR'!M72)</f>
        <v>8</v>
      </c>
      <c r="N72" s="49">
        <f>AVERAGE('31.10 Buloba-Bujuko-24h'!N72,'2.11 Buloba-Bujuko-24HR'!N72)</f>
        <v>0</v>
      </c>
      <c r="O72" s="15">
        <f t="shared" si="0"/>
        <v>25</v>
      </c>
      <c r="P72" s="15">
        <f t="shared" si="1"/>
        <v>33</v>
      </c>
      <c r="R72" s="8"/>
      <c r="T72"/>
    </row>
    <row r="73" spans="2:20" ht="23.1" customHeight="1" x14ac:dyDescent="0.25">
      <c r="B73" s="23" t="s">
        <v>113</v>
      </c>
      <c r="C73" s="49">
        <f>AVERAGE('31.10 Buloba-Bujuko-24h'!C73,'2.11 Buloba-Bujuko-24HR'!C73)</f>
        <v>11.5</v>
      </c>
      <c r="D73" s="49">
        <f>AVERAGE('31.10 Buloba-Bujuko-24h'!D73,'2.11 Buloba-Bujuko-24HR'!D73)</f>
        <v>1</v>
      </c>
      <c r="E73" s="49">
        <f>AVERAGE('31.10 Buloba-Bujuko-24h'!E73,'2.11 Buloba-Bujuko-24HR'!E73)</f>
        <v>1</v>
      </c>
      <c r="F73" s="49">
        <f>AVERAGE('31.10 Buloba-Bujuko-24h'!F73,'2.11 Buloba-Bujuko-24HR'!F73)</f>
        <v>4.5</v>
      </c>
      <c r="G73" s="49">
        <f>AVERAGE('31.10 Buloba-Bujuko-24h'!G73,'2.11 Buloba-Bujuko-24HR'!G73)</f>
        <v>0</v>
      </c>
      <c r="H73" s="49">
        <f>AVERAGE('31.10 Buloba-Bujuko-24h'!H73,'2.11 Buloba-Bujuko-24HR'!H73)</f>
        <v>0.5</v>
      </c>
      <c r="I73" s="49">
        <f>AVERAGE('31.10 Buloba-Bujuko-24h'!I73,'2.11 Buloba-Bujuko-24HR'!I73)</f>
        <v>5.5</v>
      </c>
      <c r="J73" s="49">
        <f>AVERAGE('31.10 Buloba-Bujuko-24h'!J73,'2.11 Buloba-Bujuko-24HR'!J73)</f>
        <v>1</v>
      </c>
      <c r="K73" s="49">
        <f>AVERAGE('31.10 Buloba-Bujuko-24h'!K73,'2.11 Buloba-Bujuko-24HR'!K73)</f>
        <v>1.5</v>
      </c>
      <c r="L73" s="49">
        <f>AVERAGE('31.10 Buloba-Bujuko-24h'!L73,'2.11 Buloba-Bujuko-24HR'!L73)</f>
        <v>1.5</v>
      </c>
      <c r="M73" s="49">
        <f>AVERAGE('31.10 Buloba-Bujuko-24h'!M73,'2.11 Buloba-Bujuko-24HR'!M73)</f>
        <v>9.5</v>
      </c>
      <c r="N73" s="49">
        <f>AVERAGE('31.10 Buloba-Bujuko-24h'!N73,'2.11 Buloba-Bujuko-24HR'!N73)</f>
        <v>0</v>
      </c>
      <c r="O73" s="15">
        <f t="shared" si="0"/>
        <v>28</v>
      </c>
      <c r="P73" s="15">
        <f t="shared" si="1"/>
        <v>37.5</v>
      </c>
      <c r="R73" s="8"/>
      <c r="T73"/>
    </row>
    <row r="74" spans="2:20" ht="23.1" customHeight="1" x14ac:dyDescent="0.25">
      <c r="B74" s="23" t="s">
        <v>114</v>
      </c>
      <c r="C74" s="49">
        <f>AVERAGE('31.10 Buloba-Bujuko-24h'!C74,'2.11 Buloba-Bujuko-24HR'!C74)</f>
        <v>10</v>
      </c>
      <c r="D74" s="49">
        <f>AVERAGE('31.10 Buloba-Bujuko-24h'!D74,'2.11 Buloba-Bujuko-24HR'!D74)</f>
        <v>1.5</v>
      </c>
      <c r="E74" s="49">
        <f>AVERAGE('31.10 Buloba-Bujuko-24h'!E74,'2.11 Buloba-Bujuko-24HR'!E74)</f>
        <v>1</v>
      </c>
      <c r="F74" s="49">
        <f>AVERAGE('31.10 Buloba-Bujuko-24h'!F74,'2.11 Buloba-Bujuko-24HR'!F74)</f>
        <v>7</v>
      </c>
      <c r="G74" s="49">
        <f>AVERAGE('31.10 Buloba-Bujuko-24h'!G74,'2.11 Buloba-Bujuko-24HR'!G74)</f>
        <v>0</v>
      </c>
      <c r="H74" s="49">
        <f>AVERAGE('31.10 Buloba-Bujuko-24h'!H74,'2.11 Buloba-Bujuko-24HR'!H74)</f>
        <v>0</v>
      </c>
      <c r="I74" s="49">
        <f>AVERAGE('31.10 Buloba-Bujuko-24h'!I74,'2.11 Buloba-Bujuko-24HR'!I74)</f>
        <v>3</v>
      </c>
      <c r="J74" s="49">
        <f>AVERAGE('31.10 Buloba-Bujuko-24h'!J74,'2.11 Buloba-Bujuko-24HR'!J74)</f>
        <v>3.5</v>
      </c>
      <c r="K74" s="49">
        <f>AVERAGE('31.10 Buloba-Bujuko-24h'!K74,'2.11 Buloba-Bujuko-24HR'!K74)</f>
        <v>1</v>
      </c>
      <c r="L74" s="49">
        <f>AVERAGE('31.10 Buloba-Bujuko-24h'!L74,'2.11 Buloba-Bujuko-24HR'!L74)</f>
        <v>1.5</v>
      </c>
      <c r="M74" s="49">
        <f>AVERAGE('31.10 Buloba-Bujuko-24h'!M74,'2.11 Buloba-Bujuko-24HR'!M74)</f>
        <v>6.5</v>
      </c>
      <c r="N74" s="49">
        <f>AVERAGE('31.10 Buloba-Bujuko-24h'!N74,'2.11 Buloba-Bujuko-24HR'!N74)</f>
        <v>0</v>
      </c>
      <c r="O74" s="15">
        <f t="shared" ref="O74:O105" si="35">SUM(C74:L74,N74)</f>
        <v>28.5</v>
      </c>
      <c r="P74" s="15">
        <f t="shared" ref="P74:P105" si="36">SUM(C74:N74)</f>
        <v>35</v>
      </c>
      <c r="R74" s="8"/>
      <c r="T74"/>
    </row>
    <row r="75" spans="2:20" ht="23.1" customHeight="1" x14ac:dyDescent="0.25">
      <c r="B75" s="23" t="s">
        <v>115</v>
      </c>
      <c r="C75" s="49">
        <f>AVERAGE('31.10 Buloba-Bujuko-24h'!C75,'2.11 Buloba-Bujuko-24HR'!C75)</f>
        <v>11.5</v>
      </c>
      <c r="D75" s="49">
        <f>AVERAGE('31.10 Buloba-Bujuko-24h'!D75,'2.11 Buloba-Bujuko-24HR'!D75)</f>
        <v>1</v>
      </c>
      <c r="E75" s="49">
        <f>AVERAGE('31.10 Buloba-Bujuko-24h'!E75,'2.11 Buloba-Bujuko-24HR'!E75)</f>
        <v>1.5</v>
      </c>
      <c r="F75" s="49">
        <f>AVERAGE('31.10 Buloba-Bujuko-24h'!F75,'2.11 Buloba-Bujuko-24HR'!F75)</f>
        <v>3.5</v>
      </c>
      <c r="G75" s="49">
        <f>AVERAGE('31.10 Buloba-Bujuko-24h'!G75,'2.11 Buloba-Bujuko-24HR'!G75)</f>
        <v>0</v>
      </c>
      <c r="H75" s="49">
        <f>AVERAGE('31.10 Buloba-Bujuko-24h'!H75,'2.11 Buloba-Bujuko-24HR'!H75)</f>
        <v>0.5</v>
      </c>
      <c r="I75" s="49">
        <f>AVERAGE('31.10 Buloba-Bujuko-24h'!I75,'2.11 Buloba-Bujuko-24HR'!I75)</f>
        <v>2.5</v>
      </c>
      <c r="J75" s="49">
        <f>AVERAGE('31.10 Buloba-Bujuko-24h'!J75,'2.11 Buloba-Bujuko-24HR'!J75)</f>
        <v>5</v>
      </c>
      <c r="K75" s="49">
        <f>AVERAGE('31.10 Buloba-Bujuko-24h'!K75,'2.11 Buloba-Bujuko-24HR'!K75)</f>
        <v>3</v>
      </c>
      <c r="L75" s="49">
        <f>AVERAGE('31.10 Buloba-Bujuko-24h'!L75,'2.11 Buloba-Bujuko-24HR'!L75)</f>
        <v>0.5</v>
      </c>
      <c r="M75" s="49">
        <f>AVERAGE('31.10 Buloba-Bujuko-24h'!M75,'2.11 Buloba-Bujuko-24HR'!M75)</f>
        <v>5.5</v>
      </c>
      <c r="N75" s="49">
        <f>AVERAGE('31.10 Buloba-Bujuko-24h'!N75,'2.11 Buloba-Bujuko-24HR'!N75)</f>
        <v>0</v>
      </c>
      <c r="O75" s="15">
        <f t="shared" si="35"/>
        <v>29</v>
      </c>
      <c r="P75" s="15">
        <f t="shared" si="36"/>
        <v>34.5</v>
      </c>
      <c r="R75" s="8"/>
      <c r="T75"/>
    </row>
    <row r="76" spans="2:20" ht="23.1" customHeight="1" x14ac:dyDescent="0.25">
      <c r="B76" s="23" t="s">
        <v>116</v>
      </c>
      <c r="C76" s="49">
        <f>AVERAGE('31.10 Buloba-Bujuko-24h'!C76,'2.11 Buloba-Bujuko-24HR'!C76)</f>
        <v>9</v>
      </c>
      <c r="D76" s="49">
        <f>AVERAGE('31.10 Buloba-Bujuko-24h'!D76,'2.11 Buloba-Bujuko-24HR'!D76)</f>
        <v>0</v>
      </c>
      <c r="E76" s="49">
        <f>AVERAGE('31.10 Buloba-Bujuko-24h'!E76,'2.11 Buloba-Bujuko-24HR'!E76)</f>
        <v>2.5</v>
      </c>
      <c r="F76" s="49">
        <f>AVERAGE('31.10 Buloba-Bujuko-24h'!F76,'2.11 Buloba-Bujuko-24HR'!F76)</f>
        <v>2.5</v>
      </c>
      <c r="G76" s="49">
        <f>AVERAGE('31.10 Buloba-Bujuko-24h'!G76,'2.11 Buloba-Bujuko-24HR'!G76)</f>
        <v>0</v>
      </c>
      <c r="H76" s="49">
        <f>AVERAGE('31.10 Buloba-Bujuko-24h'!H76,'2.11 Buloba-Bujuko-24HR'!H76)</f>
        <v>0</v>
      </c>
      <c r="I76" s="49">
        <f>AVERAGE('31.10 Buloba-Bujuko-24h'!I76,'2.11 Buloba-Bujuko-24HR'!I76)</f>
        <v>1.5</v>
      </c>
      <c r="J76" s="49">
        <f>AVERAGE('31.10 Buloba-Bujuko-24h'!J76,'2.11 Buloba-Bujuko-24HR'!J76)</f>
        <v>4</v>
      </c>
      <c r="K76" s="49">
        <f>AVERAGE('31.10 Buloba-Bujuko-24h'!K76,'2.11 Buloba-Bujuko-24HR'!K76)</f>
        <v>0</v>
      </c>
      <c r="L76" s="49">
        <f>AVERAGE('31.10 Buloba-Bujuko-24h'!L76,'2.11 Buloba-Bujuko-24HR'!L76)</f>
        <v>1</v>
      </c>
      <c r="M76" s="49">
        <f>AVERAGE('31.10 Buloba-Bujuko-24h'!M76,'2.11 Buloba-Bujuko-24HR'!M76)</f>
        <v>6.5</v>
      </c>
      <c r="N76" s="49">
        <f>AVERAGE('31.10 Buloba-Bujuko-24h'!N76,'2.11 Buloba-Bujuko-24HR'!N76)</f>
        <v>0</v>
      </c>
      <c r="O76" s="15">
        <f t="shared" si="35"/>
        <v>20.5</v>
      </c>
      <c r="P76" s="15">
        <f t="shared" si="36"/>
        <v>27</v>
      </c>
      <c r="R76" s="8"/>
      <c r="T76"/>
    </row>
    <row r="77" spans="2:20" ht="23.1" customHeight="1" x14ac:dyDescent="0.25">
      <c r="B77" s="23" t="s">
        <v>117</v>
      </c>
      <c r="C77" s="49">
        <f>AVERAGE('31.10 Buloba-Bujuko-24h'!C77,'2.11 Buloba-Bujuko-24HR'!C77)</f>
        <v>6.5</v>
      </c>
      <c r="D77" s="49">
        <f>AVERAGE('31.10 Buloba-Bujuko-24h'!D77,'2.11 Buloba-Bujuko-24HR'!D77)</f>
        <v>0.5</v>
      </c>
      <c r="E77" s="49">
        <f>AVERAGE('31.10 Buloba-Bujuko-24h'!E77,'2.11 Buloba-Bujuko-24HR'!E77)</f>
        <v>0</v>
      </c>
      <c r="F77" s="49">
        <f>AVERAGE('31.10 Buloba-Bujuko-24h'!F77,'2.11 Buloba-Bujuko-24HR'!F77)</f>
        <v>2</v>
      </c>
      <c r="G77" s="49">
        <f>AVERAGE('31.10 Buloba-Bujuko-24h'!G77,'2.11 Buloba-Bujuko-24HR'!G77)</f>
        <v>0</v>
      </c>
      <c r="H77" s="49">
        <f>AVERAGE('31.10 Buloba-Bujuko-24h'!H77,'2.11 Buloba-Bujuko-24HR'!H77)</f>
        <v>0</v>
      </c>
      <c r="I77" s="49">
        <f>AVERAGE('31.10 Buloba-Bujuko-24h'!I77,'2.11 Buloba-Bujuko-24HR'!I77)</f>
        <v>2</v>
      </c>
      <c r="J77" s="49">
        <f>AVERAGE('31.10 Buloba-Bujuko-24h'!J77,'2.11 Buloba-Bujuko-24HR'!J77)</f>
        <v>3</v>
      </c>
      <c r="K77" s="49">
        <f>AVERAGE('31.10 Buloba-Bujuko-24h'!K77,'2.11 Buloba-Bujuko-24HR'!K77)</f>
        <v>2.5</v>
      </c>
      <c r="L77" s="49">
        <f>AVERAGE('31.10 Buloba-Bujuko-24h'!L77,'2.11 Buloba-Bujuko-24HR'!L77)</f>
        <v>0</v>
      </c>
      <c r="M77" s="49">
        <f>AVERAGE('31.10 Buloba-Bujuko-24h'!M77,'2.11 Buloba-Bujuko-24HR'!M77)</f>
        <v>3</v>
      </c>
      <c r="N77" s="49">
        <f>AVERAGE('31.10 Buloba-Bujuko-24h'!N77,'2.11 Buloba-Bujuko-24HR'!N77)</f>
        <v>0</v>
      </c>
      <c r="O77" s="15">
        <f t="shared" si="35"/>
        <v>16.5</v>
      </c>
      <c r="P77" s="15">
        <f t="shared" si="36"/>
        <v>19.5</v>
      </c>
      <c r="R77" s="8"/>
      <c r="T77"/>
    </row>
    <row r="78" spans="2:20" ht="23.1" customHeight="1" x14ac:dyDescent="0.25">
      <c r="B78" s="24" t="s">
        <v>118</v>
      </c>
      <c r="C78" s="49">
        <f>AVERAGE('31.10 Buloba-Bujuko-24h'!C78,'2.11 Buloba-Bujuko-24HR'!C78)</f>
        <v>6.5</v>
      </c>
      <c r="D78" s="49">
        <f>AVERAGE('31.10 Buloba-Bujuko-24h'!D78,'2.11 Buloba-Bujuko-24HR'!D78)</f>
        <v>1</v>
      </c>
      <c r="E78" s="49">
        <f>AVERAGE('31.10 Buloba-Bujuko-24h'!E78,'2.11 Buloba-Bujuko-24HR'!E78)</f>
        <v>0.5</v>
      </c>
      <c r="F78" s="49">
        <f>AVERAGE('31.10 Buloba-Bujuko-24h'!F78,'2.11 Buloba-Bujuko-24HR'!F78)</f>
        <v>3.5</v>
      </c>
      <c r="G78" s="49">
        <f>AVERAGE('31.10 Buloba-Bujuko-24h'!G78,'2.11 Buloba-Bujuko-24HR'!G78)</f>
        <v>0</v>
      </c>
      <c r="H78" s="49">
        <f>AVERAGE('31.10 Buloba-Bujuko-24h'!H78,'2.11 Buloba-Bujuko-24HR'!H78)</f>
        <v>0</v>
      </c>
      <c r="I78" s="49">
        <f>AVERAGE('31.10 Buloba-Bujuko-24h'!I78,'2.11 Buloba-Bujuko-24HR'!I78)</f>
        <v>4.5</v>
      </c>
      <c r="J78" s="49">
        <f>AVERAGE('31.10 Buloba-Bujuko-24h'!J78,'2.11 Buloba-Bujuko-24HR'!J78)</f>
        <v>3</v>
      </c>
      <c r="K78" s="49">
        <f>AVERAGE('31.10 Buloba-Bujuko-24h'!K78,'2.11 Buloba-Bujuko-24HR'!K78)</f>
        <v>0</v>
      </c>
      <c r="L78" s="49">
        <f>AVERAGE('31.10 Buloba-Bujuko-24h'!L78,'2.11 Buloba-Bujuko-24HR'!L78)</f>
        <v>1</v>
      </c>
      <c r="M78" s="49">
        <f>AVERAGE('31.10 Buloba-Bujuko-24h'!M78,'2.11 Buloba-Bujuko-24HR'!M78)</f>
        <v>4.5</v>
      </c>
      <c r="N78" s="49">
        <f>AVERAGE('31.10 Buloba-Bujuko-24h'!N78,'2.11 Buloba-Bujuko-24HR'!N78)</f>
        <v>0</v>
      </c>
      <c r="O78" s="15">
        <f t="shared" si="35"/>
        <v>20</v>
      </c>
      <c r="P78" s="15">
        <f t="shared" si="36"/>
        <v>24.5</v>
      </c>
      <c r="R78" s="8"/>
      <c r="T78"/>
    </row>
    <row r="79" spans="2:20" ht="23.1" customHeight="1" x14ac:dyDescent="0.25">
      <c r="B79" s="23" t="s">
        <v>119</v>
      </c>
      <c r="C79" s="49">
        <f>AVERAGE('31.10 Buloba-Bujuko-24h'!C79,'2.11 Buloba-Bujuko-24HR'!C79)</f>
        <v>6.5</v>
      </c>
      <c r="D79" s="49">
        <f>AVERAGE('31.10 Buloba-Bujuko-24h'!D79,'2.11 Buloba-Bujuko-24HR'!D79)</f>
        <v>0.5</v>
      </c>
      <c r="E79" s="49">
        <f>AVERAGE('31.10 Buloba-Bujuko-24h'!E79,'2.11 Buloba-Bujuko-24HR'!E79)</f>
        <v>1</v>
      </c>
      <c r="F79" s="49">
        <f>AVERAGE('31.10 Buloba-Bujuko-24h'!F79,'2.11 Buloba-Bujuko-24HR'!F79)</f>
        <v>3.5</v>
      </c>
      <c r="G79" s="49">
        <f>AVERAGE('31.10 Buloba-Bujuko-24h'!G79,'2.11 Buloba-Bujuko-24HR'!G79)</f>
        <v>0</v>
      </c>
      <c r="H79" s="49">
        <f>AVERAGE('31.10 Buloba-Bujuko-24h'!H79,'2.11 Buloba-Bujuko-24HR'!H79)</f>
        <v>0</v>
      </c>
      <c r="I79" s="49">
        <f>AVERAGE('31.10 Buloba-Bujuko-24h'!I79,'2.11 Buloba-Bujuko-24HR'!I79)</f>
        <v>5.5</v>
      </c>
      <c r="J79" s="49">
        <f>AVERAGE('31.10 Buloba-Bujuko-24h'!J79,'2.11 Buloba-Bujuko-24HR'!J79)</f>
        <v>2</v>
      </c>
      <c r="K79" s="49">
        <f>AVERAGE('31.10 Buloba-Bujuko-24h'!K79,'2.11 Buloba-Bujuko-24HR'!K79)</f>
        <v>0.5</v>
      </c>
      <c r="L79" s="49">
        <f>AVERAGE('31.10 Buloba-Bujuko-24h'!L79,'2.11 Buloba-Bujuko-24HR'!L79)</f>
        <v>0.5</v>
      </c>
      <c r="M79" s="49">
        <f>AVERAGE('31.10 Buloba-Bujuko-24h'!M79,'2.11 Buloba-Bujuko-24HR'!M79)</f>
        <v>3.5</v>
      </c>
      <c r="N79" s="49">
        <f>AVERAGE('31.10 Buloba-Bujuko-24h'!N79,'2.11 Buloba-Bujuko-24HR'!N79)</f>
        <v>0</v>
      </c>
      <c r="O79" s="15">
        <f t="shared" si="35"/>
        <v>20</v>
      </c>
      <c r="P79" s="15">
        <f t="shared" si="36"/>
        <v>23.5</v>
      </c>
      <c r="R79" s="8"/>
      <c r="T79"/>
    </row>
    <row r="80" spans="2:20" ht="23.1" customHeight="1" x14ac:dyDescent="0.25">
      <c r="B80" s="25" t="s">
        <v>120</v>
      </c>
      <c r="C80" s="49">
        <f>AVERAGE('31.10 Buloba-Bujuko-24h'!C80,'2.11 Buloba-Bujuko-24HR'!C80)</f>
        <v>6</v>
      </c>
      <c r="D80" s="49">
        <f>AVERAGE('31.10 Buloba-Bujuko-24h'!D80,'2.11 Buloba-Bujuko-24HR'!D80)</f>
        <v>1</v>
      </c>
      <c r="E80" s="49">
        <f>AVERAGE('31.10 Buloba-Bujuko-24h'!E80,'2.11 Buloba-Bujuko-24HR'!E80)</f>
        <v>3</v>
      </c>
      <c r="F80" s="49">
        <f>AVERAGE('31.10 Buloba-Bujuko-24h'!F80,'2.11 Buloba-Bujuko-24HR'!F80)</f>
        <v>2.5</v>
      </c>
      <c r="G80" s="49">
        <f>AVERAGE('31.10 Buloba-Bujuko-24h'!G80,'2.11 Buloba-Bujuko-24HR'!G80)</f>
        <v>0</v>
      </c>
      <c r="H80" s="49">
        <f>AVERAGE('31.10 Buloba-Bujuko-24h'!H80,'2.11 Buloba-Bujuko-24HR'!H80)</f>
        <v>0</v>
      </c>
      <c r="I80" s="49">
        <f>AVERAGE('31.10 Buloba-Bujuko-24h'!I80,'2.11 Buloba-Bujuko-24HR'!I80)</f>
        <v>3</v>
      </c>
      <c r="J80" s="49">
        <f>AVERAGE('31.10 Buloba-Bujuko-24h'!J80,'2.11 Buloba-Bujuko-24HR'!J80)</f>
        <v>2</v>
      </c>
      <c r="K80" s="49">
        <f>AVERAGE('31.10 Buloba-Bujuko-24h'!K80,'2.11 Buloba-Bujuko-24HR'!K80)</f>
        <v>0</v>
      </c>
      <c r="L80" s="49">
        <f>AVERAGE('31.10 Buloba-Bujuko-24h'!L80,'2.11 Buloba-Bujuko-24HR'!L80)</f>
        <v>0</v>
      </c>
      <c r="M80" s="49">
        <f>AVERAGE('31.10 Buloba-Bujuko-24h'!M80,'2.11 Buloba-Bujuko-24HR'!M80)</f>
        <v>3.5</v>
      </c>
      <c r="N80" s="49">
        <f>AVERAGE('31.10 Buloba-Bujuko-24h'!N80,'2.11 Buloba-Bujuko-24HR'!N80)</f>
        <v>0</v>
      </c>
      <c r="O80" s="15">
        <f t="shared" si="35"/>
        <v>17.5</v>
      </c>
      <c r="P80" s="15">
        <f t="shared" si="36"/>
        <v>21</v>
      </c>
      <c r="R80" s="8"/>
      <c r="T80"/>
    </row>
    <row r="81" spans="2:20" ht="23.1" customHeight="1" x14ac:dyDescent="0.25">
      <c r="B81" s="23" t="s">
        <v>121</v>
      </c>
      <c r="C81" s="49">
        <f>AVERAGE('31.10 Buloba-Bujuko-24h'!C81,'2.11 Buloba-Bujuko-24HR'!C81)</f>
        <v>4</v>
      </c>
      <c r="D81" s="49">
        <f>AVERAGE('31.10 Buloba-Bujuko-24h'!D81,'2.11 Buloba-Bujuko-24HR'!D81)</f>
        <v>0.5</v>
      </c>
      <c r="E81" s="49">
        <f>AVERAGE('31.10 Buloba-Bujuko-24h'!E81,'2.11 Buloba-Bujuko-24HR'!E81)</f>
        <v>0.5</v>
      </c>
      <c r="F81" s="49">
        <f>AVERAGE('31.10 Buloba-Bujuko-24h'!F81,'2.11 Buloba-Bujuko-24HR'!F81)</f>
        <v>1.5</v>
      </c>
      <c r="G81" s="49">
        <f>AVERAGE('31.10 Buloba-Bujuko-24h'!G81,'2.11 Buloba-Bujuko-24HR'!G81)</f>
        <v>0</v>
      </c>
      <c r="H81" s="49">
        <f>AVERAGE('31.10 Buloba-Bujuko-24h'!H81,'2.11 Buloba-Bujuko-24HR'!H81)</f>
        <v>0.5</v>
      </c>
      <c r="I81" s="49">
        <f>AVERAGE('31.10 Buloba-Bujuko-24h'!I81,'2.11 Buloba-Bujuko-24HR'!I81)</f>
        <v>2.5</v>
      </c>
      <c r="J81" s="49">
        <f>AVERAGE('31.10 Buloba-Bujuko-24h'!J81,'2.11 Buloba-Bujuko-24HR'!J81)</f>
        <v>2</v>
      </c>
      <c r="K81" s="49">
        <f>AVERAGE('31.10 Buloba-Bujuko-24h'!K81,'2.11 Buloba-Bujuko-24HR'!K81)</f>
        <v>1</v>
      </c>
      <c r="L81" s="49">
        <f>AVERAGE('31.10 Buloba-Bujuko-24h'!L81,'2.11 Buloba-Bujuko-24HR'!L81)</f>
        <v>1</v>
      </c>
      <c r="M81" s="49">
        <f>AVERAGE('31.10 Buloba-Bujuko-24h'!M81,'2.11 Buloba-Bujuko-24HR'!M81)</f>
        <v>3</v>
      </c>
      <c r="N81" s="49">
        <f>AVERAGE('31.10 Buloba-Bujuko-24h'!N81,'2.11 Buloba-Bujuko-24HR'!N81)</f>
        <v>0</v>
      </c>
      <c r="O81" s="15">
        <f t="shared" si="35"/>
        <v>13.5</v>
      </c>
      <c r="P81" s="15">
        <f t="shared" si="36"/>
        <v>16.5</v>
      </c>
      <c r="R81" s="8"/>
      <c r="T81"/>
    </row>
    <row r="82" spans="2:20" ht="23.1" customHeight="1" x14ac:dyDescent="0.25">
      <c r="B82" s="24" t="s">
        <v>122</v>
      </c>
      <c r="C82" s="49">
        <f>AVERAGE('31.10 Buloba-Bujuko-24h'!C82,'2.11 Buloba-Bujuko-24HR'!C82)</f>
        <v>1.5</v>
      </c>
      <c r="D82" s="49">
        <f>AVERAGE('31.10 Buloba-Bujuko-24h'!D82,'2.11 Buloba-Bujuko-24HR'!D82)</f>
        <v>1</v>
      </c>
      <c r="E82" s="49">
        <f>AVERAGE('31.10 Buloba-Bujuko-24h'!E82,'2.11 Buloba-Bujuko-24HR'!E82)</f>
        <v>0.5</v>
      </c>
      <c r="F82" s="49">
        <f>AVERAGE('31.10 Buloba-Bujuko-24h'!F82,'2.11 Buloba-Bujuko-24HR'!F82)</f>
        <v>1</v>
      </c>
      <c r="G82" s="49">
        <f>AVERAGE('31.10 Buloba-Bujuko-24h'!G82,'2.11 Buloba-Bujuko-24HR'!G82)</f>
        <v>0</v>
      </c>
      <c r="H82" s="49">
        <f>AVERAGE('31.10 Buloba-Bujuko-24h'!H82,'2.11 Buloba-Bujuko-24HR'!H82)</f>
        <v>0</v>
      </c>
      <c r="I82" s="49">
        <f>AVERAGE('31.10 Buloba-Bujuko-24h'!I82,'2.11 Buloba-Bujuko-24HR'!I82)</f>
        <v>1</v>
      </c>
      <c r="J82" s="49">
        <f>AVERAGE('31.10 Buloba-Bujuko-24h'!J82,'2.11 Buloba-Bujuko-24HR'!J82)</f>
        <v>3.5</v>
      </c>
      <c r="K82" s="49">
        <f>AVERAGE('31.10 Buloba-Bujuko-24h'!K82,'2.11 Buloba-Bujuko-24HR'!K82)</f>
        <v>1</v>
      </c>
      <c r="L82" s="49">
        <f>AVERAGE('31.10 Buloba-Bujuko-24h'!L82,'2.11 Buloba-Bujuko-24HR'!L82)</f>
        <v>0</v>
      </c>
      <c r="M82" s="49">
        <f>AVERAGE('31.10 Buloba-Bujuko-24h'!M82,'2.11 Buloba-Bujuko-24HR'!M82)</f>
        <v>1.5</v>
      </c>
      <c r="N82" s="49">
        <f>AVERAGE('31.10 Buloba-Bujuko-24h'!N82,'2.11 Buloba-Bujuko-24HR'!N82)</f>
        <v>0</v>
      </c>
      <c r="O82" s="15">
        <f t="shared" si="35"/>
        <v>9.5</v>
      </c>
      <c r="P82" s="15">
        <f t="shared" si="36"/>
        <v>11</v>
      </c>
      <c r="R82" s="8"/>
      <c r="T82"/>
    </row>
    <row r="83" spans="2:20" ht="23.1" customHeight="1" x14ac:dyDescent="0.25">
      <c r="B83" s="23" t="s">
        <v>123</v>
      </c>
      <c r="C83" s="49">
        <f>AVERAGE('31.10 Buloba-Bujuko-24h'!C83,'2.11 Buloba-Bujuko-24HR'!C83)</f>
        <v>2.5</v>
      </c>
      <c r="D83" s="49">
        <f>AVERAGE('31.10 Buloba-Bujuko-24h'!D83,'2.11 Buloba-Bujuko-24HR'!D83)</f>
        <v>1.5</v>
      </c>
      <c r="E83" s="49">
        <f>AVERAGE('31.10 Buloba-Bujuko-24h'!E83,'2.11 Buloba-Bujuko-24HR'!E83)</f>
        <v>1</v>
      </c>
      <c r="F83" s="49">
        <f>AVERAGE('31.10 Buloba-Bujuko-24h'!F83,'2.11 Buloba-Bujuko-24HR'!F83)</f>
        <v>0.5</v>
      </c>
      <c r="G83" s="49">
        <f>AVERAGE('31.10 Buloba-Bujuko-24h'!G83,'2.11 Buloba-Bujuko-24HR'!G83)</f>
        <v>0</v>
      </c>
      <c r="H83" s="49">
        <f>AVERAGE('31.10 Buloba-Bujuko-24h'!H83,'2.11 Buloba-Bujuko-24HR'!H83)</f>
        <v>0</v>
      </c>
      <c r="I83" s="49">
        <f>AVERAGE('31.10 Buloba-Bujuko-24h'!I83,'2.11 Buloba-Bujuko-24HR'!I83)</f>
        <v>1.5</v>
      </c>
      <c r="J83" s="49">
        <f>AVERAGE('31.10 Buloba-Bujuko-24h'!J83,'2.11 Buloba-Bujuko-24HR'!J83)</f>
        <v>0</v>
      </c>
      <c r="K83" s="49">
        <f>AVERAGE('31.10 Buloba-Bujuko-24h'!K83,'2.11 Buloba-Bujuko-24HR'!K83)</f>
        <v>0</v>
      </c>
      <c r="L83" s="49">
        <f>AVERAGE('31.10 Buloba-Bujuko-24h'!L83,'2.11 Buloba-Bujuko-24HR'!L83)</f>
        <v>1</v>
      </c>
      <c r="M83" s="49">
        <f>AVERAGE('31.10 Buloba-Bujuko-24h'!M83,'2.11 Buloba-Bujuko-24HR'!M83)</f>
        <v>2.5</v>
      </c>
      <c r="N83" s="49">
        <f>AVERAGE('31.10 Buloba-Bujuko-24h'!N83,'2.11 Buloba-Bujuko-24HR'!N83)</f>
        <v>0</v>
      </c>
      <c r="O83" s="15">
        <f t="shared" si="35"/>
        <v>8</v>
      </c>
      <c r="P83" s="15">
        <f t="shared" si="36"/>
        <v>10.5</v>
      </c>
      <c r="R83" s="8"/>
      <c r="T83"/>
    </row>
    <row r="84" spans="2:20" ht="23.1" customHeight="1" x14ac:dyDescent="0.25">
      <c r="B84" s="25" t="s">
        <v>124</v>
      </c>
      <c r="C84" s="49">
        <f>AVERAGE('31.10 Buloba-Bujuko-24h'!C84,'2.11 Buloba-Bujuko-24HR'!C84)</f>
        <v>3.5</v>
      </c>
      <c r="D84" s="49">
        <f>AVERAGE('31.10 Buloba-Bujuko-24h'!D84,'2.11 Buloba-Bujuko-24HR'!D84)</f>
        <v>0.5</v>
      </c>
      <c r="E84" s="49">
        <f>AVERAGE('31.10 Buloba-Bujuko-24h'!E84,'2.11 Buloba-Bujuko-24HR'!E84)</f>
        <v>0</v>
      </c>
      <c r="F84" s="49">
        <f>AVERAGE('31.10 Buloba-Bujuko-24h'!F84,'2.11 Buloba-Bujuko-24HR'!F84)</f>
        <v>0</v>
      </c>
      <c r="G84" s="49">
        <f>AVERAGE('31.10 Buloba-Bujuko-24h'!G84,'2.11 Buloba-Bujuko-24HR'!G84)</f>
        <v>0</v>
      </c>
      <c r="H84" s="49">
        <f>AVERAGE('31.10 Buloba-Bujuko-24h'!H84,'2.11 Buloba-Bujuko-24HR'!H84)</f>
        <v>0</v>
      </c>
      <c r="I84" s="49">
        <f>AVERAGE('31.10 Buloba-Bujuko-24h'!I84,'2.11 Buloba-Bujuko-24HR'!I84)</f>
        <v>1</v>
      </c>
      <c r="J84" s="49">
        <f>AVERAGE('31.10 Buloba-Bujuko-24h'!J84,'2.11 Buloba-Bujuko-24HR'!J84)</f>
        <v>0</v>
      </c>
      <c r="K84" s="49">
        <f>AVERAGE('31.10 Buloba-Bujuko-24h'!K84,'2.11 Buloba-Bujuko-24HR'!K84)</f>
        <v>1</v>
      </c>
      <c r="L84" s="49">
        <f>AVERAGE('31.10 Buloba-Bujuko-24h'!L84,'2.11 Buloba-Bujuko-24HR'!L84)</f>
        <v>0.5</v>
      </c>
      <c r="M84" s="49">
        <f>AVERAGE('31.10 Buloba-Bujuko-24h'!M84,'2.11 Buloba-Bujuko-24HR'!M84)</f>
        <v>2.5</v>
      </c>
      <c r="N84" s="49">
        <f>AVERAGE('31.10 Buloba-Bujuko-24h'!N84,'2.11 Buloba-Bujuko-24HR'!N84)</f>
        <v>0</v>
      </c>
      <c r="O84" s="15">
        <f t="shared" si="35"/>
        <v>6.5</v>
      </c>
      <c r="P84" s="15">
        <f t="shared" si="36"/>
        <v>9</v>
      </c>
      <c r="R84" s="8"/>
      <c r="T84"/>
    </row>
    <row r="85" spans="2:20" ht="23.1" customHeight="1" x14ac:dyDescent="0.25">
      <c r="B85" s="23" t="s">
        <v>125</v>
      </c>
      <c r="C85" s="49">
        <f>AVERAGE('31.10 Buloba-Bujuko-24h'!C85,'2.11 Buloba-Bujuko-24HR'!C85)</f>
        <v>1</v>
      </c>
      <c r="D85" s="49">
        <f>AVERAGE('31.10 Buloba-Bujuko-24h'!D85,'2.11 Buloba-Bujuko-24HR'!D85)</f>
        <v>1.5</v>
      </c>
      <c r="E85" s="49">
        <f>AVERAGE('31.10 Buloba-Bujuko-24h'!E85,'2.11 Buloba-Bujuko-24HR'!E85)</f>
        <v>0</v>
      </c>
      <c r="F85" s="49">
        <f>AVERAGE('31.10 Buloba-Bujuko-24h'!F85,'2.11 Buloba-Bujuko-24HR'!F85)</f>
        <v>1</v>
      </c>
      <c r="G85" s="49">
        <f>AVERAGE('31.10 Buloba-Bujuko-24h'!G85,'2.11 Buloba-Bujuko-24HR'!G85)</f>
        <v>0</v>
      </c>
      <c r="H85" s="49">
        <f>AVERAGE('31.10 Buloba-Bujuko-24h'!H85,'2.11 Buloba-Bujuko-24HR'!H85)</f>
        <v>0.5</v>
      </c>
      <c r="I85" s="49">
        <f>AVERAGE('31.10 Buloba-Bujuko-24h'!I85,'2.11 Buloba-Bujuko-24HR'!I85)</f>
        <v>0</v>
      </c>
      <c r="J85" s="49">
        <f>AVERAGE('31.10 Buloba-Bujuko-24h'!J85,'2.11 Buloba-Bujuko-24HR'!J85)</f>
        <v>2</v>
      </c>
      <c r="K85" s="49">
        <f>AVERAGE('31.10 Buloba-Bujuko-24h'!K85,'2.11 Buloba-Bujuko-24HR'!K85)</f>
        <v>0</v>
      </c>
      <c r="L85" s="49">
        <f>AVERAGE('31.10 Buloba-Bujuko-24h'!L85,'2.11 Buloba-Bujuko-24HR'!L85)</f>
        <v>0</v>
      </c>
      <c r="M85" s="49">
        <f>AVERAGE('31.10 Buloba-Bujuko-24h'!M85,'2.11 Buloba-Bujuko-24HR'!M85)</f>
        <v>2.5</v>
      </c>
      <c r="N85" s="49">
        <f>AVERAGE('31.10 Buloba-Bujuko-24h'!N85,'2.11 Buloba-Bujuko-24HR'!N85)</f>
        <v>0</v>
      </c>
      <c r="O85" s="15">
        <f t="shared" si="35"/>
        <v>6</v>
      </c>
      <c r="P85" s="15">
        <f t="shared" si="36"/>
        <v>8.5</v>
      </c>
      <c r="R85" s="8"/>
      <c r="T85"/>
    </row>
    <row r="86" spans="2:20" ht="23.1" customHeight="1" x14ac:dyDescent="0.25">
      <c r="B86" s="24" t="s">
        <v>126</v>
      </c>
      <c r="C86" s="49">
        <f>AVERAGE('31.10 Buloba-Bujuko-24h'!C86,'2.11 Buloba-Bujuko-24HR'!C86)</f>
        <v>3.5</v>
      </c>
      <c r="D86" s="49">
        <f>AVERAGE('31.10 Buloba-Bujuko-24h'!D86,'2.11 Buloba-Bujuko-24HR'!D86)</f>
        <v>1</v>
      </c>
      <c r="E86" s="49">
        <f>AVERAGE('31.10 Buloba-Bujuko-24h'!E86,'2.11 Buloba-Bujuko-24HR'!E86)</f>
        <v>0.5</v>
      </c>
      <c r="F86" s="49">
        <f>AVERAGE('31.10 Buloba-Bujuko-24h'!F86,'2.11 Buloba-Bujuko-24HR'!F86)</f>
        <v>0</v>
      </c>
      <c r="G86" s="49">
        <f>AVERAGE('31.10 Buloba-Bujuko-24h'!G86,'2.11 Buloba-Bujuko-24HR'!G86)</f>
        <v>0</v>
      </c>
      <c r="H86" s="49">
        <f>AVERAGE('31.10 Buloba-Bujuko-24h'!H86,'2.11 Buloba-Bujuko-24HR'!H86)</f>
        <v>0</v>
      </c>
      <c r="I86" s="49">
        <f>AVERAGE('31.10 Buloba-Bujuko-24h'!I86,'2.11 Buloba-Bujuko-24HR'!I86)</f>
        <v>0</v>
      </c>
      <c r="J86" s="49">
        <f>AVERAGE('31.10 Buloba-Bujuko-24h'!J86,'2.11 Buloba-Bujuko-24HR'!J86)</f>
        <v>1</v>
      </c>
      <c r="K86" s="49">
        <f>AVERAGE('31.10 Buloba-Bujuko-24h'!K86,'2.11 Buloba-Bujuko-24HR'!K86)</f>
        <v>2</v>
      </c>
      <c r="L86" s="49">
        <f>AVERAGE('31.10 Buloba-Bujuko-24h'!L86,'2.11 Buloba-Bujuko-24HR'!L86)</f>
        <v>0</v>
      </c>
      <c r="M86" s="49">
        <f>AVERAGE('31.10 Buloba-Bujuko-24h'!M86,'2.11 Buloba-Bujuko-24HR'!M86)</f>
        <v>2</v>
      </c>
      <c r="N86" s="49">
        <f>AVERAGE('31.10 Buloba-Bujuko-24h'!N86,'2.11 Buloba-Bujuko-24HR'!N86)</f>
        <v>0</v>
      </c>
      <c r="O86" s="15">
        <f t="shared" si="35"/>
        <v>8</v>
      </c>
      <c r="P86" s="15">
        <f t="shared" si="36"/>
        <v>10</v>
      </c>
      <c r="R86" s="8"/>
      <c r="T86"/>
    </row>
    <row r="87" spans="2:20" ht="23.1" customHeight="1" x14ac:dyDescent="0.25">
      <c r="B87" s="23" t="s">
        <v>127</v>
      </c>
      <c r="C87" s="49">
        <f>AVERAGE('31.10 Buloba-Bujuko-24h'!C87,'2.11 Buloba-Bujuko-24HR'!C87)</f>
        <v>1</v>
      </c>
      <c r="D87" s="49">
        <f>AVERAGE('31.10 Buloba-Bujuko-24h'!D87,'2.11 Buloba-Bujuko-24HR'!D87)</f>
        <v>0.5</v>
      </c>
      <c r="E87" s="49">
        <f>AVERAGE('31.10 Buloba-Bujuko-24h'!E87,'2.11 Buloba-Bujuko-24HR'!E87)</f>
        <v>2</v>
      </c>
      <c r="F87" s="49">
        <f>AVERAGE('31.10 Buloba-Bujuko-24h'!F87,'2.11 Buloba-Bujuko-24HR'!F87)</f>
        <v>0.5</v>
      </c>
      <c r="G87" s="49">
        <f>AVERAGE('31.10 Buloba-Bujuko-24h'!G87,'2.11 Buloba-Bujuko-24HR'!G87)</f>
        <v>0</v>
      </c>
      <c r="H87" s="49">
        <f>AVERAGE('31.10 Buloba-Bujuko-24h'!H87,'2.11 Buloba-Bujuko-24HR'!H87)</f>
        <v>0</v>
      </c>
      <c r="I87" s="49">
        <f>AVERAGE('31.10 Buloba-Bujuko-24h'!I87,'2.11 Buloba-Bujuko-24HR'!I87)</f>
        <v>0</v>
      </c>
      <c r="J87" s="49">
        <f>AVERAGE('31.10 Buloba-Bujuko-24h'!J87,'2.11 Buloba-Bujuko-24HR'!J87)</f>
        <v>0</v>
      </c>
      <c r="K87" s="49">
        <f>AVERAGE('31.10 Buloba-Bujuko-24h'!K87,'2.11 Buloba-Bujuko-24HR'!K87)</f>
        <v>0.5</v>
      </c>
      <c r="L87" s="49">
        <f>AVERAGE('31.10 Buloba-Bujuko-24h'!L87,'2.11 Buloba-Bujuko-24HR'!L87)</f>
        <v>0.5</v>
      </c>
      <c r="M87" s="49">
        <f>AVERAGE('31.10 Buloba-Bujuko-24h'!M87,'2.11 Buloba-Bujuko-24HR'!M87)</f>
        <v>0.5</v>
      </c>
      <c r="N87" s="49">
        <f>AVERAGE('31.10 Buloba-Bujuko-24h'!N87,'2.11 Buloba-Bujuko-24HR'!N87)</f>
        <v>0</v>
      </c>
      <c r="O87" s="15">
        <f t="shared" si="35"/>
        <v>5</v>
      </c>
      <c r="P87" s="15">
        <f t="shared" si="36"/>
        <v>5.5</v>
      </c>
      <c r="R87" s="8"/>
      <c r="T87"/>
    </row>
    <row r="88" spans="2:20" ht="23.1" customHeight="1" x14ac:dyDescent="0.25">
      <c r="B88" s="25" t="s">
        <v>128</v>
      </c>
      <c r="C88" s="49">
        <f>AVERAGE('31.10 Buloba-Bujuko-24h'!C88,'2.11 Buloba-Bujuko-24HR'!C88)</f>
        <v>0</v>
      </c>
      <c r="D88" s="49">
        <f>AVERAGE('31.10 Buloba-Bujuko-24h'!D88,'2.11 Buloba-Bujuko-24HR'!D88)</f>
        <v>0</v>
      </c>
      <c r="E88" s="49">
        <f>AVERAGE('31.10 Buloba-Bujuko-24h'!E88,'2.11 Buloba-Bujuko-24HR'!E88)</f>
        <v>0</v>
      </c>
      <c r="F88" s="49">
        <f>AVERAGE('31.10 Buloba-Bujuko-24h'!F88,'2.11 Buloba-Bujuko-24HR'!F88)</f>
        <v>0</v>
      </c>
      <c r="G88" s="49">
        <f>AVERAGE('31.10 Buloba-Bujuko-24h'!G88,'2.11 Buloba-Bujuko-24HR'!G88)</f>
        <v>0</v>
      </c>
      <c r="H88" s="49">
        <f>AVERAGE('31.10 Buloba-Bujuko-24h'!H88,'2.11 Buloba-Bujuko-24HR'!H88)</f>
        <v>0</v>
      </c>
      <c r="I88" s="49">
        <f>AVERAGE('31.10 Buloba-Bujuko-24h'!I88,'2.11 Buloba-Bujuko-24HR'!I88)</f>
        <v>1.5</v>
      </c>
      <c r="J88" s="49">
        <f>AVERAGE('31.10 Buloba-Bujuko-24h'!J88,'2.11 Buloba-Bujuko-24HR'!J88)</f>
        <v>1</v>
      </c>
      <c r="K88" s="49">
        <f>AVERAGE('31.10 Buloba-Bujuko-24h'!K88,'2.11 Buloba-Bujuko-24HR'!K88)</f>
        <v>1</v>
      </c>
      <c r="L88" s="49">
        <f>AVERAGE('31.10 Buloba-Bujuko-24h'!L88,'2.11 Buloba-Bujuko-24HR'!L88)</f>
        <v>0</v>
      </c>
      <c r="M88" s="49">
        <f>AVERAGE('31.10 Buloba-Bujuko-24h'!M88,'2.11 Buloba-Bujuko-24HR'!M88)</f>
        <v>2.5</v>
      </c>
      <c r="N88" s="49">
        <f>AVERAGE('31.10 Buloba-Bujuko-24h'!N88,'2.11 Buloba-Bujuko-24HR'!N88)</f>
        <v>0</v>
      </c>
      <c r="O88" s="15">
        <f t="shared" si="35"/>
        <v>3.5</v>
      </c>
      <c r="P88" s="15">
        <f t="shared" si="36"/>
        <v>6</v>
      </c>
      <c r="R88" s="8"/>
      <c r="T88"/>
    </row>
    <row r="89" spans="2:20" ht="23.1" customHeight="1" x14ac:dyDescent="0.25">
      <c r="B89" s="23" t="s">
        <v>129</v>
      </c>
      <c r="C89" s="49">
        <f>AVERAGE('31.10 Buloba-Bujuko-24h'!C89,'2.11 Buloba-Bujuko-24HR'!C89)</f>
        <v>1.5</v>
      </c>
      <c r="D89" s="49">
        <f>AVERAGE('31.10 Buloba-Bujuko-24h'!D89,'2.11 Buloba-Bujuko-24HR'!D89)</f>
        <v>0.5</v>
      </c>
      <c r="E89" s="49">
        <f>AVERAGE('31.10 Buloba-Bujuko-24h'!E89,'2.11 Buloba-Bujuko-24HR'!E89)</f>
        <v>0.5</v>
      </c>
      <c r="F89" s="49">
        <f>AVERAGE('31.10 Buloba-Bujuko-24h'!F89,'2.11 Buloba-Bujuko-24HR'!F89)</f>
        <v>0.5</v>
      </c>
      <c r="G89" s="49">
        <f>AVERAGE('31.10 Buloba-Bujuko-24h'!G89,'2.11 Buloba-Bujuko-24HR'!G89)</f>
        <v>0</v>
      </c>
      <c r="H89" s="49">
        <f>AVERAGE('31.10 Buloba-Bujuko-24h'!H89,'2.11 Buloba-Bujuko-24HR'!H89)</f>
        <v>0</v>
      </c>
      <c r="I89" s="49">
        <f>AVERAGE('31.10 Buloba-Bujuko-24h'!I89,'2.11 Buloba-Bujuko-24HR'!I89)</f>
        <v>1.5</v>
      </c>
      <c r="J89" s="49">
        <f>AVERAGE('31.10 Buloba-Bujuko-24h'!J89,'2.11 Buloba-Bujuko-24HR'!J89)</f>
        <v>1</v>
      </c>
      <c r="K89" s="49">
        <f>AVERAGE('31.10 Buloba-Bujuko-24h'!K89,'2.11 Buloba-Bujuko-24HR'!K89)</f>
        <v>0</v>
      </c>
      <c r="L89" s="49">
        <f>AVERAGE('31.10 Buloba-Bujuko-24h'!L89,'2.11 Buloba-Bujuko-24HR'!L89)</f>
        <v>0</v>
      </c>
      <c r="M89" s="49">
        <f>AVERAGE('31.10 Buloba-Bujuko-24h'!M89,'2.11 Buloba-Bujuko-24HR'!M89)</f>
        <v>3</v>
      </c>
      <c r="N89" s="49">
        <f>AVERAGE('31.10 Buloba-Bujuko-24h'!N89,'2.11 Buloba-Bujuko-24HR'!N89)</f>
        <v>0</v>
      </c>
      <c r="O89" s="15">
        <f t="shared" si="35"/>
        <v>5.5</v>
      </c>
      <c r="P89" s="15">
        <f t="shared" si="36"/>
        <v>8.5</v>
      </c>
      <c r="R89" s="8"/>
      <c r="T89"/>
    </row>
    <row r="90" spans="2:20" ht="23.1" customHeight="1" x14ac:dyDescent="0.25">
      <c r="B90" s="24" t="s">
        <v>130</v>
      </c>
      <c r="C90" s="49">
        <f>AVERAGE('31.10 Buloba-Bujuko-24h'!C90,'2.11 Buloba-Bujuko-24HR'!C90)</f>
        <v>0.5</v>
      </c>
      <c r="D90" s="49">
        <f>AVERAGE('31.10 Buloba-Bujuko-24h'!D90,'2.11 Buloba-Bujuko-24HR'!D90)</f>
        <v>1</v>
      </c>
      <c r="E90" s="49">
        <f>AVERAGE('31.10 Buloba-Bujuko-24h'!E90,'2.11 Buloba-Bujuko-24HR'!E90)</f>
        <v>0.5</v>
      </c>
      <c r="F90" s="49">
        <f>AVERAGE('31.10 Buloba-Bujuko-24h'!F90,'2.11 Buloba-Bujuko-24HR'!F90)</f>
        <v>0</v>
      </c>
      <c r="G90" s="49">
        <f>AVERAGE('31.10 Buloba-Bujuko-24h'!G90,'2.11 Buloba-Bujuko-24HR'!G90)</f>
        <v>0</v>
      </c>
      <c r="H90" s="49">
        <f>AVERAGE('31.10 Buloba-Bujuko-24h'!H90,'2.11 Buloba-Bujuko-24HR'!H90)</f>
        <v>0</v>
      </c>
      <c r="I90" s="49">
        <f>AVERAGE('31.10 Buloba-Bujuko-24h'!I90,'2.11 Buloba-Bujuko-24HR'!I90)</f>
        <v>0.5</v>
      </c>
      <c r="J90" s="49">
        <f>AVERAGE('31.10 Buloba-Bujuko-24h'!J90,'2.11 Buloba-Bujuko-24HR'!J90)</f>
        <v>1</v>
      </c>
      <c r="K90" s="49">
        <f>AVERAGE('31.10 Buloba-Bujuko-24h'!K90,'2.11 Buloba-Bujuko-24HR'!K90)</f>
        <v>1</v>
      </c>
      <c r="L90" s="49">
        <f>AVERAGE('31.10 Buloba-Bujuko-24h'!L90,'2.11 Buloba-Bujuko-24HR'!L90)</f>
        <v>0</v>
      </c>
      <c r="M90" s="49">
        <f>AVERAGE('31.10 Buloba-Bujuko-24h'!M90,'2.11 Buloba-Bujuko-24HR'!M90)</f>
        <v>1</v>
      </c>
      <c r="N90" s="49">
        <f>AVERAGE('31.10 Buloba-Bujuko-24h'!N90,'2.11 Buloba-Bujuko-24HR'!N90)</f>
        <v>0</v>
      </c>
      <c r="O90" s="15">
        <f t="shared" si="35"/>
        <v>4.5</v>
      </c>
      <c r="P90" s="15">
        <f t="shared" si="36"/>
        <v>5.5</v>
      </c>
      <c r="R90" s="8"/>
      <c r="T90"/>
    </row>
    <row r="91" spans="2:20" ht="23.1" customHeight="1" x14ac:dyDescent="0.25">
      <c r="B91" s="23" t="s">
        <v>131</v>
      </c>
      <c r="C91" s="49">
        <f>AVERAGE('31.10 Buloba-Bujuko-24h'!C91,'2.11 Buloba-Bujuko-24HR'!C91)</f>
        <v>1.5</v>
      </c>
      <c r="D91" s="49">
        <f>AVERAGE('31.10 Buloba-Bujuko-24h'!D91,'2.11 Buloba-Bujuko-24HR'!D91)</f>
        <v>0.5</v>
      </c>
      <c r="E91" s="49">
        <f>AVERAGE('31.10 Buloba-Bujuko-24h'!E91,'2.11 Buloba-Bujuko-24HR'!E91)</f>
        <v>0</v>
      </c>
      <c r="F91" s="49">
        <f>AVERAGE('31.10 Buloba-Bujuko-24h'!F91,'2.11 Buloba-Bujuko-24HR'!F91)</f>
        <v>0.5</v>
      </c>
      <c r="G91" s="49">
        <f>AVERAGE('31.10 Buloba-Bujuko-24h'!G91,'2.11 Buloba-Bujuko-24HR'!G91)</f>
        <v>0</v>
      </c>
      <c r="H91" s="49">
        <f>AVERAGE('31.10 Buloba-Bujuko-24h'!H91,'2.11 Buloba-Bujuko-24HR'!H91)</f>
        <v>0</v>
      </c>
      <c r="I91" s="49">
        <f>AVERAGE('31.10 Buloba-Bujuko-24h'!I91,'2.11 Buloba-Bujuko-24HR'!I91)</f>
        <v>1</v>
      </c>
      <c r="J91" s="49">
        <f>AVERAGE('31.10 Buloba-Bujuko-24h'!J91,'2.11 Buloba-Bujuko-24HR'!J91)</f>
        <v>0</v>
      </c>
      <c r="K91" s="49">
        <f>AVERAGE('31.10 Buloba-Bujuko-24h'!K91,'2.11 Buloba-Bujuko-24HR'!K91)</f>
        <v>0</v>
      </c>
      <c r="L91" s="49">
        <f>AVERAGE('31.10 Buloba-Bujuko-24h'!L91,'2.11 Buloba-Bujuko-24HR'!L91)</f>
        <v>0.5</v>
      </c>
      <c r="M91" s="49">
        <f>AVERAGE('31.10 Buloba-Bujuko-24h'!M91,'2.11 Buloba-Bujuko-24HR'!M91)</f>
        <v>1</v>
      </c>
      <c r="N91" s="49">
        <f>AVERAGE('31.10 Buloba-Bujuko-24h'!N91,'2.11 Buloba-Bujuko-24HR'!N91)</f>
        <v>0</v>
      </c>
      <c r="O91" s="15">
        <f t="shared" si="35"/>
        <v>4</v>
      </c>
      <c r="P91" s="15">
        <f t="shared" si="36"/>
        <v>5</v>
      </c>
      <c r="R91" s="8"/>
      <c r="T91"/>
    </row>
    <row r="92" spans="2:20" ht="23.1" customHeight="1" x14ac:dyDescent="0.25">
      <c r="B92" s="25" t="s">
        <v>132</v>
      </c>
      <c r="C92" s="49">
        <f>AVERAGE('31.10 Buloba-Bujuko-24h'!C92,'2.11 Buloba-Bujuko-24HR'!C92)</f>
        <v>1.5</v>
      </c>
      <c r="D92" s="49">
        <f>AVERAGE('31.10 Buloba-Bujuko-24h'!D92,'2.11 Buloba-Bujuko-24HR'!D92)</f>
        <v>0.5</v>
      </c>
      <c r="E92" s="49">
        <f>AVERAGE('31.10 Buloba-Bujuko-24h'!E92,'2.11 Buloba-Bujuko-24HR'!E92)</f>
        <v>0.5</v>
      </c>
      <c r="F92" s="49">
        <f>AVERAGE('31.10 Buloba-Bujuko-24h'!F92,'2.11 Buloba-Bujuko-24HR'!F92)</f>
        <v>0</v>
      </c>
      <c r="G92" s="49">
        <f>AVERAGE('31.10 Buloba-Bujuko-24h'!G92,'2.11 Buloba-Bujuko-24HR'!G92)</f>
        <v>0</v>
      </c>
      <c r="H92" s="49">
        <f>AVERAGE('31.10 Buloba-Bujuko-24h'!H92,'2.11 Buloba-Bujuko-24HR'!H92)</f>
        <v>0</v>
      </c>
      <c r="I92" s="49">
        <f>AVERAGE('31.10 Buloba-Bujuko-24h'!I92,'2.11 Buloba-Bujuko-24HR'!I92)</f>
        <v>1</v>
      </c>
      <c r="J92" s="49">
        <f>AVERAGE('31.10 Buloba-Bujuko-24h'!J92,'2.11 Buloba-Bujuko-24HR'!J92)</f>
        <v>0.5</v>
      </c>
      <c r="K92" s="49">
        <f>AVERAGE('31.10 Buloba-Bujuko-24h'!K92,'2.11 Buloba-Bujuko-24HR'!K92)</f>
        <v>0</v>
      </c>
      <c r="L92" s="49">
        <f>AVERAGE('31.10 Buloba-Bujuko-24h'!L92,'2.11 Buloba-Bujuko-24HR'!L92)</f>
        <v>0.5</v>
      </c>
      <c r="M92" s="49">
        <f>AVERAGE('31.10 Buloba-Bujuko-24h'!M92,'2.11 Buloba-Bujuko-24HR'!M92)</f>
        <v>0</v>
      </c>
      <c r="N92" s="49">
        <f>AVERAGE('31.10 Buloba-Bujuko-24h'!N92,'2.11 Buloba-Bujuko-24HR'!N92)</f>
        <v>0</v>
      </c>
      <c r="O92" s="15">
        <f t="shared" si="35"/>
        <v>4.5</v>
      </c>
      <c r="P92" s="15">
        <f t="shared" si="36"/>
        <v>4.5</v>
      </c>
      <c r="R92" s="8"/>
      <c r="T92"/>
    </row>
    <row r="93" spans="2:20" ht="23.1" customHeight="1" x14ac:dyDescent="0.25">
      <c r="B93" s="23" t="s">
        <v>133</v>
      </c>
      <c r="C93" s="49">
        <f>AVERAGE('31.10 Buloba-Bujuko-24h'!C93,'2.11 Buloba-Bujuko-24HR'!C93)</f>
        <v>3</v>
      </c>
      <c r="D93" s="49">
        <f>AVERAGE('31.10 Buloba-Bujuko-24h'!D93,'2.11 Buloba-Bujuko-24HR'!D93)</f>
        <v>0</v>
      </c>
      <c r="E93" s="49">
        <f>AVERAGE('31.10 Buloba-Bujuko-24h'!E93,'2.11 Buloba-Bujuko-24HR'!E93)</f>
        <v>0.5</v>
      </c>
      <c r="F93" s="49">
        <f>AVERAGE('31.10 Buloba-Bujuko-24h'!F93,'2.11 Buloba-Bujuko-24HR'!F93)</f>
        <v>0.5</v>
      </c>
      <c r="G93" s="49">
        <f>AVERAGE('31.10 Buloba-Bujuko-24h'!G93,'2.11 Buloba-Bujuko-24HR'!G93)</f>
        <v>0</v>
      </c>
      <c r="H93" s="49">
        <f>AVERAGE('31.10 Buloba-Bujuko-24h'!H93,'2.11 Buloba-Bujuko-24HR'!H93)</f>
        <v>0</v>
      </c>
      <c r="I93" s="49">
        <f>AVERAGE('31.10 Buloba-Bujuko-24h'!I93,'2.11 Buloba-Bujuko-24HR'!I93)</f>
        <v>1</v>
      </c>
      <c r="J93" s="49">
        <f>AVERAGE('31.10 Buloba-Bujuko-24h'!J93,'2.11 Buloba-Bujuko-24HR'!J93)</f>
        <v>2</v>
      </c>
      <c r="K93" s="49">
        <f>AVERAGE('31.10 Buloba-Bujuko-24h'!K93,'2.11 Buloba-Bujuko-24HR'!K93)</f>
        <v>0</v>
      </c>
      <c r="L93" s="49">
        <f>AVERAGE('31.10 Buloba-Bujuko-24h'!L93,'2.11 Buloba-Bujuko-24HR'!L93)</f>
        <v>0.5</v>
      </c>
      <c r="M93" s="49">
        <f>AVERAGE('31.10 Buloba-Bujuko-24h'!M93,'2.11 Buloba-Bujuko-24HR'!M93)</f>
        <v>2</v>
      </c>
      <c r="N93" s="49">
        <f>AVERAGE('31.10 Buloba-Bujuko-24h'!N93,'2.11 Buloba-Bujuko-24HR'!N93)</f>
        <v>0</v>
      </c>
      <c r="O93" s="15">
        <f t="shared" si="35"/>
        <v>7.5</v>
      </c>
      <c r="P93" s="15">
        <f t="shared" si="36"/>
        <v>9.5</v>
      </c>
      <c r="R93" s="8"/>
      <c r="T93"/>
    </row>
    <row r="94" spans="2:20" ht="23.1" customHeight="1" x14ac:dyDescent="0.25">
      <c r="B94" s="24" t="s">
        <v>134</v>
      </c>
      <c r="C94" s="49">
        <f>AVERAGE('31.10 Buloba-Bujuko-24h'!C94,'2.11 Buloba-Bujuko-24HR'!C94)</f>
        <v>1.5</v>
      </c>
      <c r="D94" s="49">
        <f>AVERAGE('31.10 Buloba-Bujuko-24h'!D94,'2.11 Buloba-Bujuko-24HR'!D94)</f>
        <v>0</v>
      </c>
      <c r="E94" s="49">
        <f>AVERAGE('31.10 Buloba-Bujuko-24h'!E94,'2.11 Buloba-Bujuko-24HR'!E94)</f>
        <v>0</v>
      </c>
      <c r="F94" s="49">
        <f>AVERAGE('31.10 Buloba-Bujuko-24h'!F94,'2.11 Buloba-Bujuko-24HR'!F94)</f>
        <v>0</v>
      </c>
      <c r="G94" s="49">
        <f>AVERAGE('31.10 Buloba-Bujuko-24h'!G94,'2.11 Buloba-Bujuko-24HR'!G94)</f>
        <v>0</v>
      </c>
      <c r="H94" s="49">
        <f>AVERAGE('31.10 Buloba-Bujuko-24h'!H94,'2.11 Buloba-Bujuko-24HR'!H94)</f>
        <v>0</v>
      </c>
      <c r="I94" s="49">
        <f>AVERAGE('31.10 Buloba-Bujuko-24h'!I94,'2.11 Buloba-Bujuko-24HR'!I94)</f>
        <v>1</v>
      </c>
      <c r="J94" s="49">
        <f>AVERAGE('31.10 Buloba-Bujuko-24h'!J94,'2.11 Buloba-Bujuko-24HR'!J94)</f>
        <v>1</v>
      </c>
      <c r="K94" s="49">
        <f>AVERAGE('31.10 Buloba-Bujuko-24h'!K94,'2.11 Buloba-Bujuko-24HR'!K94)</f>
        <v>0.5</v>
      </c>
      <c r="L94" s="49">
        <f>AVERAGE('31.10 Buloba-Bujuko-24h'!L94,'2.11 Buloba-Bujuko-24HR'!L94)</f>
        <v>0</v>
      </c>
      <c r="M94" s="49">
        <f>AVERAGE('31.10 Buloba-Bujuko-24h'!M94,'2.11 Buloba-Bujuko-24HR'!M94)</f>
        <v>2</v>
      </c>
      <c r="N94" s="49">
        <f>AVERAGE('31.10 Buloba-Bujuko-24h'!N94,'2.11 Buloba-Bujuko-24HR'!N94)</f>
        <v>0</v>
      </c>
      <c r="O94" s="15">
        <f t="shared" si="35"/>
        <v>4</v>
      </c>
      <c r="P94" s="15">
        <f t="shared" si="36"/>
        <v>6</v>
      </c>
      <c r="R94" s="8"/>
      <c r="T94"/>
    </row>
    <row r="95" spans="2:20" ht="23.1" customHeight="1" x14ac:dyDescent="0.25">
      <c r="B95" s="23" t="s">
        <v>135</v>
      </c>
      <c r="C95" s="49">
        <f>AVERAGE('31.10 Buloba-Bujuko-24h'!C95,'2.11 Buloba-Bujuko-24HR'!C95)</f>
        <v>1</v>
      </c>
      <c r="D95" s="49">
        <f>AVERAGE('31.10 Buloba-Bujuko-24h'!D95,'2.11 Buloba-Bujuko-24HR'!D95)</f>
        <v>1.5</v>
      </c>
      <c r="E95" s="49">
        <f>AVERAGE('31.10 Buloba-Bujuko-24h'!E95,'2.11 Buloba-Bujuko-24HR'!E95)</f>
        <v>0</v>
      </c>
      <c r="F95" s="49">
        <f>AVERAGE('31.10 Buloba-Bujuko-24h'!F95,'2.11 Buloba-Bujuko-24HR'!F95)</f>
        <v>0</v>
      </c>
      <c r="G95" s="49">
        <f>AVERAGE('31.10 Buloba-Bujuko-24h'!G95,'2.11 Buloba-Bujuko-24HR'!G95)</f>
        <v>0</v>
      </c>
      <c r="H95" s="49">
        <f>AVERAGE('31.10 Buloba-Bujuko-24h'!H95,'2.11 Buloba-Bujuko-24HR'!H95)</f>
        <v>0</v>
      </c>
      <c r="I95" s="49">
        <f>AVERAGE('31.10 Buloba-Bujuko-24h'!I95,'2.11 Buloba-Bujuko-24HR'!I95)</f>
        <v>0</v>
      </c>
      <c r="J95" s="49">
        <f>AVERAGE('31.10 Buloba-Bujuko-24h'!J95,'2.11 Buloba-Bujuko-24HR'!J95)</f>
        <v>0</v>
      </c>
      <c r="K95" s="49">
        <f>AVERAGE('31.10 Buloba-Bujuko-24h'!K95,'2.11 Buloba-Bujuko-24HR'!K95)</f>
        <v>0</v>
      </c>
      <c r="L95" s="49">
        <f>AVERAGE('31.10 Buloba-Bujuko-24h'!L95,'2.11 Buloba-Bujuko-24HR'!L95)</f>
        <v>0</v>
      </c>
      <c r="M95" s="49">
        <f>AVERAGE('31.10 Buloba-Bujuko-24h'!M95,'2.11 Buloba-Bujuko-24HR'!M95)</f>
        <v>1.5</v>
      </c>
      <c r="N95" s="49">
        <f>AVERAGE('31.10 Buloba-Bujuko-24h'!N95,'2.11 Buloba-Bujuko-24HR'!N95)</f>
        <v>0</v>
      </c>
      <c r="O95" s="15">
        <f t="shared" si="35"/>
        <v>2.5</v>
      </c>
      <c r="P95" s="15">
        <f t="shared" si="36"/>
        <v>4</v>
      </c>
      <c r="R95" s="8"/>
      <c r="T95"/>
    </row>
    <row r="96" spans="2:20" ht="23.1" customHeight="1" x14ac:dyDescent="0.25">
      <c r="B96" s="25" t="s">
        <v>136</v>
      </c>
      <c r="C96" s="49">
        <f>AVERAGE('31.10 Buloba-Bujuko-24h'!C96,'2.11 Buloba-Bujuko-24HR'!C96)</f>
        <v>3</v>
      </c>
      <c r="D96" s="49">
        <f>AVERAGE('31.10 Buloba-Bujuko-24h'!D96,'2.11 Buloba-Bujuko-24HR'!D96)</f>
        <v>0.5</v>
      </c>
      <c r="E96" s="49">
        <f>AVERAGE('31.10 Buloba-Bujuko-24h'!E96,'2.11 Buloba-Bujuko-24HR'!E96)</f>
        <v>0</v>
      </c>
      <c r="F96" s="49">
        <f>AVERAGE('31.10 Buloba-Bujuko-24h'!F96,'2.11 Buloba-Bujuko-24HR'!F96)</f>
        <v>0</v>
      </c>
      <c r="G96" s="49">
        <f>AVERAGE('31.10 Buloba-Bujuko-24h'!G96,'2.11 Buloba-Bujuko-24HR'!G96)</f>
        <v>0</v>
      </c>
      <c r="H96" s="49">
        <f>AVERAGE('31.10 Buloba-Bujuko-24h'!H96,'2.11 Buloba-Bujuko-24HR'!H96)</f>
        <v>0</v>
      </c>
      <c r="I96" s="49">
        <f>AVERAGE('31.10 Buloba-Bujuko-24h'!I96,'2.11 Buloba-Bujuko-24HR'!I96)</f>
        <v>1</v>
      </c>
      <c r="J96" s="49">
        <f>AVERAGE('31.10 Buloba-Bujuko-24h'!J96,'2.11 Buloba-Bujuko-24HR'!J96)</f>
        <v>0.5</v>
      </c>
      <c r="K96" s="49">
        <f>AVERAGE('31.10 Buloba-Bujuko-24h'!K96,'2.11 Buloba-Bujuko-24HR'!K96)</f>
        <v>0.5</v>
      </c>
      <c r="L96" s="49">
        <f>AVERAGE('31.10 Buloba-Bujuko-24h'!L96,'2.11 Buloba-Bujuko-24HR'!L96)</f>
        <v>0</v>
      </c>
      <c r="M96" s="49">
        <f>AVERAGE('31.10 Buloba-Bujuko-24h'!M96,'2.11 Buloba-Bujuko-24HR'!M96)</f>
        <v>4.5</v>
      </c>
      <c r="N96" s="49">
        <f>AVERAGE('31.10 Buloba-Bujuko-24h'!N96,'2.11 Buloba-Bujuko-24HR'!N96)</f>
        <v>0</v>
      </c>
      <c r="O96" s="15">
        <f t="shared" si="35"/>
        <v>5.5</v>
      </c>
      <c r="P96" s="15">
        <f t="shared" si="36"/>
        <v>10</v>
      </c>
      <c r="R96" s="8"/>
      <c r="T96"/>
    </row>
    <row r="97" spans="2:20" ht="23.1" customHeight="1" x14ac:dyDescent="0.25">
      <c r="B97" s="23" t="s">
        <v>137</v>
      </c>
      <c r="C97" s="49">
        <f>AVERAGE('31.10 Buloba-Bujuko-24h'!C97,'2.11 Buloba-Bujuko-24HR'!C97)</f>
        <v>3</v>
      </c>
      <c r="D97" s="49">
        <f>AVERAGE('31.10 Buloba-Bujuko-24h'!D97,'2.11 Buloba-Bujuko-24HR'!D97)</f>
        <v>0.5</v>
      </c>
      <c r="E97" s="49">
        <f>AVERAGE('31.10 Buloba-Bujuko-24h'!E97,'2.11 Buloba-Bujuko-24HR'!E97)</f>
        <v>0</v>
      </c>
      <c r="F97" s="49">
        <f>AVERAGE('31.10 Buloba-Bujuko-24h'!F97,'2.11 Buloba-Bujuko-24HR'!F97)</f>
        <v>1</v>
      </c>
      <c r="G97" s="49">
        <f>AVERAGE('31.10 Buloba-Bujuko-24h'!G97,'2.11 Buloba-Bujuko-24HR'!G97)</f>
        <v>0</v>
      </c>
      <c r="H97" s="49">
        <f>AVERAGE('31.10 Buloba-Bujuko-24h'!H97,'2.11 Buloba-Bujuko-24HR'!H97)</f>
        <v>0</v>
      </c>
      <c r="I97" s="49">
        <f>AVERAGE('31.10 Buloba-Bujuko-24h'!I97,'2.11 Buloba-Bujuko-24HR'!I97)</f>
        <v>2</v>
      </c>
      <c r="J97" s="49">
        <f>AVERAGE('31.10 Buloba-Bujuko-24h'!J97,'2.11 Buloba-Bujuko-24HR'!J97)</f>
        <v>0.5</v>
      </c>
      <c r="K97" s="49">
        <f>AVERAGE('31.10 Buloba-Bujuko-24h'!K97,'2.11 Buloba-Bujuko-24HR'!K97)</f>
        <v>0</v>
      </c>
      <c r="L97" s="49">
        <f>AVERAGE('31.10 Buloba-Bujuko-24h'!L97,'2.11 Buloba-Bujuko-24HR'!L97)</f>
        <v>0</v>
      </c>
      <c r="M97" s="49">
        <f>AVERAGE('31.10 Buloba-Bujuko-24h'!M97,'2.11 Buloba-Bujuko-24HR'!M97)</f>
        <v>1.5</v>
      </c>
      <c r="N97" s="49">
        <f>AVERAGE('31.10 Buloba-Bujuko-24h'!N97,'2.11 Buloba-Bujuko-24HR'!N97)</f>
        <v>0</v>
      </c>
      <c r="O97" s="15">
        <f t="shared" si="35"/>
        <v>7</v>
      </c>
      <c r="P97" s="15">
        <f t="shared" si="36"/>
        <v>8.5</v>
      </c>
      <c r="R97" s="8"/>
      <c r="T97"/>
    </row>
    <row r="98" spans="2:20" ht="23.1" customHeight="1" x14ac:dyDescent="0.25">
      <c r="B98" s="24" t="s">
        <v>138</v>
      </c>
      <c r="C98" s="49">
        <f>AVERAGE('31.10 Buloba-Bujuko-24h'!C98,'2.11 Buloba-Bujuko-24HR'!C98)</f>
        <v>2</v>
      </c>
      <c r="D98" s="49">
        <f>AVERAGE('31.10 Buloba-Bujuko-24h'!D98,'2.11 Buloba-Bujuko-24HR'!D98)</f>
        <v>0.5</v>
      </c>
      <c r="E98" s="49">
        <f>AVERAGE('31.10 Buloba-Bujuko-24h'!E98,'2.11 Buloba-Bujuko-24HR'!E98)</f>
        <v>0.5</v>
      </c>
      <c r="F98" s="49">
        <f>AVERAGE('31.10 Buloba-Bujuko-24h'!F98,'2.11 Buloba-Bujuko-24HR'!F98)</f>
        <v>0.5</v>
      </c>
      <c r="G98" s="49">
        <f>AVERAGE('31.10 Buloba-Bujuko-24h'!G98,'2.11 Buloba-Bujuko-24HR'!G98)</f>
        <v>0</v>
      </c>
      <c r="H98" s="49">
        <f>AVERAGE('31.10 Buloba-Bujuko-24h'!H98,'2.11 Buloba-Bujuko-24HR'!H98)</f>
        <v>0.5</v>
      </c>
      <c r="I98" s="49">
        <f>AVERAGE('31.10 Buloba-Bujuko-24h'!I98,'2.11 Buloba-Bujuko-24HR'!I98)</f>
        <v>2</v>
      </c>
      <c r="J98" s="49">
        <f>AVERAGE('31.10 Buloba-Bujuko-24h'!J98,'2.11 Buloba-Bujuko-24HR'!J98)</f>
        <v>0</v>
      </c>
      <c r="K98" s="49">
        <f>AVERAGE('31.10 Buloba-Bujuko-24h'!K98,'2.11 Buloba-Bujuko-24HR'!K98)</f>
        <v>1</v>
      </c>
      <c r="L98" s="49">
        <f>AVERAGE('31.10 Buloba-Bujuko-24h'!L98,'2.11 Buloba-Bujuko-24HR'!L98)</f>
        <v>0.5</v>
      </c>
      <c r="M98" s="49">
        <f>AVERAGE('31.10 Buloba-Bujuko-24h'!M98,'2.11 Buloba-Bujuko-24HR'!M98)</f>
        <v>4</v>
      </c>
      <c r="N98" s="49">
        <f>AVERAGE('31.10 Buloba-Bujuko-24h'!N98,'2.11 Buloba-Bujuko-24HR'!N98)</f>
        <v>0</v>
      </c>
      <c r="O98" s="15">
        <f t="shared" si="35"/>
        <v>7.5</v>
      </c>
      <c r="P98" s="15">
        <f t="shared" si="36"/>
        <v>11.5</v>
      </c>
      <c r="R98" s="8"/>
      <c r="T98"/>
    </row>
    <row r="99" spans="2:20" ht="23.1" customHeight="1" x14ac:dyDescent="0.25">
      <c r="B99" s="23" t="s">
        <v>139</v>
      </c>
      <c r="C99" s="49">
        <f>AVERAGE('31.10 Buloba-Bujuko-24h'!C99,'2.11 Buloba-Bujuko-24HR'!C99)</f>
        <v>4.5</v>
      </c>
      <c r="D99" s="49">
        <f>AVERAGE('31.10 Buloba-Bujuko-24h'!D99,'2.11 Buloba-Bujuko-24HR'!D99)</f>
        <v>0</v>
      </c>
      <c r="E99" s="49">
        <f>AVERAGE('31.10 Buloba-Bujuko-24h'!E99,'2.11 Buloba-Bujuko-24HR'!E99)</f>
        <v>0</v>
      </c>
      <c r="F99" s="49">
        <f>AVERAGE('31.10 Buloba-Bujuko-24h'!F99,'2.11 Buloba-Bujuko-24HR'!F99)</f>
        <v>1</v>
      </c>
      <c r="G99" s="49">
        <f>AVERAGE('31.10 Buloba-Bujuko-24h'!G99,'2.11 Buloba-Bujuko-24HR'!G99)</f>
        <v>0.5</v>
      </c>
      <c r="H99" s="49">
        <f>AVERAGE('31.10 Buloba-Bujuko-24h'!H99,'2.11 Buloba-Bujuko-24HR'!H99)</f>
        <v>0</v>
      </c>
      <c r="I99" s="49">
        <f>AVERAGE('31.10 Buloba-Bujuko-24h'!I99,'2.11 Buloba-Bujuko-24HR'!I99)</f>
        <v>0</v>
      </c>
      <c r="J99" s="49">
        <f>AVERAGE('31.10 Buloba-Bujuko-24h'!J99,'2.11 Buloba-Bujuko-24HR'!J99)</f>
        <v>1</v>
      </c>
      <c r="K99" s="49">
        <f>AVERAGE('31.10 Buloba-Bujuko-24h'!K99,'2.11 Buloba-Bujuko-24HR'!K99)</f>
        <v>1</v>
      </c>
      <c r="L99" s="49">
        <f>AVERAGE('31.10 Buloba-Bujuko-24h'!L99,'2.11 Buloba-Bujuko-24HR'!L99)</f>
        <v>0</v>
      </c>
      <c r="M99" s="49">
        <f>AVERAGE('31.10 Buloba-Bujuko-24h'!M99,'2.11 Buloba-Bujuko-24HR'!M99)</f>
        <v>3</v>
      </c>
      <c r="N99" s="49">
        <f>AVERAGE('31.10 Buloba-Bujuko-24h'!N99,'2.11 Buloba-Bujuko-24HR'!N99)</f>
        <v>0</v>
      </c>
      <c r="O99" s="15">
        <f t="shared" si="35"/>
        <v>8</v>
      </c>
      <c r="P99" s="15">
        <f t="shared" si="36"/>
        <v>11</v>
      </c>
      <c r="R99" s="8"/>
      <c r="T99"/>
    </row>
    <row r="100" spans="2:20" ht="23.1" customHeight="1" x14ac:dyDescent="0.25">
      <c r="B100" s="25" t="s">
        <v>140</v>
      </c>
      <c r="C100" s="49">
        <f>AVERAGE('31.10 Buloba-Bujuko-24h'!C100,'2.11 Buloba-Bujuko-24HR'!C100)</f>
        <v>2</v>
      </c>
      <c r="D100" s="49">
        <f>AVERAGE('31.10 Buloba-Bujuko-24h'!D100,'2.11 Buloba-Bujuko-24HR'!D100)</f>
        <v>2</v>
      </c>
      <c r="E100" s="49">
        <f>AVERAGE('31.10 Buloba-Bujuko-24h'!E100,'2.11 Buloba-Bujuko-24HR'!E100)</f>
        <v>1</v>
      </c>
      <c r="F100" s="49">
        <f>AVERAGE('31.10 Buloba-Bujuko-24h'!F100,'2.11 Buloba-Bujuko-24HR'!F100)</f>
        <v>1</v>
      </c>
      <c r="G100" s="49">
        <f>AVERAGE('31.10 Buloba-Bujuko-24h'!G100,'2.11 Buloba-Bujuko-24HR'!G100)</f>
        <v>0</v>
      </c>
      <c r="H100" s="49">
        <f>AVERAGE('31.10 Buloba-Bujuko-24h'!H100,'2.11 Buloba-Bujuko-24HR'!H100)</f>
        <v>0</v>
      </c>
      <c r="I100" s="49">
        <f>AVERAGE('31.10 Buloba-Bujuko-24h'!I100,'2.11 Buloba-Bujuko-24HR'!I100)</f>
        <v>0.5</v>
      </c>
      <c r="J100" s="49">
        <f>AVERAGE('31.10 Buloba-Bujuko-24h'!J100,'2.11 Buloba-Bujuko-24HR'!J100)</f>
        <v>0.5</v>
      </c>
      <c r="K100" s="49">
        <f>AVERAGE('31.10 Buloba-Bujuko-24h'!K100,'2.11 Buloba-Bujuko-24HR'!K100)</f>
        <v>0.5</v>
      </c>
      <c r="L100" s="49">
        <f>AVERAGE('31.10 Buloba-Bujuko-24h'!L100,'2.11 Buloba-Bujuko-24HR'!L100)</f>
        <v>0</v>
      </c>
      <c r="M100" s="49">
        <f>AVERAGE('31.10 Buloba-Bujuko-24h'!M100,'2.11 Buloba-Bujuko-24HR'!M100)</f>
        <v>10</v>
      </c>
      <c r="N100" s="49">
        <f>AVERAGE('31.10 Buloba-Bujuko-24h'!N100,'2.11 Buloba-Bujuko-24HR'!N100)</f>
        <v>0</v>
      </c>
      <c r="O100" s="15">
        <f t="shared" si="35"/>
        <v>7.5</v>
      </c>
      <c r="P100" s="15">
        <f t="shared" si="36"/>
        <v>17.5</v>
      </c>
      <c r="R100" s="8"/>
      <c r="T100"/>
    </row>
    <row r="101" spans="2:20" ht="23.1" customHeight="1" x14ac:dyDescent="0.25">
      <c r="B101" s="23" t="s">
        <v>141</v>
      </c>
      <c r="C101" s="49">
        <f>AVERAGE('31.10 Buloba-Bujuko-24h'!C101,'2.11 Buloba-Bujuko-24HR'!C101)</f>
        <v>4</v>
      </c>
      <c r="D101" s="49">
        <f>AVERAGE('31.10 Buloba-Bujuko-24h'!D101,'2.11 Buloba-Bujuko-24HR'!D101)</f>
        <v>1</v>
      </c>
      <c r="E101" s="49">
        <f>AVERAGE('31.10 Buloba-Bujuko-24h'!E101,'2.11 Buloba-Bujuko-24HR'!E101)</f>
        <v>0</v>
      </c>
      <c r="F101" s="49">
        <f>AVERAGE('31.10 Buloba-Bujuko-24h'!F101,'2.11 Buloba-Bujuko-24HR'!F101)</f>
        <v>0</v>
      </c>
      <c r="G101" s="49">
        <f>AVERAGE('31.10 Buloba-Bujuko-24h'!G101,'2.11 Buloba-Bujuko-24HR'!G101)</f>
        <v>0</v>
      </c>
      <c r="H101" s="49">
        <f>AVERAGE('31.10 Buloba-Bujuko-24h'!H101,'2.11 Buloba-Bujuko-24HR'!H101)</f>
        <v>0.5</v>
      </c>
      <c r="I101" s="49">
        <f>AVERAGE('31.10 Buloba-Bujuko-24h'!I101,'2.11 Buloba-Bujuko-24HR'!I101)</f>
        <v>1.5</v>
      </c>
      <c r="J101" s="49">
        <f>AVERAGE('31.10 Buloba-Bujuko-24h'!J101,'2.11 Buloba-Bujuko-24HR'!J101)</f>
        <v>0</v>
      </c>
      <c r="K101" s="49">
        <f>AVERAGE('31.10 Buloba-Bujuko-24h'!K101,'2.11 Buloba-Bujuko-24HR'!K101)</f>
        <v>0</v>
      </c>
      <c r="L101" s="49">
        <f>AVERAGE('31.10 Buloba-Bujuko-24h'!L101,'2.11 Buloba-Bujuko-24HR'!L101)</f>
        <v>0.5</v>
      </c>
      <c r="M101" s="49">
        <f>AVERAGE('31.10 Buloba-Bujuko-24h'!M101,'2.11 Buloba-Bujuko-24HR'!M101)</f>
        <v>2</v>
      </c>
      <c r="N101" s="49">
        <f>AVERAGE('31.10 Buloba-Bujuko-24h'!N101,'2.11 Buloba-Bujuko-24HR'!N101)</f>
        <v>0</v>
      </c>
      <c r="O101" s="15">
        <f t="shared" si="35"/>
        <v>7.5</v>
      </c>
      <c r="P101" s="15">
        <f t="shared" si="36"/>
        <v>9.5</v>
      </c>
      <c r="R101" s="8"/>
      <c r="T101"/>
    </row>
    <row r="102" spans="2:20" ht="23.1" customHeight="1" x14ac:dyDescent="0.25">
      <c r="B102" s="24" t="s">
        <v>142</v>
      </c>
      <c r="C102" s="49">
        <f>AVERAGE('31.10 Buloba-Bujuko-24h'!C102,'2.11 Buloba-Bujuko-24HR'!C102)</f>
        <v>2</v>
      </c>
      <c r="D102" s="49">
        <f>AVERAGE('31.10 Buloba-Bujuko-24h'!D102,'2.11 Buloba-Bujuko-24HR'!D102)</f>
        <v>0.5</v>
      </c>
      <c r="E102" s="49">
        <f>AVERAGE('31.10 Buloba-Bujuko-24h'!E102,'2.11 Buloba-Bujuko-24HR'!E102)</f>
        <v>0.5</v>
      </c>
      <c r="F102" s="49">
        <f>AVERAGE('31.10 Buloba-Bujuko-24h'!F102,'2.11 Buloba-Bujuko-24HR'!F102)</f>
        <v>1.5</v>
      </c>
      <c r="G102" s="49">
        <f>AVERAGE('31.10 Buloba-Bujuko-24h'!G102,'2.11 Buloba-Bujuko-24HR'!G102)</f>
        <v>0</v>
      </c>
      <c r="H102" s="49">
        <f>AVERAGE('31.10 Buloba-Bujuko-24h'!H102,'2.11 Buloba-Bujuko-24HR'!H102)</f>
        <v>0</v>
      </c>
      <c r="I102" s="49">
        <f>AVERAGE('31.10 Buloba-Bujuko-24h'!I102,'2.11 Buloba-Bujuko-24HR'!I102)</f>
        <v>1.5</v>
      </c>
      <c r="J102" s="49">
        <f>AVERAGE('31.10 Buloba-Bujuko-24h'!J102,'2.11 Buloba-Bujuko-24HR'!J102)</f>
        <v>1</v>
      </c>
      <c r="K102" s="49">
        <f>AVERAGE('31.10 Buloba-Bujuko-24h'!K102,'2.11 Buloba-Bujuko-24HR'!K102)</f>
        <v>0.5</v>
      </c>
      <c r="L102" s="49">
        <f>AVERAGE('31.10 Buloba-Bujuko-24h'!L102,'2.11 Buloba-Bujuko-24HR'!L102)</f>
        <v>0</v>
      </c>
      <c r="M102" s="49">
        <f>AVERAGE('31.10 Buloba-Bujuko-24h'!M102,'2.11 Buloba-Bujuko-24HR'!M102)</f>
        <v>3.5</v>
      </c>
      <c r="N102" s="49">
        <f>AVERAGE('31.10 Buloba-Bujuko-24h'!N102,'2.11 Buloba-Bujuko-24HR'!N102)</f>
        <v>0</v>
      </c>
      <c r="O102" s="15">
        <f t="shared" si="35"/>
        <v>7.5</v>
      </c>
      <c r="P102" s="15">
        <f t="shared" si="36"/>
        <v>11</v>
      </c>
      <c r="R102" s="8"/>
      <c r="T102"/>
    </row>
    <row r="103" spans="2:20" ht="23.1" customHeight="1" x14ac:dyDescent="0.25">
      <c r="B103" s="23" t="s">
        <v>143</v>
      </c>
      <c r="C103" s="49">
        <f>AVERAGE('31.10 Buloba-Bujuko-24h'!C103,'2.11 Buloba-Bujuko-24HR'!C103)</f>
        <v>4.5</v>
      </c>
      <c r="D103" s="49">
        <f>AVERAGE('31.10 Buloba-Bujuko-24h'!D103,'2.11 Buloba-Bujuko-24HR'!D103)</f>
        <v>0.5</v>
      </c>
      <c r="E103" s="49">
        <f>AVERAGE('31.10 Buloba-Bujuko-24h'!E103,'2.11 Buloba-Bujuko-24HR'!E103)</f>
        <v>1</v>
      </c>
      <c r="F103" s="49">
        <f>AVERAGE('31.10 Buloba-Bujuko-24h'!F103,'2.11 Buloba-Bujuko-24HR'!F103)</f>
        <v>2</v>
      </c>
      <c r="G103" s="49">
        <f>AVERAGE('31.10 Buloba-Bujuko-24h'!G103,'2.11 Buloba-Bujuko-24HR'!G103)</f>
        <v>0.5</v>
      </c>
      <c r="H103" s="49">
        <f>AVERAGE('31.10 Buloba-Bujuko-24h'!H103,'2.11 Buloba-Bujuko-24HR'!H103)</f>
        <v>0</v>
      </c>
      <c r="I103" s="49">
        <f>AVERAGE('31.10 Buloba-Bujuko-24h'!I103,'2.11 Buloba-Bujuko-24HR'!I103)</f>
        <v>2.5</v>
      </c>
      <c r="J103" s="49">
        <f>AVERAGE('31.10 Buloba-Bujuko-24h'!J103,'2.11 Buloba-Bujuko-24HR'!J103)</f>
        <v>1</v>
      </c>
      <c r="K103" s="49">
        <f>AVERAGE('31.10 Buloba-Bujuko-24h'!K103,'2.11 Buloba-Bujuko-24HR'!K103)</f>
        <v>0.5</v>
      </c>
      <c r="L103" s="49">
        <f>AVERAGE('31.10 Buloba-Bujuko-24h'!L103,'2.11 Buloba-Bujuko-24HR'!L103)</f>
        <v>0</v>
      </c>
      <c r="M103" s="49">
        <f>AVERAGE('31.10 Buloba-Bujuko-24h'!M103,'2.11 Buloba-Bujuko-24HR'!M103)</f>
        <v>6</v>
      </c>
      <c r="N103" s="49">
        <f>AVERAGE('31.10 Buloba-Bujuko-24h'!N103,'2.11 Buloba-Bujuko-24HR'!N103)</f>
        <v>0</v>
      </c>
      <c r="O103" s="15">
        <f t="shared" si="35"/>
        <v>12.5</v>
      </c>
      <c r="P103" s="15">
        <f t="shared" si="36"/>
        <v>18.5</v>
      </c>
      <c r="R103" s="8"/>
      <c r="T103"/>
    </row>
    <row r="104" spans="2:20" ht="23.1" customHeight="1" x14ac:dyDescent="0.25">
      <c r="B104" s="25" t="s">
        <v>144</v>
      </c>
      <c r="C104" s="49">
        <f>AVERAGE('31.10 Buloba-Bujuko-24h'!C104,'2.11 Buloba-Bujuko-24HR'!C104)</f>
        <v>2</v>
      </c>
      <c r="D104" s="49">
        <f>AVERAGE('31.10 Buloba-Bujuko-24h'!D104,'2.11 Buloba-Bujuko-24HR'!D104)</f>
        <v>1</v>
      </c>
      <c r="E104" s="49">
        <f>AVERAGE('31.10 Buloba-Bujuko-24h'!E104,'2.11 Buloba-Bujuko-24HR'!E104)</f>
        <v>0</v>
      </c>
      <c r="F104" s="49">
        <f>AVERAGE('31.10 Buloba-Bujuko-24h'!F104,'2.11 Buloba-Bujuko-24HR'!F104)</f>
        <v>0.5</v>
      </c>
      <c r="G104" s="49">
        <f>AVERAGE('31.10 Buloba-Bujuko-24h'!G104,'2.11 Buloba-Bujuko-24HR'!G104)</f>
        <v>0</v>
      </c>
      <c r="H104" s="49">
        <f>AVERAGE('31.10 Buloba-Bujuko-24h'!H104,'2.11 Buloba-Bujuko-24HR'!H104)</f>
        <v>0.5</v>
      </c>
      <c r="I104" s="49">
        <f>AVERAGE('31.10 Buloba-Bujuko-24h'!I104,'2.11 Buloba-Bujuko-24HR'!I104)</f>
        <v>2</v>
      </c>
      <c r="J104" s="49">
        <f>AVERAGE('31.10 Buloba-Bujuko-24h'!J104,'2.11 Buloba-Bujuko-24HR'!J104)</f>
        <v>0</v>
      </c>
      <c r="K104" s="49">
        <f>AVERAGE('31.10 Buloba-Bujuko-24h'!K104,'2.11 Buloba-Bujuko-24HR'!K104)</f>
        <v>0</v>
      </c>
      <c r="L104" s="49">
        <f>AVERAGE('31.10 Buloba-Bujuko-24h'!L104,'2.11 Buloba-Bujuko-24HR'!L104)</f>
        <v>0.5</v>
      </c>
      <c r="M104" s="49">
        <f>AVERAGE('31.10 Buloba-Bujuko-24h'!M104,'2.11 Buloba-Bujuko-24HR'!M104)</f>
        <v>5</v>
      </c>
      <c r="N104" s="49">
        <f>AVERAGE('31.10 Buloba-Bujuko-24h'!N104,'2.11 Buloba-Bujuko-24HR'!N104)</f>
        <v>0</v>
      </c>
      <c r="O104" s="15">
        <f t="shared" si="35"/>
        <v>6.5</v>
      </c>
      <c r="P104" s="15">
        <f t="shared" si="36"/>
        <v>11.5</v>
      </c>
      <c r="R104" s="8"/>
      <c r="T104"/>
    </row>
    <row r="105" spans="2:20" ht="23.1" customHeight="1" x14ac:dyDescent="0.25">
      <c r="B105" s="23" t="s">
        <v>145</v>
      </c>
      <c r="C105" s="49">
        <f>AVERAGE('31.10 Buloba-Bujuko-24h'!C105,'2.11 Buloba-Bujuko-24HR'!C105)</f>
        <v>3.5</v>
      </c>
      <c r="D105" s="49">
        <f>AVERAGE('31.10 Buloba-Bujuko-24h'!D105,'2.11 Buloba-Bujuko-24HR'!D105)</f>
        <v>0.5</v>
      </c>
      <c r="E105" s="49">
        <f>AVERAGE('31.10 Buloba-Bujuko-24h'!E105,'2.11 Buloba-Bujuko-24HR'!E105)</f>
        <v>0</v>
      </c>
      <c r="F105" s="49">
        <f>AVERAGE('31.10 Buloba-Bujuko-24h'!F105,'2.11 Buloba-Bujuko-24HR'!F105)</f>
        <v>0</v>
      </c>
      <c r="G105" s="49">
        <f>AVERAGE('31.10 Buloba-Bujuko-24h'!G105,'2.11 Buloba-Bujuko-24HR'!G105)</f>
        <v>0.5</v>
      </c>
      <c r="H105" s="49">
        <f>AVERAGE('31.10 Buloba-Bujuko-24h'!H105,'2.11 Buloba-Bujuko-24HR'!H105)</f>
        <v>0</v>
      </c>
      <c r="I105" s="49">
        <f>AVERAGE('31.10 Buloba-Bujuko-24h'!I105,'2.11 Buloba-Bujuko-24HR'!I105)</f>
        <v>2</v>
      </c>
      <c r="J105" s="49">
        <f>AVERAGE('31.10 Buloba-Bujuko-24h'!J105,'2.11 Buloba-Bujuko-24HR'!J105)</f>
        <v>0</v>
      </c>
      <c r="K105" s="49">
        <f>AVERAGE('31.10 Buloba-Bujuko-24h'!K105,'2.11 Buloba-Bujuko-24HR'!K105)</f>
        <v>0.5</v>
      </c>
      <c r="L105" s="49">
        <f>AVERAGE('31.10 Buloba-Bujuko-24h'!L105,'2.11 Buloba-Bujuko-24HR'!L105)</f>
        <v>0</v>
      </c>
      <c r="M105" s="49">
        <f>AVERAGE('31.10 Buloba-Bujuko-24h'!M105,'2.11 Buloba-Bujuko-24HR'!M105)</f>
        <v>6</v>
      </c>
      <c r="N105" s="49">
        <f>AVERAGE('31.10 Buloba-Bujuko-24h'!N105,'2.11 Buloba-Bujuko-24HR'!N105)</f>
        <v>0</v>
      </c>
      <c r="O105" s="15">
        <f t="shared" si="35"/>
        <v>7</v>
      </c>
      <c r="P105" s="15">
        <f t="shared" si="36"/>
        <v>13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1059.4285714285716</v>
      </c>
      <c r="D106" s="16">
        <f t="shared" ref="D106:P106" si="37">SUM(D10:D105)</f>
        <v>303.42857142857144</v>
      </c>
      <c r="E106" s="16">
        <f t="shared" si="37"/>
        <v>243.21428571428567</v>
      </c>
      <c r="F106" s="16">
        <f t="shared" si="37"/>
        <v>922.42857142857156</v>
      </c>
      <c r="G106" s="16">
        <f t="shared" si="37"/>
        <v>21.571428571428566</v>
      </c>
      <c r="H106" s="16">
        <f t="shared" si="37"/>
        <v>28.928571428571434</v>
      </c>
      <c r="I106" s="16">
        <f t="shared" si="37"/>
        <v>434.5</v>
      </c>
      <c r="J106" s="16">
        <f t="shared" si="37"/>
        <v>209.85714285714283</v>
      </c>
      <c r="K106" s="16">
        <f t="shared" si="37"/>
        <v>96.214285714285722</v>
      </c>
      <c r="L106" s="16">
        <f t="shared" si="37"/>
        <v>62.857142857142847</v>
      </c>
      <c r="M106" s="16">
        <f t="shared" si="37"/>
        <v>991.80952380952385</v>
      </c>
      <c r="N106" s="16">
        <f t="shared" si="37"/>
        <v>1.5714285714285714</v>
      </c>
      <c r="O106" s="16">
        <f t="shared" si="37"/>
        <v>3384.0000000000009</v>
      </c>
      <c r="P106" s="16">
        <f t="shared" si="37"/>
        <v>4375.8095238095239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0.2421103033996431</v>
      </c>
      <c r="D107" s="43">
        <f t="shared" si="38"/>
        <v>6.9342271362033692E-2</v>
      </c>
      <c r="E107" s="43">
        <f t="shared" si="38"/>
        <v>5.5581552256997332E-2</v>
      </c>
      <c r="F107" s="43">
        <f t="shared" si="38"/>
        <v>0.21080181082139907</v>
      </c>
      <c r="G107" s="43">
        <f t="shared" si="38"/>
        <v>4.9297000827057836E-3</v>
      </c>
      <c r="H107" s="43">
        <f t="shared" si="38"/>
        <v>6.6110216340921962E-3</v>
      </c>
      <c r="I107" s="43">
        <f t="shared" si="38"/>
        <v>9.9295912593044003E-2</v>
      </c>
      <c r="J107" s="43">
        <f t="shared" si="38"/>
        <v>4.7958472990031774E-2</v>
      </c>
      <c r="K107" s="43">
        <f t="shared" si="38"/>
        <v>2.1987768249684413E-2</v>
      </c>
      <c r="L107" s="43">
        <f t="shared" si="38"/>
        <v>1.4364688982718841E-2</v>
      </c>
      <c r="M107" s="43">
        <f t="shared" si="38"/>
        <v>0.22665738040308189</v>
      </c>
      <c r="N107" s="43">
        <f t="shared" si="38"/>
        <v>3.591172245679711E-4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0.31306990881458963</v>
      </c>
      <c r="D108" s="44">
        <f t="shared" ref="D108:N108" si="39">D106/$O$106</f>
        <v>8.9665653495440714E-2</v>
      </c>
      <c r="E108" s="44">
        <f t="shared" si="39"/>
        <v>7.1871833839918908E-2</v>
      </c>
      <c r="F108" s="44">
        <f t="shared" si="39"/>
        <v>0.27258527524484966</v>
      </c>
      <c r="G108" s="44">
        <f t="shared" si="39"/>
        <v>6.3745356298547757E-3</v>
      </c>
      <c r="H108" s="44">
        <f t="shared" si="39"/>
        <v>8.5486322188449843E-3</v>
      </c>
      <c r="I108" s="44">
        <f t="shared" si="39"/>
        <v>0.12839834515366427</v>
      </c>
      <c r="J108" s="44">
        <f t="shared" si="39"/>
        <v>6.2014522120905073E-2</v>
      </c>
      <c r="K108" s="44">
        <f t="shared" si="39"/>
        <v>2.8432117527862205E-2</v>
      </c>
      <c r="L108" s="44">
        <f t="shared" si="39"/>
        <v>1.8574805808848353E-2</v>
      </c>
      <c r="M108" s="44"/>
      <c r="N108" s="44">
        <f t="shared" si="39"/>
        <v>4.6437014522120889E-4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A73" zoomScale="60" workbookViewId="0">
      <selection activeCell="H106" sqref="H10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'4.11.BULOBA-BUJUKO'!C3:G3</f>
        <v>MCC - C2 - STN62 - BUJUKO-BULOBA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66" t="str">
        <f>'Avg Week BULOBA-BUJUKO'!G5:H5</f>
        <v>Buloba Pop Oil</v>
      </c>
      <c r="H5" s="67"/>
      <c r="I5" s="14"/>
      <c r="J5" s="2" t="s">
        <v>5</v>
      </c>
      <c r="K5" s="66" t="str">
        <f>'Avg Week BULOBA-BUJUKO'!K5:L5</f>
        <v>Doreen Geofrey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70" t="s">
        <v>161</v>
      </c>
      <c r="E6" s="71"/>
      <c r="F6" s="2" t="s">
        <v>2</v>
      </c>
      <c r="G6" s="70" t="s">
        <v>161</v>
      </c>
      <c r="H6" s="71"/>
      <c r="J6" s="2" t="s">
        <v>21</v>
      </c>
      <c r="K6" s="66" t="str">
        <f>'Avg Week BULOBA-BUJUKO'!K6:L6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BUJUKO-BULOBA'!C10+'Avg Week BULOBA-BUJUKO'!C10</f>
        <v>20.714285714285715</v>
      </c>
      <c r="D10" s="49">
        <f>'Avg Week BUJUKO-BULOBA'!D10+'Avg Week BULOBA-BUJUKO'!D10</f>
        <v>3</v>
      </c>
      <c r="E10" s="49">
        <f>'Avg Week BUJUKO-BULOBA'!E10+'Avg Week BULOBA-BUJUKO'!E10</f>
        <v>4.4285714285714288</v>
      </c>
      <c r="F10" s="49">
        <f>'Avg Week BUJUKO-BULOBA'!F10+'Avg Week BULOBA-BUJUKO'!F10</f>
        <v>21.428571428571427</v>
      </c>
      <c r="G10" s="49">
        <f>'Avg Week BUJUKO-BULOBA'!G10+'Avg Week BULOBA-BUJUKO'!G10</f>
        <v>1.8571428571428572</v>
      </c>
      <c r="H10" s="49">
        <f>'Avg Week BUJUKO-BULOBA'!H10+'Avg Week BULOBA-BUJUKO'!H10</f>
        <v>0.14285714285714285</v>
      </c>
      <c r="I10" s="49">
        <f>'Avg Week BUJUKO-BULOBA'!I10+'Avg Week BULOBA-BUJUKO'!I10</f>
        <v>5</v>
      </c>
      <c r="J10" s="49">
        <f>'Avg Week BUJUKO-BULOBA'!J10+'Avg Week BULOBA-BUJUKO'!J10</f>
        <v>2.8571428571428572</v>
      </c>
      <c r="K10" s="49">
        <f>'Avg Week BUJUKO-BULOBA'!K10+'Avg Week BULOBA-BUJUKO'!K10</f>
        <v>0.2857142857142857</v>
      </c>
      <c r="L10" s="49">
        <f>'Avg Week BUJUKO-BULOBA'!L10+'Avg Week BULOBA-BUJUKO'!L10</f>
        <v>1.2857142857142856</v>
      </c>
      <c r="M10" s="49">
        <f>'Avg Week BUJUKO-BULOBA'!M10+'Avg Week BULOBA-BUJUKO'!M10</f>
        <v>25.285714285714285</v>
      </c>
      <c r="N10" s="49">
        <f>'Avg Week BUJUKO-BULOBA'!N10+'Avg Week BULOBA-BUJUKO'!N10</f>
        <v>0</v>
      </c>
      <c r="O10" s="15">
        <f t="shared" ref="O10:O73" si="0">SUM(C10:L10,N10)</f>
        <v>60.999999999999993</v>
      </c>
      <c r="P10" s="15">
        <f t="shared" ref="P10:P73" si="1">SUM(C10:N10)</f>
        <v>86.285714285714278</v>
      </c>
      <c r="R10" s="1" t="s">
        <v>6</v>
      </c>
      <c r="S10" s="17">
        <f t="shared" ref="S10:AF10" si="2">SUM(C10:C13)</f>
        <v>105.71428571428572</v>
      </c>
      <c r="T10" s="17">
        <f t="shared" si="2"/>
        <v>17.285714285714285</v>
      </c>
      <c r="U10" s="17">
        <f t="shared" si="2"/>
        <v>16.285714285714285</v>
      </c>
      <c r="V10" s="17">
        <f t="shared" si="2"/>
        <v>96.428571428571416</v>
      </c>
      <c r="W10" s="17">
        <f t="shared" si="2"/>
        <v>2.8571428571428568</v>
      </c>
      <c r="X10" s="17">
        <f t="shared" si="2"/>
        <v>0.71428571428571419</v>
      </c>
      <c r="Y10" s="17">
        <f t="shared" si="2"/>
        <v>25</v>
      </c>
      <c r="Z10" s="17">
        <f t="shared" si="2"/>
        <v>16.285714285714285</v>
      </c>
      <c r="AA10" s="17">
        <f t="shared" si="2"/>
        <v>3.1428571428571428</v>
      </c>
      <c r="AB10" s="17">
        <f t="shared" si="2"/>
        <v>4.2857142857142847</v>
      </c>
      <c r="AC10" s="17">
        <f t="shared" si="2"/>
        <v>115.14285714285714</v>
      </c>
      <c r="AD10" s="17">
        <f t="shared" si="2"/>
        <v>0</v>
      </c>
      <c r="AE10" s="31">
        <f t="shared" si="2"/>
        <v>288</v>
      </c>
      <c r="AF10" s="31">
        <f t="shared" si="2"/>
        <v>403.14285714285711</v>
      </c>
    </row>
    <row r="11" spans="2:32" s="6" customFormat="1" ht="23.1" customHeight="1" x14ac:dyDescent="0.25">
      <c r="B11" s="23" t="s">
        <v>38</v>
      </c>
      <c r="C11" s="49">
        <f>'Avg Week BUJUKO-BULOBA'!C11+'Avg Week BULOBA-BUJUKO'!C11</f>
        <v>26.571428571428569</v>
      </c>
      <c r="D11" s="49">
        <f>'Avg Week BUJUKO-BULOBA'!D11+'Avg Week BULOBA-BUJUKO'!D11</f>
        <v>4.4285714285714288</v>
      </c>
      <c r="E11" s="49">
        <f>'Avg Week BUJUKO-BULOBA'!E11+'Avg Week BULOBA-BUJUKO'!E11</f>
        <v>2.4285714285714284</v>
      </c>
      <c r="F11" s="49">
        <f>'Avg Week BUJUKO-BULOBA'!F11+'Avg Week BULOBA-BUJUKO'!F11</f>
        <v>25.285714285714285</v>
      </c>
      <c r="G11" s="49">
        <f>'Avg Week BUJUKO-BULOBA'!G11+'Avg Week BULOBA-BUJUKO'!G11</f>
        <v>0.2857142857142857</v>
      </c>
      <c r="H11" s="49">
        <f>'Avg Week BUJUKO-BULOBA'!H11+'Avg Week BULOBA-BUJUKO'!H11</f>
        <v>0.42857142857142855</v>
      </c>
      <c r="I11" s="49">
        <f>'Avg Week BUJUKO-BULOBA'!I11+'Avg Week BULOBA-BUJUKO'!I11</f>
        <v>7.7142857142857144</v>
      </c>
      <c r="J11" s="49">
        <f>'Avg Week BUJUKO-BULOBA'!J11+'Avg Week BULOBA-BUJUKO'!J11</f>
        <v>3.8571428571428568</v>
      </c>
      <c r="K11" s="49">
        <f>'Avg Week BUJUKO-BULOBA'!K11+'Avg Week BULOBA-BUJUKO'!K11</f>
        <v>0.2857142857142857</v>
      </c>
      <c r="L11" s="49">
        <f>'Avg Week BUJUKO-BULOBA'!L11+'Avg Week BULOBA-BUJUKO'!L11</f>
        <v>1</v>
      </c>
      <c r="M11" s="49">
        <f>'Avg Week BUJUKO-BULOBA'!M11+'Avg Week BULOBA-BUJUKO'!M11</f>
        <v>24.428571428571427</v>
      </c>
      <c r="N11" s="49">
        <f>'Avg Week BUJUKO-BULOBA'!N11+'Avg Week BULOBA-BUJUKO'!N11</f>
        <v>0</v>
      </c>
      <c r="O11" s="15">
        <f t="shared" si="0"/>
        <v>72.285714285714292</v>
      </c>
      <c r="P11" s="15">
        <f t="shared" si="1"/>
        <v>96.714285714285722</v>
      </c>
      <c r="R11" s="1" t="s">
        <v>7</v>
      </c>
      <c r="S11" s="17">
        <f t="shared" ref="S11:AF11" si="3">SUM(C14:C17)</f>
        <v>121.85714285714286</v>
      </c>
      <c r="T11" s="17">
        <f t="shared" si="3"/>
        <v>27.857142857142854</v>
      </c>
      <c r="U11" s="17">
        <f t="shared" si="3"/>
        <v>23.428571428571431</v>
      </c>
      <c r="V11" s="17">
        <f t="shared" si="3"/>
        <v>115.42857142857143</v>
      </c>
      <c r="W11" s="17">
        <f t="shared" si="3"/>
        <v>1.857142857142857</v>
      </c>
      <c r="X11" s="17">
        <f t="shared" si="3"/>
        <v>1.5714285714285712</v>
      </c>
      <c r="Y11" s="17">
        <f t="shared" si="3"/>
        <v>35.142857142857146</v>
      </c>
      <c r="Z11" s="17">
        <f t="shared" si="3"/>
        <v>14.285714285714285</v>
      </c>
      <c r="AA11" s="17">
        <f t="shared" si="3"/>
        <v>5</v>
      </c>
      <c r="AB11" s="17">
        <f t="shared" si="3"/>
        <v>3.2857142857142856</v>
      </c>
      <c r="AC11" s="17">
        <f t="shared" si="3"/>
        <v>149.71428571428572</v>
      </c>
      <c r="AD11" s="17">
        <f t="shared" si="3"/>
        <v>0</v>
      </c>
      <c r="AE11" s="31">
        <f t="shared" si="3"/>
        <v>349.71428571428567</v>
      </c>
      <c r="AF11" s="31">
        <f t="shared" si="3"/>
        <v>499.42857142857144</v>
      </c>
    </row>
    <row r="12" spans="2:32" ht="23.1" customHeight="1" x14ac:dyDescent="0.25">
      <c r="B12" s="23" t="s">
        <v>39</v>
      </c>
      <c r="C12" s="49">
        <f>'Avg Week BUJUKO-BULOBA'!C12+'Avg Week BULOBA-BUJUKO'!C12</f>
        <v>29.428571428571431</v>
      </c>
      <c r="D12" s="49">
        <f>'Avg Week BUJUKO-BULOBA'!D12+'Avg Week BULOBA-BUJUKO'!D12</f>
        <v>4.7142857142857144</v>
      </c>
      <c r="E12" s="49">
        <f>'Avg Week BUJUKO-BULOBA'!E12+'Avg Week BULOBA-BUJUKO'!E12</f>
        <v>3.8571428571428568</v>
      </c>
      <c r="F12" s="49">
        <f>'Avg Week BUJUKO-BULOBA'!F12+'Avg Week BULOBA-BUJUKO'!F12</f>
        <v>25</v>
      </c>
      <c r="G12" s="49">
        <f>'Avg Week BUJUKO-BULOBA'!G12+'Avg Week BULOBA-BUJUKO'!G12</f>
        <v>0.2857142857142857</v>
      </c>
      <c r="H12" s="49">
        <f>'Avg Week BUJUKO-BULOBA'!H12+'Avg Week BULOBA-BUJUKO'!H12</f>
        <v>0</v>
      </c>
      <c r="I12" s="49">
        <f>'Avg Week BUJUKO-BULOBA'!I12+'Avg Week BULOBA-BUJUKO'!I12</f>
        <v>5.5714285714285712</v>
      </c>
      <c r="J12" s="49">
        <f>'Avg Week BUJUKO-BULOBA'!J12+'Avg Week BULOBA-BUJUKO'!J12</f>
        <v>4.5714285714285712</v>
      </c>
      <c r="K12" s="49">
        <f>'Avg Week BUJUKO-BULOBA'!K12+'Avg Week BULOBA-BUJUKO'!K12</f>
        <v>1.7142857142857142</v>
      </c>
      <c r="L12" s="49">
        <f>'Avg Week BUJUKO-BULOBA'!L12+'Avg Week BULOBA-BUJUKO'!L12</f>
        <v>0.5714285714285714</v>
      </c>
      <c r="M12" s="49">
        <f>'Avg Week BUJUKO-BULOBA'!M12+'Avg Week BULOBA-BUJUKO'!M12</f>
        <v>30.714285714285715</v>
      </c>
      <c r="N12" s="49">
        <f>'Avg Week BUJUKO-BULOBA'!N12+'Avg Week BULOBA-BUJUKO'!N12</f>
        <v>0</v>
      </c>
      <c r="O12" s="15">
        <f t="shared" si="0"/>
        <v>75.714285714285708</v>
      </c>
      <c r="P12" s="15">
        <f t="shared" si="1"/>
        <v>106.42857142857142</v>
      </c>
      <c r="R12" s="1" t="s">
        <v>8</v>
      </c>
      <c r="S12" s="17">
        <f t="shared" ref="S12:AF12" si="4">SUM(C18:C21)</f>
        <v>111</v>
      </c>
      <c r="T12" s="17">
        <f t="shared" si="4"/>
        <v>30.571428571428573</v>
      </c>
      <c r="U12" s="17">
        <f t="shared" si="4"/>
        <v>22.714285714285715</v>
      </c>
      <c r="V12" s="17">
        <f t="shared" si="4"/>
        <v>117.42857142857142</v>
      </c>
      <c r="W12" s="17">
        <f t="shared" si="4"/>
        <v>1.2857142857142856</v>
      </c>
      <c r="X12" s="17">
        <f t="shared" si="4"/>
        <v>1.9999999999999998</v>
      </c>
      <c r="Y12" s="17">
        <f t="shared" si="4"/>
        <v>38.571428571428569</v>
      </c>
      <c r="Z12" s="17">
        <f t="shared" si="4"/>
        <v>14.571428571428571</v>
      </c>
      <c r="AA12" s="17">
        <f t="shared" si="4"/>
        <v>5.9999999999999991</v>
      </c>
      <c r="AB12" s="17">
        <f t="shared" si="4"/>
        <v>3.2857142857142856</v>
      </c>
      <c r="AC12" s="17">
        <f t="shared" si="4"/>
        <v>141.42857142857142</v>
      </c>
      <c r="AD12" s="17">
        <f t="shared" si="4"/>
        <v>0</v>
      </c>
      <c r="AE12" s="31">
        <f t="shared" si="4"/>
        <v>347.42857142857144</v>
      </c>
      <c r="AF12" s="31">
        <f t="shared" si="4"/>
        <v>488.85714285714289</v>
      </c>
    </row>
    <row r="13" spans="2:32" ht="23.1" customHeight="1" x14ac:dyDescent="0.25">
      <c r="B13" s="23" t="s">
        <v>40</v>
      </c>
      <c r="C13" s="49">
        <f>'Avg Week BUJUKO-BULOBA'!C13+'Avg Week BULOBA-BUJUKO'!C13</f>
        <v>29</v>
      </c>
      <c r="D13" s="49">
        <f>'Avg Week BUJUKO-BULOBA'!D13+'Avg Week BULOBA-BUJUKO'!D13</f>
        <v>5.1428571428571423</v>
      </c>
      <c r="E13" s="49">
        <f>'Avg Week BUJUKO-BULOBA'!E13+'Avg Week BULOBA-BUJUKO'!E13</f>
        <v>5.5714285714285712</v>
      </c>
      <c r="F13" s="49">
        <f>'Avg Week BUJUKO-BULOBA'!F13+'Avg Week BULOBA-BUJUKO'!F13</f>
        <v>24.714285714285715</v>
      </c>
      <c r="G13" s="49">
        <f>'Avg Week BUJUKO-BULOBA'!G13+'Avg Week BULOBA-BUJUKO'!G13</f>
        <v>0.42857142857142855</v>
      </c>
      <c r="H13" s="49">
        <f>'Avg Week BUJUKO-BULOBA'!H13+'Avg Week BULOBA-BUJUKO'!H13</f>
        <v>0.14285714285714285</v>
      </c>
      <c r="I13" s="49">
        <f>'Avg Week BUJUKO-BULOBA'!I13+'Avg Week BULOBA-BUJUKO'!I13</f>
        <v>6.7142857142857135</v>
      </c>
      <c r="J13" s="49">
        <f>'Avg Week BUJUKO-BULOBA'!J13+'Avg Week BULOBA-BUJUKO'!J13</f>
        <v>5</v>
      </c>
      <c r="K13" s="49">
        <f>'Avg Week BUJUKO-BULOBA'!K13+'Avg Week BULOBA-BUJUKO'!K13</f>
        <v>0.8571428571428571</v>
      </c>
      <c r="L13" s="49">
        <f>'Avg Week BUJUKO-BULOBA'!L13+'Avg Week BULOBA-BUJUKO'!L13</f>
        <v>1.4285714285714284</v>
      </c>
      <c r="M13" s="49">
        <f>'Avg Week BUJUKO-BULOBA'!M13+'Avg Week BULOBA-BUJUKO'!M13</f>
        <v>34.714285714285715</v>
      </c>
      <c r="N13" s="49">
        <f>'Avg Week BUJUKO-BULOBA'!N13+'Avg Week BULOBA-BUJUKO'!N13</f>
        <v>0</v>
      </c>
      <c r="O13" s="15">
        <f t="shared" si="0"/>
        <v>78.999999999999986</v>
      </c>
      <c r="P13" s="15">
        <f t="shared" si="1"/>
        <v>113.71428571428569</v>
      </c>
      <c r="R13" s="1" t="s">
        <v>9</v>
      </c>
      <c r="S13" s="17">
        <f t="shared" ref="S13:AF13" si="5">SUM(C22:C25)</f>
        <v>124.71428571428572</v>
      </c>
      <c r="T13" s="17">
        <f t="shared" si="5"/>
        <v>30.857142857142858</v>
      </c>
      <c r="U13" s="17">
        <f t="shared" si="5"/>
        <v>25.428571428571427</v>
      </c>
      <c r="V13" s="17">
        <f t="shared" si="5"/>
        <v>119.57142857142857</v>
      </c>
      <c r="W13" s="17">
        <f t="shared" si="5"/>
        <v>2.4285714285714284</v>
      </c>
      <c r="X13" s="17">
        <f t="shared" si="5"/>
        <v>2.2857142857142856</v>
      </c>
      <c r="Y13" s="17">
        <f t="shared" si="5"/>
        <v>45.142857142857146</v>
      </c>
      <c r="Z13" s="17">
        <f t="shared" si="5"/>
        <v>18.285714285714285</v>
      </c>
      <c r="AA13" s="17">
        <f t="shared" si="5"/>
        <v>8.1428571428571423</v>
      </c>
      <c r="AB13" s="17">
        <f t="shared" si="5"/>
        <v>5.5714285714285712</v>
      </c>
      <c r="AC13" s="17">
        <f t="shared" si="5"/>
        <v>144.57142857142856</v>
      </c>
      <c r="AD13" s="17">
        <f t="shared" si="5"/>
        <v>0.14285714285714285</v>
      </c>
      <c r="AE13" s="31">
        <f t="shared" si="5"/>
        <v>382.57142857142856</v>
      </c>
      <c r="AF13" s="31">
        <f t="shared" si="5"/>
        <v>527.14285714285711</v>
      </c>
    </row>
    <row r="14" spans="2:32" ht="23.1" customHeight="1" x14ac:dyDescent="0.25">
      <c r="B14" s="23" t="s">
        <v>41</v>
      </c>
      <c r="C14" s="49">
        <f>'Avg Week BUJUKO-BULOBA'!C14+'Avg Week BULOBA-BUJUKO'!C14</f>
        <v>30.428571428571427</v>
      </c>
      <c r="D14" s="49">
        <f>'Avg Week BUJUKO-BULOBA'!D14+'Avg Week BULOBA-BUJUKO'!D14</f>
        <v>8.2857142857142865</v>
      </c>
      <c r="E14" s="49">
        <f>'Avg Week BUJUKO-BULOBA'!E14+'Avg Week BULOBA-BUJUKO'!E14</f>
        <v>5.8571428571428577</v>
      </c>
      <c r="F14" s="49">
        <f>'Avg Week BUJUKO-BULOBA'!F14+'Avg Week BULOBA-BUJUKO'!F14</f>
        <v>31</v>
      </c>
      <c r="G14" s="49">
        <f>'Avg Week BUJUKO-BULOBA'!G14+'Avg Week BULOBA-BUJUKO'!G14</f>
        <v>0.2857142857142857</v>
      </c>
      <c r="H14" s="49">
        <f>'Avg Week BUJUKO-BULOBA'!H14+'Avg Week BULOBA-BUJUKO'!H14</f>
        <v>0.42857142857142855</v>
      </c>
      <c r="I14" s="49">
        <f>'Avg Week BUJUKO-BULOBA'!I14+'Avg Week BULOBA-BUJUKO'!I14</f>
        <v>9</v>
      </c>
      <c r="J14" s="49">
        <f>'Avg Week BUJUKO-BULOBA'!J14+'Avg Week BULOBA-BUJUKO'!J14</f>
        <v>3.5714285714285716</v>
      </c>
      <c r="K14" s="49">
        <f>'Avg Week BUJUKO-BULOBA'!K14+'Avg Week BULOBA-BUJUKO'!K14</f>
        <v>2</v>
      </c>
      <c r="L14" s="49">
        <f>'Avg Week BUJUKO-BULOBA'!L14+'Avg Week BULOBA-BUJUKO'!L14</f>
        <v>1.2857142857142856</v>
      </c>
      <c r="M14" s="49">
        <f>'Avg Week BUJUKO-BULOBA'!M14+'Avg Week BULOBA-BUJUKO'!M14</f>
        <v>38.857142857142861</v>
      </c>
      <c r="N14" s="49">
        <f>'Avg Week BUJUKO-BULOBA'!N14+'Avg Week BULOBA-BUJUKO'!N14</f>
        <v>0</v>
      </c>
      <c r="O14" s="15">
        <f t="shared" si="0"/>
        <v>92.142857142857153</v>
      </c>
      <c r="P14" s="15">
        <f t="shared" si="1"/>
        <v>131</v>
      </c>
      <c r="R14" s="1" t="s">
        <v>10</v>
      </c>
      <c r="S14" s="17">
        <f t="shared" ref="S14:AF14" si="6">SUM(C26:C29)</f>
        <v>128.42857142857144</v>
      </c>
      <c r="T14" s="17">
        <f t="shared" si="6"/>
        <v>33.857142857142861</v>
      </c>
      <c r="U14" s="17">
        <f t="shared" si="6"/>
        <v>24.285714285714288</v>
      </c>
      <c r="V14" s="17">
        <f t="shared" si="6"/>
        <v>116.14285714285714</v>
      </c>
      <c r="W14" s="17">
        <f t="shared" si="6"/>
        <v>2.1428571428571423</v>
      </c>
      <c r="X14" s="17">
        <f t="shared" si="6"/>
        <v>3.8571428571428568</v>
      </c>
      <c r="Y14" s="17">
        <f t="shared" si="6"/>
        <v>45.142857142857139</v>
      </c>
      <c r="Z14" s="17">
        <f t="shared" si="6"/>
        <v>13.857142857142858</v>
      </c>
      <c r="AA14" s="17">
        <f t="shared" si="6"/>
        <v>6.7142857142857135</v>
      </c>
      <c r="AB14" s="17">
        <f t="shared" si="6"/>
        <v>5.1428571428571423</v>
      </c>
      <c r="AC14" s="17">
        <f t="shared" si="6"/>
        <v>131.14285714285714</v>
      </c>
      <c r="AD14" s="17">
        <f t="shared" si="6"/>
        <v>0</v>
      </c>
      <c r="AE14" s="31">
        <f t="shared" si="6"/>
        <v>379.57142857142856</v>
      </c>
      <c r="AF14" s="31">
        <f t="shared" si="6"/>
        <v>510.71428571428578</v>
      </c>
    </row>
    <row r="15" spans="2:32" ht="23.1" customHeight="1" x14ac:dyDescent="0.25">
      <c r="B15" s="23" t="s">
        <v>42</v>
      </c>
      <c r="C15" s="49">
        <f>'Avg Week BUJUKO-BULOBA'!C15+'Avg Week BULOBA-BUJUKO'!C15</f>
        <v>30.428571428571431</v>
      </c>
      <c r="D15" s="49">
        <f>'Avg Week BUJUKO-BULOBA'!D15+'Avg Week BULOBA-BUJUKO'!D15</f>
        <v>6.8571428571428568</v>
      </c>
      <c r="E15" s="49">
        <f>'Avg Week BUJUKO-BULOBA'!E15+'Avg Week BULOBA-BUJUKO'!E15</f>
        <v>5.1428571428571423</v>
      </c>
      <c r="F15" s="49">
        <f>'Avg Week BUJUKO-BULOBA'!F15+'Avg Week BULOBA-BUJUKO'!F15</f>
        <v>30</v>
      </c>
      <c r="G15" s="49">
        <f>'Avg Week BUJUKO-BULOBA'!G15+'Avg Week BULOBA-BUJUKO'!G15</f>
        <v>0.2857142857142857</v>
      </c>
      <c r="H15" s="49">
        <f>'Avg Week BUJUKO-BULOBA'!H15+'Avg Week BULOBA-BUJUKO'!H15</f>
        <v>0.5714285714285714</v>
      </c>
      <c r="I15" s="49">
        <f>'Avg Week BUJUKO-BULOBA'!I15+'Avg Week BULOBA-BUJUKO'!I15</f>
        <v>7.7142857142857144</v>
      </c>
      <c r="J15" s="49">
        <f>'Avg Week BUJUKO-BULOBA'!J15+'Avg Week BULOBA-BUJUKO'!J15</f>
        <v>5</v>
      </c>
      <c r="K15" s="49">
        <f>'Avg Week BUJUKO-BULOBA'!K15+'Avg Week BULOBA-BUJUKO'!K15</f>
        <v>1.5714285714285714</v>
      </c>
      <c r="L15" s="49">
        <f>'Avg Week BUJUKO-BULOBA'!L15+'Avg Week BULOBA-BUJUKO'!L15</f>
        <v>1</v>
      </c>
      <c r="M15" s="49">
        <f>'Avg Week BUJUKO-BULOBA'!M15+'Avg Week BULOBA-BUJUKO'!M15</f>
        <v>39.285714285714285</v>
      </c>
      <c r="N15" s="49">
        <f>'Avg Week BUJUKO-BULOBA'!N15+'Avg Week BULOBA-BUJUKO'!N15</f>
        <v>0</v>
      </c>
      <c r="O15" s="15">
        <f t="shared" si="0"/>
        <v>88.571428571428569</v>
      </c>
      <c r="P15" s="15">
        <f t="shared" si="1"/>
        <v>127.85714285714286</v>
      </c>
      <c r="R15" s="1" t="s">
        <v>11</v>
      </c>
      <c r="S15" s="17">
        <f t="shared" ref="S15:AF15" si="7">SUM(C30:C33)</f>
        <v>121.14285714285714</v>
      </c>
      <c r="T15" s="17">
        <f t="shared" si="7"/>
        <v>38.428571428571431</v>
      </c>
      <c r="U15" s="17">
        <f t="shared" si="7"/>
        <v>25.428571428571431</v>
      </c>
      <c r="V15" s="17">
        <f t="shared" si="7"/>
        <v>110</v>
      </c>
      <c r="W15" s="17">
        <f t="shared" si="7"/>
        <v>3.1428571428571432</v>
      </c>
      <c r="X15" s="17">
        <f t="shared" si="7"/>
        <v>2.4285714285714284</v>
      </c>
      <c r="Y15" s="17">
        <f t="shared" si="7"/>
        <v>54.285714285714278</v>
      </c>
      <c r="Z15" s="17">
        <f t="shared" si="7"/>
        <v>17.571428571428573</v>
      </c>
      <c r="AA15" s="17">
        <f t="shared" si="7"/>
        <v>8</v>
      </c>
      <c r="AB15" s="17">
        <f t="shared" si="7"/>
        <v>5.4285714285714288</v>
      </c>
      <c r="AC15" s="17">
        <f t="shared" si="7"/>
        <v>128</v>
      </c>
      <c r="AD15" s="17">
        <f t="shared" si="7"/>
        <v>0</v>
      </c>
      <c r="AE15" s="31">
        <f t="shared" si="7"/>
        <v>385.85714285714289</v>
      </c>
      <c r="AF15" s="31">
        <f t="shared" si="7"/>
        <v>513.85714285714289</v>
      </c>
    </row>
    <row r="16" spans="2:32" ht="23.1" customHeight="1" x14ac:dyDescent="0.25">
      <c r="B16" s="23" t="s">
        <v>43</v>
      </c>
      <c r="C16" s="49">
        <f>'Avg Week BUJUKO-BULOBA'!C16+'Avg Week BULOBA-BUJUKO'!C16</f>
        <v>29</v>
      </c>
      <c r="D16" s="49">
        <f>'Avg Week BUJUKO-BULOBA'!D16+'Avg Week BULOBA-BUJUKO'!D16</f>
        <v>5</v>
      </c>
      <c r="E16" s="49">
        <f>'Avg Week BUJUKO-BULOBA'!E16+'Avg Week BULOBA-BUJUKO'!E16</f>
        <v>6.7142857142857144</v>
      </c>
      <c r="F16" s="49">
        <f>'Avg Week BUJUKO-BULOBA'!F16+'Avg Week BULOBA-BUJUKO'!F16</f>
        <v>25.428571428571431</v>
      </c>
      <c r="G16" s="49">
        <f>'Avg Week BUJUKO-BULOBA'!G16+'Avg Week BULOBA-BUJUKO'!G16</f>
        <v>0.71428571428571419</v>
      </c>
      <c r="H16" s="49">
        <f>'Avg Week BUJUKO-BULOBA'!H16+'Avg Week BULOBA-BUJUKO'!H16</f>
        <v>0.2857142857142857</v>
      </c>
      <c r="I16" s="49">
        <f>'Avg Week BUJUKO-BULOBA'!I16+'Avg Week BULOBA-BUJUKO'!I16</f>
        <v>7.7142857142857135</v>
      </c>
      <c r="J16" s="49">
        <f>'Avg Week BUJUKO-BULOBA'!J16+'Avg Week BULOBA-BUJUKO'!J16</f>
        <v>3.7142857142857144</v>
      </c>
      <c r="K16" s="49">
        <f>'Avg Week BUJUKO-BULOBA'!K16+'Avg Week BULOBA-BUJUKO'!K16</f>
        <v>0.85714285714285721</v>
      </c>
      <c r="L16" s="49">
        <f>'Avg Week BUJUKO-BULOBA'!L16+'Avg Week BULOBA-BUJUKO'!L16</f>
        <v>0.42857142857142855</v>
      </c>
      <c r="M16" s="49">
        <f>'Avg Week BUJUKO-BULOBA'!M16+'Avg Week BULOBA-BUJUKO'!M16</f>
        <v>35</v>
      </c>
      <c r="N16" s="49">
        <f>'Avg Week BUJUKO-BULOBA'!N16+'Avg Week BULOBA-BUJUKO'!N16</f>
        <v>0</v>
      </c>
      <c r="O16" s="15">
        <f t="shared" si="0"/>
        <v>79.857142857142847</v>
      </c>
      <c r="P16" s="15">
        <f t="shared" si="1"/>
        <v>114.85714285714285</v>
      </c>
      <c r="R16" s="1" t="s">
        <v>12</v>
      </c>
      <c r="S16" s="17">
        <f t="shared" ref="S16:AF16" si="8">SUM(C34:C37)</f>
        <v>130.57142857142858</v>
      </c>
      <c r="T16" s="17">
        <f t="shared" si="8"/>
        <v>37.142857142857139</v>
      </c>
      <c r="U16" s="17">
        <f t="shared" si="8"/>
        <v>33.285714285714292</v>
      </c>
      <c r="V16" s="17">
        <f t="shared" si="8"/>
        <v>121.57142857142858</v>
      </c>
      <c r="W16" s="17">
        <f t="shared" si="8"/>
        <v>4</v>
      </c>
      <c r="X16" s="17">
        <f t="shared" si="8"/>
        <v>4.1428571428571423</v>
      </c>
      <c r="Y16" s="17">
        <f t="shared" si="8"/>
        <v>48.142857142857139</v>
      </c>
      <c r="Z16" s="17">
        <f t="shared" si="8"/>
        <v>18.142857142857142</v>
      </c>
      <c r="AA16" s="17">
        <f t="shared" si="8"/>
        <v>8.2857142857142865</v>
      </c>
      <c r="AB16" s="17">
        <f t="shared" si="8"/>
        <v>7</v>
      </c>
      <c r="AC16" s="17">
        <f t="shared" si="8"/>
        <v>128.71428571428572</v>
      </c>
      <c r="AD16" s="17">
        <f t="shared" si="8"/>
        <v>0.2857142857142857</v>
      </c>
      <c r="AE16" s="31">
        <f t="shared" si="8"/>
        <v>412.57142857142861</v>
      </c>
      <c r="AF16" s="31">
        <f t="shared" si="8"/>
        <v>541.28571428571422</v>
      </c>
    </row>
    <row r="17" spans="2:32" ht="23.1" customHeight="1" x14ac:dyDescent="0.25">
      <c r="B17" s="23" t="s">
        <v>44</v>
      </c>
      <c r="C17" s="49">
        <f>'Avg Week BUJUKO-BULOBA'!C17+'Avg Week BULOBA-BUJUKO'!C17</f>
        <v>32</v>
      </c>
      <c r="D17" s="49">
        <f>'Avg Week BUJUKO-BULOBA'!D17+'Avg Week BULOBA-BUJUKO'!D17</f>
        <v>7.7142857142857135</v>
      </c>
      <c r="E17" s="49">
        <f>'Avg Week BUJUKO-BULOBA'!E17+'Avg Week BULOBA-BUJUKO'!E17</f>
        <v>5.7142857142857144</v>
      </c>
      <c r="F17" s="49">
        <f>'Avg Week BUJUKO-BULOBA'!F17+'Avg Week BULOBA-BUJUKO'!F17</f>
        <v>29</v>
      </c>
      <c r="G17" s="49">
        <f>'Avg Week BUJUKO-BULOBA'!G17+'Avg Week BULOBA-BUJUKO'!G17</f>
        <v>0.5714285714285714</v>
      </c>
      <c r="H17" s="49">
        <f>'Avg Week BUJUKO-BULOBA'!H17+'Avg Week BULOBA-BUJUKO'!H17</f>
        <v>0.2857142857142857</v>
      </c>
      <c r="I17" s="49">
        <f>'Avg Week BUJUKO-BULOBA'!I17+'Avg Week BULOBA-BUJUKO'!I17</f>
        <v>10.714285714285715</v>
      </c>
      <c r="J17" s="49">
        <f>'Avg Week BUJUKO-BULOBA'!J17+'Avg Week BULOBA-BUJUKO'!J17</f>
        <v>2</v>
      </c>
      <c r="K17" s="49">
        <f>'Avg Week BUJUKO-BULOBA'!K17+'Avg Week BULOBA-BUJUKO'!K17</f>
        <v>0.5714285714285714</v>
      </c>
      <c r="L17" s="49">
        <f>'Avg Week BUJUKO-BULOBA'!L17+'Avg Week BULOBA-BUJUKO'!L17</f>
        <v>0.5714285714285714</v>
      </c>
      <c r="M17" s="49">
        <f>'Avg Week BUJUKO-BULOBA'!M17+'Avg Week BULOBA-BUJUKO'!M17</f>
        <v>36.571428571428569</v>
      </c>
      <c r="N17" s="49">
        <f>'Avg Week BUJUKO-BULOBA'!N17+'Avg Week BULOBA-BUJUKO'!N17</f>
        <v>0</v>
      </c>
      <c r="O17" s="15">
        <f t="shared" si="0"/>
        <v>89.142857142857139</v>
      </c>
      <c r="P17" s="15">
        <f t="shared" si="1"/>
        <v>125.71428571428571</v>
      </c>
      <c r="R17" s="1" t="s">
        <v>13</v>
      </c>
      <c r="S17" s="17">
        <f t="shared" ref="S17:AF17" si="9">SUM(C38:C41)</f>
        <v>133.42857142857142</v>
      </c>
      <c r="T17" s="17">
        <f t="shared" si="9"/>
        <v>38.285714285714292</v>
      </c>
      <c r="U17" s="17">
        <f t="shared" si="9"/>
        <v>36.142857142857139</v>
      </c>
      <c r="V17" s="17">
        <f t="shared" si="9"/>
        <v>131.57142857142856</v>
      </c>
      <c r="W17" s="17">
        <f t="shared" si="9"/>
        <v>2.4285714285714288</v>
      </c>
      <c r="X17" s="17">
        <f t="shared" si="9"/>
        <v>2.8571428571428572</v>
      </c>
      <c r="Y17" s="17">
        <f t="shared" si="9"/>
        <v>53.142857142857139</v>
      </c>
      <c r="Z17" s="17">
        <f t="shared" si="9"/>
        <v>21.857142857142858</v>
      </c>
      <c r="AA17" s="17">
        <f t="shared" si="9"/>
        <v>11.428571428571427</v>
      </c>
      <c r="AB17" s="17">
        <f t="shared" si="9"/>
        <v>6.8571428571428568</v>
      </c>
      <c r="AC17" s="17">
        <f t="shared" si="9"/>
        <v>123.42857142857142</v>
      </c>
      <c r="AD17" s="17">
        <f t="shared" si="9"/>
        <v>0.14285714285714285</v>
      </c>
      <c r="AE17" s="31">
        <f t="shared" si="9"/>
        <v>438.14285714285722</v>
      </c>
      <c r="AF17" s="31">
        <f t="shared" si="9"/>
        <v>561.57142857142856</v>
      </c>
    </row>
    <row r="18" spans="2:32" ht="23.1" customHeight="1" x14ac:dyDescent="0.25">
      <c r="B18" s="23" t="s">
        <v>45</v>
      </c>
      <c r="C18" s="49">
        <f>'Avg Week BUJUKO-BULOBA'!C18+'Avg Week BULOBA-BUJUKO'!C18</f>
        <v>31.571428571428573</v>
      </c>
      <c r="D18" s="49">
        <f>'Avg Week BUJUKO-BULOBA'!D18+'Avg Week BULOBA-BUJUKO'!D18</f>
        <v>9.2857142857142847</v>
      </c>
      <c r="E18" s="49">
        <f>'Avg Week BUJUKO-BULOBA'!E18+'Avg Week BULOBA-BUJUKO'!E18</f>
        <v>4.5714285714285712</v>
      </c>
      <c r="F18" s="49">
        <f>'Avg Week BUJUKO-BULOBA'!F18+'Avg Week BULOBA-BUJUKO'!F18</f>
        <v>31.857142857142858</v>
      </c>
      <c r="G18" s="49">
        <f>'Avg Week BUJUKO-BULOBA'!G18+'Avg Week BULOBA-BUJUKO'!G18</f>
        <v>0.5714285714285714</v>
      </c>
      <c r="H18" s="49">
        <f>'Avg Week BUJUKO-BULOBA'!H18+'Avg Week BULOBA-BUJUKO'!H18</f>
        <v>0.5714285714285714</v>
      </c>
      <c r="I18" s="49">
        <f>'Avg Week BUJUKO-BULOBA'!I18+'Avg Week BULOBA-BUJUKO'!I18</f>
        <v>10.857142857142858</v>
      </c>
      <c r="J18" s="49">
        <f>'Avg Week BUJUKO-BULOBA'!J18+'Avg Week BULOBA-BUJUKO'!J18</f>
        <v>4.4285714285714288</v>
      </c>
      <c r="K18" s="49">
        <f>'Avg Week BUJUKO-BULOBA'!K18+'Avg Week BULOBA-BUJUKO'!K18</f>
        <v>1.2857142857142856</v>
      </c>
      <c r="L18" s="49">
        <f>'Avg Week BUJUKO-BULOBA'!L18+'Avg Week BULOBA-BUJUKO'!L18</f>
        <v>1</v>
      </c>
      <c r="M18" s="49">
        <f>'Avg Week BUJUKO-BULOBA'!M18+'Avg Week BULOBA-BUJUKO'!M18</f>
        <v>38</v>
      </c>
      <c r="N18" s="49">
        <f>'Avg Week BUJUKO-BULOBA'!N18+'Avg Week BULOBA-BUJUKO'!N18</f>
        <v>0</v>
      </c>
      <c r="O18" s="15">
        <f t="shared" si="0"/>
        <v>96.000000000000014</v>
      </c>
      <c r="P18" s="15">
        <f t="shared" si="1"/>
        <v>134</v>
      </c>
      <c r="R18" s="1" t="s">
        <v>14</v>
      </c>
      <c r="S18" s="17">
        <f t="shared" ref="S18:AF18" si="10">SUM(C42:C45)</f>
        <v>141</v>
      </c>
      <c r="T18" s="17">
        <f t="shared" si="10"/>
        <v>36</v>
      </c>
      <c r="U18" s="17">
        <f t="shared" si="10"/>
        <v>32</v>
      </c>
      <c r="V18" s="17">
        <f t="shared" si="10"/>
        <v>125.85714285714285</v>
      </c>
      <c r="W18" s="17">
        <f t="shared" si="10"/>
        <v>1.5714285714285712</v>
      </c>
      <c r="X18" s="17">
        <f t="shared" si="10"/>
        <v>4.5714285714285712</v>
      </c>
      <c r="Y18" s="17">
        <f t="shared" si="10"/>
        <v>54.142857142857146</v>
      </c>
      <c r="Z18" s="17">
        <f t="shared" si="10"/>
        <v>20.285714285714285</v>
      </c>
      <c r="AA18" s="17">
        <f t="shared" si="10"/>
        <v>10.571428571428569</v>
      </c>
      <c r="AB18" s="17">
        <f t="shared" si="10"/>
        <v>4.8571428571428568</v>
      </c>
      <c r="AC18" s="17">
        <f t="shared" si="10"/>
        <v>120.28571428571428</v>
      </c>
      <c r="AD18" s="17">
        <f t="shared" si="10"/>
        <v>0.14285714285714285</v>
      </c>
      <c r="AE18" s="31">
        <f t="shared" si="10"/>
        <v>431</v>
      </c>
      <c r="AF18" s="31">
        <f t="shared" si="10"/>
        <v>551.28571428571422</v>
      </c>
    </row>
    <row r="19" spans="2:32" ht="23.1" customHeight="1" x14ac:dyDescent="0.25">
      <c r="B19" s="23" t="s">
        <v>46</v>
      </c>
      <c r="C19" s="49">
        <f>'Avg Week BUJUKO-BULOBA'!C19+'Avg Week BULOBA-BUJUKO'!C19</f>
        <v>26.285714285714285</v>
      </c>
      <c r="D19" s="49">
        <f>'Avg Week BUJUKO-BULOBA'!D19+'Avg Week BULOBA-BUJUKO'!D19</f>
        <v>7.7142857142857144</v>
      </c>
      <c r="E19" s="49">
        <f>'Avg Week BUJUKO-BULOBA'!E19+'Avg Week BULOBA-BUJUKO'!E19</f>
        <v>6.1428571428571423</v>
      </c>
      <c r="F19" s="49">
        <f>'Avg Week BUJUKO-BULOBA'!F19+'Avg Week BULOBA-BUJUKO'!F19</f>
        <v>29.714285714285715</v>
      </c>
      <c r="G19" s="49">
        <f>'Avg Week BUJUKO-BULOBA'!G19+'Avg Week BULOBA-BUJUKO'!G19</f>
        <v>0.14285714285714285</v>
      </c>
      <c r="H19" s="49">
        <f>'Avg Week BUJUKO-BULOBA'!H19+'Avg Week BULOBA-BUJUKO'!H19</f>
        <v>0.71428571428571419</v>
      </c>
      <c r="I19" s="49">
        <f>'Avg Week BUJUKO-BULOBA'!I19+'Avg Week BULOBA-BUJUKO'!I19</f>
        <v>7.8571428571428568</v>
      </c>
      <c r="J19" s="49">
        <f>'Avg Week BUJUKO-BULOBA'!J19+'Avg Week BULOBA-BUJUKO'!J19</f>
        <v>3.2857142857142856</v>
      </c>
      <c r="K19" s="49">
        <f>'Avg Week BUJUKO-BULOBA'!K19+'Avg Week BULOBA-BUJUKO'!K19</f>
        <v>1.857142857142857</v>
      </c>
      <c r="L19" s="49">
        <f>'Avg Week BUJUKO-BULOBA'!L19+'Avg Week BULOBA-BUJUKO'!L19</f>
        <v>0.85714285714285721</v>
      </c>
      <c r="M19" s="49">
        <f>'Avg Week BUJUKO-BULOBA'!M19+'Avg Week BULOBA-BUJUKO'!M19</f>
        <v>34</v>
      </c>
      <c r="N19" s="49">
        <f>'Avg Week BUJUKO-BULOBA'!N19+'Avg Week BULOBA-BUJUKO'!N19</f>
        <v>0</v>
      </c>
      <c r="O19" s="15">
        <f t="shared" si="0"/>
        <v>84.571428571428584</v>
      </c>
      <c r="P19" s="15">
        <f t="shared" si="1"/>
        <v>118.57142857142858</v>
      </c>
      <c r="R19" s="1" t="s">
        <v>15</v>
      </c>
      <c r="S19" s="17">
        <f t="shared" ref="S19:AF19" si="11">SUM(C46:C49)</f>
        <v>149.71428571428572</v>
      </c>
      <c r="T19" s="17">
        <f t="shared" si="11"/>
        <v>38.428571428571431</v>
      </c>
      <c r="U19" s="17">
        <f t="shared" si="11"/>
        <v>32.857142857142861</v>
      </c>
      <c r="V19" s="17">
        <f t="shared" si="11"/>
        <v>117.14285714285714</v>
      </c>
      <c r="W19" s="17">
        <f t="shared" si="11"/>
        <v>3.8571428571428572</v>
      </c>
      <c r="X19" s="17">
        <f t="shared" si="11"/>
        <v>4.7142857142857144</v>
      </c>
      <c r="Y19" s="17">
        <f t="shared" si="11"/>
        <v>55.142857142857139</v>
      </c>
      <c r="Z19" s="17">
        <f t="shared" si="11"/>
        <v>22.142857142857139</v>
      </c>
      <c r="AA19" s="17">
        <f t="shared" si="11"/>
        <v>7.7142857142857135</v>
      </c>
      <c r="AB19" s="17">
        <f t="shared" si="11"/>
        <v>8</v>
      </c>
      <c r="AC19" s="17">
        <f t="shared" si="11"/>
        <v>128.85714285714286</v>
      </c>
      <c r="AD19" s="17">
        <f t="shared" si="11"/>
        <v>0.14285714285714285</v>
      </c>
      <c r="AE19" s="31">
        <f t="shared" si="11"/>
        <v>439.85714285714289</v>
      </c>
      <c r="AF19" s="31">
        <f t="shared" si="11"/>
        <v>568.71428571428578</v>
      </c>
    </row>
    <row r="20" spans="2:32" ht="23.1" customHeight="1" x14ac:dyDescent="0.25">
      <c r="B20" s="23" t="s">
        <v>47</v>
      </c>
      <c r="C20" s="49">
        <f>'Avg Week BUJUKO-BULOBA'!C20+'Avg Week BULOBA-BUJUKO'!C20</f>
        <v>27.285714285714285</v>
      </c>
      <c r="D20" s="49">
        <f>'Avg Week BUJUKO-BULOBA'!D20+'Avg Week BULOBA-BUJUKO'!D20</f>
        <v>5.8571428571428577</v>
      </c>
      <c r="E20" s="49">
        <f>'Avg Week BUJUKO-BULOBA'!E20+'Avg Week BULOBA-BUJUKO'!E20</f>
        <v>6</v>
      </c>
      <c r="F20" s="49">
        <f>'Avg Week BUJUKO-BULOBA'!F20+'Avg Week BULOBA-BUJUKO'!F20</f>
        <v>28.142857142857142</v>
      </c>
      <c r="G20" s="49">
        <f>'Avg Week BUJUKO-BULOBA'!G20+'Avg Week BULOBA-BUJUKO'!G20</f>
        <v>0.42857142857142855</v>
      </c>
      <c r="H20" s="49">
        <f>'Avg Week BUJUKO-BULOBA'!H20+'Avg Week BULOBA-BUJUKO'!H20</f>
        <v>0.2857142857142857</v>
      </c>
      <c r="I20" s="49">
        <f>'Avg Week BUJUKO-BULOBA'!I20+'Avg Week BULOBA-BUJUKO'!I20</f>
        <v>10.857142857142858</v>
      </c>
      <c r="J20" s="49">
        <f>'Avg Week BUJUKO-BULOBA'!J20+'Avg Week BULOBA-BUJUKO'!J20</f>
        <v>4.2857142857142856</v>
      </c>
      <c r="K20" s="49">
        <f>'Avg Week BUJUKO-BULOBA'!K20+'Avg Week BULOBA-BUJUKO'!K20</f>
        <v>1.1428571428571428</v>
      </c>
      <c r="L20" s="49">
        <f>'Avg Week BUJUKO-BULOBA'!L20+'Avg Week BULOBA-BUJUKO'!L20</f>
        <v>0.42857142857142855</v>
      </c>
      <c r="M20" s="49">
        <f>'Avg Week BUJUKO-BULOBA'!M20+'Avg Week BULOBA-BUJUKO'!M20</f>
        <v>33.142857142857139</v>
      </c>
      <c r="N20" s="49">
        <f>'Avg Week BUJUKO-BULOBA'!N20+'Avg Week BULOBA-BUJUKO'!N20</f>
        <v>0</v>
      </c>
      <c r="O20" s="15">
        <f t="shared" si="0"/>
        <v>84.714285714285722</v>
      </c>
      <c r="P20" s="15">
        <f t="shared" si="1"/>
        <v>117.85714285714286</v>
      </c>
      <c r="R20" s="1" t="s">
        <v>16</v>
      </c>
      <c r="S20" s="17">
        <f t="shared" ref="S20:AF20" si="12">SUM(C50:C53)</f>
        <v>159.14285714285714</v>
      </c>
      <c r="T20" s="17">
        <f t="shared" si="12"/>
        <v>49</v>
      </c>
      <c r="U20" s="17">
        <f t="shared" si="12"/>
        <v>35.857142857142854</v>
      </c>
      <c r="V20" s="17">
        <f t="shared" si="12"/>
        <v>125.14285714285714</v>
      </c>
      <c r="W20" s="17">
        <f t="shared" si="12"/>
        <v>3.4285714285714284</v>
      </c>
      <c r="X20" s="17">
        <f t="shared" si="12"/>
        <v>3.5714285714285712</v>
      </c>
      <c r="Y20" s="17">
        <f t="shared" si="12"/>
        <v>52.142857142857139</v>
      </c>
      <c r="Z20" s="17">
        <f t="shared" si="12"/>
        <v>19</v>
      </c>
      <c r="AA20" s="17">
        <f t="shared" si="12"/>
        <v>5.8571428571428577</v>
      </c>
      <c r="AB20" s="17">
        <f t="shared" si="12"/>
        <v>6.1428571428571423</v>
      </c>
      <c r="AC20" s="17">
        <f t="shared" si="12"/>
        <v>135.85714285714286</v>
      </c>
      <c r="AD20" s="17">
        <f t="shared" si="12"/>
        <v>0.42857142857142855</v>
      </c>
      <c r="AE20" s="31">
        <f t="shared" si="12"/>
        <v>459.71428571428567</v>
      </c>
      <c r="AF20" s="31">
        <f t="shared" si="12"/>
        <v>595.57142857142856</v>
      </c>
    </row>
    <row r="21" spans="2:32" ht="23.1" customHeight="1" x14ac:dyDescent="0.25">
      <c r="B21" s="23" t="s">
        <v>48</v>
      </c>
      <c r="C21" s="49">
        <f>'Avg Week BUJUKO-BULOBA'!C21+'Avg Week BULOBA-BUJUKO'!C21</f>
        <v>25.857142857142854</v>
      </c>
      <c r="D21" s="49">
        <f>'Avg Week BUJUKO-BULOBA'!D21+'Avg Week BULOBA-BUJUKO'!D21</f>
        <v>7.7142857142857153</v>
      </c>
      <c r="E21" s="49">
        <f>'Avg Week BUJUKO-BULOBA'!E21+'Avg Week BULOBA-BUJUKO'!E21</f>
        <v>6</v>
      </c>
      <c r="F21" s="49">
        <f>'Avg Week BUJUKO-BULOBA'!F21+'Avg Week BULOBA-BUJUKO'!F21</f>
        <v>27.714285714285715</v>
      </c>
      <c r="G21" s="49">
        <f>'Avg Week BUJUKO-BULOBA'!G21+'Avg Week BULOBA-BUJUKO'!G21</f>
        <v>0.14285714285714285</v>
      </c>
      <c r="H21" s="49">
        <f>'Avg Week BUJUKO-BULOBA'!H21+'Avg Week BULOBA-BUJUKO'!H21</f>
        <v>0.42857142857142855</v>
      </c>
      <c r="I21" s="49">
        <f>'Avg Week BUJUKO-BULOBA'!I21+'Avg Week BULOBA-BUJUKO'!I21</f>
        <v>9</v>
      </c>
      <c r="J21" s="49">
        <f>'Avg Week BUJUKO-BULOBA'!J21+'Avg Week BULOBA-BUJUKO'!J21</f>
        <v>2.5714285714285712</v>
      </c>
      <c r="K21" s="49">
        <f>'Avg Week BUJUKO-BULOBA'!K21+'Avg Week BULOBA-BUJUKO'!K21</f>
        <v>1.7142857142857144</v>
      </c>
      <c r="L21" s="49">
        <f>'Avg Week BUJUKO-BULOBA'!L21+'Avg Week BULOBA-BUJUKO'!L21</f>
        <v>1</v>
      </c>
      <c r="M21" s="49">
        <f>'Avg Week BUJUKO-BULOBA'!M21+'Avg Week BULOBA-BUJUKO'!M21</f>
        <v>36.285714285714285</v>
      </c>
      <c r="N21" s="49">
        <f>'Avg Week BUJUKO-BULOBA'!N21+'Avg Week BULOBA-BUJUKO'!N21</f>
        <v>0</v>
      </c>
      <c r="O21" s="15">
        <f t="shared" si="0"/>
        <v>82.142857142857125</v>
      </c>
      <c r="P21" s="15">
        <f t="shared" si="1"/>
        <v>118.42857142857142</v>
      </c>
      <c r="R21" s="36" t="s">
        <v>20</v>
      </c>
      <c r="S21" s="34">
        <f t="shared" ref="S21:AF21" si="13">SUM(C54:C57)</f>
        <v>185.57142857142856</v>
      </c>
      <c r="T21" s="17">
        <f t="shared" si="13"/>
        <v>44.857142857142861</v>
      </c>
      <c r="U21" s="17">
        <f t="shared" si="13"/>
        <v>38.571428571428569</v>
      </c>
      <c r="V21" s="17">
        <f t="shared" si="13"/>
        <v>145.14285714285717</v>
      </c>
      <c r="W21" s="17">
        <f t="shared" si="13"/>
        <v>8.4285714285714288</v>
      </c>
      <c r="X21" s="17">
        <f t="shared" si="13"/>
        <v>4.4285714285714288</v>
      </c>
      <c r="Y21" s="17">
        <f t="shared" si="13"/>
        <v>54.142857142857139</v>
      </c>
      <c r="Z21" s="17">
        <f t="shared" si="13"/>
        <v>19.857142857142854</v>
      </c>
      <c r="AA21" s="17">
        <f t="shared" si="13"/>
        <v>6</v>
      </c>
      <c r="AB21" s="17">
        <f t="shared" si="13"/>
        <v>7.5714285714285712</v>
      </c>
      <c r="AC21" s="17">
        <f t="shared" si="13"/>
        <v>152.59523809523807</v>
      </c>
      <c r="AD21" s="17">
        <f t="shared" si="13"/>
        <v>0.42857142857142855</v>
      </c>
      <c r="AE21" s="31">
        <f t="shared" si="13"/>
        <v>515</v>
      </c>
      <c r="AF21" s="31">
        <f t="shared" si="13"/>
        <v>667.59523809523807</v>
      </c>
    </row>
    <row r="22" spans="2:32" ht="23.1" customHeight="1" x14ac:dyDescent="0.25">
      <c r="B22" s="23" t="s">
        <v>49</v>
      </c>
      <c r="C22" s="49">
        <f>'Avg Week BUJUKO-BULOBA'!C22+'Avg Week BULOBA-BUJUKO'!C22</f>
        <v>27.857142857142858</v>
      </c>
      <c r="D22" s="49">
        <f>'Avg Week BUJUKO-BULOBA'!D22+'Avg Week BULOBA-BUJUKO'!D22</f>
        <v>7.4285714285714288</v>
      </c>
      <c r="E22" s="49">
        <f>'Avg Week BUJUKO-BULOBA'!E22+'Avg Week BULOBA-BUJUKO'!E22</f>
        <v>7.4285714285714288</v>
      </c>
      <c r="F22" s="49">
        <f>'Avg Week BUJUKO-BULOBA'!F22+'Avg Week BULOBA-BUJUKO'!F22</f>
        <v>29.142857142857142</v>
      </c>
      <c r="G22" s="49">
        <f>'Avg Week BUJUKO-BULOBA'!G22+'Avg Week BULOBA-BUJUKO'!G22</f>
        <v>0.14285714285714285</v>
      </c>
      <c r="H22" s="49">
        <f>'Avg Week BUJUKO-BULOBA'!H22+'Avg Week BULOBA-BUJUKO'!H22</f>
        <v>0.14285714285714285</v>
      </c>
      <c r="I22" s="49">
        <f>'Avg Week BUJUKO-BULOBA'!I22+'Avg Week BULOBA-BUJUKO'!I22</f>
        <v>10.714285714285714</v>
      </c>
      <c r="J22" s="49">
        <f>'Avg Week BUJUKO-BULOBA'!J22+'Avg Week BULOBA-BUJUKO'!J22</f>
        <v>3.1428571428571428</v>
      </c>
      <c r="K22" s="49">
        <f>'Avg Week BUJUKO-BULOBA'!K22+'Avg Week BULOBA-BUJUKO'!K22</f>
        <v>2.2857142857142856</v>
      </c>
      <c r="L22" s="49">
        <f>'Avg Week BUJUKO-BULOBA'!L22+'Avg Week BULOBA-BUJUKO'!L22</f>
        <v>2</v>
      </c>
      <c r="M22" s="49">
        <f>'Avg Week BUJUKO-BULOBA'!M22+'Avg Week BULOBA-BUJUKO'!M22</f>
        <v>37.857142857142854</v>
      </c>
      <c r="N22" s="49">
        <f>'Avg Week BUJUKO-BULOBA'!N22+'Avg Week BULOBA-BUJUKO'!N22</f>
        <v>0</v>
      </c>
      <c r="O22" s="15">
        <f t="shared" si="0"/>
        <v>90.285714285714278</v>
      </c>
      <c r="P22" s="15">
        <f t="shared" si="1"/>
        <v>128.14285714285714</v>
      </c>
      <c r="R22" s="1" t="s">
        <v>146</v>
      </c>
      <c r="S22" s="34">
        <f>SUM(C58:C61)</f>
        <v>183</v>
      </c>
      <c r="T22" s="34">
        <f t="shared" ref="T22:AF22" si="14">SUM(D58:D61)</f>
        <v>40.5</v>
      </c>
      <c r="U22" s="34">
        <f t="shared" si="14"/>
        <v>36.5</v>
      </c>
      <c r="V22" s="34">
        <f t="shared" si="14"/>
        <v>136</v>
      </c>
      <c r="W22" s="34">
        <f t="shared" si="14"/>
        <v>1</v>
      </c>
      <c r="X22" s="34">
        <f t="shared" si="14"/>
        <v>3</v>
      </c>
      <c r="Y22" s="34">
        <f t="shared" si="14"/>
        <v>49.5</v>
      </c>
      <c r="Z22" s="34">
        <f t="shared" si="14"/>
        <v>36</v>
      </c>
      <c r="AA22" s="34">
        <f t="shared" si="14"/>
        <v>8.5</v>
      </c>
      <c r="AB22" s="34">
        <f t="shared" si="14"/>
        <v>11.5</v>
      </c>
      <c r="AC22" s="34">
        <f t="shared" si="14"/>
        <v>183</v>
      </c>
      <c r="AD22" s="34">
        <f t="shared" si="14"/>
        <v>0</v>
      </c>
      <c r="AE22" s="31">
        <f t="shared" si="14"/>
        <v>505.5</v>
      </c>
      <c r="AF22" s="31">
        <f t="shared" si="14"/>
        <v>688.5</v>
      </c>
    </row>
    <row r="23" spans="2:32" ht="23.1" customHeight="1" x14ac:dyDescent="0.25">
      <c r="B23" s="23" t="s">
        <v>50</v>
      </c>
      <c r="C23" s="49">
        <f>'Avg Week BUJUKO-BULOBA'!C23+'Avg Week BULOBA-BUJUKO'!C23</f>
        <v>30.142857142857146</v>
      </c>
      <c r="D23" s="49">
        <f>'Avg Week BUJUKO-BULOBA'!D23+'Avg Week BULOBA-BUJUKO'!D23</f>
        <v>6.2857142857142856</v>
      </c>
      <c r="E23" s="49">
        <f>'Avg Week BUJUKO-BULOBA'!E23+'Avg Week BULOBA-BUJUKO'!E23</f>
        <v>5.4285714285714279</v>
      </c>
      <c r="F23" s="49">
        <f>'Avg Week BUJUKO-BULOBA'!F23+'Avg Week BULOBA-BUJUKO'!F23</f>
        <v>29.142857142857146</v>
      </c>
      <c r="G23" s="49">
        <f>'Avg Week BUJUKO-BULOBA'!G23+'Avg Week BULOBA-BUJUKO'!G23</f>
        <v>0.42857142857142855</v>
      </c>
      <c r="H23" s="49">
        <f>'Avg Week BUJUKO-BULOBA'!H23+'Avg Week BULOBA-BUJUKO'!H23</f>
        <v>0.7142857142857143</v>
      </c>
      <c r="I23" s="49">
        <f>'Avg Week BUJUKO-BULOBA'!I23+'Avg Week BULOBA-BUJUKO'!I23</f>
        <v>9.2857142857142865</v>
      </c>
      <c r="J23" s="49">
        <f>'Avg Week BUJUKO-BULOBA'!J23+'Avg Week BULOBA-BUJUKO'!J23</f>
        <v>3.4285714285714288</v>
      </c>
      <c r="K23" s="49">
        <f>'Avg Week BUJUKO-BULOBA'!K23+'Avg Week BULOBA-BUJUKO'!K23</f>
        <v>1.7142857142857144</v>
      </c>
      <c r="L23" s="49">
        <f>'Avg Week BUJUKO-BULOBA'!L23+'Avg Week BULOBA-BUJUKO'!L23</f>
        <v>1.4285714285714284</v>
      </c>
      <c r="M23" s="49">
        <f>'Avg Week BUJUKO-BULOBA'!M23+'Avg Week BULOBA-BUJUKO'!M23</f>
        <v>35.857142857142854</v>
      </c>
      <c r="N23" s="49">
        <f>'Avg Week BUJUKO-BULOBA'!N23+'Avg Week BULOBA-BUJUKO'!N23</f>
        <v>0</v>
      </c>
      <c r="O23" s="15">
        <f t="shared" si="0"/>
        <v>88</v>
      </c>
      <c r="P23" s="15">
        <f t="shared" si="1"/>
        <v>123.85714285714286</v>
      </c>
      <c r="R23" s="1" t="s">
        <v>147</v>
      </c>
      <c r="S23" s="34">
        <f>SUM(C62:C65)</f>
        <v>114.5</v>
      </c>
      <c r="T23" s="34">
        <f t="shared" ref="T23:AF23" si="15">SUM(D62:D65)</f>
        <v>20.5</v>
      </c>
      <c r="U23" s="34">
        <f t="shared" si="15"/>
        <v>23</v>
      </c>
      <c r="V23" s="34">
        <f t="shared" si="15"/>
        <v>90.5</v>
      </c>
      <c r="W23" s="34">
        <f t="shared" si="15"/>
        <v>2.5</v>
      </c>
      <c r="X23" s="34">
        <f t="shared" si="15"/>
        <v>2</v>
      </c>
      <c r="Y23" s="34">
        <f t="shared" si="15"/>
        <v>39</v>
      </c>
      <c r="Z23" s="34">
        <f t="shared" si="15"/>
        <v>19</v>
      </c>
      <c r="AA23" s="34">
        <f t="shared" si="15"/>
        <v>9</v>
      </c>
      <c r="AB23" s="34">
        <f t="shared" si="15"/>
        <v>5.5</v>
      </c>
      <c r="AC23" s="34">
        <f t="shared" si="15"/>
        <v>124</v>
      </c>
      <c r="AD23" s="34">
        <f t="shared" si="15"/>
        <v>0</v>
      </c>
      <c r="AE23" s="31">
        <f t="shared" si="15"/>
        <v>325.5</v>
      </c>
      <c r="AF23" s="31">
        <f t="shared" si="15"/>
        <v>449.5</v>
      </c>
    </row>
    <row r="24" spans="2:32" ht="23.1" customHeight="1" x14ac:dyDescent="0.25">
      <c r="B24" s="23" t="s">
        <v>51</v>
      </c>
      <c r="C24" s="49">
        <f>'Avg Week BUJUKO-BULOBA'!C24+'Avg Week BULOBA-BUJUKO'!C24</f>
        <v>33.857142857142861</v>
      </c>
      <c r="D24" s="49">
        <f>'Avg Week BUJUKO-BULOBA'!D24+'Avg Week BULOBA-BUJUKO'!D24</f>
        <v>8.2857142857142847</v>
      </c>
      <c r="E24" s="49">
        <f>'Avg Week BUJUKO-BULOBA'!E24+'Avg Week BULOBA-BUJUKO'!E24</f>
        <v>8.2857142857142847</v>
      </c>
      <c r="F24" s="49">
        <f>'Avg Week BUJUKO-BULOBA'!F24+'Avg Week BULOBA-BUJUKO'!F24</f>
        <v>31.857142857142854</v>
      </c>
      <c r="G24" s="49">
        <f>'Avg Week BUJUKO-BULOBA'!G24+'Avg Week BULOBA-BUJUKO'!G24</f>
        <v>0.5714285714285714</v>
      </c>
      <c r="H24" s="49">
        <f>'Avg Week BUJUKO-BULOBA'!H24+'Avg Week BULOBA-BUJUKO'!H24</f>
        <v>0.5714285714285714</v>
      </c>
      <c r="I24" s="49">
        <f>'Avg Week BUJUKO-BULOBA'!I24+'Avg Week BULOBA-BUJUKO'!I24</f>
        <v>13.714285714285715</v>
      </c>
      <c r="J24" s="49">
        <f>'Avg Week BUJUKO-BULOBA'!J24+'Avg Week BULOBA-BUJUKO'!J24</f>
        <v>6.1428571428571423</v>
      </c>
      <c r="K24" s="49">
        <f>'Avg Week BUJUKO-BULOBA'!K24+'Avg Week BULOBA-BUJUKO'!K24</f>
        <v>1.7142857142857144</v>
      </c>
      <c r="L24" s="49">
        <f>'Avg Week BUJUKO-BULOBA'!L24+'Avg Week BULOBA-BUJUKO'!L24</f>
        <v>1.4285714285714286</v>
      </c>
      <c r="M24" s="49">
        <f>'Avg Week BUJUKO-BULOBA'!M24+'Avg Week BULOBA-BUJUKO'!M24</f>
        <v>36.142857142857146</v>
      </c>
      <c r="N24" s="49">
        <f>'Avg Week BUJUKO-BULOBA'!N24+'Avg Week BULOBA-BUJUKO'!N24</f>
        <v>0.14285714285714285</v>
      </c>
      <c r="O24" s="15">
        <f t="shared" si="0"/>
        <v>106.57142857142856</v>
      </c>
      <c r="P24" s="15">
        <f t="shared" si="1"/>
        <v>142.71428571428569</v>
      </c>
      <c r="R24" s="1" t="s">
        <v>148</v>
      </c>
      <c r="S24" s="34">
        <f>SUM(C66:C69)</f>
        <v>93</v>
      </c>
      <c r="T24" s="34">
        <f t="shared" ref="T24:AF24" si="16">SUM(D66:D69)</f>
        <v>14</v>
      </c>
      <c r="U24" s="34">
        <f t="shared" si="16"/>
        <v>16.5</v>
      </c>
      <c r="V24" s="34">
        <f t="shared" si="16"/>
        <v>73</v>
      </c>
      <c r="W24" s="34">
        <f t="shared" si="16"/>
        <v>1.5</v>
      </c>
      <c r="X24" s="34">
        <f t="shared" si="16"/>
        <v>5</v>
      </c>
      <c r="Y24" s="34">
        <f t="shared" si="16"/>
        <v>39.5</v>
      </c>
      <c r="Z24" s="34">
        <f t="shared" si="16"/>
        <v>32.5</v>
      </c>
      <c r="AA24" s="34">
        <f t="shared" si="16"/>
        <v>11.5</v>
      </c>
      <c r="AB24" s="34">
        <f t="shared" si="16"/>
        <v>16</v>
      </c>
      <c r="AC24" s="34">
        <f t="shared" si="16"/>
        <v>82</v>
      </c>
      <c r="AD24" s="34">
        <f t="shared" si="16"/>
        <v>0</v>
      </c>
      <c r="AE24" s="31">
        <f t="shared" si="16"/>
        <v>302.5</v>
      </c>
      <c r="AF24" s="31">
        <f t="shared" si="16"/>
        <v>384.5</v>
      </c>
    </row>
    <row r="25" spans="2:32" ht="23.1" customHeight="1" x14ac:dyDescent="0.25">
      <c r="B25" s="23" t="s">
        <v>52</v>
      </c>
      <c r="C25" s="49">
        <f>'Avg Week BUJUKO-BULOBA'!C25+'Avg Week BULOBA-BUJUKO'!C25</f>
        <v>32.857142857142854</v>
      </c>
      <c r="D25" s="49">
        <f>'Avg Week BUJUKO-BULOBA'!D25+'Avg Week BULOBA-BUJUKO'!D25</f>
        <v>8.8571428571428577</v>
      </c>
      <c r="E25" s="49">
        <f>'Avg Week BUJUKO-BULOBA'!E25+'Avg Week BULOBA-BUJUKO'!E25</f>
        <v>4.2857142857142856</v>
      </c>
      <c r="F25" s="49">
        <f>'Avg Week BUJUKO-BULOBA'!F25+'Avg Week BULOBA-BUJUKO'!F25</f>
        <v>29.428571428571431</v>
      </c>
      <c r="G25" s="49">
        <f>'Avg Week BUJUKO-BULOBA'!G25+'Avg Week BULOBA-BUJUKO'!G25</f>
        <v>1.2857142857142856</v>
      </c>
      <c r="H25" s="49">
        <f>'Avg Week BUJUKO-BULOBA'!H25+'Avg Week BULOBA-BUJUKO'!H25</f>
        <v>0.8571428571428571</v>
      </c>
      <c r="I25" s="49">
        <f>'Avg Week BUJUKO-BULOBA'!I25+'Avg Week BULOBA-BUJUKO'!I25</f>
        <v>11.428571428571429</v>
      </c>
      <c r="J25" s="49">
        <f>'Avg Week BUJUKO-BULOBA'!J25+'Avg Week BULOBA-BUJUKO'!J25</f>
        <v>5.5714285714285712</v>
      </c>
      <c r="K25" s="49">
        <f>'Avg Week BUJUKO-BULOBA'!K25+'Avg Week BULOBA-BUJUKO'!K25</f>
        <v>2.4285714285714284</v>
      </c>
      <c r="L25" s="49">
        <f>'Avg Week BUJUKO-BULOBA'!L25+'Avg Week BULOBA-BUJUKO'!L25</f>
        <v>0.71428571428571419</v>
      </c>
      <c r="M25" s="49">
        <f>'Avg Week BUJUKO-BULOBA'!M25+'Avg Week BULOBA-BUJUKO'!M25</f>
        <v>34.714285714285708</v>
      </c>
      <c r="N25" s="49">
        <f>'Avg Week BUJUKO-BULOBA'!N25+'Avg Week BULOBA-BUJUKO'!N25</f>
        <v>0</v>
      </c>
      <c r="O25" s="15">
        <f t="shared" si="0"/>
        <v>97.714285714285708</v>
      </c>
      <c r="P25" s="15">
        <f t="shared" si="1"/>
        <v>132.42857142857142</v>
      </c>
      <c r="R25" s="1" t="s">
        <v>149</v>
      </c>
      <c r="S25" s="34">
        <f>SUM(C70:C73)</f>
        <v>79</v>
      </c>
      <c r="T25" s="34">
        <f t="shared" ref="T25:AF25" si="17">SUM(D70:D73)</f>
        <v>14</v>
      </c>
      <c r="U25" s="34">
        <f t="shared" si="17"/>
        <v>13</v>
      </c>
      <c r="V25" s="34">
        <f t="shared" si="17"/>
        <v>48.5</v>
      </c>
      <c r="W25" s="34">
        <f t="shared" si="17"/>
        <v>1</v>
      </c>
      <c r="X25" s="34">
        <f t="shared" si="17"/>
        <v>2</v>
      </c>
      <c r="Y25" s="34">
        <f t="shared" si="17"/>
        <v>32</v>
      </c>
      <c r="Z25" s="34">
        <f t="shared" si="17"/>
        <v>23</v>
      </c>
      <c r="AA25" s="34">
        <f t="shared" si="17"/>
        <v>5.5</v>
      </c>
      <c r="AB25" s="34">
        <f t="shared" si="17"/>
        <v>7</v>
      </c>
      <c r="AC25" s="34">
        <f t="shared" si="17"/>
        <v>81</v>
      </c>
      <c r="AD25" s="34">
        <f t="shared" si="17"/>
        <v>0</v>
      </c>
      <c r="AE25" s="31">
        <f t="shared" si="17"/>
        <v>225</v>
      </c>
      <c r="AF25" s="31">
        <f t="shared" si="17"/>
        <v>306</v>
      </c>
    </row>
    <row r="26" spans="2:32" ht="23.1" customHeight="1" x14ac:dyDescent="0.25">
      <c r="B26" s="23" t="s">
        <v>53</v>
      </c>
      <c r="C26" s="49">
        <f>'Avg Week BUJUKO-BULOBA'!C26+'Avg Week BULOBA-BUJUKO'!C26</f>
        <v>29.428571428571431</v>
      </c>
      <c r="D26" s="49">
        <f>'Avg Week BUJUKO-BULOBA'!D26+'Avg Week BULOBA-BUJUKO'!D26</f>
        <v>6.4285714285714288</v>
      </c>
      <c r="E26" s="49">
        <f>'Avg Week BUJUKO-BULOBA'!E26+'Avg Week BULOBA-BUJUKO'!E26</f>
        <v>5.8571428571428577</v>
      </c>
      <c r="F26" s="49">
        <f>'Avg Week BUJUKO-BULOBA'!F26+'Avg Week BULOBA-BUJUKO'!F26</f>
        <v>27.857142857142861</v>
      </c>
      <c r="G26" s="49">
        <f>'Avg Week BUJUKO-BULOBA'!G26+'Avg Week BULOBA-BUJUKO'!G26</f>
        <v>0.2857142857142857</v>
      </c>
      <c r="H26" s="49">
        <f>'Avg Week BUJUKO-BULOBA'!H26+'Avg Week BULOBA-BUJUKO'!H26</f>
        <v>1</v>
      </c>
      <c r="I26" s="49">
        <f>'Avg Week BUJUKO-BULOBA'!I26+'Avg Week BULOBA-BUJUKO'!I26</f>
        <v>13.142857142857142</v>
      </c>
      <c r="J26" s="49">
        <f>'Avg Week BUJUKO-BULOBA'!J26+'Avg Week BULOBA-BUJUKO'!J26</f>
        <v>3.4285714285714288</v>
      </c>
      <c r="K26" s="49">
        <f>'Avg Week BUJUKO-BULOBA'!K26+'Avg Week BULOBA-BUJUKO'!K26</f>
        <v>1.8571428571428572</v>
      </c>
      <c r="L26" s="49">
        <f>'Avg Week BUJUKO-BULOBA'!L26+'Avg Week BULOBA-BUJUKO'!L26</f>
        <v>1.7142857142857142</v>
      </c>
      <c r="M26" s="49">
        <f>'Avg Week BUJUKO-BULOBA'!M26+'Avg Week BULOBA-BUJUKO'!M26</f>
        <v>38.571428571428569</v>
      </c>
      <c r="N26" s="49">
        <f>'Avg Week BUJUKO-BULOBA'!N26+'Avg Week BULOBA-BUJUKO'!N26</f>
        <v>0</v>
      </c>
      <c r="O26" s="15">
        <f t="shared" si="0"/>
        <v>91.000000000000014</v>
      </c>
      <c r="P26" s="15">
        <f t="shared" si="1"/>
        <v>129.57142857142858</v>
      </c>
      <c r="R26" s="1" t="s">
        <v>150</v>
      </c>
      <c r="S26" s="34">
        <f>SUM(C74:C77)</f>
        <v>61</v>
      </c>
      <c r="T26" s="34">
        <f t="shared" ref="T26:AF26" si="18">SUM(D74:D77)</f>
        <v>9</v>
      </c>
      <c r="U26" s="34">
        <f t="shared" si="18"/>
        <v>9.5</v>
      </c>
      <c r="V26" s="34">
        <f t="shared" si="18"/>
        <v>25</v>
      </c>
      <c r="W26" s="34">
        <f t="shared" si="18"/>
        <v>0</v>
      </c>
      <c r="X26" s="34">
        <f t="shared" si="18"/>
        <v>0.5</v>
      </c>
      <c r="Y26" s="34">
        <f t="shared" si="18"/>
        <v>18</v>
      </c>
      <c r="Z26" s="34">
        <f t="shared" si="18"/>
        <v>29.5</v>
      </c>
      <c r="AA26" s="34">
        <f t="shared" si="18"/>
        <v>9</v>
      </c>
      <c r="AB26" s="34">
        <f t="shared" si="18"/>
        <v>5.5</v>
      </c>
      <c r="AC26" s="34">
        <f t="shared" si="18"/>
        <v>50.5</v>
      </c>
      <c r="AD26" s="34">
        <f t="shared" si="18"/>
        <v>0</v>
      </c>
      <c r="AE26" s="31">
        <f t="shared" si="18"/>
        <v>167</v>
      </c>
      <c r="AF26" s="31">
        <f t="shared" si="18"/>
        <v>217.5</v>
      </c>
    </row>
    <row r="27" spans="2:32" ht="23.1" customHeight="1" x14ac:dyDescent="0.25">
      <c r="B27" s="23" t="s">
        <v>54</v>
      </c>
      <c r="C27" s="49">
        <f>'Avg Week BUJUKO-BULOBA'!C27+'Avg Week BULOBA-BUJUKO'!C27</f>
        <v>33.142857142857139</v>
      </c>
      <c r="D27" s="49">
        <f>'Avg Week BUJUKO-BULOBA'!D27+'Avg Week BULOBA-BUJUKO'!D27</f>
        <v>7.7142857142857144</v>
      </c>
      <c r="E27" s="49">
        <f>'Avg Week BUJUKO-BULOBA'!E27+'Avg Week BULOBA-BUJUKO'!E27</f>
        <v>5.4285714285714288</v>
      </c>
      <c r="F27" s="49">
        <f>'Avg Week BUJUKO-BULOBA'!F27+'Avg Week BULOBA-BUJUKO'!F27</f>
        <v>30.285714285714285</v>
      </c>
      <c r="G27" s="49">
        <f>'Avg Week BUJUKO-BULOBA'!G27+'Avg Week BULOBA-BUJUKO'!G27</f>
        <v>0.8571428571428571</v>
      </c>
      <c r="H27" s="49">
        <f>'Avg Week BUJUKO-BULOBA'!H27+'Avg Week BULOBA-BUJUKO'!H27</f>
        <v>1</v>
      </c>
      <c r="I27" s="49">
        <f>'Avg Week BUJUKO-BULOBA'!I27+'Avg Week BULOBA-BUJUKO'!I27</f>
        <v>7.8571428571428568</v>
      </c>
      <c r="J27" s="49">
        <f>'Avg Week BUJUKO-BULOBA'!J27+'Avg Week BULOBA-BUJUKO'!J27</f>
        <v>4.1428571428571432</v>
      </c>
      <c r="K27" s="49">
        <f>'Avg Week BUJUKO-BULOBA'!K27+'Avg Week BULOBA-BUJUKO'!K27</f>
        <v>1.4285714285714284</v>
      </c>
      <c r="L27" s="49">
        <f>'Avg Week BUJUKO-BULOBA'!L27+'Avg Week BULOBA-BUJUKO'!L27</f>
        <v>1.4285714285714284</v>
      </c>
      <c r="M27" s="49">
        <f>'Avg Week BUJUKO-BULOBA'!M27+'Avg Week BULOBA-BUJUKO'!M27</f>
        <v>33.428571428571431</v>
      </c>
      <c r="N27" s="49">
        <f>'Avg Week BUJUKO-BULOBA'!N27+'Avg Week BULOBA-BUJUKO'!N27</f>
        <v>0</v>
      </c>
      <c r="O27" s="15">
        <f t="shared" si="0"/>
        <v>93.285714285714292</v>
      </c>
      <c r="P27" s="15">
        <f t="shared" si="1"/>
        <v>126.71428571428572</v>
      </c>
      <c r="R27" s="1" t="s">
        <v>151</v>
      </c>
      <c r="S27" s="34">
        <f>SUM(C78:C81)</f>
        <v>37</v>
      </c>
      <c r="T27" s="34">
        <f t="shared" ref="T27:AF27" si="19">SUM(D78:D81)</f>
        <v>5</v>
      </c>
      <c r="U27" s="34">
        <f t="shared" si="19"/>
        <v>8</v>
      </c>
      <c r="V27" s="34">
        <f t="shared" si="19"/>
        <v>15.5</v>
      </c>
      <c r="W27" s="34">
        <f t="shared" si="19"/>
        <v>0</v>
      </c>
      <c r="X27" s="34">
        <f t="shared" si="19"/>
        <v>0.5</v>
      </c>
      <c r="Y27" s="34">
        <f t="shared" si="19"/>
        <v>26.5</v>
      </c>
      <c r="Z27" s="34">
        <f t="shared" si="19"/>
        <v>15.5</v>
      </c>
      <c r="AA27" s="34">
        <f t="shared" si="19"/>
        <v>2</v>
      </c>
      <c r="AB27" s="34">
        <f t="shared" si="19"/>
        <v>3.5</v>
      </c>
      <c r="AC27" s="34">
        <f t="shared" si="19"/>
        <v>25.5</v>
      </c>
      <c r="AD27" s="34">
        <f t="shared" si="19"/>
        <v>0</v>
      </c>
      <c r="AE27" s="31">
        <f t="shared" si="19"/>
        <v>113.5</v>
      </c>
      <c r="AF27" s="31">
        <f t="shared" si="19"/>
        <v>139</v>
      </c>
    </row>
    <row r="28" spans="2:32" ht="23.1" customHeight="1" x14ac:dyDescent="0.25">
      <c r="B28" s="23" t="s">
        <v>55</v>
      </c>
      <c r="C28" s="49">
        <f>'Avg Week BUJUKO-BULOBA'!C28+'Avg Week BULOBA-BUJUKO'!C28</f>
        <v>32.285714285714285</v>
      </c>
      <c r="D28" s="49">
        <f>'Avg Week BUJUKO-BULOBA'!D28+'Avg Week BULOBA-BUJUKO'!D28</f>
        <v>9.2857142857142865</v>
      </c>
      <c r="E28" s="49">
        <f>'Avg Week BUJUKO-BULOBA'!E28+'Avg Week BULOBA-BUJUKO'!E28</f>
        <v>5.1428571428571423</v>
      </c>
      <c r="F28" s="49">
        <f>'Avg Week BUJUKO-BULOBA'!F28+'Avg Week BULOBA-BUJUKO'!F28</f>
        <v>27.428571428571427</v>
      </c>
      <c r="G28" s="49">
        <f>'Avg Week BUJUKO-BULOBA'!G28+'Avg Week BULOBA-BUJUKO'!G28</f>
        <v>0.2857142857142857</v>
      </c>
      <c r="H28" s="49">
        <f>'Avg Week BUJUKO-BULOBA'!H28+'Avg Week BULOBA-BUJUKO'!H28</f>
        <v>1.5714285714285714</v>
      </c>
      <c r="I28" s="49">
        <f>'Avg Week BUJUKO-BULOBA'!I28+'Avg Week BULOBA-BUJUKO'!I28</f>
        <v>12.571428571428571</v>
      </c>
      <c r="J28" s="49">
        <f>'Avg Week BUJUKO-BULOBA'!J28+'Avg Week BULOBA-BUJUKO'!J28</f>
        <v>3.2857142857142856</v>
      </c>
      <c r="K28" s="49">
        <f>'Avg Week BUJUKO-BULOBA'!K28+'Avg Week BULOBA-BUJUKO'!K28</f>
        <v>1.2857142857142858</v>
      </c>
      <c r="L28" s="49">
        <f>'Avg Week BUJUKO-BULOBA'!L28+'Avg Week BULOBA-BUJUKO'!L28</f>
        <v>1</v>
      </c>
      <c r="M28" s="49">
        <f>'Avg Week BUJUKO-BULOBA'!M28+'Avg Week BULOBA-BUJUKO'!M28</f>
        <v>32</v>
      </c>
      <c r="N28" s="49">
        <f>'Avg Week BUJUKO-BULOBA'!N28+'Avg Week BULOBA-BUJUKO'!N28</f>
        <v>0</v>
      </c>
      <c r="O28" s="15">
        <f t="shared" si="0"/>
        <v>94.142857142857153</v>
      </c>
      <c r="P28" s="15">
        <f t="shared" si="1"/>
        <v>126.14285714285715</v>
      </c>
      <c r="R28" s="1" t="s">
        <v>152</v>
      </c>
      <c r="S28" s="34">
        <f>SUM(C82:C85)</f>
        <v>19</v>
      </c>
      <c r="T28" s="34">
        <f t="shared" ref="T28:AF28" si="20">SUM(D82:D85)</f>
        <v>11</v>
      </c>
      <c r="U28" s="34">
        <f t="shared" si="20"/>
        <v>4.5</v>
      </c>
      <c r="V28" s="34">
        <f t="shared" si="20"/>
        <v>3</v>
      </c>
      <c r="W28" s="34">
        <f t="shared" si="20"/>
        <v>0</v>
      </c>
      <c r="X28" s="34">
        <f t="shared" si="20"/>
        <v>0.5</v>
      </c>
      <c r="Y28" s="34">
        <f t="shared" si="20"/>
        <v>11.5</v>
      </c>
      <c r="Z28" s="34">
        <f t="shared" si="20"/>
        <v>10.5</v>
      </c>
      <c r="AA28" s="34">
        <f t="shared" si="20"/>
        <v>5</v>
      </c>
      <c r="AB28" s="34">
        <f t="shared" si="20"/>
        <v>4.5</v>
      </c>
      <c r="AC28" s="34">
        <f t="shared" si="20"/>
        <v>19.5</v>
      </c>
      <c r="AD28" s="34">
        <f t="shared" si="20"/>
        <v>0</v>
      </c>
      <c r="AE28" s="31">
        <f t="shared" si="20"/>
        <v>69.5</v>
      </c>
      <c r="AF28" s="31">
        <f t="shared" si="20"/>
        <v>89</v>
      </c>
    </row>
    <row r="29" spans="2:32" ht="23.1" customHeight="1" x14ac:dyDescent="0.25">
      <c r="B29" s="23" t="s">
        <v>56</v>
      </c>
      <c r="C29" s="49">
        <f>'Avg Week BUJUKO-BULOBA'!C29+'Avg Week BULOBA-BUJUKO'!C29</f>
        <v>33.571428571428569</v>
      </c>
      <c r="D29" s="49">
        <f>'Avg Week BUJUKO-BULOBA'!D29+'Avg Week BULOBA-BUJUKO'!D29</f>
        <v>10.428571428571429</v>
      </c>
      <c r="E29" s="49">
        <f>'Avg Week BUJUKO-BULOBA'!E29+'Avg Week BULOBA-BUJUKO'!E29</f>
        <v>7.8571428571428577</v>
      </c>
      <c r="F29" s="49">
        <f>'Avg Week BUJUKO-BULOBA'!F29+'Avg Week BULOBA-BUJUKO'!F29</f>
        <v>30.571428571428569</v>
      </c>
      <c r="G29" s="49">
        <f>'Avg Week BUJUKO-BULOBA'!G29+'Avg Week BULOBA-BUJUKO'!G29</f>
        <v>0.71428571428571419</v>
      </c>
      <c r="H29" s="49">
        <f>'Avg Week BUJUKO-BULOBA'!H29+'Avg Week BULOBA-BUJUKO'!H29</f>
        <v>0.2857142857142857</v>
      </c>
      <c r="I29" s="49">
        <f>'Avg Week BUJUKO-BULOBA'!I29+'Avg Week BULOBA-BUJUKO'!I29</f>
        <v>11.571428571428571</v>
      </c>
      <c r="J29" s="49">
        <f>'Avg Week BUJUKO-BULOBA'!J29+'Avg Week BULOBA-BUJUKO'!J29</f>
        <v>3</v>
      </c>
      <c r="K29" s="49">
        <f>'Avg Week BUJUKO-BULOBA'!K29+'Avg Week BULOBA-BUJUKO'!K29</f>
        <v>2.1428571428571428</v>
      </c>
      <c r="L29" s="49">
        <f>'Avg Week BUJUKO-BULOBA'!L29+'Avg Week BULOBA-BUJUKO'!L29</f>
        <v>1</v>
      </c>
      <c r="M29" s="49">
        <f>'Avg Week BUJUKO-BULOBA'!M29+'Avg Week BULOBA-BUJUKO'!M29</f>
        <v>27.142857142857142</v>
      </c>
      <c r="N29" s="49">
        <f>'Avg Week BUJUKO-BULOBA'!N29+'Avg Week BULOBA-BUJUKO'!N29</f>
        <v>0</v>
      </c>
      <c r="O29" s="15">
        <f t="shared" si="0"/>
        <v>101.14285714285714</v>
      </c>
      <c r="P29" s="15">
        <f t="shared" si="1"/>
        <v>128.28571428571428</v>
      </c>
      <c r="R29" s="1" t="s">
        <v>153</v>
      </c>
      <c r="S29" s="34">
        <f>SUM(C86:C89)</f>
        <v>14.5</v>
      </c>
      <c r="T29" s="34">
        <f t="shared" ref="T29:AF29" si="21">SUM(D86:D89)</f>
        <v>3</v>
      </c>
      <c r="U29" s="34">
        <f t="shared" si="21"/>
        <v>5.5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7.5</v>
      </c>
      <c r="Z29" s="34">
        <f t="shared" si="21"/>
        <v>3.5</v>
      </c>
      <c r="AA29" s="34">
        <f t="shared" si="21"/>
        <v>7</v>
      </c>
      <c r="AB29" s="34">
        <f t="shared" si="21"/>
        <v>2.5</v>
      </c>
      <c r="AC29" s="34">
        <f t="shared" si="21"/>
        <v>23</v>
      </c>
      <c r="AD29" s="34">
        <f t="shared" si="21"/>
        <v>0</v>
      </c>
      <c r="AE29" s="31">
        <f t="shared" si="21"/>
        <v>45.5</v>
      </c>
      <c r="AF29" s="31">
        <f t="shared" si="21"/>
        <v>68.5</v>
      </c>
    </row>
    <row r="30" spans="2:32" ht="23.1" customHeight="1" x14ac:dyDescent="0.25">
      <c r="B30" s="23" t="s">
        <v>57</v>
      </c>
      <c r="C30" s="49">
        <f>'Avg Week BUJUKO-BULOBA'!C30+'Avg Week BULOBA-BUJUKO'!C30</f>
        <v>33.285714285714285</v>
      </c>
      <c r="D30" s="49">
        <f>'Avg Week BUJUKO-BULOBA'!D30+'Avg Week BULOBA-BUJUKO'!D30</f>
        <v>8.8571428571428577</v>
      </c>
      <c r="E30" s="49">
        <f>'Avg Week BUJUKO-BULOBA'!E30+'Avg Week BULOBA-BUJUKO'!E30</f>
        <v>7</v>
      </c>
      <c r="F30" s="49">
        <f>'Avg Week BUJUKO-BULOBA'!F30+'Avg Week BULOBA-BUJUKO'!F30</f>
        <v>28.428571428571431</v>
      </c>
      <c r="G30" s="49">
        <f>'Avg Week BUJUKO-BULOBA'!G30+'Avg Week BULOBA-BUJUKO'!G30</f>
        <v>0.8571428571428571</v>
      </c>
      <c r="H30" s="49">
        <f>'Avg Week BUJUKO-BULOBA'!H30+'Avg Week BULOBA-BUJUKO'!H30</f>
        <v>0.42857142857142855</v>
      </c>
      <c r="I30" s="49">
        <f>'Avg Week BUJUKO-BULOBA'!I30+'Avg Week BULOBA-BUJUKO'!I30</f>
        <v>13.428571428571427</v>
      </c>
      <c r="J30" s="49">
        <f>'Avg Week BUJUKO-BULOBA'!J30+'Avg Week BULOBA-BUJUKO'!J30</f>
        <v>4.2857142857142856</v>
      </c>
      <c r="K30" s="49">
        <f>'Avg Week BUJUKO-BULOBA'!K30+'Avg Week BULOBA-BUJUKO'!K30</f>
        <v>1</v>
      </c>
      <c r="L30" s="49">
        <f>'Avg Week BUJUKO-BULOBA'!L30+'Avg Week BULOBA-BUJUKO'!L30</f>
        <v>0.5714285714285714</v>
      </c>
      <c r="M30" s="49">
        <f>'Avg Week BUJUKO-BULOBA'!M30+'Avg Week BULOBA-BUJUKO'!M30</f>
        <v>34.428571428571431</v>
      </c>
      <c r="N30" s="49">
        <f>'Avg Week BUJUKO-BULOBA'!N30+'Avg Week BULOBA-BUJUKO'!N30</f>
        <v>0</v>
      </c>
      <c r="O30" s="15">
        <f t="shared" si="0"/>
        <v>98.142857142857153</v>
      </c>
      <c r="P30" s="15">
        <f t="shared" si="1"/>
        <v>132.57142857142858</v>
      </c>
      <c r="R30" s="1" t="s">
        <v>154</v>
      </c>
      <c r="S30" s="34">
        <f>SUM(C90:C93)</f>
        <v>13.5</v>
      </c>
      <c r="T30" s="34">
        <f t="shared" ref="T30:AF30" si="22">SUM(D90:D93)</f>
        <v>3</v>
      </c>
      <c r="U30" s="34">
        <f t="shared" si="22"/>
        <v>1.5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7.5</v>
      </c>
      <c r="Z30" s="34">
        <f t="shared" si="22"/>
        <v>7</v>
      </c>
      <c r="AA30" s="34">
        <f t="shared" si="22"/>
        <v>3</v>
      </c>
      <c r="AB30" s="34">
        <f t="shared" si="22"/>
        <v>1.5</v>
      </c>
      <c r="AC30" s="34">
        <f t="shared" si="22"/>
        <v>12.5</v>
      </c>
      <c r="AD30" s="34">
        <f t="shared" si="22"/>
        <v>0</v>
      </c>
      <c r="AE30" s="31">
        <f t="shared" si="22"/>
        <v>38</v>
      </c>
      <c r="AF30" s="31">
        <f t="shared" si="22"/>
        <v>50.5</v>
      </c>
    </row>
    <row r="31" spans="2:32" ht="23.1" customHeight="1" x14ac:dyDescent="0.25">
      <c r="B31" s="24" t="s">
        <v>58</v>
      </c>
      <c r="C31" s="49">
        <f>'Avg Week BUJUKO-BULOBA'!C31+'Avg Week BULOBA-BUJUKO'!C31</f>
        <v>28</v>
      </c>
      <c r="D31" s="49">
        <f>'Avg Week BUJUKO-BULOBA'!D31+'Avg Week BULOBA-BUJUKO'!D31</f>
        <v>10</v>
      </c>
      <c r="E31" s="49">
        <f>'Avg Week BUJUKO-BULOBA'!E31+'Avg Week BULOBA-BUJUKO'!E31</f>
        <v>5.7142857142857144</v>
      </c>
      <c r="F31" s="49">
        <f>'Avg Week BUJUKO-BULOBA'!F31+'Avg Week BULOBA-BUJUKO'!F31</f>
        <v>27.142857142857142</v>
      </c>
      <c r="G31" s="49">
        <f>'Avg Week BUJUKO-BULOBA'!G31+'Avg Week BULOBA-BUJUKO'!G31</f>
        <v>1</v>
      </c>
      <c r="H31" s="49">
        <f>'Avg Week BUJUKO-BULOBA'!H31+'Avg Week BULOBA-BUJUKO'!H31</f>
        <v>0.71428571428571419</v>
      </c>
      <c r="I31" s="49">
        <f>'Avg Week BUJUKO-BULOBA'!I31+'Avg Week BULOBA-BUJUKO'!I31</f>
        <v>12.428571428571429</v>
      </c>
      <c r="J31" s="49">
        <f>'Avg Week BUJUKO-BULOBA'!J31+'Avg Week BULOBA-BUJUKO'!J31</f>
        <v>4.7142857142857144</v>
      </c>
      <c r="K31" s="49">
        <f>'Avg Week BUJUKO-BULOBA'!K31+'Avg Week BULOBA-BUJUKO'!K31</f>
        <v>3</v>
      </c>
      <c r="L31" s="49">
        <f>'Avg Week BUJUKO-BULOBA'!L31+'Avg Week BULOBA-BUJUKO'!L31</f>
        <v>1.2857142857142856</v>
      </c>
      <c r="M31" s="49">
        <f>'Avg Week BUJUKO-BULOBA'!M31+'Avg Week BULOBA-BUJUKO'!M31</f>
        <v>32.571428571428569</v>
      </c>
      <c r="N31" s="49">
        <f>'Avg Week BUJUKO-BULOBA'!N31+'Avg Week BULOBA-BUJUKO'!N31</f>
        <v>0</v>
      </c>
      <c r="O31" s="15">
        <f t="shared" si="0"/>
        <v>94</v>
      </c>
      <c r="P31" s="15">
        <f t="shared" si="1"/>
        <v>126.57142857142857</v>
      </c>
      <c r="R31" s="1" t="s">
        <v>155</v>
      </c>
      <c r="S31" s="34">
        <f>SUM(C94:C97)</f>
        <v>27.5</v>
      </c>
      <c r="T31" s="34">
        <f t="shared" ref="T31:AF31" si="23">SUM(D94:D97)</f>
        <v>2.5</v>
      </c>
      <c r="U31" s="34">
        <f t="shared" si="23"/>
        <v>0.5</v>
      </c>
      <c r="V31" s="34">
        <f t="shared" si="23"/>
        <v>3.5</v>
      </c>
      <c r="W31" s="34">
        <f t="shared" si="23"/>
        <v>0</v>
      </c>
      <c r="X31" s="34">
        <f t="shared" si="23"/>
        <v>1.5</v>
      </c>
      <c r="Y31" s="34">
        <f t="shared" si="23"/>
        <v>10.5</v>
      </c>
      <c r="Z31" s="34">
        <f t="shared" si="23"/>
        <v>3.5</v>
      </c>
      <c r="AA31" s="34">
        <f t="shared" si="23"/>
        <v>2</v>
      </c>
      <c r="AB31" s="34">
        <f t="shared" si="23"/>
        <v>0</v>
      </c>
      <c r="AC31" s="34">
        <f t="shared" si="23"/>
        <v>20</v>
      </c>
      <c r="AD31" s="34">
        <f t="shared" si="23"/>
        <v>0</v>
      </c>
      <c r="AE31" s="31">
        <f t="shared" si="23"/>
        <v>51.5</v>
      </c>
      <c r="AF31" s="31">
        <f t="shared" si="23"/>
        <v>71.5</v>
      </c>
    </row>
    <row r="32" spans="2:32" ht="23.1" customHeight="1" x14ac:dyDescent="0.25">
      <c r="B32" s="24" t="s">
        <v>59</v>
      </c>
      <c r="C32" s="49">
        <f>'Avg Week BUJUKO-BULOBA'!C32+'Avg Week BULOBA-BUJUKO'!C32</f>
        <v>33.285714285714285</v>
      </c>
      <c r="D32" s="49">
        <f>'Avg Week BUJUKO-BULOBA'!D32+'Avg Week BULOBA-BUJUKO'!D32</f>
        <v>10.857142857142858</v>
      </c>
      <c r="E32" s="49">
        <f>'Avg Week BUJUKO-BULOBA'!E32+'Avg Week BULOBA-BUJUKO'!E32</f>
        <v>7.2857142857142856</v>
      </c>
      <c r="F32" s="49">
        <f>'Avg Week BUJUKO-BULOBA'!F32+'Avg Week BULOBA-BUJUKO'!F32</f>
        <v>29.285714285714285</v>
      </c>
      <c r="G32" s="49">
        <f>'Avg Week BUJUKO-BULOBA'!G32+'Avg Week BULOBA-BUJUKO'!G32</f>
        <v>0.5714285714285714</v>
      </c>
      <c r="H32" s="49">
        <f>'Avg Week BUJUKO-BULOBA'!H32+'Avg Week BULOBA-BUJUKO'!H32</f>
        <v>1</v>
      </c>
      <c r="I32" s="49">
        <f>'Avg Week BUJUKO-BULOBA'!I32+'Avg Week BULOBA-BUJUKO'!I32</f>
        <v>16.428571428571427</v>
      </c>
      <c r="J32" s="49">
        <f>'Avg Week BUJUKO-BULOBA'!J32+'Avg Week BULOBA-BUJUKO'!J32</f>
        <v>4.7142857142857144</v>
      </c>
      <c r="K32" s="49">
        <f>'Avg Week BUJUKO-BULOBA'!K32+'Avg Week BULOBA-BUJUKO'!K32</f>
        <v>2.2857142857142856</v>
      </c>
      <c r="L32" s="49">
        <f>'Avg Week BUJUKO-BULOBA'!L32+'Avg Week BULOBA-BUJUKO'!L32</f>
        <v>1.5714285714285714</v>
      </c>
      <c r="M32" s="49">
        <f>'Avg Week BUJUKO-BULOBA'!M32+'Avg Week BULOBA-BUJUKO'!M32</f>
        <v>30.571428571428569</v>
      </c>
      <c r="N32" s="49">
        <f>'Avg Week BUJUKO-BULOBA'!N32+'Avg Week BULOBA-BUJUKO'!N32</f>
        <v>0</v>
      </c>
      <c r="O32" s="15">
        <f t="shared" si="0"/>
        <v>107.28571428571428</v>
      </c>
      <c r="P32" s="15">
        <f t="shared" si="1"/>
        <v>137.85714285714283</v>
      </c>
      <c r="R32" s="1" t="s">
        <v>156</v>
      </c>
      <c r="S32" s="34">
        <f>SUM(C98:C101)</f>
        <v>35</v>
      </c>
      <c r="T32" s="34">
        <f t="shared" ref="T32:AF32" si="24">SUM(D98:D101)</f>
        <v>8.5</v>
      </c>
      <c r="U32" s="34">
        <f t="shared" si="24"/>
        <v>3</v>
      </c>
      <c r="V32" s="34">
        <f t="shared" si="24"/>
        <v>23.5</v>
      </c>
      <c r="W32" s="34">
        <f t="shared" si="24"/>
        <v>0.5</v>
      </c>
      <c r="X32" s="34">
        <f t="shared" si="24"/>
        <v>2.5</v>
      </c>
      <c r="Y32" s="34">
        <f t="shared" si="24"/>
        <v>9</v>
      </c>
      <c r="Z32" s="34">
        <f t="shared" si="24"/>
        <v>13.5</v>
      </c>
      <c r="AA32" s="34">
        <f t="shared" si="24"/>
        <v>6</v>
      </c>
      <c r="AB32" s="34">
        <f t="shared" si="24"/>
        <v>2.5</v>
      </c>
      <c r="AC32" s="34">
        <f t="shared" si="24"/>
        <v>49</v>
      </c>
      <c r="AD32" s="34">
        <f t="shared" si="24"/>
        <v>0</v>
      </c>
      <c r="AE32" s="31">
        <f t="shared" si="24"/>
        <v>104</v>
      </c>
      <c r="AF32" s="31">
        <f t="shared" si="24"/>
        <v>153</v>
      </c>
    </row>
    <row r="33" spans="2:32" ht="23.1" customHeight="1" x14ac:dyDescent="0.25">
      <c r="B33" s="23" t="s">
        <v>60</v>
      </c>
      <c r="C33" s="49">
        <f>'Avg Week BUJUKO-BULOBA'!C33+'Avg Week BULOBA-BUJUKO'!C33</f>
        <v>26.571428571428569</v>
      </c>
      <c r="D33" s="49">
        <f>'Avg Week BUJUKO-BULOBA'!D33+'Avg Week BULOBA-BUJUKO'!D33</f>
        <v>8.7142857142857135</v>
      </c>
      <c r="E33" s="49">
        <f>'Avg Week BUJUKO-BULOBA'!E33+'Avg Week BULOBA-BUJUKO'!E33</f>
        <v>5.4285714285714288</v>
      </c>
      <c r="F33" s="49">
        <f>'Avg Week BUJUKO-BULOBA'!F33+'Avg Week BULOBA-BUJUKO'!F33</f>
        <v>25.142857142857142</v>
      </c>
      <c r="G33" s="49">
        <f>'Avg Week BUJUKO-BULOBA'!G33+'Avg Week BULOBA-BUJUKO'!G33</f>
        <v>0.71428571428571419</v>
      </c>
      <c r="H33" s="49">
        <f>'Avg Week BUJUKO-BULOBA'!H33+'Avg Week BULOBA-BUJUKO'!H33</f>
        <v>0.2857142857142857</v>
      </c>
      <c r="I33" s="49">
        <f>'Avg Week BUJUKO-BULOBA'!I33+'Avg Week BULOBA-BUJUKO'!I33</f>
        <v>12</v>
      </c>
      <c r="J33" s="49">
        <f>'Avg Week BUJUKO-BULOBA'!J33+'Avg Week BULOBA-BUJUKO'!J33</f>
        <v>3.8571428571428572</v>
      </c>
      <c r="K33" s="49">
        <f>'Avg Week BUJUKO-BULOBA'!K33+'Avg Week BULOBA-BUJUKO'!K33</f>
        <v>1.7142857142857142</v>
      </c>
      <c r="L33" s="49">
        <f>'Avg Week BUJUKO-BULOBA'!L33+'Avg Week BULOBA-BUJUKO'!L33</f>
        <v>2</v>
      </c>
      <c r="M33" s="49">
        <f>'Avg Week BUJUKO-BULOBA'!M33+'Avg Week BULOBA-BUJUKO'!M33</f>
        <v>30.428571428571431</v>
      </c>
      <c r="N33" s="49">
        <f>'Avg Week BUJUKO-BULOBA'!N33+'Avg Week BULOBA-BUJUKO'!N33</f>
        <v>0</v>
      </c>
      <c r="O33" s="15">
        <f t="shared" si="0"/>
        <v>86.428571428571431</v>
      </c>
      <c r="P33" s="15">
        <f t="shared" si="1"/>
        <v>116.85714285714286</v>
      </c>
      <c r="R33" s="1" t="s">
        <v>157</v>
      </c>
      <c r="S33" s="34">
        <f>SUM(C102:C105)</f>
        <v>51.5</v>
      </c>
      <c r="T33" s="34">
        <f t="shared" ref="T33:AF33" si="25">SUM(D102:D105)</f>
        <v>5.5</v>
      </c>
      <c r="U33" s="34">
        <f t="shared" si="25"/>
        <v>2.5</v>
      </c>
      <c r="V33" s="34">
        <f t="shared" si="25"/>
        <v>35</v>
      </c>
      <c r="W33" s="34">
        <f t="shared" si="25"/>
        <v>2</v>
      </c>
      <c r="X33" s="34">
        <f t="shared" si="25"/>
        <v>2</v>
      </c>
      <c r="Y33" s="34">
        <f t="shared" si="25"/>
        <v>13</v>
      </c>
      <c r="Z33" s="34">
        <f t="shared" si="25"/>
        <v>7</v>
      </c>
      <c r="AA33" s="34">
        <f t="shared" si="25"/>
        <v>3.5</v>
      </c>
      <c r="AB33" s="34">
        <f t="shared" si="25"/>
        <v>3.5</v>
      </c>
      <c r="AC33" s="34">
        <f t="shared" si="25"/>
        <v>45.5</v>
      </c>
      <c r="AD33" s="34">
        <f t="shared" si="25"/>
        <v>0</v>
      </c>
      <c r="AE33" s="31">
        <f t="shared" si="25"/>
        <v>125.5</v>
      </c>
      <c r="AF33" s="31">
        <f t="shared" si="25"/>
        <v>171</v>
      </c>
    </row>
    <row r="34" spans="2:32" ht="23.1" customHeight="1" x14ac:dyDescent="0.25">
      <c r="B34" s="24" t="s">
        <v>61</v>
      </c>
      <c r="C34" s="49">
        <f>'Avg Week BUJUKO-BULOBA'!C34+'Avg Week BULOBA-BUJUKO'!C34</f>
        <v>32.142857142857146</v>
      </c>
      <c r="D34" s="49">
        <f>'Avg Week BUJUKO-BULOBA'!D34+'Avg Week BULOBA-BUJUKO'!D34</f>
        <v>10.571428571428571</v>
      </c>
      <c r="E34" s="49">
        <f>'Avg Week BUJUKO-BULOBA'!E34+'Avg Week BULOBA-BUJUKO'!E34</f>
        <v>8.7142857142857153</v>
      </c>
      <c r="F34" s="49">
        <f>'Avg Week BUJUKO-BULOBA'!F34+'Avg Week BULOBA-BUJUKO'!F34</f>
        <v>34</v>
      </c>
      <c r="G34" s="49">
        <f>'Avg Week BUJUKO-BULOBA'!G34+'Avg Week BULOBA-BUJUKO'!G34</f>
        <v>1.1428571428571428</v>
      </c>
      <c r="H34" s="49">
        <f>'Avg Week BUJUKO-BULOBA'!H34+'Avg Week BULOBA-BUJUKO'!H34</f>
        <v>1.7142857142857142</v>
      </c>
      <c r="I34" s="49">
        <f>'Avg Week BUJUKO-BULOBA'!I34+'Avg Week BULOBA-BUJUKO'!I34</f>
        <v>12.285714285714286</v>
      </c>
      <c r="J34" s="49">
        <f>'Avg Week BUJUKO-BULOBA'!J34+'Avg Week BULOBA-BUJUKO'!J34</f>
        <v>5.7142857142857144</v>
      </c>
      <c r="K34" s="49">
        <f>'Avg Week BUJUKO-BULOBA'!K34+'Avg Week BULOBA-BUJUKO'!K34</f>
        <v>3.7142857142857144</v>
      </c>
      <c r="L34" s="49">
        <f>'Avg Week BUJUKO-BULOBA'!L34+'Avg Week BULOBA-BUJUKO'!L34</f>
        <v>3</v>
      </c>
      <c r="M34" s="49">
        <f>'Avg Week BUJUKO-BULOBA'!M34+'Avg Week BULOBA-BUJUKO'!M34</f>
        <v>34.571428571428569</v>
      </c>
      <c r="N34" s="49">
        <f>'Avg Week BUJUKO-BULOBA'!N34+'Avg Week BULOBA-BUJUKO'!N34</f>
        <v>0</v>
      </c>
      <c r="O34" s="15">
        <f t="shared" si="0"/>
        <v>112.99999999999999</v>
      </c>
      <c r="P34" s="15">
        <f t="shared" si="1"/>
        <v>147.57142857142856</v>
      </c>
      <c r="R34" s="51" t="s">
        <v>90</v>
      </c>
      <c r="S34" s="52">
        <f t="shared" ref="S34:AF34" si="26">MAX(S10:S12)</f>
        <v>121.85714285714286</v>
      </c>
      <c r="T34" s="52">
        <f t="shared" si="26"/>
        <v>30.571428571428573</v>
      </c>
      <c r="U34" s="52">
        <f t="shared" si="26"/>
        <v>23.428571428571431</v>
      </c>
      <c r="V34" s="52">
        <f t="shared" si="26"/>
        <v>117.42857142857142</v>
      </c>
      <c r="W34" s="52">
        <f t="shared" si="26"/>
        <v>2.8571428571428568</v>
      </c>
      <c r="X34" s="52">
        <f t="shared" si="26"/>
        <v>1.9999999999999998</v>
      </c>
      <c r="Y34" s="52">
        <f t="shared" si="26"/>
        <v>38.571428571428569</v>
      </c>
      <c r="Z34" s="52">
        <f t="shared" si="26"/>
        <v>16.285714285714285</v>
      </c>
      <c r="AA34" s="52">
        <f t="shared" si="26"/>
        <v>5.9999999999999991</v>
      </c>
      <c r="AB34" s="52">
        <f t="shared" si="26"/>
        <v>4.2857142857142847</v>
      </c>
      <c r="AC34" s="52">
        <f t="shared" si="26"/>
        <v>149.71428571428572</v>
      </c>
      <c r="AD34" s="52">
        <f t="shared" si="26"/>
        <v>0</v>
      </c>
      <c r="AE34" s="40">
        <f t="shared" si="26"/>
        <v>349.71428571428567</v>
      </c>
      <c r="AF34" s="40">
        <f t="shared" si="26"/>
        <v>499.42857142857144</v>
      </c>
    </row>
    <row r="35" spans="2:32" ht="23.1" customHeight="1" x14ac:dyDescent="0.25">
      <c r="B35" s="24" t="s">
        <v>62</v>
      </c>
      <c r="C35" s="49">
        <f>'Avg Week BUJUKO-BULOBA'!C35+'Avg Week BULOBA-BUJUKO'!C35</f>
        <v>30.714285714285715</v>
      </c>
      <c r="D35" s="49">
        <f>'Avg Week BUJUKO-BULOBA'!D35+'Avg Week BULOBA-BUJUKO'!D35</f>
        <v>9</v>
      </c>
      <c r="E35" s="49">
        <f>'Avg Week BUJUKO-BULOBA'!E35+'Avg Week BULOBA-BUJUKO'!E35</f>
        <v>7.7142857142857135</v>
      </c>
      <c r="F35" s="49">
        <f>'Avg Week BUJUKO-BULOBA'!F35+'Avg Week BULOBA-BUJUKO'!F35</f>
        <v>29.285714285714285</v>
      </c>
      <c r="G35" s="49">
        <f>'Avg Week BUJUKO-BULOBA'!G35+'Avg Week BULOBA-BUJUKO'!G35</f>
        <v>1.7142857142857144</v>
      </c>
      <c r="H35" s="49">
        <f>'Avg Week BUJUKO-BULOBA'!H35+'Avg Week BULOBA-BUJUKO'!H35</f>
        <v>0.42857142857142855</v>
      </c>
      <c r="I35" s="49">
        <f>'Avg Week BUJUKO-BULOBA'!I35+'Avg Week BULOBA-BUJUKO'!I35</f>
        <v>11.714285714285715</v>
      </c>
      <c r="J35" s="49">
        <f>'Avg Week BUJUKO-BULOBA'!J35+'Avg Week BULOBA-BUJUKO'!J35</f>
        <v>3.2857142857142856</v>
      </c>
      <c r="K35" s="49">
        <f>'Avg Week BUJUKO-BULOBA'!K35+'Avg Week BULOBA-BUJUKO'!K35</f>
        <v>1.1428571428571428</v>
      </c>
      <c r="L35" s="49">
        <f>'Avg Week BUJUKO-BULOBA'!L35+'Avg Week BULOBA-BUJUKO'!L35</f>
        <v>0.42857142857142855</v>
      </c>
      <c r="M35" s="49">
        <f>'Avg Week BUJUKO-BULOBA'!M35+'Avg Week BULOBA-BUJUKO'!M35</f>
        <v>34.285714285714285</v>
      </c>
      <c r="N35" s="49">
        <f>'Avg Week BUJUKO-BULOBA'!N35+'Avg Week BULOBA-BUJUKO'!N35</f>
        <v>0</v>
      </c>
      <c r="O35" s="15">
        <f t="shared" si="0"/>
        <v>95.428571428571445</v>
      </c>
      <c r="P35" s="15">
        <f t="shared" si="1"/>
        <v>129.71428571428572</v>
      </c>
      <c r="R35" s="51" t="s">
        <v>91</v>
      </c>
      <c r="S35" s="52">
        <f t="shared" ref="S35:AF35" si="27">MAX(S13:S18)</f>
        <v>141</v>
      </c>
      <c r="T35" s="52">
        <f t="shared" si="27"/>
        <v>38.428571428571431</v>
      </c>
      <c r="U35" s="52">
        <f t="shared" si="27"/>
        <v>36.142857142857139</v>
      </c>
      <c r="V35" s="52">
        <f t="shared" si="27"/>
        <v>131.57142857142856</v>
      </c>
      <c r="W35" s="52">
        <f t="shared" si="27"/>
        <v>4</v>
      </c>
      <c r="X35" s="52">
        <f t="shared" si="27"/>
        <v>4.5714285714285712</v>
      </c>
      <c r="Y35" s="52">
        <f t="shared" si="27"/>
        <v>54.285714285714278</v>
      </c>
      <c r="Z35" s="52">
        <f t="shared" si="27"/>
        <v>21.857142857142858</v>
      </c>
      <c r="AA35" s="52">
        <f t="shared" si="27"/>
        <v>11.428571428571427</v>
      </c>
      <c r="AB35" s="52">
        <f t="shared" si="27"/>
        <v>7</v>
      </c>
      <c r="AC35" s="52">
        <f t="shared" si="27"/>
        <v>144.57142857142856</v>
      </c>
      <c r="AD35" s="52">
        <f t="shared" si="27"/>
        <v>0.2857142857142857</v>
      </c>
      <c r="AE35" s="40">
        <f t="shared" si="27"/>
        <v>438.14285714285722</v>
      </c>
      <c r="AF35" s="40">
        <f t="shared" si="27"/>
        <v>561.57142857142856</v>
      </c>
    </row>
    <row r="36" spans="2:32" ht="23.1" customHeight="1" x14ac:dyDescent="0.25">
      <c r="B36" s="24" t="s">
        <v>63</v>
      </c>
      <c r="C36" s="49">
        <f>'Avg Week BUJUKO-BULOBA'!C36+'Avg Week BULOBA-BUJUKO'!C36</f>
        <v>30</v>
      </c>
      <c r="D36" s="49">
        <f>'Avg Week BUJUKO-BULOBA'!D36+'Avg Week BULOBA-BUJUKO'!D36</f>
        <v>6.7142857142857144</v>
      </c>
      <c r="E36" s="49">
        <f>'Avg Week BUJUKO-BULOBA'!E36+'Avg Week BULOBA-BUJUKO'!E36</f>
        <v>8.4285714285714288</v>
      </c>
      <c r="F36" s="49">
        <f>'Avg Week BUJUKO-BULOBA'!F36+'Avg Week BULOBA-BUJUKO'!F36</f>
        <v>25.428571428571431</v>
      </c>
      <c r="G36" s="49">
        <f>'Avg Week BUJUKO-BULOBA'!G36+'Avg Week BULOBA-BUJUKO'!G36</f>
        <v>0.7142857142857143</v>
      </c>
      <c r="H36" s="49">
        <f>'Avg Week BUJUKO-BULOBA'!H36+'Avg Week BULOBA-BUJUKO'!H36</f>
        <v>1.1428571428571428</v>
      </c>
      <c r="I36" s="49">
        <f>'Avg Week BUJUKO-BULOBA'!I36+'Avg Week BULOBA-BUJUKO'!I36</f>
        <v>11.142857142857142</v>
      </c>
      <c r="J36" s="49">
        <f>'Avg Week BUJUKO-BULOBA'!J36+'Avg Week BULOBA-BUJUKO'!J36</f>
        <v>4.4285714285714288</v>
      </c>
      <c r="K36" s="49">
        <f>'Avg Week BUJUKO-BULOBA'!K36+'Avg Week BULOBA-BUJUKO'!K36</f>
        <v>2</v>
      </c>
      <c r="L36" s="49">
        <f>'Avg Week BUJUKO-BULOBA'!L36+'Avg Week BULOBA-BUJUKO'!L36</f>
        <v>1.5714285714285716</v>
      </c>
      <c r="M36" s="49">
        <f>'Avg Week BUJUKO-BULOBA'!M36+'Avg Week BULOBA-BUJUKO'!M36</f>
        <v>29.571428571428569</v>
      </c>
      <c r="N36" s="49">
        <f>'Avg Week BUJUKO-BULOBA'!N36+'Avg Week BULOBA-BUJUKO'!N36</f>
        <v>0.14285714285714285</v>
      </c>
      <c r="O36" s="15">
        <f t="shared" si="0"/>
        <v>91.714285714285708</v>
      </c>
      <c r="P36" s="15">
        <f t="shared" si="1"/>
        <v>121.28571428571428</v>
      </c>
      <c r="R36" s="51" t="s">
        <v>92</v>
      </c>
      <c r="S36" s="52">
        <f t="shared" ref="S36:AF36" si="28">MAX(S19:S21)</f>
        <v>185.57142857142856</v>
      </c>
      <c r="T36" s="52">
        <f t="shared" si="28"/>
        <v>49</v>
      </c>
      <c r="U36" s="52">
        <f t="shared" si="28"/>
        <v>38.571428571428569</v>
      </c>
      <c r="V36" s="52">
        <f t="shared" si="28"/>
        <v>145.14285714285717</v>
      </c>
      <c r="W36" s="52">
        <f t="shared" si="28"/>
        <v>8.4285714285714288</v>
      </c>
      <c r="X36" s="52">
        <f t="shared" si="28"/>
        <v>4.7142857142857144</v>
      </c>
      <c r="Y36" s="52">
        <f t="shared" si="28"/>
        <v>55.142857142857139</v>
      </c>
      <c r="Z36" s="52">
        <f t="shared" si="28"/>
        <v>22.142857142857139</v>
      </c>
      <c r="AA36" s="52">
        <f t="shared" si="28"/>
        <v>7.7142857142857135</v>
      </c>
      <c r="AB36" s="52">
        <f t="shared" si="28"/>
        <v>8</v>
      </c>
      <c r="AC36" s="52">
        <f t="shared" si="28"/>
        <v>152.59523809523807</v>
      </c>
      <c r="AD36" s="52">
        <f t="shared" si="28"/>
        <v>0.42857142857142855</v>
      </c>
      <c r="AE36" s="40">
        <f t="shared" si="28"/>
        <v>515</v>
      </c>
      <c r="AF36" s="40">
        <f t="shared" si="28"/>
        <v>667.59523809523807</v>
      </c>
    </row>
    <row r="37" spans="2:32" ht="23.1" customHeight="1" x14ac:dyDescent="0.25">
      <c r="B37" s="23" t="s">
        <v>64</v>
      </c>
      <c r="C37" s="49">
        <f>'Avg Week BUJUKO-BULOBA'!C37+'Avg Week BULOBA-BUJUKO'!C37</f>
        <v>37.714285714285715</v>
      </c>
      <c r="D37" s="49">
        <f>'Avg Week BUJUKO-BULOBA'!D37+'Avg Week BULOBA-BUJUKO'!D37</f>
        <v>10.857142857142858</v>
      </c>
      <c r="E37" s="49">
        <f>'Avg Week BUJUKO-BULOBA'!E37+'Avg Week BULOBA-BUJUKO'!E37</f>
        <v>8.4285714285714288</v>
      </c>
      <c r="F37" s="49">
        <f>'Avg Week BUJUKO-BULOBA'!F37+'Avg Week BULOBA-BUJUKO'!F37</f>
        <v>32.857142857142861</v>
      </c>
      <c r="G37" s="49">
        <f>'Avg Week BUJUKO-BULOBA'!G37+'Avg Week BULOBA-BUJUKO'!G37</f>
        <v>0.42857142857142855</v>
      </c>
      <c r="H37" s="49">
        <f>'Avg Week BUJUKO-BULOBA'!H37+'Avg Week BULOBA-BUJUKO'!H37</f>
        <v>0.8571428571428571</v>
      </c>
      <c r="I37" s="49">
        <f>'Avg Week BUJUKO-BULOBA'!I37+'Avg Week BULOBA-BUJUKO'!I37</f>
        <v>13</v>
      </c>
      <c r="J37" s="49">
        <f>'Avg Week BUJUKO-BULOBA'!J37+'Avg Week BULOBA-BUJUKO'!J37</f>
        <v>4.7142857142857135</v>
      </c>
      <c r="K37" s="49">
        <f>'Avg Week BUJUKO-BULOBA'!K37+'Avg Week BULOBA-BUJUKO'!K37</f>
        <v>1.4285714285714284</v>
      </c>
      <c r="L37" s="49">
        <f>'Avg Week BUJUKO-BULOBA'!L37+'Avg Week BULOBA-BUJUKO'!L37</f>
        <v>2</v>
      </c>
      <c r="M37" s="49">
        <f>'Avg Week BUJUKO-BULOBA'!M37+'Avg Week BULOBA-BUJUKO'!M37</f>
        <v>30.285714285714285</v>
      </c>
      <c r="N37" s="49">
        <f>'Avg Week BUJUKO-BULOBA'!N37+'Avg Week BULOBA-BUJUKO'!N37</f>
        <v>0.14285714285714285</v>
      </c>
      <c r="O37" s="15">
        <f t="shared" si="0"/>
        <v>112.42857142857143</v>
      </c>
      <c r="P37" s="15">
        <f t="shared" si="1"/>
        <v>142.71428571428572</v>
      </c>
      <c r="R37" s="37" t="s">
        <v>85</v>
      </c>
      <c r="S37" s="53">
        <f t="shared" ref="S37:AF37" si="29">SUM(S10:S12)</f>
        <v>338.57142857142856</v>
      </c>
      <c r="T37" s="54">
        <f t="shared" si="29"/>
        <v>75.714285714285708</v>
      </c>
      <c r="U37" s="54">
        <f t="shared" si="29"/>
        <v>62.428571428571431</v>
      </c>
      <c r="V37" s="54">
        <f t="shared" si="29"/>
        <v>329.28571428571422</v>
      </c>
      <c r="W37" s="54">
        <f t="shared" si="29"/>
        <v>5.9999999999999991</v>
      </c>
      <c r="X37" s="54">
        <f t="shared" si="29"/>
        <v>4.2857142857142856</v>
      </c>
      <c r="Y37" s="54">
        <f t="shared" si="29"/>
        <v>98.714285714285722</v>
      </c>
      <c r="Z37" s="54">
        <f t="shared" si="29"/>
        <v>45.142857142857139</v>
      </c>
      <c r="AA37" s="54">
        <f t="shared" si="29"/>
        <v>14.142857142857142</v>
      </c>
      <c r="AB37" s="54">
        <f t="shared" si="29"/>
        <v>10.857142857142856</v>
      </c>
      <c r="AC37" s="54">
        <f t="shared" si="29"/>
        <v>406.28571428571433</v>
      </c>
      <c r="AD37" s="54">
        <f t="shared" si="29"/>
        <v>0</v>
      </c>
      <c r="AE37" s="55">
        <f t="shared" si="29"/>
        <v>985.14285714285711</v>
      </c>
      <c r="AF37" s="55">
        <f t="shared" si="29"/>
        <v>1391.4285714285716</v>
      </c>
    </row>
    <row r="38" spans="2:32" ht="23.1" customHeight="1" x14ac:dyDescent="0.25">
      <c r="B38" s="24" t="s">
        <v>65</v>
      </c>
      <c r="C38" s="49">
        <f>'Avg Week BUJUKO-BULOBA'!C38+'Avg Week BULOBA-BUJUKO'!C38</f>
        <v>37.857142857142861</v>
      </c>
      <c r="D38" s="49">
        <f>'Avg Week BUJUKO-BULOBA'!D38+'Avg Week BULOBA-BUJUKO'!D38</f>
        <v>10.428571428571429</v>
      </c>
      <c r="E38" s="49">
        <f>'Avg Week BUJUKO-BULOBA'!E38+'Avg Week BULOBA-BUJUKO'!E38</f>
        <v>8.7142857142857135</v>
      </c>
      <c r="F38" s="49">
        <f>'Avg Week BUJUKO-BULOBA'!F38+'Avg Week BULOBA-BUJUKO'!F38</f>
        <v>32.857142857142854</v>
      </c>
      <c r="G38" s="49">
        <f>'Avg Week BUJUKO-BULOBA'!G38+'Avg Week BULOBA-BUJUKO'!G38</f>
        <v>1</v>
      </c>
      <c r="H38" s="49">
        <f>'Avg Week BUJUKO-BULOBA'!H38+'Avg Week BULOBA-BUJUKO'!H38</f>
        <v>0.42857142857142855</v>
      </c>
      <c r="I38" s="49">
        <f>'Avg Week BUJUKO-BULOBA'!I38+'Avg Week BULOBA-BUJUKO'!I38</f>
        <v>15.714285714285714</v>
      </c>
      <c r="J38" s="49">
        <f>'Avg Week BUJUKO-BULOBA'!J38+'Avg Week BULOBA-BUJUKO'!J38</f>
        <v>5.8571428571428568</v>
      </c>
      <c r="K38" s="49">
        <f>'Avg Week BUJUKO-BULOBA'!K38+'Avg Week BULOBA-BUJUKO'!K38</f>
        <v>3.1428571428571428</v>
      </c>
      <c r="L38" s="49">
        <f>'Avg Week BUJUKO-BULOBA'!L38+'Avg Week BULOBA-BUJUKO'!L38</f>
        <v>1.5714285714285714</v>
      </c>
      <c r="M38" s="49">
        <f>'Avg Week BUJUKO-BULOBA'!M38+'Avg Week BULOBA-BUJUKO'!M38</f>
        <v>35.714285714285715</v>
      </c>
      <c r="N38" s="49">
        <f>'Avg Week BUJUKO-BULOBA'!N38+'Avg Week BULOBA-BUJUKO'!N38</f>
        <v>0</v>
      </c>
      <c r="O38" s="15">
        <f t="shared" si="0"/>
        <v>117.57142857142857</v>
      </c>
      <c r="P38" s="15">
        <f t="shared" si="1"/>
        <v>153.28571428571428</v>
      </c>
      <c r="R38" s="28" t="s">
        <v>86</v>
      </c>
      <c r="S38" s="54">
        <f t="shared" ref="S38:AF38" si="30">SUM(S13:S18)</f>
        <v>779.28571428571433</v>
      </c>
      <c r="T38" s="54">
        <f t="shared" si="30"/>
        <v>214.57142857142856</v>
      </c>
      <c r="U38" s="54">
        <f t="shared" si="30"/>
        <v>176.57142857142856</v>
      </c>
      <c r="V38" s="54">
        <f t="shared" si="30"/>
        <v>724.71428571428578</v>
      </c>
      <c r="W38" s="54">
        <f t="shared" si="30"/>
        <v>15.714285714285715</v>
      </c>
      <c r="X38" s="54">
        <f t="shared" si="30"/>
        <v>20.142857142857142</v>
      </c>
      <c r="Y38" s="54">
        <f t="shared" si="30"/>
        <v>300</v>
      </c>
      <c r="Z38" s="54">
        <f t="shared" si="30"/>
        <v>110</v>
      </c>
      <c r="AA38" s="54">
        <f t="shared" si="30"/>
        <v>53.142857142857139</v>
      </c>
      <c r="AB38" s="54">
        <f t="shared" si="30"/>
        <v>34.857142857142854</v>
      </c>
      <c r="AC38" s="54">
        <f t="shared" si="30"/>
        <v>776.14285714285711</v>
      </c>
      <c r="AD38" s="54">
        <f t="shared" si="30"/>
        <v>0.71428571428571419</v>
      </c>
      <c r="AE38" s="55">
        <f t="shared" si="30"/>
        <v>2429.7142857142858</v>
      </c>
      <c r="AF38" s="55">
        <f t="shared" si="30"/>
        <v>3205.8571428571427</v>
      </c>
    </row>
    <row r="39" spans="2:32" ht="23.1" customHeight="1" x14ac:dyDescent="0.25">
      <c r="B39" s="24" t="s">
        <v>66</v>
      </c>
      <c r="C39" s="49">
        <f>'Avg Week BUJUKO-BULOBA'!C39+'Avg Week BULOBA-BUJUKO'!C39</f>
        <v>28.285714285714285</v>
      </c>
      <c r="D39" s="49">
        <f>'Avg Week BUJUKO-BULOBA'!D39+'Avg Week BULOBA-BUJUKO'!D39</f>
        <v>10.428571428571429</v>
      </c>
      <c r="E39" s="49">
        <f>'Avg Week BUJUKO-BULOBA'!E39+'Avg Week BULOBA-BUJUKO'!E39</f>
        <v>9.8571428571428577</v>
      </c>
      <c r="F39" s="49">
        <f>'Avg Week BUJUKO-BULOBA'!F39+'Avg Week BULOBA-BUJUKO'!F39</f>
        <v>30.571428571428569</v>
      </c>
      <c r="G39" s="49">
        <f>'Avg Week BUJUKO-BULOBA'!G39+'Avg Week BULOBA-BUJUKO'!G39</f>
        <v>0.8571428571428571</v>
      </c>
      <c r="H39" s="49">
        <f>'Avg Week BUJUKO-BULOBA'!H39+'Avg Week BULOBA-BUJUKO'!H39</f>
        <v>1</v>
      </c>
      <c r="I39" s="49">
        <f>'Avg Week BUJUKO-BULOBA'!I39+'Avg Week BULOBA-BUJUKO'!I39</f>
        <v>13.285714285714285</v>
      </c>
      <c r="J39" s="49">
        <f>'Avg Week BUJUKO-BULOBA'!J39+'Avg Week BULOBA-BUJUKO'!J39</f>
        <v>5.1428571428571423</v>
      </c>
      <c r="K39" s="49">
        <f>'Avg Week BUJUKO-BULOBA'!K39+'Avg Week BULOBA-BUJUKO'!K39</f>
        <v>2.8571428571428572</v>
      </c>
      <c r="L39" s="49">
        <f>'Avg Week BUJUKO-BULOBA'!L39+'Avg Week BULOBA-BUJUKO'!L39</f>
        <v>1.8571428571428572</v>
      </c>
      <c r="M39" s="49">
        <f>'Avg Week BUJUKO-BULOBA'!M39+'Avg Week BULOBA-BUJUKO'!M39</f>
        <v>30.285714285714285</v>
      </c>
      <c r="N39" s="49">
        <f>'Avg Week BUJUKO-BULOBA'!N39+'Avg Week BULOBA-BUJUKO'!N39</f>
        <v>0</v>
      </c>
      <c r="O39" s="15">
        <f t="shared" si="0"/>
        <v>104.14285714285714</v>
      </c>
      <c r="P39" s="15">
        <f t="shared" si="1"/>
        <v>134.42857142857142</v>
      </c>
      <c r="R39" s="29" t="s">
        <v>87</v>
      </c>
      <c r="S39" s="54">
        <f t="shared" ref="S39:AF39" si="31">SUM(S19:S21)</f>
        <v>494.42857142857144</v>
      </c>
      <c r="T39" s="54">
        <f t="shared" si="31"/>
        <v>132.28571428571428</v>
      </c>
      <c r="U39" s="54">
        <f t="shared" si="31"/>
        <v>107.28571428571429</v>
      </c>
      <c r="V39" s="54">
        <f t="shared" si="31"/>
        <v>387.42857142857144</v>
      </c>
      <c r="W39" s="54">
        <f t="shared" si="31"/>
        <v>15.714285714285715</v>
      </c>
      <c r="X39" s="54">
        <f t="shared" si="31"/>
        <v>12.714285714285714</v>
      </c>
      <c r="Y39" s="54">
        <f t="shared" si="31"/>
        <v>161.42857142857142</v>
      </c>
      <c r="Z39" s="54">
        <f t="shared" si="31"/>
        <v>60.999999999999993</v>
      </c>
      <c r="AA39" s="54">
        <f t="shared" si="31"/>
        <v>19.571428571428569</v>
      </c>
      <c r="AB39" s="54">
        <f t="shared" si="31"/>
        <v>21.714285714285715</v>
      </c>
      <c r="AC39" s="54">
        <f t="shared" si="31"/>
        <v>417.3095238095238</v>
      </c>
      <c r="AD39" s="54">
        <f t="shared" si="31"/>
        <v>1</v>
      </c>
      <c r="AE39" s="55">
        <f t="shared" si="31"/>
        <v>1414.5714285714284</v>
      </c>
      <c r="AF39" s="55">
        <f t="shared" si="31"/>
        <v>1831.8809523809523</v>
      </c>
    </row>
    <row r="40" spans="2:32" ht="23.1" customHeight="1" x14ac:dyDescent="0.25">
      <c r="B40" s="24" t="s">
        <v>67</v>
      </c>
      <c r="C40" s="49">
        <f>'Avg Week BUJUKO-BULOBA'!C40+'Avg Week BULOBA-BUJUKO'!C40</f>
        <v>36</v>
      </c>
      <c r="D40" s="49">
        <f>'Avg Week BUJUKO-BULOBA'!D40+'Avg Week BULOBA-BUJUKO'!D40</f>
        <v>9.5714285714285712</v>
      </c>
      <c r="E40" s="49">
        <f>'Avg Week BUJUKO-BULOBA'!E40+'Avg Week BULOBA-BUJUKO'!E40</f>
        <v>8.8571428571428577</v>
      </c>
      <c r="F40" s="49">
        <f>'Avg Week BUJUKO-BULOBA'!F40+'Avg Week BULOBA-BUJUKO'!F40</f>
        <v>34</v>
      </c>
      <c r="G40" s="49">
        <f>'Avg Week BUJUKO-BULOBA'!G40+'Avg Week BULOBA-BUJUKO'!G40</f>
        <v>0.5714285714285714</v>
      </c>
      <c r="H40" s="49">
        <f>'Avg Week BUJUKO-BULOBA'!H40+'Avg Week BULOBA-BUJUKO'!H40</f>
        <v>0.5714285714285714</v>
      </c>
      <c r="I40" s="49">
        <f>'Avg Week BUJUKO-BULOBA'!I40+'Avg Week BULOBA-BUJUKO'!I40</f>
        <v>11.285714285714285</v>
      </c>
      <c r="J40" s="49">
        <f>'Avg Week BUJUKO-BULOBA'!J40+'Avg Week BULOBA-BUJUKO'!J40</f>
        <v>4.8571428571428577</v>
      </c>
      <c r="K40" s="49">
        <f>'Avg Week BUJUKO-BULOBA'!K40+'Avg Week BULOBA-BUJUKO'!K40</f>
        <v>2.1428571428571428</v>
      </c>
      <c r="L40" s="49">
        <f>'Avg Week BUJUKO-BULOBA'!L40+'Avg Week BULOBA-BUJUKO'!L40</f>
        <v>2.1428571428571428</v>
      </c>
      <c r="M40" s="49">
        <f>'Avg Week BUJUKO-BULOBA'!M40+'Avg Week BULOBA-BUJUKO'!M40</f>
        <v>26.285714285714285</v>
      </c>
      <c r="N40" s="49">
        <f>'Avg Week BUJUKO-BULOBA'!N40+'Avg Week BULOBA-BUJUKO'!N40</f>
        <v>0.14285714285714285</v>
      </c>
      <c r="O40" s="15">
        <f t="shared" si="0"/>
        <v>110.14285714285714</v>
      </c>
      <c r="P40" s="15">
        <f t="shared" si="1"/>
        <v>136.42857142857142</v>
      </c>
      <c r="R40" s="5" t="s">
        <v>17</v>
      </c>
      <c r="S40" s="54">
        <f t="shared" ref="S40:AF40" si="32">SUM(S10:S21)</f>
        <v>1612.2857142857142</v>
      </c>
      <c r="T40" s="54">
        <f t="shared" si="32"/>
        <v>422.57142857142867</v>
      </c>
      <c r="U40" s="54">
        <f t="shared" si="32"/>
        <v>346.28571428571428</v>
      </c>
      <c r="V40" s="54">
        <f t="shared" si="32"/>
        <v>1441.4285714285711</v>
      </c>
      <c r="W40" s="54">
        <f t="shared" si="32"/>
        <v>37.428571428571423</v>
      </c>
      <c r="X40" s="54">
        <f t="shared" si="32"/>
        <v>37.142857142857146</v>
      </c>
      <c r="Y40" s="54">
        <f t="shared" si="32"/>
        <v>560.14285714285711</v>
      </c>
      <c r="Z40" s="54">
        <f t="shared" si="32"/>
        <v>216.14285714285711</v>
      </c>
      <c r="AA40" s="54">
        <f t="shared" si="32"/>
        <v>86.857142857142847</v>
      </c>
      <c r="AB40" s="54">
        <f t="shared" si="32"/>
        <v>67.428571428571416</v>
      </c>
      <c r="AC40" s="54">
        <f t="shared" si="32"/>
        <v>1599.7380952380952</v>
      </c>
      <c r="AD40" s="54">
        <f t="shared" si="32"/>
        <v>1.7142857142857142</v>
      </c>
      <c r="AE40" s="55">
        <f t="shared" si="32"/>
        <v>4829.4285714285706</v>
      </c>
      <c r="AF40" s="55">
        <f t="shared" si="32"/>
        <v>6429.1666666666661</v>
      </c>
    </row>
    <row r="41" spans="2:32" ht="23.1" customHeight="1" x14ac:dyDescent="0.25">
      <c r="B41" s="23" t="s">
        <v>68</v>
      </c>
      <c r="C41" s="49">
        <f>'Avg Week BUJUKO-BULOBA'!C41+'Avg Week BULOBA-BUJUKO'!C41</f>
        <v>31.285714285714285</v>
      </c>
      <c r="D41" s="49">
        <f>'Avg Week BUJUKO-BULOBA'!D41+'Avg Week BULOBA-BUJUKO'!D41</f>
        <v>7.8571428571428577</v>
      </c>
      <c r="E41" s="49">
        <f>'Avg Week BUJUKO-BULOBA'!E41+'Avg Week BULOBA-BUJUKO'!E41</f>
        <v>8.7142857142857135</v>
      </c>
      <c r="F41" s="49">
        <f>'Avg Week BUJUKO-BULOBA'!F41+'Avg Week BULOBA-BUJUKO'!F41</f>
        <v>34.142857142857146</v>
      </c>
      <c r="G41" s="49">
        <f>'Avg Week BUJUKO-BULOBA'!G41+'Avg Week BULOBA-BUJUKO'!G41</f>
        <v>0</v>
      </c>
      <c r="H41" s="49">
        <f>'Avg Week BUJUKO-BULOBA'!H41+'Avg Week BULOBA-BUJUKO'!H41</f>
        <v>0.8571428571428571</v>
      </c>
      <c r="I41" s="49">
        <f>'Avg Week BUJUKO-BULOBA'!I41+'Avg Week BULOBA-BUJUKO'!I41</f>
        <v>12.857142857142858</v>
      </c>
      <c r="J41" s="49">
        <f>'Avg Week BUJUKO-BULOBA'!J41+'Avg Week BULOBA-BUJUKO'!J41</f>
        <v>6</v>
      </c>
      <c r="K41" s="49">
        <f>'Avg Week BUJUKO-BULOBA'!K41+'Avg Week BULOBA-BUJUKO'!K41</f>
        <v>3.2857142857142856</v>
      </c>
      <c r="L41" s="49">
        <f>'Avg Week BUJUKO-BULOBA'!L41+'Avg Week BULOBA-BUJUKO'!L41</f>
        <v>1.2857142857142856</v>
      </c>
      <c r="M41" s="49">
        <f>'Avg Week BUJUKO-BULOBA'!M41+'Avg Week BULOBA-BUJUKO'!M41</f>
        <v>31.142857142857146</v>
      </c>
      <c r="N41" s="49">
        <f>'Avg Week BUJUKO-BULOBA'!N41+'Avg Week BULOBA-BUJUKO'!N41</f>
        <v>0</v>
      </c>
      <c r="O41" s="15">
        <f t="shared" si="0"/>
        <v>106.28571428571431</v>
      </c>
      <c r="P41" s="15">
        <f t="shared" si="1"/>
        <v>137.42857142857144</v>
      </c>
      <c r="R41" s="5" t="s">
        <v>185</v>
      </c>
      <c r="S41" s="54">
        <f>SUM(S10:S33)</f>
        <v>2340.7857142857142</v>
      </c>
      <c r="T41" s="54">
        <f t="shared" ref="T41:AD41" si="33">SUM(T10:T33)</f>
        <v>559.07142857142867</v>
      </c>
      <c r="U41" s="54">
        <f t="shared" si="33"/>
        <v>470.28571428571428</v>
      </c>
      <c r="V41" s="54">
        <f t="shared" si="33"/>
        <v>1897.9285714285711</v>
      </c>
      <c r="W41" s="54">
        <f t="shared" si="33"/>
        <v>45.928571428571423</v>
      </c>
      <c r="X41" s="54">
        <f t="shared" si="33"/>
        <v>56.642857142857146</v>
      </c>
      <c r="Y41" s="54">
        <f t="shared" si="33"/>
        <v>823.64285714285711</v>
      </c>
      <c r="Z41" s="54">
        <f t="shared" si="33"/>
        <v>416.64285714285711</v>
      </c>
      <c r="AA41" s="54">
        <f t="shared" si="33"/>
        <v>158.85714285714283</v>
      </c>
      <c r="AB41" s="54">
        <f t="shared" si="33"/>
        <v>130.92857142857142</v>
      </c>
      <c r="AC41" s="54">
        <f t="shared" si="33"/>
        <v>2315.2380952380954</v>
      </c>
      <c r="AD41" s="54">
        <f t="shared" si="33"/>
        <v>1.7142857142857142</v>
      </c>
      <c r="AE41" s="55">
        <f>SUM(AE10:AE33)</f>
        <v>6902.4285714285706</v>
      </c>
      <c r="AF41" s="55">
        <f>SUM(AF10:AF33)</f>
        <v>9217.6666666666661</v>
      </c>
    </row>
    <row r="42" spans="2:32" ht="23.1" customHeight="1" x14ac:dyDescent="0.25">
      <c r="B42" s="24" t="s">
        <v>69</v>
      </c>
      <c r="C42" s="49">
        <f>'Avg Week BUJUKO-BULOBA'!C42+'Avg Week BULOBA-BUJUKO'!C42</f>
        <v>34</v>
      </c>
      <c r="D42" s="49">
        <f>'Avg Week BUJUKO-BULOBA'!D42+'Avg Week BULOBA-BUJUKO'!D42</f>
        <v>9</v>
      </c>
      <c r="E42" s="49">
        <f>'Avg Week BUJUKO-BULOBA'!E42+'Avg Week BULOBA-BUJUKO'!E42</f>
        <v>7.8571428571428577</v>
      </c>
      <c r="F42" s="49">
        <f>'Avg Week BUJUKO-BULOBA'!F42+'Avg Week BULOBA-BUJUKO'!F42</f>
        <v>31.571428571428569</v>
      </c>
      <c r="G42" s="49">
        <f>'Avg Week BUJUKO-BULOBA'!G42+'Avg Week BULOBA-BUJUKO'!G42</f>
        <v>0.2857142857142857</v>
      </c>
      <c r="H42" s="49">
        <f>'Avg Week BUJUKO-BULOBA'!H42+'Avg Week BULOBA-BUJUKO'!H42</f>
        <v>0.8571428571428571</v>
      </c>
      <c r="I42" s="49">
        <f>'Avg Week BUJUKO-BULOBA'!I42+'Avg Week BULOBA-BUJUKO'!I42</f>
        <v>13.142857142857142</v>
      </c>
      <c r="J42" s="49">
        <f>'Avg Week BUJUKO-BULOBA'!J42+'Avg Week BULOBA-BUJUKO'!J42</f>
        <v>5.2857142857142856</v>
      </c>
      <c r="K42" s="49">
        <f>'Avg Week BUJUKO-BULOBA'!K42+'Avg Week BULOBA-BUJUKO'!K42</f>
        <v>3.1428571428571428</v>
      </c>
      <c r="L42" s="49">
        <f>'Avg Week BUJUKO-BULOBA'!L42+'Avg Week BULOBA-BUJUKO'!L42</f>
        <v>1.4285714285714286</v>
      </c>
      <c r="M42" s="49">
        <f>'Avg Week BUJUKO-BULOBA'!M42+'Avg Week BULOBA-BUJUKO'!M42</f>
        <v>31.714285714285715</v>
      </c>
      <c r="N42" s="49">
        <f>'Avg Week BUJUKO-BULOBA'!N42+'Avg Week BULOBA-BUJUKO'!N42</f>
        <v>0</v>
      </c>
      <c r="O42" s="15">
        <f t="shared" si="0"/>
        <v>106.57142857142858</v>
      </c>
      <c r="P42" s="15">
        <f t="shared" si="1"/>
        <v>138.28571428571431</v>
      </c>
      <c r="R42" s="5" t="s">
        <v>160</v>
      </c>
      <c r="S42" s="48">
        <f>S41/S40</f>
        <v>1.4518429913166755</v>
      </c>
      <c r="T42" s="48">
        <f t="shared" ref="T42:AF42" si="34">T41/T40</f>
        <v>1.323022312373225</v>
      </c>
      <c r="U42" s="48">
        <f t="shared" si="34"/>
        <v>1.358085808580858</v>
      </c>
      <c r="V42" s="48">
        <f t="shared" si="34"/>
        <v>1.3166997026759168</v>
      </c>
      <c r="W42" s="48">
        <f t="shared" si="34"/>
        <v>1.2270992366412214</v>
      </c>
      <c r="X42" s="48">
        <f t="shared" si="34"/>
        <v>1.5249999999999999</v>
      </c>
      <c r="Y42" s="48">
        <f t="shared" si="34"/>
        <v>1.4704157102779902</v>
      </c>
      <c r="Z42" s="48">
        <f t="shared" si="34"/>
        <v>1.9276272306675482</v>
      </c>
      <c r="AA42" s="48">
        <f t="shared" si="34"/>
        <v>1.8289473684210527</v>
      </c>
      <c r="AB42" s="48">
        <f t="shared" si="34"/>
        <v>1.9417372881355934</v>
      </c>
      <c r="AC42" s="48">
        <f t="shared" si="34"/>
        <v>1.4472607123189809</v>
      </c>
      <c r="AD42" s="48">
        <f t="shared" si="34"/>
        <v>1</v>
      </c>
      <c r="AE42" s="56">
        <f t="shared" si="34"/>
        <v>1.4292433295864639</v>
      </c>
      <c r="AF42" s="56">
        <f t="shared" si="34"/>
        <v>1.4337265068049254</v>
      </c>
    </row>
    <row r="43" spans="2:32" ht="23.1" customHeight="1" x14ac:dyDescent="0.25">
      <c r="B43" s="23" t="s">
        <v>70</v>
      </c>
      <c r="C43" s="49">
        <f>'Avg Week BUJUKO-BULOBA'!C43+'Avg Week BULOBA-BUJUKO'!C43</f>
        <v>31.285714285714285</v>
      </c>
      <c r="D43" s="49">
        <f>'Avg Week BUJUKO-BULOBA'!D43+'Avg Week BULOBA-BUJUKO'!D43</f>
        <v>10</v>
      </c>
      <c r="E43" s="49">
        <f>'Avg Week BUJUKO-BULOBA'!E43+'Avg Week BULOBA-BUJUKO'!E43</f>
        <v>6.2857142857142865</v>
      </c>
      <c r="F43" s="49">
        <f>'Avg Week BUJUKO-BULOBA'!F43+'Avg Week BULOBA-BUJUKO'!F43</f>
        <v>28.571428571428569</v>
      </c>
      <c r="G43" s="49">
        <f>'Avg Week BUJUKO-BULOBA'!G43+'Avg Week BULOBA-BUJUKO'!G43</f>
        <v>0.42857142857142855</v>
      </c>
      <c r="H43" s="49">
        <f>'Avg Week BUJUKO-BULOBA'!H43+'Avg Week BULOBA-BUJUKO'!H43</f>
        <v>1.2857142857142856</v>
      </c>
      <c r="I43" s="49">
        <f>'Avg Week BUJUKO-BULOBA'!I43+'Avg Week BULOBA-BUJUKO'!I43</f>
        <v>13.714285714285715</v>
      </c>
      <c r="J43" s="49">
        <f>'Avg Week BUJUKO-BULOBA'!J43+'Avg Week BULOBA-BUJUKO'!J43</f>
        <v>4.8571428571428577</v>
      </c>
      <c r="K43" s="49">
        <f>'Avg Week BUJUKO-BULOBA'!K43+'Avg Week BULOBA-BUJUKO'!K43</f>
        <v>3</v>
      </c>
      <c r="L43" s="49">
        <f>'Avg Week BUJUKO-BULOBA'!L43+'Avg Week BULOBA-BUJUKO'!L43</f>
        <v>1.1428571428571428</v>
      </c>
      <c r="M43" s="49">
        <f>'Avg Week BUJUKO-BULOBA'!M43+'Avg Week BULOBA-BUJUKO'!M43</f>
        <v>28.428571428571431</v>
      </c>
      <c r="N43" s="49">
        <f>'Avg Week BUJUKO-BULOBA'!N43+'Avg Week BULOBA-BUJUKO'!N43</f>
        <v>0</v>
      </c>
      <c r="O43" s="15">
        <f t="shared" si="0"/>
        <v>100.57142857142858</v>
      </c>
      <c r="P43" s="15">
        <f t="shared" si="1"/>
        <v>129</v>
      </c>
    </row>
    <row r="44" spans="2:32" ht="23.1" customHeight="1" x14ac:dyDescent="0.25">
      <c r="B44" s="25" t="s">
        <v>71</v>
      </c>
      <c r="C44" s="49">
        <f>'Avg Week BUJUKO-BULOBA'!C44+'Avg Week BULOBA-BUJUKO'!C44</f>
        <v>36.142857142857139</v>
      </c>
      <c r="D44" s="49">
        <f>'Avg Week BUJUKO-BULOBA'!D44+'Avg Week BULOBA-BUJUKO'!D44</f>
        <v>8</v>
      </c>
      <c r="E44" s="49">
        <f>'Avg Week BUJUKO-BULOBA'!E44+'Avg Week BULOBA-BUJUKO'!E44</f>
        <v>7.5714285714285712</v>
      </c>
      <c r="F44" s="49">
        <f>'Avg Week BUJUKO-BULOBA'!F44+'Avg Week BULOBA-BUJUKO'!F44</f>
        <v>34.142857142857139</v>
      </c>
      <c r="G44" s="49">
        <f>'Avg Week BUJUKO-BULOBA'!G44+'Avg Week BULOBA-BUJUKO'!G44</f>
        <v>0.5714285714285714</v>
      </c>
      <c r="H44" s="49">
        <f>'Avg Week BUJUKO-BULOBA'!H44+'Avg Week BULOBA-BUJUKO'!H44</f>
        <v>1.7142857142857144</v>
      </c>
      <c r="I44" s="49">
        <f>'Avg Week BUJUKO-BULOBA'!I44+'Avg Week BULOBA-BUJUKO'!I44</f>
        <v>14</v>
      </c>
      <c r="J44" s="49">
        <f>'Avg Week BUJUKO-BULOBA'!J44+'Avg Week BULOBA-BUJUKO'!J44</f>
        <v>4.1428571428571423</v>
      </c>
      <c r="K44" s="49">
        <f>'Avg Week BUJUKO-BULOBA'!K44+'Avg Week BULOBA-BUJUKO'!K44</f>
        <v>2.1428571428571428</v>
      </c>
      <c r="L44" s="49">
        <f>'Avg Week BUJUKO-BULOBA'!L44+'Avg Week BULOBA-BUJUKO'!L44</f>
        <v>1</v>
      </c>
      <c r="M44" s="49">
        <f>'Avg Week BUJUKO-BULOBA'!M44+'Avg Week BULOBA-BUJUKO'!M44</f>
        <v>26.857142857142858</v>
      </c>
      <c r="N44" s="49">
        <f>'Avg Week BUJUKO-BULOBA'!N44+'Avg Week BULOBA-BUJUKO'!N44</f>
        <v>0</v>
      </c>
      <c r="O44" s="15">
        <f t="shared" si="0"/>
        <v>109.4285714285714</v>
      </c>
      <c r="P44" s="15">
        <f t="shared" si="1"/>
        <v>136.28571428571425</v>
      </c>
    </row>
    <row r="45" spans="2:32" ht="23.1" customHeight="1" x14ac:dyDescent="0.25">
      <c r="B45" s="23" t="s">
        <v>72</v>
      </c>
      <c r="C45" s="49">
        <f>'Avg Week BUJUKO-BULOBA'!C45+'Avg Week BULOBA-BUJUKO'!C45</f>
        <v>39.571428571428569</v>
      </c>
      <c r="D45" s="49">
        <f>'Avg Week BUJUKO-BULOBA'!D45+'Avg Week BULOBA-BUJUKO'!D45</f>
        <v>9</v>
      </c>
      <c r="E45" s="49">
        <f>'Avg Week BUJUKO-BULOBA'!E45+'Avg Week BULOBA-BUJUKO'!E45</f>
        <v>10.285714285714286</v>
      </c>
      <c r="F45" s="49">
        <f>'Avg Week BUJUKO-BULOBA'!F45+'Avg Week BULOBA-BUJUKO'!F45</f>
        <v>31.571428571428569</v>
      </c>
      <c r="G45" s="49">
        <f>'Avg Week BUJUKO-BULOBA'!G45+'Avg Week BULOBA-BUJUKO'!G45</f>
        <v>0.2857142857142857</v>
      </c>
      <c r="H45" s="49">
        <f>'Avg Week BUJUKO-BULOBA'!H45+'Avg Week BULOBA-BUJUKO'!H45</f>
        <v>0.71428571428571419</v>
      </c>
      <c r="I45" s="49">
        <f>'Avg Week BUJUKO-BULOBA'!I45+'Avg Week BULOBA-BUJUKO'!I45</f>
        <v>13.285714285714285</v>
      </c>
      <c r="J45" s="49">
        <f>'Avg Week BUJUKO-BULOBA'!J45+'Avg Week BULOBA-BUJUKO'!J45</f>
        <v>6</v>
      </c>
      <c r="K45" s="49">
        <f>'Avg Week BUJUKO-BULOBA'!K45+'Avg Week BULOBA-BUJUKO'!K45</f>
        <v>2.2857142857142856</v>
      </c>
      <c r="L45" s="49">
        <f>'Avg Week BUJUKO-BULOBA'!L45+'Avg Week BULOBA-BUJUKO'!L45</f>
        <v>1.2857142857142856</v>
      </c>
      <c r="M45" s="49">
        <f>'Avg Week BUJUKO-BULOBA'!M45+'Avg Week BULOBA-BUJUKO'!M45</f>
        <v>33.285714285714285</v>
      </c>
      <c r="N45" s="49">
        <f>'Avg Week BUJUKO-BULOBA'!N45+'Avg Week BULOBA-BUJUKO'!N45</f>
        <v>0.14285714285714285</v>
      </c>
      <c r="O45" s="15">
        <f t="shared" si="0"/>
        <v>114.42857142857142</v>
      </c>
      <c r="P45" s="15">
        <f t="shared" si="1"/>
        <v>147.71428571428569</v>
      </c>
    </row>
    <row r="46" spans="2:32" ht="23.1" customHeight="1" x14ac:dyDescent="0.25">
      <c r="B46" s="24" t="s">
        <v>73</v>
      </c>
      <c r="C46" s="49">
        <f>'Avg Week BUJUKO-BULOBA'!C46+'Avg Week BULOBA-BUJUKO'!C46</f>
        <v>36.571428571428569</v>
      </c>
      <c r="D46" s="49">
        <f>'Avg Week BUJUKO-BULOBA'!D46+'Avg Week BULOBA-BUJUKO'!D46</f>
        <v>10</v>
      </c>
      <c r="E46" s="49">
        <f>'Avg Week BUJUKO-BULOBA'!E46+'Avg Week BULOBA-BUJUKO'!E46</f>
        <v>7</v>
      </c>
      <c r="F46" s="49">
        <f>'Avg Week BUJUKO-BULOBA'!F46+'Avg Week BULOBA-BUJUKO'!F46</f>
        <v>29.857142857142854</v>
      </c>
      <c r="G46" s="49">
        <f>'Avg Week BUJUKO-BULOBA'!G46+'Avg Week BULOBA-BUJUKO'!G46</f>
        <v>0.14285714285714285</v>
      </c>
      <c r="H46" s="49">
        <f>'Avg Week BUJUKO-BULOBA'!H46+'Avg Week BULOBA-BUJUKO'!H46</f>
        <v>1.2857142857142856</v>
      </c>
      <c r="I46" s="49">
        <f>'Avg Week BUJUKO-BULOBA'!I46+'Avg Week BULOBA-BUJUKO'!I46</f>
        <v>14.428571428571429</v>
      </c>
      <c r="J46" s="49">
        <f>'Avg Week BUJUKO-BULOBA'!J46+'Avg Week BULOBA-BUJUKO'!J46</f>
        <v>5</v>
      </c>
      <c r="K46" s="49">
        <f>'Avg Week BUJUKO-BULOBA'!K46+'Avg Week BULOBA-BUJUKO'!K46</f>
        <v>2.8571428571428572</v>
      </c>
      <c r="L46" s="49">
        <f>'Avg Week BUJUKO-BULOBA'!L46+'Avg Week BULOBA-BUJUKO'!L46</f>
        <v>1.7142857142857142</v>
      </c>
      <c r="M46" s="49">
        <f>'Avg Week BUJUKO-BULOBA'!M46+'Avg Week BULOBA-BUJUKO'!M46</f>
        <v>37.714285714285715</v>
      </c>
      <c r="N46" s="49">
        <f>'Avg Week BUJUKO-BULOBA'!N46+'Avg Week BULOBA-BUJUKO'!N46</f>
        <v>0.14285714285714285</v>
      </c>
      <c r="O46" s="15">
        <f t="shared" si="0"/>
        <v>108.99999999999999</v>
      </c>
      <c r="P46" s="15">
        <f t="shared" si="1"/>
        <v>146.71428571428569</v>
      </c>
      <c r="R46" s="8"/>
      <c r="T46"/>
    </row>
    <row r="47" spans="2:32" ht="23.1" customHeight="1" x14ac:dyDescent="0.25">
      <c r="B47" s="24" t="s">
        <v>74</v>
      </c>
      <c r="C47" s="49">
        <f>'Avg Week BUJUKO-BULOBA'!C47+'Avg Week BULOBA-BUJUKO'!C47</f>
        <v>34.428571428571431</v>
      </c>
      <c r="D47" s="49">
        <f>'Avg Week BUJUKO-BULOBA'!D47+'Avg Week BULOBA-BUJUKO'!D47</f>
        <v>7.8571428571428577</v>
      </c>
      <c r="E47" s="49">
        <f>'Avg Week BUJUKO-BULOBA'!E47+'Avg Week BULOBA-BUJUKO'!E47</f>
        <v>7.2857142857142865</v>
      </c>
      <c r="F47" s="49">
        <f>'Avg Week BUJUKO-BULOBA'!F47+'Avg Week BULOBA-BUJUKO'!F47</f>
        <v>25.142857142857146</v>
      </c>
      <c r="G47" s="49">
        <f>'Avg Week BUJUKO-BULOBA'!G47+'Avg Week BULOBA-BUJUKO'!G47</f>
        <v>0.5714285714285714</v>
      </c>
      <c r="H47" s="49">
        <f>'Avg Week BUJUKO-BULOBA'!H47+'Avg Week BULOBA-BUJUKO'!H47</f>
        <v>0.5714285714285714</v>
      </c>
      <c r="I47" s="49">
        <f>'Avg Week BUJUKO-BULOBA'!I47+'Avg Week BULOBA-BUJUKO'!I47</f>
        <v>11.857142857142858</v>
      </c>
      <c r="J47" s="49">
        <f>'Avg Week BUJUKO-BULOBA'!J47+'Avg Week BULOBA-BUJUKO'!J47</f>
        <v>4.5714285714285712</v>
      </c>
      <c r="K47" s="49">
        <f>'Avg Week BUJUKO-BULOBA'!K47+'Avg Week BULOBA-BUJUKO'!K47</f>
        <v>1.2857142857142856</v>
      </c>
      <c r="L47" s="49">
        <f>'Avg Week BUJUKO-BULOBA'!L47+'Avg Week BULOBA-BUJUKO'!L47</f>
        <v>1.8571428571428572</v>
      </c>
      <c r="M47" s="49">
        <f>'Avg Week BUJUKO-BULOBA'!M47+'Avg Week BULOBA-BUJUKO'!M47</f>
        <v>27.714285714285715</v>
      </c>
      <c r="N47" s="49">
        <f>'Avg Week BUJUKO-BULOBA'!N47+'Avg Week BULOBA-BUJUKO'!N47</f>
        <v>0</v>
      </c>
      <c r="O47" s="15">
        <f t="shared" si="0"/>
        <v>95.428571428571445</v>
      </c>
      <c r="P47" s="15">
        <f t="shared" si="1"/>
        <v>123.14285714285717</v>
      </c>
      <c r="R47" s="8"/>
      <c r="T47"/>
    </row>
    <row r="48" spans="2:32" ht="23.1" customHeight="1" x14ac:dyDescent="0.25">
      <c r="B48" s="24" t="s">
        <v>75</v>
      </c>
      <c r="C48" s="49">
        <f>'Avg Week BUJUKO-BULOBA'!C48+'Avg Week BULOBA-BUJUKO'!C48</f>
        <v>36</v>
      </c>
      <c r="D48" s="49">
        <f>'Avg Week BUJUKO-BULOBA'!D48+'Avg Week BULOBA-BUJUKO'!D48</f>
        <v>9.5714285714285712</v>
      </c>
      <c r="E48" s="49">
        <f>'Avg Week BUJUKO-BULOBA'!E48+'Avg Week BULOBA-BUJUKO'!E48</f>
        <v>7.8571428571428577</v>
      </c>
      <c r="F48" s="49">
        <f>'Avg Week BUJUKO-BULOBA'!F48+'Avg Week BULOBA-BUJUKO'!F48</f>
        <v>29.428571428571427</v>
      </c>
      <c r="G48" s="49">
        <f>'Avg Week BUJUKO-BULOBA'!G48+'Avg Week BULOBA-BUJUKO'!G48</f>
        <v>2.7142857142857144</v>
      </c>
      <c r="H48" s="49">
        <f>'Avg Week BUJUKO-BULOBA'!H48+'Avg Week BULOBA-BUJUKO'!H48</f>
        <v>1.1428571428571428</v>
      </c>
      <c r="I48" s="49">
        <f>'Avg Week BUJUKO-BULOBA'!I48+'Avg Week BULOBA-BUJUKO'!I48</f>
        <v>15.285714285714286</v>
      </c>
      <c r="J48" s="49">
        <f>'Avg Week BUJUKO-BULOBA'!J48+'Avg Week BULOBA-BUJUKO'!J48</f>
        <v>7</v>
      </c>
      <c r="K48" s="49">
        <f>'Avg Week BUJUKO-BULOBA'!K48+'Avg Week BULOBA-BUJUKO'!K48</f>
        <v>1.5714285714285714</v>
      </c>
      <c r="L48" s="49">
        <f>'Avg Week BUJUKO-BULOBA'!L48+'Avg Week BULOBA-BUJUKO'!L48</f>
        <v>1.8571428571428572</v>
      </c>
      <c r="M48" s="49">
        <f>'Avg Week BUJUKO-BULOBA'!M48+'Avg Week BULOBA-BUJUKO'!M48</f>
        <v>34.428571428571431</v>
      </c>
      <c r="N48" s="49">
        <f>'Avg Week BUJUKO-BULOBA'!N48+'Avg Week BULOBA-BUJUKO'!N48</f>
        <v>0</v>
      </c>
      <c r="O48" s="15">
        <f t="shared" si="0"/>
        <v>112.42857142857143</v>
      </c>
      <c r="P48" s="15">
        <f t="shared" si="1"/>
        <v>146.85714285714286</v>
      </c>
      <c r="R48" s="8"/>
      <c r="T48"/>
    </row>
    <row r="49" spans="2:20" ht="23.1" customHeight="1" x14ac:dyDescent="0.25">
      <c r="B49" s="23" t="s">
        <v>76</v>
      </c>
      <c r="C49" s="49">
        <f>'Avg Week BUJUKO-BULOBA'!C49+'Avg Week BULOBA-BUJUKO'!C49</f>
        <v>42.714285714285708</v>
      </c>
      <c r="D49" s="49">
        <f>'Avg Week BUJUKO-BULOBA'!D49+'Avg Week BULOBA-BUJUKO'!D49</f>
        <v>11</v>
      </c>
      <c r="E49" s="49">
        <f>'Avg Week BUJUKO-BULOBA'!E49+'Avg Week BULOBA-BUJUKO'!E49</f>
        <v>10.714285714285715</v>
      </c>
      <c r="F49" s="49">
        <f>'Avg Week BUJUKO-BULOBA'!F49+'Avg Week BULOBA-BUJUKO'!F49</f>
        <v>32.714285714285715</v>
      </c>
      <c r="G49" s="49">
        <f>'Avg Week BUJUKO-BULOBA'!G49+'Avg Week BULOBA-BUJUKO'!G49</f>
        <v>0.42857142857142855</v>
      </c>
      <c r="H49" s="49">
        <f>'Avg Week BUJUKO-BULOBA'!H49+'Avg Week BULOBA-BUJUKO'!H49</f>
        <v>1.7142857142857142</v>
      </c>
      <c r="I49" s="49">
        <f>'Avg Week BUJUKO-BULOBA'!I49+'Avg Week BULOBA-BUJUKO'!I49</f>
        <v>13.571428571428573</v>
      </c>
      <c r="J49" s="49">
        <f>'Avg Week BUJUKO-BULOBA'!J49+'Avg Week BULOBA-BUJUKO'!J49</f>
        <v>5.5714285714285712</v>
      </c>
      <c r="K49" s="49">
        <f>'Avg Week BUJUKO-BULOBA'!K49+'Avg Week BULOBA-BUJUKO'!K49</f>
        <v>2</v>
      </c>
      <c r="L49" s="49">
        <f>'Avg Week BUJUKO-BULOBA'!L49+'Avg Week BULOBA-BUJUKO'!L49</f>
        <v>2.5714285714285712</v>
      </c>
      <c r="M49" s="49">
        <f>'Avg Week BUJUKO-BULOBA'!M49+'Avg Week BULOBA-BUJUKO'!M49</f>
        <v>29</v>
      </c>
      <c r="N49" s="49">
        <f>'Avg Week BUJUKO-BULOBA'!N49+'Avg Week BULOBA-BUJUKO'!N49</f>
        <v>0</v>
      </c>
      <c r="O49" s="15">
        <f t="shared" si="0"/>
        <v>122.99999999999999</v>
      </c>
      <c r="P49" s="15">
        <f t="shared" si="1"/>
        <v>152</v>
      </c>
      <c r="R49" s="8"/>
      <c r="T49"/>
    </row>
    <row r="50" spans="2:20" ht="23.1" customHeight="1" x14ac:dyDescent="0.25">
      <c r="B50" s="24" t="s">
        <v>77</v>
      </c>
      <c r="C50" s="49">
        <f>'Avg Week BUJUKO-BULOBA'!C50+'Avg Week BULOBA-BUJUKO'!C50</f>
        <v>37.571428571428569</v>
      </c>
      <c r="D50" s="49">
        <f>'Avg Week BUJUKO-BULOBA'!D50+'Avg Week BULOBA-BUJUKO'!D50</f>
        <v>13.571428571428571</v>
      </c>
      <c r="E50" s="49">
        <f>'Avg Week BUJUKO-BULOBA'!E50+'Avg Week BULOBA-BUJUKO'!E50</f>
        <v>9.8571428571428577</v>
      </c>
      <c r="F50" s="49">
        <f>'Avg Week BUJUKO-BULOBA'!F50+'Avg Week BULOBA-BUJUKO'!F50</f>
        <v>30.714285714285715</v>
      </c>
      <c r="G50" s="49">
        <f>'Avg Week BUJUKO-BULOBA'!G50+'Avg Week BULOBA-BUJUKO'!G50</f>
        <v>0.5714285714285714</v>
      </c>
      <c r="H50" s="49">
        <f>'Avg Week BUJUKO-BULOBA'!H50+'Avg Week BULOBA-BUJUKO'!H50</f>
        <v>1</v>
      </c>
      <c r="I50" s="49">
        <f>'Avg Week BUJUKO-BULOBA'!I50+'Avg Week BULOBA-BUJUKO'!I50</f>
        <v>11.857142857142858</v>
      </c>
      <c r="J50" s="49">
        <f>'Avg Week BUJUKO-BULOBA'!J50+'Avg Week BULOBA-BUJUKO'!J50</f>
        <v>4.4285714285714288</v>
      </c>
      <c r="K50" s="49">
        <f>'Avg Week BUJUKO-BULOBA'!K50+'Avg Week BULOBA-BUJUKO'!K50</f>
        <v>1.4285714285714286</v>
      </c>
      <c r="L50" s="49">
        <f>'Avg Week BUJUKO-BULOBA'!L50+'Avg Week BULOBA-BUJUKO'!L50</f>
        <v>2.2857142857142856</v>
      </c>
      <c r="M50" s="49">
        <f>'Avg Week BUJUKO-BULOBA'!M50+'Avg Week BULOBA-BUJUKO'!M50</f>
        <v>33.285714285714285</v>
      </c>
      <c r="N50" s="49">
        <f>'Avg Week BUJUKO-BULOBA'!N50+'Avg Week BULOBA-BUJUKO'!N50</f>
        <v>0</v>
      </c>
      <c r="O50" s="15">
        <f t="shared" si="0"/>
        <v>113.28571428571431</v>
      </c>
      <c r="P50" s="15">
        <f t="shared" si="1"/>
        <v>146.57142857142858</v>
      </c>
      <c r="R50" s="8"/>
      <c r="T50"/>
    </row>
    <row r="51" spans="2:20" ht="23.1" customHeight="1" x14ac:dyDescent="0.25">
      <c r="B51" s="24" t="s">
        <v>78</v>
      </c>
      <c r="C51" s="49">
        <f>'Avg Week BUJUKO-BULOBA'!C51+'Avg Week BULOBA-BUJUKO'!C51</f>
        <v>41.428571428571431</v>
      </c>
      <c r="D51" s="49">
        <f>'Avg Week BUJUKO-BULOBA'!D51+'Avg Week BULOBA-BUJUKO'!D51</f>
        <v>12.428571428571429</v>
      </c>
      <c r="E51" s="49">
        <f>'Avg Week BUJUKO-BULOBA'!E51+'Avg Week BULOBA-BUJUKO'!E51</f>
        <v>9.1428571428571423</v>
      </c>
      <c r="F51" s="49">
        <f>'Avg Week BUJUKO-BULOBA'!F51+'Avg Week BULOBA-BUJUKO'!F51</f>
        <v>30.857142857142854</v>
      </c>
      <c r="G51" s="49">
        <f>'Avg Week BUJUKO-BULOBA'!G51+'Avg Week BULOBA-BUJUKO'!G51</f>
        <v>0.14285714285714285</v>
      </c>
      <c r="H51" s="49">
        <f>'Avg Week BUJUKO-BULOBA'!H51+'Avg Week BULOBA-BUJUKO'!H51</f>
        <v>1</v>
      </c>
      <c r="I51" s="49">
        <f>'Avg Week BUJUKO-BULOBA'!I51+'Avg Week BULOBA-BUJUKO'!I51</f>
        <v>15</v>
      </c>
      <c r="J51" s="49">
        <f>'Avg Week BUJUKO-BULOBA'!J51+'Avg Week BULOBA-BUJUKO'!J51</f>
        <v>4.2857142857142856</v>
      </c>
      <c r="K51" s="49">
        <f>'Avg Week BUJUKO-BULOBA'!K51+'Avg Week BULOBA-BUJUKO'!K51</f>
        <v>1</v>
      </c>
      <c r="L51" s="49">
        <f>'Avg Week BUJUKO-BULOBA'!L51+'Avg Week BULOBA-BUJUKO'!L51</f>
        <v>1.4285714285714284</v>
      </c>
      <c r="M51" s="49">
        <f>'Avg Week BUJUKO-BULOBA'!M51+'Avg Week BULOBA-BUJUKO'!M51</f>
        <v>32</v>
      </c>
      <c r="N51" s="49">
        <f>'Avg Week BUJUKO-BULOBA'!N51+'Avg Week BULOBA-BUJUKO'!N51</f>
        <v>0.42857142857142855</v>
      </c>
      <c r="O51" s="15">
        <f t="shared" si="0"/>
        <v>117.14285714285715</v>
      </c>
      <c r="P51" s="15">
        <f t="shared" si="1"/>
        <v>149.14285714285714</v>
      </c>
      <c r="R51" s="8"/>
      <c r="T51"/>
    </row>
    <row r="52" spans="2:20" ht="23.1" customHeight="1" x14ac:dyDescent="0.25">
      <c r="B52" s="24" t="s">
        <v>79</v>
      </c>
      <c r="C52" s="49">
        <f>'Avg Week BUJUKO-BULOBA'!C52+'Avg Week BULOBA-BUJUKO'!C52</f>
        <v>38.285714285714285</v>
      </c>
      <c r="D52" s="49">
        <f>'Avg Week BUJUKO-BULOBA'!D52+'Avg Week BULOBA-BUJUKO'!D52</f>
        <v>10</v>
      </c>
      <c r="E52" s="49">
        <f>'Avg Week BUJUKO-BULOBA'!E52+'Avg Week BULOBA-BUJUKO'!E52</f>
        <v>7.2857142857142865</v>
      </c>
      <c r="F52" s="49">
        <f>'Avg Week BUJUKO-BULOBA'!F52+'Avg Week BULOBA-BUJUKO'!F52</f>
        <v>31</v>
      </c>
      <c r="G52" s="49">
        <f>'Avg Week BUJUKO-BULOBA'!G52+'Avg Week BULOBA-BUJUKO'!G52</f>
        <v>0.5714285714285714</v>
      </c>
      <c r="H52" s="49">
        <f>'Avg Week BUJUKO-BULOBA'!H52+'Avg Week BULOBA-BUJUKO'!H52</f>
        <v>0.5714285714285714</v>
      </c>
      <c r="I52" s="49">
        <f>'Avg Week BUJUKO-BULOBA'!I52+'Avg Week BULOBA-BUJUKO'!I52</f>
        <v>12.285714285714285</v>
      </c>
      <c r="J52" s="49">
        <f>'Avg Week BUJUKO-BULOBA'!J52+'Avg Week BULOBA-BUJUKO'!J52</f>
        <v>4.4285714285714288</v>
      </c>
      <c r="K52" s="49">
        <f>'Avg Week BUJUKO-BULOBA'!K52+'Avg Week BULOBA-BUJUKO'!K52</f>
        <v>1</v>
      </c>
      <c r="L52" s="49">
        <f>'Avg Week BUJUKO-BULOBA'!L52+'Avg Week BULOBA-BUJUKO'!L52</f>
        <v>0.71428571428571419</v>
      </c>
      <c r="M52" s="49">
        <f>'Avg Week BUJUKO-BULOBA'!M52+'Avg Week BULOBA-BUJUKO'!M52</f>
        <v>35.714285714285715</v>
      </c>
      <c r="N52" s="49">
        <f>'Avg Week BUJUKO-BULOBA'!N52+'Avg Week BULOBA-BUJUKO'!N52</f>
        <v>0</v>
      </c>
      <c r="O52" s="15">
        <f t="shared" si="0"/>
        <v>106.14285714285714</v>
      </c>
      <c r="P52" s="15">
        <f t="shared" si="1"/>
        <v>141.85714285714286</v>
      </c>
      <c r="R52" s="8"/>
      <c r="T52"/>
    </row>
    <row r="53" spans="2:20" ht="23.1" customHeight="1" x14ac:dyDescent="0.25">
      <c r="B53" s="23" t="s">
        <v>80</v>
      </c>
      <c r="C53" s="49">
        <f>'Avg Week BUJUKO-BULOBA'!C53+'Avg Week BULOBA-BUJUKO'!C53</f>
        <v>41.857142857142854</v>
      </c>
      <c r="D53" s="49">
        <f>'Avg Week BUJUKO-BULOBA'!D53+'Avg Week BULOBA-BUJUKO'!D53</f>
        <v>13</v>
      </c>
      <c r="E53" s="49">
        <f>'Avg Week BUJUKO-BULOBA'!E53+'Avg Week BULOBA-BUJUKO'!E53</f>
        <v>9.5714285714285712</v>
      </c>
      <c r="F53" s="49">
        <f>'Avg Week BUJUKO-BULOBA'!F53+'Avg Week BULOBA-BUJUKO'!F53</f>
        <v>32.571428571428569</v>
      </c>
      <c r="G53" s="49">
        <f>'Avg Week BUJUKO-BULOBA'!G53+'Avg Week BULOBA-BUJUKO'!G53</f>
        <v>2.1428571428571428</v>
      </c>
      <c r="H53" s="49">
        <f>'Avg Week BUJUKO-BULOBA'!H53+'Avg Week BULOBA-BUJUKO'!H53</f>
        <v>1</v>
      </c>
      <c r="I53" s="49">
        <f>'Avg Week BUJUKO-BULOBA'!I53+'Avg Week BULOBA-BUJUKO'!I53</f>
        <v>13</v>
      </c>
      <c r="J53" s="49">
        <f>'Avg Week BUJUKO-BULOBA'!J53+'Avg Week BULOBA-BUJUKO'!J53</f>
        <v>5.8571428571428577</v>
      </c>
      <c r="K53" s="49">
        <f>'Avg Week BUJUKO-BULOBA'!K53+'Avg Week BULOBA-BUJUKO'!K53</f>
        <v>2.4285714285714284</v>
      </c>
      <c r="L53" s="49">
        <f>'Avg Week BUJUKO-BULOBA'!L53+'Avg Week BULOBA-BUJUKO'!L53</f>
        <v>1.7142857142857144</v>
      </c>
      <c r="M53" s="49">
        <f>'Avg Week BUJUKO-BULOBA'!M53+'Avg Week BULOBA-BUJUKO'!M53</f>
        <v>34.857142857142861</v>
      </c>
      <c r="N53" s="49">
        <f>'Avg Week BUJUKO-BULOBA'!N53+'Avg Week BULOBA-BUJUKO'!N53</f>
        <v>0</v>
      </c>
      <c r="O53" s="15">
        <f t="shared" si="0"/>
        <v>123.14285714285714</v>
      </c>
      <c r="P53" s="15">
        <f t="shared" si="1"/>
        <v>158</v>
      </c>
      <c r="R53" s="8"/>
      <c r="T53"/>
    </row>
    <row r="54" spans="2:20" ht="23.1" customHeight="1" x14ac:dyDescent="0.25">
      <c r="B54" s="23" t="s">
        <v>81</v>
      </c>
      <c r="C54" s="49">
        <f>'Avg Week BUJUKO-BULOBA'!C54+'Avg Week BULOBA-BUJUKO'!C54</f>
        <v>46</v>
      </c>
      <c r="D54" s="49">
        <f>'Avg Week BUJUKO-BULOBA'!D54+'Avg Week BULOBA-BUJUKO'!D54</f>
        <v>13.857142857142858</v>
      </c>
      <c r="E54" s="49">
        <f>'Avg Week BUJUKO-BULOBA'!E54+'Avg Week BULOBA-BUJUKO'!E54</f>
        <v>10.571428571428571</v>
      </c>
      <c r="F54" s="49">
        <f>'Avg Week BUJUKO-BULOBA'!F54+'Avg Week BULOBA-BUJUKO'!F54</f>
        <v>37.857142857142861</v>
      </c>
      <c r="G54" s="49">
        <f>'Avg Week BUJUKO-BULOBA'!G54+'Avg Week BULOBA-BUJUKO'!G54</f>
        <v>1.8571428571428572</v>
      </c>
      <c r="H54" s="49">
        <f>'Avg Week BUJUKO-BULOBA'!H54+'Avg Week BULOBA-BUJUKO'!H54</f>
        <v>1.5714285714285714</v>
      </c>
      <c r="I54" s="49">
        <f>'Avg Week BUJUKO-BULOBA'!I54+'Avg Week BULOBA-BUJUKO'!I54</f>
        <v>13.428571428571427</v>
      </c>
      <c r="J54" s="49">
        <f>'Avg Week BUJUKO-BULOBA'!J54+'Avg Week BULOBA-BUJUKO'!J54</f>
        <v>5.1428571428571423</v>
      </c>
      <c r="K54" s="49">
        <f>'Avg Week BUJUKO-BULOBA'!K54+'Avg Week BULOBA-BUJUKO'!K54</f>
        <v>1.7142857142857142</v>
      </c>
      <c r="L54" s="49">
        <f>'Avg Week BUJUKO-BULOBA'!L54+'Avg Week BULOBA-BUJUKO'!L54</f>
        <v>1.7142857142857144</v>
      </c>
      <c r="M54" s="49">
        <f>'Avg Week BUJUKO-BULOBA'!M54+'Avg Week BULOBA-BUJUKO'!M54</f>
        <v>43</v>
      </c>
      <c r="N54" s="49">
        <f>'Avg Week BUJUKO-BULOBA'!N54+'Avg Week BULOBA-BUJUKO'!N54</f>
        <v>0</v>
      </c>
      <c r="O54" s="15">
        <f t="shared" si="0"/>
        <v>133.71428571428575</v>
      </c>
      <c r="P54" s="15">
        <f t="shared" si="1"/>
        <v>176.71428571428575</v>
      </c>
      <c r="R54" s="8"/>
      <c r="T54"/>
    </row>
    <row r="55" spans="2:20" ht="23.1" customHeight="1" x14ac:dyDescent="0.25">
      <c r="B55" s="23" t="s">
        <v>82</v>
      </c>
      <c r="C55" s="49">
        <f>'Avg Week BUJUKO-BULOBA'!C55+'Avg Week BULOBA-BUJUKO'!C55</f>
        <v>43.285714285714285</v>
      </c>
      <c r="D55" s="49">
        <f>'Avg Week BUJUKO-BULOBA'!D55+'Avg Week BULOBA-BUJUKO'!D55</f>
        <v>11</v>
      </c>
      <c r="E55" s="49">
        <f>'Avg Week BUJUKO-BULOBA'!E55+'Avg Week BULOBA-BUJUKO'!E55</f>
        <v>9.1428571428571423</v>
      </c>
      <c r="F55" s="49">
        <f>'Avg Week BUJUKO-BULOBA'!F55+'Avg Week BULOBA-BUJUKO'!F55</f>
        <v>38</v>
      </c>
      <c r="G55" s="49">
        <f>'Avg Week BUJUKO-BULOBA'!G55+'Avg Week BULOBA-BUJUKO'!G55</f>
        <v>2.8571428571428572</v>
      </c>
      <c r="H55" s="49">
        <f>'Avg Week BUJUKO-BULOBA'!H55+'Avg Week BULOBA-BUJUKO'!H55</f>
        <v>0.71428571428571419</v>
      </c>
      <c r="I55" s="49">
        <f>'Avg Week BUJUKO-BULOBA'!I55+'Avg Week BULOBA-BUJUKO'!I55</f>
        <v>14.571428571428573</v>
      </c>
      <c r="J55" s="49">
        <f>'Avg Week BUJUKO-BULOBA'!J55+'Avg Week BULOBA-BUJUKO'!J55</f>
        <v>5.5714285714285712</v>
      </c>
      <c r="K55" s="49">
        <f>'Avg Week BUJUKO-BULOBA'!K55+'Avg Week BULOBA-BUJUKO'!K55</f>
        <v>1.2857142857142856</v>
      </c>
      <c r="L55" s="49">
        <f>'Avg Week BUJUKO-BULOBA'!L55+'Avg Week BULOBA-BUJUKO'!L55</f>
        <v>1.2857142857142856</v>
      </c>
      <c r="M55" s="49">
        <f>'Avg Week BUJUKO-BULOBA'!M55+'Avg Week BULOBA-BUJUKO'!M55</f>
        <v>37.142857142857146</v>
      </c>
      <c r="N55" s="49">
        <f>'Avg Week BUJUKO-BULOBA'!N55+'Avg Week BULOBA-BUJUKO'!N55</f>
        <v>0.42857142857142855</v>
      </c>
      <c r="O55" s="15">
        <f t="shared" si="0"/>
        <v>128.14285714285714</v>
      </c>
      <c r="P55" s="15">
        <f t="shared" si="1"/>
        <v>165.28571428571428</v>
      </c>
      <c r="R55" s="8"/>
      <c r="T55"/>
    </row>
    <row r="56" spans="2:20" ht="23.1" customHeight="1" x14ac:dyDescent="0.25">
      <c r="B56" s="23" t="s">
        <v>83</v>
      </c>
      <c r="C56" s="49">
        <f>'Avg Week BUJUKO-BULOBA'!C56+'Avg Week BULOBA-BUJUKO'!C56</f>
        <v>41.714285714285715</v>
      </c>
      <c r="D56" s="49">
        <f>'Avg Week BUJUKO-BULOBA'!D56+'Avg Week BULOBA-BUJUKO'!D56</f>
        <v>10</v>
      </c>
      <c r="E56" s="49">
        <f>'Avg Week BUJUKO-BULOBA'!E56+'Avg Week BULOBA-BUJUKO'!E56</f>
        <v>7.8571428571428568</v>
      </c>
      <c r="F56" s="49">
        <f>'Avg Week BUJUKO-BULOBA'!F56+'Avg Week BULOBA-BUJUKO'!F56</f>
        <v>31.857142857142854</v>
      </c>
      <c r="G56" s="49">
        <f>'Avg Week BUJUKO-BULOBA'!G56+'Avg Week BULOBA-BUJUKO'!G56</f>
        <v>2.2857142857142856</v>
      </c>
      <c r="H56" s="49">
        <f>'Avg Week BUJUKO-BULOBA'!H56+'Avg Week BULOBA-BUJUKO'!H56</f>
        <v>1</v>
      </c>
      <c r="I56" s="49">
        <f>'Avg Week BUJUKO-BULOBA'!I56+'Avg Week BULOBA-BUJUKO'!I56</f>
        <v>11.571428571428571</v>
      </c>
      <c r="J56" s="49">
        <f>'Avg Week BUJUKO-BULOBA'!J56+'Avg Week BULOBA-BUJUKO'!J56</f>
        <v>3.7142857142857144</v>
      </c>
      <c r="K56" s="49">
        <f>'Avg Week BUJUKO-BULOBA'!K56+'Avg Week BULOBA-BUJUKO'!K56</f>
        <v>1.7142857142857142</v>
      </c>
      <c r="L56" s="49">
        <f>'Avg Week BUJUKO-BULOBA'!L56+'Avg Week BULOBA-BUJUKO'!L56</f>
        <v>2.4285714285714284</v>
      </c>
      <c r="M56" s="49">
        <f>'Avg Week BUJUKO-BULOBA'!M56+'Avg Week BULOBA-BUJUKO'!M56</f>
        <v>32.285714285714285</v>
      </c>
      <c r="N56" s="49">
        <f>'Avg Week BUJUKO-BULOBA'!N56+'Avg Week BULOBA-BUJUKO'!N56</f>
        <v>0</v>
      </c>
      <c r="O56" s="15">
        <f t="shared" si="0"/>
        <v>114.14285714285712</v>
      </c>
      <c r="P56" s="15">
        <f t="shared" si="1"/>
        <v>146.42857142857142</v>
      </c>
      <c r="R56" s="8"/>
      <c r="T56"/>
    </row>
    <row r="57" spans="2:20" ht="23.1" customHeight="1" x14ac:dyDescent="0.25">
      <c r="B57" s="23" t="s">
        <v>84</v>
      </c>
      <c r="C57" s="49">
        <f>'Avg Week BUJUKO-BULOBA'!C57+'Avg Week BULOBA-BUJUKO'!C57</f>
        <v>54.571428571428569</v>
      </c>
      <c r="D57" s="49">
        <f>'Avg Week BUJUKO-BULOBA'!D57+'Avg Week BULOBA-BUJUKO'!D57</f>
        <v>10</v>
      </c>
      <c r="E57" s="49">
        <f>'Avg Week BUJUKO-BULOBA'!E57+'Avg Week BULOBA-BUJUKO'!E57</f>
        <v>11</v>
      </c>
      <c r="F57" s="49">
        <f>'Avg Week BUJUKO-BULOBA'!F57+'Avg Week BULOBA-BUJUKO'!F57</f>
        <v>37.428571428571431</v>
      </c>
      <c r="G57" s="49">
        <f>'Avg Week BUJUKO-BULOBA'!G57+'Avg Week BULOBA-BUJUKO'!G57</f>
        <v>1.4285714285714284</v>
      </c>
      <c r="H57" s="49">
        <f>'Avg Week BUJUKO-BULOBA'!H57+'Avg Week BULOBA-BUJUKO'!H57</f>
        <v>1.1428571428571428</v>
      </c>
      <c r="I57" s="49">
        <f>'Avg Week BUJUKO-BULOBA'!I57+'Avg Week BULOBA-BUJUKO'!I57</f>
        <v>14.571428571428573</v>
      </c>
      <c r="J57" s="49">
        <f>'Avg Week BUJUKO-BULOBA'!J57+'Avg Week BULOBA-BUJUKO'!J57</f>
        <v>5.4285714285714288</v>
      </c>
      <c r="K57" s="49">
        <f>'Avg Week BUJUKO-BULOBA'!K57+'Avg Week BULOBA-BUJUKO'!K57</f>
        <v>1.2857142857142856</v>
      </c>
      <c r="L57" s="49">
        <f>'Avg Week BUJUKO-BULOBA'!L57+'Avg Week BULOBA-BUJUKO'!L57</f>
        <v>2.1428571428571428</v>
      </c>
      <c r="M57" s="49">
        <f>'Avg Week BUJUKO-BULOBA'!M57+'Avg Week BULOBA-BUJUKO'!M57</f>
        <v>40.166666666666664</v>
      </c>
      <c r="N57" s="49">
        <f>'Avg Week BUJUKO-BULOBA'!N57+'Avg Week BULOBA-BUJUKO'!N57</f>
        <v>0</v>
      </c>
      <c r="O57" s="15">
        <f t="shared" si="0"/>
        <v>138.99999999999997</v>
      </c>
      <c r="P57" s="15">
        <f t="shared" si="1"/>
        <v>179.16666666666663</v>
      </c>
      <c r="R57" s="8"/>
      <c r="T57"/>
    </row>
    <row r="58" spans="2:20" ht="23.1" customHeight="1" x14ac:dyDescent="0.25">
      <c r="B58" s="23" t="s">
        <v>99</v>
      </c>
      <c r="C58" s="49">
        <f>'Avg Week BUJUKO-BULOBA'!C58+'Avg Week BULOBA-BUJUKO'!C58</f>
        <v>51.5</v>
      </c>
      <c r="D58" s="49">
        <f>'Avg Week BUJUKO-BULOBA'!D58+'Avg Week BULOBA-BUJUKO'!D58</f>
        <v>9</v>
      </c>
      <c r="E58" s="49">
        <f>'Avg Week BUJUKO-BULOBA'!E58+'Avg Week BULOBA-BUJUKO'!E58</f>
        <v>12.5</v>
      </c>
      <c r="F58" s="49">
        <f>'Avg Week BUJUKO-BULOBA'!F58+'Avg Week BULOBA-BUJUKO'!F58</f>
        <v>31.5</v>
      </c>
      <c r="G58" s="49">
        <f>'Avg Week BUJUKO-BULOBA'!G58+'Avg Week BULOBA-BUJUKO'!G58</f>
        <v>0.5</v>
      </c>
      <c r="H58" s="49">
        <f>'Avg Week BUJUKO-BULOBA'!H58+'Avg Week BULOBA-BUJUKO'!H58</f>
        <v>0.5</v>
      </c>
      <c r="I58" s="49">
        <f>'Avg Week BUJUKO-BULOBA'!I58+'Avg Week BULOBA-BUJUKO'!I58</f>
        <v>12</v>
      </c>
      <c r="J58" s="49">
        <f>'Avg Week BUJUKO-BULOBA'!J58+'Avg Week BULOBA-BUJUKO'!J58</f>
        <v>10</v>
      </c>
      <c r="K58" s="49">
        <f>'Avg Week BUJUKO-BULOBA'!K58+'Avg Week BULOBA-BUJUKO'!K58</f>
        <v>2.5</v>
      </c>
      <c r="L58" s="49">
        <f>'Avg Week BUJUKO-BULOBA'!L58+'Avg Week BULOBA-BUJUKO'!L58</f>
        <v>5.5</v>
      </c>
      <c r="M58" s="49">
        <f>'Avg Week BUJUKO-BULOBA'!M58+'Avg Week BULOBA-BUJUKO'!M58</f>
        <v>43.5</v>
      </c>
      <c r="N58" s="49">
        <f>'Avg Week BUJUKO-BULOBA'!N58+'Avg Week BULOBA-BUJUKO'!N58</f>
        <v>0</v>
      </c>
      <c r="O58" s="15">
        <f t="shared" si="0"/>
        <v>135.5</v>
      </c>
      <c r="P58" s="15">
        <f t="shared" si="1"/>
        <v>179</v>
      </c>
      <c r="R58" s="8"/>
      <c r="T58"/>
    </row>
    <row r="59" spans="2:20" ht="23.1" customHeight="1" x14ac:dyDescent="0.25">
      <c r="B59" s="23" t="s">
        <v>100</v>
      </c>
      <c r="C59" s="49">
        <f>'Avg Week BUJUKO-BULOBA'!C59+'Avg Week BULOBA-BUJUKO'!C59</f>
        <v>43.5</v>
      </c>
      <c r="D59" s="49">
        <f>'Avg Week BUJUKO-BULOBA'!D59+'Avg Week BULOBA-BUJUKO'!D59</f>
        <v>12.5</v>
      </c>
      <c r="E59" s="49">
        <f>'Avg Week BUJUKO-BULOBA'!E59+'Avg Week BULOBA-BUJUKO'!E59</f>
        <v>11</v>
      </c>
      <c r="F59" s="49">
        <f>'Avg Week BUJUKO-BULOBA'!F59+'Avg Week BULOBA-BUJUKO'!F59</f>
        <v>36</v>
      </c>
      <c r="G59" s="49">
        <f>'Avg Week BUJUKO-BULOBA'!G59+'Avg Week BULOBA-BUJUKO'!G59</f>
        <v>0</v>
      </c>
      <c r="H59" s="49">
        <f>'Avg Week BUJUKO-BULOBA'!H59+'Avg Week BULOBA-BUJUKO'!H59</f>
        <v>0.5</v>
      </c>
      <c r="I59" s="49">
        <f>'Avg Week BUJUKO-BULOBA'!I59+'Avg Week BULOBA-BUJUKO'!I59</f>
        <v>17.5</v>
      </c>
      <c r="J59" s="49">
        <f>'Avg Week BUJUKO-BULOBA'!J59+'Avg Week BULOBA-BUJUKO'!J59</f>
        <v>11</v>
      </c>
      <c r="K59" s="49">
        <f>'Avg Week BUJUKO-BULOBA'!K59+'Avg Week BULOBA-BUJUKO'!K59</f>
        <v>0</v>
      </c>
      <c r="L59" s="49">
        <f>'Avg Week BUJUKO-BULOBA'!L59+'Avg Week BULOBA-BUJUKO'!L59</f>
        <v>4</v>
      </c>
      <c r="M59" s="49">
        <f>'Avg Week BUJUKO-BULOBA'!M59+'Avg Week BULOBA-BUJUKO'!M59</f>
        <v>58</v>
      </c>
      <c r="N59" s="49">
        <f>'Avg Week BUJUKO-BULOBA'!N59+'Avg Week BULOBA-BUJUKO'!N59</f>
        <v>0</v>
      </c>
      <c r="O59" s="15">
        <f t="shared" si="0"/>
        <v>136</v>
      </c>
      <c r="P59" s="15">
        <f t="shared" si="1"/>
        <v>194</v>
      </c>
      <c r="R59" s="8"/>
      <c r="T59"/>
    </row>
    <row r="60" spans="2:20" ht="23.1" customHeight="1" x14ac:dyDescent="0.25">
      <c r="B60" s="23" t="s">
        <v>101</v>
      </c>
      <c r="C60" s="49">
        <f>'Avg Week BUJUKO-BULOBA'!C60+'Avg Week BULOBA-BUJUKO'!C60</f>
        <v>47</v>
      </c>
      <c r="D60" s="49">
        <f>'Avg Week BUJUKO-BULOBA'!D60+'Avg Week BULOBA-BUJUKO'!D60</f>
        <v>14.5</v>
      </c>
      <c r="E60" s="49">
        <f>'Avg Week BUJUKO-BULOBA'!E60+'Avg Week BULOBA-BUJUKO'!E60</f>
        <v>6.5</v>
      </c>
      <c r="F60" s="49">
        <f>'Avg Week BUJUKO-BULOBA'!F60+'Avg Week BULOBA-BUJUKO'!F60</f>
        <v>37</v>
      </c>
      <c r="G60" s="49">
        <f>'Avg Week BUJUKO-BULOBA'!G60+'Avg Week BULOBA-BUJUKO'!G60</f>
        <v>0.5</v>
      </c>
      <c r="H60" s="49">
        <f>'Avg Week BUJUKO-BULOBA'!H60+'Avg Week BULOBA-BUJUKO'!H60</f>
        <v>0.5</v>
      </c>
      <c r="I60" s="49">
        <f>'Avg Week BUJUKO-BULOBA'!I60+'Avg Week BULOBA-BUJUKO'!I60</f>
        <v>11.5</v>
      </c>
      <c r="J60" s="49">
        <f>'Avg Week BUJUKO-BULOBA'!J60+'Avg Week BULOBA-BUJUKO'!J60</f>
        <v>8</v>
      </c>
      <c r="K60" s="49">
        <f>'Avg Week BUJUKO-BULOBA'!K60+'Avg Week BULOBA-BUJUKO'!K60</f>
        <v>4</v>
      </c>
      <c r="L60" s="49">
        <f>'Avg Week BUJUKO-BULOBA'!L60+'Avg Week BULOBA-BUJUKO'!L60</f>
        <v>2</v>
      </c>
      <c r="M60" s="49">
        <f>'Avg Week BUJUKO-BULOBA'!M60+'Avg Week BULOBA-BUJUKO'!M60</f>
        <v>47</v>
      </c>
      <c r="N60" s="49">
        <f>'Avg Week BUJUKO-BULOBA'!N60+'Avg Week BULOBA-BUJUKO'!N60</f>
        <v>0</v>
      </c>
      <c r="O60" s="15">
        <f t="shared" si="0"/>
        <v>131.5</v>
      </c>
      <c r="P60" s="15">
        <f t="shared" si="1"/>
        <v>178.5</v>
      </c>
      <c r="R60" s="8"/>
      <c r="T60"/>
    </row>
    <row r="61" spans="2:20" ht="23.1" customHeight="1" x14ac:dyDescent="0.25">
      <c r="B61" s="23" t="s">
        <v>102</v>
      </c>
      <c r="C61" s="49">
        <f>'Avg Week BUJUKO-BULOBA'!C61+'Avg Week BULOBA-BUJUKO'!C61</f>
        <v>41</v>
      </c>
      <c r="D61" s="49">
        <f>'Avg Week BUJUKO-BULOBA'!D61+'Avg Week BULOBA-BUJUKO'!D61</f>
        <v>4.5</v>
      </c>
      <c r="E61" s="49">
        <f>'Avg Week BUJUKO-BULOBA'!E61+'Avg Week BULOBA-BUJUKO'!E61</f>
        <v>6.5</v>
      </c>
      <c r="F61" s="49">
        <f>'Avg Week BUJUKO-BULOBA'!F61+'Avg Week BULOBA-BUJUKO'!F61</f>
        <v>31.5</v>
      </c>
      <c r="G61" s="49">
        <f>'Avg Week BUJUKO-BULOBA'!G61+'Avg Week BULOBA-BUJUKO'!G61</f>
        <v>0</v>
      </c>
      <c r="H61" s="49">
        <f>'Avg Week BUJUKO-BULOBA'!H61+'Avg Week BULOBA-BUJUKO'!H61</f>
        <v>1.5</v>
      </c>
      <c r="I61" s="49">
        <f>'Avg Week BUJUKO-BULOBA'!I61+'Avg Week BULOBA-BUJUKO'!I61</f>
        <v>8.5</v>
      </c>
      <c r="J61" s="49">
        <f>'Avg Week BUJUKO-BULOBA'!J61+'Avg Week BULOBA-BUJUKO'!J61</f>
        <v>7</v>
      </c>
      <c r="K61" s="49">
        <f>'Avg Week BUJUKO-BULOBA'!K61+'Avg Week BULOBA-BUJUKO'!K61</f>
        <v>2</v>
      </c>
      <c r="L61" s="49">
        <f>'Avg Week BUJUKO-BULOBA'!L61+'Avg Week BULOBA-BUJUKO'!L61</f>
        <v>0</v>
      </c>
      <c r="M61" s="49">
        <f>'Avg Week BUJUKO-BULOBA'!M61+'Avg Week BULOBA-BUJUKO'!M61</f>
        <v>34.5</v>
      </c>
      <c r="N61" s="49">
        <f>'Avg Week BUJUKO-BULOBA'!N61+'Avg Week BULOBA-BUJUKO'!N61</f>
        <v>0</v>
      </c>
      <c r="O61" s="15">
        <f t="shared" si="0"/>
        <v>102.5</v>
      </c>
      <c r="P61" s="15">
        <f t="shared" si="1"/>
        <v>137</v>
      </c>
      <c r="R61" s="8"/>
      <c r="T61"/>
    </row>
    <row r="62" spans="2:20" ht="23.1" customHeight="1" x14ac:dyDescent="0.25">
      <c r="B62" s="23" t="s">
        <v>107</v>
      </c>
      <c r="C62" s="49">
        <f>'Avg Week BUJUKO-BULOBA'!C62+'Avg Week BULOBA-BUJUKO'!C62</f>
        <v>27</v>
      </c>
      <c r="D62" s="49">
        <f>'Avg Week BUJUKO-BULOBA'!D62+'Avg Week BULOBA-BUJUKO'!D62</f>
        <v>6.5</v>
      </c>
      <c r="E62" s="49">
        <f>'Avg Week BUJUKO-BULOBA'!E62+'Avg Week BULOBA-BUJUKO'!E62</f>
        <v>10</v>
      </c>
      <c r="F62" s="49">
        <f>'Avg Week BUJUKO-BULOBA'!F62+'Avg Week BULOBA-BUJUKO'!F62</f>
        <v>27.5</v>
      </c>
      <c r="G62" s="49">
        <f>'Avg Week BUJUKO-BULOBA'!G62+'Avg Week BULOBA-BUJUKO'!G62</f>
        <v>1</v>
      </c>
      <c r="H62" s="49">
        <f>'Avg Week BUJUKO-BULOBA'!H62+'Avg Week BULOBA-BUJUKO'!H62</f>
        <v>0</v>
      </c>
      <c r="I62" s="49">
        <f>'Avg Week BUJUKO-BULOBA'!I62+'Avg Week BULOBA-BUJUKO'!I62</f>
        <v>12</v>
      </c>
      <c r="J62" s="49">
        <f>'Avg Week BUJUKO-BULOBA'!J62+'Avg Week BULOBA-BUJUKO'!J62</f>
        <v>5.5</v>
      </c>
      <c r="K62" s="49">
        <f>'Avg Week BUJUKO-BULOBA'!K62+'Avg Week BULOBA-BUJUKO'!K62</f>
        <v>2</v>
      </c>
      <c r="L62" s="49">
        <f>'Avg Week BUJUKO-BULOBA'!L62+'Avg Week BULOBA-BUJUKO'!L62</f>
        <v>2.5</v>
      </c>
      <c r="M62" s="49">
        <f>'Avg Week BUJUKO-BULOBA'!M62+'Avg Week BULOBA-BUJUKO'!M62</f>
        <v>39</v>
      </c>
      <c r="N62" s="49">
        <f>'Avg Week BUJUKO-BULOBA'!N62+'Avg Week BULOBA-BUJUKO'!N62</f>
        <v>0</v>
      </c>
      <c r="O62" s="15">
        <f t="shared" si="0"/>
        <v>94</v>
      </c>
      <c r="P62" s="15">
        <f t="shared" si="1"/>
        <v>133</v>
      </c>
      <c r="R62" s="8"/>
      <c r="T62"/>
    </row>
    <row r="63" spans="2:20" ht="23.1" customHeight="1" x14ac:dyDescent="0.25">
      <c r="B63" s="23" t="s">
        <v>108</v>
      </c>
      <c r="C63" s="49">
        <f>'Avg Week BUJUKO-BULOBA'!C63+'Avg Week BULOBA-BUJUKO'!C63</f>
        <v>23.5</v>
      </c>
      <c r="D63" s="49">
        <f>'Avg Week BUJUKO-BULOBA'!D63+'Avg Week BULOBA-BUJUKO'!D63</f>
        <v>6</v>
      </c>
      <c r="E63" s="49">
        <f>'Avg Week BUJUKO-BULOBA'!E63+'Avg Week BULOBA-BUJUKO'!E63</f>
        <v>5</v>
      </c>
      <c r="F63" s="49">
        <f>'Avg Week BUJUKO-BULOBA'!F63+'Avg Week BULOBA-BUJUKO'!F63</f>
        <v>20.5</v>
      </c>
      <c r="G63" s="49">
        <f>'Avg Week BUJUKO-BULOBA'!G63+'Avg Week BULOBA-BUJUKO'!G63</f>
        <v>1.5</v>
      </c>
      <c r="H63" s="49">
        <f>'Avg Week BUJUKO-BULOBA'!H63+'Avg Week BULOBA-BUJUKO'!H63</f>
        <v>1.5</v>
      </c>
      <c r="I63" s="49">
        <f>'Avg Week BUJUKO-BULOBA'!I63+'Avg Week BULOBA-BUJUKO'!I63</f>
        <v>11</v>
      </c>
      <c r="J63" s="49">
        <f>'Avg Week BUJUKO-BULOBA'!J63+'Avg Week BULOBA-BUJUKO'!J63</f>
        <v>5</v>
      </c>
      <c r="K63" s="49">
        <f>'Avg Week BUJUKO-BULOBA'!K63+'Avg Week BULOBA-BUJUKO'!K63</f>
        <v>4</v>
      </c>
      <c r="L63" s="49">
        <f>'Avg Week BUJUKO-BULOBA'!L63+'Avg Week BULOBA-BUJUKO'!L63</f>
        <v>1</v>
      </c>
      <c r="M63" s="49">
        <f>'Avg Week BUJUKO-BULOBA'!M63+'Avg Week BULOBA-BUJUKO'!M63</f>
        <v>27.5</v>
      </c>
      <c r="N63" s="49">
        <f>'Avg Week BUJUKO-BULOBA'!N63+'Avg Week BULOBA-BUJUKO'!N63</f>
        <v>0</v>
      </c>
      <c r="O63" s="15">
        <f t="shared" si="0"/>
        <v>79</v>
      </c>
      <c r="P63" s="15">
        <f t="shared" si="1"/>
        <v>106.5</v>
      </c>
      <c r="R63" s="8"/>
      <c r="T63"/>
    </row>
    <row r="64" spans="2:20" ht="23.1" customHeight="1" x14ac:dyDescent="0.25">
      <c r="B64" s="23" t="s">
        <v>109</v>
      </c>
      <c r="C64" s="49">
        <f>'Avg Week BUJUKO-BULOBA'!C64+'Avg Week BULOBA-BUJUKO'!C64</f>
        <v>41.5</v>
      </c>
      <c r="D64" s="49">
        <f>'Avg Week BUJUKO-BULOBA'!D64+'Avg Week BULOBA-BUJUKO'!D64</f>
        <v>5</v>
      </c>
      <c r="E64" s="49">
        <f>'Avg Week BUJUKO-BULOBA'!E64+'Avg Week BULOBA-BUJUKO'!E64</f>
        <v>2</v>
      </c>
      <c r="F64" s="49">
        <f>'Avg Week BUJUKO-BULOBA'!F64+'Avg Week BULOBA-BUJUKO'!F64</f>
        <v>26.5</v>
      </c>
      <c r="G64" s="49">
        <f>'Avg Week BUJUKO-BULOBA'!G64+'Avg Week BULOBA-BUJUKO'!G64</f>
        <v>0</v>
      </c>
      <c r="H64" s="49">
        <f>'Avg Week BUJUKO-BULOBA'!H64+'Avg Week BULOBA-BUJUKO'!H64</f>
        <v>0</v>
      </c>
      <c r="I64" s="49">
        <f>'Avg Week BUJUKO-BULOBA'!I64+'Avg Week BULOBA-BUJUKO'!I64</f>
        <v>9</v>
      </c>
      <c r="J64" s="49">
        <f>'Avg Week BUJUKO-BULOBA'!J64+'Avg Week BULOBA-BUJUKO'!J64</f>
        <v>6</v>
      </c>
      <c r="K64" s="49">
        <f>'Avg Week BUJUKO-BULOBA'!K64+'Avg Week BULOBA-BUJUKO'!K64</f>
        <v>1</v>
      </c>
      <c r="L64" s="49">
        <f>'Avg Week BUJUKO-BULOBA'!L64+'Avg Week BULOBA-BUJUKO'!L64</f>
        <v>1</v>
      </c>
      <c r="M64" s="49">
        <f>'Avg Week BUJUKO-BULOBA'!M64+'Avg Week BULOBA-BUJUKO'!M64</f>
        <v>30</v>
      </c>
      <c r="N64" s="49">
        <f>'Avg Week BUJUKO-BULOBA'!N64+'Avg Week BULOBA-BUJUKO'!N64</f>
        <v>0</v>
      </c>
      <c r="O64" s="15">
        <f t="shared" si="0"/>
        <v>92</v>
      </c>
      <c r="P64" s="15">
        <f t="shared" si="1"/>
        <v>122</v>
      </c>
      <c r="R64" s="8"/>
      <c r="T64"/>
    </row>
    <row r="65" spans="2:20" ht="23.1" customHeight="1" x14ac:dyDescent="0.25">
      <c r="B65" s="23" t="s">
        <v>158</v>
      </c>
      <c r="C65" s="49">
        <f>'Avg Week BUJUKO-BULOBA'!C65+'Avg Week BULOBA-BUJUKO'!C65</f>
        <v>22.5</v>
      </c>
      <c r="D65" s="49">
        <f>'Avg Week BUJUKO-BULOBA'!D65+'Avg Week BULOBA-BUJUKO'!D65</f>
        <v>3</v>
      </c>
      <c r="E65" s="49">
        <f>'Avg Week BUJUKO-BULOBA'!E65+'Avg Week BULOBA-BUJUKO'!E65</f>
        <v>6</v>
      </c>
      <c r="F65" s="49">
        <f>'Avg Week BUJUKO-BULOBA'!F65+'Avg Week BULOBA-BUJUKO'!F65</f>
        <v>16</v>
      </c>
      <c r="G65" s="49">
        <f>'Avg Week BUJUKO-BULOBA'!G65+'Avg Week BULOBA-BUJUKO'!G65</f>
        <v>0</v>
      </c>
      <c r="H65" s="49">
        <f>'Avg Week BUJUKO-BULOBA'!H65+'Avg Week BULOBA-BUJUKO'!H65</f>
        <v>0.5</v>
      </c>
      <c r="I65" s="49">
        <f>'Avg Week BUJUKO-BULOBA'!I65+'Avg Week BULOBA-BUJUKO'!I65</f>
        <v>7</v>
      </c>
      <c r="J65" s="49">
        <f>'Avg Week BUJUKO-BULOBA'!J65+'Avg Week BULOBA-BUJUKO'!J65</f>
        <v>2.5</v>
      </c>
      <c r="K65" s="49">
        <f>'Avg Week BUJUKO-BULOBA'!K65+'Avg Week BULOBA-BUJUKO'!K65</f>
        <v>2</v>
      </c>
      <c r="L65" s="49">
        <f>'Avg Week BUJUKO-BULOBA'!L65+'Avg Week BULOBA-BUJUKO'!L65</f>
        <v>1</v>
      </c>
      <c r="M65" s="49">
        <f>'Avg Week BUJUKO-BULOBA'!M65+'Avg Week BULOBA-BUJUKO'!M65</f>
        <v>27.5</v>
      </c>
      <c r="N65" s="49">
        <f>'Avg Week BUJUKO-BULOBA'!N65+'Avg Week BULOBA-BUJUKO'!N65</f>
        <v>0</v>
      </c>
      <c r="O65" s="15">
        <f t="shared" si="0"/>
        <v>60.5</v>
      </c>
      <c r="P65" s="15">
        <f t="shared" si="1"/>
        <v>88</v>
      </c>
      <c r="R65" s="8"/>
      <c r="T65"/>
    </row>
    <row r="66" spans="2:20" ht="23.1" customHeight="1" x14ac:dyDescent="0.25">
      <c r="B66" s="23" t="s">
        <v>103</v>
      </c>
      <c r="C66" s="49">
        <f>'Avg Week BUJUKO-BULOBA'!C66+'Avg Week BULOBA-BUJUKO'!C66</f>
        <v>17.5</v>
      </c>
      <c r="D66" s="49">
        <f>'Avg Week BUJUKO-BULOBA'!D66+'Avg Week BULOBA-BUJUKO'!D66</f>
        <v>6</v>
      </c>
      <c r="E66" s="49">
        <f>'Avg Week BUJUKO-BULOBA'!E66+'Avg Week BULOBA-BUJUKO'!E66</f>
        <v>6</v>
      </c>
      <c r="F66" s="49">
        <f>'Avg Week BUJUKO-BULOBA'!F66+'Avg Week BULOBA-BUJUKO'!F66</f>
        <v>20.5</v>
      </c>
      <c r="G66" s="49">
        <f>'Avg Week BUJUKO-BULOBA'!G66+'Avg Week BULOBA-BUJUKO'!G66</f>
        <v>1</v>
      </c>
      <c r="H66" s="49">
        <f>'Avg Week BUJUKO-BULOBA'!H66+'Avg Week BULOBA-BUJUKO'!H66</f>
        <v>1.5</v>
      </c>
      <c r="I66" s="49">
        <f>'Avg Week BUJUKO-BULOBA'!I66+'Avg Week BULOBA-BUJUKO'!I66</f>
        <v>11.5</v>
      </c>
      <c r="J66" s="49">
        <f>'Avg Week BUJUKO-BULOBA'!J66+'Avg Week BULOBA-BUJUKO'!J66</f>
        <v>8</v>
      </c>
      <c r="K66" s="49">
        <f>'Avg Week BUJUKO-BULOBA'!K66+'Avg Week BULOBA-BUJUKO'!K66</f>
        <v>1.5</v>
      </c>
      <c r="L66" s="49">
        <f>'Avg Week BUJUKO-BULOBA'!L66+'Avg Week BULOBA-BUJUKO'!L66</f>
        <v>3.5</v>
      </c>
      <c r="M66" s="49">
        <f>'Avg Week BUJUKO-BULOBA'!M66+'Avg Week BULOBA-BUJUKO'!M66</f>
        <v>21.5</v>
      </c>
      <c r="N66" s="49">
        <f>'Avg Week BUJUKO-BULOBA'!N66+'Avg Week BULOBA-BUJUKO'!N66</f>
        <v>0</v>
      </c>
      <c r="O66" s="15">
        <f t="shared" si="0"/>
        <v>77</v>
      </c>
      <c r="P66" s="15">
        <f t="shared" si="1"/>
        <v>98.5</v>
      </c>
      <c r="R66" s="8"/>
      <c r="T66"/>
    </row>
    <row r="67" spans="2:20" ht="23.1" customHeight="1" x14ac:dyDescent="0.25">
      <c r="B67" s="23" t="s">
        <v>104</v>
      </c>
      <c r="C67" s="49">
        <f>'Avg Week BUJUKO-BULOBA'!C67+'Avg Week BULOBA-BUJUKO'!C67</f>
        <v>21.5</v>
      </c>
      <c r="D67" s="49">
        <f>'Avg Week BUJUKO-BULOBA'!D67+'Avg Week BULOBA-BUJUKO'!D67</f>
        <v>3.5</v>
      </c>
      <c r="E67" s="49">
        <f>'Avg Week BUJUKO-BULOBA'!E67+'Avg Week BULOBA-BUJUKO'!E67</f>
        <v>3</v>
      </c>
      <c r="F67" s="49">
        <f>'Avg Week BUJUKO-BULOBA'!F67+'Avg Week BULOBA-BUJUKO'!F67</f>
        <v>17.5</v>
      </c>
      <c r="G67" s="49">
        <f>'Avg Week BUJUKO-BULOBA'!G67+'Avg Week BULOBA-BUJUKO'!G67</f>
        <v>0</v>
      </c>
      <c r="H67" s="49">
        <f>'Avg Week BUJUKO-BULOBA'!H67+'Avg Week BULOBA-BUJUKO'!H67</f>
        <v>0</v>
      </c>
      <c r="I67" s="49">
        <f>'Avg Week BUJUKO-BULOBA'!I67+'Avg Week BULOBA-BUJUKO'!I67</f>
        <v>9.5</v>
      </c>
      <c r="J67" s="49">
        <f>'Avg Week BUJUKO-BULOBA'!J67+'Avg Week BULOBA-BUJUKO'!J67</f>
        <v>4</v>
      </c>
      <c r="K67" s="49">
        <f>'Avg Week BUJUKO-BULOBA'!K67+'Avg Week BULOBA-BUJUKO'!K67</f>
        <v>3.5</v>
      </c>
      <c r="L67" s="49">
        <f>'Avg Week BUJUKO-BULOBA'!L67+'Avg Week BULOBA-BUJUKO'!L67</f>
        <v>4.5</v>
      </c>
      <c r="M67" s="49">
        <f>'Avg Week BUJUKO-BULOBA'!M67+'Avg Week BULOBA-BUJUKO'!M67</f>
        <v>21</v>
      </c>
      <c r="N67" s="49">
        <f>'Avg Week BUJUKO-BULOBA'!N67+'Avg Week BULOBA-BUJUKO'!N67</f>
        <v>0</v>
      </c>
      <c r="O67" s="15">
        <f t="shared" si="0"/>
        <v>67</v>
      </c>
      <c r="P67" s="15">
        <f t="shared" si="1"/>
        <v>88</v>
      </c>
      <c r="R67" s="8"/>
      <c r="T67"/>
    </row>
    <row r="68" spans="2:20" ht="23.1" customHeight="1" x14ac:dyDescent="0.25">
      <c r="B68" s="23" t="s">
        <v>105</v>
      </c>
      <c r="C68" s="49">
        <f>'Avg Week BUJUKO-BULOBA'!C68+'Avg Week BULOBA-BUJUKO'!C68</f>
        <v>18.5</v>
      </c>
      <c r="D68" s="49">
        <f>'Avg Week BUJUKO-BULOBA'!D68+'Avg Week BULOBA-BUJUKO'!D68</f>
        <v>2</v>
      </c>
      <c r="E68" s="49">
        <f>'Avg Week BUJUKO-BULOBA'!E68+'Avg Week BULOBA-BUJUKO'!E68</f>
        <v>4.5</v>
      </c>
      <c r="F68" s="49">
        <f>'Avg Week BUJUKO-BULOBA'!F68+'Avg Week BULOBA-BUJUKO'!F68</f>
        <v>16</v>
      </c>
      <c r="G68" s="49">
        <f>'Avg Week BUJUKO-BULOBA'!G68+'Avg Week BULOBA-BUJUKO'!G68</f>
        <v>0</v>
      </c>
      <c r="H68" s="49">
        <f>'Avg Week BUJUKO-BULOBA'!H68+'Avg Week BULOBA-BUJUKO'!H68</f>
        <v>0</v>
      </c>
      <c r="I68" s="49">
        <f>'Avg Week BUJUKO-BULOBA'!I68+'Avg Week BULOBA-BUJUKO'!I68</f>
        <v>9.5</v>
      </c>
      <c r="J68" s="49">
        <f>'Avg Week BUJUKO-BULOBA'!J68+'Avg Week BULOBA-BUJUKO'!J68</f>
        <v>12.5</v>
      </c>
      <c r="K68" s="49">
        <f>'Avg Week BUJUKO-BULOBA'!K68+'Avg Week BULOBA-BUJUKO'!K68</f>
        <v>2</v>
      </c>
      <c r="L68" s="49">
        <f>'Avg Week BUJUKO-BULOBA'!L68+'Avg Week BULOBA-BUJUKO'!L68</f>
        <v>3</v>
      </c>
      <c r="M68" s="49">
        <f>'Avg Week BUJUKO-BULOBA'!M68+'Avg Week BULOBA-BUJUKO'!M68</f>
        <v>21</v>
      </c>
      <c r="N68" s="49">
        <f>'Avg Week BUJUKO-BULOBA'!N68+'Avg Week BULOBA-BUJUKO'!N68</f>
        <v>0</v>
      </c>
      <c r="O68" s="15">
        <f t="shared" si="0"/>
        <v>68</v>
      </c>
      <c r="P68" s="15">
        <f t="shared" si="1"/>
        <v>89</v>
      </c>
      <c r="R68" s="8"/>
      <c r="T68"/>
    </row>
    <row r="69" spans="2:20" ht="23.1" customHeight="1" x14ac:dyDescent="0.25">
      <c r="B69" s="23" t="s">
        <v>106</v>
      </c>
      <c r="C69" s="49">
        <f>'Avg Week BUJUKO-BULOBA'!C69+'Avg Week BULOBA-BUJUKO'!C69</f>
        <v>35.5</v>
      </c>
      <c r="D69" s="49">
        <f>'Avg Week BUJUKO-BULOBA'!D69+'Avg Week BULOBA-BUJUKO'!D69</f>
        <v>2.5</v>
      </c>
      <c r="E69" s="49">
        <f>'Avg Week BUJUKO-BULOBA'!E69+'Avg Week BULOBA-BUJUKO'!E69</f>
        <v>3</v>
      </c>
      <c r="F69" s="49">
        <f>'Avg Week BUJUKO-BULOBA'!F69+'Avg Week BULOBA-BUJUKO'!F69</f>
        <v>19</v>
      </c>
      <c r="G69" s="49">
        <f>'Avg Week BUJUKO-BULOBA'!G69+'Avg Week BULOBA-BUJUKO'!G69</f>
        <v>0.5</v>
      </c>
      <c r="H69" s="49">
        <f>'Avg Week BUJUKO-BULOBA'!H69+'Avg Week BULOBA-BUJUKO'!H69</f>
        <v>3.5</v>
      </c>
      <c r="I69" s="49">
        <f>'Avg Week BUJUKO-BULOBA'!I69+'Avg Week BULOBA-BUJUKO'!I69</f>
        <v>9</v>
      </c>
      <c r="J69" s="49">
        <f>'Avg Week BUJUKO-BULOBA'!J69+'Avg Week BULOBA-BUJUKO'!J69</f>
        <v>8</v>
      </c>
      <c r="K69" s="49">
        <f>'Avg Week BUJUKO-BULOBA'!K69+'Avg Week BULOBA-BUJUKO'!K69</f>
        <v>4.5</v>
      </c>
      <c r="L69" s="49">
        <f>'Avg Week BUJUKO-BULOBA'!L69+'Avg Week BULOBA-BUJUKO'!L69</f>
        <v>5</v>
      </c>
      <c r="M69" s="49">
        <f>'Avg Week BUJUKO-BULOBA'!M69+'Avg Week BULOBA-BUJUKO'!M69</f>
        <v>18.5</v>
      </c>
      <c r="N69" s="49">
        <f>'Avg Week BUJUKO-BULOBA'!N69+'Avg Week BULOBA-BUJUKO'!N69</f>
        <v>0</v>
      </c>
      <c r="O69" s="15">
        <f t="shared" si="0"/>
        <v>90.5</v>
      </c>
      <c r="P69" s="15">
        <f t="shared" si="1"/>
        <v>109</v>
      </c>
      <c r="R69" s="8"/>
      <c r="T69"/>
    </row>
    <row r="70" spans="2:20" ht="23.1" customHeight="1" x14ac:dyDescent="0.25">
      <c r="B70" s="23" t="s">
        <v>110</v>
      </c>
      <c r="C70" s="49">
        <f>'Avg Week BUJUKO-BULOBA'!C70+'Avg Week BULOBA-BUJUKO'!C70</f>
        <v>25.5</v>
      </c>
      <c r="D70" s="49">
        <f>'Avg Week BUJUKO-BULOBA'!D70+'Avg Week BULOBA-BUJUKO'!D70</f>
        <v>6</v>
      </c>
      <c r="E70" s="49">
        <f>'Avg Week BUJUKO-BULOBA'!E70+'Avg Week BULOBA-BUJUKO'!E70</f>
        <v>4</v>
      </c>
      <c r="F70" s="49">
        <f>'Avg Week BUJUKO-BULOBA'!F70+'Avg Week BULOBA-BUJUKO'!F70</f>
        <v>18.5</v>
      </c>
      <c r="G70" s="49">
        <f>'Avg Week BUJUKO-BULOBA'!G70+'Avg Week BULOBA-BUJUKO'!G70</f>
        <v>0</v>
      </c>
      <c r="H70" s="49">
        <f>'Avg Week BUJUKO-BULOBA'!H70+'Avg Week BULOBA-BUJUKO'!H70</f>
        <v>0</v>
      </c>
      <c r="I70" s="49">
        <f>'Avg Week BUJUKO-BULOBA'!I70+'Avg Week BULOBA-BUJUKO'!I70</f>
        <v>9</v>
      </c>
      <c r="J70" s="49">
        <f>'Avg Week BUJUKO-BULOBA'!J70+'Avg Week BULOBA-BUJUKO'!J70</f>
        <v>5</v>
      </c>
      <c r="K70" s="49">
        <f>'Avg Week BUJUKO-BULOBA'!K70+'Avg Week BULOBA-BUJUKO'!K70</f>
        <v>2</v>
      </c>
      <c r="L70" s="49">
        <f>'Avg Week BUJUKO-BULOBA'!L70+'Avg Week BULOBA-BUJUKO'!L70</f>
        <v>1.5</v>
      </c>
      <c r="M70" s="49">
        <f>'Avg Week BUJUKO-BULOBA'!M70+'Avg Week BULOBA-BUJUKO'!M70</f>
        <v>19.5</v>
      </c>
      <c r="N70" s="49">
        <f>'Avg Week BUJUKO-BULOBA'!N70+'Avg Week BULOBA-BUJUKO'!N70</f>
        <v>0</v>
      </c>
      <c r="O70" s="15">
        <f t="shared" si="0"/>
        <v>71.5</v>
      </c>
      <c r="P70" s="15">
        <f t="shared" si="1"/>
        <v>91</v>
      </c>
      <c r="R70" s="8"/>
      <c r="T70"/>
    </row>
    <row r="71" spans="2:20" ht="23.1" customHeight="1" x14ac:dyDescent="0.25">
      <c r="B71" s="23" t="s">
        <v>111</v>
      </c>
      <c r="C71" s="49">
        <f>'Avg Week BUJUKO-BULOBA'!C71+'Avg Week BULOBA-BUJUKO'!C71</f>
        <v>19</v>
      </c>
      <c r="D71" s="49">
        <f>'Avg Week BUJUKO-BULOBA'!D71+'Avg Week BULOBA-BUJUKO'!D71</f>
        <v>2</v>
      </c>
      <c r="E71" s="49">
        <f>'Avg Week BUJUKO-BULOBA'!E71+'Avg Week BULOBA-BUJUKO'!E71</f>
        <v>3.5</v>
      </c>
      <c r="F71" s="49">
        <f>'Avg Week BUJUKO-BULOBA'!F71+'Avg Week BULOBA-BUJUKO'!F71</f>
        <v>8</v>
      </c>
      <c r="G71" s="49">
        <f>'Avg Week BUJUKO-BULOBA'!G71+'Avg Week BULOBA-BUJUKO'!G71</f>
        <v>1</v>
      </c>
      <c r="H71" s="49">
        <f>'Avg Week BUJUKO-BULOBA'!H71+'Avg Week BULOBA-BUJUKO'!H71</f>
        <v>0.5</v>
      </c>
      <c r="I71" s="49">
        <f>'Avg Week BUJUKO-BULOBA'!I71+'Avg Week BULOBA-BUJUKO'!I71</f>
        <v>6.5</v>
      </c>
      <c r="J71" s="49">
        <f>'Avg Week BUJUKO-BULOBA'!J71+'Avg Week BULOBA-BUJUKO'!J71</f>
        <v>5</v>
      </c>
      <c r="K71" s="49">
        <f>'Avg Week BUJUKO-BULOBA'!K71+'Avg Week BULOBA-BUJUKO'!K71</f>
        <v>0.5</v>
      </c>
      <c r="L71" s="49">
        <f>'Avg Week BUJUKO-BULOBA'!L71+'Avg Week BULOBA-BUJUKO'!L71</f>
        <v>1</v>
      </c>
      <c r="M71" s="49">
        <f>'Avg Week BUJUKO-BULOBA'!M71+'Avg Week BULOBA-BUJUKO'!M71</f>
        <v>22.5</v>
      </c>
      <c r="N71" s="49">
        <f>'Avg Week BUJUKO-BULOBA'!N71+'Avg Week BULOBA-BUJUKO'!N71</f>
        <v>0</v>
      </c>
      <c r="O71" s="15">
        <f t="shared" si="0"/>
        <v>47</v>
      </c>
      <c r="P71" s="15">
        <f t="shared" si="1"/>
        <v>69.5</v>
      </c>
      <c r="R71" s="8"/>
      <c r="T71"/>
    </row>
    <row r="72" spans="2:20" ht="23.1" customHeight="1" x14ac:dyDescent="0.25">
      <c r="B72" s="23" t="s">
        <v>112</v>
      </c>
      <c r="C72" s="49">
        <f>'Avg Week BUJUKO-BULOBA'!C72+'Avg Week BULOBA-BUJUKO'!C72</f>
        <v>18.5</v>
      </c>
      <c r="D72" s="49">
        <f>'Avg Week BUJUKO-BULOBA'!D72+'Avg Week BULOBA-BUJUKO'!D72</f>
        <v>4.5</v>
      </c>
      <c r="E72" s="49">
        <f>'Avg Week BUJUKO-BULOBA'!E72+'Avg Week BULOBA-BUJUKO'!E72</f>
        <v>4</v>
      </c>
      <c r="F72" s="49">
        <f>'Avg Week BUJUKO-BULOBA'!F72+'Avg Week BULOBA-BUJUKO'!F72</f>
        <v>13</v>
      </c>
      <c r="G72" s="49">
        <f>'Avg Week BUJUKO-BULOBA'!G72+'Avg Week BULOBA-BUJUKO'!G72</f>
        <v>0</v>
      </c>
      <c r="H72" s="49">
        <f>'Avg Week BUJUKO-BULOBA'!H72+'Avg Week BULOBA-BUJUKO'!H72</f>
        <v>1</v>
      </c>
      <c r="I72" s="49">
        <f>'Avg Week BUJUKO-BULOBA'!I72+'Avg Week BULOBA-BUJUKO'!I72</f>
        <v>8</v>
      </c>
      <c r="J72" s="49">
        <f>'Avg Week BUJUKO-BULOBA'!J72+'Avg Week BULOBA-BUJUKO'!J72</f>
        <v>9</v>
      </c>
      <c r="K72" s="49">
        <f>'Avg Week BUJUKO-BULOBA'!K72+'Avg Week BULOBA-BUJUKO'!K72</f>
        <v>0.5</v>
      </c>
      <c r="L72" s="49">
        <f>'Avg Week BUJUKO-BULOBA'!L72+'Avg Week BULOBA-BUJUKO'!L72</f>
        <v>2.5</v>
      </c>
      <c r="M72" s="49">
        <f>'Avg Week BUJUKO-BULOBA'!M72+'Avg Week BULOBA-BUJUKO'!M72</f>
        <v>20</v>
      </c>
      <c r="N72" s="49">
        <f>'Avg Week BUJUKO-BULOBA'!N72+'Avg Week BULOBA-BUJUKO'!N72</f>
        <v>0</v>
      </c>
      <c r="O72" s="15">
        <f t="shared" si="0"/>
        <v>61</v>
      </c>
      <c r="P72" s="15">
        <f t="shared" si="1"/>
        <v>81</v>
      </c>
      <c r="R72" s="8"/>
      <c r="T72"/>
    </row>
    <row r="73" spans="2:20" ht="23.1" customHeight="1" x14ac:dyDescent="0.25">
      <c r="B73" s="23" t="s">
        <v>113</v>
      </c>
      <c r="C73" s="49">
        <f>'Avg Week BUJUKO-BULOBA'!C73+'Avg Week BULOBA-BUJUKO'!C73</f>
        <v>16</v>
      </c>
      <c r="D73" s="49">
        <f>'Avg Week BUJUKO-BULOBA'!D73+'Avg Week BULOBA-BUJUKO'!D73</f>
        <v>1.5</v>
      </c>
      <c r="E73" s="49">
        <f>'Avg Week BUJUKO-BULOBA'!E73+'Avg Week BULOBA-BUJUKO'!E73</f>
        <v>1.5</v>
      </c>
      <c r="F73" s="49">
        <f>'Avg Week BUJUKO-BULOBA'!F73+'Avg Week BULOBA-BUJUKO'!F73</f>
        <v>9</v>
      </c>
      <c r="G73" s="49">
        <f>'Avg Week BUJUKO-BULOBA'!G73+'Avg Week BULOBA-BUJUKO'!G73</f>
        <v>0</v>
      </c>
      <c r="H73" s="49">
        <f>'Avg Week BUJUKO-BULOBA'!H73+'Avg Week BULOBA-BUJUKO'!H73</f>
        <v>0.5</v>
      </c>
      <c r="I73" s="49">
        <f>'Avg Week BUJUKO-BULOBA'!I73+'Avg Week BULOBA-BUJUKO'!I73</f>
        <v>8.5</v>
      </c>
      <c r="J73" s="49">
        <f>'Avg Week BUJUKO-BULOBA'!J73+'Avg Week BULOBA-BUJUKO'!J73</f>
        <v>4</v>
      </c>
      <c r="K73" s="49">
        <f>'Avg Week BUJUKO-BULOBA'!K73+'Avg Week BULOBA-BUJUKO'!K73</f>
        <v>2.5</v>
      </c>
      <c r="L73" s="49">
        <f>'Avg Week BUJUKO-BULOBA'!L73+'Avg Week BULOBA-BUJUKO'!L73</f>
        <v>2</v>
      </c>
      <c r="M73" s="49">
        <f>'Avg Week BUJUKO-BULOBA'!M73+'Avg Week BULOBA-BUJUKO'!M73</f>
        <v>19</v>
      </c>
      <c r="N73" s="49">
        <f>'Avg Week BUJUKO-BULOBA'!N73+'Avg Week BULOBA-BUJUKO'!N73</f>
        <v>0</v>
      </c>
      <c r="O73" s="15">
        <f t="shared" si="0"/>
        <v>45.5</v>
      </c>
      <c r="P73" s="15">
        <f t="shared" si="1"/>
        <v>64.5</v>
      </c>
      <c r="R73" s="8"/>
      <c r="T73"/>
    </row>
    <row r="74" spans="2:20" ht="23.1" customHeight="1" x14ac:dyDescent="0.25">
      <c r="B74" s="23" t="s">
        <v>114</v>
      </c>
      <c r="C74" s="49">
        <f>'Avg Week BUJUKO-BULOBA'!C74+'Avg Week BULOBA-BUJUKO'!C74</f>
        <v>16.5</v>
      </c>
      <c r="D74" s="49">
        <f>'Avg Week BUJUKO-BULOBA'!D74+'Avg Week BULOBA-BUJUKO'!D74</f>
        <v>2.5</v>
      </c>
      <c r="E74" s="49">
        <f>'Avg Week BUJUKO-BULOBA'!E74+'Avg Week BULOBA-BUJUKO'!E74</f>
        <v>2.5</v>
      </c>
      <c r="F74" s="49">
        <f>'Avg Week BUJUKO-BULOBA'!F74+'Avg Week BULOBA-BUJUKO'!F74</f>
        <v>10</v>
      </c>
      <c r="G74" s="49">
        <f>'Avg Week BUJUKO-BULOBA'!G74+'Avg Week BULOBA-BUJUKO'!G74</f>
        <v>0</v>
      </c>
      <c r="H74" s="49">
        <f>'Avg Week BUJUKO-BULOBA'!H74+'Avg Week BULOBA-BUJUKO'!H74</f>
        <v>0</v>
      </c>
      <c r="I74" s="49">
        <f>'Avg Week BUJUKO-BULOBA'!I74+'Avg Week BULOBA-BUJUKO'!I74</f>
        <v>5.5</v>
      </c>
      <c r="J74" s="49">
        <f>'Avg Week BUJUKO-BULOBA'!J74+'Avg Week BULOBA-BUJUKO'!J74</f>
        <v>6.5</v>
      </c>
      <c r="K74" s="49">
        <f>'Avg Week BUJUKO-BULOBA'!K74+'Avg Week BULOBA-BUJUKO'!K74</f>
        <v>1.5</v>
      </c>
      <c r="L74" s="49">
        <f>'Avg Week BUJUKO-BULOBA'!L74+'Avg Week BULOBA-BUJUKO'!L74</f>
        <v>1.5</v>
      </c>
      <c r="M74" s="49">
        <f>'Avg Week BUJUKO-BULOBA'!M74+'Avg Week BULOBA-BUJUKO'!M74</f>
        <v>14</v>
      </c>
      <c r="N74" s="49">
        <f>'Avg Week BUJUKO-BULOBA'!N74+'Avg Week BULOBA-BUJUKO'!N74</f>
        <v>0</v>
      </c>
      <c r="O74" s="15">
        <f t="shared" ref="O74:O105" si="35">SUM(C74:L74,N74)</f>
        <v>46.5</v>
      </c>
      <c r="P74" s="15">
        <f t="shared" ref="P74:P105" si="36">SUM(C74:N74)</f>
        <v>60.5</v>
      </c>
      <c r="R74" s="8"/>
      <c r="T74"/>
    </row>
    <row r="75" spans="2:20" ht="23.1" customHeight="1" x14ac:dyDescent="0.25">
      <c r="B75" s="23" t="s">
        <v>115</v>
      </c>
      <c r="C75" s="49">
        <f>'Avg Week BUJUKO-BULOBA'!C75+'Avg Week BULOBA-BUJUKO'!C75</f>
        <v>22</v>
      </c>
      <c r="D75" s="49">
        <f>'Avg Week BUJUKO-BULOBA'!D75+'Avg Week BULOBA-BUJUKO'!D75</f>
        <v>3.5</v>
      </c>
      <c r="E75" s="49">
        <f>'Avg Week BUJUKO-BULOBA'!E75+'Avg Week BULOBA-BUJUKO'!E75</f>
        <v>3</v>
      </c>
      <c r="F75" s="49">
        <f>'Avg Week BUJUKO-BULOBA'!F75+'Avg Week BULOBA-BUJUKO'!F75</f>
        <v>5</v>
      </c>
      <c r="G75" s="49">
        <f>'Avg Week BUJUKO-BULOBA'!G75+'Avg Week BULOBA-BUJUKO'!G75</f>
        <v>0</v>
      </c>
      <c r="H75" s="49">
        <f>'Avg Week BUJUKO-BULOBA'!H75+'Avg Week BULOBA-BUJUKO'!H75</f>
        <v>0.5</v>
      </c>
      <c r="I75" s="49">
        <f>'Avg Week BUJUKO-BULOBA'!I75+'Avg Week BULOBA-BUJUKO'!I75</f>
        <v>5</v>
      </c>
      <c r="J75" s="49">
        <f>'Avg Week BUJUKO-BULOBA'!J75+'Avg Week BULOBA-BUJUKO'!J75</f>
        <v>9.5</v>
      </c>
      <c r="K75" s="49">
        <f>'Avg Week BUJUKO-BULOBA'!K75+'Avg Week BULOBA-BUJUKO'!K75</f>
        <v>3</v>
      </c>
      <c r="L75" s="49">
        <f>'Avg Week BUJUKO-BULOBA'!L75+'Avg Week BULOBA-BUJUKO'!L75</f>
        <v>0.5</v>
      </c>
      <c r="M75" s="49">
        <f>'Avg Week BUJUKO-BULOBA'!M75+'Avg Week BULOBA-BUJUKO'!M75</f>
        <v>15.5</v>
      </c>
      <c r="N75" s="49">
        <f>'Avg Week BUJUKO-BULOBA'!N75+'Avg Week BULOBA-BUJUKO'!N75</f>
        <v>0</v>
      </c>
      <c r="O75" s="15">
        <f t="shared" si="35"/>
        <v>52</v>
      </c>
      <c r="P75" s="15">
        <f t="shared" si="36"/>
        <v>67.5</v>
      </c>
      <c r="R75" s="8"/>
      <c r="T75"/>
    </row>
    <row r="76" spans="2:20" ht="23.1" customHeight="1" x14ac:dyDescent="0.25">
      <c r="B76" s="23" t="s">
        <v>116</v>
      </c>
      <c r="C76" s="49">
        <f>'Avg Week BUJUKO-BULOBA'!C76+'Avg Week BULOBA-BUJUKO'!C76</f>
        <v>10.5</v>
      </c>
      <c r="D76" s="49">
        <f>'Avg Week BUJUKO-BULOBA'!D76+'Avg Week BULOBA-BUJUKO'!D76</f>
        <v>0.5</v>
      </c>
      <c r="E76" s="49">
        <f>'Avg Week BUJUKO-BULOBA'!E76+'Avg Week BULOBA-BUJUKO'!E76</f>
        <v>2.5</v>
      </c>
      <c r="F76" s="49">
        <f>'Avg Week BUJUKO-BULOBA'!F76+'Avg Week BULOBA-BUJUKO'!F76</f>
        <v>5.5</v>
      </c>
      <c r="G76" s="49">
        <f>'Avg Week BUJUKO-BULOBA'!G76+'Avg Week BULOBA-BUJUKO'!G76</f>
        <v>0</v>
      </c>
      <c r="H76" s="49">
        <f>'Avg Week BUJUKO-BULOBA'!H76+'Avg Week BULOBA-BUJUKO'!H76</f>
        <v>0</v>
      </c>
      <c r="I76" s="49">
        <f>'Avg Week BUJUKO-BULOBA'!I76+'Avg Week BULOBA-BUJUKO'!I76</f>
        <v>5</v>
      </c>
      <c r="J76" s="49">
        <f>'Avg Week BUJUKO-BULOBA'!J76+'Avg Week BULOBA-BUJUKO'!J76</f>
        <v>8</v>
      </c>
      <c r="K76" s="49">
        <f>'Avg Week BUJUKO-BULOBA'!K76+'Avg Week BULOBA-BUJUKO'!K76</f>
        <v>0.5</v>
      </c>
      <c r="L76" s="49">
        <f>'Avg Week BUJUKO-BULOBA'!L76+'Avg Week BULOBA-BUJUKO'!L76</f>
        <v>2</v>
      </c>
      <c r="M76" s="49">
        <f>'Avg Week BUJUKO-BULOBA'!M76+'Avg Week BULOBA-BUJUKO'!M76</f>
        <v>12.5</v>
      </c>
      <c r="N76" s="49">
        <f>'Avg Week BUJUKO-BULOBA'!N76+'Avg Week BULOBA-BUJUKO'!N76</f>
        <v>0</v>
      </c>
      <c r="O76" s="15">
        <f t="shared" si="35"/>
        <v>34.5</v>
      </c>
      <c r="P76" s="15">
        <f t="shared" si="36"/>
        <v>47</v>
      </c>
      <c r="R76" s="8"/>
      <c r="T76"/>
    </row>
    <row r="77" spans="2:20" ht="23.1" customHeight="1" x14ac:dyDescent="0.25">
      <c r="B77" s="23" t="s">
        <v>117</v>
      </c>
      <c r="C77" s="49">
        <f>'Avg Week BUJUKO-BULOBA'!C77+'Avg Week BULOBA-BUJUKO'!C77</f>
        <v>12</v>
      </c>
      <c r="D77" s="49">
        <f>'Avg Week BUJUKO-BULOBA'!D77+'Avg Week BULOBA-BUJUKO'!D77</f>
        <v>2.5</v>
      </c>
      <c r="E77" s="49">
        <f>'Avg Week BUJUKO-BULOBA'!E77+'Avg Week BULOBA-BUJUKO'!E77</f>
        <v>1.5</v>
      </c>
      <c r="F77" s="49">
        <f>'Avg Week BUJUKO-BULOBA'!F77+'Avg Week BULOBA-BUJUKO'!F77</f>
        <v>4.5</v>
      </c>
      <c r="G77" s="49">
        <f>'Avg Week BUJUKO-BULOBA'!G77+'Avg Week BULOBA-BUJUKO'!G77</f>
        <v>0</v>
      </c>
      <c r="H77" s="49">
        <f>'Avg Week BUJUKO-BULOBA'!H77+'Avg Week BULOBA-BUJUKO'!H77</f>
        <v>0</v>
      </c>
      <c r="I77" s="49">
        <f>'Avg Week BUJUKO-BULOBA'!I77+'Avg Week BULOBA-BUJUKO'!I77</f>
        <v>2.5</v>
      </c>
      <c r="J77" s="49">
        <f>'Avg Week BUJUKO-BULOBA'!J77+'Avg Week BULOBA-BUJUKO'!J77</f>
        <v>5.5</v>
      </c>
      <c r="K77" s="49">
        <f>'Avg Week BUJUKO-BULOBA'!K77+'Avg Week BULOBA-BUJUKO'!K77</f>
        <v>4</v>
      </c>
      <c r="L77" s="49">
        <f>'Avg Week BUJUKO-BULOBA'!L77+'Avg Week BULOBA-BUJUKO'!L77</f>
        <v>1.5</v>
      </c>
      <c r="M77" s="49">
        <f>'Avg Week BUJUKO-BULOBA'!M77+'Avg Week BULOBA-BUJUKO'!M77</f>
        <v>8.5</v>
      </c>
      <c r="N77" s="49">
        <f>'Avg Week BUJUKO-BULOBA'!N77+'Avg Week BULOBA-BUJUKO'!N77</f>
        <v>0</v>
      </c>
      <c r="O77" s="15">
        <f t="shared" si="35"/>
        <v>34</v>
      </c>
      <c r="P77" s="15">
        <f t="shared" si="36"/>
        <v>42.5</v>
      </c>
      <c r="R77" s="8"/>
      <c r="T77"/>
    </row>
    <row r="78" spans="2:20" ht="23.1" customHeight="1" x14ac:dyDescent="0.25">
      <c r="B78" s="24" t="s">
        <v>118</v>
      </c>
      <c r="C78" s="49">
        <f>'Avg Week BUJUKO-BULOBA'!C78+'Avg Week BULOBA-BUJUKO'!C78</f>
        <v>13</v>
      </c>
      <c r="D78" s="49">
        <f>'Avg Week BUJUKO-BULOBA'!D78+'Avg Week BULOBA-BUJUKO'!D78</f>
        <v>2.5</v>
      </c>
      <c r="E78" s="49">
        <f>'Avg Week BUJUKO-BULOBA'!E78+'Avg Week BULOBA-BUJUKO'!E78</f>
        <v>1</v>
      </c>
      <c r="F78" s="49">
        <f>'Avg Week BUJUKO-BULOBA'!F78+'Avg Week BULOBA-BUJUKO'!F78</f>
        <v>6</v>
      </c>
      <c r="G78" s="49">
        <f>'Avg Week BUJUKO-BULOBA'!G78+'Avg Week BULOBA-BUJUKO'!G78</f>
        <v>0</v>
      </c>
      <c r="H78" s="49">
        <f>'Avg Week BUJUKO-BULOBA'!H78+'Avg Week BULOBA-BUJUKO'!H78</f>
        <v>0</v>
      </c>
      <c r="I78" s="49">
        <f>'Avg Week BUJUKO-BULOBA'!I78+'Avg Week BULOBA-BUJUKO'!I78</f>
        <v>7</v>
      </c>
      <c r="J78" s="49">
        <f>'Avg Week BUJUKO-BULOBA'!J78+'Avg Week BULOBA-BUJUKO'!J78</f>
        <v>6</v>
      </c>
      <c r="K78" s="49">
        <f>'Avg Week BUJUKO-BULOBA'!K78+'Avg Week BULOBA-BUJUKO'!K78</f>
        <v>0.5</v>
      </c>
      <c r="L78" s="49">
        <f>'Avg Week BUJUKO-BULOBA'!L78+'Avg Week BULOBA-BUJUKO'!L78</f>
        <v>1</v>
      </c>
      <c r="M78" s="49">
        <f>'Avg Week BUJUKO-BULOBA'!M78+'Avg Week BULOBA-BUJUKO'!M78</f>
        <v>10</v>
      </c>
      <c r="N78" s="49">
        <f>'Avg Week BUJUKO-BULOBA'!N78+'Avg Week BULOBA-BUJUKO'!N78</f>
        <v>0</v>
      </c>
      <c r="O78" s="15">
        <f t="shared" si="35"/>
        <v>37</v>
      </c>
      <c r="P78" s="15">
        <f t="shared" si="36"/>
        <v>47</v>
      </c>
      <c r="R78" s="8"/>
      <c r="T78"/>
    </row>
    <row r="79" spans="2:20" ht="23.1" customHeight="1" x14ac:dyDescent="0.25">
      <c r="B79" s="23" t="s">
        <v>119</v>
      </c>
      <c r="C79" s="49">
        <f>'Avg Week BUJUKO-BULOBA'!C79+'Avg Week BULOBA-BUJUKO'!C79</f>
        <v>9.5</v>
      </c>
      <c r="D79" s="49">
        <f>'Avg Week BUJUKO-BULOBA'!D79+'Avg Week BULOBA-BUJUKO'!D79</f>
        <v>0.5</v>
      </c>
      <c r="E79" s="49">
        <f>'Avg Week BUJUKO-BULOBA'!E79+'Avg Week BULOBA-BUJUKO'!E79</f>
        <v>2</v>
      </c>
      <c r="F79" s="49">
        <f>'Avg Week BUJUKO-BULOBA'!F79+'Avg Week BULOBA-BUJUKO'!F79</f>
        <v>4.5</v>
      </c>
      <c r="G79" s="49">
        <f>'Avg Week BUJUKO-BULOBA'!G79+'Avg Week BULOBA-BUJUKO'!G79</f>
        <v>0</v>
      </c>
      <c r="H79" s="49">
        <f>'Avg Week BUJUKO-BULOBA'!H79+'Avg Week BULOBA-BUJUKO'!H79</f>
        <v>0</v>
      </c>
      <c r="I79" s="49">
        <f>'Avg Week BUJUKO-BULOBA'!I79+'Avg Week BULOBA-BUJUKO'!I79</f>
        <v>10</v>
      </c>
      <c r="J79" s="49">
        <f>'Avg Week BUJUKO-BULOBA'!J79+'Avg Week BULOBA-BUJUKO'!J79</f>
        <v>2.5</v>
      </c>
      <c r="K79" s="49">
        <f>'Avg Week BUJUKO-BULOBA'!K79+'Avg Week BULOBA-BUJUKO'!K79</f>
        <v>0.5</v>
      </c>
      <c r="L79" s="49">
        <f>'Avg Week BUJUKO-BULOBA'!L79+'Avg Week BULOBA-BUJUKO'!L79</f>
        <v>0.5</v>
      </c>
      <c r="M79" s="49">
        <f>'Avg Week BUJUKO-BULOBA'!M79+'Avg Week BULOBA-BUJUKO'!M79</f>
        <v>5</v>
      </c>
      <c r="N79" s="49">
        <f>'Avg Week BUJUKO-BULOBA'!N79+'Avg Week BULOBA-BUJUKO'!N79</f>
        <v>0</v>
      </c>
      <c r="O79" s="15">
        <f t="shared" si="35"/>
        <v>30</v>
      </c>
      <c r="P79" s="15">
        <f t="shared" si="36"/>
        <v>35</v>
      </c>
      <c r="R79" s="8"/>
      <c r="T79"/>
    </row>
    <row r="80" spans="2:20" ht="23.1" customHeight="1" x14ac:dyDescent="0.25">
      <c r="B80" s="25" t="s">
        <v>120</v>
      </c>
      <c r="C80" s="49">
        <f>'Avg Week BUJUKO-BULOBA'!C80+'Avg Week BULOBA-BUJUKO'!C80</f>
        <v>7.5</v>
      </c>
      <c r="D80" s="49">
        <f>'Avg Week BUJUKO-BULOBA'!D80+'Avg Week BULOBA-BUJUKO'!D80</f>
        <v>1.5</v>
      </c>
      <c r="E80" s="49">
        <f>'Avg Week BUJUKO-BULOBA'!E80+'Avg Week BULOBA-BUJUKO'!E80</f>
        <v>4</v>
      </c>
      <c r="F80" s="49">
        <f>'Avg Week BUJUKO-BULOBA'!F80+'Avg Week BULOBA-BUJUKO'!F80</f>
        <v>2.5</v>
      </c>
      <c r="G80" s="49">
        <f>'Avg Week BUJUKO-BULOBA'!G80+'Avg Week BULOBA-BUJUKO'!G80</f>
        <v>0</v>
      </c>
      <c r="H80" s="49">
        <f>'Avg Week BUJUKO-BULOBA'!H80+'Avg Week BULOBA-BUJUKO'!H80</f>
        <v>0</v>
      </c>
      <c r="I80" s="49">
        <f>'Avg Week BUJUKO-BULOBA'!I80+'Avg Week BULOBA-BUJUKO'!I80</f>
        <v>4.5</v>
      </c>
      <c r="J80" s="49">
        <f>'Avg Week BUJUKO-BULOBA'!J80+'Avg Week BULOBA-BUJUKO'!J80</f>
        <v>3</v>
      </c>
      <c r="K80" s="49">
        <f>'Avg Week BUJUKO-BULOBA'!K80+'Avg Week BULOBA-BUJUKO'!K80</f>
        <v>0</v>
      </c>
      <c r="L80" s="49">
        <f>'Avg Week BUJUKO-BULOBA'!L80+'Avg Week BULOBA-BUJUKO'!L80</f>
        <v>0.5</v>
      </c>
      <c r="M80" s="49">
        <f>'Avg Week BUJUKO-BULOBA'!M80+'Avg Week BULOBA-BUJUKO'!M80</f>
        <v>4.5</v>
      </c>
      <c r="N80" s="49">
        <f>'Avg Week BUJUKO-BULOBA'!N80+'Avg Week BULOBA-BUJUKO'!N80</f>
        <v>0</v>
      </c>
      <c r="O80" s="15">
        <f t="shared" si="35"/>
        <v>23.5</v>
      </c>
      <c r="P80" s="15">
        <f t="shared" si="36"/>
        <v>28</v>
      </c>
      <c r="R80" s="8"/>
      <c r="T80"/>
    </row>
    <row r="81" spans="2:20" ht="23.1" customHeight="1" x14ac:dyDescent="0.25">
      <c r="B81" s="23" t="s">
        <v>121</v>
      </c>
      <c r="C81" s="49">
        <f>'Avg Week BUJUKO-BULOBA'!C81+'Avg Week BULOBA-BUJUKO'!C81</f>
        <v>7</v>
      </c>
      <c r="D81" s="49">
        <f>'Avg Week BUJUKO-BULOBA'!D81+'Avg Week BULOBA-BUJUKO'!D81</f>
        <v>0.5</v>
      </c>
      <c r="E81" s="49">
        <f>'Avg Week BUJUKO-BULOBA'!E81+'Avg Week BULOBA-BUJUKO'!E81</f>
        <v>1</v>
      </c>
      <c r="F81" s="49">
        <f>'Avg Week BUJUKO-BULOBA'!F81+'Avg Week BULOBA-BUJUKO'!F81</f>
        <v>2.5</v>
      </c>
      <c r="G81" s="49">
        <f>'Avg Week BUJUKO-BULOBA'!G81+'Avg Week BULOBA-BUJUKO'!G81</f>
        <v>0</v>
      </c>
      <c r="H81" s="49">
        <f>'Avg Week BUJUKO-BULOBA'!H81+'Avg Week BULOBA-BUJUKO'!H81</f>
        <v>0.5</v>
      </c>
      <c r="I81" s="49">
        <f>'Avg Week BUJUKO-BULOBA'!I81+'Avg Week BULOBA-BUJUKO'!I81</f>
        <v>5</v>
      </c>
      <c r="J81" s="49">
        <f>'Avg Week BUJUKO-BULOBA'!J81+'Avg Week BULOBA-BUJUKO'!J81</f>
        <v>4</v>
      </c>
      <c r="K81" s="49">
        <f>'Avg Week BUJUKO-BULOBA'!K81+'Avg Week BULOBA-BUJUKO'!K81</f>
        <v>1</v>
      </c>
      <c r="L81" s="49">
        <f>'Avg Week BUJUKO-BULOBA'!L81+'Avg Week BULOBA-BUJUKO'!L81</f>
        <v>1.5</v>
      </c>
      <c r="M81" s="49">
        <f>'Avg Week BUJUKO-BULOBA'!M81+'Avg Week BULOBA-BUJUKO'!M81</f>
        <v>6</v>
      </c>
      <c r="N81" s="49">
        <f>'Avg Week BUJUKO-BULOBA'!N81+'Avg Week BULOBA-BUJUKO'!N81</f>
        <v>0</v>
      </c>
      <c r="O81" s="15">
        <f t="shared" si="35"/>
        <v>23</v>
      </c>
      <c r="P81" s="15">
        <f t="shared" si="36"/>
        <v>29</v>
      </c>
      <c r="R81" s="8"/>
      <c r="T81"/>
    </row>
    <row r="82" spans="2:20" ht="23.1" customHeight="1" x14ac:dyDescent="0.25">
      <c r="B82" s="24" t="s">
        <v>122</v>
      </c>
      <c r="C82" s="49">
        <f>'Avg Week BUJUKO-BULOBA'!C82+'Avg Week BULOBA-BUJUKO'!C82</f>
        <v>3</v>
      </c>
      <c r="D82" s="49">
        <f>'Avg Week BUJUKO-BULOBA'!D82+'Avg Week BULOBA-BUJUKO'!D82</f>
        <v>3</v>
      </c>
      <c r="E82" s="49">
        <f>'Avg Week BUJUKO-BULOBA'!E82+'Avg Week BULOBA-BUJUKO'!E82</f>
        <v>1</v>
      </c>
      <c r="F82" s="49">
        <f>'Avg Week BUJUKO-BULOBA'!F82+'Avg Week BULOBA-BUJUKO'!F82</f>
        <v>1</v>
      </c>
      <c r="G82" s="49">
        <f>'Avg Week BUJUKO-BULOBA'!G82+'Avg Week BULOBA-BUJUKO'!G82</f>
        <v>0</v>
      </c>
      <c r="H82" s="49">
        <f>'Avg Week BUJUKO-BULOBA'!H82+'Avg Week BULOBA-BUJUKO'!H82</f>
        <v>0</v>
      </c>
      <c r="I82" s="49">
        <f>'Avg Week BUJUKO-BULOBA'!I82+'Avg Week BULOBA-BUJUKO'!I82</f>
        <v>1.5</v>
      </c>
      <c r="J82" s="49">
        <f>'Avg Week BUJUKO-BULOBA'!J82+'Avg Week BULOBA-BUJUKO'!J82</f>
        <v>7</v>
      </c>
      <c r="K82" s="49">
        <f>'Avg Week BUJUKO-BULOBA'!K82+'Avg Week BULOBA-BUJUKO'!K82</f>
        <v>2</v>
      </c>
      <c r="L82" s="49">
        <f>'Avg Week BUJUKO-BULOBA'!L82+'Avg Week BULOBA-BUJUKO'!L82</f>
        <v>1.5</v>
      </c>
      <c r="M82" s="49">
        <f>'Avg Week BUJUKO-BULOBA'!M82+'Avg Week BULOBA-BUJUKO'!M82</f>
        <v>4</v>
      </c>
      <c r="N82" s="49">
        <f>'Avg Week BUJUKO-BULOBA'!N82+'Avg Week BULOBA-BUJUKO'!N82</f>
        <v>0</v>
      </c>
      <c r="O82" s="15">
        <f t="shared" si="35"/>
        <v>20</v>
      </c>
      <c r="P82" s="15">
        <f t="shared" si="36"/>
        <v>24</v>
      </c>
      <c r="R82" s="8"/>
      <c r="T82"/>
    </row>
    <row r="83" spans="2:20" ht="23.1" customHeight="1" x14ac:dyDescent="0.25">
      <c r="B83" s="23" t="s">
        <v>123</v>
      </c>
      <c r="C83" s="49">
        <f>'Avg Week BUJUKO-BULOBA'!C83+'Avg Week BULOBA-BUJUKO'!C83</f>
        <v>4.5</v>
      </c>
      <c r="D83" s="49">
        <f>'Avg Week BUJUKO-BULOBA'!D83+'Avg Week BULOBA-BUJUKO'!D83</f>
        <v>2.5</v>
      </c>
      <c r="E83" s="49">
        <f>'Avg Week BUJUKO-BULOBA'!E83+'Avg Week BULOBA-BUJUKO'!E83</f>
        <v>1</v>
      </c>
      <c r="F83" s="49">
        <f>'Avg Week BUJUKO-BULOBA'!F83+'Avg Week BULOBA-BUJUKO'!F83</f>
        <v>1</v>
      </c>
      <c r="G83" s="49">
        <f>'Avg Week BUJUKO-BULOBA'!G83+'Avg Week BULOBA-BUJUKO'!G83</f>
        <v>0</v>
      </c>
      <c r="H83" s="49">
        <f>'Avg Week BUJUKO-BULOBA'!H83+'Avg Week BULOBA-BUJUKO'!H83</f>
        <v>0</v>
      </c>
      <c r="I83" s="49">
        <f>'Avg Week BUJUKO-BULOBA'!I83+'Avg Week BULOBA-BUJUKO'!I83</f>
        <v>4.5</v>
      </c>
      <c r="J83" s="49">
        <f>'Avg Week BUJUKO-BULOBA'!J83+'Avg Week BULOBA-BUJUKO'!J83</f>
        <v>1</v>
      </c>
      <c r="K83" s="49">
        <f>'Avg Week BUJUKO-BULOBA'!K83+'Avg Week BULOBA-BUJUKO'!K83</f>
        <v>1.5</v>
      </c>
      <c r="L83" s="49">
        <f>'Avg Week BUJUKO-BULOBA'!L83+'Avg Week BULOBA-BUJUKO'!L83</f>
        <v>1.5</v>
      </c>
      <c r="M83" s="49">
        <f>'Avg Week BUJUKO-BULOBA'!M83+'Avg Week BULOBA-BUJUKO'!M83</f>
        <v>5</v>
      </c>
      <c r="N83" s="49">
        <f>'Avg Week BUJUKO-BULOBA'!N83+'Avg Week BULOBA-BUJUKO'!N83</f>
        <v>0</v>
      </c>
      <c r="O83" s="15">
        <f t="shared" si="35"/>
        <v>17.5</v>
      </c>
      <c r="P83" s="15">
        <f t="shared" si="36"/>
        <v>22.5</v>
      </c>
      <c r="R83" s="8"/>
      <c r="T83"/>
    </row>
    <row r="84" spans="2:20" ht="23.1" customHeight="1" x14ac:dyDescent="0.25">
      <c r="B84" s="25" t="s">
        <v>124</v>
      </c>
      <c r="C84" s="49">
        <f>'Avg Week BUJUKO-BULOBA'!C84+'Avg Week BULOBA-BUJUKO'!C84</f>
        <v>7.5</v>
      </c>
      <c r="D84" s="49">
        <f>'Avg Week BUJUKO-BULOBA'!D84+'Avg Week BULOBA-BUJUKO'!D84</f>
        <v>2</v>
      </c>
      <c r="E84" s="49">
        <f>'Avg Week BUJUKO-BULOBA'!E84+'Avg Week BULOBA-BUJUKO'!E84</f>
        <v>1.5</v>
      </c>
      <c r="F84" s="49">
        <f>'Avg Week BUJUKO-BULOBA'!F84+'Avg Week BULOBA-BUJUKO'!F84</f>
        <v>0</v>
      </c>
      <c r="G84" s="49">
        <f>'Avg Week BUJUKO-BULOBA'!G84+'Avg Week BULOBA-BUJUKO'!G84</f>
        <v>0</v>
      </c>
      <c r="H84" s="49">
        <f>'Avg Week BUJUKO-BULOBA'!H84+'Avg Week BULOBA-BUJUKO'!H84</f>
        <v>0</v>
      </c>
      <c r="I84" s="49">
        <f>'Avg Week BUJUKO-BULOBA'!I84+'Avg Week BULOBA-BUJUKO'!I84</f>
        <v>2</v>
      </c>
      <c r="J84" s="49">
        <f>'Avg Week BUJUKO-BULOBA'!J84+'Avg Week BULOBA-BUJUKO'!J84</f>
        <v>0.5</v>
      </c>
      <c r="K84" s="49">
        <f>'Avg Week BUJUKO-BULOBA'!K84+'Avg Week BULOBA-BUJUKO'!K84</f>
        <v>1</v>
      </c>
      <c r="L84" s="49">
        <f>'Avg Week BUJUKO-BULOBA'!L84+'Avg Week BULOBA-BUJUKO'!L84</f>
        <v>1</v>
      </c>
      <c r="M84" s="49">
        <f>'Avg Week BUJUKO-BULOBA'!M84+'Avg Week BULOBA-BUJUKO'!M84</f>
        <v>5</v>
      </c>
      <c r="N84" s="49">
        <f>'Avg Week BUJUKO-BULOBA'!N84+'Avg Week BULOBA-BUJUKO'!N84</f>
        <v>0</v>
      </c>
      <c r="O84" s="15">
        <f t="shared" si="35"/>
        <v>15.5</v>
      </c>
      <c r="P84" s="15">
        <f t="shared" si="36"/>
        <v>20.5</v>
      </c>
      <c r="R84" s="8"/>
      <c r="T84"/>
    </row>
    <row r="85" spans="2:20" ht="23.1" customHeight="1" x14ac:dyDescent="0.25">
      <c r="B85" s="23" t="s">
        <v>125</v>
      </c>
      <c r="C85" s="49">
        <f>'Avg Week BUJUKO-BULOBA'!C85+'Avg Week BULOBA-BUJUKO'!C85</f>
        <v>4</v>
      </c>
      <c r="D85" s="49">
        <f>'Avg Week BUJUKO-BULOBA'!D85+'Avg Week BULOBA-BUJUKO'!D85</f>
        <v>3.5</v>
      </c>
      <c r="E85" s="49">
        <f>'Avg Week BUJUKO-BULOBA'!E85+'Avg Week BULOBA-BUJUKO'!E85</f>
        <v>1</v>
      </c>
      <c r="F85" s="49">
        <f>'Avg Week BUJUKO-BULOBA'!F85+'Avg Week BULOBA-BUJUKO'!F85</f>
        <v>1</v>
      </c>
      <c r="G85" s="49">
        <f>'Avg Week BUJUKO-BULOBA'!G85+'Avg Week BULOBA-BUJUKO'!G85</f>
        <v>0</v>
      </c>
      <c r="H85" s="49">
        <f>'Avg Week BUJUKO-BULOBA'!H85+'Avg Week BULOBA-BUJUKO'!H85</f>
        <v>0.5</v>
      </c>
      <c r="I85" s="49">
        <f>'Avg Week BUJUKO-BULOBA'!I85+'Avg Week BULOBA-BUJUKO'!I85</f>
        <v>3.5</v>
      </c>
      <c r="J85" s="49">
        <f>'Avg Week BUJUKO-BULOBA'!J85+'Avg Week BULOBA-BUJUKO'!J85</f>
        <v>2</v>
      </c>
      <c r="K85" s="49">
        <f>'Avg Week BUJUKO-BULOBA'!K85+'Avg Week BULOBA-BUJUKO'!K85</f>
        <v>0.5</v>
      </c>
      <c r="L85" s="49">
        <f>'Avg Week BUJUKO-BULOBA'!L85+'Avg Week BULOBA-BUJUKO'!L85</f>
        <v>0.5</v>
      </c>
      <c r="M85" s="49">
        <f>'Avg Week BUJUKO-BULOBA'!M85+'Avg Week BULOBA-BUJUKO'!M85</f>
        <v>5.5</v>
      </c>
      <c r="N85" s="49">
        <f>'Avg Week BUJUKO-BULOBA'!N85+'Avg Week BULOBA-BUJUKO'!N85</f>
        <v>0</v>
      </c>
      <c r="O85" s="15">
        <f t="shared" si="35"/>
        <v>16.5</v>
      </c>
      <c r="P85" s="15">
        <f t="shared" si="36"/>
        <v>22</v>
      </c>
      <c r="R85" s="8"/>
      <c r="T85"/>
    </row>
    <row r="86" spans="2:20" ht="23.1" customHeight="1" x14ac:dyDescent="0.25">
      <c r="B86" s="24" t="s">
        <v>126</v>
      </c>
      <c r="C86" s="49">
        <f>'Avg Week BUJUKO-BULOBA'!C86+'Avg Week BULOBA-BUJUKO'!C86</f>
        <v>6.5</v>
      </c>
      <c r="D86" s="49">
        <f>'Avg Week BUJUKO-BULOBA'!D86+'Avg Week BULOBA-BUJUKO'!D86</f>
        <v>1</v>
      </c>
      <c r="E86" s="49">
        <f>'Avg Week BUJUKO-BULOBA'!E86+'Avg Week BULOBA-BUJUKO'!E86</f>
        <v>0.5</v>
      </c>
      <c r="F86" s="49">
        <f>'Avg Week BUJUKO-BULOBA'!F86+'Avg Week BULOBA-BUJUKO'!F86</f>
        <v>0</v>
      </c>
      <c r="G86" s="49">
        <f>'Avg Week BUJUKO-BULOBA'!G86+'Avg Week BULOBA-BUJUKO'!G86</f>
        <v>0</v>
      </c>
      <c r="H86" s="49">
        <f>'Avg Week BUJUKO-BULOBA'!H86+'Avg Week BULOBA-BUJUKO'!H86</f>
        <v>0</v>
      </c>
      <c r="I86" s="49">
        <f>'Avg Week BUJUKO-BULOBA'!I86+'Avg Week BULOBA-BUJUKO'!I86</f>
        <v>1</v>
      </c>
      <c r="J86" s="49">
        <f>'Avg Week BUJUKO-BULOBA'!J86+'Avg Week BULOBA-BUJUKO'!J86</f>
        <v>1</v>
      </c>
      <c r="K86" s="49">
        <f>'Avg Week BUJUKO-BULOBA'!K86+'Avg Week BULOBA-BUJUKO'!K86</f>
        <v>3</v>
      </c>
      <c r="L86" s="49">
        <f>'Avg Week BUJUKO-BULOBA'!L86+'Avg Week BULOBA-BUJUKO'!L86</f>
        <v>1.5</v>
      </c>
      <c r="M86" s="49">
        <f>'Avg Week BUJUKO-BULOBA'!M86+'Avg Week BULOBA-BUJUKO'!M86</f>
        <v>6</v>
      </c>
      <c r="N86" s="49">
        <f>'Avg Week BUJUKO-BULOBA'!N86+'Avg Week BULOBA-BUJUKO'!N86</f>
        <v>0</v>
      </c>
      <c r="O86" s="15">
        <f t="shared" si="35"/>
        <v>14.5</v>
      </c>
      <c r="P86" s="15">
        <f t="shared" si="36"/>
        <v>20.5</v>
      </c>
      <c r="R86" s="8"/>
      <c r="T86"/>
    </row>
    <row r="87" spans="2:20" ht="23.1" customHeight="1" x14ac:dyDescent="0.25">
      <c r="B87" s="23" t="s">
        <v>127</v>
      </c>
      <c r="C87" s="49">
        <f>'Avg Week BUJUKO-BULOBA'!C87+'Avg Week BULOBA-BUJUKO'!C87</f>
        <v>3</v>
      </c>
      <c r="D87" s="49">
        <f>'Avg Week BUJUKO-BULOBA'!D87+'Avg Week BULOBA-BUJUKO'!D87</f>
        <v>0.5</v>
      </c>
      <c r="E87" s="49">
        <f>'Avg Week BUJUKO-BULOBA'!E87+'Avg Week BULOBA-BUJUKO'!E87</f>
        <v>2.5</v>
      </c>
      <c r="F87" s="49">
        <f>'Avg Week BUJUKO-BULOBA'!F87+'Avg Week BULOBA-BUJUKO'!F87</f>
        <v>0.5</v>
      </c>
      <c r="G87" s="49">
        <f>'Avg Week BUJUKO-BULOBA'!G87+'Avg Week BULOBA-BUJUKO'!G87</f>
        <v>0</v>
      </c>
      <c r="H87" s="49">
        <f>'Avg Week BUJUKO-BULOBA'!H87+'Avg Week BULOBA-BUJUKO'!H87</f>
        <v>0</v>
      </c>
      <c r="I87" s="49">
        <f>'Avg Week BUJUKO-BULOBA'!I87+'Avg Week BULOBA-BUJUKO'!I87</f>
        <v>1</v>
      </c>
      <c r="J87" s="49">
        <f>'Avg Week BUJUKO-BULOBA'!J87+'Avg Week BULOBA-BUJUKO'!J87</f>
        <v>0</v>
      </c>
      <c r="K87" s="49">
        <f>'Avg Week BUJUKO-BULOBA'!K87+'Avg Week BULOBA-BUJUKO'!K87</f>
        <v>0.5</v>
      </c>
      <c r="L87" s="49">
        <f>'Avg Week BUJUKO-BULOBA'!L87+'Avg Week BULOBA-BUJUKO'!L87</f>
        <v>0.5</v>
      </c>
      <c r="M87" s="49">
        <f>'Avg Week BUJUKO-BULOBA'!M87+'Avg Week BULOBA-BUJUKO'!M87</f>
        <v>7</v>
      </c>
      <c r="N87" s="49">
        <f>'Avg Week BUJUKO-BULOBA'!N87+'Avg Week BULOBA-BUJUKO'!N87</f>
        <v>0</v>
      </c>
      <c r="O87" s="15">
        <f t="shared" si="35"/>
        <v>8.5</v>
      </c>
      <c r="P87" s="15">
        <f t="shared" si="36"/>
        <v>15.5</v>
      </c>
      <c r="R87" s="8"/>
      <c r="T87"/>
    </row>
    <row r="88" spans="2:20" ht="23.1" customHeight="1" x14ac:dyDescent="0.25">
      <c r="B88" s="25" t="s">
        <v>128</v>
      </c>
      <c r="C88" s="49">
        <f>'Avg Week BUJUKO-BULOBA'!C88+'Avg Week BULOBA-BUJUKO'!C88</f>
        <v>1</v>
      </c>
      <c r="D88" s="49">
        <f>'Avg Week BUJUKO-BULOBA'!D88+'Avg Week BULOBA-BUJUKO'!D88</f>
        <v>1</v>
      </c>
      <c r="E88" s="49">
        <f>'Avg Week BUJUKO-BULOBA'!E88+'Avg Week BULOBA-BUJUKO'!E88</f>
        <v>1.5</v>
      </c>
      <c r="F88" s="49">
        <f>'Avg Week BUJUKO-BULOBA'!F88+'Avg Week BULOBA-BUJUKO'!F88</f>
        <v>0.5</v>
      </c>
      <c r="G88" s="49">
        <f>'Avg Week BUJUKO-BULOBA'!G88+'Avg Week BULOBA-BUJUKO'!G88</f>
        <v>0</v>
      </c>
      <c r="H88" s="49">
        <f>'Avg Week BUJUKO-BULOBA'!H88+'Avg Week BULOBA-BUJUKO'!H88</f>
        <v>0</v>
      </c>
      <c r="I88" s="49">
        <f>'Avg Week BUJUKO-BULOBA'!I88+'Avg Week BULOBA-BUJUKO'!I88</f>
        <v>2</v>
      </c>
      <c r="J88" s="49">
        <f>'Avg Week BUJUKO-BULOBA'!J88+'Avg Week BULOBA-BUJUKO'!J88</f>
        <v>1</v>
      </c>
      <c r="K88" s="49">
        <f>'Avg Week BUJUKO-BULOBA'!K88+'Avg Week BULOBA-BUJUKO'!K88</f>
        <v>2</v>
      </c>
      <c r="L88" s="49">
        <f>'Avg Week BUJUKO-BULOBA'!L88+'Avg Week BULOBA-BUJUKO'!L88</f>
        <v>0.5</v>
      </c>
      <c r="M88" s="49">
        <f>'Avg Week BUJUKO-BULOBA'!M88+'Avg Week BULOBA-BUJUKO'!M88</f>
        <v>5</v>
      </c>
      <c r="N88" s="49">
        <f>'Avg Week BUJUKO-BULOBA'!N88+'Avg Week BULOBA-BUJUKO'!N88</f>
        <v>0</v>
      </c>
      <c r="O88" s="15">
        <f t="shared" si="35"/>
        <v>9.5</v>
      </c>
      <c r="P88" s="15">
        <f t="shared" si="36"/>
        <v>14.5</v>
      </c>
      <c r="R88" s="8"/>
      <c r="T88"/>
    </row>
    <row r="89" spans="2:20" ht="23.1" customHeight="1" x14ac:dyDescent="0.25">
      <c r="B89" s="23" t="s">
        <v>129</v>
      </c>
      <c r="C89" s="49">
        <f>'Avg Week BUJUKO-BULOBA'!C89+'Avg Week BULOBA-BUJUKO'!C89</f>
        <v>4</v>
      </c>
      <c r="D89" s="49">
        <f>'Avg Week BUJUKO-BULOBA'!D89+'Avg Week BULOBA-BUJUKO'!D89</f>
        <v>0.5</v>
      </c>
      <c r="E89" s="49">
        <f>'Avg Week BUJUKO-BULOBA'!E89+'Avg Week BULOBA-BUJUKO'!E89</f>
        <v>1</v>
      </c>
      <c r="F89" s="49">
        <f>'Avg Week BUJUKO-BULOBA'!F89+'Avg Week BULOBA-BUJUKO'!F89</f>
        <v>1</v>
      </c>
      <c r="G89" s="49">
        <f>'Avg Week BUJUKO-BULOBA'!G89+'Avg Week BULOBA-BUJUKO'!G89</f>
        <v>0</v>
      </c>
      <c r="H89" s="49">
        <f>'Avg Week BUJUKO-BULOBA'!H89+'Avg Week BULOBA-BUJUKO'!H89</f>
        <v>0</v>
      </c>
      <c r="I89" s="49">
        <f>'Avg Week BUJUKO-BULOBA'!I89+'Avg Week BULOBA-BUJUKO'!I89</f>
        <v>3.5</v>
      </c>
      <c r="J89" s="49">
        <f>'Avg Week BUJUKO-BULOBA'!J89+'Avg Week BULOBA-BUJUKO'!J89</f>
        <v>1.5</v>
      </c>
      <c r="K89" s="49">
        <f>'Avg Week BUJUKO-BULOBA'!K89+'Avg Week BULOBA-BUJUKO'!K89</f>
        <v>1.5</v>
      </c>
      <c r="L89" s="49">
        <f>'Avg Week BUJUKO-BULOBA'!L89+'Avg Week BULOBA-BUJUKO'!L89</f>
        <v>0</v>
      </c>
      <c r="M89" s="49">
        <f>'Avg Week BUJUKO-BULOBA'!M89+'Avg Week BULOBA-BUJUKO'!M89</f>
        <v>5</v>
      </c>
      <c r="N89" s="49">
        <f>'Avg Week BUJUKO-BULOBA'!N89+'Avg Week BULOBA-BUJUKO'!N89</f>
        <v>0</v>
      </c>
      <c r="O89" s="15">
        <f t="shared" si="35"/>
        <v>13</v>
      </c>
      <c r="P89" s="15">
        <f t="shared" si="36"/>
        <v>18</v>
      </c>
      <c r="R89" s="8"/>
      <c r="T89"/>
    </row>
    <row r="90" spans="2:20" ht="23.1" customHeight="1" x14ac:dyDescent="0.25">
      <c r="B90" s="24" t="s">
        <v>130</v>
      </c>
      <c r="C90" s="49">
        <f>'Avg Week BUJUKO-BULOBA'!C90+'Avg Week BULOBA-BUJUKO'!C90</f>
        <v>1.5</v>
      </c>
      <c r="D90" s="49">
        <f>'Avg Week BUJUKO-BULOBA'!D90+'Avg Week BULOBA-BUJUKO'!D90</f>
        <v>1</v>
      </c>
      <c r="E90" s="49">
        <f>'Avg Week BUJUKO-BULOBA'!E90+'Avg Week BULOBA-BUJUKO'!E90</f>
        <v>0.5</v>
      </c>
      <c r="F90" s="49">
        <f>'Avg Week BUJUKO-BULOBA'!F90+'Avg Week BULOBA-BUJUKO'!F90</f>
        <v>0</v>
      </c>
      <c r="G90" s="49">
        <f>'Avg Week BUJUKO-BULOBA'!G90+'Avg Week BULOBA-BUJUKO'!G90</f>
        <v>0</v>
      </c>
      <c r="H90" s="49">
        <f>'Avg Week BUJUKO-BULOBA'!H90+'Avg Week BULOBA-BUJUKO'!H90</f>
        <v>0</v>
      </c>
      <c r="I90" s="49">
        <f>'Avg Week BUJUKO-BULOBA'!I90+'Avg Week BULOBA-BUJUKO'!I90</f>
        <v>2</v>
      </c>
      <c r="J90" s="49">
        <f>'Avg Week BUJUKO-BULOBA'!J90+'Avg Week BULOBA-BUJUKO'!J90</f>
        <v>3</v>
      </c>
      <c r="K90" s="49">
        <f>'Avg Week BUJUKO-BULOBA'!K90+'Avg Week BULOBA-BUJUKO'!K90</f>
        <v>1</v>
      </c>
      <c r="L90" s="49">
        <f>'Avg Week BUJUKO-BULOBA'!L90+'Avg Week BULOBA-BUJUKO'!L90</f>
        <v>0</v>
      </c>
      <c r="M90" s="49">
        <f>'Avg Week BUJUKO-BULOBA'!M90+'Avg Week BULOBA-BUJUKO'!M90</f>
        <v>2</v>
      </c>
      <c r="N90" s="49">
        <f>'Avg Week BUJUKO-BULOBA'!N90+'Avg Week BULOBA-BUJUKO'!N90</f>
        <v>0</v>
      </c>
      <c r="O90" s="15">
        <f t="shared" si="35"/>
        <v>9</v>
      </c>
      <c r="P90" s="15">
        <f t="shared" si="36"/>
        <v>11</v>
      </c>
      <c r="R90" s="8"/>
      <c r="T90"/>
    </row>
    <row r="91" spans="2:20" ht="23.1" customHeight="1" x14ac:dyDescent="0.25">
      <c r="B91" s="23" t="s">
        <v>131</v>
      </c>
      <c r="C91" s="49">
        <f>'Avg Week BUJUKO-BULOBA'!C91+'Avg Week BULOBA-BUJUKO'!C91</f>
        <v>3</v>
      </c>
      <c r="D91" s="49">
        <f>'Avg Week BUJUKO-BULOBA'!D91+'Avg Week BULOBA-BUJUKO'!D91</f>
        <v>0.5</v>
      </c>
      <c r="E91" s="49">
        <f>'Avg Week BUJUKO-BULOBA'!E91+'Avg Week BULOBA-BUJUKO'!E91</f>
        <v>0</v>
      </c>
      <c r="F91" s="49">
        <f>'Avg Week BUJUKO-BULOBA'!F91+'Avg Week BULOBA-BUJUKO'!F91</f>
        <v>0.5</v>
      </c>
      <c r="G91" s="49">
        <f>'Avg Week BUJUKO-BULOBA'!G91+'Avg Week BULOBA-BUJUKO'!G91</f>
        <v>0</v>
      </c>
      <c r="H91" s="49">
        <f>'Avg Week BUJUKO-BULOBA'!H91+'Avg Week BULOBA-BUJUKO'!H91</f>
        <v>0</v>
      </c>
      <c r="I91" s="49">
        <f>'Avg Week BUJUKO-BULOBA'!I91+'Avg Week BULOBA-BUJUKO'!I91</f>
        <v>3</v>
      </c>
      <c r="J91" s="49">
        <f>'Avg Week BUJUKO-BULOBA'!J91+'Avg Week BULOBA-BUJUKO'!J91</f>
        <v>0.5</v>
      </c>
      <c r="K91" s="49">
        <f>'Avg Week BUJUKO-BULOBA'!K91+'Avg Week BULOBA-BUJUKO'!K91</f>
        <v>0</v>
      </c>
      <c r="L91" s="49">
        <f>'Avg Week BUJUKO-BULOBA'!L91+'Avg Week BULOBA-BUJUKO'!L91</f>
        <v>0.5</v>
      </c>
      <c r="M91" s="49">
        <f>'Avg Week BUJUKO-BULOBA'!M91+'Avg Week BULOBA-BUJUKO'!M91</f>
        <v>1.5</v>
      </c>
      <c r="N91" s="49">
        <f>'Avg Week BUJUKO-BULOBA'!N91+'Avg Week BULOBA-BUJUKO'!N91</f>
        <v>0</v>
      </c>
      <c r="O91" s="15">
        <f t="shared" si="35"/>
        <v>8</v>
      </c>
      <c r="P91" s="15">
        <f t="shared" si="36"/>
        <v>9.5</v>
      </c>
      <c r="R91" s="8"/>
      <c r="T91"/>
    </row>
    <row r="92" spans="2:20" ht="23.1" customHeight="1" x14ac:dyDescent="0.25">
      <c r="B92" s="25" t="s">
        <v>132</v>
      </c>
      <c r="C92" s="49">
        <f>'Avg Week BUJUKO-BULOBA'!C92+'Avg Week BULOBA-BUJUKO'!C92</f>
        <v>3.5</v>
      </c>
      <c r="D92" s="49">
        <f>'Avg Week BUJUKO-BULOBA'!D92+'Avg Week BULOBA-BUJUKO'!D92</f>
        <v>1.5</v>
      </c>
      <c r="E92" s="49">
        <f>'Avg Week BUJUKO-BULOBA'!E92+'Avg Week BULOBA-BUJUKO'!E92</f>
        <v>0.5</v>
      </c>
      <c r="F92" s="49">
        <f>'Avg Week BUJUKO-BULOBA'!F92+'Avg Week BULOBA-BUJUKO'!F92</f>
        <v>0</v>
      </c>
      <c r="G92" s="49">
        <f>'Avg Week BUJUKO-BULOBA'!G92+'Avg Week BULOBA-BUJUKO'!G92</f>
        <v>0</v>
      </c>
      <c r="H92" s="49">
        <f>'Avg Week BUJUKO-BULOBA'!H92+'Avg Week BULOBA-BUJUKO'!H92</f>
        <v>0</v>
      </c>
      <c r="I92" s="49">
        <f>'Avg Week BUJUKO-BULOBA'!I92+'Avg Week BULOBA-BUJUKO'!I92</f>
        <v>1</v>
      </c>
      <c r="J92" s="49">
        <f>'Avg Week BUJUKO-BULOBA'!J92+'Avg Week BULOBA-BUJUKO'!J92</f>
        <v>1.5</v>
      </c>
      <c r="K92" s="49">
        <f>'Avg Week BUJUKO-BULOBA'!K92+'Avg Week BULOBA-BUJUKO'!K92</f>
        <v>0.5</v>
      </c>
      <c r="L92" s="49">
        <f>'Avg Week BUJUKO-BULOBA'!L92+'Avg Week BULOBA-BUJUKO'!L92</f>
        <v>0.5</v>
      </c>
      <c r="M92" s="49">
        <f>'Avg Week BUJUKO-BULOBA'!M92+'Avg Week BULOBA-BUJUKO'!M92</f>
        <v>2</v>
      </c>
      <c r="N92" s="49">
        <f>'Avg Week BUJUKO-BULOBA'!N92+'Avg Week BULOBA-BUJUKO'!N92</f>
        <v>0</v>
      </c>
      <c r="O92" s="15">
        <f t="shared" si="35"/>
        <v>9</v>
      </c>
      <c r="P92" s="15">
        <f t="shared" si="36"/>
        <v>11</v>
      </c>
      <c r="R92" s="8"/>
      <c r="T92"/>
    </row>
    <row r="93" spans="2:20" ht="23.1" customHeight="1" x14ac:dyDescent="0.25">
      <c r="B93" s="23" t="s">
        <v>133</v>
      </c>
      <c r="C93" s="49">
        <f>'Avg Week BUJUKO-BULOBA'!C93+'Avg Week BULOBA-BUJUKO'!C93</f>
        <v>5.5</v>
      </c>
      <c r="D93" s="49">
        <f>'Avg Week BUJUKO-BULOBA'!D93+'Avg Week BULOBA-BUJUKO'!D93</f>
        <v>0</v>
      </c>
      <c r="E93" s="49">
        <f>'Avg Week BUJUKO-BULOBA'!E93+'Avg Week BULOBA-BUJUKO'!E93</f>
        <v>0.5</v>
      </c>
      <c r="F93" s="49">
        <f>'Avg Week BUJUKO-BULOBA'!F93+'Avg Week BULOBA-BUJUKO'!F93</f>
        <v>0.5</v>
      </c>
      <c r="G93" s="49">
        <f>'Avg Week BUJUKO-BULOBA'!G93+'Avg Week BULOBA-BUJUKO'!G93</f>
        <v>0</v>
      </c>
      <c r="H93" s="49">
        <f>'Avg Week BUJUKO-BULOBA'!H93+'Avg Week BULOBA-BUJUKO'!H93</f>
        <v>0</v>
      </c>
      <c r="I93" s="49">
        <f>'Avg Week BUJUKO-BULOBA'!I93+'Avg Week BULOBA-BUJUKO'!I93</f>
        <v>1.5</v>
      </c>
      <c r="J93" s="49">
        <f>'Avg Week BUJUKO-BULOBA'!J93+'Avg Week BULOBA-BUJUKO'!J93</f>
        <v>2</v>
      </c>
      <c r="K93" s="49">
        <f>'Avg Week BUJUKO-BULOBA'!K93+'Avg Week BULOBA-BUJUKO'!K93</f>
        <v>1.5</v>
      </c>
      <c r="L93" s="49">
        <f>'Avg Week BUJUKO-BULOBA'!L93+'Avg Week BULOBA-BUJUKO'!L93</f>
        <v>0.5</v>
      </c>
      <c r="M93" s="49">
        <f>'Avg Week BUJUKO-BULOBA'!M93+'Avg Week BULOBA-BUJUKO'!M93</f>
        <v>7</v>
      </c>
      <c r="N93" s="49">
        <f>'Avg Week BUJUKO-BULOBA'!N93+'Avg Week BULOBA-BUJUKO'!N93</f>
        <v>0</v>
      </c>
      <c r="O93" s="15">
        <f t="shared" si="35"/>
        <v>12</v>
      </c>
      <c r="P93" s="15">
        <f t="shared" si="36"/>
        <v>19</v>
      </c>
      <c r="R93" s="8"/>
      <c r="T93"/>
    </row>
    <row r="94" spans="2:20" ht="23.1" customHeight="1" x14ac:dyDescent="0.25">
      <c r="B94" s="24" t="s">
        <v>134</v>
      </c>
      <c r="C94" s="49">
        <f>'Avg Week BUJUKO-BULOBA'!C94+'Avg Week BULOBA-BUJUKO'!C94</f>
        <v>6.5</v>
      </c>
      <c r="D94" s="49">
        <f>'Avg Week BUJUKO-BULOBA'!D94+'Avg Week BULOBA-BUJUKO'!D94</f>
        <v>0</v>
      </c>
      <c r="E94" s="49">
        <f>'Avg Week BUJUKO-BULOBA'!E94+'Avg Week BULOBA-BUJUKO'!E94</f>
        <v>0.5</v>
      </c>
      <c r="F94" s="49">
        <f>'Avg Week BUJUKO-BULOBA'!F94+'Avg Week BULOBA-BUJUKO'!F94</f>
        <v>1.5</v>
      </c>
      <c r="G94" s="49">
        <f>'Avg Week BUJUKO-BULOBA'!G94+'Avg Week BULOBA-BUJUKO'!G94</f>
        <v>0</v>
      </c>
      <c r="H94" s="49">
        <f>'Avg Week BUJUKO-BULOBA'!H94+'Avg Week BULOBA-BUJUKO'!H94</f>
        <v>0.5</v>
      </c>
      <c r="I94" s="49">
        <f>'Avg Week BUJUKO-BULOBA'!I94+'Avg Week BULOBA-BUJUKO'!I94</f>
        <v>3.5</v>
      </c>
      <c r="J94" s="49">
        <f>'Avg Week BUJUKO-BULOBA'!J94+'Avg Week BULOBA-BUJUKO'!J94</f>
        <v>1</v>
      </c>
      <c r="K94" s="49">
        <f>'Avg Week BUJUKO-BULOBA'!K94+'Avg Week BULOBA-BUJUKO'!K94</f>
        <v>0.5</v>
      </c>
      <c r="L94" s="49">
        <f>'Avg Week BUJUKO-BULOBA'!L94+'Avg Week BULOBA-BUJUKO'!L94</f>
        <v>0</v>
      </c>
      <c r="M94" s="49">
        <f>'Avg Week BUJUKO-BULOBA'!M94+'Avg Week BULOBA-BUJUKO'!M94</f>
        <v>4</v>
      </c>
      <c r="N94" s="49">
        <f>'Avg Week BUJUKO-BULOBA'!N94+'Avg Week BULOBA-BUJUKO'!N94</f>
        <v>0</v>
      </c>
      <c r="O94" s="15">
        <f t="shared" si="35"/>
        <v>14</v>
      </c>
      <c r="P94" s="15">
        <f t="shared" si="36"/>
        <v>18</v>
      </c>
      <c r="R94" s="8"/>
      <c r="T94"/>
    </row>
    <row r="95" spans="2:20" ht="23.1" customHeight="1" x14ac:dyDescent="0.25">
      <c r="B95" s="23" t="s">
        <v>135</v>
      </c>
      <c r="C95" s="49">
        <f>'Avg Week BUJUKO-BULOBA'!C95+'Avg Week BULOBA-BUJUKO'!C95</f>
        <v>2.5</v>
      </c>
      <c r="D95" s="49">
        <f>'Avg Week BUJUKO-BULOBA'!D95+'Avg Week BULOBA-BUJUKO'!D95</f>
        <v>1.5</v>
      </c>
      <c r="E95" s="49">
        <f>'Avg Week BUJUKO-BULOBA'!E95+'Avg Week BULOBA-BUJUKO'!E95</f>
        <v>0</v>
      </c>
      <c r="F95" s="49">
        <f>'Avg Week BUJUKO-BULOBA'!F95+'Avg Week BULOBA-BUJUKO'!F95</f>
        <v>0</v>
      </c>
      <c r="G95" s="49">
        <f>'Avg Week BUJUKO-BULOBA'!G95+'Avg Week BULOBA-BUJUKO'!G95</f>
        <v>0</v>
      </c>
      <c r="H95" s="49">
        <f>'Avg Week BUJUKO-BULOBA'!H95+'Avg Week BULOBA-BUJUKO'!H95</f>
        <v>0</v>
      </c>
      <c r="I95" s="49">
        <f>'Avg Week BUJUKO-BULOBA'!I95+'Avg Week BULOBA-BUJUKO'!I95</f>
        <v>2.5</v>
      </c>
      <c r="J95" s="49">
        <f>'Avg Week BUJUKO-BULOBA'!J95+'Avg Week BULOBA-BUJUKO'!J95</f>
        <v>0</v>
      </c>
      <c r="K95" s="49">
        <f>'Avg Week BUJUKO-BULOBA'!K95+'Avg Week BULOBA-BUJUKO'!K95</f>
        <v>0</v>
      </c>
      <c r="L95" s="49">
        <f>'Avg Week BUJUKO-BULOBA'!L95+'Avg Week BULOBA-BUJUKO'!L95</f>
        <v>0</v>
      </c>
      <c r="M95" s="49">
        <f>'Avg Week BUJUKO-BULOBA'!M95+'Avg Week BULOBA-BUJUKO'!M95</f>
        <v>7</v>
      </c>
      <c r="N95" s="49">
        <f>'Avg Week BUJUKO-BULOBA'!N95+'Avg Week BULOBA-BUJUKO'!N95</f>
        <v>0</v>
      </c>
      <c r="O95" s="15">
        <f t="shared" si="35"/>
        <v>6.5</v>
      </c>
      <c r="P95" s="15">
        <f t="shared" si="36"/>
        <v>13.5</v>
      </c>
      <c r="R95" s="8"/>
      <c r="T95"/>
    </row>
    <row r="96" spans="2:20" ht="23.1" customHeight="1" x14ac:dyDescent="0.25">
      <c r="B96" s="25" t="s">
        <v>136</v>
      </c>
      <c r="C96" s="49">
        <f>'Avg Week BUJUKO-BULOBA'!C96+'Avg Week BULOBA-BUJUKO'!C96</f>
        <v>13</v>
      </c>
      <c r="D96" s="49">
        <f>'Avg Week BUJUKO-BULOBA'!D96+'Avg Week BULOBA-BUJUKO'!D96</f>
        <v>0.5</v>
      </c>
      <c r="E96" s="49">
        <f>'Avg Week BUJUKO-BULOBA'!E96+'Avg Week BULOBA-BUJUKO'!E96</f>
        <v>0</v>
      </c>
      <c r="F96" s="49">
        <f>'Avg Week BUJUKO-BULOBA'!F96+'Avg Week BULOBA-BUJUKO'!F96</f>
        <v>0</v>
      </c>
      <c r="G96" s="49">
        <f>'Avg Week BUJUKO-BULOBA'!G96+'Avg Week BULOBA-BUJUKO'!G96</f>
        <v>0</v>
      </c>
      <c r="H96" s="49">
        <f>'Avg Week BUJUKO-BULOBA'!H96+'Avg Week BULOBA-BUJUKO'!H96</f>
        <v>1</v>
      </c>
      <c r="I96" s="49">
        <f>'Avg Week BUJUKO-BULOBA'!I96+'Avg Week BULOBA-BUJUKO'!I96</f>
        <v>1.5</v>
      </c>
      <c r="J96" s="49">
        <f>'Avg Week BUJUKO-BULOBA'!J96+'Avg Week BULOBA-BUJUKO'!J96</f>
        <v>1.5</v>
      </c>
      <c r="K96" s="49">
        <f>'Avg Week BUJUKO-BULOBA'!K96+'Avg Week BULOBA-BUJUKO'!K96</f>
        <v>0.5</v>
      </c>
      <c r="L96" s="49">
        <f>'Avg Week BUJUKO-BULOBA'!L96+'Avg Week BULOBA-BUJUKO'!L96</f>
        <v>0</v>
      </c>
      <c r="M96" s="49">
        <f>'Avg Week BUJUKO-BULOBA'!M96+'Avg Week BULOBA-BUJUKO'!M96</f>
        <v>5.5</v>
      </c>
      <c r="N96" s="49">
        <f>'Avg Week BUJUKO-BULOBA'!N96+'Avg Week BULOBA-BUJUKO'!N96</f>
        <v>0</v>
      </c>
      <c r="O96" s="15">
        <f t="shared" si="35"/>
        <v>18</v>
      </c>
      <c r="P96" s="15">
        <f t="shared" si="36"/>
        <v>23.5</v>
      </c>
      <c r="R96" s="8"/>
      <c r="T96"/>
    </row>
    <row r="97" spans="2:20" ht="23.1" customHeight="1" x14ac:dyDescent="0.25">
      <c r="B97" s="23" t="s">
        <v>137</v>
      </c>
      <c r="C97" s="49">
        <f>'Avg Week BUJUKO-BULOBA'!C97+'Avg Week BULOBA-BUJUKO'!C97</f>
        <v>5.5</v>
      </c>
      <c r="D97" s="49">
        <f>'Avg Week BUJUKO-BULOBA'!D97+'Avg Week BULOBA-BUJUKO'!D97</f>
        <v>0.5</v>
      </c>
      <c r="E97" s="49">
        <f>'Avg Week BUJUKO-BULOBA'!E97+'Avg Week BULOBA-BUJUKO'!E97</f>
        <v>0</v>
      </c>
      <c r="F97" s="49">
        <f>'Avg Week BUJUKO-BULOBA'!F97+'Avg Week BULOBA-BUJUKO'!F97</f>
        <v>2</v>
      </c>
      <c r="G97" s="49">
        <f>'Avg Week BUJUKO-BULOBA'!G97+'Avg Week BULOBA-BUJUKO'!G97</f>
        <v>0</v>
      </c>
      <c r="H97" s="49">
        <f>'Avg Week BUJUKO-BULOBA'!H97+'Avg Week BULOBA-BUJUKO'!H97</f>
        <v>0</v>
      </c>
      <c r="I97" s="49">
        <f>'Avg Week BUJUKO-BULOBA'!I97+'Avg Week BULOBA-BUJUKO'!I97</f>
        <v>3</v>
      </c>
      <c r="J97" s="49">
        <f>'Avg Week BUJUKO-BULOBA'!J97+'Avg Week BULOBA-BUJUKO'!J97</f>
        <v>1</v>
      </c>
      <c r="K97" s="49">
        <f>'Avg Week BUJUKO-BULOBA'!K97+'Avg Week BULOBA-BUJUKO'!K97</f>
        <v>1</v>
      </c>
      <c r="L97" s="49">
        <f>'Avg Week BUJUKO-BULOBA'!L97+'Avg Week BULOBA-BUJUKO'!L97</f>
        <v>0</v>
      </c>
      <c r="M97" s="49">
        <f>'Avg Week BUJUKO-BULOBA'!M97+'Avg Week BULOBA-BUJUKO'!M97</f>
        <v>3.5</v>
      </c>
      <c r="N97" s="49">
        <f>'Avg Week BUJUKO-BULOBA'!N97+'Avg Week BULOBA-BUJUKO'!N97</f>
        <v>0</v>
      </c>
      <c r="O97" s="15">
        <f t="shared" si="35"/>
        <v>13</v>
      </c>
      <c r="P97" s="15">
        <f t="shared" si="36"/>
        <v>16.5</v>
      </c>
      <c r="R97" s="8"/>
      <c r="T97"/>
    </row>
    <row r="98" spans="2:20" ht="23.1" customHeight="1" x14ac:dyDescent="0.25">
      <c r="B98" s="24" t="s">
        <v>138</v>
      </c>
      <c r="C98" s="49">
        <f>'Avg Week BUJUKO-BULOBA'!C98+'Avg Week BULOBA-BUJUKO'!C98</f>
        <v>7</v>
      </c>
      <c r="D98" s="49">
        <f>'Avg Week BUJUKO-BULOBA'!D98+'Avg Week BULOBA-BUJUKO'!D98</f>
        <v>2</v>
      </c>
      <c r="E98" s="49">
        <f>'Avg Week BUJUKO-BULOBA'!E98+'Avg Week BULOBA-BUJUKO'!E98</f>
        <v>1</v>
      </c>
      <c r="F98" s="49">
        <f>'Avg Week BUJUKO-BULOBA'!F98+'Avg Week BULOBA-BUJUKO'!F98</f>
        <v>3.5</v>
      </c>
      <c r="G98" s="49">
        <f>'Avg Week BUJUKO-BULOBA'!G98+'Avg Week BULOBA-BUJUKO'!G98</f>
        <v>0</v>
      </c>
      <c r="H98" s="49">
        <f>'Avg Week BUJUKO-BULOBA'!H98+'Avg Week BULOBA-BUJUKO'!H98</f>
        <v>1.5</v>
      </c>
      <c r="I98" s="49">
        <f>'Avg Week BUJUKO-BULOBA'!I98+'Avg Week BULOBA-BUJUKO'!I98</f>
        <v>3</v>
      </c>
      <c r="J98" s="49">
        <f>'Avg Week BUJUKO-BULOBA'!J98+'Avg Week BULOBA-BUJUKO'!J98</f>
        <v>5.5</v>
      </c>
      <c r="K98" s="49">
        <f>'Avg Week BUJUKO-BULOBA'!K98+'Avg Week BULOBA-BUJUKO'!K98</f>
        <v>4.5</v>
      </c>
      <c r="L98" s="49">
        <f>'Avg Week BUJUKO-BULOBA'!L98+'Avg Week BULOBA-BUJUKO'!L98</f>
        <v>2</v>
      </c>
      <c r="M98" s="49">
        <f>'Avg Week BUJUKO-BULOBA'!M98+'Avg Week BULOBA-BUJUKO'!M98</f>
        <v>10</v>
      </c>
      <c r="N98" s="49">
        <f>'Avg Week BUJUKO-BULOBA'!N98+'Avg Week BULOBA-BUJUKO'!N98</f>
        <v>0</v>
      </c>
      <c r="O98" s="15">
        <f t="shared" si="35"/>
        <v>30</v>
      </c>
      <c r="P98" s="15">
        <f t="shared" si="36"/>
        <v>40</v>
      </c>
      <c r="R98" s="8"/>
      <c r="T98"/>
    </row>
    <row r="99" spans="2:20" ht="23.1" customHeight="1" x14ac:dyDescent="0.25">
      <c r="B99" s="23" t="s">
        <v>139</v>
      </c>
      <c r="C99" s="49">
        <f>'Avg Week BUJUKO-BULOBA'!C99+'Avg Week BULOBA-BUJUKO'!C99</f>
        <v>11.5</v>
      </c>
      <c r="D99" s="49">
        <f>'Avg Week BUJUKO-BULOBA'!D99+'Avg Week BULOBA-BUJUKO'!D99</f>
        <v>1.5</v>
      </c>
      <c r="E99" s="49">
        <f>'Avg Week BUJUKO-BULOBA'!E99+'Avg Week BULOBA-BUJUKO'!E99</f>
        <v>0</v>
      </c>
      <c r="F99" s="49">
        <f>'Avg Week BUJUKO-BULOBA'!F99+'Avg Week BULOBA-BUJUKO'!F99</f>
        <v>6.5</v>
      </c>
      <c r="G99" s="49">
        <f>'Avg Week BUJUKO-BULOBA'!G99+'Avg Week BULOBA-BUJUKO'!G99</f>
        <v>0.5</v>
      </c>
      <c r="H99" s="49">
        <f>'Avg Week BUJUKO-BULOBA'!H99+'Avg Week BULOBA-BUJUKO'!H99</f>
        <v>0</v>
      </c>
      <c r="I99" s="49">
        <f>'Avg Week BUJUKO-BULOBA'!I99+'Avg Week BULOBA-BUJUKO'!I99</f>
        <v>1</v>
      </c>
      <c r="J99" s="49">
        <f>'Avg Week BUJUKO-BULOBA'!J99+'Avg Week BULOBA-BUJUKO'!J99</f>
        <v>2.5</v>
      </c>
      <c r="K99" s="49">
        <f>'Avg Week BUJUKO-BULOBA'!K99+'Avg Week BULOBA-BUJUKO'!K99</f>
        <v>1</v>
      </c>
      <c r="L99" s="49">
        <f>'Avg Week BUJUKO-BULOBA'!L99+'Avg Week BULOBA-BUJUKO'!L99</f>
        <v>0</v>
      </c>
      <c r="M99" s="49">
        <f>'Avg Week BUJUKO-BULOBA'!M99+'Avg Week BULOBA-BUJUKO'!M99</f>
        <v>7.5</v>
      </c>
      <c r="N99" s="49">
        <f>'Avg Week BUJUKO-BULOBA'!N99+'Avg Week BULOBA-BUJUKO'!N99</f>
        <v>0</v>
      </c>
      <c r="O99" s="15">
        <f t="shared" si="35"/>
        <v>24.5</v>
      </c>
      <c r="P99" s="15">
        <f t="shared" si="36"/>
        <v>32</v>
      </c>
      <c r="R99" s="8"/>
      <c r="T99"/>
    </row>
    <row r="100" spans="2:20" ht="23.1" customHeight="1" x14ac:dyDescent="0.25">
      <c r="B100" s="25" t="s">
        <v>140</v>
      </c>
      <c r="C100" s="49">
        <f>'Avg Week BUJUKO-BULOBA'!C100+'Avg Week BULOBA-BUJUKO'!C100</f>
        <v>5.5</v>
      </c>
      <c r="D100" s="49">
        <f>'Avg Week BUJUKO-BULOBA'!D100+'Avg Week BULOBA-BUJUKO'!D100</f>
        <v>2</v>
      </c>
      <c r="E100" s="49">
        <f>'Avg Week BUJUKO-BULOBA'!E100+'Avg Week BULOBA-BUJUKO'!E100</f>
        <v>1</v>
      </c>
      <c r="F100" s="49">
        <f>'Avg Week BUJUKO-BULOBA'!F100+'Avg Week BULOBA-BUJUKO'!F100</f>
        <v>7</v>
      </c>
      <c r="G100" s="49">
        <f>'Avg Week BUJUKO-BULOBA'!G100+'Avg Week BULOBA-BUJUKO'!G100</f>
        <v>0</v>
      </c>
      <c r="H100" s="49">
        <f>'Avg Week BUJUKO-BULOBA'!H100+'Avg Week BULOBA-BUJUKO'!H100</f>
        <v>0</v>
      </c>
      <c r="I100" s="49">
        <f>'Avg Week BUJUKO-BULOBA'!I100+'Avg Week BULOBA-BUJUKO'!I100</f>
        <v>3</v>
      </c>
      <c r="J100" s="49">
        <f>'Avg Week BUJUKO-BULOBA'!J100+'Avg Week BULOBA-BUJUKO'!J100</f>
        <v>3</v>
      </c>
      <c r="K100" s="49">
        <f>'Avg Week BUJUKO-BULOBA'!K100+'Avg Week BULOBA-BUJUKO'!K100</f>
        <v>0.5</v>
      </c>
      <c r="L100" s="49">
        <f>'Avg Week BUJUKO-BULOBA'!L100+'Avg Week BULOBA-BUJUKO'!L100</f>
        <v>0</v>
      </c>
      <c r="M100" s="49">
        <f>'Avg Week BUJUKO-BULOBA'!M100+'Avg Week BULOBA-BUJUKO'!M100</f>
        <v>17</v>
      </c>
      <c r="N100" s="49">
        <f>'Avg Week BUJUKO-BULOBA'!N100+'Avg Week BULOBA-BUJUKO'!N100</f>
        <v>0</v>
      </c>
      <c r="O100" s="15">
        <f t="shared" si="35"/>
        <v>22</v>
      </c>
      <c r="P100" s="15">
        <f t="shared" si="36"/>
        <v>39</v>
      </c>
      <c r="R100" s="8"/>
      <c r="T100"/>
    </row>
    <row r="101" spans="2:20" ht="23.1" customHeight="1" x14ac:dyDescent="0.25">
      <c r="B101" s="23" t="s">
        <v>141</v>
      </c>
      <c r="C101" s="49">
        <f>'Avg Week BUJUKO-BULOBA'!C101+'Avg Week BULOBA-BUJUKO'!C101</f>
        <v>11</v>
      </c>
      <c r="D101" s="49">
        <f>'Avg Week BUJUKO-BULOBA'!D101+'Avg Week BULOBA-BUJUKO'!D101</f>
        <v>3</v>
      </c>
      <c r="E101" s="49">
        <f>'Avg Week BUJUKO-BULOBA'!E101+'Avg Week BULOBA-BUJUKO'!E101</f>
        <v>1</v>
      </c>
      <c r="F101" s="49">
        <f>'Avg Week BUJUKO-BULOBA'!F101+'Avg Week BULOBA-BUJUKO'!F101</f>
        <v>6.5</v>
      </c>
      <c r="G101" s="49">
        <f>'Avg Week BUJUKO-BULOBA'!G101+'Avg Week BULOBA-BUJUKO'!G101</f>
        <v>0</v>
      </c>
      <c r="H101" s="49">
        <f>'Avg Week BUJUKO-BULOBA'!H101+'Avg Week BULOBA-BUJUKO'!H101</f>
        <v>1</v>
      </c>
      <c r="I101" s="49">
        <f>'Avg Week BUJUKO-BULOBA'!I101+'Avg Week BULOBA-BUJUKO'!I101</f>
        <v>2</v>
      </c>
      <c r="J101" s="49">
        <f>'Avg Week BUJUKO-BULOBA'!J101+'Avg Week BULOBA-BUJUKO'!J101</f>
        <v>2.5</v>
      </c>
      <c r="K101" s="49">
        <f>'Avg Week BUJUKO-BULOBA'!K101+'Avg Week BULOBA-BUJUKO'!K101</f>
        <v>0</v>
      </c>
      <c r="L101" s="49">
        <f>'Avg Week BUJUKO-BULOBA'!L101+'Avg Week BULOBA-BUJUKO'!L101</f>
        <v>0.5</v>
      </c>
      <c r="M101" s="49">
        <f>'Avg Week BUJUKO-BULOBA'!M101+'Avg Week BULOBA-BUJUKO'!M101</f>
        <v>14.5</v>
      </c>
      <c r="N101" s="49">
        <f>'Avg Week BUJUKO-BULOBA'!N101+'Avg Week BULOBA-BUJUKO'!N101</f>
        <v>0</v>
      </c>
      <c r="O101" s="15">
        <f t="shared" si="35"/>
        <v>27.5</v>
      </c>
      <c r="P101" s="15">
        <f t="shared" si="36"/>
        <v>42</v>
      </c>
      <c r="R101" s="8"/>
      <c r="T101"/>
    </row>
    <row r="102" spans="2:20" ht="23.1" customHeight="1" x14ac:dyDescent="0.25">
      <c r="B102" s="24" t="s">
        <v>142</v>
      </c>
      <c r="C102" s="49">
        <f>'Avg Week BUJUKO-BULOBA'!C102+'Avg Week BULOBA-BUJUKO'!C102</f>
        <v>8</v>
      </c>
      <c r="D102" s="49">
        <f>'Avg Week BUJUKO-BULOBA'!D102+'Avg Week BULOBA-BUJUKO'!D102</f>
        <v>0.5</v>
      </c>
      <c r="E102" s="49">
        <f>'Avg Week BUJUKO-BULOBA'!E102+'Avg Week BULOBA-BUJUKO'!E102</f>
        <v>0.5</v>
      </c>
      <c r="F102" s="49">
        <f>'Avg Week BUJUKO-BULOBA'!F102+'Avg Week BULOBA-BUJUKO'!F102</f>
        <v>3.5</v>
      </c>
      <c r="G102" s="49">
        <f>'Avg Week BUJUKO-BULOBA'!G102+'Avg Week BULOBA-BUJUKO'!G102</f>
        <v>1</v>
      </c>
      <c r="H102" s="49">
        <f>'Avg Week BUJUKO-BULOBA'!H102+'Avg Week BULOBA-BUJUKO'!H102</f>
        <v>0.5</v>
      </c>
      <c r="I102" s="49">
        <f>'Avg Week BUJUKO-BULOBA'!I102+'Avg Week BULOBA-BUJUKO'!I102</f>
        <v>3</v>
      </c>
      <c r="J102" s="49">
        <f>'Avg Week BUJUKO-BULOBA'!J102+'Avg Week BULOBA-BUJUKO'!J102</f>
        <v>2.5</v>
      </c>
      <c r="K102" s="49">
        <f>'Avg Week BUJUKO-BULOBA'!K102+'Avg Week BULOBA-BUJUKO'!K102</f>
        <v>2.5</v>
      </c>
      <c r="L102" s="49">
        <f>'Avg Week BUJUKO-BULOBA'!L102+'Avg Week BULOBA-BUJUKO'!L102</f>
        <v>1</v>
      </c>
      <c r="M102" s="49">
        <f>'Avg Week BUJUKO-BULOBA'!M102+'Avg Week BULOBA-BUJUKO'!M102</f>
        <v>8.5</v>
      </c>
      <c r="N102" s="49">
        <f>'Avg Week BUJUKO-BULOBA'!N102+'Avg Week BULOBA-BUJUKO'!N102</f>
        <v>0</v>
      </c>
      <c r="O102" s="15">
        <f t="shared" si="35"/>
        <v>23</v>
      </c>
      <c r="P102" s="15">
        <f t="shared" si="36"/>
        <v>31.5</v>
      </c>
      <c r="R102" s="8"/>
      <c r="T102"/>
    </row>
    <row r="103" spans="2:20" ht="23.1" customHeight="1" x14ac:dyDescent="0.25">
      <c r="B103" s="23" t="s">
        <v>143</v>
      </c>
      <c r="C103" s="49">
        <f>'Avg Week BUJUKO-BULOBA'!C103+'Avg Week BULOBA-BUJUKO'!C103</f>
        <v>15</v>
      </c>
      <c r="D103" s="49">
        <f>'Avg Week BUJUKO-BULOBA'!D103+'Avg Week BULOBA-BUJUKO'!D103</f>
        <v>1.5</v>
      </c>
      <c r="E103" s="49">
        <f>'Avg Week BUJUKO-BULOBA'!E103+'Avg Week BULOBA-BUJUKO'!E103</f>
        <v>1</v>
      </c>
      <c r="F103" s="49">
        <f>'Avg Week BUJUKO-BULOBA'!F103+'Avg Week BULOBA-BUJUKO'!F103</f>
        <v>12.5</v>
      </c>
      <c r="G103" s="49">
        <f>'Avg Week BUJUKO-BULOBA'!G103+'Avg Week BULOBA-BUJUKO'!G103</f>
        <v>0.5</v>
      </c>
      <c r="H103" s="49">
        <f>'Avg Week BUJUKO-BULOBA'!H103+'Avg Week BULOBA-BUJUKO'!H103</f>
        <v>0.5</v>
      </c>
      <c r="I103" s="49">
        <f>'Avg Week BUJUKO-BULOBA'!I103+'Avg Week BULOBA-BUJUKO'!I103</f>
        <v>3</v>
      </c>
      <c r="J103" s="49">
        <f>'Avg Week BUJUKO-BULOBA'!J103+'Avg Week BULOBA-BUJUKO'!J103</f>
        <v>2</v>
      </c>
      <c r="K103" s="49">
        <f>'Avg Week BUJUKO-BULOBA'!K103+'Avg Week BULOBA-BUJUKO'!K103</f>
        <v>0.5</v>
      </c>
      <c r="L103" s="49">
        <f>'Avg Week BUJUKO-BULOBA'!L103+'Avg Week BULOBA-BUJUKO'!L103</f>
        <v>1</v>
      </c>
      <c r="M103" s="49">
        <f>'Avg Week BUJUKO-BULOBA'!M103+'Avg Week BULOBA-BUJUKO'!M103</f>
        <v>13.5</v>
      </c>
      <c r="N103" s="49">
        <f>'Avg Week BUJUKO-BULOBA'!N103+'Avg Week BULOBA-BUJUKO'!N103</f>
        <v>0</v>
      </c>
      <c r="O103" s="15">
        <f t="shared" si="35"/>
        <v>37.5</v>
      </c>
      <c r="P103" s="15">
        <f t="shared" si="36"/>
        <v>51</v>
      </c>
      <c r="R103" s="8"/>
      <c r="T103"/>
    </row>
    <row r="104" spans="2:20" ht="23.1" customHeight="1" x14ac:dyDescent="0.25">
      <c r="B104" s="25" t="s">
        <v>144</v>
      </c>
      <c r="C104" s="49">
        <f>'Avg Week BUJUKO-BULOBA'!C104+'Avg Week BULOBA-BUJUKO'!C104</f>
        <v>9.5</v>
      </c>
      <c r="D104" s="49">
        <f>'Avg Week BUJUKO-BULOBA'!D104+'Avg Week BULOBA-BUJUKO'!D104</f>
        <v>3</v>
      </c>
      <c r="E104" s="49">
        <f>'Avg Week BUJUKO-BULOBA'!E104+'Avg Week BULOBA-BUJUKO'!E104</f>
        <v>0.5</v>
      </c>
      <c r="F104" s="49">
        <f>'Avg Week BUJUKO-BULOBA'!F104+'Avg Week BULOBA-BUJUKO'!F104</f>
        <v>5.5</v>
      </c>
      <c r="G104" s="49">
        <f>'Avg Week BUJUKO-BULOBA'!G104+'Avg Week BULOBA-BUJUKO'!G104</f>
        <v>0</v>
      </c>
      <c r="H104" s="49">
        <f>'Avg Week BUJUKO-BULOBA'!H104+'Avg Week BULOBA-BUJUKO'!H104</f>
        <v>1</v>
      </c>
      <c r="I104" s="49">
        <f>'Avg Week BUJUKO-BULOBA'!I104+'Avg Week BULOBA-BUJUKO'!I104</f>
        <v>3.5</v>
      </c>
      <c r="J104" s="49">
        <f>'Avg Week BUJUKO-BULOBA'!J104+'Avg Week BULOBA-BUJUKO'!J104</f>
        <v>0.5</v>
      </c>
      <c r="K104" s="49">
        <f>'Avg Week BUJUKO-BULOBA'!K104+'Avg Week BULOBA-BUJUKO'!K104</f>
        <v>0</v>
      </c>
      <c r="L104" s="49">
        <f>'Avg Week BUJUKO-BULOBA'!L104+'Avg Week BULOBA-BUJUKO'!L104</f>
        <v>0.5</v>
      </c>
      <c r="M104" s="49">
        <f>'Avg Week BUJUKO-BULOBA'!M104+'Avg Week BULOBA-BUJUKO'!M104</f>
        <v>9.5</v>
      </c>
      <c r="N104" s="49">
        <f>'Avg Week BUJUKO-BULOBA'!N104+'Avg Week BULOBA-BUJUKO'!N104</f>
        <v>0</v>
      </c>
      <c r="O104" s="15">
        <f t="shared" si="35"/>
        <v>24</v>
      </c>
      <c r="P104" s="15">
        <f t="shared" si="36"/>
        <v>33.5</v>
      </c>
      <c r="R104" s="8"/>
      <c r="T104"/>
    </row>
    <row r="105" spans="2:20" ht="23.1" customHeight="1" x14ac:dyDescent="0.25">
      <c r="B105" s="23" t="s">
        <v>145</v>
      </c>
      <c r="C105" s="49">
        <f>'Avg Week BUJUKO-BULOBA'!C105+'Avg Week BULOBA-BUJUKO'!C105</f>
        <v>19</v>
      </c>
      <c r="D105" s="49">
        <f>'Avg Week BUJUKO-BULOBA'!D105+'Avg Week BULOBA-BUJUKO'!D105</f>
        <v>0.5</v>
      </c>
      <c r="E105" s="49">
        <f>'Avg Week BUJUKO-BULOBA'!E105+'Avg Week BULOBA-BUJUKO'!E105</f>
        <v>0.5</v>
      </c>
      <c r="F105" s="49">
        <f>'Avg Week BUJUKO-BULOBA'!F105+'Avg Week BULOBA-BUJUKO'!F105</f>
        <v>13.5</v>
      </c>
      <c r="G105" s="49">
        <f>'Avg Week BUJUKO-BULOBA'!G105+'Avg Week BULOBA-BUJUKO'!G105</f>
        <v>0.5</v>
      </c>
      <c r="H105" s="49">
        <f>'Avg Week BUJUKO-BULOBA'!H105+'Avg Week BULOBA-BUJUKO'!H105</f>
        <v>0</v>
      </c>
      <c r="I105" s="49">
        <f>'Avg Week BUJUKO-BULOBA'!I105+'Avg Week BULOBA-BUJUKO'!I105</f>
        <v>3.5</v>
      </c>
      <c r="J105" s="49">
        <f>'Avg Week BUJUKO-BULOBA'!J105+'Avg Week BULOBA-BUJUKO'!J105</f>
        <v>2</v>
      </c>
      <c r="K105" s="49">
        <f>'Avg Week BUJUKO-BULOBA'!K105+'Avg Week BULOBA-BUJUKO'!K105</f>
        <v>0.5</v>
      </c>
      <c r="L105" s="49">
        <f>'Avg Week BUJUKO-BULOBA'!L105+'Avg Week BULOBA-BUJUKO'!L105</f>
        <v>1</v>
      </c>
      <c r="M105" s="49">
        <f>'Avg Week BUJUKO-BULOBA'!M105+'Avg Week BULOBA-BUJUKO'!M105</f>
        <v>14</v>
      </c>
      <c r="N105" s="49">
        <f>'Avg Week BUJUKO-BULOBA'!N105+'Avg Week BULOBA-BUJUKO'!N105</f>
        <v>0</v>
      </c>
      <c r="O105" s="15">
        <f t="shared" si="35"/>
        <v>41</v>
      </c>
      <c r="P105" s="15">
        <f t="shared" si="36"/>
        <v>55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2340.7857142857147</v>
      </c>
      <c r="D106" s="16">
        <f t="shared" ref="D106:P106" si="37">SUM(D10:D105)</f>
        <v>559.07142857142856</v>
      </c>
      <c r="E106" s="16">
        <f t="shared" si="37"/>
        <v>470.28571428571428</v>
      </c>
      <c r="F106" s="16">
        <f t="shared" si="37"/>
        <v>1897.9285714285716</v>
      </c>
      <c r="G106" s="16">
        <f t="shared" si="37"/>
        <v>45.928571428571431</v>
      </c>
      <c r="H106" s="16">
        <f t="shared" si="37"/>
        <v>56.642857142857153</v>
      </c>
      <c r="I106" s="16">
        <f t="shared" si="37"/>
        <v>823.642857142857</v>
      </c>
      <c r="J106" s="16">
        <f t="shared" si="37"/>
        <v>416.64285714285711</v>
      </c>
      <c r="K106" s="16">
        <f t="shared" si="37"/>
        <v>158.85714285714289</v>
      </c>
      <c r="L106" s="16">
        <f t="shared" si="37"/>
        <v>130.92857142857142</v>
      </c>
      <c r="M106" s="16">
        <f t="shared" si="37"/>
        <v>2315.2380952380954</v>
      </c>
      <c r="N106" s="16">
        <f t="shared" si="37"/>
        <v>1.7142857142857142</v>
      </c>
      <c r="O106" s="16">
        <f t="shared" si="37"/>
        <v>6902.4285714285706</v>
      </c>
      <c r="P106" s="16">
        <f t="shared" si="37"/>
        <v>9217.6666666666661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0.25394558069132261</v>
      </c>
      <c r="D107" s="43">
        <f t="shared" si="38"/>
        <v>6.0652163805528722E-2</v>
      </c>
      <c r="E107" s="43">
        <f t="shared" si="38"/>
        <v>5.1020039158758287E-2</v>
      </c>
      <c r="F107" s="43">
        <f t="shared" si="38"/>
        <v>0.20590119387718203</v>
      </c>
      <c r="G107" s="43">
        <f t="shared" si="38"/>
        <v>4.9826678583052217E-3</v>
      </c>
      <c r="H107" s="43">
        <f t="shared" si="38"/>
        <v>6.1450320554215267E-3</v>
      </c>
      <c r="I107" s="43">
        <f t="shared" si="38"/>
        <v>8.9354810379653968E-2</v>
      </c>
      <c r="J107" s="43">
        <f t="shared" si="38"/>
        <v>4.5200469078529322E-2</v>
      </c>
      <c r="K107" s="43">
        <f t="shared" si="38"/>
        <v>1.7233986495911065E-2</v>
      </c>
      <c r="L107" s="43">
        <f t="shared" si="38"/>
        <v>1.4204090488761228E-2</v>
      </c>
      <c r="M107" s="43">
        <f t="shared" si="38"/>
        <v>0.25117398783908751</v>
      </c>
      <c r="N107" s="43">
        <f t="shared" si="38"/>
        <v>1.8597827153860857E-4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0.33912494567129592</v>
      </c>
      <c r="D108" s="44">
        <f t="shared" ref="D108:N108" si="39">D106/$O$106</f>
        <v>8.0996336693089394E-2</v>
      </c>
      <c r="E108" s="44">
        <f t="shared" si="39"/>
        <v>6.8133369207525302E-2</v>
      </c>
      <c r="F108" s="44">
        <f t="shared" si="39"/>
        <v>0.2749653331125691</v>
      </c>
      <c r="G108" s="44">
        <f t="shared" si="39"/>
        <v>6.6539727218163387E-3</v>
      </c>
      <c r="H108" s="44">
        <f t="shared" si="39"/>
        <v>8.2062214127532774E-3</v>
      </c>
      <c r="I108" s="44">
        <f t="shared" si="39"/>
        <v>0.11932653103462548</v>
      </c>
      <c r="J108" s="44">
        <f t="shared" si="39"/>
        <v>6.036177742823437E-2</v>
      </c>
      <c r="K108" s="44">
        <f t="shared" si="39"/>
        <v>2.3014673924291663E-2</v>
      </c>
      <c r="L108" s="44">
        <f t="shared" si="39"/>
        <v>1.8968479003249373E-2</v>
      </c>
      <c r="M108" s="44"/>
      <c r="N108" s="44">
        <f t="shared" si="39"/>
        <v>2.4835979054990996E-4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29.10 Bujuko-Buloba</vt:lpstr>
      <vt:lpstr>29.10 Buloba-Bujuko</vt:lpstr>
      <vt:lpstr>30.10 Bujuko-Buloba</vt:lpstr>
      <vt:lpstr>30.10 Buloba-Bujuko</vt:lpstr>
      <vt:lpstr>31.10 Bujuko-Buloba-24h</vt:lpstr>
      <vt:lpstr>31.10 Buloba-Bujuko-24h</vt:lpstr>
      <vt:lpstr>1.11 Bujuko-Buloba</vt:lpstr>
      <vt:lpstr>1.11 Buloba-Bujuko</vt:lpstr>
      <vt:lpstr>2.11 Bujuko-Buloba-24HR</vt:lpstr>
      <vt:lpstr>2.11 Buloba-Bujuko-24HR</vt:lpstr>
      <vt:lpstr>3.11 Bujuko-Buloba</vt:lpstr>
      <vt:lpstr>3.11 Buloba-Bujuko</vt:lpstr>
      <vt:lpstr>4.11 Bujuko-Buloba</vt:lpstr>
      <vt:lpstr>4.11.BULOBA-BUJUKO</vt:lpstr>
      <vt:lpstr>Avg Week BUJUKO-BULOBA</vt:lpstr>
      <vt:lpstr>Avg Week BULOBA-BUJUKO</vt:lpstr>
      <vt:lpstr>Avg Week BUJUKO-BULOBA-2Dir</vt:lpstr>
      <vt:lpstr>'1.11 Bujuko-Buloba'!Print_Area</vt:lpstr>
      <vt:lpstr>'1.11 Buloba-Bujuko'!Print_Area</vt:lpstr>
      <vt:lpstr>'2.11 Bujuko-Buloba-24HR'!Print_Area</vt:lpstr>
      <vt:lpstr>'2.11 Buloba-Bujuko-24HR'!Print_Area</vt:lpstr>
      <vt:lpstr>'29.10 Bujuko-Buloba'!Print_Area</vt:lpstr>
      <vt:lpstr>'29.10 Buloba-Bujuko'!Print_Area</vt:lpstr>
      <vt:lpstr>'3.11 Bujuko-Buloba'!Print_Area</vt:lpstr>
      <vt:lpstr>'3.11 Buloba-Bujuko'!Print_Area</vt:lpstr>
      <vt:lpstr>'30.10 Bujuko-Buloba'!Print_Area</vt:lpstr>
      <vt:lpstr>'30.10 Buloba-Bujuko'!Print_Area</vt:lpstr>
      <vt:lpstr>'31.10 Bujuko-Buloba-24h'!Print_Area</vt:lpstr>
      <vt:lpstr>'31.10 Buloba-Bujuko-24h'!Print_Area</vt:lpstr>
      <vt:lpstr>'4.11 Bujuko-Buloba'!Print_Area</vt:lpstr>
      <vt:lpstr>'4.11.BULOBA-BUJUKO'!Print_Area</vt:lpstr>
      <vt:lpstr>'Avg Week BUJUKO-BULOBA'!Print_Area</vt:lpstr>
      <vt:lpstr>'Avg Week BUJUKO-BULOBA-2Dir'!Print_Area</vt:lpstr>
      <vt:lpstr>'Avg Week BULOBA-BUJUKO'!Print_Area</vt:lpstr>
      <vt:lpstr>'1.11 Bujuko-Buloba'!Print_Titles</vt:lpstr>
      <vt:lpstr>'1.11 Buloba-Bujuko'!Print_Titles</vt:lpstr>
      <vt:lpstr>'2.11 Bujuko-Buloba-24HR'!Print_Titles</vt:lpstr>
      <vt:lpstr>'2.11 Buloba-Bujuko-24HR'!Print_Titles</vt:lpstr>
      <vt:lpstr>'29.10 Bujuko-Buloba'!Print_Titles</vt:lpstr>
      <vt:lpstr>'29.10 Buloba-Bujuko'!Print_Titles</vt:lpstr>
      <vt:lpstr>'3.11 Bujuko-Buloba'!Print_Titles</vt:lpstr>
      <vt:lpstr>'3.11 Buloba-Bujuko'!Print_Titles</vt:lpstr>
      <vt:lpstr>'30.10 Bujuko-Buloba'!Print_Titles</vt:lpstr>
      <vt:lpstr>'30.10 Buloba-Bujuko'!Print_Titles</vt:lpstr>
      <vt:lpstr>'31.10 Bujuko-Buloba-24h'!Print_Titles</vt:lpstr>
      <vt:lpstr>'31.10 Buloba-Bujuko-24h'!Print_Titles</vt:lpstr>
      <vt:lpstr>'4.11 Bujuko-Buloba'!Print_Titles</vt:lpstr>
      <vt:lpstr>'4.11.BULOBA-BUJUKO'!Print_Titles</vt:lpstr>
      <vt:lpstr>'Avg Week BUJUKO-BULOBA'!Print_Titles</vt:lpstr>
      <vt:lpstr>'Avg Week BUJUKO-BULOBA-2Dir'!Print_Titles</vt:lpstr>
      <vt:lpstr>'Avg Week BULOBA-BUJUKO'!Print_Titles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CLINT</cp:lastModifiedBy>
  <cp:lastPrinted>2019-07-25T18:18:41Z</cp:lastPrinted>
  <dcterms:created xsi:type="dcterms:W3CDTF">2010-07-06T07:39:49Z</dcterms:created>
  <dcterms:modified xsi:type="dcterms:W3CDTF">2020-01-16T11:33:26Z</dcterms:modified>
</cp:coreProperties>
</file>